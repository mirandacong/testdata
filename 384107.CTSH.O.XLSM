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1860" windowWidth="14505" windowHeight="4845" tabRatio="566"/>
  </bookViews>
  <sheets>
    <sheet name="ImportantDisclosures" sheetId="43" r:id="rId1"/>
    <sheet name="IS" sheetId="1" r:id="rId2"/>
    <sheet name="MW-Cache" sheetId="16" state="veryHidden" r:id="rId3"/>
    <sheet name="BS" sheetId="4" r:id="rId4"/>
    <sheet name="CF" sheetId="8" r:id="rId5"/>
    <sheet name="Scenarios" sheetId="26" r:id="rId6"/>
    <sheet name="IndexInformation" sheetId="44" r:id="rId7"/>
    <sheet name="ModPubIndex" sheetId="45" r:id="rId8"/>
  </sheets>
  <definedNames>
    <definedName name="__FDS_HYPERLINK_TOGGLE_STATE__" hidden="1">"ON"</definedName>
    <definedName name="__FDS_UNIQUE_RANGE_ID_GENERATOR_COUNTER" hidden="1">2</definedName>
    <definedName name="__IntlFixup" hidden="1">TRUE</definedName>
    <definedName name="_1__FDSAUDITLINK__" localSheetId="5" hidden="1">{"fdsup://Directions/FactSet Auditing Viewer?action=AUDIT_VALUE&amp;DB=129&amp;ID1=24702R10&amp;VALUEID=05194&amp;SDATE=201101&amp;PERIODTYPE=QTR_STD&amp;SCFT=3&amp;window=popup_no_bar&amp;width=385&amp;height=120&amp;START_MAXIMIZED=FALSE&amp;creator=factset&amp;display_string=Audit"}</definedName>
    <definedName name="_1__FDSAUDITLINK__" hidden="1">{"fdsup://Directions/FactSet Auditing Viewer?action=AUDIT_VALUE&amp;DB=129&amp;ID1=24702R10&amp;VALUEID=05194&amp;SDATE=201101&amp;PERIODTYPE=QTR_STD&amp;SCFT=3&amp;window=popup_no_bar&amp;width=385&amp;height=120&amp;START_MAXIMIZED=FALSE&amp;creator=factset&amp;display_string=Audit"}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JIJGBEJAJW&amp;VAR:QUERY=RkZfRUJJVF9PUEVSKDM3MjU2LDM3MjU2LEFZLCwsVVNEKQ==&amp;WINDOW=FIRST_POPUP&amp;HEIGHT=450&amp;WIDTH=","450&amp;START_MAXIMIZED=FALSE&amp;VAR:CALENDAR=US&amp;VAR:SYMBOL=B109&amp;VAR:INDEX=0"}</definedName>
    <definedName name="_3__FDSAUDITLINK__" hidden="1">{"fdsup://directions/FAT Viewer?action=UPDATE&amp;creator=factset&amp;DYN_ARGS=TRUE&amp;DOC_NAME=FAT:FQL_AUDITING_CLIENT_TEMPLATE.FAT&amp;display_string=Audit&amp;VAR:KEY=JIJGBEJAJW&amp;VAR:QUERY=RkZfRUJJVF9PUEVSKDM3MjU2LDM3MjU2LEFZLCwsVVNEKQ==&amp;WINDOW=FIRST_POPUP&amp;HEIGHT=450&amp;WIDTH=","450&amp;START_MAXIMIZED=FALSE&amp;VAR:CALENDAR=US&amp;VAR:SYMBOL=B109&amp;VAR:INDEX=0"}</definedName>
    <definedName name="_4__FDSAUDITLINK__" hidden="1">{"fdsup://directions/FAT Viewer?action=UPDATE&amp;creator=factset&amp;DYN_ARGS=TRUE&amp;DOC_NAME=FAT:FQL_AUDITING_CLIENT_TEMPLATE.FAT&amp;display_string=Audit&amp;VAR:KEY=RCBGBOVKNW&amp;VAR:QUERY=RkZfRUJJVChBTk4sMzcxNjQsLFVTRCk=&amp;WINDOW=FIRST_POPUP&amp;HEIGHT=450&amp;WIDTH=450&amp;START_MAXIMI","ZED=FALSE&amp;VAR:CALENDAR=US&amp;VAR:SYMBOL=CHKP&amp;VAR:INDEX=0"}</definedName>
    <definedName name="_xlnm._FilterDatabase" localSheetId="1" hidden="1">IS!$BT$1:$BW$243</definedName>
    <definedName name="_Order1" hidden="1">255</definedName>
    <definedName name="abc"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0">ImportantDisclosures!$A$2:$A$2</definedName>
    <definedName name="ANA" localSheetId="7">ModPubIndex!$A$7</definedName>
    <definedName name="anscount" hidden="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6">IndexInformation!$B$18</definedName>
    <definedName name="BRO" localSheetId="7">ModPubIndex!$A$1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opyrightStamp">ImportantDisclosures!$A$27</definedName>
    <definedName name="COU" localSheetId="7">ModPubIndex!$A$5</definedName>
    <definedName name="CQEnd" localSheetId="6">IndexInformation!$B$31</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te" localSheetId="0">ImportantDisclosures!$A$8</definedName>
    <definedName name="def"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f"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Deleted" localSheetId="6">IndexInformation!$B$27</definedName>
    <definedName name="Description" localSheetId="6">IndexInformation!$B$7</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0">ImportantDisclosures!#REF!</definedName>
    <definedName name="DistTablePreamble" localSheetId="0">ImportantDisclosures!#REF!</definedName>
    <definedName name="DME_Dirty" hidden="1">"False"</definedName>
    <definedName name="DME_LocalFile" hidden="1">"True"</definedName>
    <definedName name="DOCDAT" localSheetId="7">ModPubIndex!$A$2</definedName>
    <definedName name="DOCTIME" localSheetId="7">ModPubIndex!$A$3</definedName>
    <definedName name="DocType" localSheetId="6">IndexInformation!$B$5</definedName>
    <definedName name="EMAIL_ALERT" localSheetId="7">ModPubIndex!$A$10</definedName>
    <definedName name="EmailAlert" localSheetId="6">IndexInformation!$B$28</definedName>
    <definedName name="EquityAdjustments">0</definedName>
    <definedName name="EquityEmployeeStockOwnershipPlan">0</definedName>
    <definedName name="EquityPaidInCapital">0</definedName>
    <definedName name="EquityTreasuryStock">0</definedName>
    <definedName name="Estimated_Average_Useful_Life">"Useful Life"</definedName>
    <definedName name="ｆ" hidden="1">"iQShowAnnual"</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HL" localSheetId="7">ModPubIndex!$A$8</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ncomeEPSFullyDiluted">0</definedName>
    <definedName name="IncomeEPSPrimary">0</definedName>
    <definedName name="IncomeEPSRegular">0</definedName>
    <definedName name="IND" localSheetId="7">ModPubIndex!$A$9</definedName>
    <definedName name="Industry" localSheetId="0">ImportantDisclosures!$A$12</definedName>
    <definedName name="IndustryId">IndexInformation!$B$40</definedName>
    <definedName name="IndustryRating" localSheetId="0">ImportantDisclosures!$A$13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SHAREOUTSTANDING" hidden="1">"c83"</definedName>
    <definedName name="IQ_AVG_TEMP_EMPLOYEES" hidden="1">"c6020"</definedName>
    <definedName name="IQ_AVG_TEV" hidden="1">"c84"</definedName>
    <definedName name="IQ_AVG_VOLUME" hidden="1">"c1346"</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"c1369"</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_THOM" hidden="1">"c5298"</definedName>
    <definedName name="IQ_EPS_EST" hidden="1">"c399"</definedName>
    <definedName name="IQ_EPS_EST_BOTTOM_UP" hidden="1">"c5489"</definedName>
    <definedName name="IQ_EPS_EST_BOTTOM_UP_THOM" hidden="1">"c5647"</definedName>
    <definedName name="IQ_EPS_EST_REUT" hidden="1">"c5453"</definedName>
    <definedName name="IQ_EPS_EST_THOM" hidden="1">"c5290"</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THOM" hidden="1">"c5132"</definedName>
    <definedName name="IQ_EST_ACT_OPER_INC" hidden="1">"c1694"</definedName>
    <definedName name="IQ_EST_ACT_OPER_INC_THOM" hidden="1">"c5118"</definedName>
    <definedName name="IQ_EST_ACT_PRETAX_INC" hidden="1">"c1701"</definedName>
    <definedName name="IQ_EST_ACT_PRETAX_INC_THOM" hidden="1">"c5125"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I_DIFF" hidden="1">"c1885"</definedName>
    <definedName name="IQ_EST_NI_DIFF_THOM" hidden="1">"c5198"</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"c1448"</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TURN_ASSETS_FDIC" hidden="1">"c6731"</definedName>
    <definedName name="IQ_PRICE_CFPS_FWD" hidden="1">"c2237"</definedName>
    <definedName name="IQ_PRICE_CFPS_FWD_THOM" hidden="1">"c4060"</definedName>
    <definedName name="IQ_PRICE_OVER_BVPS" hidden="1">"c1412"</definedName>
    <definedName name="IQ_PRICE_OVER_LTM_EPS" hidden="1">"c1413"</definedName>
    <definedName name="IQ_PRICE_TARGET" hidden="1">"c82"</definedName>
    <definedName name="IQ_PRICE_TARGET_REUT" hidden="1">"c3631"</definedName>
    <definedName name="IQ_PRICE_TARGET_THOM" hidden="1">"c3649"</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THOM" hidden="1">"c5299"</definedName>
    <definedName name="IQ_REVENUE_EST" hidden="1">"c1126"</definedName>
    <definedName name="IQ_REVENUE_EST_REUT" hidden="1">"c3634"</definedName>
    <definedName name="IQ_REVENUE_EST_THOM" hidden="1">"c3652"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39358.4284837963</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6">IndexInformation!$B$8</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IS!$B$7:$DR$87</definedName>
    <definedName name="Linking_10">BS!$B$7:$DR$68</definedName>
    <definedName name="Linking_11">CF!$B$7:$DR$51</definedName>
    <definedName name="Linking_12">CF!$B$7:$DQ$51</definedName>
    <definedName name="Linking_2">BS!$B$7:$DR$69</definedName>
    <definedName name="Linking_3">CF!$B$7:$DR$52</definedName>
    <definedName name="Linking_4">IS!$B$7:$DQ$86</definedName>
    <definedName name="Linking_5">IS!$B$8:$DR$87</definedName>
    <definedName name="Linking_6">BS!$B$7:$DR$69</definedName>
    <definedName name="Linking_7">CF!$B$7:$DR$52</definedName>
    <definedName name="Linking_8">BS!$B$7:$DQ$68</definedName>
    <definedName name="Linking_9">IS!$B$7:$DR$86</definedName>
    <definedName name="Linking_Range_19">IS!$B$6:$DR$86</definedName>
    <definedName name="Linking_Range_20">IS!$B$6:$DS$86</definedName>
    <definedName name="Linking_Range_21">IS!$B$7:$DS$109</definedName>
    <definedName name="Linking_Range_22">BS!$B$7:$DR$68</definedName>
    <definedName name="Linking_Range_23">CF!$B$7:$DR$51</definedName>
    <definedName name="Linking_Range_25">IS!$B$7:$DS$86</definedName>
    <definedName name="Linking_Range_27">IS!$A$6:$DS$87</definedName>
    <definedName name="Linking_Range_28">IS!$A$6:$DS$109</definedName>
    <definedName name="Linking_Range_29">BS!$A$6:$DR$69</definedName>
    <definedName name="Linking_Range_30">CF!$A$6:$DR$52</definedName>
    <definedName name="Linking_Range_31">IS!$B$7:$DR$86</definedName>
    <definedName name="Linking_Range_32">IS!$B$7:$DR$109</definedName>
    <definedName name="Linking_Range_33">BS!$B$7:$DR$68</definedName>
    <definedName name="Linking_Range_34">CF!$B$7:$DR$51</definedName>
    <definedName name="Linking_Range_35">IS!$A$6:$DS$86</definedName>
    <definedName name="Linking_Range_36">IS!$A$6:$DS$109</definedName>
    <definedName name="Linking_Range_37">BS!$A$6:$DR$68</definedName>
    <definedName name="Linking_Range_38">CF!$A$6:$DR$51</definedName>
    <definedName name="Linking_Range_39">IS!$B$7:$DR$86</definedName>
    <definedName name="Linking_Range_40">BS!$B$7:$DR$68</definedName>
    <definedName name="Linking_Range_41">CF!$B$7:$DR$51</definedName>
    <definedName name="Linking_Range_44">IS!$B$7:$DR$86</definedName>
    <definedName name="Linking_Range_45">BS!$B$7:$DR$68</definedName>
    <definedName name="Linking_Range_46">CF!$B$7:$DR$51</definedName>
    <definedName name="Linking_Range_49">Scenarios!$A$3:$F$38</definedName>
    <definedName name="MacroVersion" localSheetId="6">IndexInformation!$B$1</definedName>
    <definedName name="ModelPrice" localSheetId="0">ImportantDisclosures!$A$14</definedName>
    <definedName name="Multiplier" localSheetId="6">IndexInformation!$B$35</definedName>
    <definedName name="Net_Income_from_Operations">Net_Income</definedName>
    <definedName name="NextYearEPS" localSheetId="6">IndexInformation!$B$13</definedName>
    <definedName name="NextYearTotalRevenue" localSheetId="6">IndexInformation!$B$12</definedName>
    <definedName name="NextYearTotalRevenueActual" localSheetId="6">IndexInformation!$B$33</definedName>
    <definedName name="Normalized_Income_Statement">"IS_Annual"</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7">ModPubIndex!$A$11</definedName>
    <definedName name="PathName" localSheetId="6">IndexInformation!$B$25</definedName>
    <definedName name="_xlnm.Print_Area">#REF!</definedName>
    <definedName name="_xlnm.Print_Titles">#REF!</definedName>
    <definedName name="PRODUCT" localSheetId="7">ModPubIndex!$A$6</definedName>
    <definedName name="ProjectName" localSheetId="5">{"Client Name or Project Name"}</definedName>
    <definedName name="ProjectName">{"Client Name or Project Name"}</definedName>
    <definedName name="PSYM" localSheetId="7">ModPubIndex!$A$4</definedName>
    <definedName name="PublishDate" localSheetId="6">IndexInformation!$B$2</definedName>
    <definedName name="Rating" localSheetId="6">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airedName0435" hidden="1">"iQShowAnnual"</definedName>
    <definedName name="ReportGroup" hidden="1">0</definedName>
    <definedName name="ResearchTopic" localSheetId="6">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6">IndexInformation!$B$21</definedName>
    <definedName name="SECSettlement" localSheetId="0">ImportantDisclosures!#REF!</definedName>
    <definedName name="SEDOL" localSheetId="6">IndexInformation!$B$22</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lver_lin" hidden="1">0</definedName>
    <definedName name="solver_num" hidden="1">0</definedName>
    <definedName name="solver_typ" hidden="1">3</definedName>
    <definedName name="solver_val" hidden="1">49</definedName>
    <definedName name="SourceDefined" localSheetId="0">ImportantDisclosures!$A$19</definedName>
    <definedName name="SPWS_WBID">"F1754E3C-8B33-11D3-B915-000086369788"</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6">IndexInformation!$B$6</definedName>
    <definedName name="SubmitterUserId">IndexInformation!$B$39</definedName>
    <definedName name="SUPPRESSED" localSheetId="7">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6">IndexInformation!$B$19</definedName>
    <definedName name="UpdateReason" localSheetId="6">IndexInformation!$B$17</definedName>
    <definedName name="USRegDisclosures" localSheetId="0">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rn" hidden="1">{"Cover",#N/A,FALSE,"Cover";"Summary",#N/A,FALSE,"Summarpage"}</definedName>
    <definedName name="wrn.2._.pagers." localSheetId="5" hidden="1">{"Cover",#N/A,FALSE,"Cover";"Summary",#N/A,FALSE,"Summarpage"}</definedName>
    <definedName name="wrn.2._.pagers." hidden="1">{"Cover",#N/A,FALSE,"Cover";"Summary",#N/A,FALSE,"Summarpage"}</definedName>
    <definedName name="wrn.2._.pagers._1" hidden="1">{"Cover",#N/A,FALSE,"Cover";"Summary",#N/A,FALSE,"Summarpage"}</definedName>
    <definedName name="wrn.2._.pagers._2" hidden="1">{"Cover",#N/A,FALSE,"Cover";"Summary",#N/A,FALSE,"Summarpage"}</definedName>
    <definedName name="wrn.2._.pagers._3" hidden="1">{"Cover",#N/A,FALSE,"Cover";"Summary",#N/A,FALSE,"Summarpage"}</definedName>
    <definedName name="wrn.2._.pagers._4" hidden="1">{"Cover",#N/A,FALSE,"Cover";"Summary",#N/A,FALSE,"Summarpage"}</definedName>
    <definedName name="wrn.2._.pagers._5" hidden="1">{"Cover",#N/A,FALSE,"Cover";"Summary",#N/A,FALSE,"Summarpage"}</definedName>
    <definedName name="wrn.allpages." localSheetId="5" hidden="1">{#N/A,#N/A,TRUE,"Historicals";#N/A,#N/A,TRUE,"Charts";#N/A,#N/A,TRUE,"Forecasts"}</definedName>
    <definedName name="wrn.allpages." hidden="1">{#N/A,#N/A,TRUE,"Historicals";#N/A,#N/A,TRUE,"Charts";#N/A,#N/A,TRUE,"Forecasts"}</definedName>
    <definedName name="wrn.allpages._1" hidden="1">{#N/A,#N/A,TRUE,"Historicals";#N/A,#N/A,TRUE,"Charts";#N/A,#N/A,TRUE,"Forecasts"}</definedName>
    <definedName name="wrn.allpages._2" hidden="1">{#N/A,#N/A,TRUE,"Historicals";#N/A,#N/A,TRUE,"Charts";#N/A,#N/A,TRUE,"Forecasts"}</definedName>
    <definedName name="wrn.allpages._3" hidden="1">{#N/A,#N/A,TRUE,"Historicals";#N/A,#N/A,TRUE,"Charts";#N/A,#N/A,TRUE,"Forecasts"}</definedName>
    <definedName name="wrn.allpages._4" hidden="1">{#N/A,#N/A,TRUE,"Historicals";#N/A,#N/A,TRUE,"Charts";#N/A,#N/A,TRUE,"Forecasts"}</definedName>
    <definedName name="wrn.allpages._5" hidden="1">{#N/A,#N/A,TRUE,"Historicals";#N/A,#N/A,TRUE,"Charts";#N/A,#N/A,TRUE,"Forecasts"}</definedName>
    <definedName name="wrn.Complete." localSheetId="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4"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solidated._.Statements." localSheetId="5" hidden="1">{"view1",#N/A,FALSE,"EARN (US$)";"view1",#N/A,FALSE,"DASTBS (US$)";"view1",#N/A,FALSE,"DASTCF (US$)"}</definedName>
    <definedName name="wrn.Consolidated._.Statements." hidden="1">{"view1",#N/A,FALSE,"EARN (US$)";"view1",#N/A,FALSE,"DASTBS (US$)";"view1",#N/A,FALSE,"DASTCF (US$)"}</definedName>
    <definedName name="wrn.Consolidated._.Statements._1" hidden="1">{"view1",#N/A,FALSE,"EARN (US$)";"view1",#N/A,FALSE,"DASTBS (US$)";"view1",#N/A,FALSE,"DASTCF (US$)"}</definedName>
    <definedName name="wrn.Consolidated._.Statements._2" hidden="1">{"view1",#N/A,FALSE,"EARN (US$)";"view1",#N/A,FALSE,"DASTBS (US$)";"view1",#N/A,FALSE,"DASTCF (US$)"}</definedName>
    <definedName name="wrn.Consolidated._.Statements._3" hidden="1">{"view1",#N/A,FALSE,"EARN (US$)";"view1",#N/A,FALSE,"DASTBS (US$)";"view1",#N/A,FALSE,"DASTCF (US$)"}</definedName>
    <definedName name="wrn.Consolidated._.Statements._4" hidden="1">{"view1",#N/A,FALSE,"EARN (US$)";"view1",#N/A,FALSE,"DASTBS (US$)";"view1",#N/A,FALSE,"DASTCF (US$)"}</definedName>
    <definedName name="wrn.Consolidated._.Statements._5" hidden="1">{"view1",#N/A,FALSE,"EARN (US$)";"view1",#N/A,FALSE,"DASTBS (US$)";"view1",#N/A,FALSE,"DASTCF (US$)"}</definedName>
    <definedName name="wrn.Covers." localSheetId="5" hidden="1">{"view1",#N/A,FALSE,"MOTEARN";"view1",#N/A,FALSE,"Bal Sht";"view1",#N/A,FALSE,"Cash Flows"}</definedName>
    <definedName name="wrn.Covers." hidden="1">{"view1",#N/A,FALSE,"MOTEARN";"view1",#N/A,FALSE,"Bal Sht";"view1",#N/A,FALSE,"Cash Flows"}</definedName>
    <definedName name="wrn.Covers._1" hidden="1">{"view1",#N/A,FALSE,"MOTEARN";"view1",#N/A,FALSE,"Bal Sht";"view1",#N/A,FALSE,"Cash Flows"}</definedName>
    <definedName name="wrn.Covers._2" hidden="1">{"view1",#N/A,FALSE,"MOTEARN";"view1",#N/A,FALSE,"Bal Sht";"view1",#N/A,FALSE,"Cash Flows"}</definedName>
    <definedName name="wrn.Covers._3" hidden="1">{"view1",#N/A,FALSE,"MOTEARN";"view1",#N/A,FALSE,"Bal Sht";"view1",#N/A,FALSE,"Cash Flows"}</definedName>
    <definedName name="wrn.Covers._4" hidden="1">{"view1",#N/A,FALSE,"MOTEARN";"view1",#N/A,FALSE,"Bal Sht";"view1",#N/A,FALSE,"Cash Flows"}</definedName>
    <definedName name="wrn.Covers._5" hidden="1">{"view1",#N/A,FALSE,"MOTEARN";"view1",#N/A,FALSE,"Bal Sht";"view1",#N/A,FALSE,"Cash Flows"}</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Industry.xls." hidden="1">{#N/A,#N/A,FALSE,"Earnings";#N/A,#N/A,FALSE,"Overview";#N/A,#N/A,FALSE,"Summary";#N/A,#N/A,FALSE,"Summary II";#N/A,#N/A,FALSE,"R&amp;D";#N/A,#N/A,FALSE,"R&amp;D Forecast";#N/A,#N/A,FALSE,"Tax Adj";#N/A,#N/A,FALSE,"Goodwill";#N/A,#N/A,FALSE,"FX ";#N/A,#N/A,FALSE,"Consolidation";#N/A,#N/A,FALSE,"Provisions"}</definedName>
    <definedName name="wrn.Marketing._.Backup." hidden="1">{"1. Earnings Variance",#N/A,FALSE,"Earnings Variance";"2.Income Statement",#N/A,FALSE,"Income Statement";"3. Balance Sheet",#N/A,FALSE,"Balance Sheet";"4. Cash Flow",#N/A,FALSE,"Cash Flow"}</definedName>
    <definedName name="wrn.Marketing._.Handout." hidden="1">{"1. Variance",#N/A,FALSE,"Variance";"2. IS",#N/A,FALSE,"Income Statement";"3. Rev Breakdown",#N/A,FALSE,"Revenue Breakdown";"4. BS",#N/A,FALSE,"Balance Sheet";"5. CF",#N/A,FALSE,"Cash Flow"}</definedName>
    <definedName name="wrn.MOBIL." localSheetId="5" hidden="1">{"quarter",#N/A,FALSE,"MOB"}</definedName>
    <definedName name="wrn.MOBIL." hidden="1">{"quarter",#N/A,FALSE,"MOB"}</definedName>
    <definedName name="wrn.Pulp." localSheetId="5" hidden="1">{"Pulp Production",#N/A,FALSE,"Pulp";"Pulp Earnings",#N/A,FALSE,"Pulp"}</definedName>
    <definedName name="wrn.Pulp." hidden="1">{"Pulp Production",#N/A,FALSE,"Pulp";"Pulp Earnings",#N/A,FALSE,"Pulp"}</definedName>
    <definedName name="wrn.Pulp._1" hidden="1">{"Pulp Production",#N/A,FALSE,"Pulp";"Pulp Earnings",#N/A,FALSE,"Pulp"}</definedName>
    <definedName name="wrn.Pulp._2" hidden="1">{"Pulp Production",#N/A,FALSE,"Pulp";"Pulp Earnings",#N/A,FALSE,"Pulp"}</definedName>
    <definedName name="wrn.Pulp._3" hidden="1">{"Pulp Production",#N/A,FALSE,"Pulp";"Pulp Earnings",#N/A,FALSE,"Pulp"}</definedName>
    <definedName name="wrn.Pulp._4" hidden="1">{"Pulp Production",#N/A,FALSE,"Pulp";"Pulp Earnings",#N/A,FALSE,"Pulp"}</definedName>
    <definedName name="wrn.Pulp._5" hidden="1">{"Pulp Production",#N/A,FALSE,"Pulp";"Pulp Earnings",#N/A,FALSE,"Pulp"}</definedName>
    <definedName name="wrn.Segments." localSheetId="5"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gments._1" hidden="1">{"view1",#N/A,FALSE,"Consolidated";"view2",#N/A,FALSE,"Consolidated (sum)";"view1",#N/A,FALSE,"Gen Sys";"view1",#N/A,FALSE,"Semicon";"view1",#N/A,FALSE,"Mess|Med";"view1",#N/A,FALSE,"Land Mob";"view1",#N/A,FALSE,"Other Prod";"view1",#N/A,FALSE,"Adj|Elim"}</definedName>
    <definedName name="wrn.Segments._2" hidden="1">{"view1",#N/A,FALSE,"Consolidated";"view2",#N/A,FALSE,"Consolidated (sum)";"view1",#N/A,FALSE,"Gen Sys";"view1",#N/A,FALSE,"Semicon";"view1",#N/A,FALSE,"Mess|Med";"view1",#N/A,FALSE,"Land Mob";"view1",#N/A,FALSE,"Other Prod";"view1",#N/A,FALSE,"Adj|Elim"}</definedName>
    <definedName name="wrn.Segments._3" hidden="1">{"view1",#N/A,FALSE,"Consolidated";"view2",#N/A,FALSE,"Consolidated (sum)";"view1",#N/A,FALSE,"Gen Sys";"view1",#N/A,FALSE,"Semicon";"view1",#N/A,FALSE,"Mess|Med";"view1",#N/A,FALSE,"Land Mob";"view1",#N/A,FALSE,"Other Prod";"view1",#N/A,FALSE,"Adj|Elim"}</definedName>
    <definedName name="wrn.Segments._4" hidden="1">{"view1",#N/A,FALSE,"Consolidated";"view2",#N/A,FALSE,"Consolidated (sum)";"view1",#N/A,FALSE,"Gen Sys";"view1",#N/A,FALSE,"Semicon";"view1",#N/A,FALSE,"Mess|Med";"view1",#N/A,FALSE,"Land Mob";"view1",#N/A,FALSE,"Other Prod";"view1",#N/A,FALSE,"Adj|Elim"}</definedName>
    <definedName name="wrn.Segments._5" hidden="1">{"view1",#N/A,FALSE,"Consolidated";"view2",#N/A,FALSE,"Consolidated (sum)";"view1",#N/A,FALSE,"Gen Sys";"view1",#N/A,FALSE,"Semicon";"view1",#N/A,FALSE,"Mess|Med";"view1",#N/A,FALSE,"Land Mob";"view1",#N/A,FALSE,"Other Prod";"view1",#N/A,FALSE,"Adj|Elim"}</definedName>
    <definedName name="wrn.Tables." localSheetId="5" hidden="1">{"view1",#N/A,FALSE,"Tables";"view2",#N/A,FALSE,"Tables";"view3",#N/A,FALSE,"Tables"}</definedName>
    <definedName name="wrn.Tables." hidden="1">{"view1",#N/A,FALSE,"Tables";"view2",#N/A,FALSE,"Tables";"view3",#N/A,FALSE,"Tables"}</definedName>
    <definedName name="wrn.Tables._1" hidden="1">{"view1",#N/A,FALSE,"Tables";"view2",#N/A,FALSE,"Tables";"view3",#N/A,FALSE,"Tables"}</definedName>
    <definedName name="wrn.Tables._2" hidden="1">{"view1",#N/A,FALSE,"Tables";"view2",#N/A,FALSE,"Tables";"view3",#N/A,FALSE,"Tables"}</definedName>
    <definedName name="wrn.Tables._3" hidden="1">{"view1",#N/A,FALSE,"Tables";"view2",#N/A,FALSE,"Tables";"view3",#N/A,FALSE,"Tables"}</definedName>
    <definedName name="wrn.Tables._4" hidden="1">{"view1",#N/A,FALSE,"Tables";"view2",#N/A,FALSE,"Tables";"view3",#N/A,FALSE,"Tables"}</definedName>
    <definedName name="wrn.Tables._5" hidden="1">{"view1",#N/A,FALSE,"Tables";"view2",#N/A,FALSE,"Tables";"view3",#N/A,FALSE,"Tables"}</definedName>
  </definedNames>
  <calcPr calcId="145621"/>
</workbook>
</file>

<file path=xl/calcChain.xml><?xml version="1.0" encoding="utf-8"?>
<calcChain xmlns="http://schemas.openxmlformats.org/spreadsheetml/2006/main">
  <c r="DN161" i="4" l="1"/>
  <c r="DO161" i="4" s="1"/>
  <c r="DC38" i="4"/>
  <c r="DE38" i="4" s="1"/>
  <c r="DC39" i="4"/>
  <c r="DE39" i="4" s="1"/>
  <c r="DC16" i="4"/>
  <c r="DC22" i="8" l="1"/>
  <c r="DC54" i="4" l="1"/>
  <c r="DD54" i="4" s="1"/>
  <c r="DE54" i="4" s="1"/>
  <c r="DF54" i="4" s="1"/>
  <c r="DH54" i="4" s="1"/>
  <c r="DI54" i="4" l="1"/>
  <c r="DJ54" i="4" s="1"/>
  <c r="DK54" i="4" s="1"/>
  <c r="DM54" i="4" s="1"/>
  <c r="DN54" i="4" s="1"/>
  <c r="DO54" i="4" s="1"/>
  <c r="DP54" i="4" s="1"/>
  <c r="DQ54" i="4" s="1"/>
  <c r="DI161" i="4"/>
  <c r="DJ161" i="4" s="1"/>
  <c r="DK161" i="4" s="1"/>
  <c r="DP161" i="4" s="1"/>
  <c r="CZ215" i="1" l="1"/>
  <c r="DD107" i="1"/>
  <c r="DE107" i="1" s="1"/>
  <c r="DF107" i="1" s="1"/>
  <c r="DH107" i="1" s="1"/>
  <c r="DI107" i="1" s="1"/>
  <c r="DJ107" i="1" s="1"/>
  <c r="DK107" i="1" s="1"/>
  <c r="DM107" i="1" s="1"/>
  <c r="DN107" i="1" s="1"/>
  <c r="DO107" i="1" s="1"/>
  <c r="DP107" i="1" s="1"/>
  <c r="DC105" i="1"/>
  <c r="DD105" i="1" s="1"/>
  <c r="DA93" i="1"/>
  <c r="DE105" i="1" l="1"/>
  <c r="DF105" i="1" s="1"/>
  <c r="DH105" i="1" s="1"/>
  <c r="DI105" i="1" s="1"/>
  <c r="DJ105" i="1" s="1"/>
  <c r="DK105" i="1" s="1"/>
  <c r="CQ162" i="4"/>
  <c r="CP162" i="4"/>
  <c r="CP161" i="4" s="1"/>
  <c r="CO162" i="4"/>
  <c r="CO161" i="4" s="1"/>
  <c r="CN162" i="4"/>
  <c r="CQ161" i="4"/>
  <c r="CV162" i="4"/>
  <c r="CU162" i="4"/>
  <c r="CU161" i="4" s="1"/>
  <c r="CT162" i="4"/>
  <c r="CT161" i="4" s="1"/>
  <c r="CS162" i="4"/>
  <c r="CV161" i="4"/>
  <c r="DA162" i="4"/>
  <c r="DA161" i="4" s="1"/>
  <c r="CZ162" i="4"/>
  <c r="CZ161" i="4" s="1"/>
  <c r="CY162" i="4"/>
  <c r="CY161" i="4" s="1"/>
  <c r="CX162" i="4"/>
  <c r="DG105" i="1" l="1"/>
  <c r="DA158" i="4"/>
  <c r="DA159" i="4"/>
  <c r="DA154" i="4"/>
  <c r="DA143" i="4"/>
  <c r="DA129" i="4"/>
  <c r="DA98" i="4"/>
  <c r="DA195" i="1"/>
  <c r="DA62" i="1"/>
  <c r="DA12" i="8"/>
  <c r="CZ12" i="8"/>
  <c r="CX12" i="8"/>
  <c r="CY12" i="8" s="1"/>
  <c r="DA45" i="8"/>
  <c r="DA38" i="8"/>
  <c r="DA40" i="8"/>
  <c r="DA101" i="1" s="1"/>
  <c r="DA41" i="8"/>
  <c r="DA42" i="8"/>
  <c r="DA32" i="8"/>
  <c r="DA28" i="8"/>
  <c r="DA88" i="4" s="1"/>
  <c r="DA63" i="8"/>
  <c r="DA61" i="8"/>
  <c r="DA60" i="8"/>
  <c r="DB29" i="4"/>
  <c r="DB11" i="4"/>
  <c r="DC162" i="4" s="1"/>
  <c r="DC60" i="1" s="1"/>
  <c r="DA54" i="4"/>
  <c r="DA136" i="1"/>
  <c r="DA144" i="1" s="1"/>
  <c r="DA140" i="1" s="1"/>
  <c r="DA157" i="1" s="1"/>
  <c r="CZ136" i="1"/>
  <c r="DA128" i="1"/>
  <c r="DA130" i="1"/>
  <c r="DA131" i="1"/>
  <c r="DA132" i="1"/>
  <c r="DA113" i="1"/>
  <c r="DA129" i="1" s="1"/>
  <c r="DA85" i="1"/>
  <c r="DA11" i="1"/>
  <c r="DA14" i="1"/>
  <c r="DA17" i="1"/>
  <c r="DA20" i="1"/>
  <c r="DA71" i="1"/>
  <c r="CZ71" i="1"/>
  <c r="CV153" i="1"/>
  <c r="CU153" i="1"/>
  <c r="DA153" i="1"/>
  <c r="CZ153" i="1"/>
  <c r="CY153" i="1"/>
  <c r="CT153" i="1"/>
  <c r="DA117" i="1" l="1"/>
  <c r="DA121" i="1" s="1"/>
  <c r="DA70" i="1"/>
  <c r="DA64" i="1"/>
  <c r="CZ64" i="1"/>
  <c r="DA123" i="1" l="1"/>
  <c r="DA120" i="1"/>
  <c r="DA124" i="1"/>
  <c r="DA122" i="1"/>
  <c r="DA125" i="1" l="1"/>
  <c r="J33" i="26" l="1"/>
  <c r="DP158" i="4" l="1"/>
  <c r="DO158" i="4"/>
  <c r="DN158" i="4"/>
  <c r="DM158" i="4"/>
  <c r="DQ157" i="4"/>
  <c r="DQ153" i="4"/>
  <c r="DQ152" i="4"/>
  <c r="DQ122" i="4"/>
  <c r="DQ101" i="1"/>
  <c r="DQ96" i="1"/>
  <c r="DQ92" i="1"/>
  <c r="DN85" i="1"/>
  <c r="DO85" i="1" s="1"/>
  <c r="DP85" i="1" s="1"/>
  <c r="DQ70" i="1"/>
  <c r="DP56" i="1"/>
  <c r="DO56" i="1"/>
  <c r="DN56" i="1"/>
  <c r="DM56" i="1"/>
  <c r="DQ51" i="1"/>
  <c r="DQ50" i="1"/>
  <c r="DQ49" i="1"/>
  <c r="DM91" i="8"/>
  <c r="DN91" i="8" s="1"/>
  <c r="DO91" i="8" s="1"/>
  <c r="DP91" i="8" s="1"/>
  <c r="DM87" i="8"/>
  <c r="DN87" i="8" s="1"/>
  <c r="DO87" i="8" s="1"/>
  <c r="DP87" i="8" s="1"/>
  <c r="DM85" i="8"/>
  <c r="DN85" i="8" s="1"/>
  <c r="DO85" i="8" s="1"/>
  <c r="DP85" i="8" s="1"/>
  <c r="DQ81" i="8"/>
  <c r="DQ73" i="8"/>
  <c r="DM64" i="8"/>
  <c r="DN64" i="8" s="1"/>
  <c r="DO64" i="8" s="1"/>
  <c r="DP64" i="8" s="1"/>
  <c r="DM63" i="8"/>
  <c r="DN63" i="8" s="1"/>
  <c r="DO63" i="8" s="1"/>
  <c r="DP63" i="8" s="1"/>
  <c r="DM61" i="8"/>
  <c r="DN61" i="8" s="1"/>
  <c r="DO61" i="8" s="1"/>
  <c r="DP61" i="8" s="1"/>
  <c r="DM60" i="8"/>
  <c r="DN60" i="8" s="1"/>
  <c r="DO60" i="8" s="1"/>
  <c r="DP60" i="8" s="1"/>
  <c r="DQ45" i="8"/>
  <c r="DQ91" i="8" s="1"/>
  <c r="DQ41" i="8"/>
  <c r="DQ87" i="8" s="1"/>
  <c r="DP40" i="8"/>
  <c r="DO40" i="8"/>
  <c r="DN40" i="8"/>
  <c r="DM40" i="8"/>
  <c r="DM86" i="8" s="1"/>
  <c r="DN86" i="8" s="1"/>
  <c r="DO86" i="8" s="1"/>
  <c r="DQ39" i="8"/>
  <c r="DQ85" i="8" s="1"/>
  <c r="DP37" i="8"/>
  <c r="DO37" i="8"/>
  <c r="DN37" i="8"/>
  <c r="DM37" i="8"/>
  <c r="DM83" i="8" s="1"/>
  <c r="DP32" i="8"/>
  <c r="DO32" i="8"/>
  <c r="DN32" i="8"/>
  <c r="DM32" i="8"/>
  <c r="DM78" i="8" s="1"/>
  <c r="DQ18" i="8"/>
  <c r="DQ64" i="8" s="1"/>
  <c r="DQ17" i="8"/>
  <c r="DQ63" i="8" s="1"/>
  <c r="DQ15" i="8"/>
  <c r="DQ61" i="8" s="1"/>
  <c r="DQ14" i="8"/>
  <c r="DQ60" i="8" s="1"/>
  <c r="DP86" i="8" l="1"/>
  <c r="DQ56" i="1"/>
  <c r="DQ158" i="4"/>
  <c r="DN78" i="8"/>
  <c r="DO78" i="8" s="1"/>
  <c r="DP78" i="8" s="1"/>
  <c r="DN83" i="8"/>
  <c r="DO83" i="8" s="1"/>
  <c r="DP83" i="8" s="1"/>
  <c r="DQ40" i="8"/>
  <c r="DQ37" i="8"/>
  <c r="DQ83" i="8" s="1"/>
  <c r="DQ32" i="8"/>
  <c r="DQ78" i="8" s="1"/>
  <c r="DQ86" i="8" l="1"/>
  <c r="DQ107" i="1" l="1"/>
  <c r="CZ20" i="4"/>
  <c r="CY20" i="4"/>
  <c r="CZ45" i="8"/>
  <c r="CZ42" i="8"/>
  <c r="CZ40" i="8"/>
  <c r="CZ38" i="8"/>
  <c r="CZ32" i="8"/>
  <c r="CZ29" i="8"/>
  <c r="CZ28" i="8"/>
  <c r="CZ23" i="8"/>
  <c r="CZ22" i="8"/>
  <c r="CZ21" i="8"/>
  <c r="CZ20" i="8"/>
  <c r="CZ19" i="8"/>
  <c r="CZ18" i="8"/>
  <c r="CZ17" i="8"/>
  <c r="CZ16" i="8"/>
  <c r="CZ15" i="8"/>
  <c r="CZ14" i="8"/>
  <c r="CZ13" i="8"/>
  <c r="CZ94" i="4" s="1"/>
  <c r="CZ77" i="8"/>
  <c r="CZ76" i="8"/>
  <c r="CZ70" i="8"/>
  <c r="CZ195" i="1" l="1"/>
  <c r="CZ102" i="1" l="1"/>
  <c r="CY64" i="1"/>
  <c r="CZ154" i="4" l="1"/>
  <c r="CZ88" i="4"/>
  <c r="CZ129" i="4"/>
  <c r="CY129" i="4"/>
  <c r="CZ98" i="4"/>
  <c r="CZ101" i="1"/>
  <c r="CZ103" i="1" s="1"/>
  <c r="CZ93" i="1"/>
  <c r="DA89" i="1" s="1"/>
  <c r="CZ220" i="1"/>
  <c r="CY220" i="1"/>
  <c r="CY136" i="1"/>
  <c r="CY144" i="1" s="1"/>
  <c r="CY140" i="1" s="1"/>
  <c r="CY157" i="1" s="1"/>
  <c r="CV137" i="1"/>
  <c r="CV145" i="1" s="1"/>
  <c r="AS148" i="1"/>
  <c r="AR148" i="1"/>
  <c r="AQ148" i="1"/>
  <c r="AN148" i="1"/>
  <c r="AM148" i="1"/>
  <c r="AL148" i="1"/>
  <c r="AI148" i="1"/>
  <c r="AH148" i="1"/>
  <c r="AG148" i="1"/>
  <c r="AD148" i="1"/>
  <c r="AC148" i="1"/>
  <c r="AB148" i="1"/>
  <c r="Y148" i="1"/>
  <c r="X148" i="1"/>
  <c r="W148" i="1"/>
  <c r="T148" i="1"/>
  <c r="S148" i="1"/>
  <c r="R148" i="1"/>
  <c r="O148" i="1"/>
  <c r="N148" i="1"/>
  <c r="M148" i="1"/>
  <c r="J148" i="1"/>
  <c r="I148" i="1"/>
  <c r="H148" i="1"/>
  <c r="G148" i="1"/>
  <c r="AV148" i="1"/>
  <c r="AW148" i="1"/>
  <c r="AX148" i="1"/>
  <c r="BA148" i="1"/>
  <c r="BB148" i="1"/>
  <c r="BC148" i="1"/>
  <c r="BF148" i="1"/>
  <c r="BG148" i="1"/>
  <c r="BH148" i="1"/>
  <c r="BK148" i="1"/>
  <c r="BL148" i="1"/>
  <c r="BM148" i="1"/>
  <c r="DK158" i="4"/>
  <c r="DJ158" i="4"/>
  <c r="DI158" i="4"/>
  <c r="DH158" i="4"/>
  <c r="DF158" i="4"/>
  <c r="DE158" i="4"/>
  <c r="DD158" i="4"/>
  <c r="DC158" i="4"/>
  <c r="CZ158" i="4"/>
  <c r="CY158" i="4"/>
  <c r="CX158" i="4"/>
  <c r="CV158" i="4"/>
  <c r="CU158" i="4"/>
  <c r="CT158" i="4"/>
  <c r="CS158" i="4"/>
  <c r="CZ159" i="4"/>
  <c r="CY159" i="4"/>
  <c r="CX159" i="4"/>
  <c r="CT159" i="4"/>
  <c r="CU159" i="4"/>
  <c r="CV159" i="4"/>
  <c r="CS159" i="4"/>
  <c r="CZ143" i="4"/>
  <c r="CZ54" i="4"/>
  <c r="CZ62" i="1"/>
  <c r="CZ85" i="1"/>
  <c r="CU70" i="1"/>
  <c r="CU71" i="1" s="1"/>
  <c r="CZ70" i="1"/>
  <c r="CZ56" i="1"/>
  <c r="CY56" i="1"/>
  <c r="CZ55" i="1"/>
  <c r="CY55" i="1"/>
  <c r="CZ37" i="1"/>
  <c r="CZ26" i="1"/>
  <c r="CY26" i="1"/>
  <c r="DA151" i="4" l="1"/>
  <c r="DA153" i="4" s="1"/>
  <c r="DA157" i="4"/>
  <c r="CZ144" i="1"/>
  <c r="CZ140" i="1" s="1"/>
  <c r="CZ157" i="1" s="1"/>
  <c r="CW159" i="4"/>
  <c r="CZ132" i="1"/>
  <c r="CZ131" i="1"/>
  <c r="CZ130" i="1"/>
  <c r="CZ129" i="1"/>
  <c r="CZ128" i="1"/>
  <c r="CZ117" i="1"/>
  <c r="CZ22" i="1"/>
  <c r="CZ32" i="1" s="1"/>
  <c r="CZ53" i="1" s="1"/>
  <c r="CZ66" i="1" s="1"/>
  <c r="CZ75" i="1" s="1"/>
  <c r="CZ21" i="1"/>
  <c r="CZ20" i="1"/>
  <c r="CZ18" i="1"/>
  <c r="CZ17" i="1"/>
  <c r="CZ15" i="1"/>
  <c r="CZ14" i="1"/>
  <c r="CZ12" i="1"/>
  <c r="CZ11" i="1"/>
  <c r="CZ185" i="1" l="1"/>
  <c r="CZ218" i="1" s="1"/>
  <c r="DA218" i="1" s="1"/>
  <c r="CZ183" i="1"/>
  <c r="CZ120" i="1"/>
  <c r="CZ124" i="1"/>
  <c r="CZ63" i="1"/>
  <c r="CZ121" i="1"/>
  <c r="CZ123" i="1"/>
  <c r="CZ106" i="4"/>
  <c r="CZ141" i="4"/>
  <c r="DE141" i="4" s="1"/>
  <c r="DJ141" i="4" s="1"/>
  <c r="DO141" i="4" s="1"/>
  <c r="CZ142" i="4"/>
  <c r="CZ40" i="1"/>
  <c r="CZ34" i="1"/>
  <c r="CZ35" i="1" s="1"/>
  <c r="CZ145" i="4"/>
  <c r="DE145" i="4" s="1"/>
  <c r="CZ44" i="1"/>
  <c r="CZ29" i="1"/>
  <c r="CZ122" i="1"/>
  <c r="CZ38" i="1"/>
  <c r="CZ230" i="1" l="1"/>
  <c r="CZ140" i="4"/>
  <c r="CZ125" i="1"/>
  <c r="DB251" i="1"/>
  <c r="CV64" i="1"/>
  <c r="CY37" i="1"/>
  <c r="CQ22" i="1"/>
  <c r="CP22" i="1"/>
  <c r="CS22" i="1"/>
  <c r="CO22" i="1"/>
  <c r="CN22" i="1"/>
  <c r="CK22" i="1"/>
  <c r="CJ22" i="1"/>
  <c r="CI22" i="1"/>
  <c r="CG22" i="1"/>
  <c r="CF22" i="1"/>
  <c r="CE22" i="1"/>
  <c r="CD22" i="1"/>
  <c r="CB22" i="1"/>
  <c r="CA22" i="1"/>
  <c r="BZ22" i="1"/>
  <c r="BY22" i="1"/>
  <c r="BW22" i="1"/>
  <c r="BV22" i="1"/>
  <c r="BU22" i="1"/>
  <c r="BT22" i="1"/>
  <c r="BR22" i="1"/>
  <c r="BQ22" i="1"/>
  <c r="BP22" i="1"/>
  <c r="BO22" i="1"/>
  <c r="BM22" i="1"/>
  <c r="BL22" i="1"/>
  <c r="BK22" i="1"/>
  <c r="BJ22" i="1"/>
  <c r="BH22" i="1"/>
  <c r="BG22" i="1"/>
  <c r="BF22" i="1"/>
  <c r="BE22" i="1"/>
  <c r="BC22" i="1"/>
  <c r="BB22" i="1"/>
  <c r="BA22" i="1"/>
  <c r="AZ22" i="1"/>
  <c r="AX22" i="1"/>
  <c r="AW22" i="1"/>
  <c r="AV22" i="1"/>
  <c r="AU22" i="1"/>
  <c r="AS22" i="1"/>
  <c r="AR22" i="1"/>
  <c r="AQ22" i="1"/>
  <c r="AP22" i="1"/>
  <c r="AL22" i="1"/>
  <c r="AM22" i="1"/>
  <c r="AN22" i="1"/>
  <c r="AK22" i="1"/>
  <c r="AJ22" i="1"/>
  <c r="AI24" i="1"/>
  <c r="AH24" i="1"/>
  <c r="AG24" i="1"/>
  <c r="AF24" i="1"/>
  <c r="AD23" i="1"/>
  <c r="AC23" i="1"/>
  <c r="AB23" i="1"/>
  <c r="AA23" i="1"/>
  <c r="AD24" i="1"/>
  <c r="AC24" i="1"/>
  <c r="AB24" i="1"/>
  <c r="AA24" i="1"/>
  <c r="Y24" i="1"/>
  <c r="X24" i="1"/>
  <c r="W24" i="1"/>
  <c r="V24" i="1"/>
  <c r="T24" i="1"/>
  <c r="S24" i="1"/>
  <c r="R24" i="1"/>
  <c r="Q24" i="1"/>
  <c r="O24" i="1"/>
  <c r="N24" i="1"/>
  <c r="M24" i="1"/>
  <c r="L24" i="1"/>
  <c r="AR23" i="1"/>
  <c r="AI23" i="1"/>
  <c r="AH23" i="1"/>
  <c r="AG23" i="1"/>
  <c r="AF23" i="1"/>
  <c r="Y23" i="1"/>
  <c r="X23" i="1"/>
  <c r="W23" i="1"/>
  <c r="V23" i="1"/>
  <c r="T23" i="1"/>
  <c r="S23" i="1"/>
  <c r="R23" i="1"/>
  <c r="Q23" i="1"/>
  <c r="O23" i="1"/>
  <c r="N23" i="1"/>
  <c r="M23" i="1"/>
  <c r="L23" i="1"/>
  <c r="AE22" i="1"/>
  <c r="Z22" i="1"/>
  <c r="U22" i="1"/>
  <c r="P22" i="1"/>
  <c r="K22" i="1"/>
  <c r="DA230" i="1" l="1"/>
  <c r="AN23" i="1"/>
  <c r="BK23" i="1"/>
  <c r="BZ23" i="1"/>
  <c r="CE23" i="1"/>
  <c r="BB23" i="1"/>
  <c r="CA23" i="1"/>
  <c r="CP23" i="1"/>
  <c r="CG23" i="1"/>
  <c r="CF23" i="1"/>
  <c r="BM24" i="1"/>
  <c r="BY23" i="1"/>
  <c r="AX24" i="1"/>
  <c r="AQ23" i="1"/>
  <c r="BO24" i="1"/>
  <c r="BR24" i="1"/>
  <c r="BW24" i="1"/>
  <c r="CS23" i="1"/>
  <c r="BK24" i="1"/>
  <c r="Z23" i="1"/>
  <c r="BB24" i="1"/>
  <c r="CG24" i="1"/>
  <c r="BW23" i="1"/>
  <c r="BY24" i="1"/>
  <c r="BH23" i="1"/>
  <c r="AJ23" i="1"/>
  <c r="AX23" i="1"/>
  <c r="AL23" i="1"/>
  <c r="BJ23" i="1"/>
  <c r="CN23" i="1"/>
  <c r="BM23" i="1"/>
  <c r="BG23" i="1"/>
  <c r="BQ24" i="1"/>
  <c r="CF24" i="1"/>
  <c r="BR23" i="1"/>
  <c r="BL23" i="1"/>
  <c r="AS24" i="1"/>
  <c r="BC24" i="1"/>
  <c r="P23" i="1"/>
  <c r="BQ23" i="1"/>
  <c r="CB24" i="1"/>
  <c r="AL24" i="1"/>
  <c r="AU24" i="1"/>
  <c r="CD24" i="1"/>
  <c r="CI24" i="1"/>
  <c r="CP24" i="1"/>
  <c r="AP23" i="1"/>
  <c r="AZ23" i="1"/>
  <c r="BE23" i="1"/>
  <c r="BO23" i="1"/>
  <c r="BT23" i="1"/>
  <c r="U23" i="1"/>
  <c r="BC23" i="1"/>
  <c r="CA24" i="1"/>
  <c r="CK24" i="1"/>
  <c r="AN24" i="1"/>
  <c r="AR24" i="1"/>
  <c r="AW24" i="1"/>
  <c r="BL24" i="1"/>
  <c r="BJ24" i="1"/>
  <c r="CD23" i="1"/>
  <c r="AZ24" i="1"/>
  <c r="CQ24" i="1"/>
  <c r="AK23" i="1"/>
  <c r="BE24" i="1"/>
  <c r="CS24" i="1"/>
  <c r="BT24" i="1"/>
  <c r="AE23" i="1"/>
  <c r="AU23" i="1"/>
  <c r="AK24" i="1"/>
  <c r="AP24" i="1"/>
  <c r="BA24" i="1"/>
  <c r="BP24" i="1"/>
  <c r="CE24" i="1"/>
  <c r="CO24" i="1"/>
  <c r="CI23" i="1"/>
  <c r="AO22" i="1"/>
  <c r="AO23" i="1" s="1"/>
  <c r="BG24" i="1"/>
  <c r="CO23" i="1"/>
  <c r="CJ24" i="1"/>
  <c r="CK23" i="1"/>
  <c r="CJ23" i="1"/>
  <c r="CB23" i="1"/>
  <c r="BZ24" i="1"/>
  <c r="BV24" i="1"/>
  <c r="BV23" i="1"/>
  <c r="BU24" i="1"/>
  <c r="BP23" i="1"/>
  <c r="BU23" i="1"/>
  <c r="BF24" i="1"/>
  <c r="BH24" i="1"/>
  <c r="BF23" i="1"/>
  <c r="BA23" i="1"/>
  <c r="AW23" i="1"/>
  <c r="AV24" i="1"/>
  <c r="AV23" i="1"/>
  <c r="AQ24" i="1"/>
  <c r="AM23" i="1"/>
  <c r="AM24" i="1"/>
  <c r="AS23" i="1"/>
  <c r="DA250" i="1" l="1"/>
  <c r="DA249" i="1"/>
  <c r="DA248" i="1"/>
  <c r="DA245" i="1"/>
  <c r="CX20" i="4"/>
  <c r="CX91" i="4" s="1"/>
  <c r="CY207" i="4"/>
  <c r="CY185" i="4"/>
  <c r="CY192" i="4" s="1"/>
  <c r="CY143" i="4"/>
  <c r="CX143" i="4"/>
  <c r="CX169" i="4" s="1"/>
  <c r="CY77" i="4"/>
  <c r="CY76" i="4"/>
  <c r="CY132" i="1"/>
  <c r="CY131" i="1"/>
  <c r="CY130" i="1"/>
  <c r="CY128" i="1"/>
  <c r="CY93" i="1"/>
  <c r="CZ89" i="1" s="1"/>
  <c r="CY70" i="1"/>
  <c r="CY71" i="1" s="1"/>
  <c r="CY154" i="4"/>
  <c r="CY131" i="4"/>
  <c r="CZ131" i="4" s="1"/>
  <c r="DA131" i="4" s="1"/>
  <c r="DC131" i="4" s="1"/>
  <c r="DD131" i="4" s="1"/>
  <c r="DE131" i="4" s="1"/>
  <c r="DF131" i="4" s="1"/>
  <c r="DH131" i="4" s="1"/>
  <c r="DI131" i="4" s="1"/>
  <c r="DJ131" i="4" s="1"/>
  <c r="DK131" i="4" s="1"/>
  <c r="DM131" i="4" s="1"/>
  <c r="DN131" i="4" s="1"/>
  <c r="DO131" i="4" s="1"/>
  <c r="DP131" i="4" s="1"/>
  <c r="CY98" i="4"/>
  <c r="CY87" i="8"/>
  <c r="CZ41" i="8" s="1"/>
  <c r="CY77" i="8"/>
  <c r="CZ31" i="8" s="1"/>
  <c r="CY76" i="8"/>
  <c r="CZ30" i="8" s="1"/>
  <c r="CY70" i="8"/>
  <c r="DI85" i="1"/>
  <c r="DJ85" i="1" s="1"/>
  <c r="DK85" i="1" s="1"/>
  <c r="DD85" i="1"/>
  <c r="DE85" i="1" s="1"/>
  <c r="DF85" i="1" s="1"/>
  <c r="CY195" i="1"/>
  <c r="CY113" i="1"/>
  <c r="CY117" i="1" s="1"/>
  <c r="CY121" i="1" s="1"/>
  <c r="CY102" i="1"/>
  <c r="CY54" i="4"/>
  <c r="CY208" i="4" s="1"/>
  <c r="CY85" i="1"/>
  <c r="CY20" i="1"/>
  <c r="CY17" i="1"/>
  <c r="CY14" i="1"/>
  <c r="CY11" i="1"/>
  <c r="CV22" i="1"/>
  <c r="CU22" i="1"/>
  <c r="CT22" i="1"/>
  <c r="CS34" i="1"/>
  <c r="CS35" i="1" s="1"/>
  <c r="CX22" i="1"/>
  <c r="CX70" i="8"/>
  <c r="CX24" i="8" s="1"/>
  <c r="CY24" i="8" s="1"/>
  <c r="CX55" i="1"/>
  <c r="CX207" i="4"/>
  <c r="CX185" i="4"/>
  <c r="CX154" i="4"/>
  <c r="CX183" i="4" s="1"/>
  <c r="CX129" i="4"/>
  <c r="CX98" i="4"/>
  <c r="CX18" i="8"/>
  <c r="CY18" i="8" s="1"/>
  <c r="CX48" i="8"/>
  <c r="CY48" i="8" s="1"/>
  <c r="CZ48" i="8" s="1"/>
  <c r="CX45" i="8"/>
  <c r="CY45" i="8" s="1"/>
  <c r="DB45" i="8" s="1"/>
  <c r="DB91" i="8" s="1"/>
  <c r="CX42" i="8"/>
  <c r="CY42" i="8" s="1"/>
  <c r="CX40" i="8"/>
  <c r="CX101" i="1" s="1"/>
  <c r="CX39" i="8"/>
  <c r="CY39" i="8" s="1"/>
  <c r="CX38" i="8"/>
  <c r="CY38" i="8" s="1"/>
  <c r="CX36" i="8"/>
  <c r="CY36" i="8" s="1"/>
  <c r="CX32" i="8"/>
  <c r="CY32" i="8" s="1"/>
  <c r="DB32" i="8" s="1"/>
  <c r="DB78" i="8" s="1"/>
  <c r="CX31" i="8"/>
  <c r="CX30" i="8"/>
  <c r="CY30" i="8" s="1"/>
  <c r="CX29" i="8"/>
  <c r="CX89" i="4" s="1"/>
  <c r="CX28" i="8"/>
  <c r="CX88" i="4" s="1"/>
  <c r="CX23" i="8"/>
  <c r="CY23" i="8" s="1"/>
  <c r="CX17" i="8"/>
  <c r="CY17" i="8" s="1"/>
  <c r="DB17" i="8" s="1"/>
  <c r="DB63" i="8" s="1"/>
  <c r="CX16" i="8"/>
  <c r="CY16" i="8" s="1"/>
  <c r="CX15" i="8"/>
  <c r="CX14" i="8"/>
  <c r="CY14" i="8" s="1"/>
  <c r="CX13" i="8"/>
  <c r="CX22" i="8"/>
  <c r="CY22" i="8" s="1"/>
  <c r="CX21" i="8"/>
  <c r="CX79" i="8"/>
  <c r="CX77" i="4"/>
  <c r="CX76" i="4"/>
  <c r="CX65" i="4"/>
  <c r="CY74" i="4" s="1"/>
  <c r="CX54" i="4"/>
  <c r="CX208" i="4" s="1"/>
  <c r="CX49" i="4"/>
  <c r="CX40" i="4"/>
  <c r="CX17" i="4"/>
  <c r="CX132" i="1"/>
  <c r="CX131" i="1"/>
  <c r="CX130" i="1"/>
  <c r="CX128" i="1"/>
  <c r="CX113" i="1"/>
  <c r="CX87" i="8"/>
  <c r="CX41" i="8" s="1"/>
  <c r="CX93" i="1"/>
  <c r="CY89" i="1" s="1"/>
  <c r="DL70" i="1"/>
  <c r="DL51" i="1"/>
  <c r="DL50" i="1"/>
  <c r="DL49" i="1"/>
  <c r="DB51" i="1"/>
  <c r="DB49" i="1"/>
  <c r="DK56" i="1"/>
  <c r="DJ56" i="1"/>
  <c r="DI56" i="1"/>
  <c r="DH56" i="1"/>
  <c r="DF56" i="1"/>
  <c r="DE56" i="1"/>
  <c r="DD56" i="1"/>
  <c r="DC56" i="1"/>
  <c r="DG51" i="1"/>
  <c r="DG50" i="1"/>
  <c r="DG49" i="1"/>
  <c r="DC10" i="1"/>
  <c r="DH10" i="1" s="1"/>
  <c r="DM10" i="1" s="1"/>
  <c r="CU62" i="1"/>
  <c r="CT62" i="1"/>
  <c r="CS70" i="1"/>
  <c r="CN70" i="1"/>
  <c r="CX70" i="1"/>
  <c r="CW61" i="1"/>
  <c r="CR61" i="1"/>
  <c r="CQ60" i="1"/>
  <c r="CP60" i="1"/>
  <c r="CO60" i="1"/>
  <c r="CO64" i="1" s="1"/>
  <c r="CU60" i="1"/>
  <c r="CT60" i="1"/>
  <c r="CS60" i="1"/>
  <c r="CQ56" i="1"/>
  <c r="CP56" i="1"/>
  <c r="CO56" i="1"/>
  <c r="CN56" i="1"/>
  <c r="CR41" i="1"/>
  <c r="CW41" i="1"/>
  <c r="CU56" i="1"/>
  <c r="CT56" i="1"/>
  <c r="CS56" i="1"/>
  <c r="CW50" i="1"/>
  <c r="CR50" i="1"/>
  <c r="CP37" i="1"/>
  <c r="CO37" i="1"/>
  <c r="CN37" i="1"/>
  <c r="CN40" i="1" s="1"/>
  <c r="CU37" i="1"/>
  <c r="CT37" i="1"/>
  <c r="CS37" i="1"/>
  <c r="CQ26" i="1"/>
  <c r="CQ27" i="1" s="1"/>
  <c r="CP26" i="1"/>
  <c r="CP27" i="1" s="1"/>
  <c r="CO26" i="1"/>
  <c r="CN26" i="1"/>
  <c r="CN32" i="1" s="1"/>
  <c r="CU26" i="1"/>
  <c r="CT26" i="1"/>
  <c r="CS26" i="1"/>
  <c r="CS27" i="1" s="1"/>
  <c r="K21" i="4"/>
  <c r="P21" i="4"/>
  <c r="U21" i="4"/>
  <c r="Z21" i="4"/>
  <c r="AE21" i="4"/>
  <c r="AJ21" i="4"/>
  <c r="AO21" i="4"/>
  <c r="AT21" i="4"/>
  <c r="AY21" i="4"/>
  <c r="BD21" i="4"/>
  <c r="BI21" i="4"/>
  <c r="BN21" i="4"/>
  <c r="BS21" i="4"/>
  <c r="BX21" i="4"/>
  <c r="CC21" i="4"/>
  <c r="CH21" i="4"/>
  <c r="CM21" i="4"/>
  <c r="K22" i="4"/>
  <c r="P22" i="4"/>
  <c r="U22" i="4"/>
  <c r="Z22" i="4"/>
  <c r="AE22" i="4"/>
  <c r="AJ22" i="4"/>
  <c r="AO22" i="4"/>
  <c r="AT22" i="4"/>
  <c r="AY22" i="4"/>
  <c r="BD22" i="4"/>
  <c r="BI22" i="4"/>
  <c r="BN22" i="4"/>
  <c r="BS22" i="4"/>
  <c r="BX22" i="4"/>
  <c r="CC22" i="4"/>
  <c r="CH22" i="4"/>
  <c r="CM22" i="4"/>
  <c r="K23" i="4"/>
  <c r="P23" i="4"/>
  <c r="U23" i="4"/>
  <c r="Z23" i="4"/>
  <c r="AE23" i="4"/>
  <c r="AJ23" i="4"/>
  <c r="AO23" i="4"/>
  <c r="AT23" i="4"/>
  <c r="AY23" i="4"/>
  <c r="BD23" i="4"/>
  <c r="BI23" i="4"/>
  <c r="BN23" i="4"/>
  <c r="BS23" i="4"/>
  <c r="BX23" i="4"/>
  <c r="CC23" i="4"/>
  <c r="CH23" i="4"/>
  <c r="CM23" i="4"/>
  <c r="K24" i="4"/>
  <c r="P24" i="4"/>
  <c r="U24" i="4"/>
  <c r="Z24" i="4"/>
  <c r="AE24" i="4"/>
  <c r="AJ24" i="4"/>
  <c r="AO24" i="4"/>
  <c r="AT24" i="4"/>
  <c r="AY24" i="4"/>
  <c r="BD24" i="4"/>
  <c r="BI24" i="4"/>
  <c r="BN24" i="4"/>
  <c r="BS24" i="4"/>
  <c r="BX24" i="4"/>
  <c r="CC24" i="4"/>
  <c r="CH24" i="4"/>
  <c r="CM24" i="4"/>
  <c r="K25" i="4"/>
  <c r="P25" i="4"/>
  <c r="U25" i="4"/>
  <c r="Z25" i="4"/>
  <c r="AE25" i="4"/>
  <c r="AJ25" i="4"/>
  <c r="AO25" i="4"/>
  <c r="AT25" i="4"/>
  <c r="AY25" i="4"/>
  <c r="BD25" i="4"/>
  <c r="BI25" i="4"/>
  <c r="BN25" i="4"/>
  <c r="BS25" i="4"/>
  <c r="BX25" i="4"/>
  <c r="CC25" i="4"/>
  <c r="CH25" i="4"/>
  <c r="CM25" i="4"/>
  <c r="K26" i="4"/>
  <c r="P26" i="4"/>
  <c r="U26" i="4"/>
  <c r="Z26" i="4"/>
  <c r="AE26" i="4"/>
  <c r="AJ26" i="4"/>
  <c r="AO26" i="4"/>
  <c r="AT26" i="4"/>
  <c r="AY26" i="4"/>
  <c r="BD26" i="4"/>
  <c r="BI26" i="4"/>
  <c r="BN26" i="4"/>
  <c r="BS26" i="4"/>
  <c r="BX26" i="4"/>
  <c r="CC26" i="4"/>
  <c r="CH26" i="4"/>
  <c r="CM26" i="4"/>
  <c r="K27" i="4"/>
  <c r="P27" i="4"/>
  <c r="U27" i="4"/>
  <c r="Z27" i="4"/>
  <c r="AE27" i="4"/>
  <c r="AJ27" i="4"/>
  <c r="AO27" i="4"/>
  <c r="AT27" i="4"/>
  <c r="AY27" i="4"/>
  <c r="BD27" i="4"/>
  <c r="BI27" i="4"/>
  <c r="BN27" i="4"/>
  <c r="BS27" i="4"/>
  <c r="BX27" i="4"/>
  <c r="CC27" i="4"/>
  <c r="CH27" i="4"/>
  <c r="CM27" i="4"/>
  <c r="CX56" i="1"/>
  <c r="CV56" i="1"/>
  <c r="CX12" i="1"/>
  <c r="CX11" i="1"/>
  <c r="CX15" i="1"/>
  <c r="CX14" i="1"/>
  <c r="CX18" i="1"/>
  <c r="CX17" i="1"/>
  <c r="CX21" i="1"/>
  <c r="CX20" i="1"/>
  <c r="CX85" i="1"/>
  <c r="CX64" i="1"/>
  <c r="CX37" i="1"/>
  <c r="CX26" i="1"/>
  <c r="CV55" i="1"/>
  <c r="CV26" i="1"/>
  <c r="CV37" i="1"/>
  <c r="AT70" i="1"/>
  <c r="AO70" i="1"/>
  <c r="AJ70" i="1"/>
  <c r="AE70" i="1"/>
  <c r="Z70" i="1"/>
  <c r="U70" i="1"/>
  <c r="P70" i="1"/>
  <c r="K70" i="1"/>
  <c r="DG70" i="1"/>
  <c r="AD55" i="1"/>
  <c r="AC55" i="1"/>
  <c r="AB55" i="1"/>
  <c r="AB37" i="1" s="1"/>
  <c r="AB38" i="1" s="1"/>
  <c r="AA55" i="1"/>
  <c r="AA37" i="1" s="1"/>
  <c r="AA38" i="1" s="1"/>
  <c r="AI55" i="1"/>
  <c r="AI37" i="1" s="1"/>
  <c r="AI38" i="1" s="1"/>
  <c r="AH55" i="1"/>
  <c r="AH37" i="1" s="1"/>
  <c r="AH38" i="1" s="1"/>
  <c r="AG55" i="1"/>
  <c r="AG37" i="1" s="1"/>
  <c r="AF55" i="1"/>
  <c r="AF37" i="1" s="1"/>
  <c r="AN55" i="1"/>
  <c r="AN37" i="1" s="1"/>
  <c r="AM55" i="1"/>
  <c r="AM37" i="1" s="1"/>
  <c r="AL55" i="1"/>
  <c r="AK55" i="1"/>
  <c r="AK37" i="1" s="1"/>
  <c r="AK40" i="1" s="1"/>
  <c r="AS55" i="1"/>
  <c r="AS37" i="1" s="1"/>
  <c r="AR55" i="1"/>
  <c r="AR37" i="1" s="1"/>
  <c r="AR38" i="1" s="1"/>
  <c r="AQ55" i="1"/>
  <c r="AP55" i="1"/>
  <c r="AP37" i="1" s="1"/>
  <c r="AR71" i="1"/>
  <c r="AQ71" i="1"/>
  <c r="AP71" i="1"/>
  <c r="AN71" i="1"/>
  <c r="AM71" i="1"/>
  <c r="AL71" i="1"/>
  <c r="AK71" i="1"/>
  <c r="AI71" i="1"/>
  <c r="AH71" i="1"/>
  <c r="AG71" i="1"/>
  <c r="AF71" i="1"/>
  <c r="AD71" i="1"/>
  <c r="AC71" i="1"/>
  <c r="AB71" i="1"/>
  <c r="AA71" i="1"/>
  <c r="Y71" i="1"/>
  <c r="X71" i="1"/>
  <c r="W71" i="1"/>
  <c r="V71" i="1"/>
  <c r="T71" i="1"/>
  <c r="S71" i="1"/>
  <c r="R71" i="1"/>
  <c r="Q71" i="1"/>
  <c r="O71" i="1"/>
  <c r="N71" i="1"/>
  <c r="M71" i="1"/>
  <c r="L71" i="1"/>
  <c r="J71" i="1"/>
  <c r="I71" i="1"/>
  <c r="H71" i="1"/>
  <c r="G71" i="1"/>
  <c r="CP51" i="1"/>
  <c r="CN51" i="1" s="1"/>
  <c r="CR51" i="1" s="1"/>
  <c r="CQ70" i="1"/>
  <c r="CK51" i="1"/>
  <c r="CT70" i="1"/>
  <c r="CW70" i="1" s="1"/>
  <c r="CV70" i="1"/>
  <c r="CP70" i="1"/>
  <c r="CP71" i="1" s="1"/>
  <c r="CO70" i="1"/>
  <c r="CJ51" i="1"/>
  <c r="CJ62" i="1" s="1"/>
  <c r="CG62" i="1"/>
  <c r="CF62" i="1"/>
  <c r="CF64" i="1" s="1"/>
  <c r="CD62" i="1"/>
  <c r="CD64" i="1" s="1"/>
  <c r="CI62" i="1"/>
  <c r="CL62" i="1"/>
  <c r="CL64" i="1" s="1"/>
  <c r="CQ62" i="1"/>
  <c r="CQ63" i="1" s="1"/>
  <c r="CJ39" i="1"/>
  <c r="CJ55" i="1" s="1"/>
  <c r="CJ37" i="1" s="1"/>
  <c r="CK39" i="1"/>
  <c r="CK55" i="1" s="1"/>
  <c r="CK37" i="1" s="1"/>
  <c r="CK40" i="1" s="1"/>
  <c r="CL39" i="1"/>
  <c r="CL55" i="1" s="1"/>
  <c r="CQ39" i="1"/>
  <c r="CQ55" i="1" s="1"/>
  <c r="K173" i="1"/>
  <c r="K167" i="1"/>
  <c r="K162" i="1"/>
  <c r="P173" i="1"/>
  <c r="P167" i="1"/>
  <c r="P162" i="1"/>
  <c r="AY180" i="1"/>
  <c r="BD180" i="1"/>
  <c r="BI180" i="1"/>
  <c r="BN180" i="1"/>
  <c r="BS180" i="1"/>
  <c r="BX180" i="1"/>
  <c r="CC180" i="1"/>
  <c r="CH180" i="1"/>
  <c r="CW215" i="1"/>
  <c r="CM180" i="1"/>
  <c r="CR180" i="1"/>
  <c r="CW180" i="1"/>
  <c r="K150" i="1"/>
  <c r="K149" i="1"/>
  <c r="K117" i="1"/>
  <c r="K123" i="1" s="1"/>
  <c r="P150" i="1"/>
  <c r="P149" i="1"/>
  <c r="P132" i="1"/>
  <c r="P129" i="1"/>
  <c r="P128" i="1"/>
  <c r="P117" i="1"/>
  <c r="P121" i="1" s="1"/>
  <c r="U150" i="1"/>
  <c r="U149" i="1"/>
  <c r="U132" i="1"/>
  <c r="U129" i="1"/>
  <c r="U128" i="1"/>
  <c r="U117" i="1"/>
  <c r="U122" i="1" s="1"/>
  <c r="Z150" i="1"/>
  <c r="Z149" i="1"/>
  <c r="Z132" i="1"/>
  <c r="Z129" i="1"/>
  <c r="Z128" i="1"/>
  <c r="Z117" i="1"/>
  <c r="AE150" i="1"/>
  <c r="AE149" i="1"/>
  <c r="AE132" i="1"/>
  <c r="AE129" i="1"/>
  <c r="AE128" i="1"/>
  <c r="AE117" i="1"/>
  <c r="AE122" i="1" s="1"/>
  <c r="AJ150" i="1"/>
  <c r="AJ149" i="1"/>
  <c r="AJ132" i="1"/>
  <c r="AJ129" i="1"/>
  <c r="AJ128" i="1"/>
  <c r="AJ117" i="1"/>
  <c r="AO150" i="1"/>
  <c r="AO149" i="1"/>
  <c r="AO132" i="1"/>
  <c r="AO129" i="1"/>
  <c r="AO128" i="1"/>
  <c r="AO117" i="1"/>
  <c r="AO124" i="1" s="1"/>
  <c r="AO115" i="1"/>
  <c r="AT150" i="1"/>
  <c r="AT149" i="1"/>
  <c r="AT132" i="1"/>
  <c r="AT130" i="1"/>
  <c r="AT129" i="1"/>
  <c r="AT128" i="1"/>
  <c r="AT117" i="1"/>
  <c r="AT124" i="1" s="1"/>
  <c r="AT115" i="1"/>
  <c r="AY150" i="1"/>
  <c r="AY149" i="1"/>
  <c r="AY132" i="1"/>
  <c r="AY130" i="1"/>
  <c r="AY129" i="1"/>
  <c r="AY128" i="1"/>
  <c r="AY117" i="1"/>
  <c r="AY124" i="1" s="1"/>
  <c r="AY115" i="1"/>
  <c r="BD150" i="1"/>
  <c r="BD149" i="1"/>
  <c r="BD132" i="1"/>
  <c r="BD130" i="1"/>
  <c r="BD129" i="1"/>
  <c r="BD128" i="1"/>
  <c r="BD117" i="1"/>
  <c r="BD124" i="1" s="1"/>
  <c r="BD115" i="1"/>
  <c r="BI150" i="1"/>
  <c r="BI149" i="1"/>
  <c r="BI153" i="1" s="1"/>
  <c r="BI132" i="1"/>
  <c r="BI130" i="1"/>
  <c r="BI129" i="1"/>
  <c r="BI128" i="1"/>
  <c r="BI117" i="1"/>
  <c r="BI133" i="1" s="1"/>
  <c r="BI115" i="1"/>
  <c r="BN150" i="1"/>
  <c r="BN149" i="1"/>
  <c r="BN132" i="1"/>
  <c r="BN130" i="1"/>
  <c r="BN129" i="1"/>
  <c r="BN128" i="1"/>
  <c r="BN117" i="1"/>
  <c r="BN121" i="1" s="1"/>
  <c r="BN115" i="1"/>
  <c r="BN131" i="1" s="1"/>
  <c r="BS150" i="1"/>
  <c r="BS149" i="1"/>
  <c r="BS132" i="1"/>
  <c r="BS130" i="1"/>
  <c r="BS129" i="1"/>
  <c r="BS128" i="1"/>
  <c r="BS117" i="1"/>
  <c r="BS120" i="1" s="1"/>
  <c r="BS115" i="1"/>
  <c r="BS131" i="1" s="1"/>
  <c r="BX150" i="1"/>
  <c r="BX149" i="1"/>
  <c r="BX132" i="1"/>
  <c r="BX130" i="1"/>
  <c r="BX129" i="1"/>
  <c r="BX128" i="1"/>
  <c r="BX117" i="1"/>
  <c r="BX121" i="1" s="1"/>
  <c r="BX115" i="1"/>
  <c r="BX131" i="1" s="1"/>
  <c r="CC150" i="1"/>
  <c r="CC149" i="1"/>
  <c r="CC132" i="1"/>
  <c r="CC130" i="1"/>
  <c r="CC129" i="1"/>
  <c r="CC128" i="1"/>
  <c r="CC117" i="1"/>
  <c r="CC121" i="1" s="1"/>
  <c r="CC115" i="1"/>
  <c r="CH150" i="1"/>
  <c r="CH149" i="1"/>
  <c r="CH132" i="1"/>
  <c r="CH130" i="1"/>
  <c r="CH129" i="1"/>
  <c r="CH128" i="1"/>
  <c r="CH117" i="1"/>
  <c r="CH133" i="1" s="1"/>
  <c r="CM150" i="1"/>
  <c r="CM149" i="1"/>
  <c r="CM132" i="1"/>
  <c r="CM131" i="1"/>
  <c r="CM130" i="1"/>
  <c r="CM129" i="1"/>
  <c r="CM128" i="1"/>
  <c r="CM117" i="1"/>
  <c r="CM123" i="1" s="1"/>
  <c r="CR150" i="1"/>
  <c r="CR149" i="1"/>
  <c r="CR132" i="1"/>
  <c r="CR131" i="1"/>
  <c r="CR130" i="1"/>
  <c r="CR129" i="1"/>
  <c r="CR128" i="1"/>
  <c r="CR117" i="1"/>
  <c r="CR123" i="1" s="1"/>
  <c r="CW150" i="1"/>
  <c r="CW149" i="1"/>
  <c r="CW132" i="1"/>
  <c r="CW131" i="1"/>
  <c r="CW130" i="1"/>
  <c r="CW129" i="1"/>
  <c r="CW128" i="1"/>
  <c r="CW117" i="1"/>
  <c r="CW121" i="1" s="1"/>
  <c r="CV85" i="1"/>
  <c r="CU85" i="1"/>
  <c r="CT85" i="1"/>
  <c r="CS85" i="1"/>
  <c r="CR85" i="1"/>
  <c r="CQ85" i="1"/>
  <c r="CP85" i="1"/>
  <c r="CO85" i="1"/>
  <c r="CN85" i="1"/>
  <c r="CM85" i="1"/>
  <c r="CL85" i="1"/>
  <c r="CK85" i="1"/>
  <c r="CJ85" i="1"/>
  <c r="CH85" i="1"/>
  <c r="CG85" i="1"/>
  <c r="CF85" i="1"/>
  <c r="CE85" i="1"/>
  <c r="CD85" i="1"/>
  <c r="CC85" i="1"/>
  <c r="CB85" i="1"/>
  <c r="CA85" i="1"/>
  <c r="BZ85" i="1"/>
  <c r="BY85" i="1"/>
  <c r="BX85" i="1"/>
  <c r="BW85" i="1"/>
  <c r="BV85" i="1"/>
  <c r="BU85" i="1"/>
  <c r="BT85" i="1"/>
  <c r="BS85" i="1"/>
  <c r="BR85" i="1"/>
  <c r="BQ85" i="1"/>
  <c r="BP85" i="1"/>
  <c r="BO85" i="1"/>
  <c r="BN85" i="1"/>
  <c r="BM85" i="1"/>
  <c r="BL85" i="1"/>
  <c r="BK85" i="1"/>
  <c r="BJ85" i="1"/>
  <c r="BI85" i="1"/>
  <c r="BH85" i="1"/>
  <c r="BG85" i="1"/>
  <c r="BF85" i="1"/>
  <c r="BE85" i="1"/>
  <c r="BD85" i="1"/>
  <c r="BC85" i="1"/>
  <c r="BB85" i="1"/>
  <c r="BA85" i="1"/>
  <c r="AZ85" i="1"/>
  <c r="AY85" i="1"/>
  <c r="AX85" i="1"/>
  <c r="AW85" i="1"/>
  <c r="AV85" i="1"/>
  <c r="AU85" i="1"/>
  <c r="AT85" i="1"/>
  <c r="AS85" i="1"/>
  <c r="AR85" i="1"/>
  <c r="AQ85" i="1"/>
  <c r="AP85" i="1"/>
  <c r="AO85" i="1"/>
  <c r="AN85" i="1"/>
  <c r="AM85" i="1"/>
  <c r="AL85" i="1"/>
  <c r="AK85" i="1"/>
  <c r="AJ85" i="1"/>
  <c r="AI85" i="1"/>
  <c r="AH85" i="1"/>
  <c r="AG85" i="1"/>
  <c r="AF85" i="1"/>
  <c r="AE85" i="1"/>
  <c r="AD85" i="1"/>
  <c r="AC85" i="1"/>
  <c r="AB85" i="1"/>
  <c r="AA85" i="1"/>
  <c r="Z85" i="1"/>
  <c r="Y85" i="1"/>
  <c r="X85" i="1"/>
  <c r="W85" i="1"/>
  <c r="V85" i="1"/>
  <c r="U85" i="1"/>
  <c r="T85" i="1"/>
  <c r="S85" i="1"/>
  <c r="R85" i="1"/>
  <c r="Q85" i="1"/>
  <c r="P85" i="1"/>
  <c r="O85" i="1"/>
  <c r="N85" i="1"/>
  <c r="M85" i="1"/>
  <c r="L85" i="1"/>
  <c r="K85" i="1"/>
  <c r="J85" i="1"/>
  <c r="I85" i="1"/>
  <c r="H85" i="1"/>
  <c r="G85" i="1"/>
  <c r="J97" i="1"/>
  <c r="I97" i="1"/>
  <c r="H97" i="1"/>
  <c r="G97" i="1"/>
  <c r="G105" i="1"/>
  <c r="K105" i="1" s="1"/>
  <c r="K89" i="1"/>
  <c r="CA64" i="1"/>
  <c r="BZ64" i="1"/>
  <c r="BY64" i="1"/>
  <c r="BW64" i="1"/>
  <c r="BV64" i="1"/>
  <c r="BU64" i="1"/>
  <c r="BT64" i="1"/>
  <c r="BR64" i="1"/>
  <c r="BQ64" i="1"/>
  <c r="BP64" i="1"/>
  <c r="BO64" i="1"/>
  <c r="BM64" i="1"/>
  <c r="BL64" i="1"/>
  <c r="BK64" i="1"/>
  <c r="BJ64" i="1"/>
  <c r="BH64" i="1"/>
  <c r="BG64" i="1"/>
  <c r="BF64" i="1"/>
  <c r="BE64" i="1"/>
  <c r="BC64" i="1"/>
  <c r="BB64" i="1"/>
  <c r="BA64" i="1"/>
  <c r="AZ64" i="1"/>
  <c r="AX64" i="1"/>
  <c r="AW64" i="1"/>
  <c r="AV64" i="1"/>
  <c r="AU64" i="1"/>
  <c r="AS64" i="1"/>
  <c r="AR64" i="1"/>
  <c r="AQ64" i="1"/>
  <c r="AP64" i="1"/>
  <c r="AN64" i="1"/>
  <c r="AM64" i="1"/>
  <c r="AL64" i="1"/>
  <c r="AK64" i="1"/>
  <c r="AI64" i="1"/>
  <c r="AH64" i="1"/>
  <c r="AG64" i="1"/>
  <c r="AF64" i="1"/>
  <c r="AD64" i="1"/>
  <c r="AC64" i="1"/>
  <c r="AB64" i="1"/>
  <c r="AA64" i="1"/>
  <c r="Y64" i="1"/>
  <c r="X64" i="1"/>
  <c r="W64" i="1"/>
  <c r="V64" i="1"/>
  <c r="T64" i="1"/>
  <c r="S64" i="1"/>
  <c r="R64" i="1"/>
  <c r="Q64" i="1"/>
  <c r="O64" i="1"/>
  <c r="N64" i="1"/>
  <c r="M64" i="1"/>
  <c r="L64" i="1"/>
  <c r="J64" i="1"/>
  <c r="I64" i="1"/>
  <c r="H64" i="1"/>
  <c r="G64" i="1"/>
  <c r="CP55" i="1"/>
  <c r="CO55" i="1"/>
  <c r="CN55" i="1"/>
  <c r="CG55" i="1"/>
  <c r="CG37" i="1" s="1"/>
  <c r="CF55" i="1"/>
  <c r="CF37" i="1" s="1"/>
  <c r="CE55" i="1"/>
  <c r="CE37" i="1" s="1"/>
  <c r="CD55" i="1"/>
  <c r="CD37" i="1" s="1"/>
  <c r="CA55" i="1"/>
  <c r="CA37" i="1" s="1"/>
  <c r="CA40" i="1" s="1"/>
  <c r="BZ55" i="1"/>
  <c r="BZ37" i="1" s="1"/>
  <c r="BZ40" i="1" s="1"/>
  <c r="BY55" i="1"/>
  <c r="BY37" i="1" s="1"/>
  <c r="BY40" i="1" s="1"/>
  <c r="BW55" i="1"/>
  <c r="BV55" i="1"/>
  <c r="BV37" i="1" s="1"/>
  <c r="BV38" i="1" s="1"/>
  <c r="BU55" i="1"/>
  <c r="BU37" i="1" s="1"/>
  <c r="BU46" i="1" s="1"/>
  <c r="BU146" i="4" s="1"/>
  <c r="BT55" i="1"/>
  <c r="BT37" i="1" s="1"/>
  <c r="BT40" i="1" s="1"/>
  <c r="BR55" i="1"/>
  <c r="BQ55" i="1"/>
  <c r="BP55" i="1"/>
  <c r="BP37" i="1" s="1"/>
  <c r="BO55" i="1"/>
  <c r="BO37" i="1" s="1"/>
  <c r="BO40" i="1" s="1"/>
  <c r="BM55" i="1"/>
  <c r="BM37" i="1" s="1"/>
  <c r="BL55" i="1"/>
  <c r="BL37" i="1" s="1"/>
  <c r="BL46" i="1" s="1"/>
  <c r="BK55" i="1"/>
  <c r="BK37" i="1" s="1"/>
  <c r="BK40" i="1" s="1"/>
  <c r="BJ55" i="1"/>
  <c r="BJ37" i="1" s="1"/>
  <c r="BJ46" i="1" s="1"/>
  <c r="BJ146" i="4" s="1"/>
  <c r="BH55" i="1"/>
  <c r="BH37" i="1" s="1"/>
  <c r="BH38" i="1" s="1"/>
  <c r="BG55" i="1"/>
  <c r="BG37" i="1" s="1"/>
  <c r="BF55" i="1"/>
  <c r="BF37" i="1" s="1"/>
  <c r="BE55" i="1"/>
  <c r="BE37" i="1" s="1"/>
  <c r="BE40" i="1" s="1"/>
  <c r="BC55" i="1"/>
  <c r="BC37" i="1" s="1"/>
  <c r="BB55" i="1"/>
  <c r="BB37" i="1" s="1"/>
  <c r="BB38" i="1" s="1"/>
  <c r="BA55" i="1"/>
  <c r="BA37" i="1" s="1"/>
  <c r="AZ55" i="1"/>
  <c r="AZ37" i="1" s="1"/>
  <c r="AZ38" i="1" s="1"/>
  <c r="AX55" i="1"/>
  <c r="AW55" i="1"/>
  <c r="AW37" i="1" s="1"/>
  <c r="AW38" i="1" s="1"/>
  <c r="AV55" i="1"/>
  <c r="AV37" i="1" s="1"/>
  <c r="AV38" i="1" s="1"/>
  <c r="AU55" i="1"/>
  <c r="AU37" i="1" s="1"/>
  <c r="AU46" i="1" s="1"/>
  <c r="CU55" i="1"/>
  <c r="CT55" i="1"/>
  <c r="CS55" i="1"/>
  <c r="Y46" i="1"/>
  <c r="X46" i="1"/>
  <c r="X146" i="4" s="1"/>
  <c r="W46" i="1"/>
  <c r="W147" i="4" s="1"/>
  <c r="V46" i="1"/>
  <c r="T46" i="1"/>
  <c r="T146" i="4" s="1"/>
  <c r="S46" i="1"/>
  <c r="R46" i="1"/>
  <c r="R147" i="4" s="1"/>
  <c r="Q46" i="1"/>
  <c r="O46" i="1"/>
  <c r="O146" i="4" s="1"/>
  <c r="N46" i="1"/>
  <c r="N146" i="4" s="1"/>
  <c r="M46" i="1"/>
  <c r="M146" i="4" s="1"/>
  <c r="L46" i="1"/>
  <c r="L146" i="4" s="1"/>
  <c r="J46" i="1"/>
  <c r="J147" i="4" s="1"/>
  <c r="I46" i="1"/>
  <c r="I147" i="4" s="1"/>
  <c r="H46" i="1"/>
  <c r="G46" i="1"/>
  <c r="CV185" i="4"/>
  <c r="CV192" i="4" s="1"/>
  <c r="CV128" i="1"/>
  <c r="CV129" i="1"/>
  <c r="CV130" i="1"/>
  <c r="CV131" i="1"/>
  <c r="CV132" i="1"/>
  <c r="CV94" i="8"/>
  <c r="CV96" i="4"/>
  <c r="CX93" i="4" s="1"/>
  <c r="CV77" i="4"/>
  <c r="CV76" i="4"/>
  <c r="CV87" i="8"/>
  <c r="CV89" i="8"/>
  <c r="CV70" i="8"/>
  <c r="CV71" i="8" s="1"/>
  <c r="CV65" i="4"/>
  <c r="CX74" i="4" s="1"/>
  <c r="CV20" i="4"/>
  <c r="CV91" i="4" s="1"/>
  <c r="CV151" i="1"/>
  <c r="CW151" i="1" s="1"/>
  <c r="CV154" i="1"/>
  <c r="CV21" i="1"/>
  <c r="CV20" i="1"/>
  <c r="CV18" i="1"/>
  <c r="CV17" i="1"/>
  <c r="CV15" i="1"/>
  <c r="CV14" i="1"/>
  <c r="CV12" i="1"/>
  <c r="CV11" i="1"/>
  <c r="I33" i="26"/>
  <c r="DB107" i="1"/>
  <c r="CW29" i="4"/>
  <c r="CW12" i="4"/>
  <c r="CW13" i="4"/>
  <c r="CW14" i="4"/>
  <c r="CW15" i="4"/>
  <c r="CW16" i="4"/>
  <c r="CV154" i="4"/>
  <c r="CV143" i="4"/>
  <c r="CV169" i="4" s="1"/>
  <c r="CV129" i="4"/>
  <c r="CW129" i="4" s="1"/>
  <c r="CV54" i="4"/>
  <c r="CV39" i="4"/>
  <c r="CV207" i="4" s="1"/>
  <c r="CV117" i="1"/>
  <c r="DA133" i="1" s="1"/>
  <c r="CV102" i="1"/>
  <c r="CV103" i="1" s="1"/>
  <c r="CV91" i="1" s="1"/>
  <c r="CV93" i="1"/>
  <c r="CX89" i="1" s="1"/>
  <c r="CU185" i="4"/>
  <c r="CU192" i="4" s="1"/>
  <c r="CU143" i="4"/>
  <c r="CU93" i="1"/>
  <c r="CV89" i="1" s="1"/>
  <c r="CU29" i="1"/>
  <c r="DL152" i="4"/>
  <c r="DL122" i="4"/>
  <c r="DL158" i="4"/>
  <c r="DL153" i="4"/>
  <c r="DL45" i="8"/>
  <c r="DL91" i="8" s="1"/>
  <c r="DL41" i="8"/>
  <c r="DL87" i="8" s="1"/>
  <c r="DL39" i="8"/>
  <c r="DL85" i="8" s="1"/>
  <c r="DL18" i="8"/>
  <c r="DL64" i="8" s="1"/>
  <c r="DL17" i="8"/>
  <c r="DL63" i="8" s="1"/>
  <c r="DL15" i="8"/>
  <c r="DL61" i="8" s="1"/>
  <c r="DL14" i="8"/>
  <c r="DL60" i="8" s="1"/>
  <c r="DL81" i="8"/>
  <c r="DL73" i="8"/>
  <c r="DH91" i="8"/>
  <c r="DI91" i="8" s="1"/>
  <c r="DJ91" i="8" s="1"/>
  <c r="DK91" i="8" s="1"/>
  <c r="DH87" i="8"/>
  <c r="DI87" i="8" s="1"/>
  <c r="DJ87" i="8" s="1"/>
  <c r="DK87" i="8" s="1"/>
  <c r="DH85" i="8"/>
  <c r="DI85" i="8" s="1"/>
  <c r="DJ85" i="8" s="1"/>
  <c r="DK85" i="8" s="1"/>
  <c r="DH64" i="8"/>
  <c r="DI64" i="8" s="1"/>
  <c r="DJ64" i="8" s="1"/>
  <c r="DK64" i="8" s="1"/>
  <c r="DH63" i="8"/>
  <c r="DI63" i="8" s="1"/>
  <c r="DJ63" i="8" s="1"/>
  <c r="DK63" i="8" s="1"/>
  <c r="DH61" i="8"/>
  <c r="DI61" i="8" s="1"/>
  <c r="DJ61" i="8" s="1"/>
  <c r="DK61" i="8" s="1"/>
  <c r="DH60" i="8"/>
  <c r="DI60" i="8" s="1"/>
  <c r="DJ60" i="8" s="1"/>
  <c r="DK60" i="8" s="1"/>
  <c r="DK40" i="8"/>
  <c r="DJ40" i="8"/>
  <c r="DI40" i="8"/>
  <c r="DH40" i="8"/>
  <c r="DH86" i="8" s="1"/>
  <c r="DK37" i="8"/>
  <c r="DJ37" i="8"/>
  <c r="DI37" i="8"/>
  <c r="DH37" i="8"/>
  <c r="DK32" i="8"/>
  <c r="DJ32" i="8"/>
  <c r="DI32" i="8"/>
  <c r="DH32" i="8"/>
  <c r="DH78" i="8" s="1"/>
  <c r="DL101" i="1"/>
  <c r="DL96" i="1"/>
  <c r="DL92" i="1"/>
  <c r="CU196" i="1"/>
  <c r="CU185" i="1" s="1"/>
  <c r="CU96" i="4"/>
  <c r="CV93" i="4" s="1"/>
  <c r="CU154" i="1"/>
  <c r="CU137" i="1"/>
  <c r="CU145" i="1" s="1"/>
  <c r="CU151" i="1"/>
  <c r="CU103" i="1"/>
  <c r="CU91" i="1" s="1"/>
  <c r="DB61" i="4"/>
  <c r="CU129" i="4"/>
  <c r="CU87" i="8"/>
  <c r="CU89" i="8" s="1"/>
  <c r="CU70" i="8"/>
  <c r="CU71" i="8" s="1"/>
  <c r="CU154" i="4"/>
  <c r="CV151" i="4" s="1"/>
  <c r="CV153" i="4" s="1"/>
  <c r="CU77" i="4"/>
  <c r="CU76" i="4"/>
  <c r="CU54" i="4"/>
  <c r="CU55" i="4" s="1"/>
  <c r="CU39" i="4"/>
  <c r="CU20" i="4"/>
  <c r="CU91" i="4" s="1"/>
  <c r="CU132" i="1"/>
  <c r="CU131" i="1"/>
  <c r="CU130" i="1"/>
  <c r="CU128" i="1"/>
  <c r="CU129" i="1"/>
  <c r="CU21" i="1"/>
  <c r="CU20" i="1"/>
  <c r="CU18" i="1"/>
  <c r="CU17" i="1"/>
  <c r="CU15" i="1"/>
  <c r="CU14" i="1"/>
  <c r="CU12" i="1"/>
  <c r="CU11" i="1"/>
  <c r="F31" i="26"/>
  <c r="E31" i="26"/>
  <c r="D31" i="26"/>
  <c r="J95" i="8"/>
  <c r="I95" i="8"/>
  <c r="H95" i="8"/>
  <c r="CN94" i="8"/>
  <c r="CK94" i="8"/>
  <c r="CL94" i="8" s="1"/>
  <c r="AS94" i="8"/>
  <c r="AR94" i="8"/>
  <c r="AQ94" i="8"/>
  <c r="AP94" i="8"/>
  <c r="AP48" i="8" s="1"/>
  <c r="AN94" i="8"/>
  <c r="AM94" i="8"/>
  <c r="AL94" i="8"/>
  <c r="AK94" i="8"/>
  <c r="AK48" i="8" s="1"/>
  <c r="DC91" i="8"/>
  <c r="DD91" i="8" s="1"/>
  <c r="DE91" i="8" s="1"/>
  <c r="DF91" i="8" s="1"/>
  <c r="CN89" i="8"/>
  <c r="CJ89" i="8"/>
  <c r="CI89" i="8"/>
  <c r="CG89" i="8"/>
  <c r="CF89" i="8"/>
  <c r="CE89" i="8"/>
  <c r="CD89" i="8"/>
  <c r="CB89" i="8"/>
  <c r="CA89" i="8"/>
  <c r="BZ89" i="8"/>
  <c r="BY89" i="8"/>
  <c r="BW89" i="8"/>
  <c r="BV89" i="8"/>
  <c r="BU89" i="8"/>
  <c r="BT89" i="8"/>
  <c r="BR89" i="8"/>
  <c r="BQ89" i="8"/>
  <c r="BP89" i="8"/>
  <c r="BO89" i="8"/>
  <c r="BM89" i="8"/>
  <c r="BL89" i="8"/>
  <c r="BK89" i="8"/>
  <c r="BJ89" i="8"/>
  <c r="BH89" i="8"/>
  <c r="BG89" i="8"/>
  <c r="BF89" i="8"/>
  <c r="BE89" i="8"/>
  <c r="BC89" i="8"/>
  <c r="BB89" i="8"/>
  <c r="BA89" i="8"/>
  <c r="AZ89" i="8"/>
  <c r="AX89" i="8"/>
  <c r="AW89" i="8"/>
  <c r="AV89" i="8"/>
  <c r="AU89" i="8"/>
  <c r="AS89" i="8"/>
  <c r="AR89" i="8"/>
  <c r="AQ89" i="8"/>
  <c r="AP89" i="8"/>
  <c r="AN89" i="8"/>
  <c r="AM89" i="8"/>
  <c r="AL89" i="8"/>
  <c r="AK89" i="8"/>
  <c r="AH89" i="8"/>
  <c r="AG89" i="8"/>
  <c r="AF89" i="8"/>
  <c r="AD89" i="8"/>
  <c r="AC89" i="8"/>
  <c r="AB89" i="8"/>
  <c r="AA89" i="8"/>
  <c r="Y89" i="8"/>
  <c r="X89" i="8"/>
  <c r="W89" i="8"/>
  <c r="V89" i="8"/>
  <c r="S89" i="8"/>
  <c r="R89" i="8"/>
  <c r="Q89" i="8"/>
  <c r="N89" i="8"/>
  <c r="M89" i="8"/>
  <c r="L89" i="8"/>
  <c r="I89" i="8"/>
  <c r="H89" i="8"/>
  <c r="G89" i="8"/>
  <c r="AI88" i="8"/>
  <c r="T88" i="8"/>
  <c r="T89" i="8" s="1"/>
  <c r="O88" i="8"/>
  <c r="O89" i="8" s="1"/>
  <c r="J88" i="8"/>
  <c r="J89" i="8" s="1"/>
  <c r="CT87" i="8"/>
  <c r="CT89" i="8" s="1"/>
  <c r="CS87" i="8"/>
  <c r="CQ87" i="8"/>
  <c r="CQ89" i="8" s="1"/>
  <c r="CP87" i="8"/>
  <c r="CO87" i="8"/>
  <c r="CL87" i="8"/>
  <c r="AI84" i="8"/>
  <c r="AI89" i="8" s="1"/>
  <c r="DC87" i="8"/>
  <c r="DD87" i="8" s="1"/>
  <c r="DE87" i="8" s="1"/>
  <c r="DF87" i="8" s="1"/>
  <c r="DC85" i="8"/>
  <c r="DD85" i="8" s="1"/>
  <c r="DE85" i="8" s="1"/>
  <c r="DF85" i="8" s="1"/>
  <c r="CK82" i="8"/>
  <c r="CL82" i="8" s="1"/>
  <c r="DG81" i="8"/>
  <c r="DB81" i="8"/>
  <c r="CR81" i="8"/>
  <c r="CM81" i="8"/>
  <c r="CH81" i="8"/>
  <c r="CC81" i="8"/>
  <c r="BX81" i="8"/>
  <c r="BS81" i="8"/>
  <c r="BN81" i="8"/>
  <c r="BI81" i="8"/>
  <c r="BD81" i="8"/>
  <c r="AY81" i="8"/>
  <c r="AT81" i="8"/>
  <c r="AO81" i="8"/>
  <c r="AJ81" i="8"/>
  <c r="AE81" i="8"/>
  <c r="Z81" i="8"/>
  <c r="U81" i="8"/>
  <c r="P81" i="8"/>
  <c r="K81" i="8"/>
  <c r="CT79" i="8"/>
  <c r="CS79" i="8"/>
  <c r="CQ79" i="8"/>
  <c r="CP79" i="8"/>
  <c r="CO79" i="8"/>
  <c r="CN79" i="8"/>
  <c r="CL79" i="8"/>
  <c r="CJ79" i="8"/>
  <c r="CI79" i="8"/>
  <c r="CG79" i="8"/>
  <c r="CF79" i="8"/>
  <c r="CE79" i="8"/>
  <c r="CD79" i="8"/>
  <c r="CB79" i="8"/>
  <c r="CA79" i="8"/>
  <c r="BZ79" i="8"/>
  <c r="BY79" i="8"/>
  <c r="BW79" i="8"/>
  <c r="BV79" i="8"/>
  <c r="BU79" i="8"/>
  <c r="BT79" i="8"/>
  <c r="BR79" i="8"/>
  <c r="BQ79" i="8"/>
  <c r="BP79" i="8"/>
  <c r="BO79" i="8"/>
  <c r="BM79" i="8"/>
  <c r="BL79" i="8"/>
  <c r="BK79" i="8"/>
  <c r="BJ79" i="8"/>
  <c r="BH79" i="8"/>
  <c r="BG79" i="8"/>
  <c r="BF79" i="8"/>
  <c r="BE79" i="8"/>
  <c r="BE93" i="8" s="1"/>
  <c r="BC79" i="8"/>
  <c r="BB79" i="8"/>
  <c r="BA79" i="8"/>
  <c r="AZ79" i="8"/>
  <c r="AX79" i="8"/>
  <c r="AW79" i="8"/>
  <c r="AV79" i="8"/>
  <c r="AU79" i="8"/>
  <c r="AS79" i="8"/>
  <c r="AR79" i="8"/>
  <c r="AQ79" i="8"/>
  <c r="AP79" i="8"/>
  <c r="AN79" i="8"/>
  <c r="AM79" i="8"/>
  <c r="AL79" i="8"/>
  <c r="AK79" i="8"/>
  <c r="AI79" i="8"/>
  <c r="AH79" i="8"/>
  <c r="AG79" i="8"/>
  <c r="AF79" i="8"/>
  <c r="AD79" i="8"/>
  <c r="AC79" i="8"/>
  <c r="AB79" i="8"/>
  <c r="AA79" i="8"/>
  <c r="Y79" i="8"/>
  <c r="X79" i="8"/>
  <c r="W79" i="8"/>
  <c r="V79" i="8"/>
  <c r="T79" i="8"/>
  <c r="S79" i="8"/>
  <c r="R79" i="8"/>
  <c r="Q79" i="8"/>
  <c r="O79" i="8"/>
  <c r="N79" i="8"/>
  <c r="M79" i="8"/>
  <c r="L79" i="8"/>
  <c r="J79" i="8"/>
  <c r="I79" i="8"/>
  <c r="H79" i="8"/>
  <c r="G79" i="8"/>
  <c r="CK75" i="8"/>
  <c r="CK79" i="8" s="1"/>
  <c r="DG73" i="8"/>
  <c r="DB73" i="8"/>
  <c r="CW73" i="8"/>
  <c r="CR73" i="8"/>
  <c r="CM73" i="8"/>
  <c r="CH73" i="8"/>
  <c r="CC73" i="8"/>
  <c r="BX73" i="8"/>
  <c r="BS73" i="8"/>
  <c r="BN73" i="8"/>
  <c r="BI73" i="8"/>
  <c r="BD73" i="8"/>
  <c r="AY73" i="8"/>
  <c r="AT73" i="8"/>
  <c r="AO73" i="8"/>
  <c r="AJ73" i="8"/>
  <c r="AE73" i="8"/>
  <c r="Z73" i="8"/>
  <c r="U73" i="8"/>
  <c r="P73" i="8"/>
  <c r="K73" i="8"/>
  <c r="CP71" i="8"/>
  <c r="CO71" i="8"/>
  <c r="CN71" i="8"/>
  <c r="CL71" i="8"/>
  <c r="CK71" i="8"/>
  <c r="CJ71" i="8"/>
  <c r="CI71" i="8"/>
  <c r="CG71" i="8"/>
  <c r="CF71" i="8"/>
  <c r="CF93" i="8" s="1"/>
  <c r="CE71" i="8"/>
  <c r="CD71" i="8"/>
  <c r="CB71" i="8"/>
  <c r="CB93" i="8" s="1"/>
  <c r="CA71" i="8"/>
  <c r="CA93" i="8" s="1"/>
  <c r="BZ71" i="8"/>
  <c r="BY71" i="8"/>
  <c r="BW71" i="8"/>
  <c r="BV71" i="8"/>
  <c r="BV93" i="8" s="1"/>
  <c r="BU71" i="8"/>
  <c r="BT71" i="8"/>
  <c r="BR71" i="8"/>
  <c r="BQ71" i="8"/>
  <c r="BQ93" i="8" s="1"/>
  <c r="BP71" i="8"/>
  <c r="BO71" i="8"/>
  <c r="BM71" i="8"/>
  <c r="BL71" i="8"/>
  <c r="BL93" i="8" s="1"/>
  <c r="BK71" i="8"/>
  <c r="BJ71" i="8"/>
  <c r="BH71" i="8"/>
  <c r="BG71" i="8"/>
  <c r="BF71" i="8"/>
  <c r="BE71" i="8"/>
  <c r="BC71" i="8"/>
  <c r="BC93" i="8"/>
  <c r="BB71" i="8"/>
  <c r="BA71" i="8"/>
  <c r="AZ71" i="8"/>
  <c r="AX71" i="8"/>
  <c r="AX93" i="8" s="1"/>
  <c r="N71" i="8"/>
  <c r="N93" i="8" s="1"/>
  <c r="M71" i="8"/>
  <c r="L71" i="8"/>
  <c r="J71" i="8"/>
  <c r="I71" i="8"/>
  <c r="H71" i="8"/>
  <c r="G71" i="8"/>
  <c r="CT70" i="8"/>
  <c r="CT71" i="8" s="1"/>
  <c r="CS70" i="8"/>
  <c r="CS24" i="8" s="1"/>
  <c r="CQ70" i="8"/>
  <c r="CQ71" i="8" s="1"/>
  <c r="AW61" i="8"/>
  <c r="AW71" i="8" s="1"/>
  <c r="AV61" i="8"/>
  <c r="AV71" i="8"/>
  <c r="AU61" i="8"/>
  <c r="AU71" i="8"/>
  <c r="AS61" i="8"/>
  <c r="AS71" i="8" s="1"/>
  <c r="AR61" i="8"/>
  <c r="AQ61" i="8"/>
  <c r="AQ71" i="8" s="1"/>
  <c r="AP61" i="8"/>
  <c r="AP15" i="8" s="1"/>
  <c r="AN61" i="8"/>
  <c r="AN71" i="8" s="1"/>
  <c r="AN93" i="8" s="1"/>
  <c r="AM61" i="8"/>
  <c r="AM71" i="8" s="1"/>
  <c r="AL61" i="8"/>
  <c r="AL71" i="8" s="1"/>
  <c r="AK61" i="8"/>
  <c r="AK71" i="8" s="1"/>
  <c r="AI61" i="8"/>
  <c r="AI71" i="8" s="1"/>
  <c r="AH61" i="8"/>
  <c r="AH71" i="8" s="1"/>
  <c r="AG61" i="8"/>
  <c r="AG71" i="8" s="1"/>
  <c r="AF61" i="8"/>
  <c r="AF71" i="8" s="1"/>
  <c r="AD61" i="8"/>
  <c r="AD71" i="8" s="1"/>
  <c r="AC61" i="8"/>
  <c r="AC71" i="8" s="1"/>
  <c r="AC93" i="8" s="1"/>
  <c r="AB61" i="8"/>
  <c r="AB71" i="8" s="1"/>
  <c r="AA61" i="8"/>
  <c r="AA15" i="8" s="1"/>
  <c r="Y61" i="8"/>
  <c r="Y71" i="8" s="1"/>
  <c r="Y93" i="8" s="1"/>
  <c r="X61" i="8"/>
  <c r="X71" i="8" s="1"/>
  <c r="X93" i="8" s="1"/>
  <c r="W61" i="8"/>
  <c r="W71" i="8" s="1"/>
  <c r="V61" i="8"/>
  <c r="V71" i="8" s="1"/>
  <c r="V15" i="8"/>
  <c r="T61" i="8"/>
  <c r="T71" i="8" s="1"/>
  <c r="S61" i="8"/>
  <c r="S71" i="8" s="1"/>
  <c r="S93" i="8" s="1"/>
  <c r="R61" i="8"/>
  <c r="R71" i="8"/>
  <c r="R93" i="8" s="1"/>
  <c r="Q61" i="8"/>
  <c r="Q15" i="8" s="1"/>
  <c r="O61" i="8"/>
  <c r="O71" i="8" s="1"/>
  <c r="CM65" i="8"/>
  <c r="CH65" i="8"/>
  <c r="CC65" i="8"/>
  <c r="BX65" i="8"/>
  <c r="BS65" i="8"/>
  <c r="BN65" i="8"/>
  <c r="BI65" i="8"/>
  <c r="BD65" i="8"/>
  <c r="AY65" i="8"/>
  <c r="AT65" i="8"/>
  <c r="AO65" i="8"/>
  <c r="AJ65" i="8"/>
  <c r="AE65" i="8"/>
  <c r="Z65" i="8"/>
  <c r="U65" i="8"/>
  <c r="P65" i="8"/>
  <c r="K65" i="8"/>
  <c r="DC64" i="8"/>
  <c r="DD64" i="8" s="1"/>
  <c r="DE64" i="8" s="1"/>
  <c r="DF64" i="8" s="1"/>
  <c r="DC63" i="8"/>
  <c r="DD63" i="8" s="1"/>
  <c r="DE63" i="8" s="1"/>
  <c r="DF63" i="8" s="1"/>
  <c r="DC61" i="8"/>
  <c r="DD61" i="8" s="1"/>
  <c r="DE61" i="8" s="1"/>
  <c r="DF61" i="8" s="1"/>
  <c r="DC60" i="8"/>
  <c r="DD60" i="8" s="1"/>
  <c r="DE60" i="8" s="1"/>
  <c r="DF60" i="8" s="1"/>
  <c r="G49" i="8"/>
  <c r="K49" i="8" s="1"/>
  <c r="K95" i="8" s="1"/>
  <c r="CI48" i="8"/>
  <c r="CD48" i="8"/>
  <c r="CE48" i="8" s="1"/>
  <c r="CF48" i="8" s="1"/>
  <c r="BY48" i="8"/>
  <c r="BZ48" i="8"/>
  <c r="CA48" i="8" s="1"/>
  <c r="CB48" i="8" s="1"/>
  <c r="CC48" i="8" s="1"/>
  <c r="CC94" i="8" s="1"/>
  <c r="BT48" i="8"/>
  <c r="BU48" i="8" s="1"/>
  <c r="BV48" i="8" s="1"/>
  <c r="BW48" i="8" s="1"/>
  <c r="BX48" i="8" s="1"/>
  <c r="BX94" i="8" s="1"/>
  <c r="BO48" i="8"/>
  <c r="BP48" i="8"/>
  <c r="BQ48" i="8" s="1"/>
  <c r="BR48" i="8" s="1"/>
  <c r="BJ48" i="8"/>
  <c r="BK48" i="8" s="1"/>
  <c r="BL48" i="8" s="1"/>
  <c r="BM48" i="8" s="1"/>
  <c r="BN48" i="8" s="1"/>
  <c r="BN94" i="8" s="1"/>
  <c r="BE48" i="8"/>
  <c r="BF48" i="8" s="1"/>
  <c r="BG48" i="8" s="1"/>
  <c r="BH48" i="8" s="1"/>
  <c r="AZ48" i="8"/>
  <c r="BA48" i="8" s="1"/>
  <c r="BB48" i="8" s="1"/>
  <c r="BC48" i="8" s="1"/>
  <c r="BD48" i="8" s="1"/>
  <c r="BD94" i="8" s="1"/>
  <c r="AU48" i="8"/>
  <c r="AV48" i="8" s="1"/>
  <c r="AW48" i="8" s="1"/>
  <c r="AF48" i="8"/>
  <c r="AG48" i="8" s="1"/>
  <c r="AH48" i="8" s="1"/>
  <c r="AI48" i="8" s="1"/>
  <c r="AJ48" i="8" s="1"/>
  <c r="AJ94" i="8" s="1"/>
  <c r="AA48" i="8"/>
  <c r="V48" i="8"/>
  <c r="W48" i="8" s="1"/>
  <c r="X48" i="8" s="1"/>
  <c r="Y48" i="8" s="1"/>
  <c r="Z48" i="8" s="1"/>
  <c r="Z94" i="8" s="1"/>
  <c r="Q48" i="8"/>
  <c r="R48" i="8" s="1"/>
  <c r="S48" i="8" s="1"/>
  <c r="T48" i="8" s="1"/>
  <c r="U48" i="8" s="1"/>
  <c r="U94" i="8" s="1"/>
  <c r="L48" i="8"/>
  <c r="M48" i="8" s="1"/>
  <c r="N48" i="8" s="1"/>
  <c r="G48" i="8"/>
  <c r="H48" i="8" s="1"/>
  <c r="I48" i="8" s="1"/>
  <c r="J48" i="8" s="1"/>
  <c r="CS48" i="8"/>
  <c r="CT48" i="8" s="1"/>
  <c r="CU48" i="8" s="1"/>
  <c r="CV48" i="8" s="1"/>
  <c r="CW48" i="8" s="1"/>
  <c r="CW94" i="8" s="1"/>
  <c r="DG45" i="8"/>
  <c r="DG91" i="8" s="1"/>
  <c r="CS45" i="8"/>
  <c r="CT45" i="8" s="1"/>
  <c r="CN45" i="8"/>
  <c r="CO45" i="8" s="1"/>
  <c r="CI45" i="8"/>
  <c r="CJ45" i="8" s="1"/>
  <c r="CK45" i="8" s="1"/>
  <c r="CL45" i="8" s="1"/>
  <c r="CM45" i="8" s="1"/>
  <c r="CM91" i="8" s="1"/>
  <c r="CD45" i="8"/>
  <c r="CE45" i="8" s="1"/>
  <c r="CF45" i="8" s="1"/>
  <c r="CG45" i="8" s="1"/>
  <c r="CH45" i="8" s="1"/>
  <c r="CH91" i="8" s="1"/>
  <c r="BY45" i="8"/>
  <c r="BZ45" i="8" s="1"/>
  <c r="CA45" i="8" s="1"/>
  <c r="CB45" i="8" s="1"/>
  <c r="CC45" i="8" s="1"/>
  <c r="CC91" i="8" s="1"/>
  <c r="BT45" i="8"/>
  <c r="BU45" i="8" s="1"/>
  <c r="BV45" i="8" s="1"/>
  <c r="BW45" i="8" s="1"/>
  <c r="BX45" i="8" s="1"/>
  <c r="BX91" i="8" s="1"/>
  <c r="BO45" i="8"/>
  <c r="BP45" i="8" s="1"/>
  <c r="BJ45" i="8"/>
  <c r="BK45" i="8" s="1"/>
  <c r="BL45" i="8" s="1"/>
  <c r="BE45" i="8"/>
  <c r="BF45" i="8" s="1"/>
  <c r="AZ45" i="8"/>
  <c r="AU45" i="8"/>
  <c r="AV45" i="8" s="1"/>
  <c r="AW45" i="8" s="1"/>
  <c r="AP45" i="8"/>
  <c r="AQ45" i="8" s="1"/>
  <c r="AR45" i="8" s="1"/>
  <c r="AS45" i="8" s="1"/>
  <c r="AK45" i="8"/>
  <c r="AL45" i="8" s="1"/>
  <c r="AM45" i="8" s="1"/>
  <c r="AF45" i="8"/>
  <c r="AG45" i="8" s="1"/>
  <c r="AH45" i="8" s="1"/>
  <c r="AI45" i="8" s="1"/>
  <c r="AA45" i="8"/>
  <c r="AB45" i="8" s="1"/>
  <c r="AC45" i="8" s="1"/>
  <c r="AD45" i="8" s="1"/>
  <c r="AE45" i="8" s="1"/>
  <c r="AE91" i="8" s="1"/>
  <c r="V45" i="8"/>
  <c r="W45" i="8" s="1"/>
  <c r="X45" i="8" s="1"/>
  <c r="Y45" i="8" s="1"/>
  <c r="Q45" i="8"/>
  <c r="R45" i="8" s="1"/>
  <c r="S45" i="8" s="1"/>
  <c r="T45" i="8" s="1"/>
  <c r="L45" i="8"/>
  <c r="M45" i="8" s="1"/>
  <c r="G45" i="8"/>
  <c r="H45" i="8" s="1"/>
  <c r="I45" i="8" s="1"/>
  <c r="J45" i="8" s="1"/>
  <c r="K45" i="8" s="1"/>
  <c r="K91" i="8" s="1"/>
  <c r="CS42" i="8"/>
  <c r="CT42" i="8" s="1"/>
  <c r="CU42" i="8" s="1"/>
  <c r="CV42" i="8" s="1"/>
  <c r="CW42" i="8" s="1"/>
  <c r="CW88" i="8" s="1"/>
  <c r="CN42" i="8"/>
  <c r="CO42" i="8" s="1"/>
  <c r="CI42" i="8"/>
  <c r="CJ42" i="8" s="1"/>
  <c r="CD42" i="8"/>
  <c r="BY42" i="8"/>
  <c r="BZ42" i="8" s="1"/>
  <c r="CA42" i="8" s="1"/>
  <c r="CB42" i="8" s="1"/>
  <c r="BT42" i="8"/>
  <c r="BU42" i="8" s="1"/>
  <c r="BV42" i="8" s="1"/>
  <c r="BW42" i="8" s="1"/>
  <c r="BX42" i="8" s="1"/>
  <c r="BX88" i="8" s="1"/>
  <c r="BO42" i="8"/>
  <c r="BP42" i="8" s="1"/>
  <c r="BJ42" i="8"/>
  <c r="BK42" i="8" s="1"/>
  <c r="BL42" i="8" s="1"/>
  <c r="BM42" i="8" s="1"/>
  <c r="BE42" i="8"/>
  <c r="BF42" i="8" s="1"/>
  <c r="AZ42" i="8"/>
  <c r="BA42" i="8" s="1"/>
  <c r="BB42" i="8" s="1"/>
  <c r="BC42" i="8" s="1"/>
  <c r="AU42" i="8"/>
  <c r="AV42" i="8" s="1"/>
  <c r="AP42" i="8"/>
  <c r="AK42" i="8"/>
  <c r="AL42" i="8" s="1"/>
  <c r="AM42" i="8" s="1"/>
  <c r="AN42" i="8" s="1"/>
  <c r="AF42" i="8"/>
  <c r="AG42" i="8" s="1"/>
  <c r="AH42" i="8" s="1"/>
  <c r="AI42" i="8" s="1"/>
  <c r="AJ42" i="8" s="1"/>
  <c r="AJ88" i="8" s="1"/>
  <c r="AA42" i="8"/>
  <c r="V42" i="8"/>
  <c r="W42" i="8" s="1"/>
  <c r="X42" i="8" s="1"/>
  <c r="Q42" i="8"/>
  <c r="R42" i="8" s="1"/>
  <c r="L42" i="8"/>
  <c r="M42" i="8" s="1"/>
  <c r="G42" i="8"/>
  <c r="H42" i="8" s="1"/>
  <c r="I42" i="8" s="1"/>
  <c r="J42" i="8" s="1"/>
  <c r="CN41" i="8"/>
  <c r="DF40" i="8"/>
  <c r="DE40" i="8"/>
  <c r="DD40" i="8"/>
  <c r="DC40" i="8"/>
  <c r="DC86" i="8" s="1"/>
  <c r="CS40" i="8"/>
  <c r="CT40" i="8" s="1"/>
  <c r="CN40" i="8"/>
  <c r="CN101" i="1" s="1"/>
  <c r="CI40" i="8"/>
  <c r="CI101" i="1" s="1"/>
  <c r="CI103" i="1" s="1"/>
  <c r="CI91" i="1" s="1"/>
  <c r="CD40" i="8"/>
  <c r="CE40" i="8" s="1"/>
  <c r="BY40" i="8"/>
  <c r="BZ40" i="8" s="1"/>
  <c r="BT40" i="8"/>
  <c r="BT101" i="1" s="1"/>
  <c r="BO40" i="8"/>
  <c r="BJ40" i="8"/>
  <c r="BK40" i="8" s="1"/>
  <c r="BE40" i="8"/>
  <c r="AZ40" i="8"/>
  <c r="AU40" i="8"/>
  <c r="AP40" i="8"/>
  <c r="AQ40" i="8" s="1"/>
  <c r="AR40" i="8" s="1"/>
  <c r="AR101" i="1" s="1"/>
  <c r="AK40" i="8"/>
  <c r="AL40" i="8" s="1"/>
  <c r="AF40" i="8"/>
  <c r="AA40" i="8"/>
  <c r="V40" i="8"/>
  <c r="V101" i="1" s="1"/>
  <c r="Q40" i="8"/>
  <c r="L40" i="8"/>
  <c r="L101" i="1" s="1"/>
  <c r="G40" i="8"/>
  <c r="CS39" i="8"/>
  <c r="CT39" i="8" s="1"/>
  <c r="CU39" i="8" s="1"/>
  <c r="CN39" i="8"/>
  <c r="CI39" i="8"/>
  <c r="CJ39" i="8" s="1"/>
  <c r="CK39" i="8" s="1"/>
  <c r="CL39" i="8" s="1"/>
  <c r="CD39" i="8"/>
  <c r="CE39" i="8" s="1"/>
  <c r="BY39" i="8"/>
  <c r="BZ39" i="8" s="1"/>
  <c r="CA39" i="8" s="1"/>
  <c r="CB39" i="8" s="1"/>
  <c r="CC39" i="8" s="1"/>
  <c r="CC85" i="8" s="1"/>
  <c r="BT39" i="8"/>
  <c r="BU39" i="8" s="1"/>
  <c r="BO39" i="8"/>
  <c r="BJ39" i="8"/>
  <c r="BK39" i="8" s="1"/>
  <c r="BE39" i="8"/>
  <c r="BF39" i="8" s="1"/>
  <c r="BG39" i="8" s="1"/>
  <c r="BH39" i="8" s="1"/>
  <c r="AZ39" i="8"/>
  <c r="BA39" i="8" s="1"/>
  <c r="AU39" i="8"/>
  <c r="AV39" i="8" s="1"/>
  <c r="AW39" i="8" s="1"/>
  <c r="AP39" i="8"/>
  <c r="AQ39" i="8" s="1"/>
  <c r="AK39" i="8"/>
  <c r="AL39" i="8" s="1"/>
  <c r="AM39" i="8" s="1"/>
  <c r="AN39" i="8" s="1"/>
  <c r="AO39" i="8" s="1"/>
  <c r="AO85" i="8" s="1"/>
  <c r="AF39" i="8"/>
  <c r="AG39" i="8" s="1"/>
  <c r="AH39" i="8" s="1"/>
  <c r="AI39" i="8" s="1"/>
  <c r="AA39" i="8"/>
  <c r="AB39" i="8" s="1"/>
  <c r="V39" i="8"/>
  <c r="W39" i="8" s="1"/>
  <c r="Q39" i="8"/>
  <c r="R39" i="8" s="1"/>
  <c r="S39" i="8" s="1"/>
  <c r="T39" i="8" s="1"/>
  <c r="U39" i="8" s="1"/>
  <c r="U85" i="8" s="1"/>
  <c r="L39" i="8"/>
  <c r="G39" i="8"/>
  <c r="H39" i="8" s="1"/>
  <c r="DG41" i="8"/>
  <c r="DG87" i="8" s="1"/>
  <c r="CH41" i="8"/>
  <c r="CC41" i="8"/>
  <c r="DG39" i="8"/>
  <c r="DG85" i="8" s="1"/>
  <c r="CS38" i="8"/>
  <c r="CN38" i="8"/>
  <c r="CI38" i="8"/>
  <c r="CD38" i="8"/>
  <c r="BY38" i="8"/>
  <c r="BZ38" i="8" s="1"/>
  <c r="CA38" i="8" s="1"/>
  <c r="BT38" i="8"/>
  <c r="BO38" i="8"/>
  <c r="BJ38" i="8"/>
  <c r="BK38" i="8" s="1"/>
  <c r="BL38" i="8" s="1"/>
  <c r="BE38" i="8"/>
  <c r="BF38" i="8" s="1"/>
  <c r="BG38" i="8" s="1"/>
  <c r="BH38" i="8" s="1"/>
  <c r="BI38" i="8" s="1"/>
  <c r="BI84" i="8" s="1"/>
  <c r="AZ38" i="8"/>
  <c r="BA38" i="8" s="1"/>
  <c r="BB38" i="8" s="1"/>
  <c r="BC38" i="8" s="1"/>
  <c r="AU38" i="8"/>
  <c r="AP38" i="8"/>
  <c r="AQ38" i="8" s="1"/>
  <c r="AR38" i="8" s="1"/>
  <c r="AK38" i="8"/>
  <c r="AL38" i="8" s="1"/>
  <c r="AF38" i="8"/>
  <c r="AF96" i="1" s="1"/>
  <c r="AA38" i="8"/>
  <c r="AB38" i="8" s="1"/>
  <c r="V38" i="8"/>
  <c r="Q38" i="8"/>
  <c r="R38" i="8" s="1"/>
  <c r="L38" i="8"/>
  <c r="M38" i="8" s="1"/>
  <c r="N38" i="8" s="1"/>
  <c r="O38" i="8" s="1"/>
  <c r="P38" i="8" s="1"/>
  <c r="P84" i="8" s="1"/>
  <c r="G38" i="8"/>
  <c r="H38" i="8" s="1"/>
  <c r="CR37" i="8"/>
  <c r="CR83" i="8" s="1"/>
  <c r="CM37" i="8"/>
  <c r="CM83" i="8" s="1"/>
  <c r="DF37" i="8"/>
  <c r="DE37" i="8"/>
  <c r="DD37" i="8"/>
  <c r="DC37" i="8"/>
  <c r="DC83" i="8" s="1"/>
  <c r="CS36" i="8"/>
  <c r="CN36" i="8"/>
  <c r="CI36" i="8"/>
  <c r="CD36" i="8"/>
  <c r="BY36" i="8"/>
  <c r="BZ36" i="8" s="1"/>
  <c r="BT36" i="8"/>
  <c r="BO36" i="8"/>
  <c r="BP36" i="8" s="1"/>
  <c r="BJ36" i="8"/>
  <c r="BK36" i="8" s="1"/>
  <c r="BE36" i="8"/>
  <c r="AZ36" i="8"/>
  <c r="AU36" i="8"/>
  <c r="AU43" i="8" s="1"/>
  <c r="AP36" i="8"/>
  <c r="AK36" i="8"/>
  <c r="AF36" i="8"/>
  <c r="AA36" i="8"/>
  <c r="AA96" i="1" s="1"/>
  <c r="V36" i="8"/>
  <c r="Q36" i="8"/>
  <c r="R36" i="8" s="1"/>
  <c r="L36" i="8"/>
  <c r="G36" i="8"/>
  <c r="H36" i="8" s="1"/>
  <c r="DF32" i="8"/>
  <c r="DE32" i="8"/>
  <c r="DD32" i="8"/>
  <c r="DC32" i="8"/>
  <c r="CS32" i="8"/>
  <c r="CT32" i="8" s="1"/>
  <c r="CU32" i="8" s="1"/>
  <c r="CV32" i="8" s="1"/>
  <c r="CW32" i="8" s="1"/>
  <c r="CW78" i="8" s="1"/>
  <c r="CN32" i="8"/>
  <c r="CO32" i="8" s="1"/>
  <c r="CP32" i="8" s="1"/>
  <c r="CQ32" i="8" s="1"/>
  <c r="CI32" i="8"/>
  <c r="CD32" i="8"/>
  <c r="CE32" i="8" s="1"/>
  <c r="CF32" i="8" s="1"/>
  <c r="CG32" i="8" s="1"/>
  <c r="CH32" i="8" s="1"/>
  <c r="CH78" i="8" s="1"/>
  <c r="BY32" i="8"/>
  <c r="BZ32" i="8" s="1"/>
  <c r="CA32" i="8" s="1"/>
  <c r="CB32" i="8" s="1"/>
  <c r="BT32" i="8"/>
  <c r="BU32" i="8" s="1"/>
  <c r="BV32" i="8" s="1"/>
  <c r="BW32" i="8" s="1"/>
  <c r="BO32" i="8"/>
  <c r="BP32" i="8" s="1"/>
  <c r="BQ32" i="8" s="1"/>
  <c r="BJ32" i="8"/>
  <c r="BK32" i="8" s="1"/>
  <c r="BE32" i="8"/>
  <c r="BF32" i="8" s="1"/>
  <c r="BG32" i="8" s="1"/>
  <c r="BH32" i="8" s="1"/>
  <c r="BI32" i="8" s="1"/>
  <c r="BI78" i="8" s="1"/>
  <c r="AZ32" i="8"/>
  <c r="AU32" i="8"/>
  <c r="AV32" i="8" s="1"/>
  <c r="AP32" i="8"/>
  <c r="AQ32" i="8" s="1"/>
  <c r="AR32" i="8" s="1"/>
  <c r="AS32" i="8" s="1"/>
  <c r="AK32" i="8"/>
  <c r="AL32" i="8" s="1"/>
  <c r="AM32" i="8" s="1"/>
  <c r="AN32" i="8" s="1"/>
  <c r="AO32" i="8" s="1"/>
  <c r="AO78" i="8" s="1"/>
  <c r="AF32" i="8"/>
  <c r="AG32" i="8" s="1"/>
  <c r="AH32" i="8" s="1"/>
  <c r="AA32" i="8"/>
  <c r="V32" i="8"/>
  <c r="W32" i="8" s="1"/>
  <c r="X32" i="8" s="1"/>
  <c r="Y32" i="8" s="1"/>
  <c r="Z32" i="8" s="1"/>
  <c r="Z78" i="8" s="1"/>
  <c r="Q32" i="8"/>
  <c r="R32" i="8" s="1"/>
  <c r="S32" i="8" s="1"/>
  <c r="T32" i="8" s="1"/>
  <c r="U32" i="8" s="1"/>
  <c r="U78" i="8" s="1"/>
  <c r="L32" i="8"/>
  <c r="G32" i="8"/>
  <c r="H32" i="8" s="1"/>
  <c r="CS31" i="8"/>
  <c r="CT31" i="8" s="1"/>
  <c r="CN31" i="8"/>
  <c r="CO31" i="8" s="1"/>
  <c r="CP31" i="8" s="1"/>
  <c r="CQ31" i="8" s="1"/>
  <c r="CR31" i="8" s="1"/>
  <c r="CR77" i="8" s="1"/>
  <c r="CI31" i="8"/>
  <c r="CJ31" i="8" s="1"/>
  <c r="CD31" i="8"/>
  <c r="BY31" i="8"/>
  <c r="BZ31" i="8" s="1"/>
  <c r="CA31" i="8" s="1"/>
  <c r="CB31" i="8" s="1"/>
  <c r="BT31" i="8"/>
  <c r="BU31" i="8" s="1"/>
  <c r="BO31" i="8"/>
  <c r="BP31" i="8" s="1"/>
  <c r="BJ31" i="8"/>
  <c r="BK31" i="8" s="1"/>
  <c r="BL31" i="8" s="1"/>
  <c r="BE31" i="8"/>
  <c r="BF31" i="8" s="1"/>
  <c r="BG31" i="8" s="1"/>
  <c r="AZ31" i="8"/>
  <c r="AU31" i="8"/>
  <c r="AV31" i="8" s="1"/>
  <c r="AW31" i="8" s="1"/>
  <c r="AP31" i="8"/>
  <c r="AK31" i="8"/>
  <c r="AL31" i="8" s="1"/>
  <c r="AM31" i="8" s="1"/>
  <c r="AF31" i="8"/>
  <c r="AG31" i="8" s="1"/>
  <c r="AH31" i="8" s="1"/>
  <c r="AI31" i="8" s="1"/>
  <c r="AJ31" i="8" s="1"/>
  <c r="AJ77" i="8" s="1"/>
  <c r="AA31" i="8"/>
  <c r="V31" i="8"/>
  <c r="Q31" i="8"/>
  <c r="R31" i="8" s="1"/>
  <c r="S31" i="8" s="1"/>
  <c r="T31" i="8" s="1"/>
  <c r="U31" i="8" s="1"/>
  <c r="U77" i="8" s="1"/>
  <c r="L31" i="8"/>
  <c r="G31" i="8"/>
  <c r="CS30" i="8"/>
  <c r="CN30" i="8"/>
  <c r="CO30" i="8" s="1"/>
  <c r="CP30" i="8" s="1"/>
  <c r="CQ30" i="8" s="1"/>
  <c r="CR30" i="8" s="1"/>
  <c r="CR76" i="8" s="1"/>
  <c r="CI30" i="8"/>
  <c r="CJ30" i="8" s="1"/>
  <c r="CD30" i="8"/>
  <c r="CE30" i="8" s="1"/>
  <c r="BY30" i="8"/>
  <c r="BT30" i="8"/>
  <c r="BO30" i="8"/>
  <c r="BP30" i="8" s="1"/>
  <c r="BQ30" i="8" s="1"/>
  <c r="BR30" i="8" s="1"/>
  <c r="BJ30" i="8"/>
  <c r="BK30" i="8" s="1"/>
  <c r="BE30" i="8"/>
  <c r="BF30" i="8" s="1"/>
  <c r="AZ30" i="8"/>
  <c r="BA30" i="8" s="1"/>
  <c r="BB30" i="8" s="1"/>
  <c r="BC30" i="8" s="1"/>
  <c r="BD30" i="8" s="1"/>
  <c r="BD76" i="8" s="1"/>
  <c r="AU30" i="8"/>
  <c r="AV30" i="8" s="1"/>
  <c r="AP30" i="8"/>
  <c r="AQ30" i="8" s="1"/>
  <c r="AR30" i="8" s="1"/>
  <c r="AS30" i="8" s="1"/>
  <c r="AT30" i="8" s="1"/>
  <c r="AT76" i="8" s="1"/>
  <c r="AK30" i="8"/>
  <c r="AL30" i="8" s="1"/>
  <c r="AF30" i="8"/>
  <c r="AG30" i="8" s="1"/>
  <c r="AH30" i="8" s="1"/>
  <c r="AA30" i="8"/>
  <c r="AB30" i="8" s="1"/>
  <c r="V30" i="8"/>
  <c r="W30" i="8" s="1"/>
  <c r="Q30" i="8"/>
  <c r="R30" i="8" s="1"/>
  <c r="L30" i="8"/>
  <c r="M30" i="8" s="1"/>
  <c r="G30" i="8"/>
  <c r="H30" i="8" s="1"/>
  <c r="CI29" i="8"/>
  <c r="CD29" i="8"/>
  <c r="CE29" i="8" s="1"/>
  <c r="BY29" i="8"/>
  <c r="BZ29" i="8" s="1"/>
  <c r="BT29" i="8"/>
  <c r="BO29" i="8"/>
  <c r="BP29" i="8" s="1"/>
  <c r="BJ29" i="8"/>
  <c r="BK29" i="8" s="1"/>
  <c r="BE29" i="8"/>
  <c r="BF29" i="8" s="1"/>
  <c r="AZ29" i="8"/>
  <c r="AU29" i="8"/>
  <c r="AU89" i="4" s="1"/>
  <c r="AP29" i="8"/>
  <c r="AK29" i="8"/>
  <c r="AL29" i="8" s="1"/>
  <c r="AF29" i="8"/>
  <c r="AA29" i="8"/>
  <c r="AA89" i="4" s="1"/>
  <c r="V29" i="8"/>
  <c r="Q29" i="8"/>
  <c r="R29" i="8" s="1"/>
  <c r="L29" i="8"/>
  <c r="L89" i="4" s="1"/>
  <c r="G29" i="8"/>
  <c r="CS29" i="8"/>
  <c r="CS89" i="4" s="1"/>
  <c r="CN29" i="8"/>
  <c r="CO29" i="8" s="1"/>
  <c r="CS28" i="8"/>
  <c r="CN28" i="8"/>
  <c r="CI28" i="8"/>
  <c r="CI101" i="8" s="1"/>
  <c r="CD28" i="8"/>
  <c r="CE28" i="8" s="1"/>
  <c r="BY28" i="8"/>
  <c r="BT28" i="8"/>
  <c r="BT101" i="8" s="1"/>
  <c r="BO28" i="8"/>
  <c r="BO88" i="4" s="1"/>
  <c r="BO106" i="4" s="1"/>
  <c r="BJ28" i="8"/>
  <c r="BJ88" i="4" s="1"/>
  <c r="BJ106" i="4" s="1"/>
  <c r="BE28" i="8"/>
  <c r="BE101" i="8" s="1"/>
  <c r="AZ28" i="8"/>
  <c r="AU28" i="8"/>
  <c r="AP28" i="8"/>
  <c r="AQ28" i="8" s="1"/>
  <c r="AK28" i="8"/>
  <c r="AK101" i="8" s="1"/>
  <c r="AF28" i="8"/>
  <c r="AF88" i="4" s="1"/>
  <c r="AA28" i="8"/>
  <c r="AB28" i="8" s="1"/>
  <c r="V28" i="8"/>
  <c r="W28" i="8" s="1"/>
  <c r="Q28" i="8"/>
  <c r="Q101" i="8" s="1"/>
  <c r="L28" i="8"/>
  <c r="G28" i="8"/>
  <c r="H28" i="8" s="1"/>
  <c r="CN24" i="8"/>
  <c r="CO24" i="8" s="1"/>
  <c r="CI24" i="8"/>
  <c r="CJ24" i="8" s="1"/>
  <c r="CK24" i="8" s="1"/>
  <c r="CL24" i="8" s="1"/>
  <c r="CM24" i="8" s="1"/>
  <c r="CM70" i="8" s="1"/>
  <c r="CD24" i="8"/>
  <c r="CE24" i="8" s="1"/>
  <c r="CF24" i="8" s="1"/>
  <c r="CG24" i="8" s="1"/>
  <c r="BY24" i="8"/>
  <c r="BZ24" i="8" s="1"/>
  <c r="CA24" i="8" s="1"/>
  <c r="CB24" i="8" s="1"/>
  <c r="CC24" i="8" s="1"/>
  <c r="CC70" i="8" s="1"/>
  <c r="BT24" i="8"/>
  <c r="BU24" i="8" s="1"/>
  <c r="BO24" i="8"/>
  <c r="BP24" i="8" s="1"/>
  <c r="BQ24" i="8" s="1"/>
  <c r="BR24" i="8" s="1"/>
  <c r="BS24" i="8" s="1"/>
  <c r="BS70" i="8" s="1"/>
  <c r="BJ24" i="8"/>
  <c r="BK24" i="8" s="1"/>
  <c r="BE24" i="8"/>
  <c r="BF24" i="8" s="1"/>
  <c r="AZ24" i="8"/>
  <c r="BA24" i="8" s="1"/>
  <c r="BB24" i="8" s="1"/>
  <c r="AU24" i="8"/>
  <c r="AV24" i="8" s="1"/>
  <c r="AW24" i="8" s="1"/>
  <c r="AX24" i="8" s="1"/>
  <c r="AY24" i="8" s="1"/>
  <c r="AY70" i="8" s="1"/>
  <c r="AP24" i="8"/>
  <c r="AQ24" i="8" s="1"/>
  <c r="AK24" i="8"/>
  <c r="AL24" i="8" s="1"/>
  <c r="AF24" i="8"/>
  <c r="AG24" i="8" s="1"/>
  <c r="AH24" i="8" s="1"/>
  <c r="AA24" i="8"/>
  <c r="AB24" i="8" s="1"/>
  <c r="AC24" i="8" s="1"/>
  <c r="AD24" i="8" s="1"/>
  <c r="AE24" i="8" s="1"/>
  <c r="AE70" i="8" s="1"/>
  <c r="V24" i="8"/>
  <c r="W24" i="8" s="1"/>
  <c r="X24" i="8" s="1"/>
  <c r="Y24" i="8" s="1"/>
  <c r="Z24" i="8" s="1"/>
  <c r="Z70" i="8" s="1"/>
  <c r="Q24" i="8"/>
  <c r="R24" i="8" s="1"/>
  <c r="L24" i="8"/>
  <c r="M24" i="8" s="1"/>
  <c r="N24" i="8" s="1"/>
  <c r="O24" i="8" s="1"/>
  <c r="G24" i="8"/>
  <c r="H24" i="8" s="1"/>
  <c r="I24" i="8" s="1"/>
  <c r="J24" i="8" s="1"/>
  <c r="CS23" i="8"/>
  <c r="CN23" i="8"/>
  <c r="CO23" i="8" s="1"/>
  <c r="CP23" i="8" s="1"/>
  <c r="CQ23" i="8" s="1"/>
  <c r="CI23" i="8"/>
  <c r="CJ23" i="8" s="1"/>
  <c r="CK23" i="8" s="1"/>
  <c r="CL23" i="8" s="1"/>
  <c r="CD23" i="8"/>
  <c r="CE23" i="8" s="1"/>
  <c r="CF23" i="8" s="1"/>
  <c r="CG23" i="8" s="1"/>
  <c r="BY23" i="8"/>
  <c r="BZ23" i="8" s="1"/>
  <c r="CA23" i="8" s="1"/>
  <c r="BT23" i="8"/>
  <c r="BU23" i="8" s="1"/>
  <c r="BV23" i="8" s="1"/>
  <c r="BW23" i="8" s="1"/>
  <c r="BX23" i="8" s="1"/>
  <c r="BX69" i="8" s="1"/>
  <c r="BO23" i="8"/>
  <c r="BP23" i="8" s="1"/>
  <c r="BJ23" i="8"/>
  <c r="BK23" i="8" s="1"/>
  <c r="BL23" i="8" s="1"/>
  <c r="BM23" i="8" s="1"/>
  <c r="BN23" i="8" s="1"/>
  <c r="BN69" i="8" s="1"/>
  <c r="BE23" i="8"/>
  <c r="BF23" i="8" s="1"/>
  <c r="BG23" i="8" s="1"/>
  <c r="BH23" i="8" s="1"/>
  <c r="AZ23" i="8"/>
  <c r="BA23" i="8" s="1"/>
  <c r="AU23" i="8"/>
  <c r="AV23" i="8" s="1"/>
  <c r="AW23" i="8" s="1"/>
  <c r="AX23" i="8" s="1"/>
  <c r="AY23" i="8" s="1"/>
  <c r="AY69" i="8" s="1"/>
  <c r="AP23" i="8"/>
  <c r="AQ23" i="8" s="1"/>
  <c r="AR23" i="8" s="1"/>
  <c r="AK23" i="8"/>
  <c r="AF23" i="8"/>
  <c r="AG23" i="8" s="1"/>
  <c r="AH23" i="8" s="1"/>
  <c r="AA23" i="8"/>
  <c r="AB23" i="8" s="1"/>
  <c r="AC23" i="8" s="1"/>
  <c r="V23" i="8"/>
  <c r="W23" i="8" s="1"/>
  <c r="X23" i="8" s="1"/>
  <c r="Y23" i="8" s="1"/>
  <c r="Z23" i="8" s="1"/>
  <c r="Z69" i="8" s="1"/>
  <c r="Q23" i="8"/>
  <c r="R23" i="8" s="1"/>
  <c r="S23" i="8" s="1"/>
  <c r="T23" i="8" s="1"/>
  <c r="L23" i="8"/>
  <c r="M23" i="8" s="1"/>
  <c r="G23" i="8"/>
  <c r="H23" i="8" s="1"/>
  <c r="CS22" i="8"/>
  <c r="CT22" i="8" s="1"/>
  <c r="CU22" i="8" s="1"/>
  <c r="CV22" i="8" s="1"/>
  <c r="CW22" i="8" s="1"/>
  <c r="CW68" i="8" s="1"/>
  <c r="CN22" i="8"/>
  <c r="CI22" i="8"/>
  <c r="CJ22" i="8" s="1"/>
  <c r="CK22" i="8" s="1"/>
  <c r="CL22" i="8" s="1"/>
  <c r="CM22" i="8" s="1"/>
  <c r="CM68" i="8" s="1"/>
  <c r="CD22" i="8"/>
  <c r="CE22" i="8" s="1"/>
  <c r="BY22" i="8"/>
  <c r="BZ22" i="8" s="1"/>
  <c r="CA22" i="8" s="1"/>
  <c r="CB22" i="8" s="1"/>
  <c r="CC22" i="8" s="1"/>
  <c r="CC68" i="8" s="1"/>
  <c r="BT22" i="8"/>
  <c r="BU22" i="8" s="1"/>
  <c r="BO22" i="8"/>
  <c r="BP22" i="8" s="1"/>
  <c r="BQ22" i="8" s="1"/>
  <c r="BJ22" i="8"/>
  <c r="BK22" i="8" s="1"/>
  <c r="BE22" i="8"/>
  <c r="BF22" i="8" s="1"/>
  <c r="BG22" i="8" s="1"/>
  <c r="BH22" i="8" s="1"/>
  <c r="BI22" i="8" s="1"/>
  <c r="BI68" i="8" s="1"/>
  <c r="AZ22" i="8"/>
  <c r="BA22" i="8" s="1"/>
  <c r="AU22" i="8"/>
  <c r="AP22" i="8"/>
  <c r="AQ22" i="8" s="1"/>
  <c r="AK22" i="8"/>
  <c r="AF22" i="8"/>
  <c r="AA22" i="8"/>
  <c r="AB22" i="8" s="1"/>
  <c r="AC22" i="8" s="1"/>
  <c r="V22" i="8"/>
  <c r="Q22" i="8"/>
  <c r="R22" i="8" s="1"/>
  <c r="S22" i="8" s="1"/>
  <c r="T22" i="8" s="1"/>
  <c r="U22" i="8" s="1"/>
  <c r="U68" i="8" s="1"/>
  <c r="L22" i="8"/>
  <c r="G22" i="8"/>
  <c r="H22" i="8" s="1"/>
  <c r="CS21" i="8"/>
  <c r="CT21" i="8" s="1"/>
  <c r="CU21" i="8" s="1"/>
  <c r="CV21" i="8" s="1"/>
  <c r="CW21" i="8" s="1"/>
  <c r="CW67" i="8" s="1"/>
  <c r="CN21" i="8"/>
  <c r="CO21" i="8" s="1"/>
  <c r="CP21" i="8" s="1"/>
  <c r="CQ21" i="8" s="1"/>
  <c r="CR21" i="8" s="1"/>
  <c r="CR67" i="8" s="1"/>
  <c r="CI21" i="8"/>
  <c r="CJ21" i="8" s="1"/>
  <c r="CD21" i="8"/>
  <c r="BY21" i="8"/>
  <c r="BZ21" i="8" s="1"/>
  <c r="CA21" i="8" s="1"/>
  <c r="CB21" i="8" s="1"/>
  <c r="CC21" i="8" s="1"/>
  <c r="CC67" i="8" s="1"/>
  <c r="BT21" i="8"/>
  <c r="BU21" i="8" s="1"/>
  <c r="BV21" i="8" s="1"/>
  <c r="BW21" i="8" s="1"/>
  <c r="BO21" i="8"/>
  <c r="BP21" i="8" s="1"/>
  <c r="BJ21" i="8"/>
  <c r="BE21" i="8"/>
  <c r="BF21" i="8" s="1"/>
  <c r="AZ21" i="8"/>
  <c r="BA21" i="8" s="1"/>
  <c r="BB21" i="8" s="1"/>
  <c r="BC21" i="8" s="1"/>
  <c r="BD21" i="8" s="1"/>
  <c r="BD67" i="8" s="1"/>
  <c r="AU21" i="8"/>
  <c r="AV21" i="8" s="1"/>
  <c r="AP21" i="8"/>
  <c r="AK21" i="8"/>
  <c r="AL21" i="8" s="1"/>
  <c r="AM21" i="8" s="1"/>
  <c r="AN21" i="8" s="1"/>
  <c r="AO21" i="8" s="1"/>
  <c r="AO67" i="8" s="1"/>
  <c r="AF21" i="8"/>
  <c r="AG21" i="8" s="1"/>
  <c r="AH21" i="8" s="1"/>
  <c r="AA21" i="8"/>
  <c r="V21" i="8"/>
  <c r="W21" i="8" s="1"/>
  <c r="X21" i="8" s="1"/>
  <c r="Y21" i="8" s="1"/>
  <c r="Q21" i="8"/>
  <c r="R21" i="8" s="1"/>
  <c r="L21" i="8"/>
  <c r="M21" i="8" s="1"/>
  <c r="N21" i="8" s="1"/>
  <c r="O21" i="8" s="1"/>
  <c r="P21" i="8" s="1"/>
  <c r="P67" i="8" s="1"/>
  <c r="G21" i="8"/>
  <c r="H21" i="8" s="1"/>
  <c r="CS20" i="8"/>
  <c r="CN20" i="8"/>
  <c r="CO20" i="8" s="1"/>
  <c r="CP20" i="8" s="1"/>
  <c r="CI20" i="8"/>
  <c r="CJ20" i="8" s="1"/>
  <c r="CK20" i="8" s="1"/>
  <c r="CL20" i="8" s="1"/>
  <c r="CD20" i="8"/>
  <c r="BY20" i="8"/>
  <c r="BZ20" i="8" s="1"/>
  <c r="BT20" i="8"/>
  <c r="BU20" i="8" s="1"/>
  <c r="BO20" i="8"/>
  <c r="BP20" i="8" s="1"/>
  <c r="BQ20" i="8" s="1"/>
  <c r="BR20" i="8" s="1"/>
  <c r="BS20" i="8" s="1"/>
  <c r="BS66" i="8" s="1"/>
  <c r="BJ20" i="8"/>
  <c r="BK20" i="8" s="1"/>
  <c r="BL20" i="8" s="1"/>
  <c r="BM20" i="8" s="1"/>
  <c r="BN20" i="8" s="1"/>
  <c r="BN66" i="8" s="1"/>
  <c r="BE20" i="8"/>
  <c r="AZ20" i="8"/>
  <c r="BA20" i="8" s="1"/>
  <c r="AU20" i="8"/>
  <c r="AP20" i="8"/>
  <c r="AQ20" i="8" s="1"/>
  <c r="AK20" i="8"/>
  <c r="AF20" i="8"/>
  <c r="AG20" i="8" s="1"/>
  <c r="AH20" i="8" s="1"/>
  <c r="AA20" i="8"/>
  <c r="AB20" i="8" s="1"/>
  <c r="AC20" i="8" s="1"/>
  <c r="AD20" i="8" s="1"/>
  <c r="AE20" i="8" s="1"/>
  <c r="AE66" i="8" s="1"/>
  <c r="V20" i="8"/>
  <c r="W20" i="8" s="1"/>
  <c r="Q20" i="8"/>
  <c r="R20" i="8" s="1"/>
  <c r="S20" i="8" s="1"/>
  <c r="L20" i="8"/>
  <c r="M20" i="8" s="1"/>
  <c r="N20" i="8" s="1"/>
  <c r="O20" i="8" s="1"/>
  <c r="P20" i="8" s="1"/>
  <c r="P66" i="8" s="1"/>
  <c r="G20" i="8"/>
  <c r="H20" i="8" s="1"/>
  <c r="I20" i="8" s="1"/>
  <c r="J20" i="8" s="1"/>
  <c r="K20" i="8" s="1"/>
  <c r="K66" i="8" s="1"/>
  <c r="CS18" i="8"/>
  <c r="CT18" i="8" s="1"/>
  <c r="CN18" i="8"/>
  <c r="CO18" i="8" s="1"/>
  <c r="CP18" i="8" s="1"/>
  <c r="CQ18" i="8" s="1"/>
  <c r="CR18" i="8" s="1"/>
  <c r="CR64" i="8" s="1"/>
  <c r="CI18" i="8"/>
  <c r="CJ18" i="8" s="1"/>
  <c r="CK18" i="8" s="1"/>
  <c r="CL18" i="8" s="1"/>
  <c r="CM18" i="8" s="1"/>
  <c r="CM64" i="8" s="1"/>
  <c r="CD18" i="8"/>
  <c r="CE18" i="8" s="1"/>
  <c r="CF18" i="8" s="1"/>
  <c r="BY18" i="8"/>
  <c r="BZ18" i="8" s="1"/>
  <c r="BT18" i="8"/>
  <c r="BU18" i="8" s="1"/>
  <c r="BO18" i="8"/>
  <c r="BP18" i="8" s="1"/>
  <c r="BJ18" i="8"/>
  <c r="BK18" i="8" s="1"/>
  <c r="BE18" i="8"/>
  <c r="BF18" i="8" s="1"/>
  <c r="AZ18" i="8"/>
  <c r="BA18" i="8" s="1"/>
  <c r="BB18" i="8" s="1"/>
  <c r="BC18" i="8" s="1"/>
  <c r="BD18" i="8" s="1"/>
  <c r="BD64" i="8" s="1"/>
  <c r="AU18" i="8"/>
  <c r="AV18" i="8" s="1"/>
  <c r="AP18" i="8"/>
  <c r="AQ18" i="8" s="1"/>
  <c r="AR18" i="8" s="1"/>
  <c r="AK18" i="8"/>
  <c r="AL18" i="8" s="1"/>
  <c r="AF18" i="8"/>
  <c r="AG18" i="8" s="1"/>
  <c r="AH18" i="8" s="1"/>
  <c r="AI18" i="8" s="1"/>
  <c r="AA18" i="8"/>
  <c r="AB18" i="8" s="1"/>
  <c r="AC18" i="8" s="1"/>
  <c r="AD18" i="8" s="1"/>
  <c r="AE18" i="8" s="1"/>
  <c r="AE64" i="8" s="1"/>
  <c r="V18" i="8"/>
  <c r="W18" i="8" s="1"/>
  <c r="X18" i="8" s="1"/>
  <c r="Y18" i="8" s="1"/>
  <c r="Z18" i="8" s="1"/>
  <c r="Z64" i="8" s="1"/>
  <c r="Q18" i="8"/>
  <c r="L18" i="8"/>
  <c r="M18" i="8" s="1"/>
  <c r="G18" i="8"/>
  <c r="H18" i="8" s="1"/>
  <c r="I18" i="8" s="1"/>
  <c r="J18" i="8" s="1"/>
  <c r="K18" i="8" s="1"/>
  <c r="K64" i="8" s="1"/>
  <c r="CS17" i="8"/>
  <c r="CT17" i="8" s="1"/>
  <c r="CU17" i="8" s="1"/>
  <c r="CV17" i="8" s="1"/>
  <c r="CN17" i="8"/>
  <c r="CO17" i="8" s="1"/>
  <c r="CP17" i="8" s="1"/>
  <c r="CQ17" i="8" s="1"/>
  <c r="CR17" i="8" s="1"/>
  <c r="CR63" i="8" s="1"/>
  <c r="CI17" i="8"/>
  <c r="CJ17" i="8" s="1"/>
  <c r="CD17" i="8"/>
  <c r="CE17" i="8" s="1"/>
  <c r="CF17" i="8" s="1"/>
  <c r="BY17" i="8"/>
  <c r="BZ17" i="8" s="1"/>
  <c r="BT17" i="8"/>
  <c r="BU17" i="8" s="1"/>
  <c r="BV17" i="8" s="1"/>
  <c r="BW17" i="8" s="1"/>
  <c r="BO17" i="8"/>
  <c r="BP17" i="8" s="1"/>
  <c r="BQ17" i="8" s="1"/>
  <c r="BR17" i="8" s="1"/>
  <c r="BS17" i="8" s="1"/>
  <c r="BS63" i="8" s="1"/>
  <c r="BJ17" i="8"/>
  <c r="BK17" i="8" s="1"/>
  <c r="BL17" i="8" s="1"/>
  <c r="BM17" i="8" s="1"/>
  <c r="BN17" i="8" s="1"/>
  <c r="BN63" i="8" s="1"/>
  <c r="BE17" i="8"/>
  <c r="BF17" i="8" s="1"/>
  <c r="BG17" i="8" s="1"/>
  <c r="BH17" i="8" s="1"/>
  <c r="BI17" i="8" s="1"/>
  <c r="BI63" i="8" s="1"/>
  <c r="AZ17" i="8"/>
  <c r="BA17" i="8" s="1"/>
  <c r="BB17" i="8" s="1"/>
  <c r="AU17" i="8"/>
  <c r="AV17" i="8" s="1"/>
  <c r="AW17" i="8" s="1"/>
  <c r="AX17" i="8" s="1"/>
  <c r="AY17" i="8" s="1"/>
  <c r="AY63" i="8" s="1"/>
  <c r="AP17" i="8"/>
  <c r="AQ17" i="8" s="1"/>
  <c r="AK17" i="8"/>
  <c r="AL17" i="8" s="1"/>
  <c r="AM17" i="8" s="1"/>
  <c r="AN17" i="8" s="1"/>
  <c r="AF17" i="8"/>
  <c r="AG17" i="8" s="1"/>
  <c r="AA17" i="8"/>
  <c r="AB17" i="8" s="1"/>
  <c r="V17" i="8"/>
  <c r="W17" i="8" s="1"/>
  <c r="X17" i="8" s="1"/>
  <c r="Q17" i="8"/>
  <c r="R17" i="8" s="1"/>
  <c r="S17" i="8" s="1"/>
  <c r="T17" i="8" s="1"/>
  <c r="L17" i="8"/>
  <c r="M17" i="8" s="1"/>
  <c r="N17" i="8" s="1"/>
  <c r="O17" i="8" s="1"/>
  <c r="G17" i="8"/>
  <c r="H17" i="8" s="1"/>
  <c r="I17" i="8" s="1"/>
  <c r="J17" i="8" s="1"/>
  <c r="K17" i="8" s="1"/>
  <c r="K63" i="8" s="1"/>
  <c r="CS16" i="8"/>
  <c r="CT16" i="8" s="1"/>
  <c r="CN16" i="8"/>
  <c r="CO16" i="8" s="1"/>
  <c r="CI16" i="8"/>
  <c r="CJ16" i="8" s="1"/>
  <c r="CK16" i="8" s="1"/>
  <c r="CL16" i="8" s="1"/>
  <c r="CD16" i="8"/>
  <c r="CE16" i="8" s="1"/>
  <c r="CF16" i="8" s="1"/>
  <c r="CG16" i="8" s="1"/>
  <c r="CH16" i="8" s="1"/>
  <c r="CH62" i="8" s="1"/>
  <c r="BY16" i="8"/>
  <c r="BZ16" i="8" s="1"/>
  <c r="CA16" i="8" s="1"/>
  <c r="BT16" i="8"/>
  <c r="BU16" i="8" s="1"/>
  <c r="BV16" i="8" s="1"/>
  <c r="BW16" i="8" s="1"/>
  <c r="BX16" i="8" s="1"/>
  <c r="BX62" i="8" s="1"/>
  <c r="BO16" i="8"/>
  <c r="BP16" i="8" s="1"/>
  <c r="BQ16" i="8" s="1"/>
  <c r="BJ16" i="8"/>
  <c r="BE16" i="8"/>
  <c r="BF16" i="8" s="1"/>
  <c r="BG16" i="8" s="1"/>
  <c r="BH16" i="8" s="1"/>
  <c r="BI16" i="8" s="1"/>
  <c r="BI62" i="8" s="1"/>
  <c r="AZ16" i="8"/>
  <c r="BA16" i="8" s="1"/>
  <c r="BB16" i="8" s="1"/>
  <c r="AU16" i="8"/>
  <c r="AP16" i="8"/>
  <c r="AQ16" i="8" s="1"/>
  <c r="AK16" i="8"/>
  <c r="AF16" i="8"/>
  <c r="AG16" i="8" s="1"/>
  <c r="AH16" i="8" s="1"/>
  <c r="AI16" i="8" s="1"/>
  <c r="AJ16" i="8" s="1"/>
  <c r="AJ62" i="8" s="1"/>
  <c r="AA16" i="8"/>
  <c r="AB16" i="8" s="1"/>
  <c r="V16" i="8"/>
  <c r="W16" i="8" s="1"/>
  <c r="X16" i="8" s="1"/>
  <c r="Y16" i="8" s="1"/>
  <c r="Z16" i="8" s="1"/>
  <c r="Z62" i="8" s="1"/>
  <c r="Q16" i="8"/>
  <c r="R16" i="8" s="1"/>
  <c r="S16" i="8" s="1"/>
  <c r="T16" i="8" s="1"/>
  <c r="U16" i="8" s="1"/>
  <c r="U62" i="8" s="1"/>
  <c r="L16" i="8"/>
  <c r="M16" i="8" s="1"/>
  <c r="N16" i="8" s="1"/>
  <c r="G16" i="8"/>
  <c r="H16" i="8" s="1"/>
  <c r="I16" i="8" s="1"/>
  <c r="J16" i="8" s="1"/>
  <c r="CS15" i="8"/>
  <c r="CT15" i="8" s="1"/>
  <c r="CU15" i="8" s="1"/>
  <c r="CV15" i="8" s="1"/>
  <c r="CW15" i="8" s="1"/>
  <c r="CW61" i="8" s="1"/>
  <c r="CN15" i="8"/>
  <c r="CO15" i="8" s="1"/>
  <c r="CP15" i="8" s="1"/>
  <c r="CQ15" i="8" s="1"/>
  <c r="CR15" i="8" s="1"/>
  <c r="CR61" i="8" s="1"/>
  <c r="CI15" i="8"/>
  <c r="CJ15" i="8" s="1"/>
  <c r="CK15" i="8" s="1"/>
  <c r="CL15" i="8" s="1"/>
  <c r="CM15" i="8" s="1"/>
  <c r="CM61" i="8" s="1"/>
  <c r="CD15" i="8"/>
  <c r="CE15" i="8" s="1"/>
  <c r="CF15" i="8" s="1"/>
  <c r="CG15" i="8" s="1"/>
  <c r="BY15" i="8"/>
  <c r="BZ15" i="8" s="1"/>
  <c r="CA15" i="8" s="1"/>
  <c r="CB15" i="8" s="1"/>
  <c r="BT15" i="8"/>
  <c r="BU15" i="8" s="1"/>
  <c r="BV15" i="8" s="1"/>
  <c r="BW15" i="8" s="1"/>
  <c r="BO15" i="8"/>
  <c r="BP15" i="8" s="1"/>
  <c r="BQ15" i="8" s="1"/>
  <c r="BR15" i="8" s="1"/>
  <c r="BS15" i="8" s="1"/>
  <c r="BS61" i="8" s="1"/>
  <c r="BJ15" i="8"/>
  <c r="BK15" i="8" s="1"/>
  <c r="BE15" i="8"/>
  <c r="BF15" i="8" s="1"/>
  <c r="BG15" i="8" s="1"/>
  <c r="AZ15" i="8"/>
  <c r="BA15" i="8" s="1"/>
  <c r="BB15" i="8" s="1"/>
  <c r="BC15" i="8" s="1"/>
  <c r="BD15" i="8" s="1"/>
  <c r="BD61" i="8" s="1"/>
  <c r="L15" i="8"/>
  <c r="M15" i="8" s="1"/>
  <c r="G15" i="8"/>
  <c r="CS14" i="8"/>
  <c r="CT14" i="8" s="1"/>
  <c r="CU14" i="8" s="1"/>
  <c r="CV14" i="8" s="1"/>
  <c r="CW14" i="8" s="1"/>
  <c r="CW60" i="8" s="1"/>
  <c r="CN14" i="8"/>
  <c r="CO14" i="8" s="1"/>
  <c r="CP14" i="8" s="1"/>
  <c r="CQ14" i="8" s="1"/>
  <c r="CR14" i="8" s="1"/>
  <c r="CR60" i="8" s="1"/>
  <c r="CI14" i="8"/>
  <c r="CJ14" i="8" s="1"/>
  <c r="CK14" i="8" s="1"/>
  <c r="CL14" i="8" s="1"/>
  <c r="CM14" i="8" s="1"/>
  <c r="CM60" i="8" s="1"/>
  <c r="CD14" i="8"/>
  <c r="CE14" i="8" s="1"/>
  <c r="BY14" i="8"/>
  <c r="BT14" i="8"/>
  <c r="BU14" i="8" s="1"/>
  <c r="BV14" i="8" s="1"/>
  <c r="BW14" i="8" s="1"/>
  <c r="BO14" i="8"/>
  <c r="BP14" i="8" s="1"/>
  <c r="BQ14" i="8" s="1"/>
  <c r="BJ14" i="8"/>
  <c r="BK14" i="8" s="1"/>
  <c r="BL14" i="8" s="1"/>
  <c r="BM14" i="8" s="1"/>
  <c r="BN14" i="8" s="1"/>
  <c r="BN60" i="8" s="1"/>
  <c r="BE14" i="8"/>
  <c r="BF14" i="8" s="1"/>
  <c r="AZ14" i="8"/>
  <c r="BA14" i="8" s="1"/>
  <c r="AU14" i="8"/>
  <c r="AV14" i="8" s="1"/>
  <c r="AW14" i="8" s="1"/>
  <c r="AX14" i="8" s="1"/>
  <c r="AY14" i="8" s="1"/>
  <c r="AY60" i="8" s="1"/>
  <c r="AP14" i="8"/>
  <c r="AQ14" i="8" s="1"/>
  <c r="AR14" i="8" s="1"/>
  <c r="AS14" i="8" s="1"/>
  <c r="AT14" i="8" s="1"/>
  <c r="AT60" i="8" s="1"/>
  <c r="AK14" i="8"/>
  <c r="AL14" i="8" s="1"/>
  <c r="AF14" i="8"/>
  <c r="AG14" i="8" s="1"/>
  <c r="AH14" i="8" s="1"/>
  <c r="AI14" i="8" s="1"/>
  <c r="AJ14" i="8" s="1"/>
  <c r="AJ60" i="8" s="1"/>
  <c r="AA14" i="8"/>
  <c r="V14" i="8"/>
  <c r="Q14" i="8"/>
  <c r="R14" i="8" s="1"/>
  <c r="L14" i="8"/>
  <c r="M14" i="8" s="1"/>
  <c r="N14" i="8" s="1"/>
  <c r="O14" i="8" s="1"/>
  <c r="G14" i="8"/>
  <c r="H14" i="8" s="1"/>
  <c r="DG18" i="8"/>
  <c r="DG64" i="8" s="1"/>
  <c r="DG17" i="8"/>
  <c r="DG63" i="8" s="1"/>
  <c r="DG15" i="8"/>
  <c r="DG61" i="8" s="1"/>
  <c r="DG14" i="8"/>
  <c r="DG60" i="8" s="1"/>
  <c r="CS13" i="8"/>
  <c r="CS94" i="4" s="1"/>
  <c r="CN13" i="8"/>
  <c r="CI13" i="8"/>
  <c r="CI94" i="4" s="1"/>
  <c r="CD13" i="8"/>
  <c r="CD110" i="8" s="1"/>
  <c r="CD111" i="8" s="1"/>
  <c r="CD112" i="8" s="1"/>
  <c r="BY13" i="8"/>
  <c r="BY110" i="8" s="1"/>
  <c r="BT13" i="8"/>
  <c r="BO13" i="8"/>
  <c r="BO94" i="4" s="1"/>
  <c r="BJ13" i="8"/>
  <c r="BJ110" i="8" s="1"/>
  <c r="BE13" i="8"/>
  <c r="BE110" i="8" s="1"/>
  <c r="BE111" i="8" s="1"/>
  <c r="BE112" i="8" s="1"/>
  <c r="AZ13" i="8"/>
  <c r="AU13" i="8"/>
  <c r="AV13" i="8" s="1"/>
  <c r="AV94" i="4" s="1"/>
  <c r="AP13" i="8"/>
  <c r="AP110" i="8" s="1"/>
  <c r="AK13" i="8"/>
  <c r="AL13" i="8" s="1"/>
  <c r="AF13" i="8"/>
  <c r="AA13" i="8"/>
  <c r="AA94" i="4" s="1"/>
  <c r="V13" i="8"/>
  <c r="W13" i="8" s="1"/>
  <c r="Q13" i="8"/>
  <c r="Q110" i="8" s="1"/>
  <c r="Q111" i="8" s="1"/>
  <c r="Q112" i="8" s="1"/>
  <c r="L13" i="8"/>
  <c r="G13" i="8"/>
  <c r="H13" i="8" s="1"/>
  <c r="CS12" i="8"/>
  <c r="CT12" i="8" s="1"/>
  <c r="CU12" i="8" s="1"/>
  <c r="CV12" i="8" s="1"/>
  <c r="CN12" i="8"/>
  <c r="CO12" i="8" s="1"/>
  <c r="CP12" i="8" s="1"/>
  <c r="CI12" i="8"/>
  <c r="CD12" i="8"/>
  <c r="CE12" i="8" s="1"/>
  <c r="BY12" i="8"/>
  <c r="BZ12" i="8" s="1"/>
  <c r="CA12" i="8" s="1"/>
  <c r="CB12" i="8" s="1"/>
  <c r="CC12" i="8" s="1"/>
  <c r="CC58" i="8" s="1"/>
  <c r="BT12" i="8"/>
  <c r="BU12" i="8" s="1"/>
  <c r="BV12" i="8" s="1"/>
  <c r="BO12" i="8"/>
  <c r="BP12" i="8" s="1"/>
  <c r="BQ12" i="8" s="1"/>
  <c r="BJ12" i="8"/>
  <c r="BK12" i="8" s="1"/>
  <c r="BL12" i="8" s="1"/>
  <c r="BM12" i="8" s="1"/>
  <c r="BN12" i="8" s="1"/>
  <c r="BN58" i="8" s="1"/>
  <c r="BE12" i="8"/>
  <c r="BF12" i="8" s="1"/>
  <c r="BG12" i="8" s="1"/>
  <c r="BH12" i="8" s="1"/>
  <c r="BI12" i="8" s="1"/>
  <c r="BI58" i="8" s="1"/>
  <c r="AZ12" i="8"/>
  <c r="BA12" i="8" s="1"/>
  <c r="AU12" i="8"/>
  <c r="AP12" i="8"/>
  <c r="AQ12" i="8" s="1"/>
  <c r="AR12" i="8" s="1"/>
  <c r="AS12" i="8" s="1"/>
  <c r="AK12" i="8"/>
  <c r="AL12" i="8" s="1"/>
  <c r="AM12" i="8" s="1"/>
  <c r="AN12" i="8" s="1"/>
  <c r="AO12" i="8" s="1"/>
  <c r="AO58" i="8" s="1"/>
  <c r="AF12" i="8"/>
  <c r="AA12" i="8"/>
  <c r="AB12" i="8" s="1"/>
  <c r="AC12" i="8" s="1"/>
  <c r="AD12" i="8" s="1"/>
  <c r="AE12" i="8" s="1"/>
  <c r="AE58" i="8" s="1"/>
  <c r="V12" i="8"/>
  <c r="W12" i="8" s="1"/>
  <c r="Q12" i="8"/>
  <c r="R12" i="8" s="1"/>
  <c r="S12" i="8" s="1"/>
  <c r="T12" i="8" s="1"/>
  <c r="U12" i="8" s="1"/>
  <c r="U58" i="8" s="1"/>
  <c r="L12" i="8"/>
  <c r="M12" i="8" s="1"/>
  <c r="G12" i="8"/>
  <c r="H12" i="8" s="1"/>
  <c r="I12" i="8" s="1"/>
  <c r="CK208" i="4"/>
  <c r="CK209" i="4" s="1"/>
  <c r="CJ208" i="4"/>
  <c r="CI208" i="4"/>
  <c r="CG208" i="4"/>
  <c r="CF208" i="4"/>
  <c r="CE208" i="4"/>
  <c r="CD208" i="4"/>
  <c r="CB208" i="4"/>
  <c r="CA208" i="4"/>
  <c r="CA209" i="4" s="1"/>
  <c r="BZ208" i="4"/>
  <c r="BY208" i="4"/>
  <c r="BW208" i="4"/>
  <c r="BV208" i="4"/>
  <c r="BU208" i="4"/>
  <c r="BT208" i="4"/>
  <c r="BR208" i="4"/>
  <c r="BQ208" i="4"/>
  <c r="BP208" i="4"/>
  <c r="BO208" i="4"/>
  <c r="BM208" i="4"/>
  <c r="BL208" i="4"/>
  <c r="BK208" i="4"/>
  <c r="BJ208" i="4"/>
  <c r="BH208" i="4"/>
  <c r="BG208" i="4"/>
  <c r="BG209" i="4" s="1"/>
  <c r="BF208" i="4"/>
  <c r="BE208" i="4"/>
  <c r="BC208" i="4"/>
  <c r="BB208" i="4"/>
  <c r="BA208" i="4"/>
  <c r="AZ208" i="4"/>
  <c r="AX208" i="4"/>
  <c r="AW208" i="4"/>
  <c r="AV208" i="4"/>
  <c r="AU208" i="4"/>
  <c r="AS208" i="4"/>
  <c r="AR208" i="4"/>
  <c r="AQ208" i="4"/>
  <c r="AP208" i="4"/>
  <c r="AN208" i="4"/>
  <c r="AM208" i="4"/>
  <c r="AL208" i="4"/>
  <c r="AK208" i="4"/>
  <c r="AI208" i="4"/>
  <c r="AH208" i="4"/>
  <c r="AG208" i="4"/>
  <c r="AF208" i="4"/>
  <c r="AD208" i="4"/>
  <c r="AC208" i="4"/>
  <c r="AB208" i="4"/>
  <c r="AA208" i="4"/>
  <c r="Y208" i="4"/>
  <c r="W208" i="4"/>
  <c r="V208" i="4"/>
  <c r="T208" i="4"/>
  <c r="S208" i="4"/>
  <c r="R208" i="4"/>
  <c r="Q208" i="4"/>
  <c r="O208" i="4"/>
  <c r="N208" i="4"/>
  <c r="M208" i="4"/>
  <c r="L208" i="4"/>
  <c r="J208" i="4"/>
  <c r="I208" i="4"/>
  <c r="H208" i="4"/>
  <c r="H209" i="4" s="1"/>
  <c r="CS207" i="4"/>
  <c r="CQ207" i="4"/>
  <c r="CP207" i="4"/>
  <c r="CO207" i="4"/>
  <c r="CN207" i="4"/>
  <c r="CL207" i="4"/>
  <c r="CK207" i="4"/>
  <c r="CJ207" i="4"/>
  <c r="CI207" i="4"/>
  <c r="CG207" i="4"/>
  <c r="CF207" i="4"/>
  <c r="CE207" i="4"/>
  <c r="CE209" i="4" s="1"/>
  <c r="CD207" i="4"/>
  <c r="CB207" i="4"/>
  <c r="CA207" i="4"/>
  <c r="BZ207" i="4"/>
  <c r="BY207" i="4"/>
  <c r="BV207" i="4"/>
  <c r="BU207" i="4"/>
  <c r="BT207" i="4"/>
  <c r="BQ207" i="4"/>
  <c r="BP207" i="4"/>
  <c r="BO207" i="4"/>
  <c r="BL207" i="4"/>
  <c r="BL209" i="4" s="1"/>
  <c r="BK207" i="4"/>
  <c r="BK209" i="4" s="1"/>
  <c r="BJ207" i="4"/>
  <c r="BJ209" i="4" s="1"/>
  <c r="BG207" i="4"/>
  <c r="BF207" i="4"/>
  <c r="BE207" i="4"/>
  <c r="BB207" i="4"/>
  <c r="BA207" i="4"/>
  <c r="AZ207" i="4"/>
  <c r="AW207" i="4"/>
  <c r="AV207" i="4"/>
  <c r="AU207" i="4"/>
  <c r="AR207" i="4"/>
  <c r="AR209" i="4" s="1"/>
  <c r="AQ207" i="4"/>
  <c r="AQ209" i="4" s="1"/>
  <c r="AP207" i="4"/>
  <c r="AP209" i="4" s="1"/>
  <c r="AM207" i="4"/>
  <c r="AL207" i="4"/>
  <c r="AK207" i="4"/>
  <c r="AH207" i="4"/>
  <c r="AG207" i="4"/>
  <c r="AF207" i="4"/>
  <c r="AC207" i="4"/>
  <c r="AB207" i="4"/>
  <c r="AA207" i="4"/>
  <c r="X207" i="4"/>
  <c r="W207" i="4"/>
  <c r="V207" i="4"/>
  <c r="S207" i="4"/>
  <c r="S209" i="4" s="1"/>
  <c r="R207" i="4"/>
  <c r="R209" i="4" s="1"/>
  <c r="Q207" i="4"/>
  <c r="Q209" i="4" s="1"/>
  <c r="N207" i="4"/>
  <c r="M207" i="4"/>
  <c r="L207" i="4"/>
  <c r="I207" i="4"/>
  <c r="H207" i="4"/>
  <c r="CL204" i="4"/>
  <c r="CK204" i="4"/>
  <c r="CL202" i="4"/>
  <c r="CK202" i="4"/>
  <c r="CH190" i="4"/>
  <c r="CC190" i="4"/>
  <c r="BX190" i="4"/>
  <c r="BS190" i="4"/>
  <c r="BN190" i="4"/>
  <c r="BI190" i="4"/>
  <c r="BD190" i="4"/>
  <c r="AY190" i="4"/>
  <c r="AT190" i="4"/>
  <c r="AO190" i="4"/>
  <c r="AJ190" i="4"/>
  <c r="AE190" i="4"/>
  <c r="Z190" i="4"/>
  <c r="U190" i="4"/>
  <c r="P190" i="4"/>
  <c r="CG190" i="4"/>
  <c r="CF190" i="4"/>
  <c r="CE190" i="4"/>
  <c r="CD190" i="4"/>
  <c r="CB190" i="4"/>
  <c r="CA190" i="4"/>
  <c r="BZ190" i="4"/>
  <c r="BY190" i="4"/>
  <c r="BW190" i="4"/>
  <c r="BV190" i="4"/>
  <c r="BU190" i="4"/>
  <c r="BT190" i="4"/>
  <c r="BR190" i="4"/>
  <c r="BQ190" i="4"/>
  <c r="BP190" i="4"/>
  <c r="BO190" i="4"/>
  <c r="BM190" i="4"/>
  <c r="BL190" i="4"/>
  <c r="BK190" i="4"/>
  <c r="BJ190" i="4"/>
  <c r="BH190" i="4"/>
  <c r="BG190" i="4"/>
  <c r="BF190" i="4"/>
  <c r="BE190" i="4"/>
  <c r="BC190" i="4"/>
  <c r="BB190" i="4"/>
  <c r="BA190" i="4"/>
  <c r="AZ190" i="4"/>
  <c r="AX190" i="4"/>
  <c r="AW190" i="4"/>
  <c r="AV190" i="4"/>
  <c r="AU190" i="4"/>
  <c r="AS190" i="4"/>
  <c r="AR190" i="4"/>
  <c r="AQ190" i="4"/>
  <c r="AP190" i="4"/>
  <c r="AN190" i="4"/>
  <c r="AM190" i="4"/>
  <c r="AL190" i="4"/>
  <c r="AK190" i="4"/>
  <c r="AI190" i="4"/>
  <c r="AH190" i="4"/>
  <c r="AG190" i="4"/>
  <c r="AF190" i="4"/>
  <c r="AD190" i="4"/>
  <c r="AC190" i="4"/>
  <c r="AB190" i="4"/>
  <c r="AA190" i="4"/>
  <c r="Y190" i="4"/>
  <c r="X190" i="4"/>
  <c r="W190" i="4"/>
  <c r="V190" i="4"/>
  <c r="T190" i="4"/>
  <c r="S190" i="4"/>
  <c r="R190" i="4"/>
  <c r="Q190" i="4"/>
  <c r="O190" i="4"/>
  <c r="N190" i="4"/>
  <c r="M190" i="4"/>
  <c r="L190" i="4"/>
  <c r="J190" i="4"/>
  <c r="I190" i="4"/>
  <c r="H190" i="4"/>
  <c r="CT185" i="4"/>
  <c r="CT192" i="4" s="1"/>
  <c r="CS185" i="4"/>
  <c r="CS192" i="4" s="1"/>
  <c r="CQ185" i="4"/>
  <c r="CP185" i="4"/>
  <c r="CP192" i="4" s="1"/>
  <c r="CO185" i="4"/>
  <c r="CO192" i="4" s="1"/>
  <c r="CN185" i="4"/>
  <c r="CN192" i="4" s="1"/>
  <c r="CL185" i="4"/>
  <c r="CL192" i="4" s="1"/>
  <c r="CK185" i="4"/>
  <c r="CK192" i="4" s="1"/>
  <c r="CJ185" i="4"/>
  <c r="CJ192" i="4" s="1"/>
  <c r="CI185" i="4"/>
  <c r="CG185" i="4"/>
  <c r="CG187" i="4" s="1"/>
  <c r="CF185" i="4"/>
  <c r="CF187" i="4" s="1"/>
  <c r="CE185" i="4"/>
  <c r="CD185" i="4"/>
  <c r="CB185" i="4"/>
  <c r="CB187" i="4" s="1"/>
  <c r="CA185" i="4"/>
  <c r="CA187" i="4" s="1"/>
  <c r="CA194" i="4" s="1"/>
  <c r="BZ185" i="4"/>
  <c r="BZ192" i="4" s="1"/>
  <c r="BY185" i="4"/>
  <c r="BW185" i="4"/>
  <c r="BW187" i="4" s="1"/>
  <c r="BW194" i="4" s="1"/>
  <c r="BV185" i="4"/>
  <c r="BV187" i="4" s="1"/>
  <c r="BV194" i="4" s="1"/>
  <c r="BU185" i="4"/>
  <c r="BU192" i="4" s="1"/>
  <c r="BT185" i="4"/>
  <c r="BR185" i="4"/>
  <c r="BQ185" i="4"/>
  <c r="BP185" i="4"/>
  <c r="BP187" i="4" s="1"/>
  <c r="BO185" i="4"/>
  <c r="BO192" i="4" s="1"/>
  <c r="BM185" i="4"/>
  <c r="BM192" i="4" s="1"/>
  <c r="BL185" i="4"/>
  <c r="BL192" i="4" s="1"/>
  <c r="BK185" i="4"/>
  <c r="BJ185" i="4"/>
  <c r="BJ187" i="4" s="1"/>
  <c r="BJ194" i="4" s="1"/>
  <c r="BH185" i="4"/>
  <c r="BH192" i="4" s="1"/>
  <c r="BG185" i="4"/>
  <c r="BG187" i="4" s="1"/>
  <c r="BF185" i="4"/>
  <c r="BF187" i="4" s="1"/>
  <c r="BF194" i="4" s="1"/>
  <c r="BE185" i="4"/>
  <c r="BC185" i="4"/>
  <c r="BC192" i="4" s="1"/>
  <c r="BB185" i="4"/>
  <c r="BB192" i="4" s="1"/>
  <c r="BA185" i="4"/>
  <c r="BA192" i="4" s="1"/>
  <c r="AZ185" i="4"/>
  <c r="AZ192" i="4" s="1"/>
  <c r="AX185" i="4"/>
  <c r="AX187" i="4" s="1"/>
  <c r="AX194" i="4" s="1"/>
  <c r="AW185" i="4"/>
  <c r="AV185" i="4"/>
  <c r="AU185" i="4"/>
  <c r="AU187" i="4" s="1"/>
  <c r="AS185" i="4"/>
  <c r="AR185" i="4"/>
  <c r="AQ185" i="4"/>
  <c r="AQ187" i="4" s="1"/>
  <c r="AP185" i="4"/>
  <c r="AP192" i="4" s="1"/>
  <c r="AN185" i="4"/>
  <c r="AN187" i="4" s="1"/>
  <c r="AN194" i="4" s="1"/>
  <c r="AM185" i="4"/>
  <c r="AM192" i="4" s="1"/>
  <c r="AL185" i="4"/>
  <c r="AL192" i="4" s="1"/>
  <c r="AK185" i="4"/>
  <c r="AK192" i="4" s="1"/>
  <c r="AI185" i="4"/>
  <c r="AI187" i="4" s="1"/>
  <c r="AI194" i="4" s="1"/>
  <c r="AH185" i="4"/>
  <c r="AH192" i="4" s="1"/>
  <c r="AG185" i="4"/>
  <c r="AF185" i="4"/>
  <c r="AF192" i="4" s="1"/>
  <c r="AD185" i="4"/>
  <c r="AC185" i="4"/>
  <c r="AB185" i="4"/>
  <c r="AB192" i="4" s="1"/>
  <c r="AA185" i="4"/>
  <c r="AA187" i="4" s="1"/>
  <c r="Y185" i="4"/>
  <c r="Y192" i="4" s="1"/>
  <c r="X185" i="4"/>
  <c r="W185" i="4"/>
  <c r="W187" i="4" s="1"/>
  <c r="V185" i="4"/>
  <c r="V187" i="4" s="1"/>
  <c r="V194" i="4" s="1"/>
  <c r="T185" i="4"/>
  <c r="S185" i="4"/>
  <c r="R185" i="4"/>
  <c r="R192" i="4" s="1"/>
  <c r="Q185" i="4"/>
  <c r="Q192" i="4" s="1"/>
  <c r="O185" i="4"/>
  <c r="O192" i="4" s="1"/>
  <c r="N185" i="4"/>
  <c r="M185" i="4"/>
  <c r="M192" i="4" s="1"/>
  <c r="L185" i="4"/>
  <c r="L192" i="4" s="1"/>
  <c r="J185" i="4"/>
  <c r="I185" i="4"/>
  <c r="H185" i="4"/>
  <c r="H192" i="4" s="1"/>
  <c r="CL184" i="4"/>
  <c r="CL191" i="4" s="1"/>
  <c r="CK184" i="4"/>
  <c r="CK191" i="4" s="1"/>
  <c r="H169" i="4"/>
  <c r="H168" i="4"/>
  <c r="H167" i="4"/>
  <c r="CM159" i="4"/>
  <c r="DG158" i="4"/>
  <c r="DB158" i="4"/>
  <c r="CW158" i="4"/>
  <c r="CR158" i="4"/>
  <c r="CM158" i="4"/>
  <c r="CO157" i="4"/>
  <c r="CP157" i="4" s="1"/>
  <c r="CQ157" i="4" s="1"/>
  <c r="CR157" i="4" s="1"/>
  <c r="CT154" i="4"/>
  <c r="CS154" i="4"/>
  <c r="CQ154" i="4"/>
  <c r="CQ183" i="4" s="1"/>
  <c r="CP154" i="4"/>
  <c r="CQ151" i="4" s="1"/>
  <c r="CO154" i="4"/>
  <c r="CP151" i="4" s="1"/>
  <c r="CN154" i="4"/>
  <c r="CL154" i="4"/>
  <c r="CI154" i="4"/>
  <c r="CI183" i="4" s="1"/>
  <c r="DG153" i="4"/>
  <c r="CM153" i="4"/>
  <c r="DG152" i="4"/>
  <c r="DB152" i="4"/>
  <c r="CW152" i="4"/>
  <c r="CR152" i="4"/>
  <c r="CM151" i="4"/>
  <c r="CT143" i="4"/>
  <c r="CT169" i="4" s="1"/>
  <c r="CS143" i="4"/>
  <c r="CS169" i="4" s="1"/>
  <c r="CQ143" i="4"/>
  <c r="CQ169" i="4" s="1"/>
  <c r="CP143" i="4"/>
  <c r="CP169" i="4" s="1"/>
  <c r="CO143" i="4"/>
  <c r="CO169" i="4" s="1"/>
  <c r="CN143" i="4"/>
  <c r="CN169" i="4" s="1"/>
  <c r="CL143" i="4"/>
  <c r="CL169" i="4" s="1"/>
  <c r="CK143" i="4"/>
  <c r="CK169" i="4" s="1"/>
  <c r="CJ143" i="4"/>
  <c r="CJ169" i="4" s="1"/>
  <c r="CA143" i="4"/>
  <c r="CA169" i="4" s="1"/>
  <c r="BZ143" i="4"/>
  <c r="BZ169" i="4" s="1"/>
  <c r="BY143" i="4"/>
  <c r="BY169" i="4" s="1"/>
  <c r="BW143" i="4"/>
  <c r="BW169" i="4" s="1"/>
  <c r="BV143" i="4"/>
  <c r="BV169" i="4" s="1"/>
  <c r="BU143" i="4"/>
  <c r="BU169" i="4" s="1"/>
  <c r="BT143" i="4"/>
  <c r="BT169" i="4" s="1"/>
  <c r="BR143" i="4"/>
  <c r="BR169" i="4" s="1"/>
  <c r="BQ143" i="4"/>
  <c r="BQ169" i="4" s="1"/>
  <c r="BP143" i="4"/>
  <c r="BP169" i="4" s="1"/>
  <c r="BO143" i="4"/>
  <c r="BO169" i="4" s="1"/>
  <c r="BM143" i="4"/>
  <c r="BM169" i="4" s="1"/>
  <c r="BL143" i="4"/>
  <c r="BL169" i="4" s="1"/>
  <c r="BK143" i="4"/>
  <c r="BK169" i="4" s="1"/>
  <c r="BJ143" i="4"/>
  <c r="BJ169" i="4" s="1"/>
  <c r="BH143" i="4"/>
  <c r="BH169" i="4" s="1"/>
  <c r="BG143" i="4"/>
  <c r="BG169" i="4" s="1"/>
  <c r="BF143" i="4"/>
  <c r="BF169" i="4" s="1"/>
  <c r="BE143" i="4"/>
  <c r="BE169" i="4" s="1"/>
  <c r="BC143" i="4"/>
  <c r="BC169" i="4" s="1"/>
  <c r="BB143" i="4"/>
  <c r="BB169" i="4" s="1"/>
  <c r="BA143" i="4"/>
  <c r="BA169" i="4" s="1"/>
  <c r="AZ143" i="4"/>
  <c r="AZ169" i="4" s="1"/>
  <c r="AX143" i="4"/>
  <c r="AX169" i="4" s="1"/>
  <c r="AW143" i="4"/>
  <c r="AW169" i="4" s="1"/>
  <c r="AV143" i="4"/>
  <c r="AV169" i="4" s="1"/>
  <c r="AU143" i="4"/>
  <c r="AU169" i="4" s="1"/>
  <c r="AS143" i="4"/>
  <c r="AS169" i="4" s="1"/>
  <c r="AR143" i="4"/>
  <c r="AR169" i="4" s="1"/>
  <c r="AQ143" i="4"/>
  <c r="AQ169" i="4" s="1"/>
  <c r="AP143" i="4"/>
  <c r="AP169" i="4" s="1"/>
  <c r="AN143" i="4"/>
  <c r="AN169" i="4" s="1"/>
  <c r="AM143" i="4"/>
  <c r="AM169" i="4" s="1"/>
  <c r="AL143" i="4"/>
  <c r="AL169" i="4" s="1"/>
  <c r="AK143" i="4"/>
  <c r="AK169" i="4" s="1"/>
  <c r="AI143" i="4"/>
  <c r="AI169" i="4" s="1"/>
  <c r="AH143" i="4"/>
  <c r="AH169" i="4" s="1"/>
  <c r="AG143" i="4"/>
  <c r="AG169" i="4" s="1"/>
  <c r="AF143" i="4"/>
  <c r="AF169" i="4" s="1"/>
  <c r="AD143" i="4"/>
  <c r="AD169" i="4" s="1"/>
  <c r="AC143" i="4"/>
  <c r="AC169" i="4" s="1"/>
  <c r="AB143" i="4"/>
  <c r="AB169" i="4" s="1"/>
  <c r="AA143" i="4"/>
  <c r="AA169" i="4" s="1"/>
  <c r="W143" i="4"/>
  <c r="W169" i="4" s="1"/>
  <c r="V143" i="4"/>
  <c r="V169" i="4" s="1"/>
  <c r="T143" i="4"/>
  <c r="T169" i="4" s="1"/>
  <c r="S143" i="4"/>
  <c r="S169" i="4" s="1"/>
  <c r="R143" i="4"/>
  <c r="R169" i="4" s="1"/>
  <c r="Q143" i="4"/>
  <c r="Q169" i="4" s="1"/>
  <c r="O143" i="4"/>
  <c r="O169" i="4" s="1"/>
  <c r="N143" i="4"/>
  <c r="N169" i="4" s="1"/>
  <c r="M143" i="4"/>
  <c r="M169" i="4" s="1"/>
  <c r="L143" i="4"/>
  <c r="L169" i="4" s="1"/>
  <c r="J143" i="4"/>
  <c r="J169" i="4" s="1"/>
  <c r="I143" i="4"/>
  <c r="I169" i="4" s="1"/>
  <c r="CT129" i="4"/>
  <c r="CS129" i="4"/>
  <c r="CQ129" i="4"/>
  <c r="CR129" i="4" s="1"/>
  <c r="CP129" i="4"/>
  <c r="CO129" i="4"/>
  <c r="CN129" i="4"/>
  <c r="CL129" i="4"/>
  <c r="CK129" i="4"/>
  <c r="CJ129" i="4"/>
  <c r="CI129" i="4"/>
  <c r="CG129" i="4"/>
  <c r="CF129" i="4"/>
  <c r="CE129" i="4"/>
  <c r="CD129" i="4"/>
  <c r="CB129" i="4"/>
  <c r="CA129" i="4"/>
  <c r="BZ129" i="4"/>
  <c r="BY129" i="4"/>
  <c r="BV129" i="4"/>
  <c r="BU129" i="4"/>
  <c r="BT129" i="4"/>
  <c r="BQ129" i="4"/>
  <c r="BP129" i="4"/>
  <c r="BO129" i="4"/>
  <c r="BL129" i="4"/>
  <c r="BK129" i="4"/>
  <c r="BJ129" i="4"/>
  <c r="BG129" i="4"/>
  <c r="BF129" i="4"/>
  <c r="BE129" i="4"/>
  <c r="BB129" i="4"/>
  <c r="BA129" i="4"/>
  <c r="AZ129" i="4"/>
  <c r="AW129" i="4"/>
  <c r="AV129" i="4"/>
  <c r="AU129" i="4"/>
  <c r="CB127" i="4"/>
  <c r="CD125" i="4" s="1"/>
  <c r="BW127" i="4"/>
  <c r="BY125" i="4" s="1"/>
  <c r="BR127" i="4"/>
  <c r="BT125" i="4" s="1"/>
  <c r="BM127" i="4"/>
  <c r="BO125" i="4" s="1"/>
  <c r="BH127" i="4"/>
  <c r="BJ125" i="4" s="1"/>
  <c r="BC127" i="4"/>
  <c r="BE125" i="4" s="1"/>
  <c r="AX127" i="4"/>
  <c r="AZ125" i="4" s="1"/>
  <c r="AS127" i="4"/>
  <c r="AU125" i="4" s="1"/>
  <c r="CL126" i="4"/>
  <c r="CK126" i="4"/>
  <c r="CJ126" i="4"/>
  <c r="CI126" i="4"/>
  <c r="CG126" i="4"/>
  <c r="CF126" i="4"/>
  <c r="CE126" i="4"/>
  <c r="CD126" i="4"/>
  <c r="CB126" i="4"/>
  <c r="CA126" i="4"/>
  <c r="BZ126" i="4"/>
  <c r="BY126" i="4"/>
  <c r="BW126" i="4"/>
  <c r="BV126" i="4"/>
  <c r="BU126" i="4"/>
  <c r="BT126" i="4"/>
  <c r="BR126" i="4"/>
  <c r="BQ126" i="4"/>
  <c r="BP126" i="4"/>
  <c r="BO126" i="4"/>
  <c r="BM126" i="4"/>
  <c r="BL126" i="4"/>
  <c r="BK126" i="4"/>
  <c r="BJ126" i="4"/>
  <c r="BH126" i="4"/>
  <c r="BG126" i="4"/>
  <c r="BF126" i="4"/>
  <c r="BE126" i="4"/>
  <c r="BC126" i="4"/>
  <c r="BB126" i="4"/>
  <c r="BA126" i="4"/>
  <c r="AZ126" i="4"/>
  <c r="AX126" i="4"/>
  <c r="AW126" i="4"/>
  <c r="AV126" i="4"/>
  <c r="AU126" i="4"/>
  <c r="DG122" i="4"/>
  <c r="CT96" i="4"/>
  <c r="CU93" i="4" s="1"/>
  <c r="CS96" i="4"/>
  <c r="CT93" i="4" s="1"/>
  <c r="CQ96" i="4"/>
  <c r="CS93" i="4" s="1"/>
  <c r="CP96" i="4"/>
  <c r="CQ93" i="4" s="1"/>
  <c r="CL96" i="4"/>
  <c r="CN93" i="4" s="1"/>
  <c r="CK96" i="4"/>
  <c r="CL93" i="4" s="1"/>
  <c r="CJ96" i="4"/>
  <c r="CK93" i="4" s="1"/>
  <c r="CI96" i="4"/>
  <c r="CJ93" i="4" s="1"/>
  <c r="CG96" i="4"/>
  <c r="CI93" i="4" s="1"/>
  <c r="CF96" i="4"/>
  <c r="CG93" i="4" s="1"/>
  <c r="CE96" i="4"/>
  <c r="CF93" i="4" s="1"/>
  <c r="CD96" i="4"/>
  <c r="CE93" i="4" s="1"/>
  <c r="CB96" i="4"/>
  <c r="CD93" i="4" s="1"/>
  <c r="CA96" i="4"/>
  <c r="CB93" i="4" s="1"/>
  <c r="BZ96" i="4"/>
  <c r="CA93" i="4" s="1"/>
  <c r="BY96" i="4"/>
  <c r="BW96" i="4"/>
  <c r="BY93" i="4" s="1"/>
  <c r="BV96" i="4"/>
  <c r="BW93" i="4" s="1"/>
  <c r="BU96" i="4"/>
  <c r="BV93" i="4" s="1"/>
  <c r="BT96" i="4"/>
  <c r="BU93" i="4" s="1"/>
  <c r="BR96" i="4"/>
  <c r="BT93" i="4" s="1"/>
  <c r="BQ96" i="4"/>
  <c r="BR93" i="4" s="1"/>
  <c r="BP96" i="4"/>
  <c r="BQ93" i="4" s="1"/>
  <c r="BO96" i="4"/>
  <c r="BP93" i="4" s="1"/>
  <c r="BM96" i="4"/>
  <c r="BO93" i="4" s="1"/>
  <c r="BL96" i="4"/>
  <c r="BM93" i="4" s="1"/>
  <c r="BK96" i="4"/>
  <c r="BL93" i="4" s="1"/>
  <c r="BJ96" i="4"/>
  <c r="BK93" i="4" s="1"/>
  <c r="BH96" i="4"/>
  <c r="BJ93" i="4" s="1"/>
  <c r="BG96" i="4"/>
  <c r="BH93" i="4" s="1"/>
  <c r="BF96" i="4"/>
  <c r="BG93" i="4" s="1"/>
  <c r="BE96" i="4"/>
  <c r="BF93" i="4" s="1"/>
  <c r="BC96" i="4"/>
  <c r="BE93" i="4" s="1"/>
  <c r="BB96" i="4"/>
  <c r="BC93" i="4" s="1"/>
  <c r="BA96" i="4"/>
  <c r="BB93" i="4" s="1"/>
  <c r="AZ96" i="4"/>
  <c r="BA93" i="4" s="1"/>
  <c r="AX96" i="4"/>
  <c r="AZ93" i="4" s="1"/>
  <c r="AW96" i="4"/>
  <c r="AV96" i="4"/>
  <c r="AW93" i="4" s="1"/>
  <c r="AU96" i="4"/>
  <c r="AV93" i="4" s="1"/>
  <c r="AS96" i="4"/>
  <c r="AU93" i="4" s="1"/>
  <c r="AR96" i="4"/>
  <c r="AS93" i="4" s="1"/>
  <c r="AQ96" i="4"/>
  <c r="AR93" i="4" s="1"/>
  <c r="AP96" i="4"/>
  <c r="AQ93" i="4" s="1"/>
  <c r="AN96" i="4"/>
  <c r="AP93" i="4" s="1"/>
  <c r="AM96" i="4"/>
  <c r="AN93" i="4" s="1"/>
  <c r="AL96" i="4"/>
  <c r="AM93" i="4" s="1"/>
  <c r="AK96" i="4"/>
  <c r="AL93" i="4" s="1"/>
  <c r="AI96" i="4"/>
  <c r="AK93" i="4" s="1"/>
  <c r="AH96" i="4"/>
  <c r="AI93" i="4" s="1"/>
  <c r="AG96" i="4"/>
  <c r="AH93" i="4" s="1"/>
  <c r="AF96" i="4"/>
  <c r="AG93" i="4" s="1"/>
  <c r="AD96" i="4"/>
  <c r="AF93" i="4" s="1"/>
  <c r="AC96" i="4"/>
  <c r="AD93" i="4" s="1"/>
  <c r="AB96" i="4"/>
  <c r="AC93" i="4" s="1"/>
  <c r="AA96" i="4"/>
  <c r="AB93" i="4" s="1"/>
  <c r="Y96" i="4"/>
  <c r="AA93" i="4" s="1"/>
  <c r="X96" i="4"/>
  <c r="Y93" i="4" s="1"/>
  <c r="W96" i="4"/>
  <c r="X93" i="4" s="1"/>
  <c r="V96" i="4"/>
  <c r="W93" i="4" s="1"/>
  <c r="T96" i="4"/>
  <c r="V93" i="4" s="1"/>
  <c r="S96" i="4"/>
  <c r="T93" i="4" s="1"/>
  <c r="R96" i="4"/>
  <c r="S93" i="4" s="1"/>
  <c r="Q96" i="4"/>
  <c r="R93" i="4" s="1"/>
  <c r="O96" i="4"/>
  <c r="Q93" i="4" s="1"/>
  <c r="N96" i="4"/>
  <c r="O93" i="4" s="1"/>
  <c r="M96" i="4"/>
  <c r="N93" i="4" s="1"/>
  <c r="L96" i="4"/>
  <c r="M93" i="4" s="1"/>
  <c r="J96" i="4"/>
  <c r="L93" i="4" s="1"/>
  <c r="I96" i="4"/>
  <c r="J93" i="4" s="1"/>
  <c r="P93" i="4"/>
  <c r="CK89" i="4"/>
  <c r="CT77" i="4"/>
  <c r="CS77" i="4"/>
  <c r="CQ77" i="4"/>
  <c r="CP77" i="4"/>
  <c r="CJ77" i="4"/>
  <c r="CI77" i="4"/>
  <c r="CG77" i="4"/>
  <c r="CF77" i="4"/>
  <c r="CE77" i="4"/>
  <c r="CD77" i="4"/>
  <c r="CB77" i="4"/>
  <c r="CA77" i="4"/>
  <c r="BZ77" i="4"/>
  <c r="BY77" i="4"/>
  <c r="BW77" i="4"/>
  <c r="BV77" i="4"/>
  <c r="BU77" i="4"/>
  <c r="BT77" i="4"/>
  <c r="BR77" i="4"/>
  <c r="BQ77" i="4"/>
  <c r="BP77" i="4"/>
  <c r="BO77" i="4"/>
  <c r="BM77" i="4"/>
  <c r="BL77" i="4"/>
  <c r="BK77" i="4"/>
  <c r="BJ77" i="4"/>
  <c r="BH77" i="4"/>
  <c r="BG77" i="4"/>
  <c r="BF77" i="4"/>
  <c r="BE77" i="4"/>
  <c r="BC77" i="4"/>
  <c r="BB77" i="4"/>
  <c r="BA77" i="4"/>
  <c r="AZ77" i="4"/>
  <c r="AX77" i="4"/>
  <c r="AW77" i="4"/>
  <c r="AV77" i="4"/>
  <c r="AU77" i="4"/>
  <c r="AS77" i="4"/>
  <c r="AR77" i="4"/>
  <c r="AQ77" i="4"/>
  <c r="AP77" i="4"/>
  <c r="AN77" i="4"/>
  <c r="AM77" i="4"/>
  <c r="AL77" i="4"/>
  <c r="AK77" i="4"/>
  <c r="AI77" i="4"/>
  <c r="AH77" i="4"/>
  <c r="AG77" i="4"/>
  <c r="AF77" i="4"/>
  <c r="AD77" i="4"/>
  <c r="AC77" i="4"/>
  <c r="AB77" i="4"/>
  <c r="AA77" i="4"/>
  <c r="Y77" i="4"/>
  <c r="X77" i="4"/>
  <c r="W77" i="4"/>
  <c r="V77" i="4"/>
  <c r="T77" i="4"/>
  <c r="S77" i="4"/>
  <c r="R77" i="4"/>
  <c r="Q77" i="4"/>
  <c r="O77" i="4"/>
  <c r="N77" i="4"/>
  <c r="M77" i="4"/>
  <c r="L77" i="4"/>
  <c r="J77" i="4"/>
  <c r="I77" i="4"/>
  <c r="CT76" i="4"/>
  <c r="CS76" i="4"/>
  <c r="CQ76" i="4"/>
  <c r="CP76" i="4"/>
  <c r="CO76" i="4"/>
  <c r="CN76" i="4"/>
  <c r="CJ76" i="4"/>
  <c r="CI76" i="4"/>
  <c r="CG76" i="4"/>
  <c r="CF76" i="4"/>
  <c r="CE76" i="4"/>
  <c r="CD76" i="4"/>
  <c r="CB76" i="4"/>
  <c r="CA76" i="4"/>
  <c r="BZ76" i="4"/>
  <c r="BY76" i="4"/>
  <c r="BW76" i="4"/>
  <c r="BV76" i="4"/>
  <c r="BU76" i="4"/>
  <c r="BT76" i="4"/>
  <c r="BR76" i="4"/>
  <c r="BQ76" i="4"/>
  <c r="BP76" i="4"/>
  <c r="BO76" i="4"/>
  <c r="BM76" i="4"/>
  <c r="BL76" i="4"/>
  <c r="BK76" i="4"/>
  <c r="BJ76" i="4"/>
  <c r="BH76" i="4"/>
  <c r="BG76" i="4"/>
  <c r="BF76" i="4"/>
  <c r="BE76" i="4"/>
  <c r="BC76" i="4"/>
  <c r="BB76" i="4"/>
  <c r="BA76" i="4"/>
  <c r="AZ76" i="4"/>
  <c r="AX76" i="4"/>
  <c r="AW76" i="4"/>
  <c r="AV76" i="4"/>
  <c r="AU76" i="4"/>
  <c r="AS76" i="4"/>
  <c r="AR76" i="4"/>
  <c r="AQ76" i="4"/>
  <c r="AP76" i="4"/>
  <c r="AN76" i="4"/>
  <c r="AM76" i="4"/>
  <c r="AL76" i="4"/>
  <c r="AK76" i="4"/>
  <c r="AI76" i="4"/>
  <c r="AH76" i="4"/>
  <c r="AG76" i="4"/>
  <c r="AF76" i="4"/>
  <c r="AD76" i="4"/>
  <c r="AC76" i="4"/>
  <c r="AB76" i="4"/>
  <c r="AA76" i="4"/>
  <c r="Y76" i="4"/>
  <c r="X76" i="4"/>
  <c r="W76" i="4"/>
  <c r="V76" i="4"/>
  <c r="T76" i="4"/>
  <c r="S76" i="4"/>
  <c r="R76" i="4"/>
  <c r="Q76" i="4"/>
  <c r="O76" i="4"/>
  <c r="N76" i="4"/>
  <c r="M76" i="4"/>
  <c r="L76" i="4"/>
  <c r="J76" i="4"/>
  <c r="I76" i="4"/>
  <c r="CN74" i="4"/>
  <c r="CL74" i="4"/>
  <c r="CT65" i="4"/>
  <c r="CT184" i="4" s="1"/>
  <c r="CT191" i="4" s="1"/>
  <c r="CS65" i="4"/>
  <c r="CS202" i="4" s="1"/>
  <c r="CQ65" i="4"/>
  <c r="CS74" i="4" s="1"/>
  <c r="CP65" i="4"/>
  <c r="CP204" i="4" s="1"/>
  <c r="CO65" i="4"/>
  <c r="CO202" i="4" s="1"/>
  <c r="CI65" i="4"/>
  <c r="CI184" i="4" s="1"/>
  <c r="CG65" i="4"/>
  <c r="CF65" i="4"/>
  <c r="CG74" i="4" s="1"/>
  <c r="CE65" i="4"/>
  <c r="CE202" i="4" s="1"/>
  <c r="CD65" i="4"/>
  <c r="CE74" i="4" s="1"/>
  <c r="CB65" i="4"/>
  <c r="CA65" i="4"/>
  <c r="CA204" i="4" s="1"/>
  <c r="BZ65" i="4"/>
  <c r="BZ204" i="4" s="1"/>
  <c r="BY65" i="4"/>
  <c r="BY202" i="4" s="1"/>
  <c r="BW65" i="4"/>
  <c r="BV65" i="4"/>
  <c r="BV204" i="4" s="1"/>
  <c r="BU65" i="4"/>
  <c r="BV74" i="4" s="1"/>
  <c r="BT65" i="4"/>
  <c r="BU74" i="4" s="1"/>
  <c r="BR65" i="4"/>
  <c r="BS65" i="4" s="1"/>
  <c r="BQ65" i="4"/>
  <c r="BQ202" i="4" s="1"/>
  <c r="BP65" i="4"/>
  <c r="BQ74" i="4" s="1"/>
  <c r="BO65" i="4"/>
  <c r="BO202" i="4" s="1"/>
  <c r="BM65" i="4"/>
  <c r="BN65" i="4" s="1"/>
  <c r="BL65" i="4"/>
  <c r="BM74" i="4" s="1"/>
  <c r="BK65" i="4"/>
  <c r="BK202" i="4" s="1"/>
  <c r="BJ65" i="4"/>
  <c r="BJ204" i="4" s="1"/>
  <c r="BH65" i="4"/>
  <c r="BG65" i="4"/>
  <c r="BG184" i="4" s="1"/>
  <c r="BG179" i="4" s="1"/>
  <c r="BF65" i="4"/>
  <c r="BF204" i="4" s="1"/>
  <c r="BE65" i="4"/>
  <c r="BE184" i="4" s="1"/>
  <c r="BC65" i="4"/>
  <c r="BE74" i="4" s="1"/>
  <c r="BB65" i="4"/>
  <c r="BC74" i="4" s="1"/>
  <c r="BA65" i="4"/>
  <c r="AZ65" i="4"/>
  <c r="AZ184" i="4" s="1"/>
  <c r="AX65" i="4"/>
  <c r="AW65" i="4"/>
  <c r="AX74" i="4" s="1"/>
  <c r="AV65" i="4"/>
  <c r="AV202" i="4" s="1"/>
  <c r="AU65" i="4"/>
  <c r="AS65" i="4"/>
  <c r="AT65" i="4" s="1"/>
  <c r="AT204" i="4" s="1"/>
  <c r="AR65" i="4"/>
  <c r="AR184" i="4" s="1"/>
  <c r="AQ65" i="4"/>
  <c r="AQ204" i="4" s="1"/>
  <c r="AP65" i="4"/>
  <c r="AQ74" i="4" s="1"/>
  <c r="AN65" i="4"/>
  <c r="AM65" i="4"/>
  <c r="AM202" i="4" s="1"/>
  <c r="AL65" i="4"/>
  <c r="AM74" i="4" s="1"/>
  <c r="AK65" i="4"/>
  <c r="AL74" i="4" s="1"/>
  <c r="AI65" i="4"/>
  <c r="AH65" i="4"/>
  <c r="AH204" i="4" s="1"/>
  <c r="AG65" i="4"/>
  <c r="AG202" i="4" s="1"/>
  <c r="AF65" i="4"/>
  <c r="AG74" i="4" s="1"/>
  <c r="AD65" i="4"/>
  <c r="AD202" i="4" s="1"/>
  <c r="AC65" i="4"/>
  <c r="AC202" i="4" s="1"/>
  <c r="AB65" i="4"/>
  <c r="AB184" i="4" s="1"/>
  <c r="AA65" i="4"/>
  <c r="AA204" i="4" s="1"/>
  <c r="Y65" i="4"/>
  <c r="Y184" i="4" s="1"/>
  <c r="X65" i="4"/>
  <c r="Y74" i="4" s="1"/>
  <c r="W65" i="4"/>
  <c r="X74" i="4" s="1"/>
  <c r="V65" i="4"/>
  <c r="T65" i="4"/>
  <c r="S65" i="4"/>
  <c r="S202" i="4" s="1"/>
  <c r="R65" i="4"/>
  <c r="R202" i="4" s="1"/>
  <c r="Q65" i="4"/>
  <c r="O65" i="4"/>
  <c r="N65" i="4"/>
  <c r="N204" i="4" s="1"/>
  <c r="M65" i="4"/>
  <c r="M204" i="4" s="1"/>
  <c r="L65" i="4"/>
  <c r="M74" i="4" s="1"/>
  <c r="J65" i="4"/>
  <c r="I65" i="4"/>
  <c r="I184" i="4" s="1"/>
  <c r="H65" i="4"/>
  <c r="H202" i="4" s="1"/>
  <c r="CK61" i="4"/>
  <c r="CN62" i="4"/>
  <c r="CN61" i="4"/>
  <c r="CM65" i="4"/>
  <c r="CR64" i="4"/>
  <c r="CM64" i="4"/>
  <c r="CH64" i="4"/>
  <c r="CC64" i="4"/>
  <c r="BX64" i="4"/>
  <c r="BS64" i="4"/>
  <c r="BN64" i="4"/>
  <c r="BI64" i="4"/>
  <c r="BD64" i="4"/>
  <c r="AY64" i="4"/>
  <c r="AT64" i="4"/>
  <c r="AO64" i="4"/>
  <c r="AJ64" i="4"/>
  <c r="AE64" i="4"/>
  <c r="Z64" i="4"/>
  <c r="U64" i="4"/>
  <c r="P64" i="4"/>
  <c r="K64" i="4"/>
  <c r="CR63" i="4"/>
  <c r="CM63" i="4"/>
  <c r="CH63" i="4"/>
  <c r="CC63" i="4"/>
  <c r="BX63" i="4"/>
  <c r="BS63" i="4"/>
  <c r="BN63" i="4"/>
  <c r="BI63" i="4"/>
  <c r="BD63" i="4"/>
  <c r="AY63" i="4"/>
  <c r="AT63" i="4"/>
  <c r="AO63" i="4"/>
  <c r="AJ63" i="4"/>
  <c r="AE63" i="4"/>
  <c r="Z63" i="4"/>
  <c r="U63" i="4"/>
  <c r="P63" i="4"/>
  <c r="K63" i="4"/>
  <c r="CR62" i="4"/>
  <c r="CM62" i="4"/>
  <c r="CH62" i="4"/>
  <c r="CC62" i="4"/>
  <c r="BX62" i="4"/>
  <c r="BS62" i="4"/>
  <c r="BN62" i="4"/>
  <c r="BI62" i="4"/>
  <c r="BD62" i="4"/>
  <c r="AY62" i="4"/>
  <c r="AT62" i="4"/>
  <c r="AO62" i="4"/>
  <c r="AJ62" i="4"/>
  <c r="AE62" i="4"/>
  <c r="Z62" i="4"/>
  <c r="U62" i="4"/>
  <c r="P62" i="4"/>
  <c r="K62" i="4"/>
  <c r="CR61" i="4"/>
  <c r="CM61" i="4"/>
  <c r="CH61" i="4"/>
  <c r="CC61" i="4"/>
  <c r="BX61" i="4"/>
  <c r="BS61" i="4"/>
  <c r="BN61" i="4"/>
  <c r="BI61" i="4"/>
  <c r="BD61" i="4"/>
  <c r="AY61" i="4"/>
  <c r="AT61" i="4"/>
  <c r="AO61" i="4"/>
  <c r="AJ61" i="4"/>
  <c r="AE61" i="4"/>
  <c r="Z61" i="4"/>
  <c r="U61" i="4"/>
  <c r="P61" i="4"/>
  <c r="K61" i="4"/>
  <c r="CR60" i="4"/>
  <c r="CH60" i="4"/>
  <c r="CC60" i="4"/>
  <c r="BX60" i="4"/>
  <c r="BS60" i="4"/>
  <c r="BN60" i="4"/>
  <c r="BI60" i="4"/>
  <c r="BD60" i="4"/>
  <c r="AY60" i="4"/>
  <c r="AT60" i="4"/>
  <c r="AO60" i="4"/>
  <c r="AJ60" i="4"/>
  <c r="AE60" i="4"/>
  <c r="Z60" i="4"/>
  <c r="U60" i="4"/>
  <c r="P60" i="4"/>
  <c r="K60" i="4"/>
  <c r="CJ60" i="4"/>
  <c r="CK60" i="4" s="1"/>
  <c r="CL60" i="4" s="1"/>
  <c r="CM60" i="4" s="1"/>
  <c r="CK55" i="4"/>
  <c r="CJ55" i="4"/>
  <c r="CI55" i="4"/>
  <c r="CG55" i="4"/>
  <c r="CF55" i="4"/>
  <c r="CE55" i="4"/>
  <c r="CD55" i="4"/>
  <c r="CB55" i="4"/>
  <c r="CC55" i="4" s="1"/>
  <c r="CA55" i="4"/>
  <c r="BZ55" i="4"/>
  <c r="BY55" i="4"/>
  <c r="BW55" i="4"/>
  <c r="BX55" i="4" s="1"/>
  <c r="BV55" i="4"/>
  <c r="BU55" i="4"/>
  <c r="BT55" i="4"/>
  <c r="BR55" i="4"/>
  <c r="BS55" i="4" s="1"/>
  <c r="BQ55" i="4"/>
  <c r="BP55" i="4"/>
  <c r="BO55" i="4"/>
  <c r="BM55" i="4"/>
  <c r="BN55" i="4" s="1"/>
  <c r="BL55" i="4"/>
  <c r="BK55" i="4"/>
  <c r="BJ55" i="4"/>
  <c r="BH55" i="4"/>
  <c r="BI55" i="4" s="1"/>
  <c r="BG55" i="4"/>
  <c r="BF55" i="4"/>
  <c r="BE55" i="4"/>
  <c r="BC55" i="4"/>
  <c r="BD55" i="4" s="1"/>
  <c r="BB55" i="4"/>
  <c r="BA55" i="4"/>
  <c r="AZ55" i="4"/>
  <c r="AX55" i="4"/>
  <c r="AY55" i="4" s="1"/>
  <c r="AW55" i="4"/>
  <c r="AV55" i="4"/>
  <c r="AU55" i="4"/>
  <c r="AS55" i="4"/>
  <c r="AT55" i="4" s="1"/>
  <c r="AR55" i="4"/>
  <c r="AQ55" i="4"/>
  <c r="AP55" i="4"/>
  <c r="AN55" i="4"/>
  <c r="AO55" i="4" s="1"/>
  <c r="AM55" i="4"/>
  <c r="AL55" i="4"/>
  <c r="AK55" i="4"/>
  <c r="AI55" i="4"/>
  <c r="AJ55" i="4" s="1"/>
  <c r="AH55" i="4"/>
  <c r="AG55" i="4"/>
  <c r="AF55" i="4"/>
  <c r="AD55" i="4"/>
  <c r="AE55" i="4" s="1"/>
  <c r="AC55" i="4"/>
  <c r="AB55" i="4"/>
  <c r="AA55" i="4"/>
  <c r="Y55" i="4"/>
  <c r="Z55" i="4" s="1"/>
  <c r="X55" i="4"/>
  <c r="W55" i="4"/>
  <c r="V55" i="4"/>
  <c r="T55" i="4"/>
  <c r="U55" i="4" s="1"/>
  <c r="S55" i="4"/>
  <c r="R55" i="4"/>
  <c r="Q55" i="4"/>
  <c r="O55" i="4"/>
  <c r="P55" i="4" s="1"/>
  <c r="N55" i="4"/>
  <c r="M55" i="4"/>
  <c r="L55" i="4"/>
  <c r="J55" i="4"/>
  <c r="K55" i="4" s="1"/>
  <c r="I55" i="4"/>
  <c r="H55" i="4"/>
  <c r="CT54" i="4"/>
  <c r="CT208" i="4" s="1"/>
  <c r="CS54" i="4"/>
  <c r="CS55" i="4" s="1"/>
  <c r="CQ54" i="4"/>
  <c r="CR54" i="4" s="1"/>
  <c r="CP54" i="4"/>
  <c r="CO54" i="4"/>
  <c r="CO208" i="4" s="1"/>
  <c r="CN54" i="4"/>
  <c r="CN208" i="4" s="1"/>
  <c r="CL54" i="4"/>
  <c r="CM54" i="4" s="1"/>
  <c r="CH54" i="4"/>
  <c r="CC54" i="4"/>
  <c r="BX54" i="4"/>
  <c r="BS54" i="4"/>
  <c r="BN54" i="4"/>
  <c r="BI54" i="4"/>
  <c r="BD54" i="4"/>
  <c r="AY54" i="4"/>
  <c r="AT54" i="4"/>
  <c r="AO54" i="4"/>
  <c r="AJ54" i="4"/>
  <c r="AE54" i="4"/>
  <c r="Z54" i="4"/>
  <c r="U54" i="4"/>
  <c r="P54" i="4"/>
  <c r="K54" i="4"/>
  <c r="CR53" i="4"/>
  <c r="CM53" i="4"/>
  <c r="CH53" i="4"/>
  <c r="CC53" i="4"/>
  <c r="BX53" i="4"/>
  <c r="BS53" i="4"/>
  <c r="BN53" i="4"/>
  <c r="BI53" i="4"/>
  <c r="BD53" i="4"/>
  <c r="AY53" i="4"/>
  <c r="AT53" i="4"/>
  <c r="AO53" i="4"/>
  <c r="AJ53" i="4"/>
  <c r="AE53" i="4"/>
  <c r="Z53" i="4"/>
  <c r="U53" i="4"/>
  <c r="P53" i="4"/>
  <c r="K53" i="4"/>
  <c r="CR52" i="4"/>
  <c r="CM52" i="4"/>
  <c r="CH52" i="4"/>
  <c r="CC52" i="4"/>
  <c r="CT49" i="4"/>
  <c r="CT199" i="4" s="1"/>
  <c r="CS49" i="4"/>
  <c r="CS199" i="4" s="1"/>
  <c r="CQ49" i="4"/>
  <c r="CP49" i="4"/>
  <c r="CP199" i="4" s="1"/>
  <c r="CO49" i="4"/>
  <c r="CO199" i="4" s="1"/>
  <c r="CN49" i="4"/>
  <c r="CN199" i="4" s="1"/>
  <c r="CL49" i="4"/>
  <c r="CK49" i="4"/>
  <c r="CK199" i="4" s="1"/>
  <c r="CJ49" i="4"/>
  <c r="CJ199" i="4" s="1"/>
  <c r="CI49" i="4"/>
  <c r="CI199" i="4" s="1"/>
  <c r="CG49" i="4"/>
  <c r="CF49" i="4"/>
  <c r="CF199" i="4" s="1"/>
  <c r="CE49" i="4"/>
  <c r="CE199" i="4" s="1"/>
  <c r="CD49" i="4"/>
  <c r="CD199" i="4" s="1"/>
  <c r="CB49" i="4"/>
  <c r="CA49" i="4"/>
  <c r="CA199" i="4" s="1"/>
  <c r="BZ49" i="4"/>
  <c r="BZ199" i="4" s="1"/>
  <c r="BY49" i="4"/>
  <c r="BY199" i="4" s="1"/>
  <c r="BW49" i="4"/>
  <c r="BV49" i="4"/>
  <c r="BV199" i="4" s="1"/>
  <c r="BU49" i="4"/>
  <c r="BU57" i="4" s="1"/>
  <c r="BU67" i="4" s="1"/>
  <c r="BT49" i="4"/>
  <c r="BT199" i="4" s="1"/>
  <c r="BR49" i="4"/>
  <c r="BQ49" i="4"/>
  <c r="BQ199" i="4" s="1"/>
  <c r="BP49" i="4"/>
  <c r="BP199" i="4" s="1"/>
  <c r="BO49" i="4"/>
  <c r="BM49" i="4"/>
  <c r="BL49" i="4"/>
  <c r="BL199" i="4" s="1"/>
  <c r="BK49" i="4"/>
  <c r="BK199" i="4" s="1"/>
  <c r="BJ49" i="4"/>
  <c r="BJ199" i="4" s="1"/>
  <c r="BH49" i="4"/>
  <c r="BH199" i="4" s="1"/>
  <c r="BG49" i="4"/>
  <c r="BF49" i="4"/>
  <c r="BF199" i="4" s="1"/>
  <c r="BE49" i="4"/>
  <c r="BC49" i="4"/>
  <c r="BC199" i="4" s="1"/>
  <c r="BB49" i="4"/>
  <c r="BA49" i="4"/>
  <c r="BA199" i="4" s="1"/>
  <c r="AZ49" i="4"/>
  <c r="AX49" i="4"/>
  <c r="AW49" i="4"/>
  <c r="AV49" i="4"/>
  <c r="AV57" i="4" s="1"/>
  <c r="AV67" i="4" s="1"/>
  <c r="AU49" i="4"/>
  <c r="AU199" i="4" s="1"/>
  <c r="AS49" i="4"/>
  <c r="AT49" i="4" s="1"/>
  <c r="AR49" i="4"/>
  <c r="AR199" i="4" s="1"/>
  <c r="AQ49" i="4"/>
  <c r="AQ199" i="4" s="1"/>
  <c r="AP49" i="4"/>
  <c r="AN49" i="4"/>
  <c r="AO49" i="4" s="1"/>
  <c r="AM49" i="4"/>
  <c r="AM199" i="4" s="1"/>
  <c r="AL49" i="4"/>
  <c r="AK49" i="4"/>
  <c r="AI49" i="4"/>
  <c r="AH49" i="4"/>
  <c r="AG49" i="4"/>
  <c r="AG199" i="4" s="1"/>
  <c r="AF49" i="4"/>
  <c r="AD49" i="4"/>
  <c r="AC49" i="4"/>
  <c r="AB49" i="4"/>
  <c r="AB199" i="4" s="1"/>
  <c r="AA49" i="4"/>
  <c r="Y49" i="4"/>
  <c r="W49" i="4"/>
  <c r="W199" i="4" s="1"/>
  <c r="V49" i="4"/>
  <c r="V199" i="4" s="1"/>
  <c r="T49" i="4"/>
  <c r="S49" i="4"/>
  <c r="S199" i="4" s="1"/>
  <c r="R49" i="4"/>
  <c r="R199" i="4" s="1"/>
  <c r="Q49" i="4"/>
  <c r="Q199" i="4" s="1"/>
  <c r="O49" i="4"/>
  <c r="N49" i="4"/>
  <c r="M49" i="4"/>
  <c r="M199" i="4" s="1"/>
  <c r="L49" i="4"/>
  <c r="J49" i="4"/>
  <c r="I49" i="4"/>
  <c r="H49" i="4"/>
  <c r="H199" i="4" s="1"/>
  <c r="CR48" i="4"/>
  <c r="CM48" i="4"/>
  <c r="CH48" i="4"/>
  <c r="CC48" i="4"/>
  <c r="BX48" i="4"/>
  <c r="BS48" i="4"/>
  <c r="BN48" i="4"/>
  <c r="BI48" i="4"/>
  <c r="BD48" i="4"/>
  <c r="AY48" i="4"/>
  <c r="AT48" i="4"/>
  <c r="AO48" i="4"/>
  <c r="AJ48" i="4"/>
  <c r="AE48" i="4"/>
  <c r="Z48" i="4"/>
  <c r="U48" i="4"/>
  <c r="P48" i="4"/>
  <c r="K48" i="4"/>
  <c r="CR47" i="4"/>
  <c r="CM47" i="4"/>
  <c r="CH47" i="4"/>
  <c r="CC47" i="4"/>
  <c r="CR46" i="4"/>
  <c r="CM46" i="4"/>
  <c r="CH46" i="4"/>
  <c r="CC46" i="4"/>
  <c r="CR45" i="4"/>
  <c r="CM45" i="4"/>
  <c r="CH45" i="4"/>
  <c r="CH208" i="4" s="1"/>
  <c r="CC45" i="4"/>
  <c r="BX46" i="4"/>
  <c r="BS46" i="4"/>
  <c r="BN46" i="4"/>
  <c r="BN208" i="4" s="1"/>
  <c r="BI46" i="4"/>
  <c r="BD46" i="4"/>
  <c r="AY46" i="4"/>
  <c r="AT46" i="4"/>
  <c r="AO46" i="4"/>
  <c r="AJ46" i="4"/>
  <c r="AE46" i="4"/>
  <c r="AE145" i="4" s="1"/>
  <c r="Z46" i="4"/>
  <c r="U46" i="4"/>
  <c r="P46" i="4"/>
  <c r="K46" i="4"/>
  <c r="BX45" i="4"/>
  <c r="BX208" i="4" s="1"/>
  <c r="BS45" i="4"/>
  <c r="BN45" i="4"/>
  <c r="BI45" i="4"/>
  <c r="BD45" i="4"/>
  <c r="AY45" i="4"/>
  <c r="AT45" i="4"/>
  <c r="AO45" i="4"/>
  <c r="AJ45" i="4"/>
  <c r="AE45" i="4"/>
  <c r="Z45" i="4"/>
  <c r="U45" i="4"/>
  <c r="P45" i="4"/>
  <c r="K45" i="4"/>
  <c r="X45" i="4"/>
  <c r="X143" i="4" s="1"/>
  <c r="X169" i="4" s="1"/>
  <c r="CS40" i="4"/>
  <c r="CQ40" i="4"/>
  <c r="CR40" i="4" s="1"/>
  <c r="CO40" i="4"/>
  <c r="CI40" i="4"/>
  <c r="CG40" i="4"/>
  <c r="CF40" i="4"/>
  <c r="CE40" i="4"/>
  <c r="CD40" i="4"/>
  <c r="CB40" i="4"/>
  <c r="CC40" i="4" s="1"/>
  <c r="CA40" i="4"/>
  <c r="BZ40" i="4"/>
  <c r="BY40" i="4"/>
  <c r="BV40" i="4"/>
  <c r="BU40" i="4"/>
  <c r="BT40" i="4"/>
  <c r="BQ40" i="4"/>
  <c r="BP40" i="4"/>
  <c r="BO40" i="4"/>
  <c r="BL40" i="4"/>
  <c r="BK40" i="4"/>
  <c r="BJ40" i="4"/>
  <c r="BG40" i="4"/>
  <c r="BF40" i="4"/>
  <c r="BE40" i="4"/>
  <c r="BB40" i="4"/>
  <c r="BA40" i="4"/>
  <c r="AZ40" i="4"/>
  <c r="AW40" i="4"/>
  <c r="AV40" i="4"/>
  <c r="AU40" i="4"/>
  <c r="AR40" i="4"/>
  <c r="AQ40" i="4"/>
  <c r="AP40" i="4"/>
  <c r="AM40" i="4"/>
  <c r="AL40" i="4"/>
  <c r="AK40" i="4"/>
  <c r="AH40" i="4"/>
  <c r="AG40" i="4"/>
  <c r="AF40" i="4"/>
  <c r="AC40" i="4"/>
  <c r="AB40" i="4"/>
  <c r="AA40" i="4"/>
  <c r="X40" i="4"/>
  <c r="W40" i="4"/>
  <c r="V40" i="4"/>
  <c r="S40" i="4"/>
  <c r="R40" i="4"/>
  <c r="Q40" i="4"/>
  <c r="N40" i="4"/>
  <c r="M40" i="4"/>
  <c r="L40" i="4"/>
  <c r="I40" i="4"/>
  <c r="H40" i="4"/>
  <c r="CT39" i="4"/>
  <c r="CT40" i="4" s="1"/>
  <c r="CR39" i="4"/>
  <c r="CM39" i="4"/>
  <c r="CH39" i="4"/>
  <c r="CC39" i="4"/>
  <c r="BX39" i="4"/>
  <c r="BS39" i="4"/>
  <c r="BN39" i="4"/>
  <c r="BI39" i="4"/>
  <c r="BD39" i="4"/>
  <c r="AY39" i="4"/>
  <c r="AT39" i="4"/>
  <c r="AO39" i="4"/>
  <c r="AJ39" i="4"/>
  <c r="AE39" i="4"/>
  <c r="Z39" i="4"/>
  <c r="U39" i="4"/>
  <c r="P39" i="4"/>
  <c r="K39" i="4"/>
  <c r="CR38" i="4"/>
  <c r="CM38" i="4"/>
  <c r="CH38" i="4"/>
  <c r="CC38" i="4"/>
  <c r="BX38" i="4"/>
  <c r="BS38" i="4"/>
  <c r="BN38" i="4"/>
  <c r="BI38" i="4"/>
  <c r="BD38" i="4"/>
  <c r="AY38" i="4"/>
  <c r="AT38" i="4"/>
  <c r="AO38" i="4"/>
  <c r="AJ38" i="4"/>
  <c r="AE38" i="4"/>
  <c r="Z38" i="4"/>
  <c r="U38" i="4"/>
  <c r="P38" i="4"/>
  <c r="K38" i="4"/>
  <c r="CR37" i="4"/>
  <c r="CM37" i="4"/>
  <c r="CM129" i="4" s="1"/>
  <c r="CH37" i="4"/>
  <c r="CH129" i="4" s="1"/>
  <c r="CC37" i="4"/>
  <c r="CC129" i="4" s="1"/>
  <c r="AO37" i="4"/>
  <c r="AO129" i="4" s="1"/>
  <c r="AJ37" i="4"/>
  <c r="AJ129" i="4" s="1"/>
  <c r="AE37" i="4"/>
  <c r="AE129" i="4" s="1"/>
  <c r="Z37" i="4"/>
  <c r="Z129" i="4" s="1"/>
  <c r="U37" i="4"/>
  <c r="U129" i="4" s="1"/>
  <c r="P37" i="4"/>
  <c r="P129" i="4" s="1"/>
  <c r="K37" i="4"/>
  <c r="BW37" i="4"/>
  <c r="BX37" i="4" s="1"/>
  <c r="BX129" i="4" s="1"/>
  <c r="BR37" i="4"/>
  <c r="BM37" i="4"/>
  <c r="BM129" i="4" s="1"/>
  <c r="BH37" i="4"/>
  <c r="BC37" i="4"/>
  <c r="BD37" i="4" s="1"/>
  <c r="AX37" i="4"/>
  <c r="AS37" i="4"/>
  <c r="AS129" i="4" s="1"/>
  <c r="CL35" i="4"/>
  <c r="CL32" i="4" s="1"/>
  <c r="CM32" i="4" s="1"/>
  <c r="CG32" i="4"/>
  <c r="CG134" i="4" s="1"/>
  <c r="CI134" i="4" s="1"/>
  <c r="CJ134" i="4" s="1"/>
  <c r="CK134" i="4" s="1"/>
  <c r="CL134" i="4" s="1"/>
  <c r="CN134" i="4" s="1"/>
  <c r="CO134" i="4" s="1"/>
  <c r="CP134" i="4" s="1"/>
  <c r="CQ134" i="4" s="1"/>
  <c r="CS134" i="4" s="1"/>
  <c r="CT134" i="4" s="1"/>
  <c r="CU134" i="4" s="1"/>
  <c r="CV134" i="4" s="1"/>
  <c r="CX134" i="4" s="1"/>
  <c r="CY134" i="4" s="1"/>
  <c r="CZ134" i="4" s="1"/>
  <c r="DA134" i="4" s="1"/>
  <c r="DC134" i="4" s="1"/>
  <c r="DD134" i="4" s="1"/>
  <c r="DE134" i="4" s="1"/>
  <c r="DF134" i="4" s="1"/>
  <c r="DH134" i="4" s="1"/>
  <c r="DI134" i="4" s="1"/>
  <c r="DJ134" i="4" s="1"/>
  <c r="DK134" i="4" s="1"/>
  <c r="DM134" i="4" s="1"/>
  <c r="CB32" i="4"/>
  <c r="CB134" i="4" s="1"/>
  <c r="CD134" i="4" s="1"/>
  <c r="CE134" i="4" s="1"/>
  <c r="CF134" i="4" s="1"/>
  <c r="BW32" i="4"/>
  <c r="BX32" i="4" s="1"/>
  <c r="BR32" i="4"/>
  <c r="BR136" i="4" s="1"/>
  <c r="BT136" i="4" s="1"/>
  <c r="BU136" i="4" s="1"/>
  <c r="BV136" i="4" s="1"/>
  <c r="BM32" i="4"/>
  <c r="BM135" i="4" s="1"/>
  <c r="BO135" i="4" s="1"/>
  <c r="BP135" i="4" s="1"/>
  <c r="BQ135" i="4" s="1"/>
  <c r="BH32" i="4"/>
  <c r="BH136" i="4" s="1"/>
  <c r="BJ136" i="4" s="1"/>
  <c r="BK136" i="4" s="1"/>
  <c r="BL136" i="4" s="1"/>
  <c r="BC32" i="4"/>
  <c r="BC136" i="4" s="1"/>
  <c r="BE136" i="4" s="1"/>
  <c r="BF136" i="4" s="1"/>
  <c r="BG136" i="4" s="1"/>
  <c r="AX32" i="4"/>
  <c r="AY32" i="4" s="1"/>
  <c r="AS32" i="4"/>
  <c r="AS135" i="4" s="1"/>
  <c r="AU135" i="4" s="1"/>
  <c r="CM36" i="4"/>
  <c r="CH36" i="4"/>
  <c r="CC36" i="4"/>
  <c r="BX36" i="4"/>
  <c r="BS36" i="4"/>
  <c r="BN36" i="4"/>
  <c r="BI36" i="4"/>
  <c r="BD36" i="4"/>
  <c r="AY36" i="4"/>
  <c r="AT36" i="4"/>
  <c r="AY125" i="4" s="1"/>
  <c r="CH35" i="4"/>
  <c r="CC35" i="4"/>
  <c r="BX35" i="4"/>
  <c r="BS35" i="4"/>
  <c r="BN35" i="4"/>
  <c r="BI35" i="4"/>
  <c r="BD35" i="4"/>
  <c r="AY35" i="4"/>
  <c r="AT35" i="4"/>
  <c r="CM34" i="4"/>
  <c r="CH34" i="4"/>
  <c r="CC34" i="4"/>
  <c r="BX34" i="4"/>
  <c r="BS34" i="4"/>
  <c r="BN34" i="4"/>
  <c r="BI34" i="4"/>
  <c r="BD34" i="4"/>
  <c r="AY34" i="4"/>
  <c r="AT34" i="4"/>
  <c r="CM33" i="4"/>
  <c r="CH33" i="4"/>
  <c r="CC33" i="4"/>
  <c r="BX33" i="4"/>
  <c r="BS33" i="4"/>
  <c r="BN33" i="4"/>
  <c r="BI33" i="4"/>
  <c r="BD33" i="4"/>
  <c r="AY33" i="4"/>
  <c r="AT33" i="4"/>
  <c r="CR31" i="4"/>
  <c r="CM31" i="4"/>
  <c r="CH31" i="4"/>
  <c r="CC31" i="4"/>
  <c r="BX31" i="4"/>
  <c r="BS31" i="4"/>
  <c r="BN31" i="4"/>
  <c r="BI31" i="4"/>
  <c r="BD31" i="4"/>
  <c r="AY31" i="4"/>
  <c r="AT31" i="4"/>
  <c r="AO31" i="4"/>
  <c r="AJ31" i="4"/>
  <c r="AE31" i="4"/>
  <c r="Z31" i="4"/>
  <c r="U31" i="4"/>
  <c r="P31" i="4"/>
  <c r="K31" i="4"/>
  <c r="CR30" i="4"/>
  <c r="CH30" i="4"/>
  <c r="CC30" i="4"/>
  <c r="BX30" i="4"/>
  <c r="BS30" i="4"/>
  <c r="BN30" i="4"/>
  <c r="BI30" i="4"/>
  <c r="BD30" i="4"/>
  <c r="AY30" i="4"/>
  <c r="AT30" i="4"/>
  <c r="AO30" i="4"/>
  <c r="AJ30" i="4"/>
  <c r="AE30" i="4"/>
  <c r="Z30" i="4"/>
  <c r="U30" i="4"/>
  <c r="P30" i="4"/>
  <c r="K30" i="4"/>
  <c r="CP30" i="4"/>
  <c r="CP40" i="4" s="1"/>
  <c r="CJ30" i="4"/>
  <c r="CK30" i="4" s="1"/>
  <c r="CR29" i="4"/>
  <c r="CM29" i="4"/>
  <c r="CH29" i="4"/>
  <c r="CC29" i="4"/>
  <c r="CR28" i="4"/>
  <c r="CR96" i="4" s="1"/>
  <c r="CM28" i="4"/>
  <c r="CM96" i="4" s="1"/>
  <c r="CR93" i="4" s="1"/>
  <c r="CH28" i="4"/>
  <c r="CH96" i="4" s="1"/>
  <c r="CC28" i="4"/>
  <c r="CC96" i="4" s="1"/>
  <c r="CH93" i="4" s="1"/>
  <c r="BX28" i="4"/>
  <c r="BX96" i="4" s="1"/>
  <c r="CC93" i="4" s="1"/>
  <c r="BS28" i="4"/>
  <c r="BS96" i="4" s="1"/>
  <c r="BX93" i="4" s="1"/>
  <c r="BN28" i="4"/>
  <c r="BN96" i="4" s="1"/>
  <c r="BS93" i="4" s="1"/>
  <c r="BI28" i="4"/>
  <c r="BI96" i="4" s="1"/>
  <c r="BN93" i="4" s="1"/>
  <c r="BD28" i="4"/>
  <c r="BD96" i="4" s="1"/>
  <c r="BI93" i="4" s="1"/>
  <c r="AY28" i="4"/>
  <c r="AY96" i="4" s="1"/>
  <c r="BD93" i="4" s="1"/>
  <c r="AT28" i="4"/>
  <c r="AT96" i="4" s="1"/>
  <c r="AY93" i="4" s="1"/>
  <c r="AO28" i="4"/>
  <c r="AO96" i="4" s="1"/>
  <c r="AT93" i="4" s="1"/>
  <c r="AJ28" i="4"/>
  <c r="AJ96" i="4" s="1"/>
  <c r="AO93" i="4" s="1"/>
  <c r="AE28" i="4"/>
  <c r="AE96" i="4" s="1"/>
  <c r="AJ93" i="4" s="1"/>
  <c r="Z28" i="4"/>
  <c r="Z96" i="4" s="1"/>
  <c r="U28" i="4"/>
  <c r="U96" i="4" s="1"/>
  <c r="Z93" i="4" s="1"/>
  <c r="P28" i="4"/>
  <c r="P96" i="4" s="1"/>
  <c r="U93" i="4" s="1"/>
  <c r="K28" i="4"/>
  <c r="DB31" i="4"/>
  <c r="CT20" i="4"/>
  <c r="CT91" i="4" s="1"/>
  <c r="CU87" i="4" s="1"/>
  <c r="CU100" i="4" s="1"/>
  <c r="CS20" i="4"/>
  <c r="CS91" i="4" s="1"/>
  <c r="CQ20" i="4"/>
  <c r="CP20" i="4"/>
  <c r="CP91" i="4" s="1"/>
  <c r="CQ87" i="4" s="1"/>
  <c r="CL20" i="4"/>
  <c r="CL91" i="4" s="1"/>
  <c r="CK20" i="4"/>
  <c r="CK91" i="4" s="1"/>
  <c r="CJ20" i="4"/>
  <c r="CJ91" i="4" s="1"/>
  <c r="CI20" i="4"/>
  <c r="CI91" i="4" s="1"/>
  <c r="CI98" i="4" s="1"/>
  <c r="CG20" i="4"/>
  <c r="CG113" i="4" s="1"/>
  <c r="CI113" i="4" s="1"/>
  <c r="CF20" i="4"/>
  <c r="CF91" i="4" s="1"/>
  <c r="CE20" i="4"/>
  <c r="CE91" i="4" s="1"/>
  <c r="CD20" i="4"/>
  <c r="CD91" i="4" s="1"/>
  <c r="CB20" i="4"/>
  <c r="CB114" i="4" s="1"/>
  <c r="CD114" i="4" s="1"/>
  <c r="CA20" i="4"/>
  <c r="CA91" i="4" s="1"/>
  <c r="BZ20" i="4"/>
  <c r="BZ91" i="4" s="1"/>
  <c r="BY20" i="4"/>
  <c r="BY91" i="4" s="1"/>
  <c r="BW20" i="4"/>
  <c r="BW113" i="4" s="1"/>
  <c r="BV20" i="4"/>
  <c r="BV91" i="4" s="1"/>
  <c r="BU20" i="4"/>
  <c r="BU91" i="4" s="1"/>
  <c r="BT20" i="4"/>
  <c r="BT91" i="4" s="1"/>
  <c r="BU87" i="4" s="1"/>
  <c r="BR20" i="4"/>
  <c r="BR91" i="4" s="1"/>
  <c r="BT87" i="4" s="1"/>
  <c r="BQ20" i="4"/>
  <c r="BQ91" i="4" s="1"/>
  <c r="BP20" i="4"/>
  <c r="BP91" i="4" s="1"/>
  <c r="BO20" i="4"/>
  <c r="BO91" i="4" s="1"/>
  <c r="BM20" i="4"/>
  <c r="BM110" i="4" s="1"/>
  <c r="BO110" i="4" s="1"/>
  <c r="BL20" i="4"/>
  <c r="BL91" i="4" s="1"/>
  <c r="BL98" i="4" s="1"/>
  <c r="BK20" i="4"/>
  <c r="BK91" i="4" s="1"/>
  <c r="BJ20" i="4"/>
  <c r="BJ91" i="4" s="1"/>
  <c r="BH20" i="4"/>
  <c r="BH115" i="4" s="1"/>
  <c r="BG20" i="4"/>
  <c r="BG91" i="4" s="1"/>
  <c r="BF20" i="4"/>
  <c r="BF91" i="4" s="1"/>
  <c r="BE20" i="4"/>
  <c r="BE91" i="4" s="1"/>
  <c r="BC20" i="4"/>
  <c r="BC29" i="4" s="1"/>
  <c r="BB20" i="4"/>
  <c r="BB91" i="4" s="1"/>
  <c r="BB98" i="4" s="1"/>
  <c r="BA20" i="4"/>
  <c r="BA91" i="4" s="1"/>
  <c r="AZ20" i="4"/>
  <c r="AZ91" i="4" s="1"/>
  <c r="AZ98" i="4" s="1"/>
  <c r="AX20" i="4"/>
  <c r="AX114" i="4" s="1"/>
  <c r="AW20" i="4"/>
  <c r="AW91" i="4" s="1"/>
  <c r="AV20" i="4"/>
  <c r="AV91" i="4" s="1"/>
  <c r="AU20" i="4"/>
  <c r="AU91" i="4" s="1"/>
  <c r="AS20" i="4"/>
  <c r="AS114" i="4" s="1"/>
  <c r="AR20" i="4"/>
  <c r="AR91" i="4" s="1"/>
  <c r="AQ20" i="4"/>
  <c r="AQ91" i="4" s="1"/>
  <c r="AP20" i="4"/>
  <c r="AP91" i="4" s="1"/>
  <c r="AN20" i="4"/>
  <c r="AO20" i="4" s="1"/>
  <c r="AM20" i="4"/>
  <c r="AM91" i="4" s="1"/>
  <c r="AN87" i="4" s="1"/>
  <c r="AL20" i="4"/>
  <c r="AL91" i="4" s="1"/>
  <c r="AK20" i="4"/>
  <c r="AK91" i="4" s="1"/>
  <c r="AI20" i="4"/>
  <c r="AI111" i="4" s="1"/>
  <c r="AK111" i="4" s="1"/>
  <c r="AH20" i="4"/>
  <c r="AH91" i="4" s="1"/>
  <c r="AG20" i="4"/>
  <c r="AG91" i="4" s="1"/>
  <c r="AF20" i="4"/>
  <c r="AF91" i="4" s="1"/>
  <c r="AD20" i="4"/>
  <c r="AD111" i="4" s="1"/>
  <c r="AF111" i="4" s="1"/>
  <c r="AC20" i="4"/>
  <c r="AC91" i="4" s="1"/>
  <c r="AC98" i="4" s="1"/>
  <c r="AB20" i="4"/>
  <c r="AB91" i="4" s="1"/>
  <c r="AC87" i="4" s="1"/>
  <c r="AA20" i="4"/>
  <c r="AA91" i="4" s="1"/>
  <c r="Y20" i="4"/>
  <c r="Y112" i="4" s="1"/>
  <c r="AB112" i="4" s="1"/>
  <c r="X20" i="4"/>
  <c r="X91" i="4" s="1"/>
  <c r="X98" i="4" s="1"/>
  <c r="W20" i="4"/>
  <c r="W91" i="4" s="1"/>
  <c r="V20" i="4"/>
  <c r="V91" i="4" s="1"/>
  <c r="W87" i="4" s="1"/>
  <c r="T20" i="4"/>
  <c r="T110" i="4" s="1"/>
  <c r="X110" i="4" s="1"/>
  <c r="S20" i="4"/>
  <c r="S91" i="4" s="1"/>
  <c r="R20" i="4"/>
  <c r="R91" i="4" s="1"/>
  <c r="Q20" i="4"/>
  <c r="Q91" i="4" s="1"/>
  <c r="R87" i="4" s="1"/>
  <c r="O20" i="4"/>
  <c r="O110" i="4" s="1"/>
  <c r="S110" i="4" s="1"/>
  <c r="S22" i="4" s="1"/>
  <c r="N20" i="4"/>
  <c r="N91" i="4" s="1"/>
  <c r="M20" i="4"/>
  <c r="M91" i="4" s="1"/>
  <c r="L20" i="4"/>
  <c r="L91" i="4" s="1"/>
  <c r="J20" i="4"/>
  <c r="J109" i="4" s="1"/>
  <c r="M109" i="4" s="1"/>
  <c r="I20" i="4"/>
  <c r="I91" i="4" s="1"/>
  <c r="J87" i="4" s="1"/>
  <c r="CT17" i="4"/>
  <c r="CS17" i="4"/>
  <c r="CQ17" i="4"/>
  <c r="CQ42" i="4" s="1"/>
  <c r="CR42" i="4" s="1"/>
  <c r="CP17" i="4"/>
  <c r="CO17" i="4"/>
  <c r="CN17" i="4"/>
  <c r="CL17" i="4"/>
  <c r="CL198" i="4" s="1"/>
  <c r="CK17" i="4"/>
  <c r="CJ17" i="4"/>
  <c r="CI17" i="4"/>
  <c r="CI197" i="4" s="1"/>
  <c r="CG17" i="4"/>
  <c r="CH17" i="4" s="1"/>
  <c r="CF17" i="4"/>
  <c r="CE17" i="4"/>
  <c r="CD17" i="4"/>
  <c r="CD42" i="4" s="1"/>
  <c r="CB17" i="4"/>
  <c r="CC17" i="4" s="1"/>
  <c r="CA17" i="4"/>
  <c r="BZ17" i="4"/>
  <c r="BY17" i="4"/>
  <c r="BW17" i="4"/>
  <c r="BX17" i="4" s="1"/>
  <c r="BV17" i="4"/>
  <c r="BU17" i="4"/>
  <c r="BT17" i="4"/>
  <c r="BT197" i="4" s="1"/>
  <c r="BR17" i="4"/>
  <c r="BS17" i="4" s="1"/>
  <c r="BQ17" i="4"/>
  <c r="BP17" i="4"/>
  <c r="BP42" i="4" s="1"/>
  <c r="BO17" i="4"/>
  <c r="BO198" i="4" s="1"/>
  <c r="BM17" i="4"/>
  <c r="BM198" i="4" s="1"/>
  <c r="BL17" i="4"/>
  <c r="BK17" i="4"/>
  <c r="BJ17" i="4"/>
  <c r="BH17" i="4"/>
  <c r="BH197" i="4" s="1"/>
  <c r="BG17" i="4"/>
  <c r="BF17" i="4"/>
  <c r="BE17" i="4"/>
  <c r="BE197" i="4" s="1"/>
  <c r="BC17" i="4"/>
  <c r="BC198" i="4" s="1"/>
  <c r="BB17" i="4"/>
  <c r="BA17" i="4"/>
  <c r="AZ17" i="4"/>
  <c r="AX17" i="4"/>
  <c r="AY17" i="4" s="1"/>
  <c r="AW17" i="4"/>
  <c r="AW42" i="4" s="1"/>
  <c r="AV17" i="4"/>
  <c r="AV42" i="4" s="1"/>
  <c r="AU17" i="4"/>
  <c r="AU198" i="4" s="1"/>
  <c r="AS17" i="4"/>
  <c r="AS198" i="4" s="1"/>
  <c r="AR17" i="4"/>
  <c r="AQ17" i="4"/>
  <c r="AP17" i="4"/>
  <c r="AP197" i="4" s="1"/>
  <c r="AN17" i="4"/>
  <c r="AO17" i="4" s="1"/>
  <c r="AM17" i="4"/>
  <c r="AL17" i="4"/>
  <c r="AK17" i="4"/>
  <c r="AK42" i="4" s="1"/>
  <c r="AI17" i="4"/>
  <c r="AJ17" i="4" s="1"/>
  <c r="AH17" i="4"/>
  <c r="AG17" i="4"/>
  <c r="AF17" i="4"/>
  <c r="AD17" i="4"/>
  <c r="AE17" i="4" s="1"/>
  <c r="AC17" i="4"/>
  <c r="AC42" i="4" s="1"/>
  <c r="AB17" i="4"/>
  <c r="AA17" i="4"/>
  <c r="Y17" i="4"/>
  <c r="Y198" i="4" s="1"/>
  <c r="X17" i="4"/>
  <c r="W17" i="4"/>
  <c r="V17" i="4"/>
  <c r="T17" i="4"/>
  <c r="T197" i="4" s="1"/>
  <c r="S17" i="4"/>
  <c r="R17" i="4"/>
  <c r="R197" i="4" s="1"/>
  <c r="Q17" i="4"/>
  <c r="Q42" i="4" s="1"/>
  <c r="O17" i="4"/>
  <c r="P17" i="4" s="1"/>
  <c r="P197" i="4" s="1"/>
  <c r="N17" i="4"/>
  <c r="N198" i="4" s="1"/>
  <c r="M17" i="4"/>
  <c r="M198" i="4" s="1"/>
  <c r="L17" i="4"/>
  <c r="J17" i="4"/>
  <c r="K17" i="4" s="1"/>
  <c r="I17" i="4"/>
  <c r="I42" i="4" s="1"/>
  <c r="H17" i="4"/>
  <c r="H198" i="4" s="1"/>
  <c r="CR16" i="4"/>
  <c r="CM16" i="4"/>
  <c r="CH16" i="4"/>
  <c r="CC16" i="4"/>
  <c r="BX16" i="4"/>
  <c r="BS16" i="4"/>
  <c r="BN16" i="4"/>
  <c r="BI16" i="4"/>
  <c r="BD16" i="4"/>
  <c r="AY16" i="4"/>
  <c r="AT16" i="4"/>
  <c r="AO16" i="4"/>
  <c r="AJ16" i="4"/>
  <c r="AE16" i="4"/>
  <c r="Z16" i="4"/>
  <c r="U16" i="4"/>
  <c r="P16" i="4"/>
  <c r="K16" i="4"/>
  <c r="CR15" i="4"/>
  <c r="CM15" i="4"/>
  <c r="CH15" i="4"/>
  <c r="CC15" i="4"/>
  <c r="BX15" i="4"/>
  <c r="BS15" i="4"/>
  <c r="BN15" i="4"/>
  <c r="BI15" i="4"/>
  <c r="BD15" i="4"/>
  <c r="AY15" i="4"/>
  <c r="AT15" i="4"/>
  <c r="AO15" i="4"/>
  <c r="AJ15" i="4"/>
  <c r="AE15" i="4"/>
  <c r="Z15" i="4"/>
  <c r="U15" i="4"/>
  <c r="P15" i="4"/>
  <c r="K15" i="4"/>
  <c r="CR14" i="4"/>
  <c r="CM14" i="4"/>
  <c r="CH14" i="4"/>
  <c r="CC14" i="4"/>
  <c r="BX14" i="4"/>
  <c r="BS14" i="4"/>
  <c r="BN14" i="4"/>
  <c r="BI14" i="4"/>
  <c r="BD14" i="4"/>
  <c r="AY14" i="4"/>
  <c r="AT14" i="4"/>
  <c r="AO14" i="4"/>
  <c r="AJ14" i="4"/>
  <c r="AE14" i="4"/>
  <c r="Z14" i="4"/>
  <c r="U14" i="4"/>
  <c r="P14" i="4"/>
  <c r="K14" i="4"/>
  <c r="CR13" i="4"/>
  <c r="CM13" i="4"/>
  <c r="CH13" i="4"/>
  <c r="CC13" i="4"/>
  <c r="BX13" i="4"/>
  <c r="BS13" i="4"/>
  <c r="BN13" i="4"/>
  <c r="BI13" i="4"/>
  <c r="BD13" i="4"/>
  <c r="AY13" i="4"/>
  <c r="AT13" i="4"/>
  <c r="AO13" i="4"/>
  <c r="AJ13" i="4"/>
  <c r="AE13" i="4"/>
  <c r="Z13" i="4"/>
  <c r="U13" i="4"/>
  <c r="P13" i="4"/>
  <c r="K13" i="4"/>
  <c r="CR12" i="4"/>
  <c r="CM12" i="4"/>
  <c r="CH12" i="4"/>
  <c r="CC12" i="4"/>
  <c r="BX12" i="4"/>
  <c r="BS12" i="4"/>
  <c r="BN12" i="4"/>
  <c r="BI12" i="4"/>
  <c r="BD12" i="4"/>
  <c r="AY12" i="4"/>
  <c r="AT12" i="4"/>
  <c r="AO12" i="4"/>
  <c r="AJ12" i="4"/>
  <c r="AE12" i="4"/>
  <c r="Z12" i="4"/>
  <c r="U12" i="4"/>
  <c r="P12" i="4"/>
  <c r="K12" i="4"/>
  <c r="CR11" i="4"/>
  <c r="CS161" i="4" s="1"/>
  <c r="CM11" i="4"/>
  <c r="CN161" i="4" s="1"/>
  <c r="CH11" i="4"/>
  <c r="CC11" i="4"/>
  <c r="BX11" i="4"/>
  <c r="BS11" i="4"/>
  <c r="BN11" i="4"/>
  <c r="BI11" i="4"/>
  <c r="BD11" i="4"/>
  <c r="AY11" i="4"/>
  <c r="AT11" i="4"/>
  <c r="AO11" i="4"/>
  <c r="AJ11" i="4"/>
  <c r="AE11" i="4"/>
  <c r="Z11" i="4"/>
  <c r="U11" i="4"/>
  <c r="P11" i="4"/>
  <c r="K11" i="4"/>
  <c r="CR215" i="1"/>
  <c r="CM215" i="1"/>
  <c r="CH215" i="1"/>
  <c r="CC215" i="1"/>
  <c r="BX215" i="1"/>
  <c r="BS215" i="1"/>
  <c r="BN215" i="1"/>
  <c r="BI215" i="1"/>
  <c r="BD215" i="1"/>
  <c r="AY215" i="1"/>
  <c r="CE215" i="1"/>
  <c r="CH214" i="1"/>
  <c r="CC214" i="1"/>
  <c r="BX214" i="1"/>
  <c r="BS214" i="1"/>
  <c r="BN214" i="1"/>
  <c r="BI214" i="1"/>
  <c r="BD214" i="1"/>
  <c r="AY214" i="1"/>
  <c r="AT214" i="1"/>
  <c r="AO214" i="1"/>
  <c r="CP196" i="1"/>
  <c r="CP185" i="1" s="1"/>
  <c r="CN196" i="1"/>
  <c r="CN185" i="1" s="1"/>
  <c r="CL196" i="1"/>
  <c r="CK196" i="1"/>
  <c r="CJ196" i="1"/>
  <c r="CJ185" i="1" s="1"/>
  <c r="CI196" i="1"/>
  <c r="CI185" i="1" s="1"/>
  <c r="CF196" i="1"/>
  <c r="CD196" i="1"/>
  <c r="CB196" i="1"/>
  <c r="CB185" i="1" s="1"/>
  <c r="CA196" i="1"/>
  <c r="BZ196" i="1"/>
  <c r="BY196" i="1"/>
  <c r="BW196" i="1"/>
  <c r="BW185" i="1" s="1"/>
  <c r="BV196" i="1"/>
  <c r="BU196" i="1"/>
  <c r="BU185" i="1" s="1"/>
  <c r="BT196" i="1"/>
  <c r="BR196" i="1"/>
  <c r="BR185" i="1" s="1"/>
  <c r="BQ196" i="1"/>
  <c r="BQ185" i="1" s="1"/>
  <c r="BP196" i="1"/>
  <c r="BP185" i="1" s="1"/>
  <c r="BO196" i="1"/>
  <c r="BM196" i="1"/>
  <c r="BM185" i="1" s="1"/>
  <c r="BL196" i="1"/>
  <c r="BL185" i="1" s="1"/>
  <c r="BK196" i="1"/>
  <c r="BJ196" i="1"/>
  <c r="BH196" i="1"/>
  <c r="BH185" i="1" s="1"/>
  <c r="BG196" i="1"/>
  <c r="BG185" i="1" s="1"/>
  <c r="BF196" i="1"/>
  <c r="BE196" i="1"/>
  <c r="BC196" i="1"/>
  <c r="BC185" i="1" s="1"/>
  <c r="BB196" i="1"/>
  <c r="BB185" i="1" s="1"/>
  <c r="BA196" i="1"/>
  <c r="BA185" i="1" s="1"/>
  <c r="AZ196" i="1"/>
  <c r="AX196" i="1"/>
  <c r="AX185" i="1" s="1"/>
  <c r="AW196" i="1"/>
  <c r="AW185" i="1" s="1"/>
  <c r="AV196" i="1"/>
  <c r="AV185" i="1" s="1"/>
  <c r="AU196" i="1"/>
  <c r="AS196" i="1"/>
  <c r="AS185" i="1" s="1"/>
  <c r="AR196" i="1"/>
  <c r="AR185" i="1" s="1"/>
  <c r="AQ196" i="1"/>
  <c r="AP196" i="1"/>
  <c r="AN196" i="1"/>
  <c r="AN185" i="1" s="1"/>
  <c r="AM196" i="1"/>
  <c r="AM185" i="1" s="1"/>
  <c r="AL196" i="1"/>
  <c r="AL185" i="1" s="1"/>
  <c r="AK196" i="1"/>
  <c r="AI196" i="1"/>
  <c r="AI185" i="1" s="1"/>
  <c r="AH196" i="1"/>
  <c r="AH185" i="1" s="1"/>
  <c r="AG196" i="1"/>
  <c r="AF196" i="1"/>
  <c r="AD196" i="1"/>
  <c r="AD185" i="1" s="1"/>
  <c r="AC196" i="1"/>
  <c r="AC185" i="1" s="1"/>
  <c r="AB196" i="1"/>
  <c r="AB185" i="1" s="1"/>
  <c r="AA196" i="1"/>
  <c r="CA174" i="1"/>
  <c r="CB174" i="1" s="1"/>
  <c r="CH173" i="1"/>
  <c r="CC173" i="1"/>
  <c r="BX173" i="1"/>
  <c r="BS173" i="1"/>
  <c r="BN173" i="1"/>
  <c r="BI173" i="1"/>
  <c r="BD173" i="1"/>
  <c r="AY173" i="1"/>
  <c r="AT173" i="1"/>
  <c r="AO173" i="1"/>
  <c r="AJ173" i="1"/>
  <c r="AE173" i="1"/>
  <c r="Z173" i="1"/>
  <c r="U173" i="1"/>
  <c r="BZ168" i="1"/>
  <c r="CA168" i="1" s="1"/>
  <c r="CB168" i="1" s="1"/>
  <c r="CH167" i="1"/>
  <c r="CC167" i="1"/>
  <c r="BX167" i="1"/>
  <c r="BS167" i="1"/>
  <c r="BN167" i="1"/>
  <c r="BI167" i="1"/>
  <c r="BD167" i="1"/>
  <c r="AY167" i="1"/>
  <c r="AT167" i="1"/>
  <c r="AO167" i="1"/>
  <c r="AJ167" i="1"/>
  <c r="AE167" i="1"/>
  <c r="Z167" i="1"/>
  <c r="U167" i="1"/>
  <c r="BZ163" i="1"/>
  <c r="BY163" i="1"/>
  <c r="BW163" i="1"/>
  <c r="BV163" i="1"/>
  <c r="BU163" i="1"/>
  <c r="BT163" i="1"/>
  <c r="BR163" i="1"/>
  <c r="BQ163" i="1"/>
  <c r="BP163" i="1"/>
  <c r="BO163" i="1"/>
  <c r="BM163" i="1"/>
  <c r="BL163" i="1"/>
  <c r="BK163" i="1"/>
  <c r="BJ163" i="1"/>
  <c r="BH163" i="1"/>
  <c r="BG163" i="1"/>
  <c r="BF163" i="1"/>
  <c r="BE163" i="1"/>
  <c r="BC163" i="1"/>
  <c r="BB163" i="1"/>
  <c r="BA163" i="1"/>
  <c r="AZ163" i="1"/>
  <c r="AX163" i="1"/>
  <c r="AW163" i="1"/>
  <c r="AV163" i="1"/>
  <c r="AU163" i="1"/>
  <c r="AS163" i="1"/>
  <c r="AR163" i="1"/>
  <c r="AQ163" i="1"/>
  <c r="AP163" i="1"/>
  <c r="AN163" i="1"/>
  <c r="AM163" i="1"/>
  <c r="AL163" i="1"/>
  <c r="AK163" i="1"/>
  <c r="AI163" i="1"/>
  <c r="AH163" i="1"/>
  <c r="AG163" i="1"/>
  <c r="AF163" i="1"/>
  <c r="AD163" i="1"/>
  <c r="AC163" i="1"/>
  <c r="AB163" i="1"/>
  <c r="AA163" i="1"/>
  <c r="Y163" i="1"/>
  <c r="X163" i="1"/>
  <c r="W163" i="1"/>
  <c r="V163" i="1"/>
  <c r="T163" i="1"/>
  <c r="S163" i="1"/>
  <c r="R163" i="1"/>
  <c r="Q163" i="1"/>
  <c r="O163" i="1"/>
  <c r="N163" i="1"/>
  <c r="M163" i="1"/>
  <c r="L163" i="1"/>
  <c r="J163" i="1"/>
  <c r="I163" i="1"/>
  <c r="H163" i="1"/>
  <c r="G163" i="1"/>
  <c r="BX162" i="1"/>
  <c r="BS162" i="1"/>
  <c r="BN162" i="1"/>
  <c r="BI162" i="1"/>
  <c r="BD162" i="1"/>
  <c r="AY162" i="1"/>
  <c r="AT162" i="1"/>
  <c r="AO162" i="1"/>
  <c r="AJ162" i="1"/>
  <c r="AE162" i="1"/>
  <c r="Z162" i="1"/>
  <c r="U162" i="1"/>
  <c r="CB163" i="1"/>
  <c r="CL162" i="1"/>
  <c r="CL163" i="1" s="1"/>
  <c r="CA162" i="1"/>
  <c r="CT154" i="1"/>
  <c r="CS154" i="1"/>
  <c r="CQ154" i="1"/>
  <c r="CP154" i="1"/>
  <c r="CO154" i="1"/>
  <c r="CN154" i="1"/>
  <c r="CL154" i="1"/>
  <c r="CK154" i="1"/>
  <c r="CJ154" i="1"/>
  <c r="CI154" i="1"/>
  <c r="CG154" i="1"/>
  <c r="CF154" i="1"/>
  <c r="CE154" i="1"/>
  <c r="CD154" i="1"/>
  <c r="CB154" i="1"/>
  <c r="CA154" i="1"/>
  <c r="BZ154" i="1"/>
  <c r="BY154" i="1"/>
  <c r="BW154" i="1"/>
  <c r="BV154" i="1"/>
  <c r="BU154" i="1"/>
  <c r="BT154" i="1"/>
  <c r="BR154" i="1"/>
  <c r="BQ154" i="1"/>
  <c r="BP154" i="1"/>
  <c r="BO154" i="1"/>
  <c r="BM154" i="1"/>
  <c r="BL154" i="1"/>
  <c r="BK154" i="1"/>
  <c r="BJ154" i="1"/>
  <c r="BH154" i="1"/>
  <c r="BG154" i="1"/>
  <c r="BF154" i="1"/>
  <c r="BE154" i="1"/>
  <c r="BC154" i="1"/>
  <c r="BB154" i="1"/>
  <c r="BA154" i="1"/>
  <c r="AZ154" i="1"/>
  <c r="AX154" i="1"/>
  <c r="AW154" i="1"/>
  <c r="AV154" i="1"/>
  <c r="AU154" i="1"/>
  <c r="AS154" i="1"/>
  <c r="AR154" i="1"/>
  <c r="AQ154" i="1"/>
  <c r="AP154" i="1"/>
  <c r="AN154" i="1"/>
  <c r="AM154" i="1"/>
  <c r="AL154" i="1"/>
  <c r="AK154" i="1"/>
  <c r="AI154" i="1"/>
  <c r="AH154" i="1"/>
  <c r="AG154" i="1"/>
  <c r="AF154" i="1"/>
  <c r="AD154" i="1"/>
  <c r="AC154" i="1"/>
  <c r="AB154" i="1"/>
  <c r="AA154" i="1"/>
  <c r="Y154" i="1"/>
  <c r="X154" i="1"/>
  <c r="W154" i="1"/>
  <c r="V154" i="1"/>
  <c r="T154" i="1"/>
  <c r="S154" i="1"/>
  <c r="R154" i="1"/>
  <c r="Q154" i="1"/>
  <c r="O154" i="1"/>
  <c r="N154" i="1"/>
  <c r="M154" i="1"/>
  <c r="L154" i="1"/>
  <c r="CQ153" i="1"/>
  <c r="CP153" i="1"/>
  <c r="CO153" i="1"/>
  <c r="CN153" i="1"/>
  <c r="CL153" i="1"/>
  <c r="CK153" i="1"/>
  <c r="CJ153" i="1"/>
  <c r="CI153" i="1"/>
  <c r="CG153" i="1"/>
  <c r="CF153" i="1"/>
  <c r="CE153" i="1"/>
  <c r="CD153" i="1"/>
  <c r="CB153" i="1"/>
  <c r="CA153" i="1"/>
  <c r="BZ153" i="1"/>
  <c r="BY153" i="1"/>
  <c r="BW153" i="1"/>
  <c r="BV153" i="1"/>
  <c r="BU153" i="1"/>
  <c r="BT153" i="1"/>
  <c r="BR153" i="1"/>
  <c r="BQ153" i="1"/>
  <c r="BP153" i="1"/>
  <c r="BO153" i="1"/>
  <c r="BM153" i="1"/>
  <c r="BL153" i="1"/>
  <c r="BK153" i="1"/>
  <c r="BJ153" i="1"/>
  <c r="BH153" i="1"/>
  <c r="BG153" i="1"/>
  <c r="BF153" i="1"/>
  <c r="BE153" i="1"/>
  <c r="BC153" i="1"/>
  <c r="BB153" i="1"/>
  <c r="BA153" i="1"/>
  <c r="AZ153" i="1"/>
  <c r="AX153" i="1"/>
  <c r="AW153" i="1"/>
  <c r="AV153" i="1"/>
  <c r="AU153" i="1"/>
  <c r="AS153" i="1"/>
  <c r="AR153" i="1"/>
  <c r="AQ153" i="1"/>
  <c r="AP153" i="1"/>
  <c r="AN153" i="1"/>
  <c r="AM153" i="1"/>
  <c r="AL153" i="1"/>
  <c r="AK153" i="1"/>
  <c r="AI153" i="1"/>
  <c r="AH153" i="1"/>
  <c r="AG153" i="1"/>
  <c r="AF153" i="1"/>
  <c r="AD153" i="1"/>
  <c r="AC153" i="1"/>
  <c r="AB153" i="1"/>
  <c r="AA153" i="1"/>
  <c r="Y153" i="1"/>
  <c r="X153" i="1"/>
  <c r="W153" i="1"/>
  <c r="V153" i="1"/>
  <c r="T153" i="1"/>
  <c r="S153" i="1"/>
  <c r="R153" i="1"/>
  <c r="Q153" i="1"/>
  <c r="O153" i="1"/>
  <c r="N153" i="1"/>
  <c r="M153" i="1"/>
  <c r="L153" i="1"/>
  <c r="CT151" i="1"/>
  <c r="CQ151" i="1"/>
  <c r="CR151" i="1" s="1"/>
  <c r="CP151" i="1"/>
  <c r="CO151" i="1"/>
  <c r="CO155" i="1" s="1"/>
  <c r="CN151" i="1"/>
  <c r="CO138" i="1" s="1"/>
  <c r="CL151" i="1"/>
  <c r="CN138" i="1" s="1"/>
  <c r="CK151" i="1"/>
  <c r="CL138" i="1" s="1"/>
  <c r="CJ151" i="1"/>
  <c r="CK138" i="1" s="1"/>
  <c r="CK136" i="1" s="1"/>
  <c r="CI151" i="1"/>
  <c r="CJ138" i="1" s="1"/>
  <c r="CJ146" i="1" s="1"/>
  <c r="CG151" i="1"/>
  <c r="CI138" i="1" s="1"/>
  <c r="CF151" i="1"/>
  <c r="CG138" i="1" s="1"/>
  <c r="CE151" i="1"/>
  <c r="CD151" i="1"/>
  <c r="CE138" i="1" s="1"/>
  <c r="CE146" i="1" s="1"/>
  <c r="CB151" i="1"/>
  <c r="CC151" i="1" s="1"/>
  <c r="CA151" i="1"/>
  <c r="CB138" i="1" s="1"/>
  <c r="BZ151" i="1"/>
  <c r="CA138" i="1" s="1"/>
  <c r="BY151" i="1"/>
  <c r="BZ138" i="1" s="1"/>
  <c r="BW151" i="1"/>
  <c r="BX151" i="1" s="1"/>
  <c r="BV151" i="1"/>
  <c r="BU151" i="1"/>
  <c r="BT151" i="1"/>
  <c r="BU138" i="1" s="1"/>
  <c r="BR151" i="1"/>
  <c r="BQ151" i="1"/>
  <c r="BR138" i="1" s="1"/>
  <c r="BP151" i="1"/>
  <c r="BO151" i="1"/>
  <c r="BP138" i="1" s="1"/>
  <c r="BM151" i="1"/>
  <c r="BL151" i="1"/>
  <c r="BM138" i="1" s="1"/>
  <c r="BK151" i="1"/>
  <c r="BL138" i="1" s="1"/>
  <c r="BJ151" i="1"/>
  <c r="BK138" i="1" s="1"/>
  <c r="BH151" i="1"/>
  <c r="BG151" i="1"/>
  <c r="BF151" i="1"/>
  <c r="BG138" i="1" s="1"/>
  <c r="BG146" i="1" s="1"/>
  <c r="BE151" i="1"/>
  <c r="BF138" i="1" s="1"/>
  <c r="BC151" i="1"/>
  <c r="BB151" i="1"/>
  <c r="BA151" i="1"/>
  <c r="BB138" i="1" s="1"/>
  <c r="BB136" i="1" s="1"/>
  <c r="AZ151" i="1"/>
  <c r="AX151" i="1"/>
  <c r="AY151" i="1" s="1"/>
  <c r="AW151" i="1"/>
  <c r="AV151" i="1"/>
  <c r="AW138" i="1" s="1"/>
  <c r="AU151" i="1"/>
  <c r="AS151" i="1"/>
  <c r="AT151" i="1" s="1"/>
  <c r="AR151" i="1"/>
  <c r="AQ151" i="1"/>
  <c r="AP151" i="1"/>
  <c r="AQ138" i="1" s="1"/>
  <c r="AQ146" i="1" s="1"/>
  <c r="AN151" i="1"/>
  <c r="AP138" i="1" s="1"/>
  <c r="AM151" i="1"/>
  <c r="AL151" i="1"/>
  <c r="AM138" i="1" s="1"/>
  <c r="AK151" i="1"/>
  <c r="AL138" i="1" s="1"/>
  <c r="AL146" i="1" s="1"/>
  <c r="AI151" i="1"/>
  <c r="AH151" i="1"/>
  <c r="AI138" i="1" s="1"/>
  <c r="AG151" i="1"/>
  <c r="AH138" i="1" s="1"/>
  <c r="AH136" i="1" s="1"/>
  <c r="AF151" i="1"/>
  <c r="AG138" i="1" s="1"/>
  <c r="AG146" i="1" s="1"/>
  <c r="AD151" i="1"/>
  <c r="AC151" i="1"/>
  <c r="AB151" i="1"/>
  <c r="AA151" i="1"/>
  <c r="AB138" i="1" s="1"/>
  <c r="AB146" i="1" s="1"/>
  <c r="Y151" i="1"/>
  <c r="Z151" i="1" s="1"/>
  <c r="X151" i="1"/>
  <c r="Y138" i="1" s="1"/>
  <c r="W151" i="1"/>
  <c r="X138" i="1" s="1"/>
  <c r="V151" i="1"/>
  <c r="W138" i="1" s="1"/>
  <c r="W146" i="1" s="1"/>
  <c r="T151" i="1"/>
  <c r="S151" i="1"/>
  <c r="T138" i="1" s="1"/>
  <c r="R151" i="1"/>
  <c r="S138" i="1" s="1"/>
  <c r="Q151" i="1"/>
  <c r="O151" i="1"/>
  <c r="N151" i="1"/>
  <c r="M151" i="1"/>
  <c r="L151" i="1"/>
  <c r="M138" i="1" s="1"/>
  <c r="J151" i="1"/>
  <c r="K151" i="1" s="1"/>
  <c r="I151" i="1"/>
  <c r="J138" i="1" s="1"/>
  <c r="H151" i="1"/>
  <c r="I138" i="1" s="1"/>
  <c r="G151" i="1"/>
  <c r="H138" i="1" s="1"/>
  <c r="H146" i="1" s="1"/>
  <c r="CS149" i="1"/>
  <c r="CL147" i="1"/>
  <c r="CK147" i="1"/>
  <c r="CJ147" i="1"/>
  <c r="CI147" i="1"/>
  <c r="CG147" i="1"/>
  <c r="CF147" i="1"/>
  <c r="CE147" i="1"/>
  <c r="CD147" i="1"/>
  <c r="CB147" i="1"/>
  <c r="CA147" i="1"/>
  <c r="BZ147" i="1"/>
  <c r="BY147" i="1"/>
  <c r="BW147" i="1"/>
  <c r="BV147" i="1"/>
  <c r="BU147" i="1"/>
  <c r="BT147" i="1"/>
  <c r="BR147" i="1"/>
  <c r="BQ147" i="1"/>
  <c r="BP147" i="1"/>
  <c r="BO147" i="1"/>
  <c r="CT137" i="1"/>
  <c r="CT145" i="1" s="1"/>
  <c r="CT141" i="1" s="1"/>
  <c r="CT158" i="1" s="1"/>
  <c r="CS137" i="1"/>
  <c r="CQ137" i="1"/>
  <c r="CQ145" i="1" s="1"/>
  <c r="CP137" i="1"/>
  <c r="CP145" i="1" s="1"/>
  <c r="CO137" i="1"/>
  <c r="CO145" i="1" s="1"/>
  <c r="CN137" i="1"/>
  <c r="CN136" i="1" s="1"/>
  <c r="CR136" i="1" s="1"/>
  <c r="CL137" i="1"/>
  <c r="CL145" i="1" s="1"/>
  <c r="CL141" i="1" s="1"/>
  <c r="CL158" i="1" s="1"/>
  <c r="CK137" i="1"/>
  <c r="CJ137" i="1"/>
  <c r="CI137" i="1"/>
  <c r="CI145" i="1" s="1"/>
  <c r="CG137" i="1"/>
  <c r="CF137" i="1"/>
  <c r="CE137" i="1"/>
  <c r="CD137" i="1"/>
  <c r="CH137" i="1" s="1"/>
  <c r="CB137" i="1"/>
  <c r="CA137" i="1"/>
  <c r="BZ137" i="1"/>
  <c r="BY137" i="1"/>
  <c r="BY145" i="1" s="1"/>
  <c r="BY141" i="1" s="1"/>
  <c r="BW137" i="1"/>
  <c r="BW145" i="1" s="1"/>
  <c r="BV137" i="1"/>
  <c r="BU137" i="1"/>
  <c r="BT137" i="1"/>
  <c r="BT145" i="1" s="1"/>
  <c r="BR137" i="1"/>
  <c r="BR166" i="1" s="1"/>
  <c r="BQ137" i="1"/>
  <c r="BQ166" i="1" s="1"/>
  <c r="BP137" i="1"/>
  <c r="BO137" i="1"/>
  <c r="BO166" i="1" s="1"/>
  <c r="BM137" i="1"/>
  <c r="BM166" i="1" s="1"/>
  <c r="BL137" i="1"/>
  <c r="BL145" i="1" s="1"/>
  <c r="BL141" i="1" s="1"/>
  <c r="BL158" i="1" s="1"/>
  <c r="BK137" i="1"/>
  <c r="BJ137" i="1"/>
  <c r="BJ166" i="1" s="1"/>
  <c r="BH137" i="1"/>
  <c r="BH145" i="1" s="1"/>
  <c r="BH141" i="1" s="1"/>
  <c r="BH158" i="1" s="1"/>
  <c r="BG137" i="1"/>
  <c r="BF137" i="1"/>
  <c r="BF166" i="1" s="1"/>
  <c r="BE137" i="1"/>
  <c r="BC137" i="1"/>
  <c r="BC166" i="1" s="1"/>
  <c r="BB137" i="1"/>
  <c r="BB166" i="1" s="1"/>
  <c r="BA137" i="1"/>
  <c r="AZ137" i="1"/>
  <c r="AX137" i="1"/>
  <c r="AX166" i="1" s="1"/>
  <c r="AW137" i="1"/>
  <c r="AW145" i="1" s="1"/>
  <c r="AW141" i="1" s="1"/>
  <c r="AW158" i="1" s="1"/>
  <c r="AV137" i="1"/>
  <c r="AU137" i="1"/>
  <c r="AU145" i="1" s="1"/>
  <c r="AU141" i="1" s="1"/>
  <c r="AU158" i="1" s="1"/>
  <c r="AS137" i="1"/>
  <c r="AS145" i="1" s="1"/>
  <c r="AS141" i="1" s="1"/>
  <c r="AS158" i="1" s="1"/>
  <c r="AR137" i="1"/>
  <c r="AR166" i="1" s="1"/>
  <c r="AQ137" i="1"/>
  <c r="AP137" i="1"/>
  <c r="AN137" i="1"/>
  <c r="AN166" i="1" s="1"/>
  <c r="AM137" i="1"/>
  <c r="AM145" i="1" s="1"/>
  <c r="AM141" i="1" s="1"/>
  <c r="AM158" i="1" s="1"/>
  <c r="AL137" i="1"/>
  <c r="AK137" i="1"/>
  <c r="AI137" i="1"/>
  <c r="AI172" i="1" s="1"/>
  <c r="AH137" i="1"/>
  <c r="AG137" i="1"/>
  <c r="AF137" i="1"/>
  <c r="AD137" i="1"/>
  <c r="AD166" i="1" s="1"/>
  <c r="AC137" i="1"/>
  <c r="AB137" i="1"/>
  <c r="AB166" i="1" s="1"/>
  <c r="AA137" i="1"/>
  <c r="AA166" i="1" s="1"/>
  <c r="Y137" i="1"/>
  <c r="Y166" i="1" s="1"/>
  <c r="X137" i="1"/>
  <c r="W137" i="1"/>
  <c r="W166" i="1" s="1"/>
  <c r="V137" i="1"/>
  <c r="T137" i="1"/>
  <c r="T166" i="1" s="1"/>
  <c r="S137" i="1"/>
  <c r="R137" i="1"/>
  <c r="Q137" i="1"/>
  <c r="Q145" i="1" s="1"/>
  <c r="Q141" i="1" s="1"/>
  <c r="Q158" i="1" s="1"/>
  <c r="O137" i="1"/>
  <c r="O166" i="1" s="1"/>
  <c r="N137" i="1"/>
  <c r="M137" i="1"/>
  <c r="L137" i="1"/>
  <c r="J137" i="1"/>
  <c r="J166" i="1" s="1"/>
  <c r="I137" i="1"/>
  <c r="H137" i="1"/>
  <c r="CT132" i="1"/>
  <c r="CS132" i="1"/>
  <c r="CQ132" i="1"/>
  <c r="CP132" i="1"/>
  <c r="CO132" i="1"/>
  <c r="CN132" i="1"/>
  <c r="CL132" i="1"/>
  <c r="CK132" i="1"/>
  <c r="CJ132" i="1"/>
  <c r="CI132" i="1"/>
  <c r="CG132" i="1"/>
  <c r="CF132" i="1"/>
  <c r="CE132" i="1"/>
  <c r="CD132" i="1"/>
  <c r="CB132" i="1"/>
  <c r="CA132" i="1"/>
  <c r="BZ132" i="1"/>
  <c r="BY132" i="1"/>
  <c r="BW132" i="1"/>
  <c r="BV132" i="1"/>
  <c r="BU132" i="1"/>
  <c r="BT132" i="1"/>
  <c r="BR132" i="1"/>
  <c r="BQ132" i="1"/>
  <c r="BP132" i="1"/>
  <c r="BO132" i="1"/>
  <c r="BM132" i="1"/>
  <c r="BL132" i="1"/>
  <c r="BK132" i="1"/>
  <c r="BJ132" i="1"/>
  <c r="BH132" i="1"/>
  <c r="BG132" i="1"/>
  <c r="BF132" i="1"/>
  <c r="BE132" i="1"/>
  <c r="BC132" i="1"/>
  <c r="BB132" i="1"/>
  <c r="BA132" i="1"/>
  <c r="AZ132" i="1"/>
  <c r="AX132" i="1"/>
  <c r="AW132" i="1"/>
  <c r="AV132" i="1"/>
  <c r="AU132" i="1"/>
  <c r="AS132" i="1"/>
  <c r="AR132" i="1"/>
  <c r="AQ132" i="1"/>
  <c r="AP132" i="1"/>
  <c r="AN132" i="1"/>
  <c r="AM132" i="1"/>
  <c r="AL132" i="1"/>
  <c r="AK132" i="1"/>
  <c r="AI132" i="1"/>
  <c r="AH132" i="1"/>
  <c r="AG132" i="1"/>
  <c r="AF132" i="1"/>
  <c r="AD132" i="1"/>
  <c r="AC132" i="1"/>
  <c r="AB132" i="1"/>
  <c r="AA132" i="1"/>
  <c r="Y132" i="1"/>
  <c r="X132" i="1"/>
  <c r="W132" i="1"/>
  <c r="V132" i="1"/>
  <c r="T132" i="1"/>
  <c r="S132" i="1"/>
  <c r="R132" i="1"/>
  <c r="Q132" i="1"/>
  <c r="O132" i="1"/>
  <c r="N132" i="1"/>
  <c r="M132" i="1"/>
  <c r="L132" i="1"/>
  <c r="CT131" i="1"/>
  <c r="CS131" i="1"/>
  <c r="CQ131" i="1"/>
  <c r="CP131" i="1"/>
  <c r="CO131" i="1"/>
  <c r="CL131" i="1"/>
  <c r="CK131" i="1"/>
  <c r="CJ131" i="1"/>
  <c r="CT130" i="1"/>
  <c r="CS130" i="1"/>
  <c r="CQ130" i="1"/>
  <c r="CP130" i="1"/>
  <c r="CO130" i="1"/>
  <c r="CL130" i="1"/>
  <c r="CK130" i="1"/>
  <c r="CJ130" i="1"/>
  <c r="CG130" i="1"/>
  <c r="CF130" i="1"/>
  <c r="CE130" i="1"/>
  <c r="CD130" i="1"/>
  <c r="CB130" i="1"/>
  <c r="CA130" i="1"/>
  <c r="BZ130" i="1"/>
  <c r="BY130" i="1"/>
  <c r="BW130" i="1"/>
  <c r="BV130" i="1"/>
  <c r="BU130" i="1"/>
  <c r="BT130" i="1"/>
  <c r="BR130" i="1"/>
  <c r="BQ130" i="1"/>
  <c r="BP130" i="1"/>
  <c r="BO130" i="1"/>
  <c r="BM130" i="1"/>
  <c r="BL130" i="1"/>
  <c r="BK130" i="1"/>
  <c r="BJ130" i="1"/>
  <c r="BH130" i="1"/>
  <c r="BG130" i="1"/>
  <c r="BF130" i="1"/>
  <c r="BE130" i="1"/>
  <c r="BC130" i="1"/>
  <c r="BB130" i="1"/>
  <c r="BA130" i="1"/>
  <c r="AZ130" i="1"/>
  <c r="AX130" i="1"/>
  <c r="AW130" i="1"/>
  <c r="AV130" i="1"/>
  <c r="AU130" i="1"/>
  <c r="AS130" i="1"/>
  <c r="AR130" i="1"/>
  <c r="AQ130" i="1"/>
  <c r="AP130" i="1"/>
  <c r="CP129" i="1"/>
  <c r="CO129" i="1"/>
  <c r="CK129" i="1"/>
  <c r="CJ129" i="1"/>
  <c r="CI129" i="1"/>
  <c r="CG129" i="1"/>
  <c r="CF129" i="1"/>
  <c r="CE129" i="1"/>
  <c r="CD129" i="1"/>
  <c r="CB129" i="1"/>
  <c r="CA129" i="1"/>
  <c r="BZ129" i="1"/>
  <c r="BY129" i="1"/>
  <c r="BW129" i="1"/>
  <c r="BV129" i="1"/>
  <c r="BU129" i="1"/>
  <c r="BT129" i="1"/>
  <c r="BR129" i="1"/>
  <c r="BQ129" i="1"/>
  <c r="BP129" i="1"/>
  <c r="BO129" i="1"/>
  <c r="BM129" i="1"/>
  <c r="BL129" i="1"/>
  <c r="BK129" i="1"/>
  <c r="BJ129" i="1"/>
  <c r="BH129" i="1"/>
  <c r="BG129" i="1"/>
  <c r="BF129" i="1"/>
  <c r="BE129" i="1"/>
  <c r="BC129" i="1"/>
  <c r="BB129" i="1"/>
  <c r="BA129" i="1"/>
  <c r="AZ129" i="1"/>
  <c r="AX129" i="1"/>
  <c r="AW129" i="1"/>
  <c r="AV129" i="1"/>
  <c r="AU129" i="1"/>
  <c r="AS129" i="1"/>
  <c r="AR129" i="1"/>
  <c r="AQ129" i="1"/>
  <c r="AP129" i="1"/>
  <c r="CT128" i="1"/>
  <c r="CS128" i="1"/>
  <c r="CP128" i="1"/>
  <c r="CO128" i="1"/>
  <c r="CN128" i="1"/>
  <c r="CK128" i="1"/>
  <c r="CJ128" i="1"/>
  <c r="CI128" i="1"/>
  <c r="CG128" i="1"/>
  <c r="CF128" i="1"/>
  <c r="CE128" i="1"/>
  <c r="CD128" i="1"/>
  <c r="CB128" i="1"/>
  <c r="CA128" i="1"/>
  <c r="BZ128" i="1"/>
  <c r="BY128" i="1"/>
  <c r="BW128" i="1"/>
  <c r="BV128" i="1"/>
  <c r="BU128" i="1"/>
  <c r="BT128" i="1"/>
  <c r="BR128" i="1"/>
  <c r="BQ128" i="1"/>
  <c r="BP128" i="1"/>
  <c r="BO128" i="1"/>
  <c r="BM128" i="1"/>
  <c r="BL128" i="1"/>
  <c r="BK128" i="1"/>
  <c r="BJ128" i="1"/>
  <c r="BH128" i="1"/>
  <c r="BG128" i="1"/>
  <c r="BF128" i="1"/>
  <c r="BE128" i="1"/>
  <c r="BC128" i="1"/>
  <c r="BB128" i="1"/>
  <c r="BA128" i="1"/>
  <c r="AZ128" i="1"/>
  <c r="AX128" i="1"/>
  <c r="AW128" i="1"/>
  <c r="AV128" i="1"/>
  <c r="AU128" i="1"/>
  <c r="AS128" i="1"/>
  <c r="AR128" i="1"/>
  <c r="AQ128" i="1"/>
  <c r="AP128" i="1"/>
  <c r="AN129" i="1"/>
  <c r="AM129" i="1"/>
  <c r="AL129" i="1"/>
  <c r="AK129" i="1"/>
  <c r="AI129" i="1"/>
  <c r="AH129" i="1"/>
  <c r="AG129" i="1"/>
  <c r="AF129" i="1"/>
  <c r="AD129" i="1"/>
  <c r="AC129" i="1"/>
  <c r="AB129" i="1"/>
  <c r="AA129" i="1"/>
  <c r="Y129" i="1"/>
  <c r="X129" i="1"/>
  <c r="W129" i="1"/>
  <c r="V129" i="1"/>
  <c r="T129" i="1"/>
  <c r="S129" i="1"/>
  <c r="R129" i="1"/>
  <c r="Q129" i="1"/>
  <c r="O129" i="1"/>
  <c r="N129" i="1"/>
  <c r="M129" i="1"/>
  <c r="L129" i="1"/>
  <c r="AN128" i="1"/>
  <c r="AM128" i="1"/>
  <c r="AL128" i="1"/>
  <c r="AK128" i="1"/>
  <c r="AI128" i="1"/>
  <c r="AH128" i="1"/>
  <c r="AG128" i="1"/>
  <c r="AF128" i="1"/>
  <c r="AD128" i="1"/>
  <c r="AC128" i="1"/>
  <c r="AB128" i="1"/>
  <c r="AA128" i="1"/>
  <c r="Y128" i="1"/>
  <c r="X128" i="1"/>
  <c r="W128" i="1"/>
  <c r="V128" i="1"/>
  <c r="T128" i="1"/>
  <c r="S128" i="1"/>
  <c r="R128" i="1"/>
  <c r="Q128" i="1"/>
  <c r="O128" i="1"/>
  <c r="N128" i="1"/>
  <c r="M128" i="1"/>
  <c r="L128" i="1"/>
  <c r="CQ117" i="1"/>
  <c r="CQ122" i="1" s="1"/>
  <c r="CP117" i="1"/>
  <c r="CO117" i="1"/>
  <c r="CO122" i="1" s="1"/>
  <c r="CK117" i="1"/>
  <c r="CJ117" i="1"/>
  <c r="CJ122" i="1" s="1"/>
  <c r="CI117" i="1"/>
  <c r="CG117" i="1"/>
  <c r="CF117" i="1"/>
  <c r="CE117" i="1"/>
  <c r="CD117" i="1"/>
  <c r="CD123" i="1" s="1"/>
  <c r="CB117" i="1"/>
  <c r="CB121" i="1" s="1"/>
  <c r="CA117" i="1"/>
  <c r="CA122" i="1" s="1"/>
  <c r="BZ117" i="1"/>
  <c r="BZ122" i="1" s="1"/>
  <c r="BY117" i="1"/>
  <c r="BW117" i="1"/>
  <c r="BW121" i="1" s="1"/>
  <c r="BV117" i="1"/>
  <c r="BU117" i="1"/>
  <c r="BU122" i="1" s="1"/>
  <c r="BT117" i="1"/>
  <c r="BR117" i="1"/>
  <c r="BR122" i="1" s="1"/>
  <c r="BQ117" i="1"/>
  <c r="BQ122" i="1" s="1"/>
  <c r="BP117" i="1"/>
  <c r="BO117" i="1"/>
  <c r="BO122" i="1" s="1"/>
  <c r="BM117" i="1"/>
  <c r="BM122" i="1" s="1"/>
  <c r="BL117" i="1"/>
  <c r="BL122" i="1" s="1"/>
  <c r="BK117" i="1"/>
  <c r="BJ117" i="1"/>
  <c r="BH117" i="1"/>
  <c r="BH122" i="1" s="1"/>
  <c r="BG117" i="1"/>
  <c r="BG124" i="1" s="1"/>
  <c r="BF117" i="1"/>
  <c r="BF124" i="1" s="1"/>
  <c r="BE117" i="1"/>
  <c r="BE122" i="1" s="1"/>
  <c r="BC117" i="1"/>
  <c r="BC124" i="1" s="1"/>
  <c r="BB117" i="1"/>
  <c r="BB124" i="1" s="1"/>
  <c r="BA117" i="1"/>
  <c r="AZ117" i="1"/>
  <c r="AX117" i="1"/>
  <c r="AW117" i="1"/>
  <c r="AV117" i="1"/>
  <c r="AV122" i="1" s="1"/>
  <c r="AU117" i="1"/>
  <c r="AU122" i="1" s="1"/>
  <c r="AS117" i="1"/>
  <c r="AS124" i="1" s="1"/>
  <c r="AR117" i="1"/>
  <c r="AR121" i="1" s="1"/>
  <c r="AQ117" i="1"/>
  <c r="AP117" i="1"/>
  <c r="AN117" i="1"/>
  <c r="AN124" i="1" s="1"/>
  <c r="AM117" i="1"/>
  <c r="AM120" i="1" s="1"/>
  <c r="AL117" i="1"/>
  <c r="AL121" i="1" s="1"/>
  <c r="AK117" i="1"/>
  <c r="AI117" i="1"/>
  <c r="AI124" i="1" s="1"/>
  <c r="AH117" i="1"/>
  <c r="AH124" i="1" s="1"/>
  <c r="AG117" i="1"/>
  <c r="AG123" i="1" s="1"/>
  <c r="AF117" i="1"/>
  <c r="AD117" i="1"/>
  <c r="AD122" i="1" s="1"/>
  <c r="AC117" i="1"/>
  <c r="AC123" i="1" s="1"/>
  <c r="AB117" i="1"/>
  <c r="AB124" i="1" s="1"/>
  <c r="AA117" i="1"/>
  <c r="AA122" i="1" s="1"/>
  <c r="Y117" i="1"/>
  <c r="Y121" i="1" s="1"/>
  <c r="X117" i="1"/>
  <c r="X121" i="1" s="1"/>
  <c r="W117" i="1"/>
  <c r="V117" i="1"/>
  <c r="V122" i="1" s="1"/>
  <c r="T117" i="1"/>
  <c r="T123" i="1" s="1"/>
  <c r="S117" i="1"/>
  <c r="S121" i="1" s="1"/>
  <c r="R117" i="1"/>
  <c r="Q117" i="1"/>
  <c r="O117" i="1"/>
  <c r="O124" i="1" s="1"/>
  <c r="N117" i="1"/>
  <c r="M117" i="1"/>
  <c r="L117" i="1"/>
  <c r="J117" i="1"/>
  <c r="J120" i="1" s="1"/>
  <c r="I117" i="1"/>
  <c r="I122" i="1" s="1"/>
  <c r="H117" i="1"/>
  <c r="G117" i="1"/>
  <c r="G123" i="1" s="1"/>
  <c r="CI115" i="1"/>
  <c r="CN131" i="1" s="1"/>
  <c r="CI114" i="1"/>
  <c r="CN130" i="1" s="1"/>
  <c r="CB115" i="1"/>
  <c r="CA115" i="1"/>
  <c r="BZ115" i="1"/>
  <c r="CE131" i="1" s="1"/>
  <c r="BY115" i="1"/>
  <c r="BW115" i="1"/>
  <c r="BV115" i="1"/>
  <c r="BV123" i="1" s="1"/>
  <c r="BU115" i="1"/>
  <c r="BT115" i="1"/>
  <c r="BR115" i="1"/>
  <c r="BQ115" i="1"/>
  <c r="BP115" i="1"/>
  <c r="BO115" i="1"/>
  <c r="BM115" i="1"/>
  <c r="BL115" i="1"/>
  <c r="BK115" i="1"/>
  <c r="BJ115" i="1"/>
  <c r="BH115" i="1"/>
  <c r="BG115" i="1"/>
  <c r="BG131" i="1" s="1"/>
  <c r="BF115" i="1"/>
  <c r="BE115" i="1"/>
  <c r="BC115" i="1"/>
  <c r="BB115" i="1"/>
  <c r="BA115" i="1"/>
  <c r="AZ115" i="1"/>
  <c r="AX115" i="1"/>
  <c r="AW115" i="1"/>
  <c r="AV115" i="1"/>
  <c r="AU115" i="1"/>
  <c r="AS115" i="1"/>
  <c r="AR115" i="1"/>
  <c r="AQ115" i="1"/>
  <c r="AP115" i="1"/>
  <c r="AN115" i="1"/>
  <c r="AM115" i="1"/>
  <c r="AM123" i="1" s="1"/>
  <c r="AL115" i="1"/>
  <c r="AK115" i="1"/>
  <c r="CT113" i="1"/>
  <c r="CS113" i="1"/>
  <c r="CN113" i="1"/>
  <c r="CN117" i="1" s="1"/>
  <c r="CN120" i="1" s="1"/>
  <c r="CL113" i="1"/>
  <c r="CL112" i="1"/>
  <c r="CQ128" i="1" s="1"/>
  <c r="CR105" i="1"/>
  <c r="CR102" i="1" s="1"/>
  <c r="CM105" i="1"/>
  <c r="CH105" i="1"/>
  <c r="CC105" i="1"/>
  <c r="BX105" i="1"/>
  <c r="BS105" i="1"/>
  <c r="BN105" i="1"/>
  <c r="BI105" i="1"/>
  <c r="BD105" i="1"/>
  <c r="AY105" i="1"/>
  <c r="AT105" i="1"/>
  <c r="AO105" i="1"/>
  <c r="AJ105" i="1"/>
  <c r="AE105" i="1"/>
  <c r="Z105" i="1"/>
  <c r="U105" i="1"/>
  <c r="P105" i="1"/>
  <c r="AY103" i="1"/>
  <c r="AT103" i="1"/>
  <c r="AO103" i="1"/>
  <c r="AJ103" i="1"/>
  <c r="AE103" i="1"/>
  <c r="Z103" i="1"/>
  <c r="U103" i="1"/>
  <c r="P103" i="1"/>
  <c r="CS102" i="1"/>
  <c r="CS103" i="1" s="1"/>
  <c r="CS91" i="1" s="1"/>
  <c r="CQ102" i="1"/>
  <c r="CP102" i="1"/>
  <c r="CO102" i="1"/>
  <c r="CN102" i="1"/>
  <c r="CL102" i="1"/>
  <c r="CK102" i="1"/>
  <c r="CJ102" i="1"/>
  <c r="CG102" i="1"/>
  <c r="CF102" i="1"/>
  <c r="CE102" i="1"/>
  <c r="CD102" i="1"/>
  <c r="CB102" i="1"/>
  <c r="CA102" i="1"/>
  <c r="BZ102" i="1"/>
  <c r="BY102" i="1"/>
  <c r="BW102" i="1"/>
  <c r="BV102" i="1"/>
  <c r="BU102" i="1"/>
  <c r="BT102" i="1"/>
  <c r="BR102" i="1"/>
  <c r="BQ102" i="1"/>
  <c r="BP102" i="1"/>
  <c r="BO102" i="1"/>
  <c r="BM102" i="1"/>
  <c r="BL102" i="1"/>
  <c r="BK102" i="1"/>
  <c r="BJ102" i="1"/>
  <c r="BH102" i="1"/>
  <c r="BG102" i="1"/>
  <c r="BF102" i="1"/>
  <c r="BE102" i="1"/>
  <c r="BC102" i="1"/>
  <c r="BB102" i="1"/>
  <c r="BA102" i="1"/>
  <c r="AZ102" i="1"/>
  <c r="DG101" i="1"/>
  <c r="CT101" i="1"/>
  <c r="CT102" i="1" s="1"/>
  <c r="CT103" i="1" s="1"/>
  <c r="CT91" i="1" s="1"/>
  <c r="CG97" i="1"/>
  <c r="CI97" i="1" s="1"/>
  <c r="CJ97" i="1" s="1"/>
  <c r="CF97" i="1"/>
  <c r="CE97" i="1"/>
  <c r="CD97" i="1"/>
  <c r="CB97" i="1"/>
  <c r="CA97" i="1"/>
  <c r="BZ97" i="1"/>
  <c r="BY97" i="1"/>
  <c r="BW97" i="1"/>
  <c r="BV97" i="1"/>
  <c r="BU97" i="1"/>
  <c r="BT97" i="1"/>
  <c r="BR97" i="1"/>
  <c r="BQ97" i="1"/>
  <c r="BP97" i="1"/>
  <c r="BO97" i="1"/>
  <c r="BM97" i="1"/>
  <c r="BL97" i="1"/>
  <c r="BK97" i="1"/>
  <c r="BJ97" i="1"/>
  <c r="BH97" i="1"/>
  <c r="BG97" i="1"/>
  <c r="BF97" i="1"/>
  <c r="BE97" i="1"/>
  <c r="BC97" i="1"/>
  <c r="BB97" i="1"/>
  <c r="BA97" i="1"/>
  <c r="AZ97" i="1"/>
  <c r="AX97" i="1"/>
  <c r="AW97" i="1"/>
  <c r="AV97" i="1"/>
  <c r="AU97" i="1"/>
  <c r="AS97" i="1"/>
  <c r="AR97" i="1"/>
  <c r="AQ97" i="1"/>
  <c r="AP97" i="1"/>
  <c r="AN97" i="1"/>
  <c r="AM97" i="1"/>
  <c r="AL97" i="1"/>
  <c r="AK97" i="1"/>
  <c r="AI97" i="1"/>
  <c r="AH97" i="1"/>
  <c r="AG97" i="1"/>
  <c r="AF97" i="1"/>
  <c r="AD97" i="1"/>
  <c r="AC97" i="1"/>
  <c r="AB97" i="1"/>
  <c r="AA97" i="1"/>
  <c r="Y97" i="1"/>
  <c r="X97" i="1"/>
  <c r="W97" i="1"/>
  <c r="V97" i="1"/>
  <c r="T97" i="1"/>
  <c r="S97" i="1"/>
  <c r="R97" i="1"/>
  <c r="Q97" i="1"/>
  <c r="O97" i="1"/>
  <c r="N97" i="1"/>
  <c r="M97" i="1"/>
  <c r="L97" i="1"/>
  <c r="DG96" i="1"/>
  <c r="CT93" i="1"/>
  <c r="CU89" i="1" s="1"/>
  <c r="CS93" i="1"/>
  <c r="CT89" i="1" s="1"/>
  <c r="CQ93" i="1"/>
  <c r="CS89" i="1" s="1"/>
  <c r="CP93" i="1"/>
  <c r="CQ89" i="1" s="1"/>
  <c r="CO93" i="1"/>
  <c r="CP89" i="1" s="1"/>
  <c r="CN93" i="1"/>
  <c r="CO89" i="1" s="1"/>
  <c r="CL93" i="1"/>
  <c r="CN89" i="1" s="1"/>
  <c r="CK93" i="1"/>
  <c r="CL89" i="1" s="1"/>
  <c r="CJ93" i="1"/>
  <c r="CK89" i="1" s="1"/>
  <c r="CI93" i="1"/>
  <c r="CJ89" i="1" s="1"/>
  <c r="DG92" i="1"/>
  <c r="AX91" i="1"/>
  <c r="AW91" i="1"/>
  <c r="AV91" i="1"/>
  <c r="AU91" i="1"/>
  <c r="AS91" i="1"/>
  <c r="AR91" i="1"/>
  <c r="AQ91" i="1"/>
  <c r="AP91" i="1"/>
  <c r="AN91" i="1"/>
  <c r="AM91" i="1"/>
  <c r="AL91" i="1"/>
  <c r="AK91" i="1"/>
  <c r="AI91" i="1"/>
  <c r="AH91" i="1"/>
  <c r="AG91" i="1"/>
  <c r="AF91" i="1"/>
  <c r="AD91" i="1"/>
  <c r="AC91" i="1"/>
  <c r="AB91" i="1"/>
  <c r="AA91" i="1"/>
  <c r="Y91" i="1"/>
  <c r="X91" i="1"/>
  <c r="W91" i="1"/>
  <c r="V91" i="1"/>
  <c r="T91" i="1"/>
  <c r="S91" i="1"/>
  <c r="R91" i="1"/>
  <c r="Q91" i="1"/>
  <c r="O91" i="1"/>
  <c r="N91" i="1"/>
  <c r="M91" i="1"/>
  <c r="L91" i="1"/>
  <c r="J91" i="1"/>
  <c r="I91" i="1"/>
  <c r="H91" i="1"/>
  <c r="G91" i="1"/>
  <c r="G89" i="1"/>
  <c r="CT29" i="1"/>
  <c r="CS29" i="1"/>
  <c r="CQ29" i="1"/>
  <c r="CP29" i="1"/>
  <c r="CO29" i="1"/>
  <c r="CN29" i="1"/>
  <c r="CL29" i="1"/>
  <c r="CK29" i="1"/>
  <c r="CJ29" i="1"/>
  <c r="CA29" i="1"/>
  <c r="BZ29" i="1"/>
  <c r="BY29" i="1"/>
  <c r="BW29" i="1"/>
  <c r="BV29" i="1"/>
  <c r="BU29" i="1"/>
  <c r="BT29" i="1"/>
  <c r="BR29" i="1"/>
  <c r="BQ29" i="1"/>
  <c r="BP29" i="1"/>
  <c r="BO29" i="1"/>
  <c r="BM29" i="1"/>
  <c r="BL29" i="1"/>
  <c r="BK29" i="1"/>
  <c r="BJ29" i="1"/>
  <c r="BH29" i="1"/>
  <c r="BG29" i="1"/>
  <c r="BF29" i="1"/>
  <c r="BE29" i="1"/>
  <c r="BC29" i="1"/>
  <c r="BB29" i="1"/>
  <c r="BA29" i="1"/>
  <c r="AZ29" i="1"/>
  <c r="AX29" i="1"/>
  <c r="AW29" i="1"/>
  <c r="AV29" i="1"/>
  <c r="AU29" i="1"/>
  <c r="AS29" i="1"/>
  <c r="AR29" i="1"/>
  <c r="AQ29" i="1"/>
  <c r="AP29" i="1"/>
  <c r="AN29" i="1"/>
  <c r="AM29" i="1"/>
  <c r="AL29" i="1"/>
  <c r="AK29" i="1"/>
  <c r="AI29" i="1"/>
  <c r="AH29" i="1"/>
  <c r="AG29" i="1"/>
  <c r="AF29" i="1"/>
  <c r="AD29" i="1"/>
  <c r="AC29" i="1"/>
  <c r="AB29" i="1"/>
  <c r="AA29" i="1"/>
  <c r="CT21" i="1"/>
  <c r="CS21" i="1"/>
  <c r="CQ21" i="1"/>
  <c r="CP21" i="1"/>
  <c r="CO21" i="1"/>
  <c r="CN21" i="1"/>
  <c r="CL21" i="1"/>
  <c r="CK21" i="1"/>
  <c r="CJ21" i="1"/>
  <c r="CI21" i="1"/>
  <c r="CG21" i="1"/>
  <c r="CF21" i="1"/>
  <c r="CE21" i="1"/>
  <c r="CD21" i="1"/>
  <c r="CB21" i="1"/>
  <c r="CA21" i="1"/>
  <c r="BZ21" i="1"/>
  <c r="BY21" i="1"/>
  <c r="BW21" i="1"/>
  <c r="BV21" i="1"/>
  <c r="BU21" i="1"/>
  <c r="BT21" i="1"/>
  <c r="BR21" i="1"/>
  <c r="BQ21" i="1"/>
  <c r="BP21" i="1"/>
  <c r="BO21" i="1"/>
  <c r="BM21" i="1"/>
  <c r="BL21" i="1"/>
  <c r="BK21" i="1"/>
  <c r="BJ21" i="1"/>
  <c r="BH21" i="1"/>
  <c r="BG21" i="1"/>
  <c r="BF21" i="1"/>
  <c r="BE21" i="1"/>
  <c r="BC21" i="1"/>
  <c r="BB21" i="1"/>
  <c r="BA21" i="1"/>
  <c r="AZ21" i="1"/>
  <c r="AX21" i="1"/>
  <c r="AW21" i="1"/>
  <c r="AV21" i="1"/>
  <c r="AU21" i="1"/>
  <c r="AS21" i="1"/>
  <c r="AR21" i="1"/>
  <c r="AQ21" i="1"/>
  <c r="AP21" i="1"/>
  <c r="AN21" i="1"/>
  <c r="AM21" i="1"/>
  <c r="AL21" i="1"/>
  <c r="CT20" i="1"/>
  <c r="CS20" i="1"/>
  <c r="CQ20" i="1"/>
  <c r="CP20" i="1"/>
  <c r="CO20" i="1"/>
  <c r="CN20" i="1"/>
  <c r="CL20" i="1"/>
  <c r="CK20" i="1"/>
  <c r="CJ20" i="1"/>
  <c r="CI20" i="1"/>
  <c r="CG20" i="1"/>
  <c r="CF20" i="1"/>
  <c r="CE20" i="1"/>
  <c r="CD20" i="1"/>
  <c r="CB20" i="1"/>
  <c r="CA20" i="1"/>
  <c r="BZ20" i="1"/>
  <c r="BY20" i="1"/>
  <c r="BW20" i="1"/>
  <c r="BV20" i="1"/>
  <c r="BU20" i="1"/>
  <c r="BT20" i="1"/>
  <c r="BR20" i="1"/>
  <c r="BQ20" i="1"/>
  <c r="BP20" i="1"/>
  <c r="BO20" i="1"/>
  <c r="BM20" i="1"/>
  <c r="BL20" i="1"/>
  <c r="BK20" i="1"/>
  <c r="BJ20" i="1"/>
  <c r="BH20" i="1"/>
  <c r="BG20" i="1"/>
  <c r="BF20" i="1"/>
  <c r="BE20" i="1"/>
  <c r="BC20" i="1"/>
  <c r="BB20" i="1"/>
  <c r="BA20" i="1"/>
  <c r="AZ20" i="1"/>
  <c r="AX20" i="1"/>
  <c r="AW20" i="1"/>
  <c r="AV20" i="1"/>
  <c r="AU20" i="1"/>
  <c r="AS20" i="1"/>
  <c r="AR20" i="1"/>
  <c r="AQ20" i="1"/>
  <c r="AP20" i="1"/>
  <c r="CR19" i="1"/>
  <c r="CM19" i="1"/>
  <c r="CH19" i="1"/>
  <c r="CC19" i="1"/>
  <c r="BX19" i="1"/>
  <c r="BS19" i="1"/>
  <c r="BS20" i="1" s="1"/>
  <c r="BN19" i="1"/>
  <c r="BI19" i="1"/>
  <c r="BD19" i="1"/>
  <c r="AY19" i="1"/>
  <c r="AT19" i="1"/>
  <c r="AO19" i="1"/>
  <c r="CT18" i="1"/>
  <c r="CS18" i="1"/>
  <c r="CQ18" i="1"/>
  <c r="CP18" i="1"/>
  <c r="CO18" i="1"/>
  <c r="CN18" i="1"/>
  <c r="CL18" i="1"/>
  <c r="CK18" i="1"/>
  <c r="CJ18" i="1"/>
  <c r="CI18" i="1"/>
  <c r="CG18" i="1"/>
  <c r="CF18" i="1"/>
  <c r="CE18" i="1"/>
  <c r="CD18" i="1"/>
  <c r="CB18" i="1"/>
  <c r="CA18" i="1"/>
  <c r="BZ18" i="1"/>
  <c r="BY18" i="1"/>
  <c r="BW18" i="1"/>
  <c r="BV18" i="1"/>
  <c r="BU18" i="1"/>
  <c r="BT18" i="1"/>
  <c r="BR18" i="1"/>
  <c r="BQ18" i="1"/>
  <c r="BP18" i="1"/>
  <c r="BO18" i="1"/>
  <c r="BM18" i="1"/>
  <c r="BL18" i="1"/>
  <c r="BK18" i="1"/>
  <c r="BJ18" i="1"/>
  <c r="BH18" i="1"/>
  <c r="BG18" i="1"/>
  <c r="BF18" i="1"/>
  <c r="BE18" i="1"/>
  <c r="BC18" i="1"/>
  <c r="BB18" i="1"/>
  <c r="BA18" i="1"/>
  <c r="AZ18" i="1"/>
  <c r="AX18" i="1"/>
  <c r="AW18" i="1"/>
  <c r="AV18" i="1"/>
  <c r="AU18" i="1"/>
  <c r="AS18" i="1"/>
  <c r="AR18" i="1"/>
  <c r="AQ18" i="1"/>
  <c r="AP18" i="1"/>
  <c r="AN18" i="1"/>
  <c r="AM18" i="1"/>
  <c r="AL18" i="1"/>
  <c r="CT17" i="1"/>
  <c r="CS17" i="1"/>
  <c r="CQ17" i="1"/>
  <c r="CP17" i="1"/>
  <c r="CO17" i="1"/>
  <c r="CN17" i="1"/>
  <c r="CL17" i="1"/>
  <c r="CK17" i="1"/>
  <c r="CJ17" i="1"/>
  <c r="CI17" i="1"/>
  <c r="CG17" i="1"/>
  <c r="CF17" i="1"/>
  <c r="CE17" i="1"/>
  <c r="CD17" i="1"/>
  <c r="CB17" i="1"/>
  <c r="CA17" i="1"/>
  <c r="BZ17" i="1"/>
  <c r="BY17" i="1"/>
  <c r="BW17" i="1"/>
  <c r="BV17" i="1"/>
  <c r="BU17" i="1"/>
  <c r="BT17" i="1"/>
  <c r="BR17" i="1"/>
  <c r="BQ17" i="1"/>
  <c r="BP17" i="1"/>
  <c r="BO17" i="1"/>
  <c r="BM17" i="1"/>
  <c r="BL17" i="1"/>
  <c r="BK17" i="1"/>
  <c r="BJ17" i="1"/>
  <c r="BH17" i="1"/>
  <c r="BG17" i="1"/>
  <c r="BF17" i="1"/>
  <c r="BE17" i="1"/>
  <c r="BC17" i="1"/>
  <c r="BB17" i="1"/>
  <c r="BA17" i="1"/>
  <c r="AZ17" i="1"/>
  <c r="AX17" i="1"/>
  <c r="AW17" i="1"/>
  <c r="AV17" i="1"/>
  <c r="AU17" i="1"/>
  <c r="AS17" i="1"/>
  <c r="AR17" i="1"/>
  <c r="AQ17" i="1"/>
  <c r="AP17" i="1"/>
  <c r="CR16" i="1"/>
  <c r="CM16" i="1"/>
  <c r="CH16" i="1"/>
  <c r="CC16" i="1"/>
  <c r="BX16" i="1"/>
  <c r="BS16" i="1"/>
  <c r="BN16" i="1"/>
  <c r="BI16" i="1"/>
  <c r="BD16" i="1"/>
  <c r="AY16" i="1"/>
  <c r="AT16" i="1"/>
  <c r="AO16" i="1"/>
  <c r="CT15" i="1"/>
  <c r="CS15" i="1"/>
  <c r="CQ15" i="1"/>
  <c r="CP15" i="1"/>
  <c r="CO15" i="1"/>
  <c r="CK15" i="1"/>
  <c r="CJ15" i="1"/>
  <c r="CI15" i="1"/>
  <c r="CG15" i="1"/>
  <c r="CF15" i="1"/>
  <c r="CE15" i="1"/>
  <c r="CD15" i="1"/>
  <c r="CB15" i="1"/>
  <c r="CA15" i="1"/>
  <c r="BZ15" i="1"/>
  <c r="BY15" i="1"/>
  <c r="BW15" i="1"/>
  <c r="BV15" i="1"/>
  <c r="BU15" i="1"/>
  <c r="BT15" i="1"/>
  <c r="BR15" i="1"/>
  <c r="BQ15" i="1"/>
  <c r="BP15" i="1"/>
  <c r="BO15" i="1"/>
  <c r="BM15" i="1"/>
  <c r="BL15" i="1"/>
  <c r="BK15" i="1"/>
  <c r="BJ15" i="1"/>
  <c r="BH15" i="1"/>
  <c r="BG15" i="1"/>
  <c r="BF15" i="1"/>
  <c r="BE15" i="1"/>
  <c r="BC15" i="1"/>
  <c r="BB15" i="1"/>
  <c r="BA15" i="1"/>
  <c r="AZ15" i="1"/>
  <c r="AX15" i="1"/>
  <c r="AW15" i="1"/>
  <c r="AV15" i="1"/>
  <c r="AU15" i="1"/>
  <c r="AS15" i="1"/>
  <c r="AR15" i="1"/>
  <c r="AQ15" i="1"/>
  <c r="AP15" i="1"/>
  <c r="AN15" i="1"/>
  <c r="AM15" i="1"/>
  <c r="AL15" i="1"/>
  <c r="CT14" i="1"/>
  <c r="CS14" i="1"/>
  <c r="CP14" i="1"/>
  <c r="CO14" i="1"/>
  <c r="CN14" i="1"/>
  <c r="CK14" i="1"/>
  <c r="CJ14" i="1"/>
  <c r="CI14" i="1"/>
  <c r="CG14" i="1"/>
  <c r="CF14" i="1"/>
  <c r="CE14" i="1"/>
  <c r="CD14" i="1"/>
  <c r="CB14" i="1"/>
  <c r="CA14" i="1"/>
  <c r="BZ14" i="1"/>
  <c r="BY14" i="1"/>
  <c r="BW14" i="1"/>
  <c r="BV14" i="1"/>
  <c r="BU14" i="1"/>
  <c r="BT14" i="1"/>
  <c r="BR14" i="1"/>
  <c r="BQ14" i="1"/>
  <c r="BP14" i="1"/>
  <c r="BO14" i="1"/>
  <c r="BM14" i="1"/>
  <c r="BL14" i="1"/>
  <c r="BK14" i="1"/>
  <c r="BJ14" i="1"/>
  <c r="BH14" i="1"/>
  <c r="BG14" i="1"/>
  <c r="BF14" i="1"/>
  <c r="BE14" i="1"/>
  <c r="BC14" i="1"/>
  <c r="BB14" i="1"/>
  <c r="BA14" i="1"/>
  <c r="AZ14" i="1"/>
  <c r="AX14" i="1"/>
  <c r="AW14" i="1"/>
  <c r="AV14" i="1"/>
  <c r="AU14" i="1"/>
  <c r="AS14" i="1"/>
  <c r="AR14" i="1"/>
  <c r="AQ14" i="1"/>
  <c r="AP14" i="1"/>
  <c r="CR13" i="1"/>
  <c r="CH13" i="1"/>
  <c r="CC13" i="1"/>
  <c r="BX13" i="1"/>
  <c r="BS13" i="1"/>
  <c r="BN13" i="1"/>
  <c r="BI13" i="1"/>
  <c r="BD13" i="1"/>
  <c r="AY13" i="1"/>
  <c r="AT13" i="1"/>
  <c r="AO13" i="1"/>
  <c r="DC13" i="1"/>
  <c r="CL13" i="1"/>
  <c r="CL14" i="1" s="1"/>
  <c r="CT12" i="1"/>
  <c r="CS12" i="1"/>
  <c r="CQ12" i="1"/>
  <c r="CP12" i="1"/>
  <c r="CO12" i="1"/>
  <c r="CN12" i="1"/>
  <c r="CL12" i="1"/>
  <c r="CK12" i="1"/>
  <c r="CJ12" i="1"/>
  <c r="CI12" i="1"/>
  <c r="CG12" i="1"/>
  <c r="CF12" i="1"/>
  <c r="CE12" i="1"/>
  <c r="CD12" i="1"/>
  <c r="CB12" i="1"/>
  <c r="CA12" i="1"/>
  <c r="BZ12" i="1"/>
  <c r="BY12" i="1"/>
  <c r="BW12" i="1"/>
  <c r="BV12" i="1"/>
  <c r="BU12" i="1"/>
  <c r="BT12" i="1"/>
  <c r="BR12" i="1"/>
  <c r="BQ12" i="1"/>
  <c r="BP12" i="1"/>
  <c r="BO12" i="1"/>
  <c r="BM12" i="1"/>
  <c r="BL12" i="1"/>
  <c r="BK12" i="1"/>
  <c r="BJ12" i="1"/>
  <c r="BH12" i="1"/>
  <c r="BG12" i="1"/>
  <c r="BF12" i="1"/>
  <c r="BE12" i="1"/>
  <c r="BC12" i="1"/>
  <c r="BB12" i="1"/>
  <c r="BA12" i="1"/>
  <c r="AZ12" i="1"/>
  <c r="AX12" i="1"/>
  <c r="AW12" i="1"/>
  <c r="AV12" i="1"/>
  <c r="AU12" i="1"/>
  <c r="AS12" i="1"/>
  <c r="AR12" i="1"/>
  <c r="AQ12" i="1"/>
  <c r="AP12" i="1"/>
  <c r="AN12" i="1"/>
  <c r="AM12" i="1"/>
  <c r="AL12" i="1"/>
  <c r="CT11" i="1"/>
  <c r="CS11" i="1"/>
  <c r="CQ11" i="1"/>
  <c r="CP11" i="1"/>
  <c r="CO11" i="1"/>
  <c r="CN11" i="1"/>
  <c r="CL11" i="1"/>
  <c r="CK11" i="1"/>
  <c r="CJ11" i="1"/>
  <c r="CI11" i="1"/>
  <c r="CG11" i="1"/>
  <c r="CF11" i="1"/>
  <c r="CE11" i="1"/>
  <c r="CD11" i="1"/>
  <c r="CB11" i="1"/>
  <c r="CA11" i="1"/>
  <c r="BZ11" i="1"/>
  <c r="BY11" i="1"/>
  <c r="BW11" i="1"/>
  <c r="BV11" i="1"/>
  <c r="BU11" i="1"/>
  <c r="BT11" i="1"/>
  <c r="BR11" i="1"/>
  <c r="BQ11" i="1"/>
  <c r="BP11" i="1"/>
  <c r="BO11" i="1"/>
  <c r="BM11" i="1"/>
  <c r="BL11" i="1"/>
  <c r="BK11" i="1"/>
  <c r="BJ11" i="1"/>
  <c r="BH11" i="1"/>
  <c r="BG11" i="1"/>
  <c r="BF11" i="1"/>
  <c r="BE11" i="1"/>
  <c r="BC11" i="1"/>
  <c r="BB11" i="1"/>
  <c r="BA11" i="1"/>
  <c r="AZ11" i="1"/>
  <c r="AX11" i="1"/>
  <c r="AW11" i="1"/>
  <c r="AV11" i="1"/>
  <c r="AU11" i="1"/>
  <c r="AS11" i="1"/>
  <c r="AR11" i="1"/>
  <c r="AQ11" i="1"/>
  <c r="AP11" i="1"/>
  <c r="CR10" i="1"/>
  <c r="CM10" i="1"/>
  <c r="CH10" i="1"/>
  <c r="CC10" i="1"/>
  <c r="BX10" i="1"/>
  <c r="BS10" i="1"/>
  <c r="BN10" i="1"/>
  <c r="BI10" i="1"/>
  <c r="BD10" i="1"/>
  <c r="AY10" i="1"/>
  <c r="AT10" i="1"/>
  <c r="AO10" i="1"/>
  <c r="CI86" i="1"/>
  <c r="CI85" i="1" s="1"/>
  <c r="CI84" i="1"/>
  <c r="CR83" i="1"/>
  <c r="CM83" i="1"/>
  <c r="CG83" i="1"/>
  <c r="CF83" i="1"/>
  <c r="CF93" i="1" s="1"/>
  <c r="CG89" i="1" s="1"/>
  <c r="CE83" i="1"/>
  <c r="CE93" i="1" s="1"/>
  <c r="CF89" i="1" s="1"/>
  <c r="CD83" i="1"/>
  <c r="CD93" i="1" s="1"/>
  <c r="CE89" i="1" s="1"/>
  <c r="CB83" i="1"/>
  <c r="CB93" i="1" s="1"/>
  <c r="CD89" i="1" s="1"/>
  <c r="CA83" i="1"/>
  <c r="CA93" i="1" s="1"/>
  <c r="CB89" i="1" s="1"/>
  <c r="BZ83" i="1"/>
  <c r="BZ93" i="1" s="1"/>
  <c r="CA89" i="1" s="1"/>
  <c r="BY83" i="1"/>
  <c r="BY93" i="1" s="1"/>
  <c r="BW83" i="1"/>
  <c r="BV83" i="1"/>
  <c r="BV93" i="1" s="1"/>
  <c r="BW89" i="1" s="1"/>
  <c r="BU83" i="1"/>
  <c r="BU93" i="1" s="1"/>
  <c r="BV89" i="1" s="1"/>
  <c r="BT83" i="1"/>
  <c r="BT93" i="1" s="1"/>
  <c r="BU89" i="1" s="1"/>
  <c r="BR83" i="1"/>
  <c r="BQ83" i="1"/>
  <c r="BQ93" i="1" s="1"/>
  <c r="BR89" i="1" s="1"/>
  <c r="BP83" i="1"/>
  <c r="BP93" i="1" s="1"/>
  <c r="BQ89" i="1" s="1"/>
  <c r="BO83" i="1"/>
  <c r="BO93" i="1" s="1"/>
  <c r="BP89" i="1" s="1"/>
  <c r="BM83" i="1"/>
  <c r="BL83" i="1"/>
  <c r="BL93" i="1" s="1"/>
  <c r="BM89" i="1" s="1"/>
  <c r="BK83" i="1"/>
  <c r="BK93" i="1" s="1"/>
  <c r="BL89" i="1" s="1"/>
  <c r="BJ83" i="1"/>
  <c r="BJ93" i="1" s="1"/>
  <c r="BK89" i="1" s="1"/>
  <c r="BH83" i="1"/>
  <c r="BH93" i="1" s="1"/>
  <c r="BJ89" i="1" s="1"/>
  <c r="BG83" i="1"/>
  <c r="BG93" i="1" s="1"/>
  <c r="BH89" i="1" s="1"/>
  <c r="BF83" i="1"/>
  <c r="BF93" i="1" s="1"/>
  <c r="BG89" i="1" s="1"/>
  <c r="BE83" i="1"/>
  <c r="BE93" i="1" s="1"/>
  <c r="BF89" i="1" s="1"/>
  <c r="BC83" i="1"/>
  <c r="BB83" i="1"/>
  <c r="BB93" i="1" s="1"/>
  <c r="BC89" i="1" s="1"/>
  <c r="BA83" i="1"/>
  <c r="BA93" i="1" s="1"/>
  <c r="BB89" i="1" s="1"/>
  <c r="AZ83" i="1"/>
  <c r="AZ93" i="1" s="1"/>
  <c r="BA89" i="1" s="1"/>
  <c r="AX83" i="1"/>
  <c r="AW83" i="1"/>
  <c r="AW93" i="1" s="1"/>
  <c r="AX89" i="1" s="1"/>
  <c r="AV83" i="1"/>
  <c r="AV93" i="1" s="1"/>
  <c r="AW89" i="1" s="1"/>
  <c r="AU83" i="1"/>
  <c r="AU93" i="1" s="1"/>
  <c r="AV89" i="1" s="1"/>
  <c r="AS83" i="1"/>
  <c r="AS93" i="1" s="1"/>
  <c r="AU89" i="1" s="1"/>
  <c r="AR83" i="1"/>
  <c r="AR93" i="1" s="1"/>
  <c r="AS89" i="1" s="1"/>
  <c r="AQ83" i="1"/>
  <c r="AQ93" i="1" s="1"/>
  <c r="AR89" i="1" s="1"/>
  <c r="AP83" i="1"/>
  <c r="AP93" i="1" s="1"/>
  <c r="AQ89" i="1" s="1"/>
  <c r="AN83" i="1"/>
  <c r="AO83" i="1" s="1"/>
  <c r="AM83" i="1"/>
  <c r="AM93" i="1" s="1"/>
  <c r="AN89" i="1" s="1"/>
  <c r="AL83" i="1"/>
  <c r="AL93" i="1" s="1"/>
  <c r="AM89" i="1" s="1"/>
  <c r="AK83" i="1"/>
  <c r="AK93" i="1" s="1"/>
  <c r="AL89" i="1" s="1"/>
  <c r="AI83" i="1"/>
  <c r="AH83" i="1"/>
  <c r="AH93" i="1" s="1"/>
  <c r="AI89" i="1" s="1"/>
  <c r="AG83" i="1"/>
  <c r="AG93" i="1" s="1"/>
  <c r="AH89" i="1" s="1"/>
  <c r="AF83" i="1"/>
  <c r="AF93" i="1" s="1"/>
  <c r="AG89" i="1" s="1"/>
  <c r="AD83" i="1"/>
  <c r="AC83" i="1"/>
  <c r="AC93" i="1" s="1"/>
  <c r="AD89" i="1" s="1"/>
  <c r="AB83" i="1"/>
  <c r="AB93" i="1" s="1"/>
  <c r="AC89" i="1" s="1"/>
  <c r="AA83" i="1"/>
  <c r="AA93" i="1" s="1"/>
  <c r="Y83" i="1"/>
  <c r="Z83" i="1" s="1"/>
  <c r="X83" i="1"/>
  <c r="X93" i="1" s="1"/>
  <c r="Y89" i="1" s="1"/>
  <c r="W83" i="1"/>
  <c r="W93" i="1" s="1"/>
  <c r="X89" i="1" s="1"/>
  <c r="V83" i="1"/>
  <c r="V93" i="1" s="1"/>
  <c r="W89" i="1" s="1"/>
  <c r="T83" i="1"/>
  <c r="S83" i="1"/>
  <c r="S93" i="1" s="1"/>
  <c r="T89" i="1" s="1"/>
  <c r="R83" i="1"/>
  <c r="R93" i="1" s="1"/>
  <c r="S89" i="1" s="1"/>
  <c r="Q83" i="1"/>
  <c r="Q93" i="1" s="1"/>
  <c r="R89" i="1" s="1"/>
  <c r="O83" i="1"/>
  <c r="P83" i="1" s="1"/>
  <c r="N83" i="1"/>
  <c r="N93" i="1" s="1"/>
  <c r="O89" i="1" s="1"/>
  <c r="M83" i="1"/>
  <c r="M93" i="1" s="1"/>
  <c r="N89" i="1" s="1"/>
  <c r="L83" i="1"/>
  <c r="L93" i="1" s="1"/>
  <c r="M89" i="1" s="1"/>
  <c r="J83" i="1"/>
  <c r="K83" i="1" s="1"/>
  <c r="I83" i="1"/>
  <c r="I93" i="1" s="1"/>
  <c r="J89" i="1" s="1"/>
  <c r="H83" i="1"/>
  <c r="H93" i="1" s="1"/>
  <c r="I89" i="1" s="1"/>
  <c r="G83" i="1"/>
  <c r="G93" i="1" s="1"/>
  <c r="H89" i="1" s="1"/>
  <c r="BX74" i="1"/>
  <c r="BS74" i="1"/>
  <c r="BN74" i="1"/>
  <c r="BI74" i="1"/>
  <c r="BD74" i="1"/>
  <c r="AY74" i="1"/>
  <c r="AT74" i="1"/>
  <c r="AO74" i="1"/>
  <c r="AJ74" i="1"/>
  <c r="AE74" i="1"/>
  <c r="Z74" i="1"/>
  <c r="U74" i="1"/>
  <c r="P74" i="1"/>
  <c r="K74" i="1"/>
  <c r="CB74" i="1"/>
  <c r="CR69" i="1"/>
  <c r="BX69" i="1"/>
  <c r="BS69" i="1"/>
  <c r="BN69" i="1"/>
  <c r="BI69" i="1"/>
  <c r="BD69" i="1"/>
  <c r="AY69" i="1"/>
  <c r="AT69" i="1"/>
  <c r="AO69" i="1"/>
  <c r="AJ69" i="1"/>
  <c r="AE69" i="1"/>
  <c r="Z69" i="1"/>
  <c r="U69" i="1"/>
  <c r="P69" i="1"/>
  <c r="K69" i="1"/>
  <c r="CI69" i="1"/>
  <c r="CG69" i="1"/>
  <c r="CH69" i="1" s="1"/>
  <c r="CB69" i="1"/>
  <c r="CC69" i="1" s="1"/>
  <c r="CB62" i="1"/>
  <c r="CC62" i="1" s="1"/>
  <c r="CB60" i="1"/>
  <c r="CJ60" i="1"/>
  <c r="CI60" i="1"/>
  <c r="CG60" i="1"/>
  <c r="BX62" i="1"/>
  <c r="BS62" i="1"/>
  <c r="BN62" i="1"/>
  <c r="BI62" i="1"/>
  <c r="BD62" i="1"/>
  <c r="AY62" i="1"/>
  <c r="AT62" i="1"/>
  <c r="AO62" i="1"/>
  <c r="AJ62" i="1"/>
  <c r="AE62" i="1"/>
  <c r="Z62" i="1"/>
  <c r="U62" i="1"/>
  <c r="P62" i="1"/>
  <c r="K62" i="1"/>
  <c r="BX60" i="1"/>
  <c r="BS60" i="1"/>
  <c r="BN60" i="1"/>
  <c r="BI60" i="1"/>
  <c r="BD60" i="1"/>
  <c r="AY60" i="1"/>
  <c r="AT60" i="1"/>
  <c r="AO60" i="1"/>
  <c r="AJ60" i="1"/>
  <c r="AE60" i="1"/>
  <c r="Z60" i="1"/>
  <c r="U60" i="1"/>
  <c r="P60" i="1"/>
  <c r="K60" i="1"/>
  <c r="CE51" i="1"/>
  <c r="CW49" i="1"/>
  <c r="CR49" i="1"/>
  <c r="CH49" i="1"/>
  <c r="CC49" i="1"/>
  <c r="BX49" i="1"/>
  <c r="BS49" i="1"/>
  <c r="BN49" i="1"/>
  <c r="BI49" i="1"/>
  <c r="BD49" i="1"/>
  <c r="AY49" i="1"/>
  <c r="AT49" i="1"/>
  <c r="AO49" i="1"/>
  <c r="AJ49" i="1"/>
  <c r="AE49" i="1"/>
  <c r="Z49" i="1"/>
  <c r="U49" i="1"/>
  <c r="P49" i="1"/>
  <c r="K49" i="1"/>
  <c r="CI28" i="1"/>
  <c r="CB39" i="1"/>
  <c r="CB28" i="1"/>
  <c r="CC28" i="1" s="1"/>
  <c r="CH39" i="1"/>
  <c r="BX39" i="1"/>
  <c r="BS39" i="1"/>
  <c r="BN39" i="1"/>
  <c r="BI39" i="1"/>
  <c r="BD39" i="1"/>
  <c r="AY39" i="1"/>
  <c r="AT39" i="1"/>
  <c r="AO39" i="1"/>
  <c r="AJ39" i="1"/>
  <c r="AE39" i="1"/>
  <c r="Z39" i="1"/>
  <c r="U39" i="1"/>
  <c r="P39" i="1"/>
  <c r="K39" i="1"/>
  <c r="CR28" i="1"/>
  <c r="CH28" i="1"/>
  <c r="BX28" i="1"/>
  <c r="BS28" i="1"/>
  <c r="BN28" i="1"/>
  <c r="BI28" i="1"/>
  <c r="BD28" i="1"/>
  <c r="AY28" i="1"/>
  <c r="AT28" i="1"/>
  <c r="AO28" i="1"/>
  <c r="AJ28" i="1"/>
  <c r="AE28" i="1"/>
  <c r="Z28" i="1"/>
  <c r="U28" i="1"/>
  <c r="P28" i="1"/>
  <c r="K28" i="1"/>
  <c r="Z55" i="1"/>
  <c r="U55" i="1"/>
  <c r="P55" i="1"/>
  <c r="K55" i="1"/>
  <c r="CI43" i="1"/>
  <c r="CI44" i="1" s="1"/>
  <c r="CG43" i="1"/>
  <c r="CG44" i="1" s="1"/>
  <c r="CF43" i="1"/>
  <c r="CE43" i="1"/>
  <c r="CD43" i="1"/>
  <c r="CB43" i="1"/>
  <c r="CC43" i="1" s="1"/>
  <c r="CR43" i="1"/>
  <c r="BX43" i="1"/>
  <c r="BS43" i="1"/>
  <c r="BN43" i="1"/>
  <c r="BI43" i="1"/>
  <c r="BD43" i="1"/>
  <c r="AY43" i="1"/>
  <c r="AT43" i="1"/>
  <c r="AO43" i="1"/>
  <c r="AO44" i="1" s="1"/>
  <c r="AJ43" i="1"/>
  <c r="AJ44" i="1" s="1"/>
  <c r="AE43" i="1"/>
  <c r="AE44" i="1" s="1"/>
  <c r="Z43" i="1"/>
  <c r="Z44" i="1" s="1"/>
  <c r="U43" i="1"/>
  <c r="U44" i="1" s="1"/>
  <c r="P43" i="1"/>
  <c r="K43" i="1"/>
  <c r="K44" i="1" s="1"/>
  <c r="Z37" i="1"/>
  <c r="U37" i="1"/>
  <c r="U38" i="1" s="1"/>
  <c r="P37" i="1"/>
  <c r="K37" i="1"/>
  <c r="CR30" i="1"/>
  <c r="BX30" i="1"/>
  <c r="BS30" i="1"/>
  <c r="BN30" i="1"/>
  <c r="BI30" i="1"/>
  <c r="BD30" i="1"/>
  <c r="BD29" i="1" s="1"/>
  <c r="AY30" i="1"/>
  <c r="AT30" i="1"/>
  <c r="AO30" i="1"/>
  <c r="AJ30" i="1"/>
  <c r="AE30" i="1"/>
  <c r="Z30" i="1"/>
  <c r="U30" i="1"/>
  <c r="P30" i="1"/>
  <c r="K30" i="1"/>
  <c r="CI30" i="1"/>
  <c r="CM30" i="1" s="1"/>
  <c r="CG30" i="1"/>
  <c r="CG29" i="1" s="1"/>
  <c r="CF30" i="1"/>
  <c r="CE30" i="1"/>
  <c r="CD30" i="1"/>
  <c r="CD29" i="1" s="1"/>
  <c r="CB30" i="1"/>
  <c r="CB32" i="1" s="1"/>
  <c r="CB33" i="1" s="1"/>
  <c r="Y183" i="1"/>
  <c r="CW30" i="4"/>
  <c r="CW61" i="4"/>
  <c r="CW60" i="4"/>
  <c r="CW64" i="4"/>
  <c r="DC12" i="1"/>
  <c r="CW13" i="1"/>
  <c r="CW16" i="1"/>
  <c r="DF19" i="1"/>
  <c r="DK19" i="1" s="1"/>
  <c r="DP19" i="1" s="1"/>
  <c r="CW19" i="1"/>
  <c r="CW105" i="1"/>
  <c r="CW102" i="1" s="1"/>
  <c r="CW10" i="1"/>
  <c r="BP74" i="4"/>
  <c r="DB15" i="4"/>
  <c r="CW31" i="4"/>
  <c r="DC53" i="4"/>
  <c r="DD53" i="4" s="1"/>
  <c r="DE53" i="4" s="1"/>
  <c r="DF53" i="4" s="1"/>
  <c r="CW53" i="4"/>
  <c r="CU117" i="1"/>
  <c r="CW47" i="4"/>
  <c r="CW38" i="4"/>
  <c r="CU49" i="4"/>
  <c r="CU199" i="4" s="1"/>
  <c r="CU65" i="4"/>
  <c r="CU17" i="4"/>
  <c r="CU79" i="8"/>
  <c r="CU93" i="8" s="1"/>
  <c r="CW52" i="4"/>
  <c r="AV36" i="8"/>
  <c r="L88" i="4"/>
  <c r="L106" i="4" s="1"/>
  <c r="CW85" i="1"/>
  <c r="G31" i="26"/>
  <c r="CW46" i="4"/>
  <c r="CW30" i="1"/>
  <c r="CW39" i="1"/>
  <c r="CW43" i="1"/>
  <c r="CW45" i="4"/>
  <c r="CW28" i="1"/>
  <c r="CW29" i="1" s="1"/>
  <c r="CV49" i="4"/>
  <c r="CW48" i="4"/>
  <c r="CW69" i="1"/>
  <c r="CV17" i="4"/>
  <c r="CV198" i="4" s="1"/>
  <c r="CW37" i="4"/>
  <c r="CW65" i="4"/>
  <c r="CW37" i="8"/>
  <c r="CW83" i="8" s="1"/>
  <c r="BC135" i="4"/>
  <c r="BE135" i="4" s="1"/>
  <c r="BF135" i="4" s="1"/>
  <c r="BG135" i="4" s="1"/>
  <c r="AU15" i="8"/>
  <c r="AV15" i="8" s="1"/>
  <c r="AW15" i="8" s="1"/>
  <c r="AX15" i="8" s="1"/>
  <c r="M187" i="4"/>
  <c r="M194" i="4" s="1"/>
  <c r="J74" i="4"/>
  <c r="AP71" i="8"/>
  <c r="CW63" i="4"/>
  <c r="CW62" i="4"/>
  <c r="CW28" i="4"/>
  <c r="CW96" i="4" s="1"/>
  <c r="DB93" i="4" s="1"/>
  <c r="CV79" i="8"/>
  <c r="CE38" i="8"/>
  <c r="CF38" i="8" s="1"/>
  <c r="CV204" i="4"/>
  <c r="CV202" i="4"/>
  <c r="AV29" i="8"/>
  <c r="AV89" i="4" s="1"/>
  <c r="AP101" i="1"/>
  <c r="BT88" i="4"/>
  <c r="BT106" i="4" s="1"/>
  <c r="BO89" i="4"/>
  <c r="CD89" i="4"/>
  <c r="AA101" i="8"/>
  <c r="AG28" i="8"/>
  <c r="AH28" i="8" s="1"/>
  <c r="AH88" i="4" s="1"/>
  <c r="AH106" i="4" s="1"/>
  <c r="AF101" i="8"/>
  <c r="BA28" i="8"/>
  <c r="BA101" i="8" s="1"/>
  <c r="AZ101" i="8"/>
  <c r="M32" i="8"/>
  <c r="CO40" i="8"/>
  <c r="CP40" i="8" s="1"/>
  <c r="AK15" i="8"/>
  <c r="AL15" i="8" s="1"/>
  <c r="AK101" i="1"/>
  <c r="BJ89" i="4"/>
  <c r="CP89" i="8"/>
  <c r="BY101" i="1"/>
  <c r="BY103" i="1" s="1"/>
  <c r="BY91" i="1" s="1"/>
  <c r="BF40" i="8"/>
  <c r="BF101" i="1" s="1"/>
  <c r="AA88" i="4"/>
  <c r="AA106" i="4" s="1"/>
  <c r="BG93" i="8"/>
  <c r="AC38" i="8"/>
  <c r="AD38" i="8" s="1"/>
  <c r="AE38" i="8" s="1"/>
  <c r="AE84" i="8" s="1"/>
  <c r="CG93" i="8"/>
  <c r="M28" i="8"/>
  <c r="L101" i="8"/>
  <c r="AP88" i="4"/>
  <c r="AP106" i="4" s="1"/>
  <c r="AZ88" i="4"/>
  <c r="AZ106" i="4" s="1"/>
  <c r="BU28" i="8"/>
  <c r="CN88" i="4"/>
  <c r="CN106" i="4" s="1"/>
  <c r="AB29" i="8"/>
  <c r="CI89" i="4"/>
  <c r="CJ29" i="8"/>
  <c r="CL29" i="8" s="1"/>
  <c r="AQ42" i="8"/>
  <c r="AR42" i="8" s="1"/>
  <c r="AS42" i="8" s="1"/>
  <c r="CO89" i="8"/>
  <c r="CM39" i="8"/>
  <c r="CM85" i="8" s="1"/>
  <c r="CF30" i="8"/>
  <c r="CG30" i="8" s="1"/>
  <c r="CH30" i="8" s="1"/>
  <c r="CH76" i="8" s="1"/>
  <c r="BY88" i="4"/>
  <c r="BY106" i="4" s="1"/>
  <c r="CI88" i="4"/>
  <c r="CI106" i="4" s="1"/>
  <c r="CJ28" i="8"/>
  <c r="CT29" i="8"/>
  <c r="AV38" i="8"/>
  <c r="AW38" i="8" s="1"/>
  <c r="AX38" i="8" s="1"/>
  <c r="AY38" i="8" s="1"/>
  <c r="AY84" i="8" s="1"/>
  <c r="BU40" i="8"/>
  <c r="BV40" i="8" s="1"/>
  <c r="CS71" i="8"/>
  <c r="AZ93" i="8"/>
  <c r="BA31" i="8"/>
  <c r="BB31" i="8" s="1"/>
  <c r="BC31" i="8" s="1"/>
  <c r="CO41" i="8"/>
  <c r="AB42" i="8"/>
  <c r="AC42" i="8" s="1"/>
  <c r="AD42" i="8" s="1"/>
  <c r="AE42" i="8" s="1"/>
  <c r="AE88" i="8" s="1"/>
  <c r="BA45" i="8"/>
  <c r="AQ15" i="8"/>
  <c r="Q71" i="8"/>
  <c r="BB23" i="8"/>
  <c r="BC23" i="8" s="1"/>
  <c r="BO101" i="8"/>
  <c r="BP28" i="8"/>
  <c r="BP101" i="8" s="1"/>
  <c r="AP89" i="4"/>
  <c r="AQ29" i="8"/>
  <c r="AQ89" i="4" s="1"/>
  <c r="AX199" i="4"/>
  <c r="AX93" i="4"/>
  <c r="CN55" i="4"/>
  <c r="AC204" i="4"/>
  <c r="AN74" i="4"/>
  <c r="AU204" i="4"/>
  <c r="BT202" i="4"/>
  <c r="CI204" i="4"/>
  <c r="CP202" i="4"/>
  <c r="BM187" i="4"/>
  <c r="BM194" i="4" s="1"/>
  <c r="AY49" i="4"/>
  <c r="Q204" i="4"/>
  <c r="CN77" i="4"/>
  <c r="M184" i="4"/>
  <c r="M191" i="4" s="1"/>
  <c r="BA184" i="4"/>
  <c r="AK187" i="4"/>
  <c r="AK194" i="4" s="1"/>
  <c r="BJ192" i="4"/>
  <c r="BO187" i="4"/>
  <c r="BO194" i="4" s="1"/>
  <c r="BT187" i="4"/>
  <c r="BT194" i="4" s="1"/>
  <c r="BT192" i="4"/>
  <c r="CU208" i="4"/>
  <c r="CW39" i="4"/>
  <c r="AC74" i="4"/>
  <c r="AZ187" i="4"/>
  <c r="AZ194" i="4" s="1"/>
  <c r="BK184" i="4"/>
  <c r="AT17" i="4"/>
  <c r="BC134" i="4"/>
  <c r="BE134" i="4" s="1"/>
  <c r="BF134" i="4" s="1"/>
  <c r="BG134" i="4" s="1"/>
  <c r="BW134" i="4"/>
  <c r="BY134" i="4" s="1"/>
  <c r="BZ134" i="4" s="1"/>
  <c r="CA134" i="4" s="1"/>
  <c r="BW135" i="4"/>
  <c r="BY135" i="4" s="1"/>
  <c r="BZ135" i="4" s="1"/>
  <c r="CA135" i="4" s="1"/>
  <c r="AT37" i="4"/>
  <c r="AT129" i="4" s="1"/>
  <c r="AF199" i="4"/>
  <c r="CO55" i="4"/>
  <c r="CQ55" i="4"/>
  <c r="CR55" i="4" s="1"/>
  <c r="CQ208" i="4"/>
  <c r="BO197" i="4"/>
  <c r="AD109" i="4"/>
  <c r="AF109" i="4" s="1"/>
  <c r="CP183" i="4"/>
  <c r="CP190" i="4" s="1"/>
  <c r="H187" i="4"/>
  <c r="H194" i="4" s="1"/>
  <c r="O187" i="4"/>
  <c r="O194" i="4" s="1"/>
  <c r="AG187" i="4"/>
  <c r="AG194" i="4" s="1"/>
  <c r="AG192" i="4"/>
  <c r="AI192" i="4"/>
  <c r="AL187" i="4"/>
  <c r="AL194" i="4" s="1"/>
  <c r="AN192" i="4"/>
  <c r="BZ187" i="4"/>
  <c r="BZ194" i="4" s="1"/>
  <c r="CQ192" i="4"/>
  <c r="AD114" i="4"/>
  <c r="AH114" i="4" s="1"/>
  <c r="AB187" i="4"/>
  <c r="AB194" i="4" s="1"/>
  <c r="BH187" i="4"/>
  <c r="BH194" i="4" s="1"/>
  <c r="AD110" i="4"/>
  <c r="AF110" i="4" s="1"/>
  <c r="CT207" i="4"/>
  <c r="CL55" i="4"/>
  <c r="CM55" i="4" s="1"/>
  <c r="CL208" i="4"/>
  <c r="CT55" i="4"/>
  <c r="CM204" i="4"/>
  <c r="CM184" i="4"/>
  <c r="CM191" i="4" s="1"/>
  <c r="H184" i="4"/>
  <c r="N74" i="4"/>
  <c r="M202" i="4"/>
  <c r="AL184" i="4"/>
  <c r="AV204" i="4"/>
  <c r="AV203" i="4" s="1"/>
  <c r="CE204" i="4"/>
  <c r="CT204" i="4"/>
  <c r="AA209" i="4"/>
  <c r="BX20" i="4"/>
  <c r="BX91" i="4" s="1"/>
  <c r="CM35" i="4"/>
  <c r="AW29" i="8"/>
  <c r="AW89" i="4" s="1"/>
  <c r="M88" i="4"/>
  <c r="M106" i="4" s="1"/>
  <c r="BX32" i="8"/>
  <c r="BX78" i="8" s="1"/>
  <c r="AW21" i="8"/>
  <c r="AX21" i="8" s="1"/>
  <c r="BL30" i="8"/>
  <c r="CO36" i="8"/>
  <c r="CT36" i="8"/>
  <c r="CU36" i="8" s="1"/>
  <c r="CW36" i="8" s="1"/>
  <c r="CW82" i="8" s="1"/>
  <c r="CR32" i="8"/>
  <c r="CR78" i="8" s="1"/>
  <c r="CK42" i="8"/>
  <c r="AJ45" i="8"/>
  <c r="AJ91" i="8" s="1"/>
  <c r="CM49" i="1"/>
  <c r="X124" i="1"/>
  <c r="BB122" i="1"/>
  <c r="L138" i="1"/>
  <c r="AS71" i="1"/>
  <c r="AV22" i="8"/>
  <c r="CE31" i="8"/>
  <c r="CF31" i="8" s="1"/>
  <c r="CG31" i="8" s="1"/>
  <c r="CH31" i="8" s="1"/>
  <c r="CH77" i="8" s="1"/>
  <c r="AW32" i="8"/>
  <c r="AG36" i="8"/>
  <c r="BA36" i="8"/>
  <c r="BB36" i="8" s="1"/>
  <c r="BU36" i="8"/>
  <c r="BM30" i="8"/>
  <c r="BN30" i="8" s="1"/>
  <c r="BN76" i="8" s="1"/>
  <c r="BK16" i="8"/>
  <c r="BL16" i="8" s="1"/>
  <c r="CN94" i="4"/>
  <c r="CN110" i="8"/>
  <c r="CO13" i="8"/>
  <c r="CP13" i="8" s="1"/>
  <c r="CT23" i="8"/>
  <c r="CU23" i="8" s="1"/>
  <c r="BA32" i="8"/>
  <c r="BB32" i="8" s="1"/>
  <c r="CJ36" i="8"/>
  <c r="BZ101" i="1"/>
  <c r="BZ103" i="1" s="1"/>
  <c r="BZ91" i="1" s="1"/>
  <c r="CA40" i="8"/>
  <c r="CB40" i="8" s="1"/>
  <c r="Q96" i="1"/>
  <c r="AN199" i="4"/>
  <c r="BO199" i="4"/>
  <c r="CU207" i="4"/>
  <c r="CU40" i="4"/>
  <c r="CU42" i="4" s="1"/>
  <c r="CV183" i="4"/>
  <c r="CB136" i="4"/>
  <c r="CD136" i="4" s="1"/>
  <c r="CE136" i="4" s="1"/>
  <c r="CF136" i="4" s="1"/>
  <c r="BW110" i="4"/>
  <c r="AB204" i="4"/>
  <c r="BZ74" i="4"/>
  <c r="BW74" i="4"/>
  <c r="CS204" i="4"/>
  <c r="CS184" i="4"/>
  <c r="CS191" i="4" s="1"/>
  <c r="BZ93" i="4"/>
  <c r="CU151" i="4"/>
  <c r="BY187" i="4"/>
  <c r="BY194" i="4" s="1"/>
  <c r="BY192" i="4"/>
  <c r="CD192" i="4"/>
  <c r="CD187" i="4"/>
  <c r="CP159" i="4"/>
  <c r="Q187" i="4"/>
  <c r="Q194" i="4" s="1"/>
  <c r="CA184" i="4"/>
  <c r="CA191" i="4" s="1"/>
  <c r="CO204" i="4"/>
  <c r="L187" i="4"/>
  <c r="L194" i="4" s="1"/>
  <c r="AP199" i="4"/>
  <c r="X42" i="4"/>
  <c r="CW51" i="1"/>
  <c r="CR122" i="1"/>
  <c r="BI122" i="1"/>
  <c r="AJ121" i="1"/>
  <c r="BE155" i="1"/>
  <c r="Z123" i="1"/>
  <c r="S124" i="1"/>
  <c r="X122" i="1"/>
  <c r="CX102" i="1"/>
  <c r="BL133" i="1"/>
  <c r="CI130" i="1"/>
  <c r="BD122" i="1"/>
  <c r="CQ14" i="1"/>
  <c r="CY21" i="1"/>
  <c r="DD16" i="1"/>
  <c r="DI16" i="1" s="1"/>
  <c r="DN16" i="1" s="1"/>
  <c r="K122" i="1"/>
  <c r="Z133" i="1"/>
  <c r="AT121" i="1"/>
  <c r="BN122" i="1"/>
  <c r="BS122" i="1"/>
  <c r="AY121" i="1"/>
  <c r="BI121" i="1"/>
  <c r="U120" i="1"/>
  <c r="U123" i="1"/>
  <c r="BI120" i="1"/>
  <c r="CM124" i="1"/>
  <c r="AY122" i="1"/>
  <c r="BN124" i="1"/>
  <c r="CM122" i="1"/>
  <c r="BD121" i="1"/>
  <c r="T145" i="4"/>
  <c r="CC39" i="1"/>
  <c r="CB55" i="1"/>
  <c r="J93" i="1"/>
  <c r="CR133" i="1"/>
  <c r="CR120" i="1"/>
  <c r="BX122" i="1"/>
  <c r="BX124" i="1"/>
  <c r="AT122" i="1"/>
  <c r="AT120" i="1"/>
  <c r="AD32" i="1"/>
  <c r="AD33" i="1" s="1"/>
  <c r="AI183" i="1"/>
  <c r="CG122" i="1"/>
  <c r="R145" i="4"/>
  <c r="AB142" i="4"/>
  <c r="AB168" i="4" s="1"/>
  <c r="AG32" i="1"/>
  <c r="AG33" i="1" s="1"/>
  <c r="CI143" i="4"/>
  <c r="CI169" i="4" s="1"/>
  <c r="CH60" i="1"/>
  <c r="DD13" i="1"/>
  <c r="CY15" i="1"/>
  <c r="CV138" i="1"/>
  <c r="CV146" i="1" s="1"/>
  <c r="CV144" i="1" s="1"/>
  <c r="CE62" i="1"/>
  <c r="CE64" i="1" s="1"/>
  <c r="CH51" i="1"/>
  <c r="DD19" i="1"/>
  <c r="DI19" i="1" s="1"/>
  <c r="DN19" i="1" s="1"/>
  <c r="CN129" i="1"/>
  <c r="CI131" i="1"/>
  <c r="BR121" i="1"/>
  <c r="BW122" i="1"/>
  <c r="CO120" i="1"/>
  <c r="AS166" i="1"/>
  <c r="BC145" i="1"/>
  <c r="BC141" i="1" s="1"/>
  <c r="BC158" i="1" s="1"/>
  <c r="R138" i="1"/>
  <c r="AP155" i="1"/>
  <c r="CI155" i="1"/>
  <c r="M183" i="1"/>
  <c r="CY12" i="1"/>
  <c r="DC16" i="1"/>
  <c r="CY18" i="1"/>
  <c r="AT83" i="1"/>
  <c r="L141" i="4"/>
  <c r="AA185" i="1"/>
  <c r="H44" i="1"/>
  <c r="H38" i="1"/>
  <c r="H145" i="4"/>
  <c r="H32" i="1"/>
  <c r="H33" i="1" s="1"/>
  <c r="M185" i="1"/>
  <c r="R44" i="1"/>
  <c r="R142" i="4"/>
  <c r="R168" i="4" s="1"/>
  <c r="R32" i="1"/>
  <c r="R33" i="1" s="1"/>
  <c r="DC19" i="1"/>
  <c r="DC21" i="1" s="1"/>
  <c r="I123" i="1"/>
  <c r="I120" i="1"/>
  <c r="N120" i="1"/>
  <c r="N124" i="1"/>
  <c r="S120" i="1"/>
  <c r="AC120" i="1"/>
  <c r="AH122" i="1"/>
  <c r="AM121" i="1"/>
  <c r="AR120" i="1"/>
  <c r="AR133" i="1"/>
  <c r="AW122" i="1"/>
  <c r="AW121" i="1"/>
  <c r="AW120" i="1"/>
  <c r="BB133" i="1"/>
  <c r="BG133" i="1"/>
  <c r="BG122" i="1"/>
  <c r="BG121" i="1"/>
  <c r="BL120" i="1"/>
  <c r="BQ120" i="1"/>
  <c r="BQ124" i="1"/>
  <c r="I145" i="1"/>
  <c r="I141" i="1" s="1"/>
  <c r="I158" i="1" s="1"/>
  <c r="AW166" i="1"/>
  <c r="BB145" i="1"/>
  <c r="U151" i="1"/>
  <c r="AD155" i="1"/>
  <c r="AS155" i="1"/>
  <c r="AZ138" i="1"/>
  <c r="BE138" i="1"/>
  <c r="BI138" i="1" s="1"/>
  <c r="BO138" i="1"/>
  <c r="BO136" i="1" s="1"/>
  <c r="BS136" i="1" s="1"/>
  <c r="BY138" i="1"/>
  <c r="BY146" i="1" s="1"/>
  <c r="CB155" i="1"/>
  <c r="CH151" i="1"/>
  <c r="CG155" i="1"/>
  <c r="CL155" i="1"/>
  <c r="CS138" i="1"/>
  <c r="CW138" i="1" s="1"/>
  <c r="S147" i="4"/>
  <c r="AL37" i="1"/>
  <c r="AL46" i="1" s="1"/>
  <c r="CQ71" i="1"/>
  <c r="AC37" i="1"/>
  <c r="CO71" i="1"/>
  <c r="CV71" i="1"/>
  <c r="BV36" i="8"/>
  <c r="BW36" i="8" s="1"/>
  <c r="AW22" i="8"/>
  <c r="CS142" i="4"/>
  <c r="CS168" i="4" s="1"/>
  <c r="CS185" i="1"/>
  <c r="CS183" i="1"/>
  <c r="CS44" i="1"/>
  <c r="CS145" i="4"/>
  <c r="CS141" i="4"/>
  <c r="CS167" i="4" s="1"/>
  <c r="CU141" i="4"/>
  <c r="CU167" i="4" s="1"/>
  <c r="CU142" i="4"/>
  <c r="CB145" i="4"/>
  <c r="CB141" i="4"/>
  <c r="CB167" i="4" s="1"/>
  <c r="CG183" i="1"/>
  <c r="CG192" i="4"/>
  <c r="T112" i="4"/>
  <c r="W112" i="4" s="1"/>
  <c r="BT204" i="4"/>
  <c r="BT184" i="4"/>
  <c r="BT191" i="4" s="1"/>
  <c r="CD184" i="4"/>
  <c r="CD179" i="4" s="1"/>
  <c r="CD204" i="4"/>
  <c r="BY42" i="4"/>
  <c r="X30" i="8"/>
  <c r="Y30" i="8" s="1"/>
  <c r="Z30" i="8" s="1"/>
  <c r="Z76" i="8" s="1"/>
  <c r="CP45" i="8"/>
  <c r="CQ45" i="8" s="1"/>
  <c r="CR45" i="8" s="1"/>
  <c r="CR91" i="8" s="1"/>
  <c r="CU45" i="8"/>
  <c r="CV45" i="8" s="1"/>
  <c r="CW45" i="8" s="1"/>
  <c r="CW91" i="8" s="1"/>
  <c r="CU145" i="4"/>
  <c r="CU44" i="1"/>
  <c r="CU183" i="1"/>
  <c r="CN141" i="4"/>
  <c r="CN167" i="4" s="1"/>
  <c r="CN142" i="4"/>
  <c r="CN168" i="4" s="1"/>
  <c r="CN145" i="4"/>
  <c r="CN183" i="1"/>
  <c r="CN44" i="1"/>
  <c r="W142" i="4"/>
  <c r="W168" i="4" s="1"/>
  <c r="CE185" i="1"/>
  <c r="CE44" i="1"/>
  <c r="CE142" i="4"/>
  <c r="CE168" i="4" s="1"/>
  <c r="CE141" i="4"/>
  <c r="CE167" i="4" s="1"/>
  <c r="CE183" i="1"/>
  <c r="CE32" i="1"/>
  <c r="CE33" i="1" s="1"/>
  <c r="CE145" i="4"/>
  <c r="T32" i="1"/>
  <c r="T142" i="4"/>
  <c r="T168" i="4" s="1"/>
  <c r="T185" i="1"/>
  <c r="T183" i="1"/>
  <c r="T141" i="4"/>
  <c r="T38" i="1"/>
  <c r="T44" i="1"/>
  <c r="T173" i="4"/>
  <c r="AG44" i="1"/>
  <c r="AG183" i="1"/>
  <c r="AG185" i="1"/>
  <c r="AG145" i="4"/>
  <c r="AG141" i="4"/>
  <c r="AG167" i="4" s="1"/>
  <c r="I44" i="1"/>
  <c r="N38" i="1"/>
  <c r="Q141" i="4"/>
  <c r="Q167" i="4" s="1"/>
  <c r="S44" i="1"/>
  <c r="X44" i="1"/>
  <c r="AH183" i="1"/>
  <c r="J145" i="4"/>
  <c r="J185" i="1"/>
  <c r="J38" i="1"/>
  <c r="O183" i="1"/>
  <c r="AI32" i="1"/>
  <c r="AI33" i="1" s="1"/>
  <c r="AD141" i="4"/>
  <c r="AD167" i="4" s="1"/>
  <c r="AD44" i="1"/>
  <c r="AD145" i="4"/>
  <c r="AD142" i="4"/>
  <c r="Y32" i="1"/>
  <c r="Y33" i="1" s="1"/>
  <c r="Y38" i="1"/>
  <c r="Y141" i="4"/>
  <c r="Y167" i="4" s="1"/>
  <c r="O141" i="4"/>
  <c r="O167" i="4" s="1"/>
  <c r="O38" i="1"/>
  <c r="CQ34" i="1"/>
  <c r="CQ35" i="1" s="1"/>
  <c r="R141" i="4"/>
  <c r="AR145" i="1"/>
  <c r="AR141" i="1" s="1"/>
  <c r="AR158" i="1" s="1"/>
  <c r="BQ42" i="8"/>
  <c r="BR42" i="8" s="1"/>
  <c r="BS42" i="8" s="1"/>
  <c r="BS88" i="8" s="1"/>
  <c r="CC32" i="4"/>
  <c r="BH134" i="4"/>
  <c r="BJ134" i="4" s="1"/>
  <c r="BK134" i="4" s="1"/>
  <c r="BL134" i="4" s="1"/>
  <c r="BI20" i="4"/>
  <c r="BN87" i="4" s="1"/>
  <c r="AR191" i="4"/>
  <c r="AX110" i="4"/>
  <c r="BB110" i="4" s="1"/>
  <c r="BB22" i="4" s="1"/>
  <c r="BH114" i="4"/>
  <c r="BL114" i="4" s="1"/>
  <c r="BL26" i="4" s="1"/>
  <c r="BN37" i="4"/>
  <c r="BN129" i="4" s="1"/>
  <c r="CM202" i="4"/>
  <c r="I199" i="4"/>
  <c r="I197" i="4"/>
  <c r="I57" i="4"/>
  <c r="I67" i="4" s="1"/>
  <c r="S57" i="4"/>
  <c r="S198" i="4"/>
  <c r="BD49" i="4"/>
  <c r="CK28" i="8"/>
  <c r="CK101" i="8" s="1"/>
  <c r="CJ12" i="8"/>
  <c r="AA110" i="8"/>
  <c r="AU110" i="8"/>
  <c r="N32" i="8"/>
  <c r="O32" i="8" s="1"/>
  <c r="BV22" i="8"/>
  <c r="BW22" i="8" s="1"/>
  <c r="L110" i="8"/>
  <c r="AB14" i="8"/>
  <c r="AC14" i="8" s="1"/>
  <c r="CU40" i="8"/>
  <c r="CV40" i="8" s="1"/>
  <c r="CW40" i="8" s="1"/>
  <c r="CW86" i="8" s="1"/>
  <c r="CX110" i="8"/>
  <c r="CD194" i="4"/>
  <c r="CV184" i="4"/>
  <c r="CV191" i="4" s="1"/>
  <c r="CX20" i="8"/>
  <c r="CY20" i="8" s="1"/>
  <c r="CX184" i="4"/>
  <c r="CX202" i="4"/>
  <c r="CX204" i="4"/>
  <c r="CS63" i="1"/>
  <c r="DD10" i="1"/>
  <c r="DB47" i="4"/>
  <c r="CQ185" i="1"/>
  <c r="CQ44" i="1"/>
  <c r="CQ141" i="4"/>
  <c r="CQ167" i="4" s="1"/>
  <c r="CQ142" i="4"/>
  <c r="CQ183" i="1"/>
  <c r="CQ145" i="4"/>
  <c r="CN71" i="1"/>
  <c r="CS71" i="1"/>
  <c r="CX96" i="1"/>
  <c r="CX89" i="8"/>
  <c r="CX71" i="8"/>
  <c r="CK141" i="4"/>
  <c r="CK167" i="4" s="1"/>
  <c r="CK185" i="1"/>
  <c r="W44" i="1"/>
  <c r="W185" i="1"/>
  <c r="W183" i="1"/>
  <c r="W38" i="1"/>
  <c r="W141" i="4"/>
  <c r="W167" i="4" s="1"/>
  <c r="W145" i="4"/>
  <c r="AB141" i="4"/>
  <c r="AB167" i="4" s="1"/>
  <c r="AB32" i="1"/>
  <c r="AB145" i="4"/>
  <c r="AB183" i="1"/>
  <c r="AB44" i="1"/>
  <c r="AF183" i="1"/>
  <c r="AF32" i="1"/>
  <c r="AF33" i="1" s="1"/>
  <c r="W32" i="1"/>
  <c r="BR142" i="4"/>
  <c r="J44" i="1"/>
  <c r="O44" i="1"/>
  <c r="CG185" i="1"/>
  <c r="CG145" i="4"/>
  <c r="I185" i="1"/>
  <c r="N183" i="1"/>
  <c r="N142" i="4"/>
  <c r="N168" i="4" s="1"/>
  <c r="AG142" i="4"/>
  <c r="AG168" i="4" s="1"/>
  <c r="AK44" i="1"/>
  <c r="AK141" i="4"/>
  <c r="AK167" i="4" s="1"/>
  <c r="Y44" i="1"/>
  <c r="Y145" i="4"/>
  <c r="Y185" i="1"/>
  <c r="Y142" i="4"/>
  <c r="G32" i="1"/>
  <c r="G33" i="1" s="1"/>
  <c r="AI145" i="4"/>
  <c r="AI141" i="4"/>
  <c r="AI167" i="4" s="1"/>
  <c r="AI44" i="1"/>
  <c r="AI142" i="4"/>
  <c r="J32" i="1"/>
  <c r="J183" i="1"/>
  <c r="J141" i="4"/>
  <c r="J142" i="4"/>
  <c r="J168" i="4" s="1"/>
  <c r="O32" i="1"/>
  <c r="O185" i="1"/>
  <c r="O145" i="4"/>
  <c r="O142" i="4"/>
  <c r="O168" i="4" s="1"/>
  <c r="M32" i="1"/>
  <c r="M141" i="4"/>
  <c r="M167" i="4" s="1"/>
  <c r="M145" i="4"/>
  <c r="M142" i="4"/>
  <c r="M38" i="1"/>
  <c r="M44" i="1"/>
  <c r="V145" i="4"/>
  <c r="V183" i="1"/>
  <c r="AC142" i="4"/>
  <c r="AC168" i="4" s="1"/>
  <c r="AD173" i="4"/>
  <c r="AC183" i="1"/>
  <c r="DH13" i="1"/>
  <c r="DM13" i="1" s="1"/>
  <c r="CY22" i="1"/>
  <c r="AI166" i="1"/>
  <c r="CW133" i="1"/>
  <c r="CW123" i="1"/>
  <c r="AE121" i="1"/>
  <c r="AE120" i="1"/>
  <c r="AC133" i="1"/>
  <c r="AH133" i="1"/>
  <c r="AC121" i="1"/>
  <c r="BJ138" i="1"/>
  <c r="BI151" i="1"/>
  <c r="BH155" i="1"/>
  <c r="CU138" i="1"/>
  <c r="BG166" i="1"/>
  <c r="BG145" i="1"/>
  <c r="BG141" i="1" s="1"/>
  <c r="BG158" i="1" s="1"/>
  <c r="BL166" i="1"/>
  <c r="S133" i="1"/>
  <c r="X133" i="1"/>
  <c r="AO121" i="1"/>
  <c r="P151" i="1"/>
  <c r="P155" i="1" s="1"/>
  <c r="Q138" i="1"/>
  <c r="U138" i="1" s="1"/>
  <c r="AX155" i="1"/>
  <c r="AU138" i="1"/>
  <c r="CH121" i="1"/>
  <c r="CM133" i="1"/>
  <c r="BT131" i="1"/>
  <c r="BC138" i="1"/>
  <c r="CC122" i="1"/>
  <c r="CC124" i="1"/>
  <c r="N123" i="1"/>
  <c r="CK120" i="1"/>
  <c r="CL28" i="8"/>
  <c r="CL101" i="8" s="1"/>
  <c r="BZ96" i="1"/>
  <c r="BZ98" i="1" s="1"/>
  <c r="BZ90" i="1" s="1"/>
  <c r="BI48" i="8"/>
  <c r="BI94" i="8" s="1"/>
  <c r="AV110" i="8"/>
  <c r="J12" i="8"/>
  <c r="K12" i="8" s="1"/>
  <c r="K58" i="8" s="1"/>
  <c r="AP94" i="4"/>
  <c r="CE20" i="8"/>
  <c r="CF20" i="8" s="1"/>
  <c r="X28" i="8"/>
  <c r="X101" i="8" s="1"/>
  <c r="AB32" i="8"/>
  <c r="AC32" i="8" s="1"/>
  <c r="AD32" i="8" s="1"/>
  <c r="AE32" i="8" s="1"/>
  <c r="AE78" i="8" s="1"/>
  <c r="BU13" i="8"/>
  <c r="BV13" i="8" s="1"/>
  <c r="BW13" i="8" s="1"/>
  <c r="BT110" i="8"/>
  <c r="BT94" i="4"/>
  <c r="AG22" i="8"/>
  <c r="AH22" i="8" s="1"/>
  <c r="AI22" i="8" s="1"/>
  <c r="AJ22" i="8" s="1"/>
  <c r="AJ68" i="8" s="1"/>
  <c r="AL23" i="8"/>
  <c r="AM23" i="8" s="1"/>
  <c r="AN23" i="8" s="1"/>
  <c r="AO23" i="8" s="1"/>
  <c r="AO69" i="8" s="1"/>
  <c r="BH135" i="4"/>
  <c r="BJ135" i="4" s="1"/>
  <c r="BK135" i="4" s="1"/>
  <c r="BI32" i="4"/>
  <c r="BC87" i="4"/>
  <c r="AD87" i="4"/>
  <c r="BA87" i="4"/>
  <c r="CM93" i="4"/>
  <c r="CJ87" i="4"/>
  <c r="DB39" i="4"/>
  <c r="DD39" i="4" s="1"/>
  <c r="DF39" i="4" s="1"/>
  <c r="DH39" i="4" s="1"/>
  <c r="DJ39" i="4" s="1"/>
  <c r="CX191" i="4"/>
  <c r="DG157" i="4"/>
  <c r="CY40" i="4"/>
  <c r="CY49" i="4"/>
  <c r="CY199" i="4" s="1"/>
  <c r="CY55" i="4"/>
  <c r="CY65" i="4"/>
  <c r="CY17" i="4"/>
  <c r="DB14" i="8"/>
  <c r="DB60" i="8" s="1"/>
  <c r="CF143" i="4"/>
  <c r="CF169" i="4" s="1"/>
  <c r="CF29" i="1"/>
  <c r="O93" i="1"/>
  <c r="Q89" i="1" s="1"/>
  <c r="O155" i="1"/>
  <c r="T155" i="1"/>
  <c r="V138" i="1"/>
  <c r="V146" i="1" s="1"/>
  <c r="AA138" i="1"/>
  <c r="Y155" i="1"/>
  <c r="AE151" i="1"/>
  <c r="AF138" i="1"/>
  <c r="AF146" i="1" s="1"/>
  <c r="AI155" i="1"/>
  <c r="AK138" i="1"/>
  <c r="AO138" i="1" s="1"/>
  <c r="AN155" i="1"/>
  <c r="AJ151" i="1"/>
  <c r="CL128" i="1"/>
  <c r="X32" i="1"/>
  <c r="X33" i="1" s="1"/>
  <c r="DE16" i="1"/>
  <c r="CZ91" i="1"/>
  <c r="CU34" i="1"/>
  <c r="CU35" i="1" s="1"/>
  <c r="R18" i="8"/>
  <c r="S18" i="8" s="1"/>
  <c r="T18" i="8" s="1"/>
  <c r="AD22" i="8"/>
  <c r="AE22" i="8" s="1"/>
  <c r="AE68" i="8" s="1"/>
  <c r="I39" i="8"/>
  <c r="J39" i="8" s="1"/>
  <c r="K39" i="8" s="1"/>
  <c r="K85" i="8" s="1"/>
  <c r="CV39" i="8"/>
  <c r="CW39" i="8" s="1"/>
  <c r="CW85" i="8" s="1"/>
  <c r="BB22" i="8"/>
  <c r="BC22" i="8" s="1"/>
  <c r="BD22" i="8" s="1"/>
  <c r="BD68" i="8" s="1"/>
  <c r="AH17" i="8"/>
  <c r="AI17" i="8" s="1"/>
  <c r="CG48" i="8"/>
  <c r="CH48" i="8" s="1"/>
  <c r="CH94" i="8" s="1"/>
  <c r="BG183" i="1"/>
  <c r="BB141" i="4"/>
  <c r="BB167" i="4" s="1"/>
  <c r="AM44" i="1"/>
  <c r="AM142" i="4"/>
  <c r="AM168" i="4" s="1"/>
  <c r="AM183" i="1"/>
  <c r="AD183" i="1"/>
  <c r="DL157" i="4"/>
  <c r="AR44" i="1"/>
  <c r="BG44" i="1"/>
  <c r="BG145" i="4"/>
  <c r="BG141" i="4"/>
  <c r="BG167" i="4" s="1"/>
  <c r="BG32" i="1"/>
  <c r="BG33" i="1" s="1"/>
  <c r="BG142" i="4"/>
  <c r="BG168" i="4" s="1"/>
  <c r="BB145" i="4"/>
  <c r="BB32" i="1"/>
  <c r="AM32" i="1"/>
  <c r="AM33" i="1" s="1"/>
  <c r="AM145" i="4"/>
  <c r="AM141" i="4"/>
  <c r="AR141" i="4"/>
  <c r="AR167" i="4" s="1"/>
  <c r="AS141" i="4"/>
  <c r="AS167" i="4" s="1"/>
  <c r="AS32" i="1"/>
  <c r="AS33" i="1" s="1"/>
  <c r="AS145" i="4"/>
  <c r="AS44" i="1"/>
  <c r="AS183" i="1"/>
  <c r="CJ44" i="1"/>
  <c r="DE13" i="1"/>
  <c r="G44" i="1"/>
  <c r="G38" i="1"/>
  <c r="I32" i="1"/>
  <c r="I33" i="1" s="1"/>
  <c r="I145" i="4"/>
  <c r="I183" i="1"/>
  <c r="I142" i="4"/>
  <c r="I168" i="4" s="1"/>
  <c r="I38" i="1"/>
  <c r="I141" i="4"/>
  <c r="L142" i="4"/>
  <c r="L168" i="4" s="1"/>
  <c r="L145" i="4"/>
  <c r="L185" i="1"/>
  <c r="L183" i="1"/>
  <c r="L44" i="1"/>
  <c r="L32" i="1"/>
  <c r="L33" i="1" s="1"/>
  <c r="O173" i="4"/>
  <c r="L38" i="1"/>
  <c r="O172" i="4"/>
  <c r="N32" i="1"/>
  <c r="N33" i="1" s="1"/>
  <c r="N145" i="4"/>
  <c r="N141" i="4"/>
  <c r="N44" i="1"/>
  <c r="N185" i="1"/>
  <c r="Q185" i="1"/>
  <c r="Q38" i="1"/>
  <c r="Q183" i="1"/>
  <c r="Q32" i="1"/>
  <c r="Q33" i="1" s="1"/>
  <c r="Q44" i="1"/>
  <c r="T172" i="4"/>
  <c r="Q142" i="4"/>
  <c r="Q168" i="4" s="1"/>
  <c r="Q145" i="4"/>
  <c r="S38" i="1"/>
  <c r="S145" i="4"/>
  <c r="S141" i="4"/>
  <c r="S167" i="4" s="1"/>
  <c r="S142" i="4"/>
  <c r="S168" i="4" s="1"/>
  <c r="S185" i="1"/>
  <c r="S32" i="1"/>
  <c r="S183" i="1"/>
  <c r="V141" i="4"/>
  <c r="AA173" i="4"/>
  <c r="V44" i="1"/>
  <c r="V38" i="1"/>
  <c r="V185" i="1"/>
  <c r="Y173" i="4"/>
  <c r="Y172" i="4"/>
  <c r="V142" i="4"/>
  <c r="V168" i="4" s="1"/>
  <c r="V32" i="1"/>
  <c r="V33" i="1" s="1"/>
  <c r="X183" i="1"/>
  <c r="X141" i="4"/>
  <c r="X167" i="4" s="1"/>
  <c r="X38" i="1"/>
  <c r="X145" i="4"/>
  <c r="X142" i="4"/>
  <c r="X168" i="4" s="1"/>
  <c r="AB173" i="4"/>
  <c r="X185" i="1"/>
  <c r="AA145" i="4"/>
  <c r="AA142" i="4"/>
  <c r="AA44" i="1"/>
  <c r="AA183" i="1"/>
  <c r="AA32" i="1"/>
  <c r="AA33" i="1" s="1"/>
  <c r="AD172" i="4"/>
  <c r="AA141" i="4"/>
  <c r="AA167" i="4" s="1"/>
  <c r="AC44" i="1"/>
  <c r="AC141" i="4"/>
  <c r="AC167" i="4" s="1"/>
  <c r="AC145" i="4"/>
  <c r="AC32" i="1"/>
  <c r="AC33" i="1" s="1"/>
  <c r="AF145" i="4"/>
  <c r="AI173" i="4"/>
  <c r="AF44" i="1"/>
  <c r="AF141" i="4"/>
  <c r="AF167" i="4" s="1"/>
  <c r="AF142" i="4"/>
  <c r="AF168" i="4" s="1"/>
  <c r="AF185" i="1"/>
  <c r="AI172" i="4"/>
  <c r="AH145" i="4"/>
  <c r="AH141" i="4"/>
  <c r="AH167" i="4" s="1"/>
  <c r="AH32" i="1"/>
  <c r="AH33" i="1" s="1"/>
  <c r="AH142" i="4"/>
  <c r="AH44" i="1"/>
  <c r="BZ141" i="4"/>
  <c r="BZ167" i="4" s="1"/>
  <c r="CQ129" i="1"/>
  <c r="AP131" i="1"/>
  <c r="AU131" i="1"/>
  <c r="AZ131" i="1"/>
  <c r="BJ131" i="1"/>
  <c r="BO131" i="1"/>
  <c r="CD131" i="1"/>
  <c r="BY131" i="1"/>
  <c r="O121" i="1"/>
  <c r="T133" i="1"/>
  <c r="AI123" i="1"/>
  <c r="AN122" i="1"/>
  <c r="AX124" i="1"/>
  <c r="BC122" i="1"/>
  <c r="BV122" i="1"/>
  <c r="BV133" i="1"/>
  <c r="BV124" i="1"/>
  <c r="BV120" i="1"/>
  <c r="BV121" i="1"/>
  <c r="CA124" i="1"/>
  <c r="CA120" i="1"/>
  <c r="CA133" i="1"/>
  <c r="CA121" i="1"/>
  <c r="CF124" i="1"/>
  <c r="CF121" i="1"/>
  <c r="CF133" i="1"/>
  <c r="CF120" i="1"/>
  <c r="CK122" i="1"/>
  <c r="CK121" i="1"/>
  <c r="CK124" i="1"/>
  <c r="CK123" i="1"/>
  <c r="I166" i="1"/>
  <c r="N145" i="1"/>
  <c r="N141" i="1" s="1"/>
  <c r="N166" i="1"/>
  <c r="S166" i="1"/>
  <c r="S145" i="1"/>
  <c r="S141" i="1" s="1"/>
  <c r="S158" i="1" s="1"/>
  <c r="S172" i="1"/>
  <c r="X145" i="1"/>
  <c r="X141" i="1" s="1"/>
  <c r="X158" i="1" s="1"/>
  <c r="X166" i="1"/>
  <c r="AC166" i="1"/>
  <c r="AC145" i="1"/>
  <c r="AC141" i="1" s="1"/>
  <c r="AC158" i="1" s="1"/>
  <c r="BR141" i="4"/>
  <c r="BR167" i="4" s="1"/>
  <c r="BR32" i="1"/>
  <c r="BR183" i="1"/>
  <c r="BR145" i="4"/>
  <c r="BR44" i="1"/>
  <c r="AH166" i="1"/>
  <c r="AH145" i="1"/>
  <c r="AM166" i="1"/>
  <c r="CV122" i="1"/>
  <c r="H147" i="4"/>
  <c r="J146" i="4"/>
  <c r="O147" i="4"/>
  <c r="R146" i="4"/>
  <c r="Y146" i="4"/>
  <c r="Y147" i="4"/>
  <c r="BQ37" i="1"/>
  <c r="BQ38" i="1" s="1"/>
  <c r="AQ37" i="1"/>
  <c r="AD37" i="1"/>
  <c r="AD38" i="1" s="1"/>
  <c r="CU46" i="1"/>
  <c r="CR70" i="1"/>
  <c r="CX117" i="1"/>
  <c r="CX120" i="1" s="1"/>
  <c r="CT183" i="1"/>
  <c r="CY46" i="1"/>
  <c r="AM40" i="8"/>
  <c r="AM101" i="1" s="1"/>
  <c r="AL101" i="1"/>
  <c r="K48" i="8"/>
  <c r="K94" i="8" s="1"/>
  <c r="O48" i="8"/>
  <c r="P48" i="8" s="1"/>
  <c r="P94" i="8" s="1"/>
  <c r="AH93" i="8"/>
  <c r="AW32" i="1"/>
  <c r="AW33" i="1" s="1"/>
  <c r="AW44" i="1"/>
  <c r="CI141" i="4"/>
  <c r="CI167" i="4" s="1"/>
  <c r="AJ188" i="1"/>
  <c r="CB38" i="8"/>
  <c r="CC38" i="8" s="1"/>
  <c r="CC84" i="8" s="1"/>
  <c r="AG12" i="8"/>
  <c r="AZ110" i="8"/>
  <c r="BA13" i="8"/>
  <c r="BB13" i="8" s="1"/>
  <c r="AZ94" i="4"/>
  <c r="AV16" i="8"/>
  <c r="CE21" i="8"/>
  <c r="CF21" i="8" s="1"/>
  <c r="CG21" i="8" s="1"/>
  <c r="CH21" i="8" s="1"/>
  <c r="CH67" i="8" s="1"/>
  <c r="BP38" i="8"/>
  <c r="BQ38" i="8" s="1"/>
  <c r="CJ38" i="8"/>
  <c r="CK38" i="8" s="1"/>
  <c r="CI96" i="1"/>
  <c r="CT38" i="8"/>
  <c r="CT96" i="1" s="1"/>
  <c r="AC39" i="8"/>
  <c r="BV39" i="8"/>
  <c r="BW39" i="8" s="1"/>
  <c r="BX39" i="8" s="1"/>
  <c r="BX85" i="8" s="1"/>
  <c r="CF39" i="8"/>
  <c r="CG39" i="8" s="1"/>
  <c r="CH39" i="8" s="1"/>
  <c r="CH85" i="8" s="1"/>
  <c r="CO39" i="8"/>
  <c r="G101" i="1"/>
  <c r="H40" i="8"/>
  <c r="H101" i="1" s="1"/>
  <c r="Q101" i="1"/>
  <c r="R40" i="8"/>
  <c r="R101" i="1" s="1"/>
  <c r="AZ101" i="1"/>
  <c r="BA40" i="8"/>
  <c r="BA101" i="1" s="1"/>
  <c r="BA103" i="1" s="1"/>
  <c r="BA91" i="1" s="1"/>
  <c r="CE42" i="8"/>
  <c r="CF42" i="8" s="1"/>
  <c r="CG42" i="8" s="1"/>
  <c r="AJ39" i="8"/>
  <c r="AJ85" i="8" s="1"/>
  <c r="U45" i="8"/>
  <c r="U91" i="8" s="1"/>
  <c r="M101" i="8"/>
  <c r="N28" i="8"/>
  <c r="O28" i="8" s="1"/>
  <c r="Q94" i="4"/>
  <c r="Q95" i="4" s="1"/>
  <c r="Q104" i="4" s="1"/>
  <c r="W31" i="8"/>
  <c r="X31" i="8" s="1"/>
  <c r="Y31" i="8" s="1"/>
  <c r="BR32" i="8"/>
  <c r="BS32" i="8" s="1"/>
  <c r="BS78" i="8" s="1"/>
  <c r="BO96" i="1"/>
  <c r="CY29" i="8"/>
  <c r="CY89" i="4" s="1"/>
  <c r="CY41" i="8"/>
  <c r="DB41" i="8" s="1"/>
  <c r="DB87" i="8" s="1"/>
  <c r="BT179" i="4"/>
  <c r="CW76" i="4"/>
  <c r="BJ198" i="4"/>
  <c r="AX198" i="4"/>
  <c r="CI42" i="4"/>
  <c r="BZ32" i="1"/>
  <c r="BL142" i="4"/>
  <c r="BL168" i="4" s="1"/>
  <c r="CY29" i="1"/>
  <c r="AG87" i="4"/>
  <c r="AF98" i="4"/>
  <c r="AL87" i="4"/>
  <c r="AK98" i="4"/>
  <c r="DA102" i="1"/>
  <c r="DA103" i="1" s="1"/>
  <c r="DA91" i="1" s="1"/>
  <c r="BQ32" i="1"/>
  <c r="BQ33" i="1" s="1"/>
  <c r="BQ141" i="4"/>
  <c r="BQ167" i="4" s="1"/>
  <c r="BQ44" i="1"/>
  <c r="BQ142" i="4"/>
  <c r="BQ168" i="4" s="1"/>
  <c r="BQ145" i="4"/>
  <c r="AK173" i="4"/>
  <c r="AL172" i="4"/>
  <c r="AK172" i="4"/>
  <c r="CI145" i="4"/>
  <c r="CI32" i="1"/>
  <c r="BL145" i="4"/>
  <c r="AW142" i="4"/>
  <c r="AW168" i="4" s="1"/>
  <c r="AG173" i="4"/>
  <c r="AH173" i="4"/>
  <c r="CJ32" i="1"/>
  <c r="CJ33" i="1" s="1"/>
  <c r="CJ183" i="1"/>
  <c r="CJ145" i="4"/>
  <c r="BP32" i="1"/>
  <c r="BP44" i="1"/>
  <c r="BP183" i="1"/>
  <c r="AV142" i="4"/>
  <c r="AV168" i="4" s="1"/>
  <c r="AV141" i="4"/>
  <c r="AV167" i="4" s="1"/>
  <c r="AV32" i="1"/>
  <c r="AV33" i="1" s="1"/>
  <c r="BV166" i="1"/>
  <c r="BP142" i="4"/>
  <c r="BP168" i="4" s="1"/>
  <c r="CJ141" i="4"/>
  <c r="CJ167" i="4" s="1"/>
  <c r="AV183" i="1"/>
  <c r="BP145" i="4"/>
  <c r="AV145" i="4"/>
  <c r="CJ142" i="4"/>
  <c r="CJ168" i="4" s="1"/>
  <c r="BE146" i="1"/>
  <c r="CA172" i="1"/>
  <c r="CG142" i="4"/>
  <c r="CG141" i="4"/>
  <c r="CG167" i="4" s="1"/>
  <c r="CO44" i="1"/>
  <c r="J124" i="1"/>
  <c r="Y124" i="1"/>
  <c r="AH121" i="1"/>
  <c r="AH120" i="1"/>
  <c r="BC121" i="1"/>
  <c r="CB120" i="1"/>
  <c r="CG123" i="1"/>
  <c r="BA138" i="1"/>
  <c r="BA146" i="1" s="1"/>
  <c r="CW101" i="1"/>
  <c r="CF123" i="1"/>
  <c r="CF122" i="1"/>
  <c r="CK133" i="1"/>
  <c r="BZ44" i="1"/>
  <c r="BW44" i="1"/>
  <c r="BW32" i="1"/>
  <c r="BW33" i="1" s="1"/>
  <c r="BW145" i="4"/>
  <c r="BU183" i="1"/>
  <c r="BU32" i="1"/>
  <c r="BU33" i="1" s="1"/>
  <c r="BW172" i="4"/>
  <c r="BU141" i="4"/>
  <c r="BU167" i="4" s="1"/>
  <c r="BU145" i="4"/>
  <c r="BU44" i="1"/>
  <c r="BU142" i="4"/>
  <c r="BM32" i="1"/>
  <c r="BM33" i="1" s="1"/>
  <c r="BM183" i="1"/>
  <c r="BM145" i="4"/>
  <c r="BM141" i="4"/>
  <c r="BM167" i="4" s="1"/>
  <c r="BH141" i="4"/>
  <c r="BH44" i="1"/>
  <c r="BH183" i="1"/>
  <c r="BH145" i="4"/>
  <c r="BH142" i="4"/>
  <c r="BH168" i="4" s="1"/>
  <c r="BH32" i="1"/>
  <c r="BH33" i="1" s="1"/>
  <c r="AX183" i="1"/>
  <c r="AX32" i="1"/>
  <c r="AX141" i="4"/>
  <c r="AX167" i="4" s="1"/>
  <c r="AX44" i="1"/>
  <c r="AX145" i="4"/>
  <c r="AX142" i="4"/>
  <c r="AX168" i="4" s="1"/>
  <c r="AN141" i="4"/>
  <c r="AN167" i="4" s="1"/>
  <c r="AN183" i="1"/>
  <c r="AN32" i="1"/>
  <c r="AN44" i="1"/>
  <c r="AN142" i="4"/>
  <c r="AN168" i="4" s="1"/>
  <c r="AN145" i="4"/>
  <c r="AM172" i="4"/>
  <c r="AC172" i="4"/>
  <c r="Z145" i="4"/>
  <c r="AC173" i="4"/>
  <c r="AA172" i="4"/>
  <c r="BP141" i="4"/>
  <c r="BF183" i="1"/>
  <c r="BF142" i="4"/>
  <c r="BF168" i="4" s="1"/>
  <c r="BF141" i="4"/>
  <c r="BF167" i="4" s="1"/>
  <c r="BF44" i="1"/>
  <c r="AV44" i="1"/>
  <c r="AL32" i="1"/>
  <c r="AL33" i="1" s="1"/>
  <c r="AL141" i="4"/>
  <c r="AN172" i="4"/>
  <c r="W173" i="4"/>
  <c r="S173" i="4"/>
  <c r="N173" i="4"/>
  <c r="M173" i="4"/>
  <c r="N172" i="4"/>
  <c r="BX17" i="8"/>
  <c r="BX63" i="8" s="1"/>
  <c r="AH12" i="8"/>
  <c r="AI12" i="8" s="1"/>
  <c r="AJ12" i="8" s="1"/>
  <c r="AJ58" i="8" s="1"/>
  <c r="BC141" i="4"/>
  <c r="BC167" i="4" s="1"/>
  <c r="BC32" i="1"/>
  <c r="BC44" i="1"/>
  <c r="BA183" i="1"/>
  <c r="BA142" i="4"/>
  <c r="BA168" i="4" s="1"/>
  <c r="BA141" i="4"/>
  <c r="BA167" i="4" s="1"/>
  <c r="BA32" i="1"/>
  <c r="CP145" i="4"/>
  <c r="CP44" i="1"/>
  <c r="CP63" i="1"/>
  <c r="CQ173" i="4"/>
  <c r="CQ172" i="4"/>
  <c r="CI33" i="1"/>
  <c r="BK32" i="1"/>
  <c r="BK142" i="4"/>
  <c r="BK145" i="4"/>
  <c r="BK141" i="4"/>
  <c r="BK167" i="4" s="1"/>
  <c r="BK185" i="1"/>
  <c r="BK183" i="1"/>
  <c r="BK44" i="1"/>
  <c r="AQ141" i="4"/>
  <c r="AQ167" i="4" s="1"/>
  <c r="AQ185" i="1"/>
  <c r="AQ145" i="4"/>
  <c r="AQ32" i="1"/>
  <c r="AQ33" i="1" s="1"/>
  <c r="AQ44" i="1"/>
  <c r="AQ183" i="1"/>
  <c r="AQ142" i="4"/>
  <c r="AQ168" i="4" s="1"/>
  <c r="CF145" i="4"/>
  <c r="J76" i="1"/>
  <c r="J80" i="1" s="1"/>
  <c r="AO188" i="1"/>
  <c r="AO145" i="4"/>
  <c r="H76" i="1"/>
  <c r="H80" i="1" s="1"/>
  <c r="M76" i="1"/>
  <c r="AA76" i="1"/>
  <c r="AA75" i="4" s="1"/>
  <c r="AG76" i="1"/>
  <c r="BK76" i="1"/>
  <c r="BK75" i="4" s="1"/>
  <c r="AM14" i="8"/>
  <c r="T20" i="8"/>
  <c r="U20" i="8" s="1"/>
  <c r="U66" i="8" s="1"/>
  <c r="CH24" i="8"/>
  <c r="CH70" i="8" s="1"/>
  <c r="BM93" i="8"/>
  <c r="BW93" i="8"/>
  <c r="CY184" i="4"/>
  <c r="CY191" i="4" s="1"/>
  <c r="AX129" i="4"/>
  <c r="AX123" i="4" s="1"/>
  <c r="AY37" i="4"/>
  <c r="AY129" i="4" s="1"/>
  <c r="N199" i="4"/>
  <c r="N57" i="4"/>
  <c r="AK199" i="4"/>
  <c r="AK197" i="4"/>
  <c r="AP198" i="4"/>
  <c r="I204" i="4"/>
  <c r="V202" i="4"/>
  <c r="W74" i="4"/>
  <c r="AB74" i="4"/>
  <c r="AA184" i="4"/>
  <c r="AA186" i="4" s="1"/>
  <c r="AA202" i="4"/>
  <c r="AA203" i="4" s="1"/>
  <c r="BM91" i="4"/>
  <c r="BO87" i="4" s="1"/>
  <c r="O199" i="4"/>
  <c r="P49" i="4"/>
  <c r="U49" i="4"/>
  <c r="AP184" i="4"/>
  <c r="AP202" i="4"/>
  <c r="AZ204" i="4"/>
  <c r="AZ202" i="4"/>
  <c r="BJ202" i="4"/>
  <c r="BK74" i="4"/>
  <c r="BJ184" i="4"/>
  <c r="BL184" i="4"/>
  <c r="BL179" i="4" s="1"/>
  <c r="BL204" i="4"/>
  <c r="BO204" i="4"/>
  <c r="BO184" i="4"/>
  <c r="BO186" i="4" s="1"/>
  <c r="BO193" i="4" s="1"/>
  <c r="BQ204" i="4"/>
  <c r="BQ203" i="4" s="1"/>
  <c r="BL187" i="4"/>
  <c r="BL194" i="4" s="1"/>
  <c r="AK198" i="4"/>
  <c r="BC145" i="4"/>
  <c r="BC183" i="1"/>
  <c r="BC142" i="4"/>
  <c r="BC168" i="4" s="1"/>
  <c r="BA44" i="1"/>
  <c r="BA145" i="4"/>
  <c r="CP183" i="1"/>
  <c r="CP142" i="4"/>
  <c r="CP168" i="4" s="1"/>
  <c r="CP34" i="1"/>
  <c r="CP35" i="1" s="1"/>
  <c r="CP141" i="4"/>
  <c r="CP167" i="4" s="1"/>
  <c r="CR22" i="1"/>
  <c r="CF141" i="4"/>
  <c r="CF142" i="4"/>
  <c r="CF168" i="4" s="1"/>
  <c r="CF44" i="1"/>
  <c r="CG173" i="4"/>
  <c r="CF185" i="1"/>
  <c r="CF183" i="1"/>
  <c r="R76" i="1"/>
  <c r="CY145" i="4"/>
  <c r="CB44" i="1"/>
  <c r="CB142" i="4"/>
  <c r="CB168" i="4" s="1"/>
  <c r="CB183" i="1"/>
  <c r="CN34" i="1"/>
  <c r="CN35" i="1" s="1"/>
  <c r="BA110" i="8"/>
  <c r="BA111" i="8" s="1"/>
  <c r="BA112" i="8" s="1"/>
  <c r="Y28" i="8"/>
  <c r="Y101" i="8" s="1"/>
  <c r="AX31" i="8"/>
  <c r="AY31" i="8" s="1"/>
  <c r="AY77" i="8" s="1"/>
  <c r="BC24" i="8"/>
  <c r="BD24" i="8" s="1"/>
  <c r="BD70" i="8" s="1"/>
  <c r="AX45" i="8"/>
  <c r="AY45" i="8" s="1"/>
  <c r="AY91" i="8" s="1"/>
  <c r="AC29" i="8"/>
  <c r="AB89" i="4"/>
  <c r="BV28" i="8"/>
  <c r="BV88" i="4" s="1"/>
  <c r="BV106" i="4" s="1"/>
  <c r="BU88" i="4"/>
  <c r="BU106" i="4" s="1"/>
  <c r="W101" i="8"/>
  <c r="W88" i="4"/>
  <c r="W106" i="4" s="1"/>
  <c r="AV12" i="8"/>
  <c r="AW12" i="8" s="1"/>
  <c r="AX12" i="8" s="1"/>
  <c r="AY12" i="8" s="1"/>
  <c r="AY58" i="8" s="1"/>
  <c r="W14" i="8"/>
  <c r="X14" i="8" s="1"/>
  <c r="Y14" i="8" s="1"/>
  <c r="H15" i="8"/>
  <c r="I15" i="8" s="1"/>
  <c r="J15" i="8" s="1"/>
  <c r="BR16" i="8"/>
  <c r="BS16" i="8" s="1"/>
  <c r="BS62" i="8" s="1"/>
  <c r="AR20" i="8"/>
  <c r="AS20" i="8" s="1"/>
  <c r="AT20" i="8" s="1"/>
  <c r="AT66" i="8" s="1"/>
  <c r="BF20" i="8"/>
  <c r="BG20" i="8" s="1"/>
  <c r="AB21" i="8"/>
  <c r="AC21" i="8" s="1"/>
  <c r="AQ21" i="8"/>
  <c r="AR21" i="8" s="1"/>
  <c r="AS21" i="8" s="1"/>
  <c r="AT21" i="8" s="1"/>
  <c r="AT67" i="8" s="1"/>
  <c r="BK21" i="8"/>
  <c r="I28" i="8"/>
  <c r="H101" i="8"/>
  <c r="V88" i="4"/>
  <c r="V106" i="4" s="1"/>
  <c r="V101" i="8"/>
  <c r="H29" i="8"/>
  <c r="BZ30" i="8"/>
  <c r="CA30" i="8" s="1"/>
  <c r="CB30" i="8" s="1"/>
  <c r="H31" i="8"/>
  <c r="I31" i="8" s="1"/>
  <c r="AB31" i="8"/>
  <c r="AC31" i="8" s="1"/>
  <c r="AN31" i="8"/>
  <c r="AO31" i="8" s="1"/>
  <c r="AO77" i="8" s="1"/>
  <c r="AI32" i="8"/>
  <c r="AJ32" i="8" s="1"/>
  <c r="AJ78" i="8" s="1"/>
  <c r="CJ32" i="8"/>
  <c r="CK32" i="8" s="1"/>
  <c r="CL32" i="8" s="1"/>
  <c r="CM32" i="8" s="1"/>
  <c r="CM78" i="8" s="1"/>
  <c r="AL36" i="8"/>
  <c r="AM36" i="8" s="1"/>
  <c r="AN36" i="8" s="1"/>
  <c r="BG45" i="8"/>
  <c r="BH45" i="8" s="1"/>
  <c r="BI45" i="8" s="1"/>
  <c r="BI91" i="8" s="1"/>
  <c r="AB48" i="8"/>
  <c r="AC48" i="8" s="1"/>
  <c r="AD48" i="8" s="1"/>
  <c r="AE48" i="8" s="1"/>
  <c r="AE94" i="8" s="1"/>
  <c r="AX48" i="8"/>
  <c r="AY48" i="8" s="1"/>
  <c r="AY94" i="8" s="1"/>
  <c r="AD39" i="8"/>
  <c r="AE39" i="8" s="1"/>
  <c r="AE85" i="8" s="1"/>
  <c r="Z21" i="8"/>
  <c r="Z67" i="8" s="1"/>
  <c r="BU101" i="8"/>
  <c r="AI23" i="8"/>
  <c r="AJ23" i="8" s="1"/>
  <c r="AJ69" i="8" s="1"/>
  <c r="AW16" i="8"/>
  <c r="AX16" i="8" s="1"/>
  <c r="BI23" i="8"/>
  <c r="BI69" i="8" s="1"/>
  <c r="G101" i="8"/>
  <c r="AM18" i="8"/>
  <c r="AN18" i="8" s="1"/>
  <c r="CT20" i="8"/>
  <c r="CU20" i="8" s="1"/>
  <c r="M22" i="8"/>
  <c r="N22" i="8" s="1"/>
  <c r="O22" i="8" s="1"/>
  <c r="P22" i="8" s="1"/>
  <c r="P68" i="8" s="1"/>
  <c r="W22" i="8"/>
  <c r="X22" i="8" s="1"/>
  <c r="AL22" i="8"/>
  <c r="AM22" i="8" s="1"/>
  <c r="AN22" i="8" s="1"/>
  <c r="AO22" i="8" s="1"/>
  <c r="AO68" i="8" s="1"/>
  <c r="CO22" i="8"/>
  <c r="CP22" i="8" s="1"/>
  <c r="CQ22" i="8" s="1"/>
  <c r="CR22" i="8" s="1"/>
  <c r="CR68" i="8" s="1"/>
  <c r="I23" i="8"/>
  <c r="J23" i="8" s="1"/>
  <c r="K23" i="8" s="1"/>
  <c r="K69" i="8" s="1"/>
  <c r="U23" i="8"/>
  <c r="U69" i="8" s="1"/>
  <c r="CA101" i="1"/>
  <c r="CA103" i="1" s="1"/>
  <c r="CA91" i="1" s="1"/>
  <c r="BR22" i="8"/>
  <c r="BS22" i="8" s="1"/>
  <c r="BS68" i="8" s="1"/>
  <c r="CP41" i="8"/>
  <c r="S36" i="8"/>
  <c r="T36" i="8" s="1"/>
  <c r="U36" i="8" s="1"/>
  <c r="U82" i="8" s="1"/>
  <c r="CJ101" i="8"/>
  <c r="CJ88" i="4"/>
  <c r="CJ106" i="4" s="1"/>
  <c r="CA36" i="8"/>
  <c r="CB36" i="8" s="1"/>
  <c r="AG88" i="4"/>
  <c r="AG106" i="4" s="1"/>
  <c r="BW12" i="8"/>
  <c r="BX12" i="8" s="1"/>
  <c r="BX58" i="8" s="1"/>
  <c r="BZ14" i="8"/>
  <c r="CA14" i="8" s="1"/>
  <c r="CB14" i="8" s="1"/>
  <c r="CC14" i="8" s="1"/>
  <c r="CC60" i="8" s="1"/>
  <c r="AC16" i="8"/>
  <c r="AD16" i="8" s="1"/>
  <c r="AE16" i="8" s="1"/>
  <c r="AE62" i="8" s="1"/>
  <c r="CA20" i="8"/>
  <c r="CB20" i="8" s="1"/>
  <c r="CC20" i="8" s="1"/>
  <c r="CC66" i="8" s="1"/>
  <c r="CR23" i="8"/>
  <c r="CR69" i="8" s="1"/>
  <c r="S38" i="8"/>
  <c r="T38" i="8" s="1"/>
  <c r="W38" i="8"/>
  <c r="BP39" i="8"/>
  <c r="BQ39" i="8" s="1"/>
  <c r="BR39" i="8" s="1"/>
  <c r="BS39" i="8" s="1"/>
  <c r="BS85" i="8" s="1"/>
  <c r="BE101" i="1"/>
  <c r="BE103" i="1" s="1"/>
  <c r="BE91" i="1" s="1"/>
  <c r="AZ25" i="8"/>
  <c r="AZ100" i="8" s="1"/>
  <c r="AZ102" i="8" s="1"/>
  <c r="AZ105" i="8" s="1"/>
  <c r="I22" i="8"/>
  <c r="J22" i="8" s="1"/>
  <c r="K22" i="8" s="1"/>
  <c r="K68" i="8" s="1"/>
  <c r="Q89" i="4"/>
  <c r="M36" i="8"/>
  <c r="N36" i="8" s="1"/>
  <c r="AN45" i="8"/>
  <c r="AO45" i="8" s="1"/>
  <c r="AO91" i="8" s="1"/>
  <c r="BG24" i="8"/>
  <c r="CK31" i="8"/>
  <c r="CL31" i="8" s="1"/>
  <c r="CM31" i="8" s="1"/>
  <c r="CM77" i="8" s="1"/>
  <c r="AA43" i="8"/>
  <c r="X39" i="8"/>
  <c r="Y39" i="8" s="1"/>
  <c r="Z39" i="8" s="1"/>
  <c r="Z85" i="8" s="1"/>
  <c r="BB39" i="8"/>
  <c r="BC39" i="8" s="1"/>
  <c r="CJ48" i="8"/>
  <c r="CM48" i="8" s="1"/>
  <c r="CM94" i="8" s="1"/>
  <c r="BH93" i="8"/>
  <c r="DB16" i="4"/>
  <c r="DD16" i="4"/>
  <c r="DE16" i="4" s="1"/>
  <c r="DF16" i="4" s="1"/>
  <c r="BJ197" i="4"/>
  <c r="BY197" i="4"/>
  <c r="BY198" i="4"/>
  <c r="J91" i="4"/>
  <c r="J100" i="4" s="1"/>
  <c r="Z49" i="4"/>
  <c r="Y199" i="4"/>
  <c r="AE49" i="4"/>
  <c r="AD199" i="4"/>
  <c r="AD198" i="4"/>
  <c r="AZ197" i="4"/>
  <c r="AZ198" i="4"/>
  <c r="AZ199" i="4"/>
  <c r="BN49" i="4"/>
  <c r="BS49" i="4"/>
  <c r="BR199" i="4"/>
  <c r="BW199" i="4"/>
  <c r="BX49" i="4"/>
  <c r="CB199" i="4"/>
  <c r="CM49" i="4"/>
  <c r="CL199" i="4"/>
  <c r="CR49" i="4"/>
  <c r="CQ199" i="4"/>
  <c r="CH55" i="4"/>
  <c r="AL202" i="4"/>
  <c r="AR204" i="4"/>
  <c r="AS74" i="4"/>
  <c r="AV74" i="4"/>
  <c r="AU184" i="4"/>
  <c r="AU179" i="4" s="1"/>
  <c r="AU202" i="4"/>
  <c r="AU203" i="4" s="1"/>
  <c r="AW184" i="4"/>
  <c r="AW191" i="4" s="1"/>
  <c r="BB184" i="4"/>
  <c r="BB186" i="4" s="1"/>
  <c r="BB193" i="4" s="1"/>
  <c r="BB202" i="4"/>
  <c r="BF74" i="4"/>
  <c r="BE204" i="4"/>
  <c r="BE202" i="4"/>
  <c r="BG204" i="4"/>
  <c r="BP202" i="4"/>
  <c r="BU204" i="4"/>
  <c r="BW184" i="4"/>
  <c r="BW186" i="4" s="1"/>
  <c r="BW180" i="4" s="1"/>
  <c r="DC12" i="4"/>
  <c r="DD12" i="4" s="1"/>
  <c r="DE12" i="4" s="1"/>
  <c r="DF12" i="4" s="1"/>
  <c r="CP42" i="4"/>
  <c r="V110" i="4"/>
  <c r="V22" i="4" s="1"/>
  <c r="AJ185" i="4"/>
  <c r="AJ187" i="4" s="1"/>
  <c r="AJ194" i="4" s="1"/>
  <c r="BI17" i="4"/>
  <c r="Q184" i="4"/>
  <c r="Q191" i="4" s="1"/>
  <c r="R74" i="4"/>
  <c r="BW142" i="4"/>
  <c r="BW168" i="4" s="1"/>
  <c r="BW183" i="1"/>
  <c r="BW141" i="4"/>
  <c r="BW167" i="4" s="1"/>
  <c r="BX22" i="1"/>
  <c r="BW173" i="4"/>
  <c r="BM44" i="1"/>
  <c r="BM142" i="4"/>
  <c r="BM168" i="4" s="1"/>
  <c r="BF145" i="4"/>
  <c r="BF185" i="1"/>
  <c r="BF32" i="1"/>
  <c r="AL173" i="4"/>
  <c r="AM173" i="4"/>
  <c r="AL44" i="1"/>
  <c r="AL145" i="4"/>
  <c r="AL183" i="1"/>
  <c r="AL142" i="4"/>
  <c r="AL168" i="4" s="1"/>
  <c r="AN173" i="4"/>
  <c r="AG172" i="4"/>
  <c r="AF172" i="4"/>
  <c r="AH172" i="4"/>
  <c r="AF173" i="4"/>
  <c r="CY63" i="1"/>
  <c r="AJ145" i="4"/>
  <c r="W172" i="4"/>
  <c r="M172" i="4"/>
  <c r="CI183" i="1"/>
  <c r="CI142" i="4"/>
  <c r="CI168" i="4" s="1"/>
  <c r="BQ183" i="1"/>
  <c r="BB44" i="1"/>
  <c r="BB142" i="4"/>
  <c r="BB168" i="4" s="1"/>
  <c r="BB183" i="1"/>
  <c r="BJ179" i="4"/>
  <c r="BO191" i="4"/>
  <c r="BO179" i="4"/>
  <c r="X38" i="8"/>
  <c r="Y38" i="8" s="1"/>
  <c r="BL21" i="8"/>
  <c r="BM21" i="8" s="1"/>
  <c r="BN21" i="8" s="1"/>
  <c r="BN67" i="8" s="1"/>
  <c r="AC89" i="4"/>
  <c r="AD29" i="8"/>
  <c r="AD89" i="4" s="1"/>
  <c r="J28" i="8"/>
  <c r="J101" i="8" s="1"/>
  <c r="I101" i="8"/>
  <c r="BV101" i="8"/>
  <c r="Q186" i="4"/>
  <c r="Q180" i="4" s="1"/>
  <c r="BM76" i="1"/>
  <c r="BM75" i="4" s="1"/>
  <c r="BB141" i="1"/>
  <c r="BB158" i="1" s="1"/>
  <c r="AQ166" i="1"/>
  <c r="BO145" i="1"/>
  <c r="CP141" i="1"/>
  <c r="CP158" i="1" s="1"/>
  <c r="BQ131" i="1"/>
  <c r="T120" i="1"/>
  <c r="Y122" i="1"/>
  <c r="AI122" i="1"/>
  <c r="AS122" i="1"/>
  <c r="BM120" i="1"/>
  <c r="AV138" i="1"/>
  <c r="AV146" i="1" s="1"/>
  <c r="BN151" i="1"/>
  <c r="BM155" i="1"/>
  <c r="BS151" i="1"/>
  <c r="BR155" i="1"/>
  <c r="BW155" i="1"/>
  <c r="BT138" i="1"/>
  <c r="BX138" i="1" s="1"/>
  <c r="CA155" i="1"/>
  <c r="CL129" i="1"/>
  <c r="CL117" i="1"/>
  <c r="CL124" i="1" s="1"/>
  <c r="AK155" i="1"/>
  <c r="CH22" i="1"/>
  <c r="CF32" i="1"/>
  <c r="CF33" i="1" s="1"/>
  <c r="CG172" i="4"/>
  <c r="L111" i="8"/>
  <c r="L112" i="8" s="1"/>
  <c r="V173" i="4"/>
  <c r="U145" i="4"/>
  <c r="X172" i="4"/>
  <c r="X173" i="4"/>
  <c r="BL44" i="1"/>
  <c r="BL183" i="1"/>
  <c r="BL32" i="1"/>
  <c r="BL33" i="1" s="1"/>
  <c r="BL141" i="4"/>
  <c r="BL167" i="4" s="1"/>
  <c r="AR142" i="4"/>
  <c r="AR168" i="4" s="1"/>
  <c r="AR145" i="4"/>
  <c r="AR32" i="1"/>
  <c r="AR33" i="1" s="1"/>
  <c r="AR183" i="1"/>
  <c r="AW145" i="4"/>
  <c r="AW141" i="4"/>
  <c r="AW167" i="4" s="1"/>
  <c r="AW183" i="1"/>
  <c r="K124" i="1"/>
  <c r="K121" i="1"/>
  <c r="AT154" i="1"/>
  <c r="CK97" i="1"/>
  <c r="M146" i="1"/>
  <c r="M142" i="1" s="1"/>
  <c r="CR138" i="1"/>
  <c r="CN146" i="1"/>
  <c r="L76" i="1"/>
  <c r="L75" i="4" s="1"/>
  <c r="CE76" i="1"/>
  <c r="CF76" i="1"/>
  <c r="CF80" i="1" s="1"/>
  <c r="AR76" i="1"/>
  <c r="AR80" i="1" s="1"/>
  <c r="BL76" i="1"/>
  <c r="BL75" i="4" s="1"/>
  <c r="CZ183" i="4"/>
  <c r="CY91" i="4"/>
  <c r="CZ87" i="4" s="1"/>
  <c r="CZ103" i="4" s="1"/>
  <c r="AS142" i="4"/>
  <c r="AS168" i="4" s="1"/>
  <c r="CU120" i="1"/>
  <c r="CD185" i="1"/>
  <c r="CD183" i="1"/>
  <c r="CD44" i="1"/>
  <c r="CD142" i="4"/>
  <c r="CD141" i="4"/>
  <c r="CD167" i="4" s="1"/>
  <c r="AK185" i="1"/>
  <c r="AK145" i="4"/>
  <c r="AK142" i="4"/>
  <c r="AK168" i="4" s="1"/>
  <c r="AK183" i="1"/>
  <c r="AK32" i="1"/>
  <c r="AK33" i="1" s="1"/>
  <c r="CK44" i="1"/>
  <c r="CK183" i="1"/>
  <c r="CK32" i="1"/>
  <c r="CK33" i="1" s="1"/>
  <c r="CK145" i="4"/>
  <c r="CK142" i="4"/>
  <c r="CK168" i="4" s="1"/>
  <c r="CH43" i="1"/>
  <c r="CI39" i="1"/>
  <c r="CI55" i="1" s="1"/>
  <c r="CI37" i="1" s="1"/>
  <c r="CM28" i="1"/>
  <c r="CT64" i="1"/>
  <c r="BS154" i="1"/>
  <c r="CM43" i="1"/>
  <c r="R183" i="1"/>
  <c r="R38" i="1"/>
  <c r="R185" i="1"/>
  <c r="AA155" i="1"/>
  <c r="CE143" i="4"/>
  <c r="CE29" i="1"/>
  <c r="CC60" i="1"/>
  <c r="CB64" i="1"/>
  <c r="L147" i="4"/>
  <c r="Q146" i="4"/>
  <c r="Q147" i="4"/>
  <c r="V147" i="4"/>
  <c r="V146" i="4"/>
  <c r="BS124" i="1"/>
  <c r="BS133" i="1"/>
  <c r="BD153" i="1"/>
  <c r="AY153" i="1"/>
  <c r="BO44" i="1"/>
  <c r="BO185" i="1"/>
  <c r="BR173" i="4"/>
  <c r="BO142" i="4"/>
  <c r="BO168" i="4" s="1"/>
  <c r="BR172" i="4"/>
  <c r="BO32" i="1"/>
  <c r="BO33" i="1" s="1"/>
  <c r="BO183" i="1"/>
  <c r="BO145" i="4"/>
  <c r="BS22" i="1"/>
  <c r="BO141" i="4"/>
  <c r="BO167" i="4" s="1"/>
  <c r="BT76" i="1"/>
  <c r="BT78" i="1" s="1"/>
  <c r="BE185" i="1"/>
  <c r="BE44" i="1"/>
  <c r="BE183" i="1"/>
  <c r="BE32" i="1"/>
  <c r="BE33" i="1" s="1"/>
  <c r="BE145" i="4"/>
  <c r="BE141" i="4"/>
  <c r="BE167" i="4" s="1"/>
  <c r="BE142" i="4"/>
  <c r="BE168" i="4" s="1"/>
  <c r="BH173" i="4"/>
  <c r="BH172" i="4"/>
  <c r="BI22" i="1"/>
  <c r="BK173" i="4" s="1"/>
  <c r="AU145" i="4"/>
  <c r="AU32" i="1"/>
  <c r="AU185" i="1"/>
  <c r="AU183" i="1"/>
  <c r="AU141" i="4"/>
  <c r="AX172" i="4"/>
  <c r="AX173" i="4"/>
  <c r="AU142" i="4"/>
  <c r="AU168" i="4" s="1"/>
  <c r="AU44" i="1"/>
  <c r="AY22" i="1"/>
  <c r="AP183" i="1"/>
  <c r="AP141" i="4"/>
  <c r="AP167" i="4" s="1"/>
  <c r="AP145" i="4"/>
  <c r="AP142" i="4"/>
  <c r="AP185" i="1"/>
  <c r="AP44" i="1"/>
  <c r="AP32" i="1"/>
  <c r="AP33" i="1" s="1"/>
  <c r="AT22" i="1"/>
  <c r="AR173" i="4"/>
  <c r="AQ172" i="4"/>
  <c r="AP172" i="4"/>
  <c r="AS173" i="4"/>
  <c r="AS172" i="4"/>
  <c r="AR172" i="4"/>
  <c r="AP173" i="4"/>
  <c r="AQ173" i="4"/>
  <c r="BY141" i="4"/>
  <c r="BY167" i="4" s="1"/>
  <c r="BY32" i="1"/>
  <c r="BY33" i="1" s="1"/>
  <c r="BY145" i="4"/>
  <c r="BY183" i="1"/>
  <c r="BY142" i="4"/>
  <c r="BY168" i="4" s="1"/>
  <c r="BY185" i="1"/>
  <c r="BY44" i="1"/>
  <c r="CB172" i="4"/>
  <c r="CB173" i="4"/>
  <c r="CC22" i="1"/>
  <c r="BJ142" i="4"/>
  <c r="BJ168" i="4" s="1"/>
  <c r="BJ183" i="1"/>
  <c r="BJ44" i="1"/>
  <c r="BJ145" i="4"/>
  <c r="BJ141" i="4"/>
  <c r="BJ167" i="4" s="1"/>
  <c r="BJ185" i="1"/>
  <c r="BJ32" i="1"/>
  <c r="BJ33" i="1" s="1"/>
  <c r="BN22" i="1"/>
  <c r="BO172" i="4" s="1"/>
  <c r="BM208" i="1"/>
  <c r="BM207" i="1"/>
  <c r="BM173" i="4"/>
  <c r="BM172" i="4"/>
  <c r="AZ183" i="1"/>
  <c r="AZ185" i="1"/>
  <c r="AZ142" i="4"/>
  <c r="AZ168" i="4" s="1"/>
  <c r="AZ32" i="1"/>
  <c r="AZ33" i="1" s="1"/>
  <c r="AZ141" i="4"/>
  <c r="AZ145" i="4"/>
  <c r="AZ44" i="1"/>
  <c r="BC173" i="4"/>
  <c r="BC172" i="4"/>
  <c r="BD22" i="1"/>
  <c r="BG173" i="4" s="1"/>
  <c r="AU172" i="4"/>
  <c r="BW76" i="1"/>
  <c r="BW78" i="1" s="1"/>
  <c r="AK76" i="1"/>
  <c r="AK80" i="1" s="1"/>
  <c r="AZ111" i="8"/>
  <c r="AZ112" i="8" s="1"/>
  <c r="BJ76" i="1"/>
  <c r="BN67" i="1"/>
  <c r="AP76" i="1"/>
  <c r="AP80" i="1" s="1"/>
  <c r="BY76" i="1"/>
  <c r="BY75" i="4" s="1"/>
  <c r="AZ76" i="1"/>
  <c r="AZ78" i="1" s="1"/>
  <c r="BE76" i="1"/>
  <c r="BE78" i="1" s="1"/>
  <c r="BW71" i="1"/>
  <c r="AZ71" i="1"/>
  <c r="BE71" i="1"/>
  <c r="CP42" i="8"/>
  <c r="CQ42" i="8" s="1"/>
  <c r="CR42" i="8" s="1"/>
  <c r="CR88" i="8" s="1"/>
  <c r="N45" i="8"/>
  <c r="O45" i="8" s="1"/>
  <c r="P45" i="8" s="1"/>
  <c r="P91" i="8" s="1"/>
  <c r="CY21" i="8"/>
  <c r="CX25" i="8"/>
  <c r="CX100" i="8" s="1"/>
  <c r="CK12" i="8"/>
  <c r="CL12" i="8" s="1"/>
  <c r="BH24" i="8"/>
  <c r="BI24" i="8" s="1"/>
  <c r="BI70" i="8" s="1"/>
  <c r="L94" i="4"/>
  <c r="L95" i="4" s="1"/>
  <c r="L104" i="4" s="1"/>
  <c r="M13" i="8"/>
  <c r="M110" i="8" s="1"/>
  <c r="M111" i="8" s="1"/>
  <c r="M112" i="8" s="1"/>
  <c r="AF94" i="4"/>
  <c r="AF110" i="8"/>
  <c r="AF111" i="8" s="1"/>
  <c r="AF112" i="8" s="1"/>
  <c r="AG13" i="8"/>
  <c r="AG110" i="8" s="1"/>
  <c r="AG111" i="8" s="1"/>
  <c r="AG112" i="8" s="1"/>
  <c r="CP39" i="8"/>
  <c r="CQ39" i="8" s="1"/>
  <c r="CR39" i="8" s="1"/>
  <c r="CR85" i="8" s="1"/>
  <c r="I29" i="8"/>
  <c r="J29" i="8" s="1"/>
  <c r="AL16" i="8"/>
  <c r="AM16" i="8" s="1"/>
  <c r="AN16" i="8" s="1"/>
  <c r="AO16" i="8" s="1"/>
  <c r="AO62" i="8" s="1"/>
  <c r="BR12" i="8"/>
  <c r="BS12" i="8" s="1"/>
  <c r="BS58" i="8" s="1"/>
  <c r="AC17" i="8"/>
  <c r="AD17" i="8" s="1"/>
  <c r="AL20" i="8"/>
  <c r="AX22" i="8"/>
  <c r="AY22" i="8" s="1"/>
  <c r="AY68" i="8" s="1"/>
  <c r="CQ12" i="8"/>
  <c r="CR12" i="8" s="1"/>
  <c r="CR58" i="8" s="1"/>
  <c r="AG40" i="8"/>
  <c r="AF101" i="1"/>
  <c r="Y42" i="8"/>
  <c r="Z42" i="8" s="1"/>
  <c r="Z88" i="8" s="1"/>
  <c r="CT30" i="8"/>
  <c r="CU30" i="8" s="1"/>
  <c r="CV30" i="8" s="1"/>
  <c r="CW30" i="8" s="1"/>
  <c r="CW76" i="8" s="1"/>
  <c r="I38" i="8"/>
  <c r="M39" i="8"/>
  <c r="CP36" i="8"/>
  <c r="CR36" i="8" s="1"/>
  <c r="CR82" i="8" s="1"/>
  <c r="AI28" i="8"/>
  <c r="U17" i="8"/>
  <c r="U63" i="8" s="1"/>
  <c r="AI20" i="8"/>
  <c r="AJ20" i="8" s="1"/>
  <c r="AJ66" i="8" s="1"/>
  <c r="AX32" i="8"/>
  <c r="AY32" i="8" s="1"/>
  <c r="AY78" i="8" s="1"/>
  <c r="CM16" i="8"/>
  <c r="CM62" i="8" s="1"/>
  <c r="M94" i="4"/>
  <c r="AU76" i="1"/>
  <c r="M75" i="4"/>
  <c r="M78" i="1"/>
  <c r="M80" i="1"/>
  <c r="CZ76" i="4"/>
  <c r="AQ76" i="1"/>
  <c r="BM71" i="1"/>
  <c r="CK76" i="1"/>
  <c r="CE71" i="1"/>
  <c r="AN76" i="1"/>
  <c r="AN75" i="4" s="1"/>
  <c r="AO67" i="1"/>
  <c r="BF76" i="1"/>
  <c r="BF78" i="1" s="1"/>
  <c r="BI67" i="1"/>
  <c r="BB71" i="1"/>
  <c r="BV76" i="1"/>
  <c r="BV75" i="4" s="1"/>
  <c r="BX67" i="1"/>
  <c r="BA76" i="1"/>
  <c r="BA78" i="1" s="1"/>
  <c r="BD67" i="1"/>
  <c r="W76" i="1"/>
  <c r="W80" i="1" s="1"/>
  <c r="CJ71" i="1"/>
  <c r="AJ67" i="1"/>
  <c r="AF76" i="1"/>
  <c r="AF75" i="4" s="1"/>
  <c r="AD76" i="1"/>
  <c r="AD75" i="4" s="1"/>
  <c r="AE67" i="1"/>
  <c r="CL71" i="1"/>
  <c r="AY67" i="1"/>
  <c r="BV71" i="1"/>
  <c r="BF71" i="1"/>
  <c r="BT172" i="1" l="1"/>
  <c r="AC202" i="1"/>
  <c r="AV142" i="1"/>
  <c r="AV159" i="1" s="1"/>
  <c r="CL89" i="4"/>
  <c r="CM29" i="8"/>
  <c r="CM89" i="4" s="1"/>
  <c r="I13" i="8"/>
  <c r="H110" i="8"/>
  <c r="H111" i="8" s="1"/>
  <c r="H112" i="8" s="1"/>
  <c r="N13" i="8"/>
  <c r="CE33" i="8"/>
  <c r="AT12" i="8"/>
  <c r="AT58" i="8" s="1"/>
  <c r="N101" i="8"/>
  <c r="N88" i="4"/>
  <c r="N106" i="4" s="1"/>
  <c r="G110" i="8"/>
  <c r="G111" i="8" s="1"/>
  <c r="G112" i="8" s="1"/>
  <c r="CI25" i="8"/>
  <c r="CI100" i="8" s="1"/>
  <c r="G96" i="1"/>
  <c r="BB28" i="8"/>
  <c r="BO110" i="8"/>
  <c r="BO111" i="8" s="1"/>
  <c r="BO112" i="8" s="1"/>
  <c r="AB13" i="8"/>
  <c r="M40" i="8"/>
  <c r="CD33" i="8"/>
  <c r="BY33" i="8"/>
  <c r="CS33" i="8"/>
  <c r="AF33" i="8"/>
  <c r="AZ33" i="8"/>
  <c r="AP96" i="1"/>
  <c r="AP98" i="1" s="1"/>
  <c r="CD43" i="8"/>
  <c r="R96" i="1"/>
  <c r="CS96" i="1"/>
  <c r="BW28" i="8"/>
  <c r="BW101" i="8" s="1"/>
  <c r="BU101" i="1"/>
  <c r="CM28" i="8"/>
  <c r="CM74" i="8" s="1"/>
  <c r="CJ89" i="4"/>
  <c r="BD23" i="8"/>
  <c r="BD69" i="8" s="1"/>
  <c r="CI110" i="8"/>
  <c r="AW13" i="8"/>
  <c r="AU94" i="4"/>
  <c r="CD88" i="4"/>
  <c r="CD106" i="4" s="1"/>
  <c r="BJ33" i="8"/>
  <c r="CD101" i="8"/>
  <c r="AI93" i="8"/>
  <c r="CT93" i="8"/>
  <c r="AR29" i="8"/>
  <c r="AR89" i="4" s="1"/>
  <c r="BX36" i="8"/>
  <c r="BX82" i="8" s="1"/>
  <c r="BO43" i="8"/>
  <c r="CJ13" i="8"/>
  <c r="BP13" i="8"/>
  <c r="BG40" i="8"/>
  <c r="BD42" i="8"/>
  <c r="BD88" i="8" s="1"/>
  <c r="BY89" i="4"/>
  <c r="BE89" i="4"/>
  <c r="BT43" i="8"/>
  <c r="CN43" i="8"/>
  <c r="R15" i="8"/>
  <c r="S15" i="8" s="1"/>
  <c r="T15" i="8" s="1"/>
  <c r="V93" i="8"/>
  <c r="AF93" i="8"/>
  <c r="AK93" i="8"/>
  <c r="BB191" i="4"/>
  <c r="BC112" i="4"/>
  <c r="O91" i="4"/>
  <c r="Q87" i="4" s="1"/>
  <c r="Q100" i="4" s="1"/>
  <c r="Q105" i="4" s="1"/>
  <c r="O111" i="4"/>
  <c r="R111" i="4" s="1"/>
  <c r="AX113" i="4"/>
  <c r="BC197" i="4"/>
  <c r="AN198" i="4"/>
  <c r="BH91" i="4"/>
  <c r="BJ87" i="4" s="1"/>
  <c r="BJ90" i="4" s="1"/>
  <c r="BM29" i="4"/>
  <c r="BN17" i="4"/>
  <c r="BG192" i="4"/>
  <c r="BB187" i="4"/>
  <c r="BB194" i="4" s="1"/>
  <c r="CA192" i="4"/>
  <c r="CB112" i="4"/>
  <c r="CD112" i="4" s="1"/>
  <c r="BR198" i="4"/>
  <c r="AI29" i="4"/>
  <c r="AI207" i="4" s="1"/>
  <c r="AI209" i="4" s="1"/>
  <c r="CR17" i="4"/>
  <c r="P20" i="4"/>
  <c r="P112" i="4" s="1"/>
  <c r="BH111" i="4"/>
  <c r="BJ111" i="4" s="1"/>
  <c r="BJ23" i="4" s="1"/>
  <c r="AT20" i="4"/>
  <c r="AT110" i="4" s="1"/>
  <c r="BC111" i="4"/>
  <c r="BG111" i="4" s="1"/>
  <c r="BG23" i="4" s="1"/>
  <c r="CU153" i="4"/>
  <c r="BU199" i="4"/>
  <c r="AN29" i="4"/>
  <c r="AN207" i="4" s="1"/>
  <c r="AN209" i="4" s="1"/>
  <c r="AI113" i="4"/>
  <c r="AM113" i="4" s="1"/>
  <c r="BR115" i="4"/>
  <c r="BV115" i="4" s="1"/>
  <c r="BV27" i="4" s="1"/>
  <c r="L109" i="4"/>
  <c r="L21" i="4" s="1"/>
  <c r="AH109" i="4"/>
  <c r="AH21" i="4" s="1"/>
  <c r="CB198" i="4"/>
  <c r="AI110" i="4"/>
  <c r="AK110" i="4" s="1"/>
  <c r="AK22" i="4" s="1"/>
  <c r="CY198" i="4"/>
  <c r="CG111" i="4"/>
  <c r="CI111" i="4" s="1"/>
  <c r="CJ111" i="4" s="1"/>
  <c r="CK111" i="4" s="1"/>
  <c r="BC91" i="4"/>
  <c r="BE87" i="4" s="1"/>
  <c r="AS113" i="4"/>
  <c r="AV113" i="4" s="1"/>
  <c r="CF192" i="4"/>
  <c r="AN109" i="4"/>
  <c r="AP109" i="4" s="1"/>
  <c r="AP21" i="4" s="1"/>
  <c r="AD112" i="4"/>
  <c r="AG112" i="4" s="1"/>
  <c r="AY20" i="4"/>
  <c r="BD87" i="4" s="1"/>
  <c r="AO112" i="4"/>
  <c r="AO109" i="4"/>
  <c r="BC40" i="4"/>
  <c r="BD40" i="4" s="1"/>
  <c r="BD29" i="4"/>
  <c r="BD207" i="4" s="1"/>
  <c r="BM98" i="4"/>
  <c r="BC109" i="4"/>
  <c r="BH198" i="4"/>
  <c r="N109" i="4"/>
  <c r="W110" i="4"/>
  <c r="W22" i="4" s="1"/>
  <c r="AG109" i="4"/>
  <c r="AG21" i="4" s="1"/>
  <c r="CG109" i="4"/>
  <c r="CI109" i="4" s="1"/>
  <c r="CI21" i="4" s="1"/>
  <c r="AI115" i="4"/>
  <c r="O115" i="4"/>
  <c r="S115" i="4" s="1"/>
  <c r="S27" i="4" s="1"/>
  <c r="J110" i="4"/>
  <c r="CQ197" i="4"/>
  <c r="CM17" i="4"/>
  <c r="BR110" i="4"/>
  <c r="BT110" i="4" s="1"/>
  <c r="BT22" i="4" s="1"/>
  <c r="CY42" i="4"/>
  <c r="BD20" i="4"/>
  <c r="J114" i="4"/>
  <c r="M114" i="4" s="1"/>
  <c r="M26" i="4" s="1"/>
  <c r="Q197" i="4"/>
  <c r="CB115" i="4"/>
  <c r="CD115" i="4" s="1"/>
  <c r="BH112" i="4"/>
  <c r="BH113" i="4"/>
  <c r="BC113" i="4"/>
  <c r="BG113" i="4" s="1"/>
  <c r="BG25" i="4" s="1"/>
  <c r="AX115" i="4"/>
  <c r="BA115" i="4" s="1"/>
  <c r="BA27" i="4" s="1"/>
  <c r="AX91" i="4"/>
  <c r="AZ87" i="4" s="1"/>
  <c r="AZ100" i="4" s="1"/>
  <c r="AS115" i="4"/>
  <c r="AU115" i="4" s="1"/>
  <c r="AU27" i="4" s="1"/>
  <c r="AS29" i="4"/>
  <c r="AS207" i="4" s="1"/>
  <c r="AS209" i="4" s="1"/>
  <c r="AS174" i="4" s="1"/>
  <c r="AS110" i="4"/>
  <c r="AV110" i="4" s="1"/>
  <c r="AV22" i="4" s="1"/>
  <c r="T109" i="4"/>
  <c r="V109" i="4" s="1"/>
  <c r="V21" i="4" s="1"/>
  <c r="CB91" i="4"/>
  <c r="CB98" i="4" s="1"/>
  <c r="BD17" i="4"/>
  <c r="BD197" i="4" s="1"/>
  <c r="AN112" i="4"/>
  <c r="AR112" i="4" s="1"/>
  <c r="AR24" i="4" s="1"/>
  <c r="BR112" i="4"/>
  <c r="AD113" i="4"/>
  <c r="AH113" i="4" s="1"/>
  <c r="AH25" i="4" s="1"/>
  <c r="Y111" i="4"/>
  <c r="AB111" i="4" s="1"/>
  <c r="AN115" i="4"/>
  <c r="AI91" i="4"/>
  <c r="CO57" i="4"/>
  <c r="CO67" i="4" s="1"/>
  <c r="S42" i="4"/>
  <c r="BG42" i="4"/>
  <c r="BN197" i="4"/>
  <c r="AL110" i="4"/>
  <c r="AL22" i="4" s="1"/>
  <c r="BR114" i="4"/>
  <c r="BT114" i="4" s="1"/>
  <c r="BT26" i="4" s="1"/>
  <c r="T114" i="4"/>
  <c r="V114" i="4" s="1"/>
  <c r="V26" i="4" s="1"/>
  <c r="BW198" i="4"/>
  <c r="CG110" i="4"/>
  <c r="CI110" i="4" s="1"/>
  <c r="CJ110" i="4" s="1"/>
  <c r="CK110" i="4" s="1"/>
  <c r="CK22" i="4" s="1"/>
  <c r="AI114" i="4"/>
  <c r="AL114" i="4" s="1"/>
  <c r="AL26" i="4" s="1"/>
  <c r="O109" i="4"/>
  <c r="Q109" i="4" s="1"/>
  <c r="Q21" i="4" s="1"/>
  <c r="O29" i="4"/>
  <c r="K20" i="4"/>
  <c r="P87" i="4" s="1"/>
  <c r="AS123" i="4"/>
  <c r="AU121" i="4" s="1"/>
  <c r="AU131" i="4" s="1"/>
  <c r="BM115" i="4"/>
  <c r="BJ114" i="4"/>
  <c r="BJ26" i="4" s="1"/>
  <c r="J29" i="4"/>
  <c r="O114" i="4"/>
  <c r="R114" i="4" s="1"/>
  <c r="R26" i="4" s="1"/>
  <c r="BC100" i="4"/>
  <c r="CH20" i="4"/>
  <c r="CM87" i="4" s="1"/>
  <c r="BH110" i="4"/>
  <c r="BH29" i="4"/>
  <c r="BH40" i="4" s="1"/>
  <c r="BI40" i="4" s="1"/>
  <c r="BC110" i="4"/>
  <c r="AX109" i="4"/>
  <c r="AS111" i="4"/>
  <c r="AV111" i="4" s="1"/>
  <c r="AS109" i="4"/>
  <c r="AU109" i="4" s="1"/>
  <c r="AU21" i="4" s="1"/>
  <c r="BC115" i="4"/>
  <c r="BG115" i="4" s="1"/>
  <c r="BG27" i="4" s="1"/>
  <c r="CG115" i="4"/>
  <c r="CI115" i="4" s="1"/>
  <c r="CI27" i="4" s="1"/>
  <c r="BM109" i="4"/>
  <c r="AN113" i="4"/>
  <c r="AP113" i="4" s="1"/>
  <c r="AP25" i="4" s="1"/>
  <c r="BW109" i="4"/>
  <c r="BY109" i="4" s="1"/>
  <c r="BY21" i="4" s="1"/>
  <c r="AD29" i="4"/>
  <c r="BS20" i="4"/>
  <c r="BS91" i="4" s="1"/>
  <c r="T29" i="4"/>
  <c r="T207" i="4" s="1"/>
  <c r="T209" i="4" s="1"/>
  <c r="AI109" i="4"/>
  <c r="AL109" i="4" s="1"/>
  <c r="BM112" i="4"/>
  <c r="Y110" i="4"/>
  <c r="AB110" i="4" s="1"/>
  <c r="AB22" i="4" s="1"/>
  <c r="AX197" i="4"/>
  <c r="CM20" i="4"/>
  <c r="CM109" i="4" s="1"/>
  <c r="T91" i="4"/>
  <c r="BN20" i="4"/>
  <c r="BN110" i="4" s="1"/>
  <c r="AA42" i="4"/>
  <c r="AI40" i="4"/>
  <c r="AJ40" i="4" s="1"/>
  <c r="CB111" i="4"/>
  <c r="CD111" i="4" s="1"/>
  <c r="BR111" i="4"/>
  <c r="U20" i="4"/>
  <c r="U115" i="4" s="1"/>
  <c r="AL111" i="4"/>
  <c r="X112" i="4"/>
  <c r="X24" i="4" s="1"/>
  <c r="CG91" i="4"/>
  <c r="CI87" i="4" s="1"/>
  <c r="CI100" i="4" s="1"/>
  <c r="AJ20" i="4"/>
  <c r="AO87" i="4" s="1"/>
  <c r="J115" i="4"/>
  <c r="J112" i="4"/>
  <c r="BR29" i="4"/>
  <c r="BR40" i="4" s="1"/>
  <c r="BR42" i="4" s="1"/>
  <c r="BS42" i="4" s="1"/>
  <c r="J113" i="4"/>
  <c r="BM111" i="4"/>
  <c r="BO111" i="4" s="1"/>
  <c r="AN91" i="4"/>
  <c r="AN100" i="4" s="1"/>
  <c r="AO29" i="4"/>
  <c r="AO207" i="4" s="1"/>
  <c r="CB110" i="4"/>
  <c r="CD110" i="4" s="1"/>
  <c r="CD22" i="4" s="1"/>
  <c r="BH109" i="4"/>
  <c r="BL109" i="4" s="1"/>
  <c r="BL21" i="4" s="1"/>
  <c r="BC114" i="4"/>
  <c r="BG114" i="4" s="1"/>
  <c r="BG26" i="4" s="1"/>
  <c r="AX111" i="4"/>
  <c r="BB111" i="4" s="1"/>
  <c r="BB23" i="4" s="1"/>
  <c r="AX29" i="4"/>
  <c r="AS91" i="4"/>
  <c r="AU87" i="4" s="1"/>
  <c r="AS112" i="4"/>
  <c r="AU112" i="4" s="1"/>
  <c r="AU24" i="4" s="1"/>
  <c r="AX112" i="4"/>
  <c r="AD57" i="4"/>
  <c r="CJ40" i="4"/>
  <c r="CJ42" i="4" s="1"/>
  <c r="Y29" i="4"/>
  <c r="Z29" i="4" s="1"/>
  <c r="CG114" i="4"/>
  <c r="CI114" i="4" s="1"/>
  <c r="BM114" i="4"/>
  <c r="AM111" i="4"/>
  <c r="BR113" i="4"/>
  <c r="BT113" i="4" s="1"/>
  <c r="AD115" i="4"/>
  <c r="BW91" i="4"/>
  <c r="BW98" i="4" s="1"/>
  <c r="AI112" i="4"/>
  <c r="AK112" i="4" s="1"/>
  <c r="J111" i="4"/>
  <c r="M111" i="4" s="1"/>
  <c r="M23" i="4" s="1"/>
  <c r="BW114" i="4"/>
  <c r="BY114" i="4" s="1"/>
  <c r="T115" i="4"/>
  <c r="W98" i="4"/>
  <c r="BK98" i="4"/>
  <c r="BU98" i="4"/>
  <c r="CU157" i="4"/>
  <c r="AH209" i="4"/>
  <c r="DD145" i="4"/>
  <c r="DI145" i="4" s="1"/>
  <c r="DN145" i="4" s="1"/>
  <c r="U141" i="4"/>
  <c r="U167" i="4" s="1"/>
  <c r="AO172" i="4"/>
  <c r="BN185" i="4"/>
  <c r="BN187" i="4" s="1"/>
  <c r="BN194" i="4" s="1"/>
  <c r="BN198" i="4"/>
  <c r="AY91" i="4"/>
  <c r="Z141" i="4"/>
  <c r="Z167" i="4" s="1"/>
  <c r="AJ142" i="4"/>
  <c r="AT32" i="4"/>
  <c r="AS134" i="4"/>
  <c r="AU134" i="4" s="1"/>
  <c r="AV134" i="4" s="1"/>
  <c r="AW134" i="4" s="1"/>
  <c r="CC136" i="4"/>
  <c r="AS136" i="4"/>
  <c r="AU136" i="4" s="1"/>
  <c r="AV136" i="4" s="1"/>
  <c r="BC129" i="4"/>
  <c r="BC123" i="4" s="1"/>
  <c r="BE121" i="4" s="1"/>
  <c r="BE131" i="4" s="1"/>
  <c r="BC98" i="4"/>
  <c r="BL191" i="4"/>
  <c r="BE115" i="4"/>
  <c r="BE27" i="4" s="1"/>
  <c r="AU42" i="4"/>
  <c r="AU71" i="4" s="1"/>
  <c r="CB209" i="4"/>
  <c r="S111" i="4"/>
  <c r="S23" i="4" s="1"/>
  <c r="AE173" i="4"/>
  <c r="AY173" i="4"/>
  <c r="BX134" i="4"/>
  <c r="I209" i="4"/>
  <c r="AS29" i="8"/>
  <c r="AT29" i="8" s="1"/>
  <c r="AT75" i="8" s="1"/>
  <c r="BT33" i="8"/>
  <c r="AL93" i="8"/>
  <c r="AQ93" i="8"/>
  <c r="BK93" i="8"/>
  <c r="T93" i="8"/>
  <c r="AM93" i="8"/>
  <c r="CY96" i="1"/>
  <c r="AA191" i="4"/>
  <c r="BO203" i="4"/>
  <c r="AU191" i="4"/>
  <c r="N114" i="4"/>
  <c r="N26" i="4" s="1"/>
  <c r="AY109" i="4"/>
  <c r="BI109" i="4"/>
  <c r="BF115" i="4"/>
  <c r="BF27" i="4" s="1"/>
  <c r="AV199" i="4"/>
  <c r="AK113" i="4"/>
  <c r="AK25" i="4" s="1"/>
  <c r="AG110" i="4"/>
  <c r="AG22" i="4" s="1"/>
  <c r="CT74" i="4"/>
  <c r="BY184" i="4"/>
  <c r="BG186" i="4"/>
  <c r="BG193" i="4" s="1"/>
  <c r="CT57" i="4"/>
  <c r="CT67" i="4" s="1"/>
  <c r="CI198" i="4"/>
  <c r="BD32" i="4"/>
  <c r="BD136" i="4" s="1"/>
  <c r="AY197" i="4"/>
  <c r="AP204" i="4"/>
  <c r="Y187" i="4"/>
  <c r="Y194" i="4" s="1"/>
  <c r="CJ74" i="4"/>
  <c r="T74" i="4"/>
  <c r="BY26" i="4"/>
  <c r="CF204" i="4"/>
  <c r="W42" i="4"/>
  <c r="AB197" i="4"/>
  <c r="AG42" i="4"/>
  <c r="AL197" i="4"/>
  <c r="BF197" i="4"/>
  <c r="BK198" i="4"/>
  <c r="BU197" i="4"/>
  <c r="BZ197" i="4"/>
  <c r="CO197" i="4"/>
  <c r="BI208" i="4"/>
  <c r="AE76" i="4"/>
  <c r="AY76" i="4"/>
  <c r="BS76" i="4"/>
  <c r="CR76" i="4"/>
  <c r="AE77" i="4"/>
  <c r="AY77" i="4"/>
  <c r="BS77" i="4"/>
  <c r="BX126" i="4"/>
  <c r="W209" i="4"/>
  <c r="W174" i="4" s="1"/>
  <c r="AK209" i="4"/>
  <c r="AW209" i="4"/>
  <c r="BE209" i="4"/>
  <c r="BJ174" i="4" s="1"/>
  <c r="BY209" i="4"/>
  <c r="CD209" i="4"/>
  <c r="CI209" i="4"/>
  <c r="N110" i="4"/>
  <c r="N22" i="4" s="1"/>
  <c r="BL186" i="4"/>
  <c r="BL180" i="4" s="1"/>
  <c r="V112" i="4"/>
  <c r="V24" i="4" s="1"/>
  <c r="BK114" i="4"/>
  <c r="BK26" i="4" s="1"/>
  <c r="DC31" i="4"/>
  <c r="DD31" i="4" s="1"/>
  <c r="DE31" i="4" s="1"/>
  <c r="DF31" i="4" s="1"/>
  <c r="DG31" i="4" s="1"/>
  <c r="AH115" i="4"/>
  <c r="AH27" i="4" s="1"/>
  <c r="AY114" i="4"/>
  <c r="CP187" i="4"/>
  <c r="CP194" i="4" s="1"/>
  <c r="BC207" i="4"/>
  <c r="BC209" i="4" s="1"/>
  <c r="BH174" i="4" s="1"/>
  <c r="S197" i="4"/>
  <c r="M179" i="4"/>
  <c r="CB74" i="4"/>
  <c r="BV184" i="4"/>
  <c r="BV177" i="4" s="1"/>
  <c r="BH57" i="4"/>
  <c r="AL177" i="4"/>
  <c r="AF21" i="4"/>
  <c r="BW136" i="4"/>
  <c r="BY136" i="4" s="1"/>
  <c r="BZ136" i="4" s="1"/>
  <c r="CA136" i="4" s="1"/>
  <c r="N184" i="4"/>
  <c r="AS199" i="4"/>
  <c r="CQ74" i="4"/>
  <c r="AD74" i="4"/>
  <c r="AE143" i="4"/>
  <c r="AE169" i="4" s="1"/>
  <c r="AY143" i="4"/>
  <c r="AY169" i="4" s="1"/>
  <c r="AN197" i="4"/>
  <c r="AS197" i="4"/>
  <c r="CL197" i="4"/>
  <c r="CQ198" i="4"/>
  <c r="CP153" i="4"/>
  <c r="AU192" i="4"/>
  <c r="M209" i="4"/>
  <c r="BL177" i="4"/>
  <c r="BV110" i="4"/>
  <c r="BV22" i="4" s="1"/>
  <c r="CR198" i="4"/>
  <c r="AW115" i="4"/>
  <c r="AW27" i="4" s="1"/>
  <c r="AR113" i="4"/>
  <c r="AR25" i="4" s="1"/>
  <c r="CV197" i="4"/>
  <c r="BX199" i="4"/>
  <c r="AY110" i="4"/>
  <c r="AJ109" i="4"/>
  <c r="AP42" i="4"/>
  <c r="BJ42" i="4"/>
  <c r="BV42" i="4"/>
  <c r="AA57" i="4"/>
  <c r="AA67" i="4" s="1"/>
  <c r="AZ57" i="4"/>
  <c r="AZ67" i="4" s="1"/>
  <c r="BY57" i="4"/>
  <c r="BY67" i="4" s="1"/>
  <c r="H166" i="4"/>
  <c r="AG209" i="4"/>
  <c r="AL174" i="4" s="1"/>
  <c r="AV209" i="4"/>
  <c r="BA209" i="4"/>
  <c r="BU209" i="4"/>
  <c r="BZ209" i="4"/>
  <c r="CE174" i="4" s="1"/>
  <c r="BT177" i="4"/>
  <c r="AV115" i="4"/>
  <c r="AV27" i="4" s="1"/>
  <c r="AZ115" i="4"/>
  <c r="AZ27" i="4" s="1"/>
  <c r="BD185" i="4"/>
  <c r="BD187" i="4" s="1"/>
  <c r="BD194" i="4" s="1"/>
  <c r="CI117" i="4"/>
  <c r="CX42" i="4"/>
  <c r="BX198" i="4"/>
  <c r="CY197" i="4"/>
  <c r="BX135" i="4"/>
  <c r="AT172" i="4"/>
  <c r="BI91" i="4"/>
  <c r="BI98" i="4" s="1"/>
  <c r="Z199" i="4"/>
  <c r="BI111" i="4"/>
  <c r="AY185" i="4"/>
  <c r="BS185" i="4"/>
  <c r="CM185" i="4"/>
  <c r="CM192" i="4" s="1"/>
  <c r="U185" i="4"/>
  <c r="U187" i="4" s="1"/>
  <c r="AO185" i="4"/>
  <c r="P172" i="4"/>
  <c r="AJ141" i="4"/>
  <c r="AJ167" i="4" s="1"/>
  <c r="AO173" i="4"/>
  <c r="AJ192" i="4"/>
  <c r="AJ173" i="4"/>
  <c r="BX142" i="4"/>
  <c r="BX168" i="4" s="1"/>
  <c r="BI112" i="4"/>
  <c r="Z172" i="4"/>
  <c r="CC134" i="4"/>
  <c r="CI105" i="4"/>
  <c r="CC135" i="4"/>
  <c r="AY113" i="4"/>
  <c r="CI95" i="4"/>
  <c r="CI104" i="4" s="1"/>
  <c r="AY134" i="4"/>
  <c r="BH202" i="4"/>
  <c r="AY135" i="4"/>
  <c r="CC207" i="4"/>
  <c r="P115" i="4"/>
  <c r="AO114" i="4"/>
  <c r="BN113" i="4"/>
  <c r="P111" i="4"/>
  <c r="AT197" i="4"/>
  <c r="CW40" i="4"/>
  <c r="CS151" i="1"/>
  <c r="CX153" i="1"/>
  <c r="CX220" i="1" s="1"/>
  <c r="CS153" i="1"/>
  <c r="AR123" i="1"/>
  <c r="AW123" i="1"/>
  <c r="BG123" i="1"/>
  <c r="BQ123" i="1"/>
  <c r="CP133" i="1"/>
  <c r="CF145" i="1"/>
  <c r="CL38" i="8"/>
  <c r="CL96" i="1" s="1"/>
  <c r="CK96" i="1"/>
  <c r="CK98" i="1" s="1"/>
  <c r="CK90" i="1" s="1"/>
  <c r="BL36" i="8"/>
  <c r="BM36" i="8" s="1"/>
  <c r="BK96" i="1"/>
  <c r="BC13" i="8"/>
  <c r="BC94" i="4" s="1"/>
  <c r="BC117" i="4" s="1"/>
  <c r="BB94" i="4"/>
  <c r="BB117" i="4" s="1"/>
  <c r="BB110" i="8"/>
  <c r="CP110" i="8"/>
  <c r="CP94" i="4"/>
  <c r="CQ13" i="8"/>
  <c r="AV96" i="1"/>
  <c r="AV98" i="1" s="1"/>
  <c r="AV90" i="1" s="1"/>
  <c r="AV92" i="1" s="1"/>
  <c r="CM75" i="8"/>
  <c r="U18" i="8"/>
  <c r="U64" i="8" s="1"/>
  <c r="BA88" i="4"/>
  <c r="BA106" i="4" s="1"/>
  <c r="BC28" i="8"/>
  <c r="CL88" i="4"/>
  <c r="BB40" i="8"/>
  <c r="BA94" i="4"/>
  <c r="BA95" i="4" s="1"/>
  <c r="BA104" i="4" s="1"/>
  <c r="CS101" i="8"/>
  <c r="AQ13" i="8"/>
  <c r="AQ110" i="8" s="1"/>
  <c r="BT96" i="1"/>
  <c r="CK89" i="8"/>
  <c r="CK93" i="8" s="1"/>
  <c r="Q88" i="4"/>
  <c r="Q106" i="4" s="1"/>
  <c r="BJ111" i="8"/>
  <c r="BJ112" i="8" s="1"/>
  <c r="AP111" i="8" s="1"/>
  <c r="AP112" i="8" s="1"/>
  <c r="AV93" i="8"/>
  <c r="BB93" i="8"/>
  <c r="BF93" i="8"/>
  <c r="BP93" i="8"/>
  <c r="BU93" i="8"/>
  <c r="BZ93" i="8"/>
  <c r="CE93" i="8"/>
  <c r="CJ93" i="8"/>
  <c r="CO93" i="8"/>
  <c r="L93" i="8"/>
  <c r="BJ93" i="8"/>
  <c r="BO93" i="8"/>
  <c r="BY93" i="8"/>
  <c r="CD93" i="8"/>
  <c r="CQ93" i="8"/>
  <c r="BA93" i="8"/>
  <c r="BJ96" i="1"/>
  <c r="BJ98" i="1" s="1"/>
  <c r="BJ90" i="1" s="1"/>
  <c r="CK88" i="4"/>
  <c r="CK106" i="4" s="1"/>
  <c r="I40" i="8"/>
  <c r="J40" i="8" s="1"/>
  <c r="K40" i="8" s="1"/>
  <c r="K86" i="8" s="1"/>
  <c r="CI33" i="8"/>
  <c r="V25" i="8"/>
  <c r="V100" i="8" s="1"/>
  <c r="V102" i="8" s="1"/>
  <c r="V108" i="1" s="1"/>
  <c r="CJ96" i="1"/>
  <c r="AU33" i="8"/>
  <c r="AW36" i="8"/>
  <c r="AX36" i="8" s="1"/>
  <c r="AP25" i="8"/>
  <c r="AP100" i="8" s="1"/>
  <c r="CO110" i="8"/>
  <c r="CO111" i="8" s="1"/>
  <c r="CO112" i="8" s="1"/>
  <c r="V94" i="4"/>
  <c r="CO94" i="4"/>
  <c r="AL28" i="8"/>
  <c r="AL88" i="4" s="1"/>
  <c r="AL106" i="4" s="1"/>
  <c r="AQ36" i="8"/>
  <c r="AQ96" i="1" s="1"/>
  <c r="AQ98" i="1" s="1"/>
  <c r="AQ90" i="1" s="1"/>
  <c r="CM36" i="8"/>
  <c r="CM82" i="8" s="1"/>
  <c r="AG94" i="4"/>
  <c r="AG95" i="4" s="1"/>
  <c r="AG104" i="4" s="1"/>
  <c r="AP43" i="8"/>
  <c r="BZ43" i="8"/>
  <c r="CC30" i="8"/>
  <c r="CC76" i="8" s="1"/>
  <c r="AH13" i="8"/>
  <c r="AH110" i="8" s="1"/>
  <c r="AH111" i="8" s="1"/>
  <c r="AH112" i="8" s="1"/>
  <c r="AG29" i="8"/>
  <c r="AG89" i="4" s="1"/>
  <c r="AG103" i="4" s="1"/>
  <c r="AE29" i="8"/>
  <c r="AE75" i="8" s="1"/>
  <c r="Q33" i="8"/>
  <c r="BE43" i="8"/>
  <c r="BA43" i="8"/>
  <c r="BK13" i="8"/>
  <c r="BK110" i="8" s="1"/>
  <c r="BK111" i="8" s="1"/>
  <c r="BK112" i="8" s="1"/>
  <c r="CD94" i="4"/>
  <c r="Z45" i="8"/>
  <c r="Z91" i="8" s="1"/>
  <c r="CX33" i="8"/>
  <c r="CE36" i="8"/>
  <c r="CE96" i="1" s="1"/>
  <c r="CE98" i="1" s="1"/>
  <c r="CE90" i="1" s="1"/>
  <c r="BJ101" i="1"/>
  <c r="CU204" i="4"/>
  <c r="CU202" i="4"/>
  <c r="CU184" i="4"/>
  <c r="CU191" i="4" s="1"/>
  <c r="CV74" i="4"/>
  <c r="AQ197" i="4"/>
  <c r="AQ42" i="4"/>
  <c r="CT42" i="4"/>
  <c r="CT197" i="4"/>
  <c r="AH87" i="4"/>
  <c r="AG98" i="4"/>
  <c r="AG117" i="4" s="1"/>
  <c r="BG199" i="4"/>
  <c r="BG197" i="4"/>
  <c r="DC60" i="4"/>
  <c r="DC36" i="8" s="1"/>
  <c r="DC38" i="8" s="1"/>
  <c r="DC84" i="8" s="1"/>
  <c r="J202" i="4"/>
  <c r="J184" i="4"/>
  <c r="J204" i="4"/>
  <c r="J203" i="4" s="1"/>
  <c r="L74" i="4"/>
  <c r="P74" i="4" s="1"/>
  <c r="AJ65" i="4"/>
  <c r="AJ202" i="4" s="1"/>
  <c r="AI184" i="4"/>
  <c r="AK74" i="4"/>
  <c r="AY65" i="4"/>
  <c r="AX184" i="4"/>
  <c r="AZ74" i="4"/>
  <c r="AX202" i="4"/>
  <c r="BO74" i="4"/>
  <c r="BM184" i="4"/>
  <c r="BM179" i="4" s="1"/>
  <c r="BM202" i="4"/>
  <c r="BM204" i="4"/>
  <c r="BW204" i="4"/>
  <c r="BX65" i="4"/>
  <c r="BX184" i="4" s="1"/>
  <c r="BY74" i="4"/>
  <c r="BY78" i="4" s="1"/>
  <c r="BY79" i="4" s="1"/>
  <c r="BY81" i="4" s="1"/>
  <c r="CG184" i="4"/>
  <c r="CG186" i="4" s="1"/>
  <c r="CG178" i="4" s="1"/>
  <c r="CH65" i="4"/>
  <c r="CH202" i="4" s="1"/>
  <c r="AV187" i="4"/>
  <c r="AV194" i="4" s="1"/>
  <c r="AV192" i="4"/>
  <c r="BK187" i="4"/>
  <c r="BK194" i="4" s="1"/>
  <c r="BK192" i="4"/>
  <c r="CV87" i="4"/>
  <c r="CV100" i="4" s="1"/>
  <c r="CU98" i="4"/>
  <c r="AI42" i="4"/>
  <c r="AJ42" i="4" s="1"/>
  <c r="L87" i="4"/>
  <c r="AM110" i="4"/>
  <c r="AM22" i="4" s="1"/>
  <c r="AJ29" i="4"/>
  <c r="AJ207" i="4" s="1"/>
  <c r="BE112" i="4"/>
  <c r="BE24" i="4" s="1"/>
  <c r="BT115" i="4"/>
  <c r="BT27" i="4" s="1"/>
  <c r="P109" i="4"/>
  <c r="U87" i="4"/>
  <c r="P113" i="4"/>
  <c r="BR135" i="4"/>
  <c r="BT135" i="4" s="1"/>
  <c r="BU135" i="4" s="1"/>
  <c r="BV135" i="4" s="1"/>
  <c r="AU110" i="4"/>
  <c r="AU22" i="4" s="1"/>
  <c r="AW110" i="4"/>
  <c r="AW22" i="4" s="1"/>
  <c r="BE179" i="4"/>
  <c r="BE191" i="4"/>
  <c r="BV197" i="4"/>
  <c r="BU187" i="4"/>
  <c r="BU194" i="4" s="1"/>
  <c r="BS184" i="4"/>
  <c r="BS204" i="4"/>
  <c r="Z142" i="4"/>
  <c r="Z168" i="4" s="1"/>
  <c r="Z173" i="4"/>
  <c r="BA42" i="4"/>
  <c r="BA198" i="4"/>
  <c r="AM87" i="4"/>
  <c r="AM100" i="4" s="1"/>
  <c r="AL98" i="4"/>
  <c r="BB87" i="4"/>
  <c r="BB100" i="4" s="1"/>
  <c r="BA100" i="4"/>
  <c r="CH40" i="4"/>
  <c r="CG42" i="4"/>
  <c r="CH42" i="4" s="1"/>
  <c r="AW199" i="4"/>
  <c r="AW57" i="4"/>
  <c r="AW67" i="4" s="1"/>
  <c r="P65" i="4"/>
  <c r="P204" i="4" s="1"/>
  <c r="O202" i="4"/>
  <c r="AF74" i="4"/>
  <c r="AD184" i="4"/>
  <c r="AO65" i="4"/>
  <c r="AO202" i="4" s="1"/>
  <c r="AN184" i="4"/>
  <c r="AN179" i="4" s="1"/>
  <c r="BC184" i="4"/>
  <c r="BD65" i="4"/>
  <c r="BD202" i="4" s="1"/>
  <c r="BC204" i="4"/>
  <c r="BT74" i="4"/>
  <c r="BR184" i="4"/>
  <c r="BR191" i="4" s="1"/>
  <c r="CQ184" i="4"/>
  <c r="CQ191" i="4" s="1"/>
  <c r="CQ204" i="4"/>
  <c r="CQ202" i="4"/>
  <c r="CR65" i="4"/>
  <c r="CR202" i="4" s="1"/>
  <c r="CQ187" i="4"/>
  <c r="S192" i="4"/>
  <c r="S187" i="4"/>
  <c r="S194" i="4" s="1"/>
  <c r="BM78" i="4"/>
  <c r="BM79" i="4" s="1"/>
  <c r="BM81" i="4" s="1"/>
  <c r="BU115" i="4"/>
  <c r="BU27" i="4" s="1"/>
  <c r="U199" i="4"/>
  <c r="H57" i="4"/>
  <c r="H67" i="4" s="1"/>
  <c r="O204" i="4"/>
  <c r="BA197" i="4"/>
  <c r="AR57" i="4"/>
  <c r="AR67" i="4" s="1"/>
  <c r="CD87" i="4"/>
  <c r="CD100" i="4" s="1"/>
  <c r="CD105" i="4" s="1"/>
  <c r="BF192" i="4"/>
  <c r="AH187" i="4"/>
  <c r="AH194" i="4" s="1"/>
  <c r="CG202" i="4"/>
  <c r="AX204" i="4"/>
  <c r="BA187" i="4"/>
  <c r="BA194" i="4" s="1"/>
  <c r="AB42" i="4"/>
  <c r="AB198" i="4"/>
  <c r="CJ198" i="4"/>
  <c r="CJ197" i="4"/>
  <c r="BP98" i="4"/>
  <c r="BQ87" i="4"/>
  <c r="BQ100" i="4" s="1"/>
  <c r="BH129" i="4"/>
  <c r="BH123" i="4" s="1"/>
  <c r="BJ121" i="4" s="1"/>
  <c r="BJ131" i="4" s="1"/>
  <c r="BI37" i="4"/>
  <c r="BI129" i="4" s="1"/>
  <c r="AC199" i="4"/>
  <c r="AC198" i="4"/>
  <c r="AH198" i="4"/>
  <c r="AH199" i="4"/>
  <c r="BB199" i="4"/>
  <c r="BB198" i="4"/>
  <c r="T204" i="4"/>
  <c r="U65" i="4"/>
  <c r="V74" i="4"/>
  <c r="BH184" i="4"/>
  <c r="BH177" i="4" s="1"/>
  <c r="BH204" i="4"/>
  <c r="BH203" i="4" s="1"/>
  <c r="BJ74" i="4"/>
  <c r="CC65" i="4"/>
  <c r="CC204" i="4" s="1"/>
  <c r="CB184" i="4"/>
  <c r="CB186" i="4" s="1"/>
  <c r="CB193" i="4" s="1"/>
  <c r="CB204" i="4"/>
  <c r="CB203" i="4" s="1"/>
  <c r="CD74" i="4"/>
  <c r="AU127" i="4"/>
  <c r="CN151" i="4"/>
  <c r="CN153" i="4" s="1"/>
  <c r="CL183" i="4"/>
  <c r="CM183" i="4" s="1"/>
  <c r="N192" i="4"/>
  <c r="N187" i="4"/>
  <c r="N194" i="4" s="1"/>
  <c r="AC187" i="4"/>
  <c r="AC194" i="4" s="1"/>
  <c r="AC192" i="4"/>
  <c r="AR187" i="4"/>
  <c r="AR194" i="4" s="1"/>
  <c r="AR192" i="4"/>
  <c r="CE192" i="4"/>
  <c r="CE187" i="4"/>
  <c r="CE194" i="4" s="1"/>
  <c r="CX192" i="4"/>
  <c r="CX187" i="4"/>
  <c r="AN78" i="4"/>
  <c r="AN79" i="4" s="1"/>
  <c r="AN81" i="4" s="1"/>
  <c r="BB178" i="4"/>
  <c r="BW179" i="4"/>
  <c r="BS199" i="4"/>
  <c r="BB95" i="4"/>
  <c r="BB104" i="4" s="1"/>
  <c r="AM198" i="4"/>
  <c r="BU198" i="4"/>
  <c r="BP198" i="4"/>
  <c r="AN204" i="4"/>
  <c r="AL100" i="4"/>
  <c r="DC15" i="4"/>
  <c r="DD15" i="4" s="1"/>
  <c r="DE15" i="4" s="1"/>
  <c r="DF15" i="4" s="1"/>
  <c r="AU103" i="4"/>
  <c r="AU100" i="4"/>
  <c r="AU105" i="4" s="1"/>
  <c r="AM187" i="4"/>
  <c r="AM194" i="4" s="1"/>
  <c r="BR204" i="4"/>
  <c r="AT87" i="4"/>
  <c r="AO91" i="4"/>
  <c r="AO98" i="4" s="1"/>
  <c r="CI74" i="4"/>
  <c r="CG204" i="4"/>
  <c r="CG203" i="4" s="1"/>
  <c r="BI65" i="4"/>
  <c r="BI204" i="4" s="1"/>
  <c r="CS151" i="4"/>
  <c r="CS153" i="4" s="1"/>
  <c r="CB202" i="4"/>
  <c r="T184" i="4"/>
  <c r="T186" i="4" s="1"/>
  <c r="BP192" i="4"/>
  <c r="BJ203" i="4"/>
  <c r="CX186" i="4"/>
  <c r="CX193" i="4" s="1"/>
  <c r="BI135" i="4"/>
  <c r="BM123" i="4"/>
  <c r="BO121" i="4" s="1"/>
  <c r="BO131" i="4" s="1"/>
  <c r="BH207" i="4"/>
  <c r="BH209" i="4" s="1"/>
  <c r="AV23" i="4"/>
  <c r="BU100" i="4"/>
  <c r="DN134" i="4"/>
  <c r="BW202" i="4"/>
  <c r="BW203" i="4" s="1"/>
  <c r="L57" i="4"/>
  <c r="Q57" i="4"/>
  <c r="CN209" i="4"/>
  <c r="I186" i="4"/>
  <c r="I180" i="4" s="1"/>
  <c r="AR186" i="4"/>
  <c r="AR193" i="4" s="1"/>
  <c r="CQ153" i="4"/>
  <c r="V209" i="4"/>
  <c r="AB209" i="4"/>
  <c r="AG174" i="4" s="1"/>
  <c r="BP209" i="4"/>
  <c r="CM199" i="4"/>
  <c r="AE199" i="4"/>
  <c r="BS98" i="4"/>
  <c r="R23" i="4"/>
  <c r="AG24" i="4"/>
  <c r="AT198" i="4"/>
  <c r="BK186" i="4"/>
  <c r="BK193" i="4" s="1"/>
  <c r="AY199" i="4"/>
  <c r="CM143" i="4"/>
  <c r="CM169" i="4" s="1"/>
  <c r="AT143" i="4"/>
  <c r="AT169" i="4" s="1"/>
  <c r="U172" i="4"/>
  <c r="AO141" i="4"/>
  <c r="AE142" i="4"/>
  <c r="AE168" i="4" s="1"/>
  <c r="AH197" i="4"/>
  <c r="AM197" i="4"/>
  <c r="AR197" i="4"/>
  <c r="BB42" i="4"/>
  <c r="BG198" i="4"/>
  <c r="BL197" i="4"/>
  <c r="BQ198" i="4"/>
  <c r="CA197" i="4"/>
  <c r="CF197" i="4"/>
  <c r="CK198" i="4"/>
  <c r="CP197" i="4"/>
  <c r="L209" i="4"/>
  <c r="AG100" i="4"/>
  <c r="AG105" i="4" s="1"/>
  <c r="AV25" i="4"/>
  <c r="BR202" i="4"/>
  <c r="Z76" i="4"/>
  <c r="AT76" i="4"/>
  <c r="BN76" i="4"/>
  <c r="CH76" i="4"/>
  <c r="P77" i="4"/>
  <c r="U77" i="4"/>
  <c r="Z77" i="4"/>
  <c r="AJ77" i="4"/>
  <c r="AO77" i="4"/>
  <c r="AT77" i="4"/>
  <c r="BD77" i="4"/>
  <c r="BI77" i="4"/>
  <c r="BN77" i="4"/>
  <c r="BX77" i="4"/>
  <c r="CC77" i="4"/>
  <c r="CH77" i="4"/>
  <c r="BN126" i="4"/>
  <c r="AR201" i="1"/>
  <c r="CS184" i="1"/>
  <c r="CN202" i="1"/>
  <c r="AX201" i="1"/>
  <c r="CT230" i="1"/>
  <c r="CS230" i="1"/>
  <c r="CU202" i="1"/>
  <c r="BW75" i="4"/>
  <c r="BW78" i="4" s="1"/>
  <c r="BW79" i="4" s="1"/>
  <c r="BW81" i="4" s="1"/>
  <c r="BL201" i="1"/>
  <c r="Q202" i="1"/>
  <c r="CS218" i="1"/>
  <c r="CU230" i="1"/>
  <c r="CZ231" i="1" s="1"/>
  <c r="CE145" i="1"/>
  <c r="CE141" i="1" s="1"/>
  <c r="CE158" i="1" s="1"/>
  <c r="H142" i="1"/>
  <c r="H159" i="1" s="1"/>
  <c r="AG142" i="1"/>
  <c r="AG159" i="1" s="1"/>
  <c r="BF136" i="1"/>
  <c r="CA166" i="1"/>
  <c r="CU218" i="1"/>
  <c r="CZ219" i="1" s="1"/>
  <c r="AZ203" i="4"/>
  <c r="CK203" i="4"/>
  <c r="BS115" i="4"/>
  <c r="AY115" i="4"/>
  <c r="BX114" i="4"/>
  <c r="P114" i="4"/>
  <c r="BI113" i="4"/>
  <c r="AO113" i="4"/>
  <c r="AY111" i="4"/>
  <c r="P110" i="4"/>
  <c r="CX96" i="4"/>
  <c r="CY93" i="4" s="1"/>
  <c r="CU57" i="4"/>
  <c r="CU67" i="4" s="1"/>
  <c r="BS198" i="4"/>
  <c r="AX203" i="4"/>
  <c r="AM42" i="4"/>
  <c r="BO42" i="4"/>
  <c r="AV71" i="4"/>
  <c r="AI57" i="4"/>
  <c r="AJ57" i="4" s="1"/>
  <c r="CG57" i="4"/>
  <c r="CG67" i="4" s="1"/>
  <c r="CH67" i="4" s="1"/>
  <c r="P76" i="4"/>
  <c r="U76" i="4"/>
  <c r="AJ76" i="4"/>
  <c r="AO76" i="4"/>
  <c r="BD76" i="4"/>
  <c r="BI76" i="4"/>
  <c r="BX76" i="4"/>
  <c r="CC76" i="4"/>
  <c r="BE186" i="4"/>
  <c r="BE193" i="4" s="1"/>
  <c r="AF209" i="4"/>
  <c r="AK174" i="4" s="1"/>
  <c r="AU209" i="4"/>
  <c r="AU174" i="4" s="1"/>
  <c r="AZ209" i="4"/>
  <c r="BT209" i="4"/>
  <c r="CS95" i="4"/>
  <c r="CS104" i="4" s="1"/>
  <c r="AT199" i="4"/>
  <c r="I71" i="4"/>
  <c r="AW71" i="4"/>
  <c r="AC57" i="4"/>
  <c r="AC67" i="4" s="1"/>
  <c r="AC71" i="4" s="1"/>
  <c r="BB57" i="4"/>
  <c r="BB67" i="4" s="1"/>
  <c r="BB71" i="4" s="1"/>
  <c r="CF57" i="4"/>
  <c r="CF67" i="4" s="1"/>
  <c r="CT209" i="4"/>
  <c r="AU57" i="4"/>
  <c r="AU67" i="4" s="1"/>
  <c r="BF209" i="4"/>
  <c r="BK174" i="4" s="1"/>
  <c r="CJ209" i="4"/>
  <c r="CJ174" i="4" s="1"/>
  <c r="BI114" i="4"/>
  <c r="BS112" i="4"/>
  <c r="AY112" i="4"/>
  <c r="BI110" i="4"/>
  <c r="AO110" i="4"/>
  <c r="CY209" i="4"/>
  <c r="BO98" i="1"/>
  <c r="BO90" i="1" s="1"/>
  <c r="Q98" i="1"/>
  <c r="Q90" i="1" s="1"/>
  <c r="Q92" i="1" s="1"/>
  <c r="DD83" i="8"/>
  <c r="DE83" i="8" s="1"/>
  <c r="DF83" i="8" s="1"/>
  <c r="DI78" i="8"/>
  <c r="DJ78" i="8" s="1"/>
  <c r="DK78" i="8" s="1"/>
  <c r="BT103" i="1"/>
  <c r="BT91" i="1" s="1"/>
  <c r="AA98" i="1"/>
  <c r="AA90" i="1" s="1"/>
  <c r="R98" i="1"/>
  <c r="R90" i="1" s="1"/>
  <c r="R92" i="1" s="1"/>
  <c r="AA25" i="8"/>
  <c r="AA100" i="8" s="1"/>
  <c r="AA102" i="8" s="1"/>
  <c r="AA105" i="8" s="1"/>
  <c r="CM101" i="8"/>
  <c r="AZ117" i="4"/>
  <c r="BJ25" i="8"/>
  <c r="BJ100" i="8" s="1"/>
  <c r="G25" i="8"/>
  <c r="G100" i="8" s="1"/>
  <c r="G102" i="8" s="1"/>
  <c r="G105" i="8" s="1"/>
  <c r="AR15" i="8"/>
  <c r="AS15" i="8" s="1"/>
  <c r="AY15" i="8"/>
  <c r="AY61" i="8" s="1"/>
  <c r="BY25" i="8"/>
  <c r="DG37" i="8"/>
  <c r="DG83" i="8" s="1"/>
  <c r="AF98" i="1"/>
  <c r="AF90" i="1" s="1"/>
  <c r="V202" i="1"/>
  <c r="BN20" i="1"/>
  <c r="AQ131" i="1"/>
  <c r="AV131" i="1"/>
  <c r="BA131" i="1"/>
  <c r="BF131" i="1"/>
  <c r="BK131" i="1"/>
  <c r="BP131" i="1"/>
  <c r="BU131" i="1"/>
  <c r="AX133" i="1"/>
  <c r="CG133" i="1"/>
  <c r="Q155" i="1"/>
  <c r="AU155" i="1"/>
  <c r="AZ155" i="1"/>
  <c r="AB202" i="1"/>
  <c r="BU202" i="1"/>
  <c r="CM20" i="1"/>
  <c r="BF155" i="1"/>
  <c r="CJ155" i="1"/>
  <c r="BL172" i="1"/>
  <c r="BL169" i="1" s="1"/>
  <c r="BL165" i="1" s="1"/>
  <c r="BL177" i="1" s="1"/>
  <c r="BL202" i="1"/>
  <c r="AO71" i="1"/>
  <c r="H78" i="1"/>
  <c r="AJ155" i="1"/>
  <c r="AO153" i="1"/>
  <c r="Z188" i="1"/>
  <c r="CU38" i="1"/>
  <c r="AY192" i="4"/>
  <c r="AY187" i="4"/>
  <c r="AQ194" i="4"/>
  <c r="AU194" i="4"/>
  <c r="AU177" i="4"/>
  <c r="CT24" i="8"/>
  <c r="CU24" i="8" s="1"/>
  <c r="CV24" i="8" s="1"/>
  <c r="CW24" i="8" s="1"/>
  <c r="CW70" i="8" s="1"/>
  <c r="CS25" i="8"/>
  <c r="CS100" i="8" s="1"/>
  <c r="CS102" i="8" s="1"/>
  <c r="CS105" i="8" s="1"/>
  <c r="BP194" i="4"/>
  <c r="X13" i="8"/>
  <c r="Y13" i="8" s="1"/>
  <c r="W94" i="4"/>
  <c r="W110" i="8"/>
  <c r="W111" i="8" s="1"/>
  <c r="W112" i="8" s="1"/>
  <c r="AG40" i="1"/>
  <c r="AG38" i="1"/>
  <c r="O88" i="4"/>
  <c r="O106" i="4" s="1"/>
  <c r="P28" i="8"/>
  <c r="O101" i="8"/>
  <c r="DC82" i="8"/>
  <c r="CP101" i="1"/>
  <c r="CP103" i="1" s="1"/>
  <c r="CP91" i="1" s="1"/>
  <c r="CQ40" i="8"/>
  <c r="CQ101" i="1" s="1"/>
  <c r="CQ103" i="1" s="1"/>
  <c r="CQ91" i="1" s="1"/>
  <c r="AB191" i="4"/>
  <c r="AB186" i="4"/>
  <c r="AB179" i="4"/>
  <c r="AA194" i="4"/>
  <c r="AA178" i="4"/>
  <c r="AA177" i="4"/>
  <c r="CB194" i="4"/>
  <c r="CG194" i="4"/>
  <c r="S14" i="8"/>
  <c r="T14" i="8" s="1"/>
  <c r="AA193" i="4"/>
  <c r="AA180" i="4"/>
  <c r="AO187" i="4"/>
  <c r="AO194" i="4" s="1"/>
  <c r="AO192" i="4"/>
  <c r="BD129" i="4"/>
  <c r="CH57" i="4"/>
  <c r="W194" i="4"/>
  <c r="AL110" i="8"/>
  <c r="AL111" i="8" s="1"/>
  <c r="AL112" i="8" s="1"/>
  <c r="AL94" i="4"/>
  <c r="AL95" i="4" s="1"/>
  <c r="AL104" i="4" s="1"/>
  <c r="BS40" i="4"/>
  <c r="BB96" i="1"/>
  <c r="BB98" i="1" s="1"/>
  <c r="BB90" i="1" s="1"/>
  <c r="BC36" i="8"/>
  <c r="BC96" i="1" s="1"/>
  <c r="BC98" i="1" s="1"/>
  <c r="BC90" i="1" s="1"/>
  <c r="AP174" i="4"/>
  <c r="V174" i="4"/>
  <c r="AS23" i="8"/>
  <c r="AT23" i="8" s="1"/>
  <c r="AT69" i="8" s="1"/>
  <c r="CK30" i="8"/>
  <c r="CJ33" i="8"/>
  <c r="BL40" i="8"/>
  <c r="BM40" i="8" s="1"/>
  <c r="BM101" i="1" s="1"/>
  <c r="BM103" i="1" s="1"/>
  <c r="BM91" i="1" s="1"/>
  <c r="BK101" i="1"/>
  <c r="BK103" i="1" s="1"/>
  <c r="BK91" i="1" s="1"/>
  <c r="CE101" i="1"/>
  <c r="CE103" i="1" s="1"/>
  <c r="CE91" i="1" s="1"/>
  <c r="AY36" i="8"/>
  <c r="AY82" i="8" s="1"/>
  <c r="AX96" i="1"/>
  <c r="AX98" i="1" s="1"/>
  <c r="AX90" i="1" s="1"/>
  <c r="BM38" i="8"/>
  <c r="BB20" i="8"/>
  <c r="BC20" i="8" s="1"/>
  <c r="R89" i="4"/>
  <c r="R103" i="4" s="1"/>
  <c r="S29" i="8"/>
  <c r="BZ89" i="4"/>
  <c r="CA29" i="8"/>
  <c r="CA89" i="4" s="1"/>
  <c r="H96" i="1"/>
  <c r="H98" i="1" s="1"/>
  <c r="H90" i="1" s="1"/>
  <c r="H92" i="1" s="1"/>
  <c r="I36" i="8"/>
  <c r="BP96" i="1"/>
  <c r="BP98" i="1" s="1"/>
  <c r="BP90" i="1" s="1"/>
  <c r="BQ36" i="8"/>
  <c r="AM38" i="8"/>
  <c r="AN38" i="8" s="1"/>
  <c r="AO38" i="8" s="1"/>
  <c r="AO84" i="8" s="1"/>
  <c r="AL96" i="1"/>
  <c r="AL98" i="1" s="1"/>
  <c r="AL90" i="1" s="1"/>
  <c r="AL92" i="1" s="1"/>
  <c r="AL43" i="8"/>
  <c r="AT15" i="8"/>
  <c r="AT61" i="8" s="1"/>
  <c r="V95" i="4"/>
  <c r="V104" i="4" s="1"/>
  <c r="AG202" i="1"/>
  <c r="AT42" i="8"/>
  <c r="AT88" i="8" s="1"/>
  <c r="BX14" i="8"/>
  <c r="BX60" i="8" s="1"/>
  <c r="CN96" i="1"/>
  <c r="BT25" i="8"/>
  <c r="AY16" i="8"/>
  <c r="AY62" i="8" s="1"/>
  <c r="AW96" i="1"/>
  <c r="AW98" i="1" s="1"/>
  <c r="AW90" i="1" s="1"/>
  <c r="AW92" i="1" s="1"/>
  <c r="S96" i="1"/>
  <c r="S98" i="1" s="1"/>
  <c r="S90" i="1" s="1"/>
  <c r="S92" i="1" s="1"/>
  <c r="CL121" i="1"/>
  <c r="CN142" i="1"/>
  <c r="CN159" i="1" s="1"/>
  <c r="BH121" i="1"/>
  <c r="BH124" i="1"/>
  <c r="AI120" i="1"/>
  <c r="T121" i="1"/>
  <c r="BB180" i="4"/>
  <c r="AW186" i="4"/>
  <c r="BW191" i="4"/>
  <c r="BU202" i="4"/>
  <c r="BU203" i="4" s="1"/>
  <c r="CO42" i="4"/>
  <c r="BS114" i="4"/>
  <c r="AK110" i="8"/>
  <c r="BJ43" i="8"/>
  <c r="BJ47" i="8" s="1"/>
  <c r="Q25" i="8"/>
  <c r="Q100" i="8" s="1"/>
  <c r="Q102" i="8" s="1"/>
  <c r="CT13" i="8"/>
  <c r="CT94" i="4" s="1"/>
  <c r="CT95" i="4" s="1"/>
  <c r="CT104" i="4" s="1"/>
  <c r="AH101" i="8"/>
  <c r="AK43" i="8"/>
  <c r="AA33" i="8"/>
  <c r="AA47" i="8" s="1"/>
  <c r="N67" i="4"/>
  <c r="AO142" i="4"/>
  <c r="AO168" i="4" s="1"/>
  <c r="BO155" i="1"/>
  <c r="CB124" i="1"/>
  <c r="AD120" i="1"/>
  <c r="BE142" i="1"/>
  <c r="BE159" i="1" s="1"/>
  <c r="CX43" i="8"/>
  <c r="BV186" i="4"/>
  <c r="BV180" i="4" s="1"/>
  <c r="CY40" i="8"/>
  <c r="CY101" i="1" s="1"/>
  <c r="DB101" i="1" s="1"/>
  <c r="R13" i="8"/>
  <c r="BS48" i="8"/>
  <c r="BS94" i="8" s="1"/>
  <c r="AZ43" i="8"/>
  <c r="AZ47" i="8" s="1"/>
  <c r="CT28" i="8"/>
  <c r="CT33" i="8" s="1"/>
  <c r="AQ101" i="1"/>
  <c r="BU110" i="8"/>
  <c r="BM133" i="1"/>
  <c r="BC133" i="1"/>
  <c r="AN133" i="1"/>
  <c r="T124" i="1"/>
  <c r="AX29" i="8"/>
  <c r="AX89" i="4" s="1"/>
  <c r="BW129" i="4"/>
  <c r="BW123" i="4" s="1"/>
  <c r="BY121" i="4" s="1"/>
  <c r="BY131" i="4" s="1"/>
  <c r="AX135" i="4"/>
  <c r="AZ135" i="4" s="1"/>
  <c r="BA135" i="4" s="1"/>
  <c r="BB135" i="4" s="1"/>
  <c r="G98" i="1"/>
  <c r="G90" i="1" s="1"/>
  <c r="G92" i="1" s="1"/>
  <c r="AI145" i="1"/>
  <c r="AI141" i="1" s="1"/>
  <c r="AI158" i="1" s="1"/>
  <c r="DB53" i="4"/>
  <c r="AL198" i="4"/>
  <c r="AX136" i="4"/>
  <c r="AZ136" i="4" s="1"/>
  <c r="BA136" i="4" s="1"/>
  <c r="BB136" i="4" s="1"/>
  <c r="BU42" i="4"/>
  <c r="BU71" i="4" s="1"/>
  <c r="M177" i="4"/>
  <c r="AH36" i="8"/>
  <c r="I146" i="4"/>
  <c r="AF155" i="1"/>
  <c r="AX145" i="1"/>
  <c r="AX141" i="1" s="1"/>
  <c r="AX158" i="1" s="1"/>
  <c r="CO121" i="1"/>
  <c r="BW133" i="1"/>
  <c r="T145" i="1"/>
  <c r="T141" i="1" s="1"/>
  <c r="T158" i="1" s="1"/>
  <c r="Y145" i="1"/>
  <c r="Y141" i="1" s="1"/>
  <c r="Y158" i="1" s="1"/>
  <c r="BW141" i="1"/>
  <c r="BW158" i="1" s="1"/>
  <c r="CO183" i="4"/>
  <c r="CO187" i="4" s="1"/>
  <c r="CD96" i="1"/>
  <c r="CD98" i="1" s="1"/>
  <c r="CD90" i="1" s="1"/>
  <c r="BU29" i="8"/>
  <c r="CF74" i="4"/>
  <c r="AW74" i="4"/>
  <c r="AL204" i="4"/>
  <c r="AL203" i="4" s="1"/>
  <c r="M197" i="4"/>
  <c r="CQ209" i="4"/>
  <c r="R198" i="4"/>
  <c r="BV192" i="4"/>
  <c r="S184" i="4"/>
  <c r="S186" i="4" s="1"/>
  <c r="S180" i="4" s="1"/>
  <c r="AS57" i="4"/>
  <c r="AT57" i="4" s="1"/>
  <c r="AG38" i="8"/>
  <c r="AP93" i="8"/>
  <c r="AV197" i="4"/>
  <c r="CI123" i="1"/>
  <c r="CT155" i="1"/>
  <c r="CL97" i="1"/>
  <c r="CN97" i="1" s="1"/>
  <c r="CO97" i="1" s="1"/>
  <c r="CP97" i="1" s="1"/>
  <c r="CQ97" i="1" s="1"/>
  <c r="BM80" i="1"/>
  <c r="M95" i="4"/>
  <c r="M104" i="4" s="1"/>
  <c r="L43" i="8"/>
  <c r="P17" i="8"/>
  <c r="P63" i="8" s="1"/>
  <c r="AZ95" i="4"/>
  <c r="AZ104" i="4" s="1"/>
  <c r="K24" i="8"/>
  <c r="K70" i="8" s="1"/>
  <c r="AX13" i="8"/>
  <c r="AY13" i="8" s="1"/>
  <c r="CM20" i="8"/>
  <c r="CM66" i="8" s="1"/>
  <c r="AF89" i="4"/>
  <c r="BP172" i="4"/>
  <c r="BS141" i="4"/>
  <c r="BS167" i="4" s="1"/>
  <c r="BS121" i="1"/>
  <c r="BS125" i="1" s="1"/>
  <c r="BI83" i="1"/>
  <c r="AK201" i="1"/>
  <c r="K120" i="1"/>
  <c r="U121" i="1"/>
  <c r="X53" i="1"/>
  <c r="X66" i="1" s="1"/>
  <c r="X75" i="1" s="1"/>
  <c r="R155" i="1"/>
  <c r="BM124" i="1"/>
  <c r="AS133" i="1"/>
  <c r="AN121" i="1"/>
  <c r="AD123" i="1"/>
  <c r="T122" i="1"/>
  <c r="O120" i="1"/>
  <c r="BT166" i="1"/>
  <c r="BX197" i="4"/>
  <c r="J98" i="4"/>
  <c r="Q110" i="4"/>
  <c r="Q22" i="4" s="1"/>
  <c r="AJ91" i="4"/>
  <c r="AJ98" i="4" s="1"/>
  <c r="BN199" i="4"/>
  <c r="AU186" i="4"/>
  <c r="AW179" i="4"/>
  <c r="BW177" i="4"/>
  <c r="R115" i="4"/>
  <c r="R27" i="4" s="1"/>
  <c r="BB179" i="4"/>
  <c r="Q179" i="4"/>
  <c r="Y88" i="4"/>
  <c r="Y106" i="4" s="1"/>
  <c r="AA179" i="4"/>
  <c r="BO90" i="4"/>
  <c r="X22" i="4"/>
  <c r="BG177" i="4"/>
  <c r="BA179" i="4"/>
  <c r="AL23" i="4"/>
  <c r="CA177" i="4"/>
  <c r="BJ110" i="4"/>
  <c r="BJ22" i="4" s="1"/>
  <c r="BF110" i="4"/>
  <c r="BF22" i="4" s="1"/>
  <c r="BZ184" i="4"/>
  <c r="BZ186" i="4" s="1"/>
  <c r="BU184" i="4"/>
  <c r="BP204" i="4"/>
  <c r="BP203" i="4" s="1"/>
  <c r="BE203" i="4"/>
  <c r="BB204" i="4"/>
  <c r="BB203" i="4" s="1"/>
  <c r="AW202" i="4"/>
  <c r="BZ198" i="4"/>
  <c r="AW197" i="4"/>
  <c r="Y57" i="4"/>
  <c r="Y67" i="4" s="1"/>
  <c r="CR197" i="4"/>
  <c r="BL198" i="4"/>
  <c r="CX190" i="4"/>
  <c r="L96" i="1"/>
  <c r="L98" i="1" s="1"/>
  <c r="L90" i="1" s="1"/>
  <c r="AK94" i="4"/>
  <c r="AK117" i="4" s="1"/>
  <c r="BU38" i="8"/>
  <c r="CD25" i="8"/>
  <c r="CD100" i="8" s="1"/>
  <c r="CD102" i="8" s="1"/>
  <c r="CS110" i="8"/>
  <c r="V110" i="8"/>
  <c r="V111" i="8" s="1"/>
  <c r="V112" i="8" s="1"/>
  <c r="AG101" i="8"/>
  <c r="CB96" i="1"/>
  <c r="CB98" i="1" s="1"/>
  <c r="CB90" i="1" s="1"/>
  <c r="AU95" i="4"/>
  <c r="AU104" i="4" s="1"/>
  <c r="P24" i="8"/>
  <c r="P70" i="8" s="1"/>
  <c r="BU94" i="4"/>
  <c r="BU105" i="4" s="1"/>
  <c r="AN40" i="8"/>
  <c r="AN101" i="1" s="1"/>
  <c r="BD36" i="8"/>
  <c r="BD82" i="8" s="1"/>
  <c r="AK96" i="1"/>
  <c r="AK98" i="1" s="1"/>
  <c r="AK90" i="1" s="1"/>
  <c r="V33" i="8"/>
  <c r="X88" i="4"/>
  <c r="X106" i="4" s="1"/>
  <c r="BX133" i="1"/>
  <c r="AT185" i="4"/>
  <c r="BR74" i="4"/>
  <c r="BL202" i="4"/>
  <c r="BL203" i="4" s="1"/>
  <c r="AP203" i="4"/>
  <c r="P199" i="4"/>
  <c r="BC202" i="4"/>
  <c r="X204" i="4"/>
  <c r="Q74" i="4"/>
  <c r="I202" i="4"/>
  <c r="I203" i="4" s="1"/>
  <c r="AW113" i="4"/>
  <c r="AW25" i="4" s="1"/>
  <c r="AX98" i="4"/>
  <c r="AO42" i="8"/>
  <c r="AO88" i="8" s="1"/>
  <c r="P91" i="4"/>
  <c r="P98" i="4" s="1"/>
  <c r="Q111" i="4"/>
  <c r="Q23" i="4" s="1"/>
  <c r="CX179" i="4"/>
  <c r="S40" i="8"/>
  <c r="CG124" i="1"/>
  <c r="CB122" i="1"/>
  <c r="BH133" i="1"/>
  <c r="AD133" i="1"/>
  <c r="J121" i="1"/>
  <c r="Y87" i="4"/>
  <c r="BI134" i="4"/>
  <c r="AM98" i="4"/>
  <c r="CG136" i="4"/>
  <c r="CI136" i="4" s="1"/>
  <c r="CJ136" i="4" s="1"/>
  <c r="AT184" i="4"/>
  <c r="AT191" i="4" s="1"/>
  <c r="DD60" i="4"/>
  <c r="CX101" i="8"/>
  <c r="CX102" i="8" s="1"/>
  <c r="BY94" i="4"/>
  <c r="BY95" i="4" s="1"/>
  <c r="BY104" i="4" s="1"/>
  <c r="BY43" i="8"/>
  <c r="G43" i="8"/>
  <c r="CI43" i="8"/>
  <c r="CI47" i="8" s="1"/>
  <c r="CS88" i="4"/>
  <c r="CS106" i="4" s="1"/>
  <c r="BJ94" i="4"/>
  <c r="BJ95" i="4" s="1"/>
  <c r="BJ104" i="4" s="1"/>
  <c r="T147" i="4"/>
  <c r="CV155" i="1"/>
  <c r="BM121" i="1"/>
  <c r="BM125" i="1" s="1"/>
  <c r="AX120" i="1"/>
  <c r="AS121" i="1"/>
  <c r="AI121" i="1"/>
  <c r="O122" i="1"/>
  <c r="BD38" i="8"/>
  <c r="BD84" i="8" s="1"/>
  <c r="CQ141" i="1"/>
  <c r="CQ158" i="1" s="1"/>
  <c r="CT98" i="4"/>
  <c r="BL87" i="4"/>
  <c r="BL100" i="4" s="1"/>
  <c r="AB36" i="8"/>
  <c r="CE13" i="8"/>
  <c r="BA96" i="1"/>
  <c r="BA98" i="1" s="1"/>
  <c r="BA90" i="1" s="1"/>
  <c r="BA92" i="1" s="1"/>
  <c r="CC120" i="1"/>
  <c r="AO122" i="1"/>
  <c r="AE124" i="1"/>
  <c r="AE125" i="1" s="1"/>
  <c r="CW122" i="1"/>
  <c r="CW120" i="1"/>
  <c r="AD145" i="1"/>
  <c r="AD141" i="1" s="1"/>
  <c r="AD158" i="1" s="1"/>
  <c r="DB60" i="4"/>
  <c r="AB23" i="4"/>
  <c r="AF112" i="4"/>
  <c r="BE94" i="4"/>
  <c r="CT198" i="4"/>
  <c r="M42" i="4"/>
  <c r="AC197" i="4"/>
  <c r="Q198" i="4"/>
  <c r="I198" i="4"/>
  <c r="AY98" i="4"/>
  <c r="M186" i="4"/>
  <c r="V57" i="4"/>
  <c r="V67" i="4" s="1"/>
  <c r="AY198" i="4"/>
  <c r="BS113" i="4"/>
  <c r="V198" i="4"/>
  <c r="CG120" i="1"/>
  <c r="BN133" i="1"/>
  <c r="CA42" i="4"/>
  <c r="BM87" i="4"/>
  <c r="BM100" i="4" s="1"/>
  <c r="BO22" i="4"/>
  <c r="CD143" i="4"/>
  <c r="CD169" i="4" s="1"/>
  <c r="CC83" i="1"/>
  <c r="CB162" i="1"/>
  <c r="CD162" i="1" s="1"/>
  <c r="CE162" i="1" s="1"/>
  <c r="CF162" i="1" s="1"/>
  <c r="CG162" i="1" s="1"/>
  <c r="CH162" i="1" s="1"/>
  <c r="CH166" i="1" s="1"/>
  <c r="BT155" i="1"/>
  <c r="V155" i="1"/>
  <c r="BH166" i="1"/>
  <c r="J145" i="1"/>
  <c r="J141" i="1" s="1"/>
  <c r="J158" i="1" s="1"/>
  <c r="CB133" i="1"/>
  <c r="BR124" i="1"/>
  <c r="BR125" i="1" s="1"/>
  <c r="DD15" i="1"/>
  <c r="CO124" i="1"/>
  <c r="AT133" i="1"/>
  <c r="BX120" i="1"/>
  <c r="BX125" i="1" s="1"/>
  <c r="CH124" i="1"/>
  <c r="CR124" i="1"/>
  <c r="CC133" i="1"/>
  <c r="BD133" i="1"/>
  <c r="AO120" i="1"/>
  <c r="AO125" i="1" s="1"/>
  <c r="CM121" i="1"/>
  <c r="CH120" i="1"/>
  <c r="AY120" i="1"/>
  <c r="AY125" i="1" s="1"/>
  <c r="U124" i="1"/>
  <c r="BW120" i="1"/>
  <c r="AY133" i="1"/>
  <c r="BN120" i="1"/>
  <c r="BN125" i="1" s="1"/>
  <c r="BQ57" i="4"/>
  <c r="BQ67" i="4" s="1"/>
  <c r="AL112" i="4"/>
  <c r="AL24" i="4" s="1"/>
  <c r="AA192" i="4"/>
  <c r="CP74" i="4"/>
  <c r="CA202" i="4"/>
  <c r="CA203" i="4" s="1"/>
  <c r="CT183" i="4"/>
  <c r="CT187" i="4" s="1"/>
  <c r="CT194" i="4" s="1"/>
  <c r="BV202" i="4"/>
  <c r="BV203" i="4" s="1"/>
  <c r="AB202" i="4"/>
  <c r="AB203" i="4" s="1"/>
  <c r="CU209" i="4"/>
  <c r="CF202" i="4"/>
  <c r="CF203" i="4" s="1"/>
  <c r="BY96" i="1"/>
  <c r="AF43" i="8"/>
  <c r="G33" i="8"/>
  <c r="BT89" i="4"/>
  <c r="BT90" i="4" s="1"/>
  <c r="BG191" i="4"/>
  <c r="AR36" i="8"/>
  <c r="AS36" i="8" s="1"/>
  <c r="AT36" i="8" s="1"/>
  <c r="AT82" i="8" s="1"/>
  <c r="AH42" i="4"/>
  <c r="AH71" i="4" s="1"/>
  <c r="CE184" i="4"/>
  <c r="AV184" i="4"/>
  <c r="AV191" i="4" s="1"/>
  <c r="AR74" i="4"/>
  <c r="W184" i="4"/>
  <c r="W177" i="4" s="1"/>
  <c r="K65" i="4"/>
  <c r="W197" i="4"/>
  <c r="BN32" i="4"/>
  <c r="BN135" i="4" s="1"/>
  <c r="CP198" i="4"/>
  <c r="AL21" i="4"/>
  <c r="CB192" i="4"/>
  <c r="BC187" i="4"/>
  <c r="AQ192" i="4"/>
  <c r="W192" i="4"/>
  <c r="BK42" i="4"/>
  <c r="AQ198" i="4"/>
  <c r="CW20" i="4"/>
  <c r="CW91" i="4" s="1"/>
  <c r="BC186" i="4"/>
  <c r="T202" i="4"/>
  <c r="BP197" i="4"/>
  <c r="AN57" i="4"/>
  <c r="AO57" i="4" s="1"/>
  <c r="CJ151" i="4"/>
  <c r="CJ154" i="4" s="1"/>
  <c r="CK151" i="4" s="1"/>
  <c r="CK154" i="4" s="1"/>
  <c r="AH202" i="4"/>
  <c r="X202" i="4"/>
  <c r="N202" i="4"/>
  <c r="CM111" i="4"/>
  <c r="W36" i="8"/>
  <c r="W96" i="1" s="1"/>
  <c r="W98" i="1" s="1"/>
  <c r="W90" i="1" s="1"/>
  <c r="M29" i="8"/>
  <c r="AK88" i="4"/>
  <c r="AK106" i="4" s="1"/>
  <c r="Q93" i="8"/>
  <c r="AA71" i="8"/>
  <c r="AA93" i="8" s="1"/>
  <c r="CJ40" i="8"/>
  <c r="CJ43" i="8" s="1"/>
  <c r="BE88" i="4"/>
  <c r="BE106" i="4" s="1"/>
  <c r="BU30" i="8"/>
  <c r="BV30" i="8" s="1"/>
  <c r="BW30" i="8" s="1"/>
  <c r="AP101" i="8"/>
  <c r="AK89" i="4"/>
  <c r="CD101" i="1"/>
  <c r="CD103" i="1" s="1"/>
  <c r="CD91" i="1" s="1"/>
  <c r="CD92" i="1" s="1"/>
  <c r="CV203" i="4"/>
  <c r="AF15" i="8"/>
  <c r="CS208" i="4"/>
  <c r="CS209" i="4" s="1"/>
  <c r="CS174" i="4" s="1"/>
  <c r="BQ184" i="4"/>
  <c r="BQ191" i="4" s="1"/>
  <c r="R187" i="4"/>
  <c r="R194" i="4" s="1"/>
  <c r="DC15" i="1"/>
  <c r="BV145" i="1"/>
  <c r="BV141" i="1" s="1"/>
  <c r="BV158" i="1" s="1"/>
  <c r="Z185" i="4"/>
  <c r="CH185" i="4"/>
  <c r="CH192" i="4" s="1"/>
  <c r="P185" i="4"/>
  <c r="BX185" i="4"/>
  <c r="BX187" i="4" s="1"/>
  <c r="CR185" i="4"/>
  <c r="CR192" i="4" s="1"/>
  <c r="CS42" i="4"/>
  <c r="V98" i="4"/>
  <c r="AL42" i="4"/>
  <c r="AR42" i="4"/>
  <c r="AE208" i="4"/>
  <c r="AY208" i="4"/>
  <c r="BS208" i="4"/>
  <c r="U208" i="4"/>
  <c r="AO208" i="4"/>
  <c r="CC208" i="4"/>
  <c r="J198" i="4"/>
  <c r="O57" i="4"/>
  <c r="AK57" i="4"/>
  <c r="AK67" i="4" s="1"/>
  <c r="AK71" i="4" s="1"/>
  <c r="AP57" i="4"/>
  <c r="AP67" i="4" s="1"/>
  <c r="AP71" i="4" s="1"/>
  <c r="BO57" i="4"/>
  <c r="BO67" i="4" s="1"/>
  <c r="BO71" i="4" s="1"/>
  <c r="AH57" i="4"/>
  <c r="AH67" i="4" s="1"/>
  <c r="AM57" i="4"/>
  <c r="AM67" i="4" s="1"/>
  <c r="AM71" i="4" s="1"/>
  <c r="BG57" i="4"/>
  <c r="BG67" i="4" s="1"/>
  <c r="BL57" i="4"/>
  <c r="BL67" i="4" s="1"/>
  <c r="CA57" i="4"/>
  <c r="CA67" i="4" s="1"/>
  <c r="CK57" i="4"/>
  <c r="CK67" i="4" s="1"/>
  <c r="W202" i="4"/>
  <c r="CB123" i="4"/>
  <c r="CD121" i="4" s="1"/>
  <c r="BO209" i="4"/>
  <c r="AR71" i="8"/>
  <c r="AR93" i="8" s="1"/>
  <c r="H93" i="8"/>
  <c r="H96" i="8" s="1"/>
  <c r="M93" i="8"/>
  <c r="BT93" i="8"/>
  <c r="CI93" i="8"/>
  <c r="AJ153" i="1"/>
  <c r="AE188" i="1"/>
  <c r="AJ189" i="1" s="1"/>
  <c r="CZ33" i="8"/>
  <c r="I96" i="1"/>
  <c r="I98" i="1" s="1"/>
  <c r="AK25" i="8"/>
  <c r="AN120" i="1"/>
  <c r="AN125" i="1" s="1"/>
  <c r="Y123" i="1"/>
  <c r="K15" i="8"/>
  <c r="K61" i="8" s="1"/>
  <c r="R110" i="4"/>
  <c r="R22" i="4" s="1"/>
  <c r="AJ110" i="4"/>
  <c r="AJ112" i="4"/>
  <c r="Q177" i="4"/>
  <c r="AD186" i="4"/>
  <c r="AH74" i="4"/>
  <c r="BP57" i="4"/>
  <c r="BP67" i="4" s="1"/>
  <c r="BP71" i="4" s="1"/>
  <c r="BK197" i="4"/>
  <c r="AG198" i="4"/>
  <c r="BN114" i="4"/>
  <c r="CY57" i="4"/>
  <c r="CY67" i="4" s="1"/>
  <c r="CY71" i="4" s="1"/>
  <c r="CY5" i="4" s="1"/>
  <c r="BE25" i="8"/>
  <c r="CN25" i="8"/>
  <c r="CN100" i="8" s="1"/>
  <c r="AX57" i="4"/>
  <c r="BA113" i="4"/>
  <c r="BA25" i="4" s="1"/>
  <c r="BC120" i="1"/>
  <c r="AX122" i="1"/>
  <c r="Y133" i="1"/>
  <c r="AJ172" i="4"/>
  <c r="CD155" i="1"/>
  <c r="BN112" i="4"/>
  <c r="Q43" i="8"/>
  <c r="Q47" i="8" s="1"/>
  <c r="BS123" i="1"/>
  <c r="AS120" i="1"/>
  <c r="AD121" i="1"/>
  <c r="J123" i="1"/>
  <c r="CP98" i="4"/>
  <c r="CP117" i="4" s="1"/>
  <c r="BO25" i="8"/>
  <c r="AF142" i="1"/>
  <c r="X87" i="4"/>
  <c r="X100" i="4" s="1"/>
  <c r="AB98" i="4"/>
  <c r="AY136" i="4"/>
  <c r="BC136" i="1"/>
  <c r="BM145" i="1"/>
  <c r="BM141" i="1" s="1"/>
  <c r="BM158" i="1" s="1"/>
  <c r="BF13" i="8"/>
  <c r="CO101" i="1"/>
  <c r="CO103" i="1" s="1"/>
  <c r="CO91" i="1" s="1"/>
  <c r="L198" i="4"/>
  <c r="BA98" i="4"/>
  <c r="W100" i="4"/>
  <c r="AB57" i="4"/>
  <c r="AB67" i="4" s="1"/>
  <c r="AB71" i="4" s="1"/>
  <c r="AL113" i="4"/>
  <c r="AL25" i="4" s="1"/>
  <c r="O145" i="1"/>
  <c r="O141" i="1" s="1"/>
  <c r="O158" i="1" s="1"/>
  <c r="BR120" i="1"/>
  <c r="CX103" i="1"/>
  <c r="CX91" i="1" s="1"/>
  <c r="CT71" i="1"/>
  <c r="CW71" i="1" s="1"/>
  <c r="Z207" i="4"/>
  <c r="CO184" i="4"/>
  <c r="CO191" i="4" s="1"/>
  <c r="V192" i="4"/>
  <c r="V43" i="8"/>
  <c r="BK204" i="4"/>
  <c r="BK203" i="4" s="1"/>
  <c r="W204" i="4"/>
  <c r="CL209" i="4"/>
  <c r="BM134" i="4"/>
  <c r="BO134" i="4" s="1"/>
  <c r="AQ184" i="4"/>
  <c r="AQ177" i="4" s="1"/>
  <c r="AX192" i="4"/>
  <c r="S204" i="4"/>
  <c r="S203" i="4" s="1"/>
  <c r="W40" i="8"/>
  <c r="AG204" i="4"/>
  <c r="AG203" i="4" s="1"/>
  <c r="CF42" i="4"/>
  <c r="AD78" i="4"/>
  <c r="AD79" i="4" s="1"/>
  <c r="AD81" i="4" s="1"/>
  <c r="BN42" i="8"/>
  <c r="BN88" i="8" s="1"/>
  <c r="AG33" i="8"/>
  <c r="J38" i="8"/>
  <c r="K38" i="8" s="1"/>
  <c r="K84" i="8" s="1"/>
  <c r="CO38" i="8"/>
  <c r="AC13" i="8"/>
  <c r="AC94" i="4" s="1"/>
  <c r="AC95" i="4" s="1"/>
  <c r="AC104" i="4" s="1"/>
  <c r="AU25" i="8"/>
  <c r="AU47" i="8" s="1"/>
  <c r="L25" i="8"/>
  <c r="L100" i="8" s="1"/>
  <c r="L102" i="8" s="1"/>
  <c r="AJ18" i="8"/>
  <c r="AJ64" i="8" s="1"/>
  <c r="AY142" i="4"/>
  <c r="AY168" i="4" s="1"/>
  <c r="V121" i="1"/>
  <c r="CI29" i="1"/>
  <c r="CI202" i="1"/>
  <c r="CI22" i="4"/>
  <c r="BT146" i="1"/>
  <c r="BT144" i="1" s="1"/>
  <c r="BH120" i="1"/>
  <c r="U142" i="4"/>
  <c r="U168" i="4" s="1"/>
  <c r="W155" i="1"/>
  <c r="CC162" i="1"/>
  <c r="BJ155" i="1"/>
  <c r="AD124" i="1"/>
  <c r="Y120" i="1"/>
  <c r="Y125" i="1" s="1"/>
  <c r="O123" i="1"/>
  <c r="Q178" i="4"/>
  <c r="BC110" i="8"/>
  <c r="L90" i="4"/>
  <c r="AN174" i="4"/>
  <c r="BD13" i="8"/>
  <c r="BD110" i="8" s="1"/>
  <c r="AC103" i="4"/>
  <c r="AE172" i="4"/>
  <c r="BC57" i="4"/>
  <c r="Q98" i="4"/>
  <c r="Q117" i="4" s="1"/>
  <c r="AG197" i="4"/>
  <c r="N21" i="4"/>
  <c r="BH98" i="4"/>
  <c r="BI115" i="4"/>
  <c r="BZ202" i="4"/>
  <c r="BZ203" i="4" s="1"/>
  <c r="BP184" i="4"/>
  <c r="BP177" i="4" s="1"/>
  <c r="BG202" i="4"/>
  <c r="BG203" i="4" s="1"/>
  <c r="AW204" i="4"/>
  <c r="AR202" i="4"/>
  <c r="AG184" i="4"/>
  <c r="AG177" i="4" s="1"/>
  <c r="CR199" i="4"/>
  <c r="BZ57" i="4"/>
  <c r="BZ67" i="4" s="1"/>
  <c r="BL42" i="4"/>
  <c r="BS87" i="4"/>
  <c r="BS100" i="4" s="1"/>
  <c r="BN115" i="4"/>
  <c r="AP115" i="4"/>
  <c r="AP27" i="4" s="1"/>
  <c r="V96" i="1"/>
  <c r="V98" i="1" s="1"/>
  <c r="V90" i="1" s="1"/>
  <c r="AA95" i="4"/>
  <c r="AA104" i="4" s="1"/>
  <c r="CJ103" i="4"/>
  <c r="AK33" i="8"/>
  <c r="BE33" i="8"/>
  <c r="CQ159" i="4"/>
  <c r="X184" i="4"/>
  <c r="X191" i="4" s="1"/>
  <c r="O184" i="4"/>
  <c r="O186" i="4" s="1"/>
  <c r="O178" i="4" s="1"/>
  <c r="AU96" i="1"/>
  <c r="AU98" i="1" s="1"/>
  <c r="AU90" i="1" s="1"/>
  <c r="BS30" i="8"/>
  <c r="BS76" i="8" s="1"/>
  <c r="CY89" i="8"/>
  <c r="CC31" i="8"/>
  <c r="CC77" i="8" s="1"/>
  <c r="AE141" i="4"/>
  <c r="CG121" i="1"/>
  <c r="AX121" i="1"/>
  <c r="AX125" i="1" s="1"/>
  <c r="AI133" i="1"/>
  <c r="O133" i="1"/>
  <c r="V197" i="4"/>
  <c r="BO23" i="4"/>
  <c r="BN111" i="4"/>
  <c r="BT25" i="4"/>
  <c r="AR109" i="4"/>
  <c r="AR21" i="4" s="1"/>
  <c r="CY28" i="8"/>
  <c r="BZ13" i="8"/>
  <c r="BR133" i="1"/>
  <c r="J122" i="1"/>
  <c r="AN93" i="1"/>
  <c r="AP89" i="1" s="1"/>
  <c r="AX134" i="4"/>
  <c r="AZ134" i="4" s="1"/>
  <c r="BA134" i="4" s="1"/>
  <c r="BB134" i="4" s="1"/>
  <c r="BS32" i="4"/>
  <c r="BR134" i="4"/>
  <c r="BT134" i="4" s="1"/>
  <c r="BU134" i="4" s="1"/>
  <c r="BV134" i="4" s="1"/>
  <c r="BT95" i="4"/>
  <c r="BT104" i="4" s="1"/>
  <c r="BW166" i="1"/>
  <c r="BY155" i="1"/>
  <c r="L155" i="1"/>
  <c r="AE123" i="1"/>
  <c r="CW124" i="1"/>
  <c r="DF10" i="1"/>
  <c r="DK10" i="1" s="1"/>
  <c r="DP10" i="1" s="1"/>
  <c r="AN145" i="1"/>
  <c r="AN141" i="1" s="1"/>
  <c r="AN158" i="1" s="1"/>
  <c r="CX93" i="8"/>
  <c r="CS32" i="1"/>
  <c r="AH112" i="4"/>
  <c r="AH24" i="4" s="1"/>
  <c r="BV87" i="4"/>
  <c r="BV100" i="4" s="1"/>
  <c r="P198" i="4"/>
  <c r="AV198" i="4"/>
  <c r="S67" i="4"/>
  <c r="L199" i="4"/>
  <c r="AR179" i="4"/>
  <c r="AH26" i="4"/>
  <c r="L197" i="4"/>
  <c r="BQ42" i="4"/>
  <c r="BT203" i="4"/>
  <c r="W24" i="4"/>
  <c r="BW124" i="1"/>
  <c r="BW125" i="1" s="1"/>
  <c r="CN155" i="1"/>
  <c r="BZ131" i="1"/>
  <c r="CH123" i="1"/>
  <c r="CR121" i="1"/>
  <c r="CH122" i="1"/>
  <c r="BD120" i="1"/>
  <c r="BD125" i="1" s="1"/>
  <c r="CM120" i="1"/>
  <c r="BI124" i="1"/>
  <c r="BI125" i="1" s="1"/>
  <c r="CO123" i="1"/>
  <c r="BB197" i="4"/>
  <c r="BT98" i="4"/>
  <c r="BT117" i="4" s="1"/>
  <c r="CO159" i="4"/>
  <c r="CF184" i="4"/>
  <c r="CF177" i="4" s="1"/>
  <c r="AZ96" i="1"/>
  <c r="AB24" i="4"/>
  <c r="CA74" i="4"/>
  <c r="BL74" i="4"/>
  <c r="BL78" i="4" s="1"/>
  <c r="BL79" i="4" s="1"/>
  <c r="BL81" i="4" s="1"/>
  <c r="AQ202" i="4"/>
  <c r="BM136" i="4"/>
  <c r="BO136" i="4" s="1"/>
  <c r="BP136" i="4" s="1"/>
  <c r="BQ136" i="4" s="1"/>
  <c r="CF198" i="4"/>
  <c r="CK197" i="4"/>
  <c r="CB42" i="4"/>
  <c r="CC42" i="4" s="1"/>
  <c r="AP187" i="4"/>
  <c r="AP194" i="4" s="1"/>
  <c r="CV40" i="4"/>
  <c r="CV42" i="4" s="1"/>
  <c r="AF187" i="4"/>
  <c r="AF194" i="4" s="1"/>
  <c r="AX186" i="4"/>
  <c r="AX180" i="4" s="1"/>
  <c r="AC184" i="4"/>
  <c r="CP184" i="4"/>
  <c r="CP191" i="4" s="1"/>
  <c r="BH74" i="4"/>
  <c r="AI74" i="4"/>
  <c r="O74" i="4"/>
  <c r="BF28" i="8"/>
  <c r="R28" i="8"/>
  <c r="CP93" i="8"/>
  <c r="BO33" i="8"/>
  <c r="BW192" i="4"/>
  <c r="AT11" i="1"/>
  <c r="BN11" i="1"/>
  <c r="CH11" i="1"/>
  <c r="BI14" i="1"/>
  <c r="CC14" i="1"/>
  <c r="AY17" i="1"/>
  <c r="BS17" i="1"/>
  <c r="CM17" i="1"/>
  <c r="BD20" i="1"/>
  <c r="CR20" i="1"/>
  <c r="AE91" i="1"/>
  <c r="AX123" i="1"/>
  <c r="BH123" i="1"/>
  <c r="BW123" i="1"/>
  <c r="BK123" i="1"/>
  <c r="H172" i="1"/>
  <c r="AG172" i="1"/>
  <c r="AQ136" i="1"/>
  <c r="AV172" i="1"/>
  <c r="BP145" i="1"/>
  <c r="BP141" i="1" s="1"/>
  <c r="BP158" i="1" s="1"/>
  <c r="BZ145" i="1"/>
  <c r="BZ141" i="1" s="1"/>
  <c r="BZ158" i="1" s="1"/>
  <c r="CJ145" i="1"/>
  <c r="CJ141" i="1" s="1"/>
  <c r="BR146" i="1"/>
  <c r="AY163" i="1"/>
  <c r="BI185" i="4"/>
  <c r="BI192" i="4" s="1"/>
  <c r="CC185" i="4"/>
  <c r="BM57" i="4"/>
  <c r="BM67" i="4" s="1"/>
  <c r="BN67" i="4" s="1"/>
  <c r="CL203" i="4"/>
  <c r="AL209" i="4"/>
  <c r="AC209" i="4"/>
  <c r="AH174" i="4" s="1"/>
  <c r="AB93" i="8"/>
  <c r="AG93" i="8"/>
  <c r="AU93" i="8"/>
  <c r="AW93" i="8"/>
  <c r="G93" i="8"/>
  <c r="G96" i="8" s="1"/>
  <c r="G53" i="1"/>
  <c r="G66" i="1" s="1"/>
  <c r="G72" i="1" s="1"/>
  <c r="CY71" i="8"/>
  <c r="CZ24" i="8"/>
  <c r="CZ25" i="8" s="1"/>
  <c r="K29" i="8"/>
  <c r="K75" i="8" s="1"/>
  <c r="J89" i="4"/>
  <c r="J103" i="4" s="1"/>
  <c r="P14" i="8"/>
  <c r="P60" i="8" s="1"/>
  <c r="BY47" i="8"/>
  <c r="CM12" i="8"/>
  <c r="CM58" i="8" s="1"/>
  <c r="BA25" i="8"/>
  <c r="BA100" i="8" s="1"/>
  <c r="BA102" i="8" s="1"/>
  <c r="BB105" i="4"/>
  <c r="AU202" i="1"/>
  <c r="Q53" i="1"/>
  <c r="Q66" i="1" s="1"/>
  <c r="BA80" i="1"/>
  <c r="BC140" i="4"/>
  <c r="BA173" i="4"/>
  <c r="CA172" i="4"/>
  <c r="CH211" i="1"/>
  <c r="CB166" i="1"/>
  <c r="BW201" i="1"/>
  <c r="AL202" i="1"/>
  <c r="CT44" i="1"/>
  <c r="CT34" i="1"/>
  <c r="CT35" i="1" s="1"/>
  <c r="CR39" i="1"/>
  <c r="CH153" i="1"/>
  <c r="CT145" i="4"/>
  <c r="CQ32" i="1"/>
  <c r="CQ33" i="1" s="1"/>
  <c r="CN38" i="1"/>
  <c r="DD18" i="1"/>
  <c r="AU123" i="1"/>
  <c r="V136" i="1"/>
  <c r="Z136" i="1" s="1"/>
  <c r="X136" i="1"/>
  <c r="AQ142" i="1"/>
  <c r="BA155" i="1"/>
  <c r="BZ155" i="1"/>
  <c r="I172" i="1"/>
  <c r="I175" i="1" s="1"/>
  <c r="I171" i="1" s="1"/>
  <c r="I178" i="1" s="1"/>
  <c r="N172" i="1"/>
  <c r="N169" i="1" s="1"/>
  <c r="N165" i="1" s="1"/>
  <c r="N177" i="1" s="1"/>
  <c r="X172" i="1"/>
  <c r="AH172" i="1"/>
  <c r="AH169" i="1" s="1"/>
  <c r="AH165" i="1" s="1"/>
  <c r="AH177" i="1" s="1"/>
  <c r="AM172" i="1"/>
  <c r="AM169" i="1" s="1"/>
  <c r="AM165" i="1" s="1"/>
  <c r="AM177" i="1" s="1"/>
  <c r="AW172" i="1"/>
  <c r="AW169" i="1" s="1"/>
  <c r="AW165" i="1" s="1"/>
  <c r="AW177" i="1" s="1"/>
  <c r="BB172" i="1"/>
  <c r="BB169" i="1" s="1"/>
  <c r="BB165" i="1" s="1"/>
  <c r="BB177" i="1" s="1"/>
  <c r="BQ172" i="1"/>
  <c r="BQ169" i="1" s="1"/>
  <c r="BV172" i="1"/>
  <c r="BV169" i="1" s="1"/>
  <c r="CT32" i="1"/>
  <c r="CZ186" i="1"/>
  <c r="CZ202" i="1"/>
  <c r="BV175" i="1"/>
  <c r="BV171" i="1" s="1"/>
  <c r="BV178" i="1" s="1"/>
  <c r="CT185" i="1"/>
  <c r="CT142" i="4"/>
  <c r="CT168" i="4" s="1"/>
  <c r="CC153" i="1"/>
  <c r="BN153" i="1"/>
  <c r="CE184" i="1"/>
  <c r="CN46" i="1"/>
  <c r="BE131" i="1"/>
  <c r="N133" i="1"/>
  <c r="AW133" i="1"/>
  <c r="BC155" i="1"/>
  <c r="K71" i="1"/>
  <c r="P71" i="1"/>
  <c r="U71" i="1"/>
  <c r="Z71" i="1"/>
  <c r="AE71" i="1"/>
  <c r="AJ71" i="1"/>
  <c r="V53" i="1"/>
  <c r="V66" i="1" s="1"/>
  <c r="V72" i="1" s="1"/>
  <c r="AN80" i="1"/>
  <c r="BL175" i="1"/>
  <c r="BL171" i="1" s="1"/>
  <c r="BL178" i="1" s="1"/>
  <c r="CT63" i="1"/>
  <c r="CT141" i="4"/>
  <c r="CT167" i="4" s="1"/>
  <c r="CT166" i="4" s="1"/>
  <c r="BX153" i="1"/>
  <c r="BQ155" i="1"/>
  <c r="X155" i="1"/>
  <c r="CU27" i="1"/>
  <c r="CZ184" i="1"/>
  <c r="CZ201" i="1"/>
  <c r="BS153" i="1"/>
  <c r="BN17" i="1"/>
  <c r="AY20" i="1"/>
  <c r="L100" i="4"/>
  <c r="L105" i="4" s="1"/>
  <c r="M21" i="4"/>
  <c r="BA114" i="4"/>
  <c r="BA26" i="4" s="1"/>
  <c r="AZ114" i="4"/>
  <c r="AZ26" i="4" s="1"/>
  <c r="BB114" i="4"/>
  <c r="BB26" i="4" s="1"/>
  <c r="L103" i="4"/>
  <c r="BW88" i="4"/>
  <c r="BW106" i="4" s="1"/>
  <c r="T29" i="8"/>
  <c r="T89" i="4" s="1"/>
  <c r="S89" i="4"/>
  <c r="BX13" i="8"/>
  <c r="BW94" i="4"/>
  <c r="BW95" i="4" s="1"/>
  <c r="BW104" i="4" s="1"/>
  <c r="BW110" i="8"/>
  <c r="Z38" i="8"/>
  <c r="Z84" i="8" s="1"/>
  <c r="CB43" i="8"/>
  <c r="CO43" i="8"/>
  <c r="CO96" i="1"/>
  <c r="CO98" i="1" s="1"/>
  <c r="CO90" i="1" s="1"/>
  <c r="CP38" i="8"/>
  <c r="CP96" i="1" s="1"/>
  <c r="AO36" i="8"/>
  <c r="AO82" i="8" s="1"/>
  <c r="CB101" i="1"/>
  <c r="CC101" i="1" s="1"/>
  <c r="CC40" i="8"/>
  <c r="CC86" i="8" s="1"/>
  <c r="BV110" i="8"/>
  <c r="BV94" i="4"/>
  <c r="AI21" i="8"/>
  <c r="AJ21" i="8" s="1"/>
  <c r="AJ67" i="8" s="1"/>
  <c r="BC40" i="8"/>
  <c r="BC101" i="1" s="1"/>
  <c r="BB101" i="1"/>
  <c r="BB103" i="1" s="1"/>
  <c r="BB91" i="1" s="1"/>
  <c r="BV31" i="8"/>
  <c r="BW31" i="8" s="1"/>
  <c r="BX31" i="8" s="1"/>
  <c r="BX77" i="8" s="1"/>
  <c r="CC36" i="8"/>
  <c r="CC82" i="8" s="1"/>
  <c r="CA96" i="1"/>
  <c r="CA98" i="1" s="1"/>
  <c r="CA90" i="1" s="1"/>
  <c r="CA92" i="1" s="1"/>
  <c r="BC95" i="4"/>
  <c r="BC104" i="4" s="1"/>
  <c r="BC105" i="4"/>
  <c r="CC32" i="8"/>
  <c r="CC78" i="8" s="1"/>
  <c r="AD13" i="8"/>
  <c r="AE13" i="8" s="1"/>
  <c r="AC110" i="8"/>
  <c r="AC111" i="8" s="1"/>
  <c r="AC112" i="8" s="1"/>
  <c r="J88" i="4"/>
  <c r="J106" i="4" s="1"/>
  <c r="K28" i="8"/>
  <c r="BY100" i="8"/>
  <c r="N42" i="8"/>
  <c r="O42" i="8" s="1"/>
  <c r="P42" i="8"/>
  <c r="P88" i="8" s="1"/>
  <c r="AI13" i="8"/>
  <c r="BN38" i="8"/>
  <c r="BN84" i="8" s="1"/>
  <c r="CJ90" i="4"/>
  <c r="AM13" i="8"/>
  <c r="CK33" i="8"/>
  <c r="CF40" i="8"/>
  <c r="Z28" i="8"/>
  <c r="BC88" i="4"/>
  <c r="BC106" i="4" s="1"/>
  <c r="CM88" i="4"/>
  <c r="AZ105" i="4"/>
  <c r="CY43" i="8"/>
  <c r="CM38" i="8"/>
  <c r="CM84" i="8" s="1"/>
  <c r="BR38" i="8"/>
  <c r="CU38" i="8"/>
  <c r="AH94" i="4"/>
  <c r="AH95" i="4" s="1"/>
  <c r="AH104" i="4" s="1"/>
  <c r="CA43" i="8"/>
  <c r="AQ75" i="4"/>
  <c r="AQ78" i="4" s="1"/>
  <c r="AQ79" i="4" s="1"/>
  <c r="AQ81" i="4" s="1"/>
  <c r="AQ80" i="1"/>
  <c r="AY188" i="1"/>
  <c r="AY172" i="4"/>
  <c r="AZ173" i="4"/>
  <c r="AY141" i="4"/>
  <c r="AY167" i="4" s="1"/>
  <c r="AY145" i="4"/>
  <c r="BB172" i="4"/>
  <c r="BB173" i="4"/>
  <c r="AZ172" i="4"/>
  <c r="BA174" i="4"/>
  <c r="BA172" i="4"/>
  <c r="CE75" i="4"/>
  <c r="CE78" i="4" s="1"/>
  <c r="CE79" i="4" s="1"/>
  <c r="CE81" i="4" s="1"/>
  <c r="CE80" i="1"/>
  <c r="CA146" i="1"/>
  <c r="CA142" i="1" s="1"/>
  <c r="CA159" i="1" s="1"/>
  <c r="CA136" i="1"/>
  <c r="CR44" i="1"/>
  <c r="CU173" i="4"/>
  <c r="CR141" i="4"/>
  <c r="CR167" i="4" s="1"/>
  <c r="CS172" i="4"/>
  <c r="CE186" i="1"/>
  <c r="CJ173" i="4"/>
  <c r="CH173" i="4"/>
  <c r="BG136" i="1"/>
  <c r="BY184" i="1"/>
  <c r="BK155" i="1"/>
  <c r="CW143" i="4"/>
  <c r="CW169" i="4" s="1"/>
  <c r="CL123" i="1"/>
  <c r="CD166" i="1"/>
  <c r="AL142" i="1"/>
  <c r="AL159" i="1" s="1"/>
  <c r="AL155" i="1"/>
  <c r="CP138" i="1"/>
  <c r="CP136" i="1" s="1"/>
  <c r="BX155" i="1"/>
  <c r="BX137" i="1"/>
  <c r="BX166" i="1" s="1"/>
  <c r="BS137" i="1"/>
  <c r="BS166" i="1" s="1"/>
  <c r="AJ138" i="1"/>
  <c r="W142" i="1"/>
  <c r="W159" i="1" s="1"/>
  <c r="W146" i="4"/>
  <c r="AY11" i="1"/>
  <c r="N122" i="1"/>
  <c r="S122" i="1"/>
  <c r="AC124" i="1"/>
  <c r="AC125" i="1" s="1"/>
  <c r="R53" i="1"/>
  <c r="R66" i="1" s="1"/>
  <c r="R75" i="1" s="1"/>
  <c r="R81" i="1" s="1"/>
  <c r="CQ155" i="1"/>
  <c r="CM151" i="1"/>
  <c r="CR155" i="1" s="1"/>
  <c r="CD138" i="1"/>
  <c r="CH138" i="1" s="1"/>
  <c r="BD151" i="1"/>
  <c r="BQ121" i="1"/>
  <c r="BQ125" i="1" s="1"/>
  <c r="BL121" i="1"/>
  <c r="BG120" i="1"/>
  <c r="BG125" i="1" s="1"/>
  <c r="BB121" i="1"/>
  <c r="AW124" i="1"/>
  <c r="AW125" i="1" s="1"/>
  <c r="AR122" i="1"/>
  <c r="AM124" i="1"/>
  <c r="AM125" i="1" s="1"/>
  <c r="AH123" i="1"/>
  <c r="N121" i="1"/>
  <c r="N125" i="1" s="1"/>
  <c r="I121" i="1"/>
  <c r="I124" i="1"/>
  <c r="BQ133" i="1"/>
  <c r="BS29" i="1"/>
  <c r="BL131" i="1"/>
  <c r="AO189" i="1"/>
  <c r="Z138" i="1"/>
  <c r="AY29" i="1"/>
  <c r="AV172" i="4"/>
  <c r="AB142" i="1"/>
  <c r="AB159" i="1" s="1"/>
  <c r="V124" i="1"/>
  <c r="U183" i="1"/>
  <c r="U195" i="1" s="1"/>
  <c r="CI201" i="1"/>
  <c r="BT136" i="1"/>
  <c r="BX136" i="1" s="1"/>
  <c r="BT141" i="1"/>
  <c r="BT158" i="1" s="1"/>
  <c r="BN155" i="1"/>
  <c r="BO172" i="1"/>
  <c r="BO175" i="1" s="1"/>
  <c r="BO171" i="1" s="1"/>
  <c r="BO178" i="1" s="1"/>
  <c r="BP202" i="1"/>
  <c r="BY172" i="1"/>
  <c r="M147" i="4"/>
  <c r="AC122" i="1"/>
  <c r="CR71" i="1"/>
  <c r="T202" i="1"/>
  <c r="BL124" i="1"/>
  <c r="BB120" i="1"/>
  <c r="AR124" i="1"/>
  <c r="AR125" i="1" s="1"/>
  <c r="AM122" i="1"/>
  <c r="S123" i="1"/>
  <c r="AM133" i="1"/>
  <c r="X120" i="1"/>
  <c r="AO151" i="1"/>
  <c r="AT155" i="1" s="1"/>
  <c r="X123" i="1"/>
  <c r="AT20" i="1"/>
  <c r="K64" i="1"/>
  <c r="P64" i="1"/>
  <c r="AE64" i="1"/>
  <c r="AY123" i="1"/>
  <c r="AO123" i="1"/>
  <c r="BX64" i="1"/>
  <c r="BL38" i="1"/>
  <c r="BQ172" i="4"/>
  <c r="AQ78" i="1"/>
  <c r="AN78" i="1"/>
  <c r="AW172" i="4"/>
  <c r="AY183" i="1"/>
  <c r="AY195" i="1" s="1"/>
  <c r="V142" i="1"/>
  <c r="BA201" i="1"/>
  <c r="DI10" i="1"/>
  <c r="DD12" i="1"/>
  <c r="CZ133" i="1"/>
  <c r="CU133" i="1"/>
  <c r="K29" i="1"/>
  <c r="AE29" i="1"/>
  <c r="CC74" i="1"/>
  <c r="CD74" i="1"/>
  <c r="CE74" i="1" s="1"/>
  <c r="CF74" i="1" s="1"/>
  <c r="CG74" i="1" s="1"/>
  <c r="CI74" i="1" s="1"/>
  <c r="CX129" i="1"/>
  <c r="CS117" i="1"/>
  <c r="CS121" i="1" s="1"/>
  <c r="AR131" i="1"/>
  <c r="AW131" i="1"/>
  <c r="BV131" i="1"/>
  <c r="CF131" i="1"/>
  <c r="CA131" i="1"/>
  <c r="G124" i="1"/>
  <c r="G120" i="1"/>
  <c r="L123" i="1"/>
  <c r="L121" i="1"/>
  <c r="Q122" i="1"/>
  <c r="Q120" i="1"/>
  <c r="V133" i="1"/>
  <c r="AA120" i="1"/>
  <c r="AA124" i="1"/>
  <c r="AF124" i="1"/>
  <c r="AF121" i="1"/>
  <c r="AK122" i="1"/>
  <c r="AK121" i="1"/>
  <c r="AP123" i="1"/>
  <c r="AP122" i="1"/>
  <c r="AU120" i="1"/>
  <c r="AU124" i="1"/>
  <c r="AZ123" i="1"/>
  <c r="AZ124" i="1"/>
  <c r="BE133" i="1"/>
  <c r="BJ124" i="1"/>
  <c r="BJ121" i="1"/>
  <c r="BJ123" i="1"/>
  <c r="BJ120" i="1"/>
  <c r="BO123" i="1"/>
  <c r="BO124" i="1"/>
  <c r="BT124" i="1"/>
  <c r="BT121" i="1"/>
  <c r="BT122" i="1"/>
  <c r="BT133" i="1"/>
  <c r="BT120" i="1"/>
  <c r="BY120" i="1"/>
  <c r="BY123" i="1"/>
  <c r="BY122" i="1"/>
  <c r="BY124" i="1"/>
  <c r="BY133" i="1"/>
  <c r="BY121" i="1"/>
  <c r="CD122" i="1"/>
  <c r="CD133" i="1"/>
  <c r="CD121" i="1"/>
  <c r="CD124" i="1"/>
  <c r="CI120" i="1"/>
  <c r="CI121" i="1"/>
  <c r="CI124" i="1"/>
  <c r="CI133" i="1"/>
  <c r="CP122" i="1"/>
  <c r="CP124" i="1"/>
  <c r="CP123" i="1"/>
  <c r="L166" i="1"/>
  <c r="P137" i="1"/>
  <c r="P166" i="1" s="1"/>
  <c r="L172" i="1"/>
  <c r="L145" i="1"/>
  <c r="V145" i="1"/>
  <c r="Z137" i="1"/>
  <c r="V172" i="1"/>
  <c r="V166" i="1"/>
  <c r="AE137" i="1"/>
  <c r="AE166" i="1" s="1"/>
  <c r="AA172" i="1"/>
  <c r="AA169" i="1" s="1"/>
  <c r="AA145" i="1"/>
  <c r="AA141" i="1" s="1"/>
  <c r="AA158" i="1" s="1"/>
  <c r="AF136" i="1"/>
  <c r="AJ136" i="1" s="1"/>
  <c r="AF172" i="1"/>
  <c r="AO137" i="1"/>
  <c r="AO166" i="1" s="1"/>
  <c r="AK145" i="1"/>
  <c r="AK172" i="1"/>
  <c r="AK166" i="1"/>
  <c r="AT137" i="1"/>
  <c r="AT166" i="1" s="1"/>
  <c r="AP145" i="1"/>
  <c r="AP141" i="1" s="1"/>
  <c r="AP158" i="1" s="1"/>
  <c r="AY137" i="1"/>
  <c r="AY166" i="1" s="1"/>
  <c r="AU172" i="1"/>
  <c r="AU166" i="1"/>
  <c r="BE145" i="1"/>
  <c r="BE144" i="1" s="1"/>
  <c r="BI137" i="1"/>
  <c r="BI166" i="1" s="1"/>
  <c r="BJ172" i="1"/>
  <c r="BJ169" i="1" s="1"/>
  <c r="BJ165" i="1" s="1"/>
  <c r="BJ177" i="1" s="1"/>
  <c r="BJ145" i="1"/>
  <c r="BN137" i="1"/>
  <c r="BN166" i="1" s="1"/>
  <c r="CW137" i="1"/>
  <c r="CS145" i="1"/>
  <c r="CS141" i="1" s="1"/>
  <c r="N138" i="1"/>
  <c r="M155" i="1"/>
  <c r="AC138" i="1"/>
  <c r="AC146" i="1" s="1"/>
  <c r="AC144" i="1" s="1"/>
  <c r="AB155" i="1"/>
  <c r="AG155" i="1"/>
  <c r="H146" i="4"/>
  <c r="H53" i="1"/>
  <c r="H66" i="1" s="1"/>
  <c r="H72" i="1" s="1"/>
  <c r="CW153" i="1"/>
  <c r="CX136" i="1"/>
  <c r="CM153" i="1"/>
  <c r="CH154" i="1"/>
  <c r="CC154" i="1"/>
  <c r="BX154" i="1"/>
  <c r="BN154" i="1"/>
  <c r="BI154" i="1"/>
  <c r="BD154" i="1"/>
  <c r="AY154" i="1"/>
  <c r="AJ120" i="1"/>
  <c r="AJ122" i="1"/>
  <c r="AO133" i="1"/>
  <c r="AJ124" i="1"/>
  <c r="AJ123" i="1"/>
  <c r="AJ133" i="1"/>
  <c r="AK148" i="1"/>
  <c r="AJ148" i="1"/>
  <c r="Z120" i="1"/>
  <c r="Z124" i="1"/>
  <c r="Z122" i="1"/>
  <c r="AE133" i="1"/>
  <c r="Z121" i="1"/>
  <c r="AA148" i="1"/>
  <c r="Z153" i="1"/>
  <c r="AE153" i="1"/>
  <c r="P124" i="1"/>
  <c r="P123" i="1"/>
  <c r="P120" i="1"/>
  <c r="P122" i="1"/>
  <c r="P133" i="1"/>
  <c r="U133" i="1"/>
  <c r="Q148" i="1"/>
  <c r="P148" i="1"/>
  <c r="U153" i="1"/>
  <c r="K166" i="1"/>
  <c r="CS46" i="1"/>
  <c r="CS146" i="4" s="1"/>
  <c r="CS38" i="1"/>
  <c r="CO40" i="1"/>
  <c r="CO46" i="1"/>
  <c r="CO147" i="4" s="1"/>
  <c r="CV173" i="4"/>
  <c r="CV34" i="1"/>
  <c r="CP146" i="1"/>
  <c r="CP144" i="1" s="1"/>
  <c r="BF75" i="4"/>
  <c r="BF78" i="4" s="1"/>
  <c r="BF79" i="4" s="1"/>
  <c r="BF81" i="4" s="1"/>
  <c r="AT183" i="1"/>
  <c r="AT195" i="1" s="1"/>
  <c r="AW201" i="1"/>
  <c r="AI175" i="1"/>
  <c r="AI171" i="1" s="1"/>
  <c r="AI178" i="1" s="1"/>
  <c r="CJ98" i="1"/>
  <c r="CJ90" i="1" s="1"/>
  <c r="AF145" i="1"/>
  <c r="AF141" i="1" s="1"/>
  <c r="AF158" i="1" s="1"/>
  <c r="BJ122" i="1"/>
  <c r="CA123" i="1"/>
  <c r="CD120" i="1"/>
  <c r="AK120" i="1"/>
  <c r="CU146" i="1"/>
  <c r="CU142" i="1" s="1"/>
  <c r="CU159" i="1" s="1"/>
  <c r="CU136" i="1"/>
  <c r="L120" i="1"/>
  <c r="AF201" i="1"/>
  <c r="N202" i="1"/>
  <c r="AA136" i="1"/>
  <c r="AE136" i="1" s="1"/>
  <c r="CY142" i="4"/>
  <c r="CY168" i="4" s="1"/>
  <c r="DI86" i="8"/>
  <c r="DJ86" i="8" s="1"/>
  <c r="DK86" i="8" s="1"/>
  <c r="O202" i="1"/>
  <c r="Y202" i="1"/>
  <c r="K40" i="1"/>
  <c r="AY44" i="1"/>
  <c r="BJ148" i="1"/>
  <c r="BE148" i="1"/>
  <c r="AY148" i="1"/>
  <c r="AZ148" i="1"/>
  <c r="AT153" i="1"/>
  <c r="AT148" i="1"/>
  <c r="AU148" i="1"/>
  <c r="K148" i="1"/>
  <c r="L148" i="1"/>
  <c r="Q201" i="1"/>
  <c r="AM201" i="1"/>
  <c r="AH201" i="1"/>
  <c r="CH185" i="1"/>
  <c r="CH196" i="1" s="1"/>
  <c r="P29" i="1"/>
  <c r="P91" i="1"/>
  <c r="Z91" i="1"/>
  <c r="AO91" i="1"/>
  <c r="AY91" i="1"/>
  <c r="AV136" i="1"/>
  <c r="BU166" i="1"/>
  <c r="BU145" i="1"/>
  <c r="CE136" i="1"/>
  <c r="Y136" i="1"/>
  <c r="CG136" i="1"/>
  <c r="J172" i="1"/>
  <c r="J169" i="1" s="1"/>
  <c r="J165" i="1" s="1"/>
  <c r="J177" i="1" s="1"/>
  <c r="O172" i="1"/>
  <c r="U163" i="1"/>
  <c r="AD172" i="1"/>
  <c r="AD175" i="1" s="1"/>
  <c r="AJ163" i="1"/>
  <c r="AX172" i="1"/>
  <c r="AX175" i="1" s="1"/>
  <c r="AX171" i="1" s="1"/>
  <c r="AX178" i="1" s="1"/>
  <c r="BC172" i="1"/>
  <c r="BC175" i="1" s="1"/>
  <c r="BC171" i="1" s="1"/>
  <c r="BC178" i="1" s="1"/>
  <c r="BN163" i="1"/>
  <c r="BR172" i="1"/>
  <c r="BR169" i="1" s="1"/>
  <c r="BR165" i="1" s="1"/>
  <c r="BR177" i="1" s="1"/>
  <c r="AN202" i="1"/>
  <c r="CD186" i="1"/>
  <c r="U46" i="1"/>
  <c r="U191" i="1" s="1"/>
  <c r="U64" i="1"/>
  <c r="Z64" i="1"/>
  <c r="AJ64" i="1"/>
  <c r="AO64" i="1"/>
  <c r="AT64" i="1"/>
  <c r="AY64" i="1"/>
  <c r="BS64" i="1"/>
  <c r="CC64" i="1"/>
  <c r="CR154" i="1"/>
  <c r="CM154" i="1"/>
  <c r="P154" i="1"/>
  <c r="CI98" i="1"/>
  <c r="CI90" i="1" s="1"/>
  <c r="AP148" i="1"/>
  <c r="AF148" i="1"/>
  <c r="AE148" i="1"/>
  <c r="V148" i="1"/>
  <c r="L53" i="1"/>
  <c r="L66" i="1" s="1"/>
  <c r="CT27" i="1"/>
  <c r="BO100" i="4"/>
  <c r="BO105" i="4" s="1"/>
  <c r="BT111" i="4"/>
  <c r="BT23" i="4" s="1"/>
  <c r="BU111" i="4"/>
  <c r="BU23" i="4" s="1"/>
  <c r="U110" i="4"/>
  <c r="BU186" i="4"/>
  <c r="BU180" i="4" s="1"/>
  <c r="Z57" i="4"/>
  <c r="S109" i="4"/>
  <c r="S21" i="4" s="1"/>
  <c r="R109" i="4"/>
  <c r="R21" i="4" s="1"/>
  <c r="O207" i="4"/>
  <c r="O209" i="4" s="1"/>
  <c r="CM198" i="4"/>
  <c r="CM197" i="4"/>
  <c r="U192" i="4"/>
  <c r="AP179" i="4"/>
  <c r="AP186" i="4"/>
  <c r="AP191" i="4"/>
  <c r="BX98" i="4"/>
  <c r="T40" i="4"/>
  <c r="BS197" i="4"/>
  <c r="AE197" i="4"/>
  <c r="AE198" i="4"/>
  <c r="CL179" i="4"/>
  <c r="BJ98" i="4"/>
  <c r="BK87" i="4"/>
  <c r="BK100" i="4" s="1"/>
  <c r="BP110" i="4"/>
  <c r="BP22" i="4" s="1"/>
  <c r="BQ110" i="4"/>
  <c r="BQ22" i="4" s="1"/>
  <c r="BT100" i="4"/>
  <c r="BT105" i="4" s="1"/>
  <c r="CL30" i="4"/>
  <c r="CK40" i="4"/>
  <c r="CK42" i="4" s="1"/>
  <c r="AV135" i="4"/>
  <c r="AW135" i="4" s="1"/>
  <c r="AZ179" i="4"/>
  <c r="AZ177" i="4"/>
  <c r="O193" i="4"/>
  <c r="DA22" i="8"/>
  <c r="DA68" i="8" s="1"/>
  <c r="DB38" i="4"/>
  <c r="DD38" i="4" s="1"/>
  <c r="DF38" i="4" s="1"/>
  <c r="DH38" i="4" s="1"/>
  <c r="DJ38" i="4" s="1"/>
  <c r="BJ177" i="4"/>
  <c r="BJ186" i="4"/>
  <c r="BJ191" i="4"/>
  <c r="X179" i="4"/>
  <c r="O191" i="4"/>
  <c r="I191" i="4"/>
  <c r="I179" i="4"/>
  <c r="K29" i="4"/>
  <c r="J40" i="4"/>
  <c r="J207" i="4"/>
  <c r="J209" i="4" s="1"/>
  <c r="BQ111" i="4"/>
  <c r="BQ23" i="4" s="1"/>
  <c r="BP111" i="4"/>
  <c r="BP23" i="4" s="1"/>
  <c r="AP87" i="4"/>
  <c r="CZ74" i="4"/>
  <c r="CY202" i="4"/>
  <c r="CY204" i="4"/>
  <c r="DG39" i="4"/>
  <c r="CJ23" i="4"/>
  <c r="BK109" i="4"/>
  <c r="BK21" i="4" s="1"/>
  <c r="BJ109" i="4"/>
  <c r="BJ21" i="4" s="1"/>
  <c r="AW111" i="4"/>
  <c r="AW23" i="4" s="1"/>
  <c r="AU111" i="4"/>
  <c r="AU23" i="4" s="1"/>
  <c r="CA110" i="4"/>
  <c r="CA22" i="4" s="1"/>
  <c r="BY110" i="4"/>
  <c r="BY22" i="4" s="1"/>
  <c r="BZ110" i="4"/>
  <c r="BZ22" i="4" s="1"/>
  <c r="CV187" i="4"/>
  <c r="CV190" i="4"/>
  <c r="CV179" i="4"/>
  <c r="CV186" i="4"/>
  <c r="CV193" i="4" s="1"/>
  <c r="CW183" i="4"/>
  <c r="AQ112" i="4"/>
  <c r="AQ24" i="4" s="1"/>
  <c r="CO186" i="4"/>
  <c r="BC194" i="4"/>
  <c r="CW184" i="4"/>
  <c r="CW191" i="4" s="1"/>
  <c r="CW204" i="4"/>
  <c r="AV125" i="4"/>
  <c r="AU123" i="4"/>
  <c r="AU36" i="4"/>
  <c r="BX192" i="4"/>
  <c r="AU113" i="4"/>
  <c r="AU25" i="4" s="1"/>
  <c r="BZ109" i="4"/>
  <c r="BZ21" i="4" s="1"/>
  <c r="BY87" i="4"/>
  <c r="BY100" i="4" s="1"/>
  <c r="AX87" i="4"/>
  <c r="AW98" i="4"/>
  <c r="CA179" i="4"/>
  <c r="CA186" i="4"/>
  <c r="AC112" i="4"/>
  <c r="AC24" i="4" s="1"/>
  <c r="AA112" i="4"/>
  <c r="AA24" i="4" s="1"/>
  <c r="BD199" i="4"/>
  <c r="Y91" i="4"/>
  <c r="CG112" i="4"/>
  <c r="CI112" i="4" s="1"/>
  <c r="CB113" i="4"/>
  <c r="CD113" i="4" s="1"/>
  <c r="CD25" i="4" s="1"/>
  <c r="BW111" i="4"/>
  <c r="AO199" i="4"/>
  <c r="AM23" i="4"/>
  <c r="CR183" i="4"/>
  <c r="CR190" i="4" s="1"/>
  <c r="BR109" i="4"/>
  <c r="AA174" i="4"/>
  <c r="CN57" i="4"/>
  <c r="I74" i="4"/>
  <c r="Y109" i="4"/>
  <c r="Y113" i="4"/>
  <c r="BT198" i="4"/>
  <c r="CD57" i="4"/>
  <c r="CD67" i="4" s="1"/>
  <c r="CD71" i="4" s="1"/>
  <c r="CB109" i="4"/>
  <c r="CD109" i="4" s="1"/>
  <c r="CE109" i="4" s="1"/>
  <c r="CI202" i="4"/>
  <c r="CI203" i="4" s="1"/>
  <c r="BW112" i="4"/>
  <c r="CD202" i="4"/>
  <c r="CD203" i="4" s="1"/>
  <c r="BA74" i="4"/>
  <c r="AK202" i="4"/>
  <c r="AF184" i="4"/>
  <c r="CS157" i="4"/>
  <c r="CY157" i="4"/>
  <c r="CY96" i="4"/>
  <c r="CZ93" i="4" s="1"/>
  <c r="M203" i="4"/>
  <c r="N197" i="4"/>
  <c r="CL57" i="4"/>
  <c r="CQ57" i="4"/>
  <c r="P208" i="4"/>
  <c r="AJ208" i="4"/>
  <c r="BD208" i="4"/>
  <c r="Z208" i="4"/>
  <c r="AT208" i="4"/>
  <c r="AG57" i="4"/>
  <c r="AG67" i="4" s="1"/>
  <c r="BA57" i="4"/>
  <c r="BA67" i="4" s="1"/>
  <c r="BA71" i="4" s="1"/>
  <c r="BF57" i="4"/>
  <c r="BF67" i="4" s="1"/>
  <c r="BK57" i="4"/>
  <c r="BK67" i="4" s="1"/>
  <c r="CE57" i="4"/>
  <c r="CE67" i="4" s="1"/>
  <c r="CJ57" i="4"/>
  <c r="CW77" i="4"/>
  <c r="Q67" i="4"/>
  <c r="Q71" i="4" s="1"/>
  <c r="AY126" i="4"/>
  <c r="CC126" i="4"/>
  <c r="AZ127" i="4"/>
  <c r="BA125" i="4" s="1"/>
  <c r="BA127" i="4" s="1"/>
  <c r="CD131" i="4"/>
  <c r="CT157" i="4"/>
  <c r="CU183" i="4"/>
  <c r="CU190" i="4" s="1"/>
  <c r="CV157" i="4"/>
  <c r="CR207" i="4"/>
  <c r="CH207" i="4"/>
  <c r="CH209" i="4" s="1"/>
  <c r="L42" i="4"/>
  <c r="AZ42" i="4"/>
  <c r="AZ71" i="4" s="1"/>
  <c r="BT42" i="4"/>
  <c r="CX209" i="4"/>
  <c r="CY183" i="4"/>
  <c r="CZ151" i="4"/>
  <c r="CZ153" i="4" s="1"/>
  <c r="CZ157" i="4"/>
  <c r="Y115" i="4"/>
  <c r="AC115" i="4" s="1"/>
  <c r="AC27" i="4" s="1"/>
  <c r="CC20" i="4"/>
  <c r="CC113" i="4" s="1"/>
  <c r="BW29" i="4"/>
  <c r="BM113" i="4"/>
  <c r="CB135" i="4"/>
  <c r="CD135" i="4" s="1"/>
  <c r="CE135" i="4" s="1"/>
  <c r="CF135" i="4" s="1"/>
  <c r="AX191" i="4"/>
  <c r="BW115" i="4"/>
  <c r="AM25" i="4"/>
  <c r="H204" i="4"/>
  <c r="H203" i="4" s="1"/>
  <c r="Y114" i="4"/>
  <c r="CS197" i="4"/>
  <c r="Z20" i="4"/>
  <c r="Z109" i="4" s="1"/>
  <c r="CS198" i="4"/>
  <c r="CI57" i="4"/>
  <c r="CI67" i="4" s="1"/>
  <c r="CI71" i="4" s="1"/>
  <c r="BY204" i="4"/>
  <c r="AE185" i="4"/>
  <c r="AE192" i="4" s="1"/>
  <c r="N209" i="4"/>
  <c r="N174" i="4" s="1"/>
  <c r="CG209" i="4"/>
  <c r="CG174" i="4" s="1"/>
  <c r="CX151" i="4"/>
  <c r="CX153" i="4" s="1"/>
  <c r="CX157" i="4"/>
  <c r="CY151" i="4"/>
  <c r="CY153" i="4" s="1"/>
  <c r="AT55" i="1"/>
  <c r="CP140" i="4"/>
  <c r="BO140" i="4"/>
  <c r="CE140" i="4"/>
  <c r="AK166" i="4"/>
  <c r="AS140" i="4"/>
  <c r="CK166" i="4"/>
  <c r="AS166" i="4"/>
  <c r="X110" i="8"/>
  <c r="X111" i="8" s="1"/>
  <c r="X112" i="8" s="1"/>
  <c r="X76" i="1" s="1"/>
  <c r="BL32" i="8"/>
  <c r="BM32" i="8" s="1"/>
  <c r="AR39" i="8"/>
  <c r="AS39" i="8" s="1"/>
  <c r="AT39" i="8" s="1"/>
  <c r="AT85" i="8" s="1"/>
  <c r="AQ43" i="8"/>
  <c r="V105" i="8"/>
  <c r="AS38" i="8"/>
  <c r="AS96" i="1" s="1"/>
  <c r="AS98" i="1" s="1"/>
  <c r="AS90" i="1" s="1"/>
  <c r="AS92" i="1" s="1"/>
  <c r="AR96" i="1"/>
  <c r="AR98" i="1" s="1"/>
  <c r="AR90" i="1" s="1"/>
  <c r="AR92" i="1" s="1"/>
  <c r="BL24" i="8"/>
  <c r="BM24" i="8" s="1"/>
  <c r="BB43" i="8"/>
  <c r="CY15" i="8"/>
  <c r="DB15" i="8" s="1"/>
  <c r="DB61" i="8" s="1"/>
  <c r="CX94" i="4"/>
  <c r="CX117" i="4" s="1"/>
  <c r="CY13" i="8"/>
  <c r="BO178" i="4"/>
  <c r="BO177" i="4"/>
  <c r="BE180" i="4"/>
  <c r="AB193" i="4"/>
  <c r="AQ174" i="4"/>
  <c r="BO180" i="4"/>
  <c r="H177" i="4"/>
  <c r="AP177" i="4"/>
  <c r="AH40" i="8"/>
  <c r="AG101" i="1"/>
  <c r="AG43" i="8"/>
  <c r="M96" i="1"/>
  <c r="M98" i="1" s="1"/>
  <c r="M90" i="1" s="1"/>
  <c r="M92" i="1" s="1"/>
  <c r="M43" i="8"/>
  <c r="BV101" i="1"/>
  <c r="BV103" i="1" s="1"/>
  <c r="BV91" i="1" s="1"/>
  <c r="BW40" i="8"/>
  <c r="BX40" i="8" s="1"/>
  <c r="BX86" i="8" s="1"/>
  <c r="BK98" i="1"/>
  <c r="AR24" i="8"/>
  <c r="AS24" i="8" s="1"/>
  <c r="AQ25" i="8"/>
  <c r="AQ100" i="8" s="1"/>
  <c r="AW42" i="8"/>
  <c r="AX42" i="8" s="1"/>
  <c r="AF117" i="4"/>
  <c r="AF95" i="4"/>
  <c r="AF104" i="4" s="1"/>
  <c r="U38" i="8"/>
  <c r="U84" i="8" s="1"/>
  <c r="N96" i="1"/>
  <c r="N98" i="1" s="1"/>
  <c r="N90" i="1" s="1"/>
  <c r="N92" i="1" s="1"/>
  <c r="O36" i="8"/>
  <c r="CG18" i="8"/>
  <c r="CH18" i="8" s="1"/>
  <c r="CH64" i="8" s="1"/>
  <c r="CU13" i="8"/>
  <c r="CG38" i="8"/>
  <c r="N23" i="8"/>
  <c r="O23" i="8" s="1"/>
  <c r="CF29" i="8"/>
  <c r="CE89" i="4"/>
  <c r="CC42" i="8"/>
  <c r="CC88" i="8" s="1"/>
  <c r="BV18" i="8"/>
  <c r="BW18" i="8" s="1"/>
  <c r="AI88" i="4"/>
  <c r="AI106" i="4" s="1"/>
  <c r="AJ28" i="8"/>
  <c r="N39" i="8"/>
  <c r="K16" i="8"/>
  <c r="K62" i="8" s="1"/>
  <c r="BH31" i="8"/>
  <c r="BI31" i="8" s="1"/>
  <c r="BI77" i="8" s="1"/>
  <c r="CD47" i="8"/>
  <c r="AS18" i="8"/>
  <c r="AT18" i="8" s="1"/>
  <c r="AT64" i="8" s="1"/>
  <c r="CP16" i="8"/>
  <c r="CQ16" i="8" s="1"/>
  <c r="CR16" i="8" s="1"/>
  <c r="CR62" i="8" s="1"/>
  <c r="CO25" i="8"/>
  <c r="CO100" i="8" s="1"/>
  <c r="BP89" i="4"/>
  <c r="BQ29" i="8"/>
  <c r="I32" i="8"/>
  <c r="J32" i="8" s="1"/>
  <c r="H33" i="8"/>
  <c r="R43" i="8"/>
  <c r="S42" i="8"/>
  <c r="AK100" i="8"/>
  <c r="AK102" i="8" s="1"/>
  <c r="AK105" i="8" s="1"/>
  <c r="BD39" i="8"/>
  <c r="BD85" i="8" s="1"/>
  <c r="N94" i="4"/>
  <c r="N95" i="4" s="1"/>
  <c r="N104" i="4" s="1"/>
  <c r="AI101" i="8"/>
  <c r="T96" i="1"/>
  <c r="T98" i="1" s="1"/>
  <c r="T90" i="1" s="1"/>
  <c r="Z31" i="8"/>
  <c r="Z77" i="8" s="1"/>
  <c r="BB12" i="8"/>
  <c r="BC12" i="8" s="1"/>
  <c r="CG20" i="8"/>
  <c r="CH20" i="8" s="1"/>
  <c r="CH66" i="8" s="1"/>
  <c r="K42" i="8"/>
  <c r="K88" i="8" s="1"/>
  <c r="CI102" i="8"/>
  <c r="AS40" i="8"/>
  <c r="AS101" i="1" s="1"/>
  <c r="AT101" i="1" s="1"/>
  <c r="H43" i="8"/>
  <c r="CB29" i="8"/>
  <c r="CB89" i="4" s="1"/>
  <c r="DC61" i="4"/>
  <c r="DD61" i="4" s="1"/>
  <c r="DE61" i="4" s="1"/>
  <c r="DF61" i="4" s="1"/>
  <c r="DB12" i="4"/>
  <c r="DA31" i="8"/>
  <c r="AP46" i="1"/>
  <c r="AP53" i="1" s="1"/>
  <c r="AP66" i="1" s="1"/>
  <c r="AP75" i="1" s="1"/>
  <c r="AP79" i="1" s="1"/>
  <c r="AP38" i="1"/>
  <c r="AF38" i="1"/>
  <c r="AF46" i="1"/>
  <c r="AF53" i="1" s="1"/>
  <c r="AF66" i="1" s="1"/>
  <c r="AF72" i="1" s="1"/>
  <c r="AF40" i="1"/>
  <c r="CJ202" i="1"/>
  <c r="BV78" i="1"/>
  <c r="CE78" i="1"/>
  <c r="AE163" i="1"/>
  <c r="CG146" i="1"/>
  <c r="CG142" i="1" s="1"/>
  <c r="CG159" i="1" s="1"/>
  <c r="P163" i="1"/>
  <c r="CY34" i="1"/>
  <c r="CY35" i="1" s="1"/>
  <c r="CY40" i="1"/>
  <c r="DH16" i="1"/>
  <c r="CS40" i="1"/>
  <c r="P185" i="1"/>
  <c r="P196" i="1" s="1"/>
  <c r="AB40" i="1"/>
  <c r="CN62" i="1"/>
  <c r="CN64" i="1" s="1"/>
  <c r="S146" i="4"/>
  <c r="DA12" i="1"/>
  <c r="BG144" i="1"/>
  <c r="CN133" i="1"/>
  <c r="CY185" i="1"/>
  <c r="CY186" i="1" s="1"/>
  <c r="CY44" i="1"/>
  <c r="AC166" i="4"/>
  <c r="CY141" i="4"/>
  <c r="K38" i="1"/>
  <c r="N53" i="1"/>
  <c r="N66" i="1" s="1"/>
  <c r="N72" i="1" s="1"/>
  <c r="CF155" i="1"/>
  <c r="Y146" i="1"/>
  <c r="Y142" i="1" s="1"/>
  <c r="P46" i="1"/>
  <c r="P147" i="4" s="1"/>
  <c r="DF13" i="1"/>
  <c r="DK13" i="1" s="1"/>
  <c r="DP13" i="1" s="1"/>
  <c r="AM202" i="1"/>
  <c r="X147" i="4"/>
  <c r="N147" i="4"/>
  <c r="BM140" i="4"/>
  <c r="BJ173" i="4"/>
  <c r="BD163" i="1"/>
  <c r="Z46" i="1"/>
  <c r="Z147" i="4" s="1"/>
  <c r="BM172" i="1"/>
  <c r="BM175" i="1" s="1"/>
  <c r="BM171" i="1" s="1"/>
  <c r="BM178" i="1" s="1"/>
  <c r="AX131" i="1"/>
  <c r="BR136" i="1"/>
  <c r="CY38" i="1"/>
  <c r="CF186" i="1"/>
  <c r="AY131" i="1"/>
  <c r="BX123" i="1"/>
  <c r="S53" i="1"/>
  <c r="S66" i="1" s="1"/>
  <c r="S72" i="1" s="1"/>
  <c r="CS53" i="1"/>
  <c r="CS54" i="1" s="1"/>
  <c r="CG201" i="1"/>
  <c r="BI155" i="1"/>
  <c r="BU172" i="1"/>
  <c r="BN123" i="1"/>
  <c r="BD64" i="1"/>
  <c r="BI64" i="1"/>
  <c r="CY123" i="1"/>
  <c r="CY124" i="1"/>
  <c r="CY122" i="1"/>
  <c r="CS155" i="1"/>
  <c r="CT138" i="1"/>
  <c r="CT146" i="1" s="1"/>
  <c r="CT142" i="1" s="1"/>
  <c r="CM125" i="1"/>
  <c r="CY129" i="1"/>
  <c r="CT117" i="1"/>
  <c r="CT122" i="1" s="1"/>
  <c r="CT129" i="1"/>
  <c r="AS131" i="1"/>
  <c r="BC131" i="1"/>
  <c r="BC123" i="1"/>
  <c r="BH131" i="1"/>
  <c r="BM131" i="1"/>
  <c r="BM123" i="1"/>
  <c r="BR131" i="1"/>
  <c r="BR123" i="1"/>
  <c r="CB123" i="1"/>
  <c r="CG131" i="1"/>
  <c r="H123" i="1"/>
  <c r="H121" i="1"/>
  <c r="H122" i="1"/>
  <c r="H124" i="1"/>
  <c r="M133" i="1"/>
  <c r="M123" i="1"/>
  <c r="M122" i="1"/>
  <c r="M120" i="1"/>
  <c r="M124" i="1"/>
  <c r="M121" i="1"/>
  <c r="R120" i="1"/>
  <c r="R124" i="1"/>
  <c r="R133" i="1"/>
  <c r="R122" i="1"/>
  <c r="R121" i="1"/>
  <c r="W124" i="1"/>
  <c r="W122" i="1"/>
  <c r="W121" i="1"/>
  <c r="W123" i="1"/>
  <c r="W133" i="1"/>
  <c r="AB122" i="1"/>
  <c r="AB120" i="1"/>
  <c r="AB133" i="1"/>
  <c r="AB123" i="1"/>
  <c r="AG124" i="1"/>
  <c r="AG133" i="1"/>
  <c r="AG121" i="1"/>
  <c r="AG122" i="1"/>
  <c r="AG120" i="1"/>
  <c r="AL120" i="1"/>
  <c r="AL124" i="1"/>
  <c r="AL122" i="1"/>
  <c r="AL133" i="1"/>
  <c r="AL123" i="1"/>
  <c r="AQ124" i="1"/>
  <c r="AQ123" i="1"/>
  <c r="AQ120" i="1"/>
  <c r="AQ122" i="1"/>
  <c r="AV123" i="1"/>
  <c r="AV133" i="1"/>
  <c r="AV124" i="1"/>
  <c r="AV120" i="1"/>
  <c r="AV121" i="1"/>
  <c r="BA121" i="1"/>
  <c r="BA124" i="1"/>
  <c r="BA122" i="1"/>
  <c r="BA123" i="1"/>
  <c r="BA133" i="1"/>
  <c r="BF120" i="1"/>
  <c r="BF123" i="1"/>
  <c r="BF122" i="1"/>
  <c r="BF133" i="1"/>
  <c r="BF121" i="1"/>
  <c r="BK122" i="1"/>
  <c r="BK133" i="1"/>
  <c r="BK120" i="1"/>
  <c r="BP121" i="1"/>
  <c r="BP133" i="1"/>
  <c r="BP120" i="1"/>
  <c r="BP123" i="1"/>
  <c r="BU123" i="1"/>
  <c r="BU121" i="1"/>
  <c r="BU124" i="1"/>
  <c r="BU133" i="1"/>
  <c r="BU120" i="1"/>
  <c r="BZ124" i="1"/>
  <c r="BZ121" i="1"/>
  <c r="CE121" i="1"/>
  <c r="CE120" i="1"/>
  <c r="CE133" i="1"/>
  <c r="CE123" i="1"/>
  <c r="CE124" i="1"/>
  <c r="CJ121" i="1"/>
  <c r="CO133" i="1"/>
  <c r="CJ120" i="1"/>
  <c r="CJ123" i="1"/>
  <c r="CJ133" i="1"/>
  <c r="CQ120" i="1"/>
  <c r="CQ123" i="1"/>
  <c r="CQ124" i="1"/>
  <c r="H166" i="1"/>
  <c r="H145" i="1"/>
  <c r="H141" i="1" s="1"/>
  <c r="H158" i="1" s="1"/>
  <c r="H136" i="1"/>
  <c r="M166" i="1"/>
  <c r="M172" i="1"/>
  <c r="M136" i="1"/>
  <c r="R166" i="1"/>
  <c r="R145" i="1"/>
  <c r="U145" i="1" s="1"/>
  <c r="R172" i="1"/>
  <c r="R136" i="1"/>
  <c r="W145" i="1"/>
  <c r="W144" i="1" s="1"/>
  <c r="W136" i="1"/>
  <c r="W172" i="1"/>
  <c r="W169" i="1" s="1"/>
  <c r="W165" i="1" s="1"/>
  <c r="W177" i="1" s="1"/>
  <c r="AB145" i="1"/>
  <c r="AB141" i="1" s="1"/>
  <c r="AB158" i="1" s="1"/>
  <c r="AB172" i="1"/>
  <c r="AG166" i="1"/>
  <c r="AG136" i="1"/>
  <c r="AG145" i="1"/>
  <c r="AL145" i="1"/>
  <c r="AL166" i="1"/>
  <c r="AL172" i="1"/>
  <c r="AL136" i="1"/>
  <c r="AQ172" i="1"/>
  <c r="AQ175" i="1" s="1"/>
  <c r="AQ171" i="1" s="1"/>
  <c r="AQ178" i="1" s="1"/>
  <c r="AQ145" i="1"/>
  <c r="AQ141" i="1" s="1"/>
  <c r="AQ158" i="1" s="1"/>
  <c r="AV166" i="1"/>
  <c r="AV169" i="1" s="1"/>
  <c r="AV165" i="1" s="1"/>
  <c r="AV177" i="1" s="1"/>
  <c r="AV145" i="1"/>
  <c r="AV141" i="1" s="1"/>
  <c r="AV158" i="1" s="1"/>
  <c r="BA172" i="1"/>
  <c r="BA145" i="1"/>
  <c r="BA141" i="1" s="1"/>
  <c r="BA158" i="1" s="1"/>
  <c r="BA166" i="1"/>
  <c r="BF145" i="1"/>
  <c r="BI145" i="1" s="1"/>
  <c r="BI141" i="1" s="1"/>
  <c r="BI158" i="1" s="1"/>
  <c r="BF172" i="1"/>
  <c r="BF175" i="1" s="1"/>
  <c r="BF171" i="1" s="1"/>
  <c r="BF178" i="1" s="1"/>
  <c r="BK166" i="1"/>
  <c r="BK145" i="1"/>
  <c r="BK141" i="1" s="1"/>
  <c r="BK158" i="1" s="1"/>
  <c r="BK172" i="1"/>
  <c r="BK136" i="1"/>
  <c r="BP172" i="1"/>
  <c r="BP166" i="1"/>
  <c r="BZ172" i="1"/>
  <c r="BZ166" i="1"/>
  <c r="J136" i="1"/>
  <c r="J146" i="1"/>
  <c r="J144" i="1" s="1"/>
  <c r="O138" i="1"/>
  <c r="N155" i="1"/>
  <c r="S155" i="1"/>
  <c r="AD138" i="1"/>
  <c r="AC155" i="1"/>
  <c r="AI146" i="1"/>
  <c r="AI142" i="1" s="1"/>
  <c r="AI136" i="1"/>
  <c r="AN138" i="1"/>
  <c r="AN146" i="1" s="1"/>
  <c r="AM155" i="1"/>
  <c r="AS138" i="1"/>
  <c r="AS146" i="1" s="1"/>
  <c r="AR155" i="1"/>
  <c r="AX138" i="1"/>
  <c r="AW155" i="1"/>
  <c r="BB155" i="1"/>
  <c r="BH138" i="1"/>
  <c r="BH136" i="1" s="1"/>
  <c r="BG155" i="1"/>
  <c r="BV155" i="1"/>
  <c r="BW138" i="1"/>
  <c r="CQ138" i="1"/>
  <c r="CQ146" i="1" s="1"/>
  <c r="CQ144" i="1" s="1"/>
  <c r="CP155" i="1"/>
  <c r="CC163" i="1"/>
  <c r="CD163" i="1"/>
  <c r="CB172" i="1"/>
  <c r="Z163" i="1"/>
  <c r="Y172" i="1"/>
  <c r="Y169" i="1" s="1"/>
  <c r="Y165" i="1" s="1"/>
  <c r="Y177" i="1" s="1"/>
  <c r="AN172" i="1"/>
  <c r="AO163" i="1"/>
  <c r="BC169" i="1"/>
  <c r="BC165" i="1" s="1"/>
  <c r="BC177" i="1" s="1"/>
  <c r="AD202" i="1"/>
  <c r="BW202" i="1"/>
  <c r="CP202" i="1"/>
  <c r="CU186" i="1"/>
  <c r="CV124" i="1"/>
  <c r="CV123" i="1"/>
  <c r="CV133" i="1"/>
  <c r="CV121" i="1"/>
  <c r="CV120" i="1"/>
  <c r="CH131" i="1"/>
  <c r="CC123" i="1"/>
  <c r="CC131" i="1"/>
  <c r="BI123" i="1"/>
  <c r="BI131" i="1"/>
  <c r="BD131" i="1"/>
  <c r="BD123" i="1"/>
  <c r="AT131" i="1"/>
  <c r="AT123" i="1"/>
  <c r="CL133" i="1"/>
  <c r="CL122" i="1"/>
  <c r="BY142" i="1"/>
  <c r="BY159" i="1" s="1"/>
  <c r="BY144" i="1"/>
  <c r="BP124" i="1"/>
  <c r="AQ121" i="1"/>
  <c r="H120" i="1"/>
  <c r="CB131" i="1"/>
  <c r="CJ124" i="1"/>
  <c r="CO141" i="1"/>
  <c r="CO158" i="1" s="1"/>
  <c r="CO125" i="1"/>
  <c r="M145" i="1"/>
  <c r="M141" i="1" s="1"/>
  <c r="M158" i="1" s="1"/>
  <c r="BW131" i="1"/>
  <c r="CL120" i="1"/>
  <c r="CQ133" i="1"/>
  <c r="CY120" i="1"/>
  <c r="AS123" i="1"/>
  <c r="AE138" i="1"/>
  <c r="AA146" i="1"/>
  <c r="AA142" i="1" s="1"/>
  <c r="BP122" i="1"/>
  <c r="W120" i="1"/>
  <c r="R123" i="1"/>
  <c r="T146" i="1"/>
  <c r="T142" i="1" s="1"/>
  <c r="T159" i="1" s="1"/>
  <c r="T136" i="1"/>
  <c r="CE122" i="1"/>
  <c r="AH155" i="1"/>
  <c r="O125" i="1"/>
  <c r="CG184" i="1"/>
  <c r="CE166" i="1"/>
  <c r="Z166" i="1"/>
  <c r="AO154" i="1"/>
  <c r="AN201" i="1"/>
  <c r="S202" i="1"/>
  <c r="P183" i="1"/>
  <c r="P195" i="1" s="1"/>
  <c r="CE169" i="4"/>
  <c r="CE166" i="4" s="1"/>
  <c r="I53" i="1"/>
  <c r="DC143" i="4"/>
  <c r="DA169" i="4"/>
  <c r="AN166" i="4"/>
  <c r="CF46" i="1"/>
  <c r="CF147" i="4" s="1"/>
  <c r="CG64" i="1"/>
  <c r="CH64" i="1" s="1"/>
  <c r="D21" i="26" s="1"/>
  <c r="CJ140" i="4"/>
  <c r="AV166" i="4"/>
  <c r="AT71" i="1"/>
  <c r="CQ64" i="1"/>
  <c r="AB46" i="1"/>
  <c r="AB146" i="4" s="1"/>
  <c r="CR56" i="1"/>
  <c r="CW56" i="1"/>
  <c r="AR46" i="1"/>
  <c r="AR146" i="4" s="1"/>
  <c r="AP40" i="1"/>
  <c r="AW46" i="1"/>
  <c r="AW147" i="4" s="1"/>
  <c r="AG46" i="1"/>
  <c r="AG53" i="1" s="1"/>
  <c r="AG66" i="1" s="1"/>
  <c r="AG75" i="1" s="1"/>
  <c r="AG81" i="1" s="1"/>
  <c r="DG56" i="1"/>
  <c r="BP46" i="1"/>
  <c r="BP146" i="4" s="1"/>
  <c r="BP38" i="1"/>
  <c r="CQ37" i="1"/>
  <c r="CQ38" i="1" s="1"/>
  <c r="CP32" i="1"/>
  <c r="CP53" i="1" s="1"/>
  <c r="CJ166" i="4"/>
  <c r="BF46" i="1"/>
  <c r="BF146" i="4" s="1"/>
  <c r="BF40" i="1"/>
  <c r="BF38" i="1"/>
  <c r="BT46" i="1"/>
  <c r="BT147" i="4" s="1"/>
  <c r="BT38" i="1"/>
  <c r="BL40" i="1"/>
  <c r="CU40" i="1"/>
  <c r="BP40" i="1"/>
  <c r="N12" i="8"/>
  <c r="O12" i="8" s="1"/>
  <c r="M25" i="8"/>
  <c r="M100" i="8" s="1"/>
  <c r="M102" i="8" s="1"/>
  <c r="M105" i="8" s="1"/>
  <c r="BF25" i="8"/>
  <c r="BF100" i="8" s="1"/>
  <c r="BG14" i="8"/>
  <c r="BH14" i="8" s="1"/>
  <c r="BZ25" i="8"/>
  <c r="BZ100" i="8" s="1"/>
  <c r="CA17" i="8"/>
  <c r="CB17" i="8" s="1"/>
  <c r="CC17" i="8" s="1"/>
  <c r="CC63" i="8" s="1"/>
  <c r="BG42" i="8"/>
  <c r="BH42" i="8" s="1"/>
  <c r="BM16" i="8"/>
  <c r="BN16" i="8" s="1"/>
  <c r="BN62" i="8" s="1"/>
  <c r="CA18" i="8"/>
  <c r="CB18" i="8" s="1"/>
  <c r="BV20" i="8"/>
  <c r="BW20" i="8" s="1"/>
  <c r="BX20" i="8" s="1"/>
  <c r="BX66" i="8" s="1"/>
  <c r="BU25" i="8"/>
  <c r="BL22" i="8"/>
  <c r="BM22" i="8" s="1"/>
  <c r="AB101" i="8"/>
  <c r="AB88" i="4"/>
  <c r="AB106" i="4" s="1"/>
  <c r="AB33" i="8"/>
  <c r="AC28" i="8"/>
  <c r="N30" i="8"/>
  <c r="O30" i="8" s="1"/>
  <c r="BL39" i="8"/>
  <c r="BK43" i="8"/>
  <c r="BQ45" i="8"/>
  <c r="BR45" i="8" s="1"/>
  <c r="BS45" i="8" s="1"/>
  <c r="BS91" i="8" s="1"/>
  <c r="CF12" i="8"/>
  <c r="CG12" i="8" s="1"/>
  <c r="CU31" i="8"/>
  <c r="CV31" i="8" s="1"/>
  <c r="CW31" i="8" s="1"/>
  <c r="CW77" i="8" s="1"/>
  <c r="AM15" i="8"/>
  <c r="AN15" i="8" s="1"/>
  <c r="AL25" i="8"/>
  <c r="BQ18" i="8"/>
  <c r="BR18" i="8" s="1"/>
  <c r="BP25" i="8"/>
  <c r="BP100" i="8" s="1"/>
  <c r="BP102" i="8" s="1"/>
  <c r="BP105" i="8" s="1"/>
  <c r="I21" i="8"/>
  <c r="J21" i="8" s="1"/>
  <c r="K21" i="8" s="1"/>
  <c r="K67" i="8" s="1"/>
  <c r="H25" i="8"/>
  <c r="CK21" i="8"/>
  <c r="CL21" i="8" s="1"/>
  <c r="CM21" i="8" s="1"/>
  <c r="CM67" i="8" s="1"/>
  <c r="CP29" i="8"/>
  <c r="BF89" i="4"/>
  <c r="BF33" i="8"/>
  <c r="BG29" i="8"/>
  <c r="CC15" i="8"/>
  <c r="CC61" i="8" s="1"/>
  <c r="CW17" i="8"/>
  <c r="CW63" i="8" s="1"/>
  <c r="I93" i="8"/>
  <c r="I96" i="8" s="1"/>
  <c r="AQ48" i="8"/>
  <c r="AR48" i="8" s="1"/>
  <c r="AS48" i="8" s="1"/>
  <c r="AT48" i="8" s="1"/>
  <c r="AT94" i="8" s="1"/>
  <c r="CV93" i="8"/>
  <c r="AD93" i="8"/>
  <c r="CN93" i="8"/>
  <c r="BA108" i="1"/>
  <c r="BA105" i="8"/>
  <c r="AI30" i="8"/>
  <c r="CH23" i="8"/>
  <c r="CH69" i="8" s="1"/>
  <c r="BR14" i="8"/>
  <c r="BS14" i="8" s="1"/>
  <c r="BS60" i="8" s="1"/>
  <c r="AT32" i="8"/>
  <c r="AT78" i="8" s="1"/>
  <c r="AY21" i="8"/>
  <c r="AY67" i="8" s="1"/>
  <c r="AM29" i="8"/>
  <c r="AL89" i="4"/>
  <c r="M31" i="8"/>
  <c r="L33" i="8"/>
  <c r="AB40" i="8"/>
  <c r="AA101" i="1"/>
  <c r="AA108" i="1" s="1"/>
  <c r="AV40" i="8"/>
  <c r="AU101" i="1"/>
  <c r="BP40" i="8"/>
  <c r="BO101" i="1"/>
  <c r="BO103" i="1" s="1"/>
  <c r="BO91" i="1" s="1"/>
  <c r="AT45" i="8"/>
  <c r="AT91" i="8" s="1"/>
  <c r="AO18" i="8"/>
  <c r="AO64" i="8" s="1"/>
  <c r="BI39" i="8"/>
  <c r="BI85" i="8" s="1"/>
  <c r="P32" i="8"/>
  <c r="P78" i="8" s="1"/>
  <c r="CT89" i="4"/>
  <c r="CU29" i="8"/>
  <c r="BK28" i="8"/>
  <c r="BJ101" i="8"/>
  <c r="BJ102" i="8" s="1"/>
  <c r="BJ105" i="8" s="1"/>
  <c r="BZ28" i="8"/>
  <c r="BY101" i="8"/>
  <c r="CN101" i="8"/>
  <c r="CN102" i="8" s="1"/>
  <c r="CN33" i="8"/>
  <c r="CN47" i="8" s="1"/>
  <c r="CO28" i="8"/>
  <c r="W29" i="8"/>
  <c r="W33" i="8" s="1"/>
  <c r="V89" i="4"/>
  <c r="J93" i="8"/>
  <c r="J96" i="8" s="1"/>
  <c r="L95" i="8" s="1"/>
  <c r="CL41" i="8"/>
  <c r="CM41" i="8" s="1"/>
  <c r="CM87" i="8" s="1"/>
  <c r="CL89" i="8"/>
  <c r="CL93" i="8" s="1"/>
  <c r="CS41" i="8"/>
  <c r="CS89" i="8"/>
  <c r="CS93" i="8" s="1"/>
  <c r="CO94" i="8"/>
  <c r="CN48" i="8"/>
  <c r="CY79" i="8"/>
  <c r="CY93" i="8" s="1"/>
  <c r="CY31" i="8"/>
  <c r="BX22" i="8"/>
  <c r="BX68" i="8" s="1"/>
  <c r="AU88" i="4"/>
  <c r="AV28" i="8"/>
  <c r="AV33" i="8" s="1"/>
  <c r="AU101" i="8"/>
  <c r="AQ31" i="8"/>
  <c r="AP33" i="8"/>
  <c r="CM23" i="8"/>
  <c r="CM69" i="8" s="1"/>
  <c r="AZ108" i="1"/>
  <c r="AR16" i="8"/>
  <c r="AS16" i="8" s="1"/>
  <c r="BQ28" i="8"/>
  <c r="BP88" i="4"/>
  <c r="BP106" i="4" s="1"/>
  <c r="BA29" i="8"/>
  <c r="AZ89" i="4"/>
  <c r="BE96" i="1"/>
  <c r="BE98" i="1" s="1"/>
  <c r="BE90" i="1" s="1"/>
  <c r="BF36" i="8"/>
  <c r="AS93" i="8"/>
  <c r="AB15" i="8"/>
  <c r="BR93" i="8"/>
  <c r="DD86" i="8"/>
  <c r="DE86" i="8" s="1"/>
  <c r="DF86" i="8" s="1"/>
  <c r="O93" i="8"/>
  <c r="W93" i="8"/>
  <c r="AJ204" i="4"/>
  <c r="M78" i="4"/>
  <c r="M79" i="4" s="1"/>
  <c r="M81" i="4" s="1"/>
  <c r="BW178" i="4"/>
  <c r="BO103" i="4"/>
  <c r="U109" i="4"/>
  <c r="BV111" i="4"/>
  <c r="BV23" i="4" s="1"/>
  <c r="S140" i="4"/>
  <c r="BI136" i="4"/>
  <c r="BR98" i="4"/>
  <c r="AZ110" i="4"/>
  <c r="AZ22" i="4" s="1"/>
  <c r="BA110" i="4"/>
  <c r="BA22" i="4" s="1"/>
  <c r="AT114" i="4"/>
  <c r="CD177" i="4"/>
  <c r="CD186" i="4"/>
  <c r="CD191" i="4"/>
  <c r="Y186" i="4"/>
  <c r="Y179" i="4"/>
  <c r="Y191" i="4"/>
  <c r="BQ109" i="4"/>
  <c r="BQ21" i="4" s="1"/>
  <c r="BO109" i="4"/>
  <c r="BO21" i="4" s="1"/>
  <c r="BP109" i="4"/>
  <c r="BP21" i="4" s="1"/>
  <c r="CD26" i="4"/>
  <c r="CE114" i="4"/>
  <c r="CH184" i="4"/>
  <c r="Q202" i="4"/>
  <c r="Q203" i="4" s="1"/>
  <c r="AB115" i="4"/>
  <c r="AB27" i="4" s="1"/>
  <c r="BY191" i="4"/>
  <c r="BY186" i="4"/>
  <c r="BY177" i="4"/>
  <c r="BA186" i="4"/>
  <c r="BA191" i="4"/>
  <c r="N177" i="4"/>
  <c r="CP179" i="4"/>
  <c r="AJ49" i="4"/>
  <c r="AJ198" i="4" s="1"/>
  <c r="AI198" i="4"/>
  <c r="AI199" i="4"/>
  <c r="AI197" i="4"/>
  <c r="BM199" i="4"/>
  <c r="BM197" i="4"/>
  <c r="BR57" i="4"/>
  <c r="BR197" i="4"/>
  <c r="BW57" i="4"/>
  <c r="BW197" i="4"/>
  <c r="CB57" i="4"/>
  <c r="CB197" i="4"/>
  <c r="CC49" i="4"/>
  <c r="CG197" i="4"/>
  <c r="CG199" i="4"/>
  <c r="CP55" i="4"/>
  <c r="CP57" i="4" s="1"/>
  <c r="CP67" i="4" s="1"/>
  <c r="CP71" i="4" s="1"/>
  <c r="CP208" i="4"/>
  <c r="CP209" i="4" s="1"/>
  <c r="L202" i="4"/>
  <c r="L184" i="4"/>
  <c r="V204" i="4"/>
  <c r="V203" i="4" s="1"/>
  <c r="V184" i="4"/>
  <c r="V177" i="4" s="1"/>
  <c r="Z65" i="4"/>
  <c r="Z204" i="4" s="1"/>
  <c r="AA74" i="4"/>
  <c r="AA78" i="4" s="1"/>
  <c r="AA79" i="4" s="1"/>
  <c r="AA81" i="4" s="1"/>
  <c r="Y202" i="4"/>
  <c r="AE65" i="4"/>
  <c r="AD204" i="4"/>
  <c r="AD203" i="4" s="1"/>
  <c r="AI204" i="4"/>
  <c r="AI202" i="4"/>
  <c r="AN202" i="4"/>
  <c r="AP74" i="4"/>
  <c r="AS202" i="4"/>
  <c r="AU74" i="4"/>
  <c r="AS204" i="4"/>
  <c r="AS184" i="4"/>
  <c r="CN159" i="4"/>
  <c r="CO151" i="4"/>
  <c r="CO153" i="4" s="1"/>
  <c r="CN183" i="4"/>
  <c r="CN190" i="4" s="1"/>
  <c r="CT151" i="4"/>
  <c r="CT153" i="4" s="1"/>
  <c r="CW153" i="4" s="1"/>
  <c r="CS183" i="4"/>
  <c r="CS179" i="4" s="1"/>
  <c r="J192" i="4"/>
  <c r="J187" i="4"/>
  <c r="T192" i="4"/>
  <c r="T187" i="4"/>
  <c r="T177" i="4" s="1"/>
  <c r="AD192" i="4"/>
  <c r="AD187" i="4"/>
  <c r="AS187" i="4"/>
  <c r="AS192" i="4"/>
  <c r="AW187" i="4"/>
  <c r="AW192" i="4"/>
  <c r="CV55" i="4"/>
  <c r="CV208" i="4"/>
  <c r="CV209" i="4" s="1"/>
  <c r="CW54" i="4"/>
  <c r="CW208" i="4" s="1"/>
  <c r="CW207" i="4"/>
  <c r="BX115" i="4"/>
  <c r="AT113" i="4"/>
  <c r="BX111" i="4"/>
  <c r="BN109" i="4"/>
  <c r="CX199" i="4"/>
  <c r="CX197" i="4"/>
  <c r="Q193" i="4"/>
  <c r="AP100" i="4"/>
  <c r="AP105" i="4" s="1"/>
  <c r="L114" i="4"/>
  <c r="L26" i="4" s="1"/>
  <c r="M113" i="4"/>
  <c r="M25" i="4" s="1"/>
  <c r="BN184" i="4"/>
  <c r="BN204" i="4"/>
  <c r="CF194" i="4"/>
  <c r="CH49" i="4"/>
  <c r="CH199" i="4" s="1"/>
  <c r="AO115" i="4"/>
  <c r="AO111" i="4"/>
  <c r="BX113" i="4"/>
  <c r="CC87" i="4"/>
  <c r="BX110" i="4"/>
  <c r="BX109" i="4"/>
  <c r="BX112" i="4"/>
  <c r="AG114" i="4"/>
  <c r="AG26" i="4" s="1"/>
  <c r="AF114" i="4"/>
  <c r="AF26" i="4" s="1"/>
  <c r="BN29" i="4"/>
  <c r="BN207" i="4" s="1"/>
  <c r="BN209" i="4" s="1"/>
  <c r="BM207" i="4"/>
  <c r="BM209" i="4" s="1"/>
  <c r="BM40" i="4"/>
  <c r="CG198" i="4"/>
  <c r="CV199" i="4"/>
  <c r="CW49" i="4"/>
  <c r="CU198" i="4"/>
  <c r="CU197" i="4"/>
  <c r="CW202" i="4"/>
  <c r="BS37" i="4"/>
  <c r="BR129" i="4"/>
  <c r="BR123" i="4" s="1"/>
  <c r="BT121" i="4" s="1"/>
  <c r="BT131" i="4" s="1"/>
  <c r="K49" i="4"/>
  <c r="J199" i="4"/>
  <c r="J57" i="4"/>
  <c r="J197" i="4"/>
  <c r="T57" i="4"/>
  <c r="T199" i="4"/>
  <c r="AA199" i="4"/>
  <c r="AA197" i="4"/>
  <c r="AA198" i="4"/>
  <c r="AF197" i="4"/>
  <c r="AF198" i="4"/>
  <c r="AF57" i="4"/>
  <c r="AF67" i="4" s="1"/>
  <c r="U91" i="4"/>
  <c r="DC47" i="4"/>
  <c r="DD47" i="4" s="1"/>
  <c r="DE47" i="4" s="1"/>
  <c r="DF47" i="4" s="1"/>
  <c r="DH47" i="4" s="1"/>
  <c r="DI47" i="4" s="1"/>
  <c r="DJ47" i="4" s="1"/>
  <c r="DK47" i="4" s="1"/>
  <c r="BY179" i="4"/>
  <c r="CG180" i="4"/>
  <c r="AL179" i="4"/>
  <c r="AL191" i="4"/>
  <c r="AL186" i="4"/>
  <c r="H191" i="4"/>
  <c r="H179" i="4"/>
  <c r="H186" i="4"/>
  <c r="AC111" i="4"/>
  <c r="AC23" i="4" s="1"/>
  <c r="AA111" i="4"/>
  <c r="AA23" i="4" s="1"/>
  <c r="BK191" i="4"/>
  <c r="BK179" i="4"/>
  <c r="BK177" i="4"/>
  <c r="Y204" i="4"/>
  <c r="BQ179" i="4"/>
  <c r="L204" i="4"/>
  <c r="BH87" i="4"/>
  <c r="BG98" i="4"/>
  <c r="CD98" i="4"/>
  <c r="CD117" i="4" s="1"/>
  <c r="CE87" i="4"/>
  <c r="CE100" i="4" s="1"/>
  <c r="AE93" i="4"/>
  <c r="AF23" i="4"/>
  <c r="AF24" i="4"/>
  <c r="AC100" i="4"/>
  <c r="AC105" i="4" s="1"/>
  <c r="AN111" i="4"/>
  <c r="AP111" i="4" s="1"/>
  <c r="AP23" i="4" s="1"/>
  <c r="AN114" i="4"/>
  <c r="AN110" i="4"/>
  <c r="X49" i="4"/>
  <c r="X197" i="4" s="1"/>
  <c r="Y143" i="4"/>
  <c r="Y169" i="4" s="1"/>
  <c r="X208" i="4"/>
  <c r="X209" i="4" s="1"/>
  <c r="AM204" i="4"/>
  <c r="AM203" i="4" s="1"/>
  <c r="AM184" i="4"/>
  <c r="I187" i="4"/>
  <c r="I192" i="4"/>
  <c r="X192" i="4"/>
  <c r="X187" i="4"/>
  <c r="DB153" i="4"/>
  <c r="CI23" i="4"/>
  <c r="CM203" i="4"/>
  <c r="AF22" i="4"/>
  <c r="AV127" i="4"/>
  <c r="BS143" i="4"/>
  <c r="BS169" i="4" s="1"/>
  <c r="AF42" i="4"/>
  <c r="BE198" i="4"/>
  <c r="BE42" i="4"/>
  <c r="CD198" i="4"/>
  <c r="CD197" i="4"/>
  <c r="CN198" i="4"/>
  <c r="CN197" i="4"/>
  <c r="O112" i="4"/>
  <c r="R112" i="4" s="1"/>
  <c r="R24" i="4" s="1"/>
  <c r="O113" i="4"/>
  <c r="T113" i="4"/>
  <c r="T111" i="4"/>
  <c r="CQ91" i="4"/>
  <c r="CR20" i="4"/>
  <c r="CR91" i="4" s="1"/>
  <c r="CR98" i="4" s="1"/>
  <c r="CH32" i="4"/>
  <c r="CH134" i="4" s="1"/>
  <c r="CG135" i="4"/>
  <c r="CI135" i="4" s="1"/>
  <c r="CJ135" i="4" s="1"/>
  <c r="CK135" i="4" s="1"/>
  <c r="CL135" i="4" s="1"/>
  <c r="CN135" i="4" s="1"/>
  <c r="CO135" i="4" s="1"/>
  <c r="CP135" i="4" s="1"/>
  <c r="CQ135" i="4" s="1"/>
  <c r="CS135" i="4" s="1"/>
  <c r="CT135" i="4" s="1"/>
  <c r="BE57" i="4"/>
  <c r="BE67" i="4" s="1"/>
  <c r="BE199" i="4"/>
  <c r="CM208" i="4"/>
  <c r="R184" i="4"/>
  <c r="R177" i="4" s="1"/>
  <c r="R204" i="4"/>
  <c r="R203" i="4" s="1"/>
  <c r="S74" i="4"/>
  <c r="AF204" i="4"/>
  <c r="AF202" i="4"/>
  <c r="AK184" i="4"/>
  <c r="AK204" i="4"/>
  <c r="BQ187" i="4"/>
  <c r="BQ192" i="4"/>
  <c r="CU71" i="4"/>
  <c r="BN202" i="4"/>
  <c r="L67" i="4"/>
  <c r="AJ143" i="4"/>
  <c r="AJ169" i="4" s="1"/>
  <c r="BX143" i="4"/>
  <c r="R42" i="4"/>
  <c r="BF42" i="4"/>
  <c r="BF198" i="4"/>
  <c r="BZ42" i="4"/>
  <c r="CE198" i="4"/>
  <c r="CE197" i="4"/>
  <c r="AL199" i="4"/>
  <c r="AL57" i="4"/>
  <c r="AL67" i="4" s="1"/>
  <c r="BB74" i="4"/>
  <c r="BA204" i="4"/>
  <c r="BA202" i="4"/>
  <c r="BF202" i="4"/>
  <c r="BF203" i="4" s="1"/>
  <c r="BF184" i="4"/>
  <c r="BG74" i="4"/>
  <c r="CU74" i="4"/>
  <c r="CT202" i="4"/>
  <c r="CT203" i="4" s="1"/>
  <c r="BE187" i="4"/>
  <c r="BE177" i="4" s="1"/>
  <c r="BE192" i="4"/>
  <c r="BR192" i="4"/>
  <c r="BR187" i="4"/>
  <c r="CM207" i="4"/>
  <c r="O197" i="4"/>
  <c r="T198" i="4"/>
  <c r="Y197" i="4"/>
  <c r="AD197" i="4"/>
  <c r="H197" i="4"/>
  <c r="M57" i="4"/>
  <c r="M67" i="4" s="1"/>
  <c r="M71" i="4" s="1"/>
  <c r="R57" i="4"/>
  <c r="R67" i="4" s="1"/>
  <c r="W57" i="4"/>
  <c r="W67" i="4" s="1"/>
  <c r="W71" i="4" s="1"/>
  <c r="BJ57" i="4"/>
  <c r="BJ67" i="4" s="1"/>
  <c r="BJ71" i="4" s="1"/>
  <c r="CO209" i="4"/>
  <c r="CT174" i="4" s="1"/>
  <c r="CI192" i="4"/>
  <c r="AR198" i="4"/>
  <c r="AW198" i="4"/>
  <c r="CO198" i="4"/>
  <c r="BW193" i="4"/>
  <c r="AG111" i="4"/>
  <c r="AG23" i="4" s="1"/>
  <c r="AH111" i="4"/>
  <c r="AH23" i="4" s="1"/>
  <c r="CI187" i="4"/>
  <c r="CI194" i="4" s="1"/>
  <c r="CI179" i="4"/>
  <c r="CI190" i="4"/>
  <c r="CI186" i="4"/>
  <c r="CI180" i="4" s="1"/>
  <c r="CH109" i="4"/>
  <c r="CH111" i="4"/>
  <c r="BK115" i="4"/>
  <c r="BK27" i="4" s="1"/>
  <c r="BJ115" i="4"/>
  <c r="BJ27" i="4" s="1"/>
  <c r="BL115" i="4"/>
  <c r="BL27" i="4" s="1"/>
  <c r="BG87" i="4"/>
  <c r="BF98" i="4"/>
  <c r="CX87" i="4"/>
  <c r="CX90" i="4" s="1"/>
  <c r="CV98" i="4"/>
  <c r="BJ100" i="4"/>
  <c r="BW87" i="4"/>
  <c r="BV98" i="4"/>
  <c r="BT186" i="4"/>
  <c r="AT202" i="4"/>
  <c r="AT203" i="4" s="1"/>
  <c r="AG113" i="4"/>
  <c r="AG25" i="4" s="1"/>
  <c r="BI187" i="4"/>
  <c r="AH110" i="4"/>
  <c r="AH22" i="4" s="1"/>
  <c r="AX177" i="4"/>
  <c r="CM115" i="4"/>
  <c r="CM112" i="4"/>
  <c r="AZ191" i="4"/>
  <c r="AQ203" i="4"/>
  <c r="AZ186" i="4"/>
  <c r="BI49" i="4"/>
  <c r="Z143" i="4"/>
  <c r="Z169" i="4" s="1"/>
  <c r="BN143" i="4"/>
  <c r="BN169" i="4" s="1"/>
  <c r="N42" i="4"/>
  <c r="R100" i="4"/>
  <c r="AE20" i="4"/>
  <c r="CO77" i="4"/>
  <c r="CR77" i="4" s="1"/>
  <c r="BQ209" i="4"/>
  <c r="DG32" i="8"/>
  <c r="DG78" i="8" s="1"/>
  <c r="AC203" i="4"/>
  <c r="AF113" i="4"/>
  <c r="AF25" i="4" s="1"/>
  <c r="CH187" i="4"/>
  <c r="AX179" i="4"/>
  <c r="CA112" i="4"/>
  <c r="CA24" i="4" s="1"/>
  <c r="AK23" i="4"/>
  <c r="AD91" i="4"/>
  <c r="CE42" i="4"/>
  <c r="CE71" i="4" s="1"/>
  <c r="Z17" i="4"/>
  <c r="AH184" i="4"/>
  <c r="V42" i="4"/>
  <c r="BV198" i="4"/>
  <c r="CA198" i="4"/>
  <c r="AQ57" i="4"/>
  <c r="AQ67" i="4" s="1"/>
  <c r="AQ71" i="4" s="1"/>
  <c r="CS57" i="4"/>
  <c r="CS67" i="4" s="1"/>
  <c r="BD126" i="4"/>
  <c r="BI126" i="4"/>
  <c r="CM126" i="4"/>
  <c r="AM209" i="4"/>
  <c r="AR174" i="4" s="1"/>
  <c r="CF209" i="4"/>
  <c r="CK174" i="4" s="1"/>
  <c r="DL32" i="8"/>
  <c r="DL78" i="8" s="1"/>
  <c r="DL37" i="8"/>
  <c r="DL83" i="8" s="1"/>
  <c r="CX198" i="4"/>
  <c r="AQ109" i="4"/>
  <c r="AQ21" i="4" s="1"/>
  <c r="CN187" i="4"/>
  <c r="CN194" i="4" s="1"/>
  <c r="O198" i="4"/>
  <c r="BQ197" i="4"/>
  <c r="AK24" i="4"/>
  <c r="U17" i="4"/>
  <c r="BV57" i="4"/>
  <c r="BV67" i="4" s="1"/>
  <c r="AO143" i="4"/>
  <c r="AO169" i="4" s="1"/>
  <c r="BI143" i="4"/>
  <c r="BI169" i="4" s="1"/>
  <c r="H42" i="4"/>
  <c r="W198" i="4"/>
  <c r="AU197" i="4"/>
  <c r="BT57" i="4"/>
  <c r="BT67" i="4" s="1"/>
  <c r="BV209" i="4"/>
  <c r="CA174" i="4" s="1"/>
  <c r="CX95" i="4"/>
  <c r="CX104" i="4" s="1"/>
  <c r="DH16" i="4"/>
  <c r="DI16" i="4" s="1"/>
  <c r="DJ16" i="4" s="1"/>
  <c r="DK16" i="4" s="1"/>
  <c r="DG16" i="4"/>
  <c r="AU122" i="4"/>
  <c r="DG53" i="4"/>
  <c r="DH53" i="4"/>
  <c r="DI53" i="4" s="1"/>
  <c r="DJ53" i="4" s="1"/>
  <c r="DK53" i="4" s="1"/>
  <c r="BE103" i="4"/>
  <c r="BE100" i="4"/>
  <c r="BE105" i="4" s="1"/>
  <c r="CY87" i="4"/>
  <c r="CY103" i="4" s="1"/>
  <c r="DH12" i="4"/>
  <c r="DI12" i="4" s="1"/>
  <c r="DJ12" i="4" s="1"/>
  <c r="DK12" i="4" s="1"/>
  <c r="DM12" i="4" s="1"/>
  <c r="DN12" i="4" s="1"/>
  <c r="DG12" i="4"/>
  <c r="CJ109" i="4"/>
  <c r="AK140" i="4"/>
  <c r="BK78" i="4"/>
  <c r="BK79" i="4" s="1"/>
  <c r="BK81" i="4" s="1"/>
  <c r="BE111" i="4"/>
  <c r="BE23" i="4" s="1"/>
  <c r="BF111" i="4"/>
  <c r="BF23" i="4" s="1"/>
  <c r="BR186" i="4"/>
  <c r="BR179" i="4"/>
  <c r="AR203" i="4"/>
  <c r="AO197" i="4"/>
  <c r="AO198" i="4"/>
  <c r="BM191" i="4"/>
  <c r="BM186" i="4"/>
  <c r="BM180" i="4" s="1"/>
  <c r="BM177" i="4"/>
  <c r="BP87" i="4"/>
  <c r="BP100" i="4" s="1"/>
  <c r="BO98" i="4"/>
  <c r="BO117" i="4" s="1"/>
  <c r="CT87" i="4"/>
  <c r="CS98" i="4"/>
  <c r="CS117" i="4" s="1"/>
  <c r="AK109" i="4"/>
  <c r="AK21" i="4" s="1"/>
  <c r="AM109" i="4"/>
  <c r="AM21" i="4" s="1"/>
  <c r="CN87" i="4"/>
  <c r="CL98" i="4"/>
  <c r="CX203" i="4"/>
  <c r="BI57" i="4"/>
  <c r="BH67" i="4"/>
  <c r="BU113" i="4"/>
  <c r="BU25" i="4" s="1"/>
  <c r="AE29" i="4"/>
  <c r="AE207" i="4" s="1"/>
  <c r="AA110" i="4"/>
  <c r="AA22" i="4" s="1"/>
  <c r="AC110" i="4"/>
  <c r="AC22" i="4" s="1"/>
  <c r="BR87" i="4"/>
  <c r="BR100" i="4" s="1"/>
  <c r="BQ98" i="4"/>
  <c r="CO203" i="4"/>
  <c r="CQ179" i="4"/>
  <c r="AH203" i="4"/>
  <c r="BY203" i="4"/>
  <c r="BJ127" i="4"/>
  <c r="BJ123" i="4" s="1"/>
  <c r="CD127" i="4"/>
  <c r="CD123" i="4" s="1"/>
  <c r="BB209" i="4"/>
  <c r="BB174" i="4" s="1"/>
  <c r="AV95" i="4"/>
  <c r="AV104" i="4" s="1"/>
  <c r="CS203" i="4"/>
  <c r="CQ190" i="4"/>
  <c r="AY127" i="4"/>
  <c r="BD125" i="4" s="1"/>
  <c r="AP95" i="4"/>
  <c r="AP104" i="4" s="1"/>
  <c r="BE95" i="4"/>
  <c r="BE104" i="4" s="1"/>
  <c r="BO95" i="4"/>
  <c r="BO104" i="4" s="1"/>
  <c r="CD95" i="4"/>
  <c r="CD104" i="4" s="1"/>
  <c r="BS126" i="4"/>
  <c r="BO127" i="4"/>
  <c r="BO36" i="4" s="1"/>
  <c r="BX136" i="4"/>
  <c r="N203" i="4"/>
  <c r="CE203" i="4"/>
  <c r="BT127" i="4"/>
  <c r="BT36" i="4" s="1"/>
  <c r="AX100" i="4"/>
  <c r="AB177" i="4"/>
  <c r="BY71" i="4"/>
  <c r="CR208" i="4"/>
  <c r="CP203" i="4"/>
  <c r="CH126" i="4"/>
  <c r="BE127" i="4"/>
  <c r="BY127" i="4"/>
  <c r="DC78" i="8"/>
  <c r="DD78" i="8" s="1"/>
  <c r="DE78" i="8" s="1"/>
  <c r="DF78" i="8" s="1"/>
  <c r="BN64" i="1"/>
  <c r="S201" i="1"/>
  <c r="AT29" i="1"/>
  <c r="BZ133" i="1"/>
  <c r="BR145" i="1"/>
  <c r="BR141" i="1" s="1"/>
  <c r="BR158" i="1" s="1"/>
  <c r="CB145" i="1"/>
  <c r="CB141" i="1" s="1"/>
  <c r="CB158" i="1" s="1"/>
  <c r="AS172" i="1"/>
  <c r="CS140" i="4"/>
  <c r="DL56" i="1"/>
  <c r="CY183" i="1"/>
  <c r="BD188" i="1"/>
  <c r="BD189" i="1" s="1"/>
  <c r="BV125" i="1"/>
  <c r="AT125" i="1"/>
  <c r="P153" i="1"/>
  <c r="U40" i="1"/>
  <c r="BS11" i="1"/>
  <c r="CM11" i="1"/>
  <c r="AT14" i="1"/>
  <c r="CH14" i="1"/>
  <c r="BD17" i="1"/>
  <c r="BX17" i="1"/>
  <c r="DA21" i="1"/>
  <c r="CS129" i="1"/>
  <c r="CI122" i="1"/>
  <c r="BQ145" i="1"/>
  <c r="AC172" i="1"/>
  <c r="AC175" i="1" s="1"/>
  <c r="AC171" i="1" s="1"/>
  <c r="AC178" i="1" s="1"/>
  <c r="AR172" i="1"/>
  <c r="BX163" i="1"/>
  <c r="K46" i="1"/>
  <c r="BA75" i="4"/>
  <c r="CF78" i="1"/>
  <c r="BN142" i="4"/>
  <c r="BN168" i="4" s="1"/>
  <c r="CT121" i="1"/>
  <c r="CY133" i="1"/>
  <c r="AV201" i="1"/>
  <c r="AQ201" i="1"/>
  <c r="CV183" i="1"/>
  <c r="CV201" i="1" s="1"/>
  <c r="BC146" i="1"/>
  <c r="BC144" i="1" s="1"/>
  <c r="BU146" i="1"/>
  <c r="BU136" i="1"/>
  <c r="S136" i="1"/>
  <c r="S146" i="1"/>
  <c r="S142" i="1" s="1"/>
  <c r="S159" i="1" s="1"/>
  <c r="BX145" i="4"/>
  <c r="BX44" i="1"/>
  <c r="BZ173" i="4"/>
  <c r="BY173" i="4"/>
  <c r="BX141" i="4"/>
  <c r="BX167" i="4" s="1"/>
  <c r="BY174" i="4"/>
  <c r="BZ172" i="4"/>
  <c r="DJ16" i="1"/>
  <c r="DE18" i="1"/>
  <c r="CV46" i="1"/>
  <c r="CV38" i="1"/>
  <c r="CT46" i="1"/>
  <c r="CT40" i="1"/>
  <c r="CT38" i="1"/>
  <c r="CW37" i="1"/>
  <c r="CW60" i="1"/>
  <c r="CW162" i="4" s="1"/>
  <c r="CW161" i="4" s="1"/>
  <c r="CS64" i="1"/>
  <c r="CP64" i="1"/>
  <c r="CR60" i="1"/>
  <c r="CR162" i="4" s="1"/>
  <c r="CR161" i="4" s="1"/>
  <c r="CU63" i="1"/>
  <c r="CW62" i="1"/>
  <c r="CU64" i="1"/>
  <c r="CX44" i="1"/>
  <c r="CX183" i="1"/>
  <c r="CX63" i="1"/>
  <c r="CX185" i="1"/>
  <c r="CX29" i="1"/>
  <c r="CX141" i="4"/>
  <c r="DC141" i="4" s="1"/>
  <c r="DH141" i="4" s="1"/>
  <c r="DM141" i="4" s="1"/>
  <c r="CX27" i="1"/>
  <c r="CX32" i="1"/>
  <c r="CX106" i="4"/>
  <c r="BN188" i="1"/>
  <c r="BE173" i="4"/>
  <c r="CA173" i="4"/>
  <c r="CX142" i="4"/>
  <c r="CX168" i="4" s="1"/>
  <c r="CX40" i="1"/>
  <c r="X175" i="1"/>
  <c r="X171" i="1" s="1"/>
  <c r="X178" i="1" s="1"/>
  <c r="X169" i="1"/>
  <c r="X165" i="1" s="1"/>
  <c r="X177" i="1" s="1"/>
  <c r="N175" i="1"/>
  <c r="N171" i="1" s="1"/>
  <c r="N178" i="1" s="1"/>
  <c r="I167" i="4"/>
  <c r="I166" i="4" s="1"/>
  <c r="I140" i="4"/>
  <c r="CS33" i="1"/>
  <c r="P89" i="1"/>
  <c r="L89" i="1"/>
  <c r="BQ201" i="1"/>
  <c r="BS183" i="1"/>
  <c r="BS195" i="1" s="1"/>
  <c r="CX46" i="1"/>
  <c r="CX38" i="1"/>
  <c r="CP46" i="1"/>
  <c r="CP40" i="1"/>
  <c r="CV141" i="4"/>
  <c r="CV172" i="4"/>
  <c r="CV29" i="1"/>
  <c r="CV185" i="1"/>
  <c r="CV44" i="1"/>
  <c r="CV40" i="1"/>
  <c r="CV27" i="1"/>
  <c r="CW22" i="1"/>
  <c r="CW34" i="1" s="1"/>
  <c r="CW35" i="1" s="1"/>
  <c r="CV145" i="4"/>
  <c r="CV32" i="1"/>
  <c r="CV33" i="1" s="1"/>
  <c r="CV142" i="4"/>
  <c r="CV63" i="1"/>
  <c r="DD143" i="4"/>
  <c r="CY169" i="4"/>
  <c r="CF75" i="4"/>
  <c r="CF78" i="4" s="1"/>
  <c r="CF79" i="4" s="1"/>
  <c r="CF81" i="4" s="1"/>
  <c r="BN173" i="4"/>
  <c r="BY172" i="4"/>
  <c r="AB136" i="1"/>
  <c r="CD168" i="4"/>
  <c r="CH188" i="1"/>
  <c r="D7" i="26"/>
  <c r="CI173" i="4"/>
  <c r="CJ172" i="4"/>
  <c r="CH141" i="4"/>
  <c r="CH167" i="4" s="1"/>
  <c r="CH172" i="4"/>
  <c r="CI174" i="4"/>
  <c r="CH142" i="4"/>
  <c r="CH168" i="4" s="1"/>
  <c r="CI172" i="4"/>
  <c r="CK173" i="4"/>
  <c r="CK172" i="4"/>
  <c r="CH145" i="4"/>
  <c r="CP38" i="1"/>
  <c r="CY146" i="4"/>
  <c r="DD146" i="4" s="1"/>
  <c r="DI146" i="4" s="1"/>
  <c r="DN146" i="4" s="1"/>
  <c r="CY147" i="4"/>
  <c r="CX34" i="1"/>
  <c r="CX35" i="1" s="1"/>
  <c r="AH141" i="1"/>
  <c r="AH158" i="1" s="1"/>
  <c r="AA201" i="1"/>
  <c r="V201" i="1"/>
  <c r="M140" i="4"/>
  <c r="M168" i="4"/>
  <c r="M166" i="4" s="1"/>
  <c r="J53" i="1"/>
  <c r="J66" i="1" s="1"/>
  <c r="J72" i="1" s="1"/>
  <c r="J33" i="1"/>
  <c r="W201" i="1"/>
  <c r="CS136" i="1"/>
  <c r="CW136" i="1" s="1"/>
  <c r="CS146" i="1"/>
  <c r="BS138" i="1"/>
  <c r="BO146" i="1"/>
  <c r="BO142" i="1" s="1"/>
  <c r="BO159" i="1" s="1"/>
  <c r="AZ146" i="1"/>
  <c r="BD138" i="1"/>
  <c r="AZ136" i="1"/>
  <c r="BD136" i="1" s="1"/>
  <c r="AM146" i="1"/>
  <c r="AM144" i="1" s="1"/>
  <c r="AM136" i="1"/>
  <c r="CH44" i="1"/>
  <c r="N201" i="1"/>
  <c r="CS186" i="1"/>
  <c r="AV155" i="1"/>
  <c r="AX166" i="4"/>
  <c r="AI125" i="1"/>
  <c r="AX202" i="1"/>
  <c r="AJ185" i="1"/>
  <c r="AJ196" i="1" s="1"/>
  <c r="AM38" i="1"/>
  <c r="AM40" i="1"/>
  <c r="AE155" i="1"/>
  <c r="DD21" i="1"/>
  <c r="DC22" i="1"/>
  <c r="DC23" i="1" s="1"/>
  <c r="CD145" i="1"/>
  <c r="Y93" i="1"/>
  <c r="AA89" i="1" s="1"/>
  <c r="AJ154" i="1"/>
  <c r="AE154" i="1"/>
  <c r="U154" i="1"/>
  <c r="Z154" i="1"/>
  <c r="CM51" i="1"/>
  <c r="CK62" i="1"/>
  <c r="CK64" i="1" s="1"/>
  <c r="BT169" i="1"/>
  <c r="BT165" i="1" s="1"/>
  <c r="BT177" i="1" s="1"/>
  <c r="AB175" i="1"/>
  <c r="AB171" i="1" s="1"/>
  <c r="CV136" i="1"/>
  <c r="CV142" i="1"/>
  <c r="CV159" i="1" s="1"/>
  <c r="T93" i="1"/>
  <c r="V89" i="1" s="1"/>
  <c r="V92" i="1" s="1"/>
  <c r="U83" i="1"/>
  <c r="AJ83" i="1"/>
  <c r="AI93" i="1"/>
  <c r="AK89" i="1" s="1"/>
  <c r="AX93" i="1"/>
  <c r="AZ89" i="1" s="1"/>
  <c r="AY83" i="1"/>
  <c r="BN83" i="1"/>
  <c r="BM93" i="1"/>
  <c r="BO89" i="1" s="1"/>
  <c r="BS83" i="1"/>
  <c r="BR93" i="1"/>
  <c r="BT89" i="1" s="1"/>
  <c r="BX83" i="1"/>
  <c r="BW93" i="1"/>
  <c r="BY89" i="1" s="1"/>
  <c r="CH83" i="1"/>
  <c r="CG93" i="1"/>
  <c r="CI89" i="1" s="1"/>
  <c r="CI191" i="4"/>
  <c r="BB131" i="1"/>
  <c r="G121" i="1"/>
  <c r="G122" i="1"/>
  <c r="L122" i="1"/>
  <c r="L133" i="1"/>
  <c r="L124" i="1"/>
  <c r="Q133" i="1"/>
  <c r="Q121" i="1"/>
  <c r="Q124" i="1"/>
  <c r="Q123" i="1"/>
  <c r="V123" i="1"/>
  <c r="V120" i="1"/>
  <c r="AA123" i="1"/>
  <c r="AA121" i="1"/>
  <c r="AA133" i="1"/>
  <c r="AF123" i="1"/>
  <c r="AF122" i="1"/>
  <c r="AF120" i="1"/>
  <c r="AF125" i="1" s="1"/>
  <c r="AF133" i="1"/>
  <c r="AK133" i="1"/>
  <c r="AK124" i="1"/>
  <c r="AK123" i="1"/>
  <c r="AP133" i="1"/>
  <c r="AP120" i="1"/>
  <c r="AP124" i="1"/>
  <c r="AP121" i="1"/>
  <c r="AU121" i="1"/>
  <c r="AU133" i="1"/>
  <c r="AZ133" i="1"/>
  <c r="AZ122" i="1"/>
  <c r="AZ120" i="1"/>
  <c r="AZ121" i="1"/>
  <c r="BE121" i="1"/>
  <c r="BE124" i="1"/>
  <c r="BE120" i="1"/>
  <c r="BJ133" i="1"/>
  <c r="BO120" i="1"/>
  <c r="BO121" i="1"/>
  <c r="BO133" i="1"/>
  <c r="CP121" i="1"/>
  <c r="CP120" i="1"/>
  <c r="Q172" i="1"/>
  <c r="U137" i="1"/>
  <c r="U166" i="1" s="1"/>
  <c r="Q166" i="1"/>
  <c r="AJ137" i="1"/>
  <c r="AJ166" i="1" s="1"/>
  <c r="AF166" i="1"/>
  <c r="AP166" i="1"/>
  <c r="AP172" i="1"/>
  <c r="AZ166" i="1"/>
  <c r="AZ172" i="1"/>
  <c r="AZ145" i="1"/>
  <c r="AZ141" i="1" s="1"/>
  <c r="AZ158" i="1" s="1"/>
  <c r="BD137" i="1"/>
  <c r="BD166" i="1" s="1"/>
  <c r="BE166" i="1"/>
  <c r="BE136" i="1"/>
  <c r="BI136" i="1" s="1"/>
  <c r="BE172" i="1"/>
  <c r="CC137" i="1"/>
  <c r="BY166" i="1"/>
  <c r="CM137" i="1"/>
  <c r="CI136" i="1"/>
  <c r="CM136" i="1" s="1"/>
  <c r="CI141" i="1"/>
  <c r="CI158" i="1" s="1"/>
  <c r="CR137" i="1"/>
  <c r="CN145" i="1"/>
  <c r="CN141" i="1" s="1"/>
  <c r="AQ155" i="1"/>
  <c r="AR138" i="1"/>
  <c r="BQ138" i="1"/>
  <c r="BP155" i="1"/>
  <c r="BV138" i="1"/>
  <c r="BV136" i="1" s="1"/>
  <c r="BU155" i="1"/>
  <c r="CF138" i="1"/>
  <c r="CE155" i="1"/>
  <c r="BI163" i="1"/>
  <c r="BG172" i="1"/>
  <c r="BG169" i="1" s="1"/>
  <c r="BG165" i="1" s="1"/>
  <c r="BG177" i="1" s="1"/>
  <c r="CJ142" i="1"/>
  <c r="CJ159" i="1" s="1"/>
  <c r="CG202" i="1"/>
  <c r="AQ133" i="1"/>
  <c r="CU155" i="1"/>
  <c r="BZ123" i="1"/>
  <c r="BK124" i="1"/>
  <c r="BL155" i="1"/>
  <c r="CQ121" i="1"/>
  <c r="BZ120" i="1"/>
  <c r="BK121" i="1"/>
  <c r="AB121" i="1"/>
  <c r="BF103" i="1"/>
  <c r="BF91" i="1" s="1"/>
  <c r="R201" i="1"/>
  <c r="CH62" i="1"/>
  <c r="BJ103" i="1"/>
  <c r="BJ91" i="1" s="1"/>
  <c r="CJ136" i="1"/>
  <c r="CK155" i="1"/>
  <c r="BA120" i="1"/>
  <c r="CK140" i="4"/>
  <c r="CK201" i="1"/>
  <c r="BS173" i="4"/>
  <c r="BV172" i="4"/>
  <c r="CF141" i="1"/>
  <c r="CF158" i="1" s="1"/>
  <c r="BP201" i="1"/>
  <c r="BP184" i="1"/>
  <c r="P146" i="4"/>
  <c r="CW155" i="1"/>
  <c r="AH175" i="1"/>
  <c r="AH171" i="1" s="1"/>
  <c r="BN138" i="1"/>
  <c r="BJ136" i="1"/>
  <c r="BN136" i="1" s="1"/>
  <c r="BJ146" i="1"/>
  <c r="BJ144" i="1" s="1"/>
  <c r="P138" i="1"/>
  <c r="L136" i="1"/>
  <c r="P136" i="1" s="1"/>
  <c r="L146" i="1"/>
  <c r="L142" i="1" s="1"/>
  <c r="L159" i="1" s="1"/>
  <c r="CW26" i="1"/>
  <c r="CU121" i="1"/>
  <c r="CU124" i="1"/>
  <c r="CU122" i="1"/>
  <c r="CU123" i="1"/>
  <c r="DB13" i="1"/>
  <c r="DB14" i="1" s="1"/>
  <c r="Z38" i="1"/>
  <c r="Z40" i="1"/>
  <c r="BI29" i="1"/>
  <c r="BS14" i="1"/>
  <c r="BN14" i="1"/>
  <c r="CR17" i="1"/>
  <c r="CW17" i="1"/>
  <c r="DE19" i="1"/>
  <c r="DJ19" i="1" s="1"/>
  <c r="DB19" i="1"/>
  <c r="DB20" i="1" s="1"/>
  <c r="BX20" i="1"/>
  <c r="CC20" i="1"/>
  <c r="CW20" i="1"/>
  <c r="CR62" i="1"/>
  <c r="CR63" i="1" s="1"/>
  <c r="BO141" i="1"/>
  <c r="W175" i="1"/>
  <c r="W171" i="1" s="1"/>
  <c r="W178" i="1" s="1"/>
  <c r="CB202" i="1"/>
  <c r="BG201" i="1"/>
  <c r="BB201" i="1"/>
  <c r="BR184" i="1"/>
  <c r="BQ184" i="1"/>
  <c r="BR142" i="1"/>
  <c r="BR159" i="1" s="1"/>
  <c r="BK78" i="1"/>
  <c r="BK80" i="1"/>
  <c r="AL167" i="4"/>
  <c r="AL166" i="4" s="1"/>
  <c r="AL140" i="4"/>
  <c r="CU146" i="4"/>
  <c r="CU147" i="4"/>
  <c r="AL201" i="1"/>
  <c r="AJ183" i="1"/>
  <c r="AJ195" i="1" s="1"/>
  <c r="CN201" i="1"/>
  <c r="CS201" i="1"/>
  <c r="BJ141" i="1"/>
  <c r="BJ158" i="1" s="1"/>
  <c r="CM138" i="1"/>
  <c r="CI146" i="1"/>
  <c r="CI142" i="1" s="1"/>
  <c r="CI159" i="1" s="1"/>
  <c r="BD155" i="1"/>
  <c r="AY155" i="1"/>
  <c r="AW175" i="1"/>
  <c r="AW171" i="1" s="1"/>
  <c r="AW178" i="1" s="1"/>
  <c r="R146" i="1"/>
  <c r="AW146" i="1"/>
  <c r="AW142" i="1" s="1"/>
  <c r="AW136" i="1"/>
  <c r="DI13" i="1"/>
  <c r="DN13" i="1" s="1"/>
  <c r="DN15" i="1" s="1"/>
  <c r="DD22" i="1"/>
  <c r="DD43" i="1" s="1"/>
  <c r="CC55" i="1"/>
  <c r="CB37" i="1"/>
  <c r="CB38" i="1" s="1"/>
  <c r="R202" i="1"/>
  <c r="W202" i="1"/>
  <c r="N158" i="1"/>
  <c r="BA46" i="1"/>
  <c r="BA53" i="1" s="1"/>
  <c r="BA38" i="1"/>
  <c r="BA40" i="1"/>
  <c r="AD78" i="1"/>
  <c r="AD80" i="1"/>
  <c r="BM78" i="1"/>
  <c r="BL140" i="4"/>
  <c r="AW202" i="1"/>
  <c r="AR202" i="1"/>
  <c r="BY158" i="1"/>
  <c r="DJ13" i="1"/>
  <c r="DE15" i="1"/>
  <c r="AK136" i="1"/>
  <c r="AO136" i="1" s="1"/>
  <c r="AK146" i="1"/>
  <c r="AK144" i="1" s="1"/>
  <c r="AI168" i="4"/>
  <c r="AI166" i="4" s="1"/>
  <c r="AI140" i="4"/>
  <c r="DH19" i="1"/>
  <c r="CZ167" i="4"/>
  <c r="AY185" i="1"/>
  <c r="AY196" i="1" s="1"/>
  <c r="AC169" i="1"/>
  <c r="AC165" i="1" s="1"/>
  <c r="AC177" i="1" s="1"/>
  <c r="AT185" i="1"/>
  <c r="AT196" i="1" s="1"/>
  <c r="CM29" i="1"/>
  <c r="CP201" i="1"/>
  <c r="CW103" i="1"/>
  <c r="BE201" i="1"/>
  <c r="J175" i="1"/>
  <c r="Q166" i="4"/>
  <c r="Z29" i="1"/>
  <c r="BN29" i="1"/>
  <c r="AE32" i="1"/>
  <c r="AE33" i="1" s="1"/>
  <c r="BM38" i="1"/>
  <c r="BM46" i="1"/>
  <c r="BM147" i="4" s="1"/>
  <c r="CT33" i="1"/>
  <c r="CT53" i="1"/>
  <c r="CT57" i="1" s="1"/>
  <c r="CI40" i="1"/>
  <c r="CI38" i="1"/>
  <c r="AR166" i="4"/>
  <c r="BN32" i="1"/>
  <c r="BN33" i="1" s="1"/>
  <c r="BS32" i="1"/>
  <c r="BS33" i="1" s="1"/>
  <c r="CM39" i="1"/>
  <c r="AW140" i="4"/>
  <c r="Q140" i="4"/>
  <c r="CY32" i="1"/>
  <c r="AC140" i="4"/>
  <c r="CN140" i="4"/>
  <c r="BB46" i="1"/>
  <c r="BB146" i="4" s="1"/>
  <c r="AR140" i="4"/>
  <c r="AW166" i="4"/>
  <c r="BV40" i="1"/>
  <c r="BN55" i="1"/>
  <c r="AU80" i="1"/>
  <c r="BJ172" i="4"/>
  <c r="CF173" i="4"/>
  <c r="BN141" i="4"/>
  <c r="BN167" i="4" s="1"/>
  <c r="BP173" i="4"/>
  <c r="BO173" i="4"/>
  <c r="BN44" i="1"/>
  <c r="BF173" i="4"/>
  <c r="U185" i="1"/>
  <c r="BO201" i="1"/>
  <c r="BB146" i="1"/>
  <c r="BB144" i="1" s="1"/>
  <c r="CG166" i="1"/>
  <c r="AI169" i="1"/>
  <c r="AI165" i="1" s="1"/>
  <c r="AI177" i="1" s="1"/>
  <c r="CB103" i="1"/>
  <c r="BC202" i="1"/>
  <c r="AO101" i="1"/>
  <c r="DG40" i="8"/>
  <c r="DG86" i="8" s="1"/>
  <c r="AU78" i="1"/>
  <c r="BN172" i="4"/>
  <c r="BN145" i="4"/>
  <c r="AU201" i="1"/>
  <c r="CX71" i="1"/>
  <c r="AU75" i="4"/>
  <c r="AU78" i="4" s="1"/>
  <c r="AU79" i="4" s="1"/>
  <c r="AU81" i="4" s="1"/>
  <c r="CD201" i="1"/>
  <c r="BQ173" i="4"/>
  <c r="BP174" i="4"/>
  <c r="BO174" i="4"/>
  <c r="BG172" i="4"/>
  <c r="BG142" i="1"/>
  <c r="BG159" i="1" s="1"/>
  <c r="K125" i="1"/>
  <c r="BW166" i="4"/>
  <c r="T172" i="1"/>
  <c r="BH172" i="1"/>
  <c r="BW172" i="1"/>
  <c r="DL40" i="8"/>
  <c r="DL86" i="8" s="1"/>
  <c r="CL37" i="1"/>
  <c r="CL46" i="1" s="1"/>
  <c r="CL146" i="4" s="1"/>
  <c r="CM55" i="1"/>
  <c r="I90" i="1"/>
  <c r="I92" i="1" s="1"/>
  <c r="CU141" i="1"/>
  <c r="CU158" i="1" s="1"/>
  <c r="BV80" i="1"/>
  <c r="BI188" i="1"/>
  <c r="BY140" i="4"/>
  <c r="CH183" i="1"/>
  <c r="CH195" i="1" s="1"/>
  <c r="AR78" i="1"/>
  <c r="AF159" i="1"/>
  <c r="V159" i="1"/>
  <c r="BS155" i="1"/>
  <c r="BF33" i="1"/>
  <c r="BQ140" i="4"/>
  <c r="BI142" i="4"/>
  <c r="BI168" i="4" s="1"/>
  <c r="CD184" i="1"/>
  <c r="AR75" i="4"/>
  <c r="BF146" i="1"/>
  <c r="AE55" i="1"/>
  <c r="AP201" i="1"/>
  <c r="AX140" i="4"/>
  <c r="AS40" i="1"/>
  <c r="AS38" i="1"/>
  <c r="AS46" i="1"/>
  <c r="AS146" i="4" s="1"/>
  <c r="AJ55" i="1"/>
  <c r="AM46" i="1"/>
  <c r="AM53" i="1" s="1"/>
  <c r="AM66" i="1" s="1"/>
  <c r="AO55" i="1"/>
  <c r="T201" i="1"/>
  <c r="AZ103" i="1"/>
  <c r="AZ91" i="1" s="1"/>
  <c r="CP166" i="4"/>
  <c r="BL166" i="4"/>
  <c r="BE140" i="4"/>
  <c r="BW140" i="4"/>
  <c r="BU103" i="1"/>
  <c r="BU91" i="1" s="1"/>
  <c r="CR173" i="4"/>
  <c r="CU172" i="4"/>
  <c r="CR188" i="1"/>
  <c r="X166" i="4"/>
  <c r="CN103" i="1"/>
  <c r="CN91" i="1" s="1"/>
  <c r="BJ140" i="4"/>
  <c r="BB140" i="4"/>
  <c r="CR145" i="4"/>
  <c r="CR142" i="4"/>
  <c r="CR168" i="4" s="1"/>
  <c r="CT173" i="4"/>
  <c r="CR34" i="1"/>
  <c r="CR35" i="1" s="1"/>
  <c r="CS173" i="4"/>
  <c r="AF166" i="4"/>
  <c r="BJ166" i="4"/>
  <c r="DB38" i="8"/>
  <c r="DB84" i="8" s="1"/>
  <c r="F7" i="26"/>
  <c r="CR172" i="4"/>
  <c r="CT172" i="4"/>
  <c r="X140" i="4"/>
  <c r="AB140" i="4"/>
  <c r="CW55" i="1"/>
  <c r="AY55" i="1"/>
  <c r="AE37" i="1"/>
  <c r="AE38" i="1" s="1"/>
  <c r="BJ53" i="1"/>
  <c r="BJ54" i="1" s="1"/>
  <c r="BV46" i="1"/>
  <c r="BJ38" i="1"/>
  <c r="BJ147" i="4"/>
  <c r="BJ40" i="1"/>
  <c r="AK46" i="1"/>
  <c r="AK146" i="4" s="1"/>
  <c r="AL146" i="4"/>
  <c r="AL147" i="4"/>
  <c r="BE38" i="1"/>
  <c r="AL38" i="1"/>
  <c r="BQ46" i="1"/>
  <c r="BQ53" i="1" s="1"/>
  <c r="BQ66" i="1" s="1"/>
  <c r="BK38" i="1"/>
  <c r="CA46" i="1"/>
  <c r="CA146" i="4" s="1"/>
  <c r="AL40" i="1"/>
  <c r="AL53" i="1"/>
  <c r="AL66" i="1" s="1"/>
  <c r="CX111" i="8" s="1"/>
  <c r="CX112" i="8" s="1"/>
  <c r="BE46" i="1"/>
  <c r="BE53" i="1" s="1"/>
  <c r="AK38" i="1"/>
  <c r="W75" i="4"/>
  <c r="W78" i="4" s="1"/>
  <c r="W79" i="4" s="1"/>
  <c r="W81" i="4" s="1"/>
  <c r="AF80" i="1"/>
  <c r="AF78" i="1"/>
  <c r="W78" i="1"/>
  <c r="AZ80" i="1"/>
  <c r="BI55" i="1"/>
  <c r="BS55" i="1"/>
  <c r="AA46" i="1"/>
  <c r="AA53" i="1" s="1"/>
  <c r="AA66" i="1" s="1"/>
  <c r="AA72" i="1" s="1"/>
  <c r="AM76" i="1" s="1"/>
  <c r="AC76" i="1" s="1"/>
  <c r="AA111" i="8" s="1"/>
  <c r="AA112" i="8" s="1"/>
  <c r="BB40" i="1"/>
  <c r="AJ37" i="1"/>
  <c r="AJ38" i="1" s="1"/>
  <c r="BL147" i="4"/>
  <c r="BL146" i="4"/>
  <c r="BL53" i="1"/>
  <c r="BL54" i="1" s="1"/>
  <c r="AU146" i="4"/>
  <c r="AU147" i="4"/>
  <c r="BO38" i="1"/>
  <c r="BU40" i="1"/>
  <c r="BO46" i="1"/>
  <c r="BO53" i="1" s="1"/>
  <c r="AI40" i="1"/>
  <c r="AI46" i="1"/>
  <c r="AI147" i="4" s="1"/>
  <c r="AU40" i="1"/>
  <c r="CI46" i="1"/>
  <c r="AU38" i="1"/>
  <c r="BH40" i="1"/>
  <c r="CF38" i="1"/>
  <c r="AR147" i="4"/>
  <c r="AW40" i="1"/>
  <c r="BU38" i="1"/>
  <c r="AA40" i="1"/>
  <c r="AR40" i="1"/>
  <c r="CF40" i="1"/>
  <c r="AR53" i="1"/>
  <c r="AR66" i="1" s="1"/>
  <c r="AR75" i="1" s="1"/>
  <c r="BE75" i="4"/>
  <c r="BE78" i="4" s="1"/>
  <c r="AN140" i="4"/>
  <c r="CL125" i="1"/>
  <c r="AZ140" i="4"/>
  <c r="BF80" i="1"/>
  <c r="AZ167" i="4"/>
  <c r="AZ166" i="4" s="1"/>
  <c r="BE80" i="1"/>
  <c r="BD183" i="1"/>
  <c r="BD173" i="4"/>
  <c r="BD145" i="4"/>
  <c r="BD141" i="4"/>
  <c r="BD167" i="4" s="1"/>
  <c r="BF172" i="4"/>
  <c r="J125" i="1"/>
  <c r="CK125" i="1"/>
  <c r="AZ201" i="1"/>
  <c r="BE174" i="4"/>
  <c r="BE172" i="4"/>
  <c r="BD44" i="1"/>
  <c r="BE123" i="1"/>
  <c r="BF174" i="4"/>
  <c r="BD142" i="4"/>
  <c r="BD168" i="4" s="1"/>
  <c r="BD172" i="4"/>
  <c r="CC155" i="1"/>
  <c r="BT175" i="1"/>
  <c r="BT171" i="1" s="1"/>
  <c r="BT178" i="1" s="1"/>
  <c r="AB169" i="1"/>
  <c r="AB165" i="1" s="1"/>
  <c r="AB177" i="1" s="1"/>
  <c r="CF125" i="1"/>
  <c r="AK75" i="4"/>
  <c r="BY166" i="4"/>
  <c r="P32" i="1"/>
  <c r="P33" i="1" s="1"/>
  <c r="AJ29" i="1"/>
  <c r="BX29" i="1"/>
  <c r="AG166" i="4"/>
  <c r="AV140" i="4"/>
  <c r="BF140" i="4"/>
  <c r="X202" i="1"/>
  <c r="BX14" i="1"/>
  <c r="AT17" i="1"/>
  <c r="CH17" i="1"/>
  <c r="BX55" i="1"/>
  <c r="DE143" i="4"/>
  <c r="CZ169" i="4"/>
  <c r="BC46" i="1"/>
  <c r="BC146" i="4" s="1"/>
  <c r="BC38" i="1"/>
  <c r="BC40" i="1"/>
  <c r="CD46" i="1"/>
  <c r="CD40" i="1"/>
  <c r="CD38" i="1"/>
  <c r="CN33" i="1"/>
  <c r="CN53" i="1"/>
  <c r="Q75" i="1"/>
  <c r="Q72" i="1"/>
  <c r="X81" i="1"/>
  <c r="X79" i="1"/>
  <c r="AY32" i="1"/>
  <c r="AY33" i="1" s="1"/>
  <c r="AT32" i="1"/>
  <c r="AT33" i="1" s="1"/>
  <c r="BY38" i="1"/>
  <c r="BH46" i="1"/>
  <c r="S33" i="1"/>
  <c r="BQ40" i="1"/>
  <c r="BY46" i="1"/>
  <c r="CN166" i="4"/>
  <c r="Y53" i="1"/>
  <c r="Y66" i="1" s="1"/>
  <c r="CU169" i="4"/>
  <c r="BM40" i="1"/>
  <c r="AX37" i="1"/>
  <c r="AY37" i="1" s="1"/>
  <c r="P143" i="4"/>
  <c r="P169" i="4" s="1"/>
  <c r="BD55" i="1"/>
  <c r="BR37" i="1"/>
  <c r="BS37" i="1" s="1"/>
  <c r="CN27" i="1"/>
  <c r="BP33" i="1"/>
  <c r="CI140" i="4"/>
  <c r="BB166" i="4"/>
  <c r="AQ166" i="4"/>
  <c r="AJ32" i="1"/>
  <c r="AJ33" i="1" s="1"/>
  <c r="CH55" i="1"/>
  <c r="BW37" i="1"/>
  <c r="BD143" i="4"/>
  <c r="BD169" i="4" s="1"/>
  <c r="AG140" i="4"/>
  <c r="CY27" i="1"/>
  <c r="O140" i="4"/>
  <c r="CR55" i="1"/>
  <c r="AU167" i="4"/>
  <c r="AU166" i="4" s="1"/>
  <c r="AU140" i="4"/>
  <c r="AU53" i="1"/>
  <c r="AU33" i="1"/>
  <c r="BX23" i="1"/>
  <c r="BT172" i="4"/>
  <c r="BU172" i="4"/>
  <c r="BT173" i="4"/>
  <c r="BV173" i="4"/>
  <c r="BS142" i="4"/>
  <c r="BS188" i="1"/>
  <c r="BS145" i="4"/>
  <c r="BS44" i="1"/>
  <c r="BS172" i="4"/>
  <c r="BU173" i="4"/>
  <c r="BP186" i="1"/>
  <c r="BO186" i="1"/>
  <c r="AQ159" i="1"/>
  <c r="AT145" i="4"/>
  <c r="AT188" i="1"/>
  <c r="AY189" i="1" s="1"/>
  <c r="AW173" i="4"/>
  <c r="AW174" i="4"/>
  <c r="AT173" i="4"/>
  <c r="AT141" i="4"/>
  <c r="AT142" i="4"/>
  <c r="AT168" i="4" s="1"/>
  <c r="AT44" i="1"/>
  <c r="AU173" i="4"/>
  <c r="AV174" i="4"/>
  <c r="AV173" i="4"/>
  <c r="AP168" i="4"/>
  <c r="AP166" i="4" s="1"/>
  <c r="AP140" i="4"/>
  <c r="BD185" i="1"/>
  <c r="BD196" i="1" s="1"/>
  <c r="AZ202" i="1"/>
  <c r="BJ202" i="1"/>
  <c r="BN185" i="1"/>
  <c r="BN196" i="1" s="1"/>
  <c r="CC142" i="4"/>
  <c r="CC168" i="4" s="1"/>
  <c r="CC173" i="4"/>
  <c r="CD173" i="4"/>
  <c r="CD174" i="4"/>
  <c r="CF172" i="4"/>
  <c r="CC188" i="1"/>
  <c r="CC172" i="4"/>
  <c r="CD172" i="4"/>
  <c r="CE173" i="4"/>
  <c r="CC211" i="1"/>
  <c r="CC141" i="4"/>
  <c r="CC167" i="4" s="1"/>
  <c r="CE172" i="4"/>
  <c r="CC145" i="4"/>
  <c r="CD202" i="1"/>
  <c r="BY186" i="1"/>
  <c r="CJ144" i="1"/>
  <c r="AO32" i="1"/>
  <c r="AO33" i="1" s="1"/>
  <c r="AK202" i="1"/>
  <c r="AO185" i="1"/>
  <c r="AO196" i="1" s="1"/>
  <c r="AP202" i="1"/>
  <c r="CE142" i="1"/>
  <c r="CE159" i="1" s="1"/>
  <c r="CE144" i="1"/>
  <c r="X72" i="1"/>
  <c r="AH146" i="1"/>
  <c r="AH142" i="1" s="1"/>
  <c r="X146" i="1"/>
  <c r="X142" i="1" s="1"/>
  <c r="BX173" i="4"/>
  <c r="BX172" i="4"/>
  <c r="BX188" i="1"/>
  <c r="BC33" i="1"/>
  <c r="CB125" i="1"/>
  <c r="BC125" i="1"/>
  <c r="CA175" i="1"/>
  <c r="CA171" i="1" s="1"/>
  <c r="CA178" i="1" s="1"/>
  <c r="CA169" i="1"/>
  <c r="CA165" i="1" s="1"/>
  <c r="CA177" i="1" s="1"/>
  <c r="AA80" i="1"/>
  <c r="AA78" i="1"/>
  <c r="CK46" i="1"/>
  <c r="CK38" i="1"/>
  <c r="AQ46" i="1"/>
  <c r="AQ38" i="1"/>
  <c r="AT37" i="1"/>
  <c r="CE40" i="1"/>
  <c r="CH37" i="1"/>
  <c r="AK141" i="1"/>
  <c r="L141" i="1"/>
  <c r="BS23" i="1"/>
  <c r="CF166" i="1"/>
  <c r="CK146" i="1"/>
  <c r="CK142" i="1" s="1"/>
  <c r="CK159" i="1" s="1"/>
  <c r="BU142" i="1"/>
  <c r="BR201" i="1"/>
  <c r="BM201" i="1"/>
  <c r="AQ40" i="1"/>
  <c r="BR175" i="1"/>
  <c r="BR171" i="1" s="1"/>
  <c r="BR178" i="1" s="1"/>
  <c r="AH46" i="1"/>
  <c r="AH147" i="4" s="1"/>
  <c r="AH40" i="1"/>
  <c r="CA125" i="1"/>
  <c r="CE46" i="1"/>
  <c r="AV202" i="1"/>
  <c r="I66" i="1"/>
  <c r="CJ46" i="1"/>
  <c r="CJ147" i="4" s="1"/>
  <c r="CJ40" i="1"/>
  <c r="CJ38" i="1"/>
  <c r="BA202" i="1"/>
  <c r="BC201" i="1"/>
  <c r="AH202" i="1"/>
  <c r="AO155" i="1"/>
  <c r="DH12" i="1"/>
  <c r="CR125" i="1"/>
  <c r="U155" i="1"/>
  <c r="DG19" i="1"/>
  <c r="CM212" i="1"/>
  <c r="BB123" i="1"/>
  <c r="BL123" i="1"/>
  <c r="CA145" i="1"/>
  <c r="CK145" i="1"/>
  <c r="CK141" i="1" s="1"/>
  <c r="CB201" i="1"/>
  <c r="AO37" i="1"/>
  <c r="BD11" i="1"/>
  <c r="AY14" i="1"/>
  <c r="BI17" i="1"/>
  <c r="CH20" i="1"/>
  <c r="K91" i="1"/>
  <c r="U91" i="1"/>
  <c r="AJ91" i="1"/>
  <c r="AT91" i="1"/>
  <c r="AN123" i="1"/>
  <c r="BS163" i="1"/>
  <c r="BD23" i="1"/>
  <c r="BJ201" i="1"/>
  <c r="BU147" i="4"/>
  <c r="BU53" i="1"/>
  <c r="BM202" i="1"/>
  <c r="BR202" i="1"/>
  <c r="CG186" i="1"/>
  <c r="CK202" i="1"/>
  <c r="CF167" i="4"/>
  <c r="CF166" i="4" s="1"/>
  <c r="CF140" i="4"/>
  <c r="AV46" i="1"/>
  <c r="AV40" i="1"/>
  <c r="BW80" i="1"/>
  <c r="BB202" i="1"/>
  <c r="BG202" i="1"/>
  <c r="BR186" i="1"/>
  <c r="BQ186" i="1"/>
  <c r="CU201" i="1"/>
  <c r="CU140" i="4"/>
  <c r="CU168" i="4"/>
  <c r="CN124" i="1"/>
  <c r="CN123" i="1"/>
  <c r="CN122" i="1"/>
  <c r="CN121" i="1"/>
  <c r="CN125" i="1" s="1"/>
  <c r="AK78" i="1"/>
  <c r="CI162" i="1"/>
  <c r="BA136" i="1"/>
  <c r="AI144" i="1"/>
  <c r="AN33" i="1"/>
  <c r="BR140" i="4"/>
  <c r="BR168" i="4"/>
  <c r="BR166" i="4" s="1"/>
  <c r="AB33" i="1"/>
  <c r="BA140" i="4"/>
  <c r="AY138" i="1"/>
  <c r="AU146" i="1"/>
  <c r="AU136" i="1"/>
  <c r="AY136" i="1" s="1"/>
  <c r="Q136" i="1"/>
  <c r="U136" i="1" s="1"/>
  <c r="Q146" i="1"/>
  <c r="BZ38" i="1"/>
  <c r="BZ46" i="1"/>
  <c r="BZ53" i="1" s="1"/>
  <c r="R140" i="4"/>
  <c r="R167" i="4"/>
  <c r="R166" i="4" s="1"/>
  <c r="DB16" i="1"/>
  <c r="DB17" i="1" s="1"/>
  <c r="DA18" i="1"/>
  <c r="DF16" i="1"/>
  <c r="DA22" i="1"/>
  <c r="DC18" i="1"/>
  <c r="BD83" i="1"/>
  <c r="BC93" i="1"/>
  <c r="BE89" i="1" s="1"/>
  <c r="BK146" i="1"/>
  <c r="AD40" i="1"/>
  <c r="AD46" i="1"/>
  <c r="BD37" i="1"/>
  <c r="AZ46" i="1"/>
  <c r="AM167" i="4"/>
  <c r="AM166" i="4" s="1"/>
  <c r="AM140" i="4"/>
  <c r="DH15" i="1"/>
  <c r="DI15" i="1"/>
  <c r="M33" i="1"/>
  <c r="M53" i="1"/>
  <c r="M66" i="1" s="1"/>
  <c r="O53" i="1"/>
  <c r="O66" i="1" s="1"/>
  <c r="O72" i="1" s="1"/>
  <c r="O33" i="1"/>
  <c r="CH155" i="1"/>
  <c r="CC138" i="1"/>
  <c r="BY136" i="1"/>
  <c r="CC136" i="1" s="1"/>
  <c r="AD93" i="1"/>
  <c r="AE83" i="1"/>
  <c r="BK140" i="4"/>
  <c r="CX202" i="1"/>
  <c r="CX122" i="1"/>
  <c r="AA168" i="4"/>
  <c r="AA166" i="4" s="1"/>
  <c r="AA140" i="4"/>
  <c r="X201" i="1"/>
  <c r="AC201" i="1"/>
  <c r="CZ24" i="1"/>
  <c r="AS136" i="1"/>
  <c r="BK46" i="1"/>
  <c r="BK53" i="1" s="1"/>
  <c r="BN37" i="1"/>
  <c r="AC40" i="1"/>
  <c r="AC38" i="1"/>
  <c r="AC46" i="1"/>
  <c r="AN46" i="1"/>
  <c r="AN40" i="1"/>
  <c r="AN38" i="1"/>
  <c r="CI144" i="1"/>
  <c r="CB143" i="4"/>
  <c r="CB29" i="1"/>
  <c r="CC30" i="1"/>
  <c r="CC29" i="1" s="1"/>
  <c r="CG143" i="4"/>
  <c r="CG169" i="4" s="1"/>
  <c r="CG32" i="1"/>
  <c r="CG33" i="1" s="1"/>
  <c r="CH30" i="1"/>
  <c r="CH143" i="4" s="1"/>
  <c r="U143" i="4"/>
  <c r="U169" i="4" s="1"/>
  <c r="CR29" i="1"/>
  <c r="CR143" i="4"/>
  <c r="CR26" i="1"/>
  <c r="U29" i="1"/>
  <c r="AO29" i="1"/>
  <c r="CI64" i="1"/>
  <c r="CM60" i="1"/>
  <c r="DE10" i="1"/>
  <c r="DB10" i="1"/>
  <c r="DB11" i="1" s="1"/>
  <c r="BX11" i="1"/>
  <c r="CC11" i="1"/>
  <c r="CR212" i="1"/>
  <c r="CW11" i="1"/>
  <c r="CR11" i="1"/>
  <c r="CL22" i="1"/>
  <c r="CN15" i="1"/>
  <c r="CL15" i="1"/>
  <c r="CM13" i="1"/>
  <c r="BU201" i="1"/>
  <c r="O201" i="1"/>
  <c r="BT98" i="1"/>
  <c r="CW14" i="1"/>
  <c r="CC17" i="1"/>
  <c r="CJ64" i="1"/>
  <c r="CT24" i="1"/>
  <c r="CT23" i="1"/>
  <c r="CW91" i="1"/>
  <c r="CU24" i="1"/>
  <c r="CU23" i="1"/>
  <c r="BQ166" i="4"/>
  <c r="K32" i="1"/>
  <c r="K33" i="1" s="1"/>
  <c r="BD32" i="1"/>
  <c r="BD33" i="1" s="1"/>
  <c r="CY24" i="1"/>
  <c r="CY23" i="1"/>
  <c r="CS202" i="1"/>
  <c r="AQ92" i="1"/>
  <c r="AZ98" i="1"/>
  <c r="BI11" i="1"/>
  <c r="CC212" i="1"/>
  <c r="X125" i="1"/>
  <c r="CX145" i="4"/>
  <c r="DC145" i="4" s="1"/>
  <c r="DC46" i="4" s="1"/>
  <c r="CX23" i="1"/>
  <c r="CX24" i="1"/>
  <c r="CV24" i="1"/>
  <c r="CV23" i="1"/>
  <c r="BF201" i="1"/>
  <c r="CS166" i="4"/>
  <c r="BY98" i="1"/>
  <c r="BY90" i="1" s="1"/>
  <c r="BY92" i="1" s="1"/>
  <c r="CH212" i="1"/>
  <c r="CC44" i="1"/>
  <c r="CH23" i="1"/>
  <c r="CC23" i="1"/>
  <c r="BO166" i="4"/>
  <c r="BS185" i="1"/>
  <c r="BS196" i="1" s="1"/>
  <c r="BQ202" i="1"/>
  <c r="BM166" i="4"/>
  <c r="BO202" i="1"/>
  <c r="BN183" i="1"/>
  <c r="BO184" i="1"/>
  <c r="BK168" i="4"/>
  <c r="BK166" i="4" s="1"/>
  <c r="BN23" i="1"/>
  <c r="BK202" i="1"/>
  <c r="BH140" i="4"/>
  <c r="BG166" i="4"/>
  <c r="BI173" i="4"/>
  <c r="BI145" i="4"/>
  <c r="BL172" i="4"/>
  <c r="BI32" i="1"/>
  <c r="BI33" i="1" s="1"/>
  <c r="BI44" i="1"/>
  <c r="BL174" i="4"/>
  <c r="BK172" i="4"/>
  <c r="BH167" i="4"/>
  <c r="BH166" i="4" s="1"/>
  <c r="BL173" i="4"/>
  <c r="BI141" i="4"/>
  <c r="BI172" i="4"/>
  <c r="BI23" i="1"/>
  <c r="BG140" i="4"/>
  <c r="BE166" i="4"/>
  <c r="BI183" i="1"/>
  <c r="BI185" i="1"/>
  <c r="BF166" i="4"/>
  <c r="BK201" i="1"/>
  <c r="BF202" i="1"/>
  <c r="BH201" i="1"/>
  <c r="BE202" i="1"/>
  <c r="AY23" i="1"/>
  <c r="AT23" i="1"/>
  <c r="AQ202" i="1"/>
  <c r="AO183" i="1"/>
  <c r="AS202" i="1"/>
  <c r="AS201" i="1"/>
  <c r="Z183" i="1"/>
  <c r="DJ145" i="4"/>
  <c r="DO145" i="4" s="1"/>
  <c r="AF140" i="4"/>
  <c r="AZ75" i="4"/>
  <c r="AT138" i="1"/>
  <c r="AP146" i="1"/>
  <c r="AP136" i="1"/>
  <c r="AT136" i="1" s="1"/>
  <c r="BV146" i="1"/>
  <c r="BV142" i="1" s="1"/>
  <c r="CO146" i="1"/>
  <c r="CO142" i="1" s="1"/>
  <c r="CO136" i="1"/>
  <c r="BA142" i="1"/>
  <c r="I146" i="1"/>
  <c r="I144" i="1" s="1"/>
  <c r="I136" i="1"/>
  <c r="CL146" i="1"/>
  <c r="CL142" i="1" s="1"/>
  <c r="CL136" i="1"/>
  <c r="BG40" i="1"/>
  <c r="BG38" i="1"/>
  <c r="BI37" i="1"/>
  <c r="BG46" i="1"/>
  <c r="M159" i="1"/>
  <c r="BZ89" i="1"/>
  <c r="BZ92" i="1" s="1"/>
  <c r="BZ146" i="1"/>
  <c r="BZ136" i="1"/>
  <c r="AU92" i="1"/>
  <c r="AD201" i="1"/>
  <c r="BT123" i="1"/>
  <c r="BB175" i="1"/>
  <c r="BH202" i="1"/>
  <c r="S166" i="4"/>
  <c r="W140" i="4"/>
  <c r="AI202" i="1"/>
  <c r="Y201" i="1"/>
  <c r="K163" i="1"/>
  <c r="K172" i="1" s="1"/>
  <c r="AT163" i="1"/>
  <c r="CV141" i="1"/>
  <c r="BA33" i="1"/>
  <c r="BZ33" i="1"/>
  <c r="CV35" i="1"/>
  <c r="AH168" i="4"/>
  <c r="AH166" i="4" s="1"/>
  <c r="AH140" i="4"/>
  <c r="AO167" i="4"/>
  <c r="BK33" i="1"/>
  <c r="BP140" i="4"/>
  <c r="BP167" i="4"/>
  <c r="BP166" i="4" s="1"/>
  <c r="W166" i="4"/>
  <c r="Y168" i="4"/>
  <c r="W53" i="1"/>
  <c r="W33" i="1"/>
  <c r="Z32" i="1"/>
  <c r="Z33" i="1" s="1"/>
  <c r="AG201" i="1"/>
  <c r="AE183" i="1"/>
  <c r="AJ201" i="1" s="1"/>
  <c r="CQ168" i="4"/>
  <c r="CQ166" i="4" s="1"/>
  <c r="CQ140" i="4"/>
  <c r="AD168" i="4"/>
  <c r="AD166" i="4" s="1"/>
  <c r="AD140" i="4"/>
  <c r="T167" i="4"/>
  <c r="T166" i="4" s="1"/>
  <c r="T140" i="4"/>
  <c r="T33" i="1"/>
  <c r="U32" i="1"/>
  <c r="U33" i="1" s="1"/>
  <c r="T53" i="1"/>
  <c r="CJ201" i="1"/>
  <c r="CF184" i="1"/>
  <c r="CU184" i="1"/>
  <c r="AF202" i="1"/>
  <c r="AE185" i="1"/>
  <c r="L167" i="4"/>
  <c r="L166" i="4" s="1"/>
  <c r="L140" i="4"/>
  <c r="AE167" i="4"/>
  <c r="AX33" i="1"/>
  <c r="BU168" i="4"/>
  <c r="BU166" i="4" s="1"/>
  <c r="BU140" i="4"/>
  <c r="AJ168" i="4"/>
  <c r="V167" i="4"/>
  <c r="V166" i="4" s="1"/>
  <c r="V140" i="4"/>
  <c r="V172" i="4"/>
  <c r="U173" i="4"/>
  <c r="U188" i="1"/>
  <c r="N140" i="4"/>
  <c r="N167" i="4"/>
  <c r="N166" i="4" s="1"/>
  <c r="Q172" i="4"/>
  <c r="P38" i="1"/>
  <c r="S172" i="4"/>
  <c r="P142" i="4"/>
  <c r="P168" i="4" s="1"/>
  <c r="P145" i="4"/>
  <c r="P188" i="1"/>
  <c r="Q173" i="4"/>
  <c r="Q174" i="4"/>
  <c r="R173" i="4"/>
  <c r="P173" i="4"/>
  <c r="P141" i="4"/>
  <c r="R172" i="4"/>
  <c r="BB33" i="1"/>
  <c r="AQ140" i="4"/>
  <c r="CG168" i="4"/>
  <c r="BR33" i="1"/>
  <c r="J167" i="4"/>
  <c r="J166" i="4" s="1"/>
  <c r="J140" i="4"/>
  <c r="AB172" i="4"/>
  <c r="DI22" i="1"/>
  <c r="AA202" i="1"/>
  <c r="BL146" i="1"/>
  <c r="BL144" i="1" s="1"/>
  <c r="BL136" i="1"/>
  <c r="BA166" i="4"/>
  <c r="BV183" i="1"/>
  <c r="BV141" i="4"/>
  <c r="BV32" i="1"/>
  <c r="BV145" i="4"/>
  <c r="BV185" i="1"/>
  <c r="BV44" i="1"/>
  <c r="BV142" i="4"/>
  <c r="BV168" i="4" s="1"/>
  <c r="CA185" i="1"/>
  <c r="CA44" i="1"/>
  <c r="CA142" i="4"/>
  <c r="CA168" i="4" s="1"/>
  <c r="CA145" i="4"/>
  <c r="CA141" i="4"/>
  <c r="CA38" i="1"/>
  <c r="CA32" i="1"/>
  <c r="CA183" i="1"/>
  <c r="CG38" i="1"/>
  <c r="CG40" i="1"/>
  <c r="CG46" i="1"/>
  <c r="BC166" i="4"/>
  <c r="BT141" i="4"/>
  <c r="BT145" i="4"/>
  <c r="BT142" i="4"/>
  <c r="BT168" i="4" s="1"/>
  <c r="BT32" i="1"/>
  <c r="BT44" i="1"/>
  <c r="BT185" i="1"/>
  <c r="BT183" i="1"/>
  <c r="CD145" i="4"/>
  <c r="CD32" i="1"/>
  <c r="BP136" i="1"/>
  <c r="BP146" i="1"/>
  <c r="S175" i="1"/>
  <c r="S171" i="1" s="1"/>
  <c r="S178" i="1" s="1"/>
  <c r="AI201" i="1"/>
  <c r="BD14" i="1"/>
  <c r="CW154" i="1"/>
  <c r="CR153" i="1"/>
  <c r="CU32" i="1"/>
  <c r="AH125" i="1"/>
  <c r="AG125" i="1"/>
  <c r="CC125" i="1"/>
  <c r="AB201" i="1"/>
  <c r="O166" i="4"/>
  <c r="P40" i="1"/>
  <c r="BI20" i="1"/>
  <c r="S125" i="1"/>
  <c r="AB166" i="4"/>
  <c r="Z155" i="1"/>
  <c r="DA15" i="1"/>
  <c r="CG145" i="1"/>
  <c r="AF106" i="4"/>
  <c r="L108" i="1"/>
  <c r="L105" i="8"/>
  <c r="BI14" i="8"/>
  <c r="BI60" i="8" s="1"/>
  <c r="AJ30" i="8"/>
  <c r="AJ76" i="8" s="1"/>
  <c r="AO17" i="8"/>
  <c r="AO63" i="8" s="1"/>
  <c r="AE17" i="8"/>
  <c r="AE63" i="8" s="1"/>
  <c r="BX21" i="8"/>
  <c r="BX67" i="8" s="1"/>
  <c r="CD24" i="4"/>
  <c r="CE112" i="4"/>
  <c r="BK90" i="1"/>
  <c r="AM20" i="8"/>
  <c r="BC103" i="1"/>
  <c r="Q108" i="1"/>
  <c r="Q105" i="8"/>
  <c r="BM45" i="8"/>
  <c r="BN45" i="8" s="1"/>
  <c r="BN91" i="8" s="1"/>
  <c r="BH20" i="8"/>
  <c r="BI20" i="8" s="1"/>
  <c r="BI66" i="8" s="1"/>
  <c r="O174" i="4"/>
  <c r="AD103" i="4"/>
  <c r="CV20" i="8"/>
  <c r="CW20" i="8" s="1"/>
  <c r="CW66" i="8" s="1"/>
  <c r="AD31" i="8"/>
  <c r="AE31" i="8" s="1"/>
  <c r="AE77" i="8" s="1"/>
  <c r="Y22" i="8"/>
  <c r="Z22" i="8" s="1"/>
  <c r="Z68" i="8" s="1"/>
  <c r="J31" i="8"/>
  <c r="K31" i="8" s="1"/>
  <c r="K77" i="8" s="1"/>
  <c r="AI24" i="8"/>
  <c r="AD21" i="8"/>
  <c r="AE21" i="8" s="1"/>
  <c r="AE67" i="8" s="1"/>
  <c r="Z14" i="8"/>
  <c r="Z60" i="8" s="1"/>
  <c r="CI105" i="8"/>
  <c r="CI108" i="1"/>
  <c r="AZ121" i="4"/>
  <c r="AZ131" i="4" s="1"/>
  <c r="CK136" i="4"/>
  <c r="AP78" i="1"/>
  <c r="BL135" i="4"/>
  <c r="CK17" i="8"/>
  <c r="CQ41" i="8"/>
  <c r="BG18" i="8"/>
  <c r="Y17" i="8"/>
  <c r="Z17" i="8" s="1"/>
  <c r="Z63" i="8" s="1"/>
  <c r="AD14" i="8"/>
  <c r="AE14" i="8" s="1"/>
  <c r="AE60" i="8" s="1"/>
  <c r="S21" i="8"/>
  <c r="BH15" i="8"/>
  <c r="CB16" i="8"/>
  <c r="CC16" i="8" s="1"/>
  <c r="CC62" i="8" s="1"/>
  <c r="BC16" i="8"/>
  <c r="BD16" i="8" s="1"/>
  <c r="BD62" i="8" s="1"/>
  <c r="AN14" i="8"/>
  <c r="CV23" i="8"/>
  <c r="CW23" i="8" s="1"/>
  <c r="CW69" i="8" s="1"/>
  <c r="DB30" i="4"/>
  <c r="DC30" i="4"/>
  <c r="CJ115" i="4"/>
  <c r="CQ20" i="8"/>
  <c r="CR20" i="8" s="1"/>
  <c r="CR66" i="8" s="1"/>
  <c r="BM136" i="1"/>
  <c r="BM146" i="1"/>
  <c r="M87" i="4"/>
  <c r="L98" i="4"/>
  <c r="L117" i="4" s="1"/>
  <c r="AR87" i="4"/>
  <c r="AQ98" i="4"/>
  <c r="AV98" i="4"/>
  <c r="AV117" i="4" s="1"/>
  <c r="AW87" i="4"/>
  <c r="AW103" i="4" s="1"/>
  <c r="CB87" i="4"/>
  <c r="CA98" i="4"/>
  <c r="CF98" i="4"/>
  <c r="CG87" i="4"/>
  <c r="CK98" i="4"/>
  <c r="CL87" i="4"/>
  <c r="CW93" i="4"/>
  <c r="I14" i="8"/>
  <c r="O16" i="8"/>
  <c r="P16" i="8" s="1"/>
  <c r="P62" i="8" s="1"/>
  <c r="BC17" i="8"/>
  <c r="BD17" i="8" s="1"/>
  <c r="BD63" i="8" s="1"/>
  <c r="N18" i="8"/>
  <c r="O18" i="8" s="1"/>
  <c r="BG21" i="8"/>
  <c r="BH21" i="8" s="1"/>
  <c r="BV24" i="8"/>
  <c r="CE101" i="8"/>
  <c r="CE88" i="4"/>
  <c r="CF28" i="8"/>
  <c r="AC30" i="8"/>
  <c r="AW30" i="8"/>
  <c r="AX39" i="8"/>
  <c r="CD27" i="4"/>
  <c r="CE115" i="4"/>
  <c r="CI25" i="4"/>
  <c r="CJ113" i="4"/>
  <c r="CJ114" i="4"/>
  <c r="CI26" i="4"/>
  <c r="BP134" i="4"/>
  <c r="CL179" i="1"/>
  <c r="CQ163" i="1"/>
  <c r="CG163" i="1"/>
  <c r="M98" i="4"/>
  <c r="M117" i="4" s="1"/>
  <c r="N87" i="4"/>
  <c r="S87" i="4"/>
  <c r="R98" i="4"/>
  <c r="AS87" i="4"/>
  <c r="AR98" i="4"/>
  <c r="CA113" i="4"/>
  <c r="CA25" i="4" s="1"/>
  <c r="BZ113" i="4"/>
  <c r="BZ25" i="4" s="1"/>
  <c r="BY113" i="4"/>
  <c r="BY25" i="4" s="1"/>
  <c r="BK125" i="4"/>
  <c r="BK127" i="4" s="1"/>
  <c r="CF14" i="8"/>
  <c r="CE25" i="8"/>
  <c r="CU16" i="8"/>
  <c r="AR17" i="8"/>
  <c r="CG17" i="8"/>
  <c r="CH17" i="8" s="1"/>
  <c r="CH63" i="8" s="1"/>
  <c r="CU18" i="8"/>
  <c r="CV18" i="8" s="1"/>
  <c r="CF22" i="8"/>
  <c r="CG22" i="8" s="1"/>
  <c r="AD23" i="8"/>
  <c r="AE23" i="8" s="1"/>
  <c r="AE69" i="8" s="1"/>
  <c r="BQ23" i="8"/>
  <c r="BR23" i="8" s="1"/>
  <c r="CB23" i="8"/>
  <c r="CC23" i="8" s="1"/>
  <c r="CC69" i="8" s="1"/>
  <c r="CP24" i="8"/>
  <c r="AR28" i="8"/>
  <c r="AQ101" i="8"/>
  <c r="AQ88" i="4"/>
  <c r="AQ106" i="4" s="1"/>
  <c r="S30" i="8"/>
  <c r="BP33" i="8"/>
  <c r="BQ31" i="8"/>
  <c r="AP75" i="4"/>
  <c r="AP78" i="4" s="1"/>
  <c r="AP79" i="4" s="1"/>
  <c r="AP81" i="4" s="1"/>
  <c r="CH42" i="8"/>
  <c r="CH88" i="8" s="1"/>
  <c r="BD31" i="8"/>
  <c r="BD77" i="8" s="1"/>
  <c r="U15" i="8"/>
  <c r="U61" i="8" s="1"/>
  <c r="BC111" i="8"/>
  <c r="BC112" i="8" s="1"/>
  <c r="BC76" i="1" s="1"/>
  <c r="BC75" i="4" s="1"/>
  <c r="BC78" i="4" s="1"/>
  <c r="BC79" i="4" s="1"/>
  <c r="BC81" i="4" s="1"/>
  <c r="CL30" i="8"/>
  <c r="CL33" i="8" s="1"/>
  <c r="CM33" i="8" s="1"/>
  <c r="CM79" i="8" s="1"/>
  <c r="CM134" i="4"/>
  <c r="CM136" i="4"/>
  <c r="CM135" i="4"/>
  <c r="AB89" i="1"/>
  <c r="N98" i="4"/>
  <c r="O87" i="4"/>
  <c r="S98" i="4"/>
  <c r="T87" i="4"/>
  <c r="AH100" i="4"/>
  <c r="AI87" i="4"/>
  <c r="AH98" i="4"/>
  <c r="AU114" i="4"/>
  <c r="AU26" i="4" s="1"/>
  <c r="AW114" i="4"/>
  <c r="AW26" i="4" s="1"/>
  <c r="AV114" i="4"/>
  <c r="AV26" i="4" s="1"/>
  <c r="BY98" i="4"/>
  <c r="BZ87" i="4"/>
  <c r="BP125" i="4"/>
  <c r="BP127" i="4" s="1"/>
  <c r="BG194" i="4"/>
  <c r="BB14" i="8"/>
  <c r="N15" i="8"/>
  <c r="BL18" i="8"/>
  <c r="BM18" i="8" s="1"/>
  <c r="X20" i="8"/>
  <c r="Y20" i="8" s="1"/>
  <c r="BQ21" i="8"/>
  <c r="AR22" i="8"/>
  <c r="AS22" i="8" s="1"/>
  <c r="S24" i="8"/>
  <c r="T24" i="8" s="1"/>
  <c r="BK33" i="8"/>
  <c r="BK89" i="4"/>
  <c r="BL29" i="8"/>
  <c r="I30" i="8"/>
  <c r="AM30" i="8"/>
  <c r="CI166" i="4"/>
  <c r="DB105" i="1"/>
  <c r="DB102" i="1" s="1"/>
  <c r="CJ183" i="4"/>
  <c r="CO185" i="1"/>
  <c r="CO32" i="1"/>
  <c r="CO145" i="4"/>
  <c r="CO141" i="4"/>
  <c r="CO27" i="1"/>
  <c r="CO34" i="1"/>
  <c r="CO38" i="1"/>
  <c r="CO63" i="1"/>
  <c r="CO183" i="1"/>
  <c r="CO142" i="4"/>
  <c r="CO168" i="4" s="1"/>
  <c r="CB136" i="1"/>
  <c r="CB146" i="1"/>
  <c r="AE187" i="4"/>
  <c r="S112" i="4"/>
  <c r="S24" i="4" s="1"/>
  <c r="AA98" i="4"/>
  <c r="AA117" i="4" s="1"/>
  <c r="AB87" i="4"/>
  <c r="AQ87" i="4"/>
  <c r="AP98" i="4"/>
  <c r="AP117" i="4" s="1"/>
  <c r="AU98" i="4"/>
  <c r="AU117" i="4" s="1"/>
  <c r="AV87" i="4"/>
  <c r="AV103" i="4" s="1"/>
  <c r="BF87" i="4"/>
  <c r="BE98" i="4"/>
  <c r="BE117" i="4" s="1"/>
  <c r="BZ98" i="4"/>
  <c r="CA87" i="4"/>
  <c r="CE98" i="4"/>
  <c r="CF87" i="4"/>
  <c r="CK87" i="4"/>
  <c r="CJ100" i="4"/>
  <c r="CJ98" i="4"/>
  <c r="X12" i="8"/>
  <c r="BL15" i="8"/>
  <c r="AW18" i="8"/>
  <c r="AM24" i="8"/>
  <c r="AN24" i="8" s="1"/>
  <c r="BB29" i="8"/>
  <c r="BA89" i="4"/>
  <c r="BA33" i="8"/>
  <c r="BG30" i="8"/>
  <c r="BM31" i="8"/>
  <c r="BN31" i="8" s="1"/>
  <c r="BN77" i="8" s="1"/>
  <c r="AZ40" i="1"/>
  <c r="CX121" i="1"/>
  <c r="BZ142" i="4"/>
  <c r="CH15" i="8"/>
  <c r="CH61" i="8" s="1"/>
  <c r="BX15" i="8"/>
  <c r="BX61" i="8" s="1"/>
  <c r="CX124" i="1"/>
  <c r="BC32" i="8"/>
  <c r="BD32" i="8" s="1"/>
  <c r="BD78" i="8" s="1"/>
  <c r="CA178" i="4"/>
  <c r="CL42" i="8"/>
  <c r="BB45" i="8"/>
  <c r="BC45" i="8" s="1"/>
  <c r="AV20" i="8"/>
  <c r="AJ17" i="8"/>
  <c r="AJ63" i="8" s="1"/>
  <c r="AL48" i="8"/>
  <c r="AM48" i="8" s="1"/>
  <c r="AN48" i="8" s="1"/>
  <c r="CQ46" i="1"/>
  <c r="CX123" i="1"/>
  <c r="CE38" i="1"/>
  <c r="S169" i="1"/>
  <c r="BZ185" i="1"/>
  <c r="BZ145" i="4"/>
  <c r="P44" i="1"/>
  <c r="AX193" i="4"/>
  <c r="Z185" i="1"/>
  <c r="BZ183" i="1"/>
  <c r="DH83" i="8"/>
  <c r="DI83" i="8" s="1"/>
  <c r="DJ83" i="8" s="1"/>
  <c r="DK83" i="8" s="1"/>
  <c r="CX55" i="4"/>
  <c r="CX57" i="4" s="1"/>
  <c r="CX67" i="4" s="1"/>
  <c r="CX71" i="4" s="1"/>
  <c r="CX5" i="4" s="1"/>
  <c r="W15" i="8"/>
  <c r="AM75" i="4"/>
  <c r="AM78" i="4" s="1"/>
  <c r="AM79" i="4" s="1"/>
  <c r="AM81" i="4" s="1"/>
  <c r="CM69" i="1"/>
  <c r="BJ71" i="1"/>
  <c r="U67" i="1"/>
  <c r="Q76" i="1"/>
  <c r="AF78" i="4"/>
  <c r="AF79" i="4" s="1"/>
  <c r="AF81" i="4" s="1"/>
  <c r="BV78" i="4"/>
  <c r="BV79" i="4" s="1"/>
  <c r="BV81" i="4" s="1"/>
  <c r="BK71" i="1"/>
  <c r="AU71" i="1"/>
  <c r="CK75" i="4"/>
  <c r="CK80" i="1"/>
  <c r="CK78" i="1"/>
  <c r="AX71" i="1"/>
  <c r="BS67" i="1"/>
  <c r="BO76" i="1"/>
  <c r="BA71" i="1"/>
  <c r="CF71" i="1"/>
  <c r="BY80" i="1"/>
  <c r="BY78" i="1"/>
  <c r="BJ80" i="1"/>
  <c r="BN76" i="1"/>
  <c r="BJ75" i="4"/>
  <c r="BJ78" i="1"/>
  <c r="BZ76" i="1"/>
  <c r="CC67" i="1"/>
  <c r="BT80" i="1"/>
  <c r="BT75" i="4"/>
  <c r="BT78" i="4" s="1"/>
  <c r="BT79" i="4" s="1"/>
  <c r="BT81" i="4" s="1"/>
  <c r="N76" i="1"/>
  <c r="P67" i="1"/>
  <c r="V76" i="1"/>
  <c r="Z67" i="1"/>
  <c r="AS76" i="1"/>
  <c r="AT67" i="1"/>
  <c r="J78" i="1"/>
  <c r="J75" i="4"/>
  <c r="J78" i="4" s="1"/>
  <c r="J79" i="4" s="1"/>
  <c r="J81" i="4" s="1"/>
  <c r="G76" i="1"/>
  <c r="K67" i="1"/>
  <c r="CI76" i="1"/>
  <c r="CM67" i="1"/>
  <c r="BH71" i="1"/>
  <c r="BL78" i="1"/>
  <c r="BL80" i="1"/>
  <c r="L80" i="1"/>
  <c r="L78" i="1"/>
  <c r="AG75" i="4"/>
  <c r="AG80" i="1"/>
  <c r="AG78" i="1"/>
  <c r="V75" i="1"/>
  <c r="CH67" i="1"/>
  <c r="R80" i="1"/>
  <c r="R78" i="1"/>
  <c r="R75" i="4"/>
  <c r="BZ144" i="1" l="1"/>
  <c r="AP144" i="1"/>
  <c r="BE141" i="1"/>
  <c r="S75" i="1"/>
  <c r="S79" i="1" s="1"/>
  <c r="AE189" i="1"/>
  <c r="I169" i="1"/>
  <c r="I165" i="1" s="1"/>
  <c r="CV125" i="1"/>
  <c r="BX145" i="1"/>
  <c r="BX141" i="1" s="1"/>
  <c r="BX158" i="1" s="1"/>
  <c r="CM155" i="1"/>
  <c r="CS133" i="1"/>
  <c r="CR145" i="1"/>
  <c r="CC166" i="1"/>
  <c r="AG175" i="1"/>
  <c r="AG171" i="1" s="1"/>
  <c r="AG178" i="1" s="1"/>
  <c r="BB92" i="1"/>
  <c r="AS125" i="1"/>
  <c r="CN98" i="1"/>
  <c r="CN90" i="1" s="1"/>
  <c r="CN92" i="1" s="1"/>
  <c r="CX133" i="1"/>
  <c r="CD76" i="1" s="1"/>
  <c r="CD80" i="1" s="1"/>
  <c r="P145" i="1"/>
  <c r="BT142" i="1"/>
  <c r="BT159" i="1" s="1"/>
  <c r="BJ92" i="1"/>
  <c r="BP105" i="4"/>
  <c r="L96" i="8"/>
  <c r="CY103" i="1"/>
  <c r="CY91" i="1" s="1"/>
  <c r="DB91" i="1" s="1"/>
  <c r="AH29" i="8"/>
  <c r="BX28" i="8"/>
  <c r="BX88" i="4" s="1"/>
  <c r="AS89" i="4"/>
  <c r="R25" i="8"/>
  <c r="R100" i="8" s="1"/>
  <c r="BL96" i="1"/>
  <c r="BL98" i="1" s="1"/>
  <c r="BL90" i="1" s="1"/>
  <c r="BN90" i="1" s="1"/>
  <c r="BQ13" i="8"/>
  <c r="BP94" i="4"/>
  <c r="BP110" i="8"/>
  <c r="AB94" i="4"/>
  <c r="AB95" i="4" s="1"/>
  <c r="AB104" i="4" s="1"/>
  <c r="AB110" i="8"/>
  <c r="AB111" i="8" s="1"/>
  <c r="AB112" i="8" s="1"/>
  <c r="CJ94" i="4"/>
  <c r="CJ95" i="4" s="1"/>
  <c r="CJ104" i="4" s="1"/>
  <c r="CJ110" i="8"/>
  <c r="CK13" i="8"/>
  <c r="DB103" i="1"/>
  <c r="AY96" i="1"/>
  <c r="CJ111" i="8"/>
  <c r="CJ112" i="8" s="1"/>
  <c r="DB40" i="8"/>
  <c r="DB86" i="8" s="1"/>
  <c r="AP47" i="8"/>
  <c r="BY102" i="8"/>
  <c r="L47" i="8"/>
  <c r="G47" i="8"/>
  <c r="G50" i="8" s="1"/>
  <c r="H49" i="8" s="1"/>
  <c r="AL33" i="8"/>
  <c r="AL47" i="8" s="1"/>
  <c r="AM43" i="8"/>
  <c r="BN36" i="8"/>
  <c r="BN82" i="8" s="1"/>
  <c r="BB88" i="4"/>
  <c r="BB106" i="4" s="1"/>
  <c r="BB101" i="8"/>
  <c r="I110" i="8"/>
  <c r="I111" i="8" s="1"/>
  <c r="I112" i="8" s="1"/>
  <c r="J13" i="8"/>
  <c r="CJ25" i="8"/>
  <c r="AN96" i="1"/>
  <c r="AN98" i="1" s="1"/>
  <c r="AN90" i="1" s="1"/>
  <c r="AN92" i="1" s="1"/>
  <c r="AP102" i="8"/>
  <c r="AP108" i="1" s="1"/>
  <c r="AT89" i="4"/>
  <c r="CX47" i="8"/>
  <c r="BM96" i="1"/>
  <c r="BM98" i="1" s="1"/>
  <c r="BM90" i="1" s="1"/>
  <c r="BG101" i="1"/>
  <c r="BH40" i="8"/>
  <c r="AW110" i="8"/>
  <c r="AW111" i="8" s="1"/>
  <c r="AW112" i="8" s="1"/>
  <c r="AW94" i="4"/>
  <c r="AW95" i="4" s="1"/>
  <c r="AW104" i="4" s="1"/>
  <c r="N40" i="8"/>
  <c r="M101" i="1"/>
  <c r="N110" i="8"/>
  <c r="N111" i="8" s="1"/>
  <c r="N112" i="8" s="1"/>
  <c r="O13" i="8"/>
  <c r="AA115" i="4"/>
  <c r="AA27" i="4" s="1"/>
  <c r="CW203" i="4"/>
  <c r="Z87" i="4"/>
  <c r="BN57" i="4"/>
  <c r="BG180" i="4"/>
  <c r="Z209" i="4"/>
  <c r="AE174" i="4" s="1"/>
  <c r="CT186" i="4"/>
  <c r="AV109" i="4"/>
  <c r="AV21" i="4" s="1"/>
  <c r="BE114" i="4"/>
  <c r="BE26" i="4" s="1"/>
  <c r="CL187" i="4"/>
  <c r="CL177" i="4" s="1"/>
  <c r="U29" i="4"/>
  <c r="U207" i="4" s="1"/>
  <c r="U209" i="4" s="1"/>
  <c r="BS29" i="4"/>
  <c r="U112" i="4"/>
  <c r="S71" i="4"/>
  <c r="AQ113" i="4"/>
  <c r="AQ25" i="4" s="1"/>
  <c r="AA71" i="4"/>
  <c r="Y207" i="4"/>
  <c r="Y209" i="4" s="1"/>
  <c r="Y174" i="4" s="1"/>
  <c r="BL111" i="4"/>
  <c r="BL23" i="4" s="1"/>
  <c r="AR71" i="4"/>
  <c r="Q112" i="4"/>
  <c r="Q24" i="4" s="1"/>
  <c r="CD21" i="4"/>
  <c r="DH31" i="4"/>
  <c r="DI31" i="4" s="1"/>
  <c r="DJ31" i="4" s="1"/>
  <c r="DK31" i="4" s="1"/>
  <c r="DM31" i="4" s="1"/>
  <c r="DN31" i="4" s="1"/>
  <c r="DO31" i="4" s="1"/>
  <c r="DP31" i="4" s="1"/>
  <c r="DQ31" i="4" s="1"/>
  <c r="AE209" i="4"/>
  <c r="BV71" i="4"/>
  <c r="AR180" i="4"/>
  <c r="BQ186" i="4"/>
  <c r="BQ193" i="4" s="1"/>
  <c r="CG193" i="4"/>
  <c r="U113" i="4"/>
  <c r="AG71" i="4"/>
  <c r="CA109" i="4"/>
  <c r="CA21" i="4" s="1"/>
  <c r="AP112" i="4"/>
  <c r="AP24" i="4" s="1"/>
  <c r="BN192" i="4"/>
  <c r="AN98" i="4"/>
  <c r="O177" i="4"/>
  <c r="X186" i="4"/>
  <c r="X180" i="4" s="1"/>
  <c r="O180" i="4"/>
  <c r="CA114" i="4"/>
  <c r="CA26" i="4" s="1"/>
  <c r="CL190" i="4"/>
  <c r="L111" i="4"/>
  <c r="L23" i="4" s="1"/>
  <c r="AK114" i="4"/>
  <c r="AK26" i="4" s="1"/>
  <c r="BZ191" i="4"/>
  <c r="Y40" i="4"/>
  <c r="Y42" i="4" s="1"/>
  <c r="BH42" i="4"/>
  <c r="BI42" i="4" s="1"/>
  <c r="AT91" i="4"/>
  <c r="BU110" i="4"/>
  <c r="BU22" i="4" s="1"/>
  <c r="O98" i="4"/>
  <c r="AJ111" i="4"/>
  <c r="AJ115" i="4"/>
  <c r="AW112" i="4"/>
  <c r="AW24" i="4" s="1"/>
  <c r="BA111" i="4"/>
  <c r="BA23" i="4" s="1"/>
  <c r="BD198" i="4"/>
  <c r="AT115" i="4"/>
  <c r="CM110" i="4"/>
  <c r="BL178" i="4"/>
  <c r="BK111" i="4"/>
  <c r="BK23" i="4" s="1"/>
  <c r="BB177" i="4"/>
  <c r="BG112" i="4"/>
  <c r="BG24" i="4" s="1"/>
  <c r="BF112" i="4"/>
  <c r="BF24" i="4" s="1"/>
  <c r="DI39" i="4"/>
  <c r="DK39" i="4" s="1"/>
  <c r="DM39" i="4" s="1"/>
  <c r="DO39" i="4" s="1"/>
  <c r="CE113" i="4"/>
  <c r="BG178" i="4"/>
  <c r="S174" i="4"/>
  <c r="BV113" i="4"/>
  <c r="BV25" i="4" s="1"/>
  <c r="H71" i="4"/>
  <c r="W186" i="4"/>
  <c r="W193" i="4" s="1"/>
  <c r="BJ103" i="4"/>
  <c r="BZ71" i="4"/>
  <c r="BH100" i="4"/>
  <c r="BM174" i="4"/>
  <c r="U114" i="4"/>
  <c r="AN67" i="4"/>
  <c r="AT111" i="4"/>
  <c r="U111" i="4"/>
  <c r="CI90" i="4"/>
  <c r="BI29" i="4"/>
  <c r="AY87" i="4"/>
  <c r="AY100" i="4" s="1"/>
  <c r="AW109" i="4"/>
  <c r="AW21" i="4" s="1"/>
  <c r="BF114" i="4"/>
  <c r="BF26" i="4" s="1"/>
  <c r="O179" i="4"/>
  <c r="CI103" i="4"/>
  <c r="BZ114" i="4"/>
  <c r="BZ26" i="4" s="1"/>
  <c r="N111" i="4"/>
  <c r="N23" i="4" s="1"/>
  <c r="BR207" i="4"/>
  <c r="BR209" i="4" s="1"/>
  <c r="T174" i="4"/>
  <c r="AM114" i="4"/>
  <c r="AM26" i="4" s="1"/>
  <c r="AZ174" i="4"/>
  <c r="Q103" i="4"/>
  <c r="Q114" i="4"/>
  <c r="Q26" i="4" s="1"/>
  <c r="BG71" i="4"/>
  <c r="T203" i="4"/>
  <c r="AR177" i="4"/>
  <c r="CG98" i="4"/>
  <c r="AT109" i="4"/>
  <c r="AT112" i="4"/>
  <c r="AJ114" i="4"/>
  <c r="AV112" i="4"/>
  <c r="AV24" i="4" s="1"/>
  <c r="AZ111" i="4"/>
  <c r="AZ23" i="4" s="1"/>
  <c r="AJ113" i="4"/>
  <c r="BE113" i="4"/>
  <c r="BE25" i="4" s="1"/>
  <c r="BF113" i="4"/>
  <c r="BF25" i="4" s="1"/>
  <c r="AN40" i="4"/>
  <c r="Q115" i="4"/>
  <c r="Q27" i="4" s="1"/>
  <c r="S114" i="4"/>
  <c r="S26" i="4" s="1"/>
  <c r="BB113" i="4"/>
  <c r="BB25" i="4" s="1"/>
  <c r="AZ113" i="4"/>
  <c r="AZ25" i="4" s="1"/>
  <c r="AC113" i="4"/>
  <c r="AC25" i="4" s="1"/>
  <c r="AB113" i="4"/>
  <c r="AB25" i="4" s="1"/>
  <c r="AA113" i="4"/>
  <c r="AA25" i="4" s="1"/>
  <c r="CE110" i="4"/>
  <c r="CF110" i="4" s="1"/>
  <c r="CF22" i="4" s="1"/>
  <c r="CU174" i="4"/>
  <c r="CU179" i="4"/>
  <c r="CU187" i="4"/>
  <c r="X109" i="4"/>
  <c r="X21" i="4" s="1"/>
  <c r="BU179" i="4"/>
  <c r="BU191" i="4"/>
  <c r="CB177" i="4"/>
  <c r="J191" i="4"/>
  <c r="J179" i="4"/>
  <c r="J186" i="4"/>
  <c r="CT71" i="4"/>
  <c r="AP193" i="4"/>
  <c r="AP178" i="4"/>
  <c r="S179" i="4"/>
  <c r="S191" i="4"/>
  <c r="BS187" i="4"/>
  <c r="BS194" i="4" s="1"/>
  <c r="BS192" i="4"/>
  <c r="R174" i="4"/>
  <c r="M174" i="4"/>
  <c r="N186" i="4"/>
  <c r="N180" i="4" s="1"/>
  <c r="N191" i="4"/>
  <c r="W115" i="4"/>
  <c r="W27" i="4" s="1"/>
  <c r="X115" i="4"/>
  <c r="X27" i="4" s="1"/>
  <c r="V115" i="4"/>
  <c r="V27" i="4" s="1"/>
  <c r="BO114" i="4"/>
  <c r="BO26" i="4" s="1"/>
  <c r="BP114" i="4"/>
  <c r="BP26" i="4" s="1"/>
  <c r="BQ114" i="4"/>
  <c r="BQ26" i="4" s="1"/>
  <c r="AE57" i="4"/>
  <c r="AD67" i="4"/>
  <c r="AE67" i="4" s="1"/>
  <c r="AX207" i="4"/>
  <c r="AX209" i="4" s="1"/>
  <c r="AX40" i="4"/>
  <c r="AY29" i="4"/>
  <c r="AY207" i="4" s="1"/>
  <c r="L113" i="4"/>
  <c r="L25" i="4" s="1"/>
  <c r="N113" i="4"/>
  <c r="N25" i="4" s="1"/>
  <c r="L115" i="4"/>
  <c r="L27" i="4" s="1"/>
  <c r="N115" i="4"/>
  <c r="N27" i="4" s="1"/>
  <c r="M115" i="4"/>
  <c r="M27" i="4" s="1"/>
  <c r="CD23" i="4"/>
  <c r="CE111" i="4"/>
  <c r="V87" i="4"/>
  <c r="V100" i="4" s="1"/>
  <c r="V105" i="4" s="1"/>
  <c r="T98" i="4"/>
  <c r="BO112" i="4"/>
  <c r="BO24" i="4" s="1"/>
  <c r="BQ112" i="4"/>
  <c r="BQ24" i="4" s="1"/>
  <c r="BP112" i="4"/>
  <c r="BP24" i="4" s="1"/>
  <c r="AD207" i="4"/>
  <c r="AD209" i="4" s="1"/>
  <c r="AD40" i="4"/>
  <c r="BB109" i="4"/>
  <c r="BB21" i="4" s="1"/>
  <c r="BA109" i="4"/>
  <c r="BA21" i="4" s="1"/>
  <c r="AZ109" i="4"/>
  <c r="AZ21" i="4" s="1"/>
  <c r="CH112" i="4"/>
  <c r="CH115" i="4"/>
  <c r="CH114" i="4"/>
  <c r="CH113" i="4"/>
  <c r="CH110" i="4"/>
  <c r="P29" i="4"/>
  <c r="P207" i="4" s="1"/>
  <c r="O40" i="4"/>
  <c r="P40" i="4" s="1"/>
  <c r="AK87" i="4"/>
  <c r="AK100" i="4" s="1"/>
  <c r="AI98" i="4"/>
  <c r="BT112" i="4"/>
  <c r="BT24" i="4" s="1"/>
  <c r="BU112" i="4"/>
  <c r="BU24" i="4" s="1"/>
  <c r="BJ112" i="4"/>
  <c r="BJ24" i="4" s="1"/>
  <c r="BK112" i="4"/>
  <c r="BK24" i="4" s="1"/>
  <c r="BL112" i="4"/>
  <c r="BL24" i="4" s="1"/>
  <c r="BD91" i="4"/>
  <c r="BD113" i="4"/>
  <c r="BD115" i="4"/>
  <c r="BI87" i="4"/>
  <c r="BI100" i="4" s="1"/>
  <c r="BD109" i="4"/>
  <c r="BD111" i="4"/>
  <c r="BD112" i="4"/>
  <c r="CH91" i="4"/>
  <c r="N179" i="4"/>
  <c r="AP180" i="4"/>
  <c r="BD114" i="4"/>
  <c r="BV112" i="4"/>
  <c r="BV24" i="4" s="1"/>
  <c r="W109" i="4"/>
  <c r="W21" i="4" s="1"/>
  <c r="BD110" i="4"/>
  <c r="AT135" i="4"/>
  <c r="AT136" i="4"/>
  <c r="BC42" i="4"/>
  <c r="BD42" i="4" s="1"/>
  <c r="M112" i="4"/>
  <c r="M24" i="4" s="1"/>
  <c r="N112" i="4"/>
  <c r="N24" i="4" s="1"/>
  <c r="BL110" i="4"/>
  <c r="BL22" i="4" s="1"/>
  <c r="BK110" i="4"/>
  <c r="BK22" i="4" s="1"/>
  <c r="BJ113" i="4"/>
  <c r="BJ25" i="4" s="1"/>
  <c r="BL113" i="4"/>
  <c r="BL25" i="4" s="1"/>
  <c r="AK115" i="4"/>
  <c r="AK27" i="4" s="1"/>
  <c r="AL115" i="4"/>
  <c r="AL27" i="4" s="1"/>
  <c r="AE166" i="4"/>
  <c r="CS71" i="4"/>
  <c r="AK203" i="4"/>
  <c r="CP186" i="4"/>
  <c r="CP180" i="4" s="1"/>
  <c r="AJ209" i="4"/>
  <c r="CG191" i="4"/>
  <c r="CT179" i="4"/>
  <c r="CL186" i="4"/>
  <c r="CL193" i="4" s="1"/>
  <c r="BS109" i="4"/>
  <c r="AS98" i="4"/>
  <c r="BX87" i="4"/>
  <c r="BX100" i="4" s="1"/>
  <c r="CF71" i="4"/>
  <c r="CQ174" i="4"/>
  <c r="CO71" i="4"/>
  <c r="CJ22" i="4"/>
  <c r="BS110" i="4"/>
  <c r="AM112" i="4"/>
  <c r="AM24" i="4" s="1"/>
  <c r="AG115" i="4"/>
  <c r="AG27" i="4" s="1"/>
  <c r="AF115" i="4"/>
  <c r="AF27" i="4" s="1"/>
  <c r="BA112" i="4"/>
  <c r="BA24" i="4" s="1"/>
  <c r="AZ112" i="4"/>
  <c r="AZ24" i="4" s="1"/>
  <c r="BB112" i="4"/>
  <c r="BB24" i="4" s="1"/>
  <c r="CM114" i="4"/>
  <c r="CM91" i="4"/>
  <c r="CM90" i="4" s="1"/>
  <c r="BG110" i="4"/>
  <c r="BG22" i="4" s="1"/>
  <c r="BE110" i="4"/>
  <c r="BE22" i="4" s="1"/>
  <c r="BP115" i="4"/>
  <c r="BP27" i="4" s="1"/>
  <c r="BQ115" i="4"/>
  <c r="BQ27" i="4" s="1"/>
  <c r="X114" i="4"/>
  <c r="X26" i="4" s="1"/>
  <c r="W114" i="4"/>
  <c r="W26" i="4" s="1"/>
  <c r="AQ115" i="4"/>
  <c r="AQ27" i="4" s="1"/>
  <c r="AR115" i="4"/>
  <c r="AR27" i="4" s="1"/>
  <c r="M110" i="4"/>
  <c r="M22" i="4" s="1"/>
  <c r="L110" i="4"/>
  <c r="L22" i="4" s="1"/>
  <c r="BF109" i="4"/>
  <c r="BF21" i="4" s="1"/>
  <c r="BG109" i="4"/>
  <c r="BG21" i="4" s="1"/>
  <c r="BE109" i="4"/>
  <c r="BE21" i="4" s="1"/>
  <c r="AZ78" i="4"/>
  <c r="AZ79" i="4" s="1"/>
  <c r="AZ81" i="4" s="1"/>
  <c r="U166" i="4"/>
  <c r="BF71" i="4"/>
  <c r="L71" i="4"/>
  <c r="CR153" i="4"/>
  <c r="AN203" i="4"/>
  <c r="BK71" i="4"/>
  <c r="CG179" i="4"/>
  <c r="CT190" i="4"/>
  <c r="CK71" i="4"/>
  <c r="CL110" i="4"/>
  <c r="CN110" i="4" s="1"/>
  <c r="CO110" i="4" s="1"/>
  <c r="CP110" i="4" s="1"/>
  <c r="CP22" i="4" s="1"/>
  <c r="BQ71" i="4"/>
  <c r="AK103" i="4"/>
  <c r="BI184" i="4"/>
  <c r="BC203" i="4"/>
  <c r="BN91" i="4"/>
  <c r="AM115" i="4"/>
  <c r="AM27" i="4" s="1"/>
  <c r="L112" i="4"/>
  <c r="L24" i="4" s="1"/>
  <c r="CG177" i="4"/>
  <c r="W117" i="4"/>
  <c r="BS186" i="4"/>
  <c r="CM113" i="4"/>
  <c r="BK113" i="4"/>
  <c r="BK25" i="4" s="1"/>
  <c r="BB115" i="4"/>
  <c r="BB27" i="4" s="1"/>
  <c r="BO115" i="4"/>
  <c r="BO27" i="4" s="1"/>
  <c r="BS111" i="4"/>
  <c r="BV114" i="4"/>
  <c r="BV26" i="4" s="1"/>
  <c r="BU114" i="4"/>
  <c r="BU26" i="4" s="1"/>
  <c r="AT29" i="4"/>
  <c r="AT207" i="4" s="1"/>
  <c r="AS40" i="4"/>
  <c r="W125" i="1"/>
  <c r="BN172" i="1"/>
  <c r="CW125" i="1"/>
  <c r="CY140" i="4"/>
  <c r="DD141" i="4"/>
  <c r="DI141" i="4" s="1"/>
  <c r="DN141" i="4" s="1"/>
  <c r="V175" i="1"/>
  <c r="V171" i="1" s="1"/>
  <c r="V178" i="1" s="1"/>
  <c r="CI125" i="1"/>
  <c r="BT125" i="1"/>
  <c r="I125" i="1"/>
  <c r="DA185" i="1"/>
  <c r="DA186" i="1" s="1"/>
  <c r="DA145" i="4"/>
  <c r="DF145" i="4" s="1"/>
  <c r="DA29" i="1"/>
  <c r="DA141" i="4"/>
  <c r="DF141" i="4" s="1"/>
  <c r="DK141" i="4" s="1"/>
  <c r="DP141" i="4" s="1"/>
  <c r="DA63" i="1"/>
  <c r="DA44" i="1"/>
  <c r="DA142" i="4"/>
  <c r="DA168" i="4" s="1"/>
  <c r="DA40" i="1"/>
  <c r="DA183" i="1"/>
  <c r="DA184" i="1" s="1"/>
  <c r="DA106" i="4"/>
  <c r="U125" i="1"/>
  <c r="BZ175" i="1"/>
  <c r="BZ171" i="1" s="1"/>
  <c r="BZ178" i="1" s="1"/>
  <c r="AD125" i="1"/>
  <c r="DK145" i="4"/>
  <c r="DP145" i="4" s="1"/>
  <c r="CR187" i="4"/>
  <c r="P202" i="4"/>
  <c r="P203" i="4" s="1"/>
  <c r="AT186" i="4"/>
  <c r="AT193" i="4" s="1"/>
  <c r="BD135" i="4"/>
  <c r="P184" i="4"/>
  <c r="Z166" i="4"/>
  <c r="Q90" i="4"/>
  <c r="BS193" i="4"/>
  <c r="BS180" i="4"/>
  <c r="BX204" i="4"/>
  <c r="BJ105" i="4"/>
  <c r="AJ184" i="4"/>
  <c r="BX202" i="4"/>
  <c r="BS177" i="4"/>
  <c r="BA117" i="4"/>
  <c r="AT103" i="4"/>
  <c r="BA105" i="4"/>
  <c r="AX103" i="4"/>
  <c r="BJ117" i="4"/>
  <c r="BD134" i="4"/>
  <c r="AE140" i="4"/>
  <c r="DD142" i="4"/>
  <c r="DD168" i="4" s="1"/>
  <c r="BE90" i="4"/>
  <c r="AG90" i="4"/>
  <c r="AL117" i="4"/>
  <c r="CC209" i="4"/>
  <c r="CH174" i="4" s="1"/>
  <c r="BD192" i="4"/>
  <c r="CC202" i="4"/>
  <c r="BN177" i="4"/>
  <c r="BT103" i="4"/>
  <c r="AT179" i="4"/>
  <c r="CC184" i="4"/>
  <c r="CC179" i="4" s="1"/>
  <c r="AT209" i="4"/>
  <c r="AY174" i="4" s="1"/>
  <c r="DC88" i="4"/>
  <c r="DC28" i="8" s="1"/>
  <c r="BD209" i="4"/>
  <c r="AT134" i="4"/>
  <c r="AY121" i="4"/>
  <c r="AY131" i="4" s="1"/>
  <c r="CY100" i="4"/>
  <c r="W203" i="4"/>
  <c r="BZ174" i="4"/>
  <c r="DA30" i="8"/>
  <c r="DA76" i="8" s="1"/>
  <c r="DA77" i="8"/>
  <c r="BT174" i="4"/>
  <c r="CQ186" i="4"/>
  <c r="BU174" i="4"/>
  <c r="CV174" i="4"/>
  <c r="BK178" i="4"/>
  <c r="BL193" i="4"/>
  <c r="S177" i="4"/>
  <c r="BK180" i="4"/>
  <c r="I193" i="4"/>
  <c r="CP177" i="4"/>
  <c r="BA177" i="4"/>
  <c r="BR174" i="4"/>
  <c r="CT177" i="4"/>
  <c r="AV177" i="4"/>
  <c r="Y177" i="4"/>
  <c r="BV174" i="4"/>
  <c r="BU125" i="4"/>
  <c r="BU127" i="4" s="1"/>
  <c r="BV191" i="4"/>
  <c r="BV179" i="4"/>
  <c r="S178" i="4"/>
  <c r="R186" i="4"/>
  <c r="R178" i="4" s="1"/>
  <c r="CE125" i="4"/>
  <c r="CE127" i="4" s="1"/>
  <c r="CE123" i="4" s="1"/>
  <c r="BE194" i="4"/>
  <c r="S193" i="4"/>
  <c r="BE178" i="4"/>
  <c r="BQ174" i="4"/>
  <c r="CH71" i="4"/>
  <c r="AL71" i="4"/>
  <c r="BC178" i="4"/>
  <c r="CO177" i="4"/>
  <c r="AY209" i="4"/>
  <c r="O203" i="4"/>
  <c r="BR203" i="4"/>
  <c r="AS203" i="4"/>
  <c r="AW144" i="1"/>
  <c r="CV167" i="4"/>
  <c r="DG13" i="1"/>
  <c r="DG14" i="1" s="1"/>
  <c r="CN63" i="1"/>
  <c r="CD136" i="1"/>
  <c r="CH136" i="1" s="1"/>
  <c r="BX172" i="1"/>
  <c r="AC142" i="1"/>
  <c r="AC159" i="1" s="1"/>
  <c r="CD146" i="1"/>
  <c r="CD142" i="1" s="1"/>
  <c r="CD159" i="1" s="1"/>
  <c r="AF144" i="1"/>
  <c r="BQ175" i="1"/>
  <c r="DC62" i="1"/>
  <c r="G75" i="1"/>
  <c r="G79" i="1" s="1"/>
  <c r="V169" i="1"/>
  <c r="V165" i="1" s="1"/>
  <c r="BH175" i="1"/>
  <c r="DF15" i="1"/>
  <c r="BI172" i="1"/>
  <c r="H175" i="1"/>
  <c r="H171" i="1" s="1"/>
  <c r="H178" i="1" s="1"/>
  <c r="AC136" i="1"/>
  <c r="BM169" i="1"/>
  <c r="BM165" i="1" s="1"/>
  <c r="BM177" i="1" s="1"/>
  <c r="CR141" i="1"/>
  <c r="CR158" i="1" s="1"/>
  <c r="Y175" i="1"/>
  <c r="Y171" i="1" s="1"/>
  <c r="Y178" i="1" s="1"/>
  <c r="CB175" i="1"/>
  <c r="CB171" i="1" s="1"/>
  <c r="CB178" i="1" s="1"/>
  <c r="AQ140" i="1"/>
  <c r="AQ157" i="1" s="1"/>
  <c r="BH125" i="1"/>
  <c r="CH125" i="1"/>
  <c r="CG125" i="1"/>
  <c r="T125" i="1"/>
  <c r="AB140" i="1"/>
  <c r="AB157" i="1" s="1"/>
  <c r="AY145" i="1"/>
  <c r="AY141" i="1" s="1"/>
  <c r="AY158" i="1" s="1"/>
  <c r="AO172" i="1"/>
  <c r="AA175" i="1"/>
  <c r="AA171" i="1" s="1"/>
  <c r="AA178" i="1" s="1"/>
  <c r="AO145" i="1"/>
  <c r="AO141" i="1" s="1"/>
  <c r="AO158" i="1" s="1"/>
  <c r="AT172" i="1"/>
  <c r="AT189" i="1"/>
  <c r="Z178" i="1"/>
  <c r="P141" i="1"/>
  <c r="P158" i="1" s="1"/>
  <c r="Z172" i="1"/>
  <c r="BU141" i="1"/>
  <c r="BU158" i="1" s="1"/>
  <c r="P172" i="1"/>
  <c r="BU144" i="1"/>
  <c r="H140" i="1"/>
  <c r="AP105" i="8"/>
  <c r="CD108" i="1"/>
  <c r="CD105" i="8"/>
  <c r="Z13" i="8"/>
  <c r="Y94" i="4"/>
  <c r="Y95" i="4" s="1"/>
  <c r="Y104" i="4" s="1"/>
  <c r="CQ94" i="4"/>
  <c r="CQ95" i="4" s="1"/>
  <c r="CQ104" i="4" s="1"/>
  <c r="CQ110" i="8"/>
  <c r="CQ111" i="8" s="1"/>
  <c r="CQ112" i="8" s="1"/>
  <c r="J101" i="1"/>
  <c r="AY98" i="1"/>
  <c r="AY97" i="1" s="1"/>
  <c r="CR101" i="1"/>
  <c r="BL101" i="1"/>
  <c r="BL103" i="1" s="1"/>
  <c r="BL91" i="1" s="1"/>
  <c r="BK25" i="8"/>
  <c r="BK100" i="8" s="1"/>
  <c r="AE89" i="4"/>
  <c r="BD94" i="4"/>
  <c r="X94" i="4"/>
  <c r="X117" i="4" s="1"/>
  <c r="CS108" i="1"/>
  <c r="AQ94" i="4"/>
  <c r="AQ95" i="4" s="1"/>
  <c r="AQ104" i="4" s="1"/>
  <c r="CF36" i="8"/>
  <c r="AR13" i="8"/>
  <c r="BL13" i="8"/>
  <c r="CE92" i="1"/>
  <c r="AL105" i="4"/>
  <c r="AL101" i="8"/>
  <c r="AM28" i="8"/>
  <c r="AQ117" i="4"/>
  <c r="W89" i="4"/>
  <c r="W90" i="4" s="1"/>
  <c r="BY117" i="4"/>
  <c r="AQ102" i="8"/>
  <c r="AY90" i="1"/>
  <c r="CT110" i="8"/>
  <c r="CT111" i="8" s="1"/>
  <c r="CT112" i="8" s="1"/>
  <c r="BD59" i="8"/>
  <c r="BU33" i="8"/>
  <c r="V117" i="4"/>
  <c r="AY29" i="8"/>
  <c r="CR40" i="8"/>
  <c r="CR86" i="8" s="1"/>
  <c r="CR13" i="8"/>
  <c r="CM96" i="1"/>
  <c r="BD96" i="1"/>
  <c r="L92" i="1"/>
  <c r="G108" i="1"/>
  <c r="CT25" i="8"/>
  <c r="CT100" i="8" s="1"/>
  <c r="I101" i="1"/>
  <c r="BK94" i="4"/>
  <c r="BK95" i="4" s="1"/>
  <c r="BK104" i="4" s="1"/>
  <c r="BD20" i="8"/>
  <c r="BD66" i="8" s="1"/>
  <c r="CE43" i="8"/>
  <c r="BD28" i="8"/>
  <c r="BC101" i="8"/>
  <c r="BO123" i="4"/>
  <c r="BO32" i="4" s="1"/>
  <c r="CR209" i="4"/>
  <c r="CC115" i="4"/>
  <c r="V71" i="4"/>
  <c r="CC114" i="4"/>
  <c r="N71" i="4"/>
  <c r="CC109" i="4"/>
  <c r="CB180" i="4"/>
  <c r="CH204" i="4"/>
  <c r="CH203" i="4" s="1"/>
  <c r="BX186" i="4"/>
  <c r="BX193" i="4" s="1"/>
  <c r="BC177" i="4"/>
  <c r="CV180" i="4"/>
  <c r="CY203" i="4"/>
  <c r="L78" i="4"/>
  <c r="L79" i="4" s="1"/>
  <c r="L81" i="4" s="1"/>
  <c r="DG15" i="4"/>
  <c r="DH15" i="4"/>
  <c r="DI15" i="4" s="1"/>
  <c r="DJ15" i="4" s="1"/>
  <c r="DK15" i="4" s="1"/>
  <c r="CX194" i="4"/>
  <c r="CX177" i="4"/>
  <c r="CR184" i="4"/>
  <c r="CR177" i="4" s="1"/>
  <c r="CR204" i="4"/>
  <c r="BC191" i="4"/>
  <c r="BC179" i="4"/>
  <c r="BS191" i="4"/>
  <c r="BS179" i="4"/>
  <c r="BX179" i="4"/>
  <c r="BX191" i="4"/>
  <c r="U184" i="4"/>
  <c r="U177" i="4" s="1"/>
  <c r="U202" i="4"/>
  <c r="AN177" i="4"/>
  <c r="AN186" i="4"/>
  <c r="AY184" i="4"/>
  <c r="AY177" i="4" s="1"/>
  <c r="AY204" i="4"/>
  <c r="AR111" i="4"/>
  <c r="AR23" i="4" s="1"/>
  <c r="AB174" i="4"/>
  <c r="CD140" i="4"/>
  <c r="CR203" i="4"/>
  <c r="DL53" i="4"/>
  <c r="DM53" i="4"/>
  <c r="DN53" i="4" s="1"/>
  <c r="DO53" i="4" s="1"/>
  <c r="DP53" i="4" s="1"/>
  <c r="DQ53" i="4" s="1"/>
  <c r="CC91" i="4"/>
  <c r="CC98" i="4" s="1"/>
  <c r="AF174" i="4"/>
  <c r="BI207" i="4"/>
  <c r="BI209" i="4" s="1"/>
  <c r="BI174" i="4" s="1"/>
  <c r="DL39" i="4"/>
  <c r="DN39" i="4" s="1"/>
  <c r="DP39" i="4" s="1"/>
  <c r="DQ39" i="4" s="1"/>
  <c r="CX178" i="4"/>
  <c r="CG71" i="4"/>
  <c r="BZ177" i="4"/>
  <c r="AY202" i="4"/>
  <c r="BV178" i="4"/>
  <c r="AI67" i="4"/>
  <c r="T191" i="4"/>
  <c r="T179" i="4"/>
  <c r="CD103" i="4"/>
  <c r="CD90" i="4"/>
  <c r="AO100" i="4"/>
  <c r="CQ203" i="4"/>
  <c r="AO204" i="4"/>
  <c r="AO203" i="4" s="1"/>
  <c r="AO184" i="4"/>
  <c r="BM203" i="4"/>
  <c r="CU203" i="4"/>
  <c r="DO12" i="4"/>
  <c r="BG174" i="4"/>
  <c r="AR78" i="4"/>
  <c r="AR79" i="4" s="1"/>
  <c r="AR81" i="4" s="1"/>
  <c r="DL16" i="4"/>
  <c r="DM16" i="4"/>
  <c r="DN16" i="4" s="1"/>
  <c r="DO16" i="4" s="1"/>
  <c r="DP16" i="4" s="1"/>
  <c r="DQ16" i="4" s="1"/>
  <c r="BT71" i="4"/>
  <c r="AR178" i="4"/>
  <c r="AS67" i="4"/>
  <c r="DL47" i="4"/>
  <c r="DM47" i="4"/>
  <c r="DN47" i="4" s="1"/>
  <c r="DO47" i="4" s="1"/>
  <c r="DP47" i="4" s="1"/>
  <c r="DQ47" i="4" s="1"/>
  <c r="CR159" i="4"/>
  <c r="CB178" i="4"/>
  <c r="BV193" i="4"/>
  <c r="CX180" i="4"/>
  <c r="AY194" i="4"/>
  <c r="BU177" i="4"/>
  <c r="BZ179" i="4"/>
  <c r="BL71" i="4"/>
  <c r="BI202" i="4"/>
  <c r="BI203" i="4" s="1"/>
  <c r="U204" i="4"/>
  <c r="AN191" i="4"/>
  <c r="DO134" i="4"/>
  <c r="AX42" i="4"/>
  <c r="AY42" i="4" s="1"/>
  <c r="AY40" i="4"/>
  <c r="CB191" i="4"/>
  <c r="CB179" i="4"/>
  <c r="BH186" i="4"/>
  <c r="BH191" i="4"/>
  <c r="BH179" i="4"/>
  <c r="CQ177" i="4"/>
  <c r="CQ178" i="4"/>
  <c r="CQ194" i="4"/>
  <c r="BD204" i="4"/>
  <c r="BD203" i="4" s="1"/>
  <c r="BD184" i="4"/>
  <c r="AD179" i="4"/>
  <c r="AD191" i="4"/>
  <c r="AI186" i="4"/>
  <c r="AI177" i="4"/>
  <c r="AI179" i="4"/>
  <c r="AI191" i="4"/>
  <c r="CX218" i="1"/>
  <c r="DM15" i="1"/>
  <c r="DJ21" i="1"/>
  <c r="DO19" i="1"/>
  <c r="CY201" i="1"/>
  <c r="CY230" i="1"/>
  <c r="DI18" i="1"/>
  <c r="DM16" i="1"/>
  <c r="DI12" i="1"/>
  <c r="DN10" i="1"/>
  <c r="AK92" i="1"/>
  <c r="BC78" i="1"/>
  <c r="DJ167" i="4"/>
  <c r="BG175" i="1"/>
  <c r="BG171" i="1" s="1"/>
  <c r="BG178" i="1" s="1"/>
  <c r="CX230" i="1"/>
  <c r="DJ18" i="1"/>
  <c r="DO16" i="1"/>
  <c r="DO18" i="1" s="1"/>
  <c r="CW183" i="1"/>
  <c r="CV230" i="1"/>
  <c r="DA231" i="1" s="1"/>
  <c r="CT218" i="1"/>
  <c r="DM12" i="1"/>
  <c r="DH22" i="1"/>
  <c r="DH88" i="4" s="1"/>
  <c r="DH28" i="8" s="1"/>
  <c r="DH101" i="8" s="1"/>
  <c r="DM19" i="1"/>
  <c r="DK15" i="1"/>
  <c r="DO13" i="1"/>
  <c r="DO15" i="1" s="1"/>
  <c r="CW185" i="1"/>
  <c r="CW218" i="1" s="1"/>
  <c r="CW219" i="1" s="1"/>
  <c r="CV218" i="1"/>
  <c r="DA219" i="1" s="1"/>
  <c r="CY202" i="1"/>
  <c r="CY218" i="1"/>
  <c r="P125" i="1"/>
  <c r="DN22" i="1"/>
  <c r="AX178" i="4"/>
  <c r="P100" i="4"/>
  <c r="DL12" i="4"/>
  <c r="P209" i="4"/>
  <c r="CT117" i="4"/>
  <c r="AH117" i="4"/>
  <c r="BD101" i="1"/>
  <c r="CC96" i="1"/>
  <c r="CR103" i="1"/>
  <c r="U96" i="1"/>
  <c r="BY105" i="4"/>
  <c r="AK105" i="4"/>
  <c r="W95" i="4"/>
  <c r="W104" i="4" s="1"/>
  <c r="AH105" i="4"/>
  <c r="CL98" i="1"/>
  <c r="CL90" i="1" s="1"/>
  <c r="CM90" i="1" s="1"/>
  <c r="W105" i="4"/>
  <c r="BP90" i="4"/>
  <c r="CT140" i="4"/>
  <c r="CD166" i="4"/>
  <c r="AC117" i="4"/>
  <c r="AK95" i="4"/>
  <c r="AK104" i="4" s="1"/>
  <c r="CR91" i="1"/>
  <c r="AY166" i="4"/>
  <c r="CO92" i="1"/>
  <c r="AU100" i="8"/>
  <c r="AU102" i="8" s="1"/>
  <c r="J90" i="4"/>
  <c r="BW117" i="4"/>
  <c r="BC80" i="1"/>
  <c r="BP169" i="1"/>
  <c r="BP165" i="1" s="1"/>
  <c r="BP177" i="1" s="1"/>
  <c r="M169" i="1"/>
  <c r="CX108" i="1"/>
  <c r="CX105" i="8"/>
  <c r="AY94" i="4"/>
  <c r="AY105" i="4" s="1"/>
  <c r="AY110" i="8"/>
  <c r="AY111" i="8" s="1"/>
  <c r="AY112" i="8" s="1"/>
  <c r="AY59" i="8"/>
  <c r="BA203" i="4"/>
  <c r="BS134" i="4"/>
  <c r="BS135" i="4"/>
  <c r="CA13" i="8"/>
  <c r="CA25" i="8" s="1"/>
  <c r="CA100" i="8" s="1"/>
  <c r="BZ110" i="8"/>
  <c r="BZ111" i="8" s="1"/>
  <c r="BZ112" i="8" s="1"/>
  <c r="BZ94" i="4"/>
  <c r="BZ95" i="4" s="1"/>
  <c r="BZ104" i="4" s="1"/>
  <c r="AW203" i="4"/>
  <c r="BF110" i="8"/>
  <c r="BF111" i="8" s="1"/>
  <c r="BF112" i="8" s="1"/>
  <c r="BG13" i="8"/>
  <c r="BF94" i="4"/>
  <c r="BF95" i="4" s="1"/>
  <c r="BF104" i="4" s="1"/>
  <c r="BO100" i="8"/>
  <c r="BO102" i="8" s="1"/>
  <c r="BO47" i="8"/>
  <c r="AO209" i="4"/>
  <c r="AX67" i="4"/>
  <c r="AY57" i="4"/>
  <c r="P187" i="4"/>
  <c r="P192" i="4"/>
  <c r="AG15" i="8"/>
  <c r="X36" i="8"/>
  <c r="W43" i="8"/>
  <c r="AV179" i="4"/>
  <c r="AV186" i="4"/>
  <c r="V47" i="8"/>
  <c r="BM13" i="8"/>
  <c r="BL94" i="4"/>
  <c r="BL110" i="8"/>
  <c r="BV38" i="8"/>
  <c r="BU96" i="1"/>
  <c r="BU43" i="8"/>
  <c r="BZ178" i="4"/>
  <c r="BZ180" i="4"/>
  <c r="BZ193" i="4"/>
  <c r="CO190" i="4"/>
  <c r="CO179" i="4"/>
  <c r="AO40" i="8"/>
  <c r="AO86" i="8" s="1"/>
  <c r="J36" i="8"/>
  <c r="I43" i="8"/>
  <c r="AB180" i="4"/>
  <c r="AB178" i="4"/>
  <c r="BN136" i="4"/>
  <c r="CT103" i="4"/>
  <c r="L203" i="4"/>
  <c r="H125" i="1"/>
  <c r="BK175" i="1"/>
  <c r="BK171" i="1" s="1"/>
  <c r="BK178" i="1" s="1"/>
  <c r="U141" i="1"/>
  <c r="U158" i="1" s="1"/>
  <c r="BL125" i="1"/>
  <c r="BS38" i="8"/>
  <c r="BS84" i="8" s="1"/>
  <c r="R101" i="8"/>
  <c r="R102" i="8" s="1"/>
  <c r="S28" i="8"/>
  <c r="R88" i="4"/>
  <c r="R33" i="8"/>
  <c r="R47" i="8" s="1"/>
  <c r="CY101" i="8"/>
  <c r="CY88" i="4"/>
  <c r="CY106" i="4" s="1"/>
  <c r="AK90" i="4"/>
  <c r="AQ179" i="4"/>
  <c r="AQ191" i="4"/>
  <c r="AQ186" i="4"/>
  <c r="BC180" i="4"/>
  <c r="BC193" i="4"/>
  <c r="CE179" i="4"/>
  <c r="CE177" i="4"/>
  <c r="CE191" i="4"/>
  <c r="CE186" i="4"/>
  <c r="M178" i="4"/>
  <c r="M180" i="4"/>
  <c r="M193" i="4"/>
  <c r="S101" i="1"/>
  <c r="T40" i="8"/>
  <c r="AT187" i="4"/>
  <c r="AT192" i="4"/>
  <c r="BU95" i="4"/>
  <c r="BU104" i="4" s="1"/>
  <c r="BU117" i="4"/>
  <c r="AI36" i="8"/>
  <c r="AW193" i="4"/>
  <c r="AW180" i="4"/>
  <c r="U14" i="8"/>
  <c r="U60" i="8" s="1"/>
  <c r="AM96" i="1"/>
  <c r="AM98" i="1" s="1"/>
  <c r="AM90" i="1" s="1"/>
  <c r="AM92" i="1" s="1"/>
  <c r="BS136" i="4"/>
  <c r="BN134" i="4"/>
  <c r="CD75" i="4"/>
  <c r="CD78" i="4" s="1"/>
  <c r="CD79" i="4" s="1"/>
  <c r="CD81" i="4" s="1"/>
  <c r="AF203" i="4"/>
  <c r="AF71" i="4"/>
  <c r="AJ203" i="4"/>
  <c r="CY125" i="1"/>
  <c r="X193" i="4"/>
  <c r="AY172" i="1"/>
  <c r="AK169" i="1"/>
  <c r="AK165" i="1" s="1"/>
  <c r="AK177" i="1" s="1"/>
  <c r="L175" i="1"/>
  <c r="L171" i="1" s="1"/>
  <c r="L178" i="1" s="1"/>
  <c r="BY125" i="1"/>
  <c r="BJ125" i="1"/>
  <c r="G125" i="1"/>
  <c r="BB125" i="1"/>
  <c r="AN43" i="8"/>
  <c r="AO43" i="8" s="1"/>
  <c r="AO89" i="8" s="1"/>
  <c r="BF101" i="8"/>
  <c r="BF102" i="8" s="1"/>
  <c r="BF88" i="4"/>
  <c r="BF106" i="4" s="1"/>
  <c r="BG28" i="8"/>
  <c r="AG179" i="4"/>
  <c r="AG191" i="4"/>
  <c r="AG186" i="4"/>
  <c r="BP191" i="4"/>
  <c r="BP179" i="4"/>
  <c r="BP186" i="4"/>
  <c r="BD57" i="4"/>
  <c r="BC67" i="4"/>
  <c r="W101" i="1"/>
  <c r="X40" i="8"/>
  <c r="BE100" i="8"/>
  <c r="BE102" i="8" s="1"/>
  <c r="BE47" i="8"/>
  <c r="AD193" i="4"/>
  <c r="AD180" i="4"/>
  <c r="O67" i="4"/>
  <c r="P67" i="4" s="1"/>
  <c r="P57" i="4"/>
  <c r="Z192" i="4"/>
  <c r="Z187" i="4"/>
  <c r="Z194" i="4" s="1"/>
  <c r="CW98" i="4"/>
  <c r="DB87" i="4"/>
  <c r="W191" i="4"/>
  <c r="W179" i="4"/>
  <c r="CA71" i="4"/>
  <c r="CE94" i="4"/>
  <c r="CE95" i="4" s="1"/>
  <c r="CE104" i="4" s="1"/>
  <c r="CF13" i="8"/>
  <c r="CF25" i="8" s="1"/>
  <c r="CE110" i="8"/>
  <c r="CE111" i="8" s="1"/>
  <c r="CE112" i="8" s="1"/>
  <c r="AU180" i="4"/>
  <c r="AU193" i="4"/>
  <c r="BV29" i="8"/>
  <c r="BV33" i="8" s="1"/>
  <c r="BU89" i="4"/>
  <c r="R110" i="8"/>
  <c r="R111" i="8" s="1"/>
  <c r="R112" i="8" s="1"/>
  <c r="R94" i="4"/>
  <c r="R95" i="4" s="1"/>
  <c r="R104" i="4" s="1"/>
  <c r="S13" i="8"/>
  <c r="S25" i="8" s="1"/>
  <c r="BT100" i="8"/>
  <c r="BT102" i="8" s="1"/>
  <c r="BT108" i="1" s="1"/>
  <c r="BT47" i="8"/>
  <c r="BR36" i="8"/>
  <c r="BS36" i="8" s="1"/>
  <c r="BS82" i="8" s="1"/>
  <c r="BQ96" i="1"/>
  <c r="BX30" i="8"/>
  <c r="BX76" i="8" s="1"/>
  <c r="AF25" i="8"/>
  <c r="AU178" i="4"/>
  <c r="CC192" i="4"/>
  <c r="CC187" i="4"/>
  <c r="CC194" i="4" s="1"/>
  <c r="AC177" i="4"/>
  <c r="AC186" i="4"/>
  <c r="AC191" i="4"/>
  <c r="AC179" i="4"/>
  <c r="CF179" i="4"/>
  <c r="CF186" i="4"/>
  <c r="CF191" i="4"/>
  <c r="AK47" i="8"/>
  <c r="CK40" i="8"/>
  <c r="CJ101" i="1"/>
  <c r="CJ103" i="1" s="1"/>
  <c r="CJ91" i="1" s="1"/>
  <c r="CJ92" i="1" s="1"/>
  <c r="N29" i="8"/>
  <c r="M89" i="4"/>
  <c r="M103" i="4" s="1"/>
  <c r="BI191" i="4"/>
  <c r="BI186" i="4"/>
  <c r="BI178" i="4" s="1"/>
  <c r="BI179" i="4"/>
  <c r="AC36" i="8"/>
  <c r="AB96" i="1"/>
  <c r="AB98" i="1" s="1"/>
  <c r="AB90" i="1" s="1"/>
  <c r="AB92" i="1" s="1"/>
  <c r="AR94" i="4"/>
  <c r="AR95" i="4" s="1"/>
  <c r="AR104" i="4" s="1"/>
  <c r="AS13" i="8"/>
  <c r="AT13" i="8" s="1"/>
  <c r="AR110" i="8"/>
  <c r="DE60" i="4"/>
  <c r="DD36" i="8"/>
  <c r="AT98" i="4"/>
  <c r="AT100" i="4"/>
  <c r="X203" i="4"/>
  <c r="AX94" i="4"/>
  <c r="AX105" i="4" s="1"/>
  <c r="AX110" i="8"/>
  <c r="AX111" i="8" s="1"/>
  <c r="AX112" i="8" s="1"/>
  <c r="AH38" i="8"/>
  <c r="AI38" i="8" s="1"/>
  <c r="CT101" i="8"/>
  <c r="CU28" i="8"/>
  <c r="CT88" i="4"/>
  <c r="CT106" i="4" s="1"/>
  <c r="AG96" i="1"/>
  <c r="P88" i="4"/>
  <c r="P106" i="4" s="1"/>
  <c r="P101" i="8"/>
  <c r="P74" i="8"/>
  <c r="P191" i="4"/>
  <c r="P186" i="4"/>
  <c r="P179" i="4"/>
  <c r="AT96" i="1"/>
  <c r="CC43" i="8"/>
  <c r="CC89" i="8" s="1"/>
  <c r="BC43" i="8"/>
  <c r="BD43" i="8" s="1"/>
  <c r="BD89" i="8" s="1"/>
  <c r="AR43" i="8"/>
  <c r="BD40" i="8"/>
  <c r="BD86" i="8" s="1"/>
  <c r="CB169" i="1"/>
  <c r="CB165" i="1" s="1"/>
  <c r="CB177" i="1" s="1"/>
  <c r="R141" i="1"/>
  <c r="AD171" i="1"/>
  <c r="AD178" i="1" s="1"/>
  <c r="AY140" i="4"/>
  <c r="BA125" i="1"/>
  <c r="BK125" i="1"/>
  <c r="V125" i="1"/>
  <c r="AZ144" i="1"/>
  <c r="BP175" i="1"/>
  <c r="BP171" i="1" s="1"/>
  <c r="BP178" i="1" s="1"/>
  <c r="AL175" i="1"/>
  <c r="AL171" i="1" s="1"/>
  <c r="AL178" i="1" s="1"/>
  <c r="M175" i="1"/>
  <c r="M171" i="1" s="1"/>
  <c r="M178" i="1" s="1"/>
  <c r="CP142" i="1"/>
  <c r="CD125" i="1"/>
  <c r="AU125" i="1"/>
  <c r="BH146" i="1"/>
  <c r="BH144" i="1" s="1"/>
  <c r="CS147" i="4"/>
  <c r="CQ53" i="1"/>
  <c r="BD145" i="1"/>
  <c r="BD141" i="1" s="1"/>
  <c r="BD158" i="1" s="1"/>
  <c r="R144" i="1"/>
  <c r="AG169" i="1"/>
  <c r="AG165" i="1" s="1"/>
  <c r="AG177" i="1" s="1"/>
  <c r="CQ125" i="1"/>
  <c r="L125" i="1"/>
  <c r="CW46" i="1"/>
  <c r="CW147" i="4" s="1"/>
  <c r="BO92" i="1"/>
  <c r="BA169" i="1"/>
  <c r="BA165" i="1" s="1"/>
  <c r="BA177" i="1" s="1"/>
  <c r="R125" i="1"/>
  <c r="AC80" i="1"/>
  <c r="CR37" i="1"/>
  <c r="BA144" i="1"/>
  <c r="BS172" i="1"/>
  <c r="AM175" i="1"/>
  <c r="AM171" i="1" s="1"/>
  <c r="AM178" i="1" s="1"/>
  <c r="CV53" i="1"/>
  <c r="CQ40" i="1"/>
  <c r="AY201" i="1"/>
  <c r="AT145" i="1"/>
  <c r="AT141" i="1" s="1"/>
  <c r="AT158" i="1" s="1"/>
  <c r="U172" i="1"/>
  <c r="BK169" i="1"/>
  <c r="BK165" i="1" s="1"/>
  <c r="BK177" i="1" s="1"/>
  <c r="CY172" i="4"/>
  <c r="CW188" i="1"/>
  <c r="CW189" i="1" s="1"/>
  <c r="BM92" i="1"/>
  <c r="CN147" i="4"/>
  <c r="CN146" i="4"/>
  <c r="Z113" i="4"/>
  <c r="BP103" i="4"/>
  <c r="AE94" i="4"/>
  <c r="AE95" i="4" s="1"/>
  <c r="AE104" i="4" s="1"/>
  <c r="AE59" i="8"/>
  <c r="AE110" i="8"/>
  <c r="AE111" i="8" s="1"/>
  <c r="AE112" i="8" s="1"/>
  <c r="AK108" i="1"/>
  <c r="Z74" i="8"/>
  <c r="Z88" i="4"/>
  <c r="Z106" i="4" s="1"/>
  <c r="Z101" i="8"/>
  <c r="AH89" i="4"/>
  <c r="AI29" i="8"/>
  <c r="AI33" i="8" s="1"/>
  <c r="AI110" i="8"/>
  <c r="AI111" i="8" s="1"/>
  <c r="AI112" i="8" s="1"/>
  <c r="AI94" i="4"/>
  <c r="BV105" i="4"/>
  <c r="BV95" i="4"/>
  <c r="BV104" i="4" s="1"/>
  <c r="BX59" i="8"/>
  <c r="BX110" i="8"/>
  <c r="BX94" i="4"/>
  <c r="BX95" i="4" s="1"/>
  <c r="BX104" i="4" s="1"/>
  <c r="BJ108" i="1"/>
  <c r="AT40" i="8"/>
  <c r="AT86" i="8" s="1"/>
  <c r="N117" i="4"/>
  <c r="P18" i="8"/>
  <c r="P64" i="8" s="1"/>
  <c r="BV117" i="4"/>
  <c r="BS18" i="8"/>
  <c r="BS64" i="8" s="1"/>
  <c r="AT24" i="8"/>
  <c r="AT70" i="8" s="1"/>
  <c r="Y110" i="8"/>
  <c r="Y111" i="8" s="1"/>
  <c r="Y112" i="8" s="1"/>
  <c r="Y76" i="1" s="1"/>
  <c r="Z76" i="1" s="1"/>
  <c r="P23" i="8"/>
  <c r="P69" i="8" s="1"/>
  <c r="AT38" i="8"/>
  <c r="AT84" i="8" s="1"/>
  <c r="CG40" i="8"/>
  <c r="CF101" i="1"/>
  <c r="AM110" i="8"/>
  <c r="AM111" i="8" s="1"/>
  <c r="AM112" i="8" s="1"/>
  <c r="AN13" i="8"/>
  <c r="AM94" i="4"/>
  <c r="CQ38" i="8"/>
  <c r="CP43" i="8"/>
  <c r="U29" i="8"/>
  <c r="BX74" i="8"/>
  <c r="CV38" i="8"/>
  <c r="CV96" i="1" s="1"/>
  <c r="CU96" i="1"/>
  <c r="K74" i="8"/>
  <c r="K101" i="8"/>
  <c r="X29" i="8"/>
  <c r="CI92" i="1"/>
  <c r="CE103" i="4"/>
  <c r="AH33" i="8"/>
  <c r="AJ13" i="8"/>
  <c r="BD12" i="8"/>
  <c r="BD58" i="8" s="1"/>
  <c r="AD94" i="4"/>
  <c r="AD95" i="4" s="1"/>
  <c r="AD104" i="4" s="1"/>
  <c r="AD110" i="8"/>
  <c r="AD111" i="8" s="1"/>
  <c r="AD112" i="8" s="1"/>
  <c r="AS142" i="1"/>
  <c r="AS159" i="1" s="1"/>
  <c r="AS144" i="1"/>
  <c r="CH74" i="1"/>
  <c r="DG20" i="1"/>
  <c r="AZ142" i="1"/>
  <c r="AZ159" i="1" s="1"/>
  <c r="H157" i="1"/>
  <c r="AQ169" i="1"/>
  <c r="AQ165" i="1" s="1"/>
  <c r="AL125" i="1"/>
  <c r="AJ125" i="1"/>
  <c r="BO169" i="1"/>
  <c r="BO165" i="1" s="1"/>
  <c r="BO177" i="1" s="1"/>
  <c r="M140" i="1"/>
  <c r="M157" i="1" s="1"/>
  <c r="AT186" i="1"/>
  <c r="DC142" i="4"/>
  <c r="DC14" i="4" s="1"/>
  <c r="CX173" i="4"/>
  <c r="AX169" i="1"/>
  <c r="AX165" i="1" s="1"/>
  <c r="CW145" i="4"/>
  <c r="L144" i="1"/>
  <c r="CW145" i="1"/>
  <c r="CW141" i="1" s="1"/>
  <c r="CW158" i="1" s="1"/>
  <c r="BF169" i="1"/>
  <c r="BF165" i="1" s="1"/>
  <c r="BF177" i="1" s="1"/>
  <c r="S144" i="1"/>
  <c r="BA175" i="1"/>
  <c r="BA171" i="1" s="1"/>
  <c r="BA178" i="1" s="1"/>
  <c r="R169" i="1"/>
  <c r="R165" i="1" s="1"/>
  <c r="R177" i="1" s="1"/>
  <c r="CJ125" i="1"/>
  <c r="BF125" i="1"/>
  <c r="AV125" i="1"/>
  <c r="BU169" i="1"/>
  <c r="BU165" i="1" s="1"/>
  <c r="BU177" i="1" s="1"/>
  <c r="CM73" i="1"/>
  <c r="CM145" i="1"/>
  <c r="CM141" i="1" s="1"/>
  <c r="CM158" i="1" s="1"/>
  <c r="Z184" i="1"/>
  <c r="CO146" i="4"/>
  <c r="M144" i="1"/>
  <c r="BN189" i="1"/>
  <c r="AW53" i="1"/>
  <c r="AW54" i="1" s="1"/>
  <c r="BF147" i="4"/>
  <c r="CF53" i="1"/>
  <c r="CF54" i="1" s="1"/>
  <c r="AG146" i="4"/>
  <c r="N75" i="1"/>
  <c r="N79" i="1" s="1"/>
  <c r="R72" i="1"/>
  <c r="H75" i="1"/>
  <c r="H81" i="1" s="1"/>
  <c r="CF146" i="4"/>
  <c r="AW146" i="4"/>
  <c r="BF53" i="1"/>
  <c r="BF54" i="1" s="1"/>
  <c r="AV111" i="8" s="1"/>
  <c r="AV112" i="8" s="1"/>
  <c r="V141" i="1"/>
  <c r="V158" i="1" s="1"/>
  <c r="V144" i="1"/>
  <c r="G81" i="1"/>
  <c r="U98" i="1"/>
  <c r="CX174" i="4"/>
  <c r="CV184" i="1"/>
  <c r="U146" i="4"/>
  <c r="CX186" i="1"/>
  <c r="AB147" i="4"/>
  <c r="Y144" i="1"/>
  <c r="CX172" i="4"/>
  <c r="CW142" i="4"/>
  <c r="CW168" i="4" s="1"/>
  <c r="L169" i="1"/>
  <c r="L165" i="1" s="1"/>
  <c r="L177" i="1" s="1"/>
  <c r="U202" i="1"/>
  <c r="BO144" i="1"/>
  <c r="AK175" i="1"/>
  <c r="AK171" i="1" s="1"/>
  <c r="AK178" i="1" s="1"/>
  <c r="R175" i="1"/>
  <c r="R171" i="1" s="1"/>
  <c r="R178" i="1" s="1"/>
  <c r="CT133" i="1"/>
  <c r="Z146" i="4"/>
  <c r="AL169" i="1"/>
  <c r="AL165" i="1" s="1"/>
  <c r="AE172" i="1"/>
  <c r="U147" i="4"/>
  <c r="BU175" i="1"/>
  <c r="BU171" i="1" s="1"/>
  <c r="CW23" i="1"/>
  <c r="CY174" i="4"/>
  <c r="CY173" i="4"/>
  <c r="CY184" i="1"/>
  <c r="BD201" i="1"/>
  <c r="AY184" i="1"/>
  <c r="Z191" i="1"/>
  <c r="Z192" i="1" s="1"/>
  <c r="BY140" i="1"/>
  <c r="BY157" i="1" s="1"/>
  <c r="BO140" i="1"/>
  <c r="BO157" i="1" s="1"/>
  <c r="Q175" i="1"/>
  <c r="AA125" i="1"/>
  <c r="CS144" i="1"/>
  <c r="BJ175" i="1"/>
  <c r="CT123" i="1"/>
  <c r="O175" i="1"/>
  <c r="O171" i="1" s="1"/>
  <c r="O178" i="1" s="1"/>
  <c r="O169" i="1"/>
  <c r="O165" i="1" s="1"/>
  <c r="O177" i="1" s="1"/>
  <c r="CU144" i="1"/>
  <c r="Z125" i="1"/>
  <c r="CX144" i="1"/>
  <c r="CX140" i="1" s="1"/>
  <c r="CX157" i="1" s="1"/>
  <c r="CS122" i="1"/>
  <c r="CS124" i="1"/>
  <c r="CS120" i="1"/>
  <c r="CS123" i="1"/>
  <c r="BT140" i="1"/>
  <c r="BT157" i="1" s="1"/>
  <c r="AB53" i="1"/>
  <c r="AB66" i="1" s="1"/>
  <c r="AB75" i="1" s="1"/>
  <c r="AB79" i="1" s="1"/>
  <c r="CW173" i="4"/>
  <c r="G7" i="26"/>
  <c r="G8" i="26" s="1"/>
  <c r="CW44" i="1"/>
  <c r="CW141" i="4"/>
  <c r="CW167" i="4" s="1"/>
  <c r="CW172" i="4"/>
  <c r="AD169" i="1"/>
  <c r="AD165" i="1" s="1"/>
  <c r="AD177" i="1" s="1"/>
  <c r="AK125" i="1"/>
  <c r="CT120" i="1"/>
  <c r="CT124" i="1"/>
  <c r="AV175" i="1"/>
  <c r="AV171" i="1" s="1"/>
  <c r="AV178" i="1" s="1"/>
  <c r="AJ145" i="1"/>
  <c r="AJ141" i="1" s="1"/>
  <c r="AJ158" i="1" s="1"/>
  <c r="BZ125" i="1"/>
  <c r="BU125" i="1"/>
  <c r="M125" i="1"/>
  <c r="AF140" i="1"/>
  <c r="AF157" i="1" s="1"/>
  <c r="X78" i="1"/>
  <c r="X80" i="1"/>
  <c r="X75" i="4"/>
  <c r="X78" i="4" s="1"/>
  <c r="X79" i="4" s="1"/>
  <c r="X81" i="4" s="1"/>
  <c r="N136" i="1"/>
  <c r="N146" i="1"/>
  <c r="AU175" i="1"/>
  <c r="AU171" i="1" s="1"/>
  <c r="AU169" i="1"/>
  <c r="AU165" i="1" s="1"/>
  <c r="AU177" i="1" s="1"/>
  <c r="CP33" i="1"/>
  <c r="BP53" i="1"/>
  <c r="BP66" i="1" s="1"/>
  <c r="CS57" i="1"/>
  <c r="CS58" i="1" s="1"/>
  <c r="BP147" i="4"/>
  <c r="CC37" i="1"/>
  <c r="CC38" i="1" s="1"/>
  <c r="CB40" i="1"/>
  <c r="CS66" i="1"/>
  <c r="CS75" i="1" s="1"/>
  <c r="AJ174" i="4"/>
  <c r="BX194" i="4"/>
  <c r="BX177" i="4"/>
  <c r="K40" i="4"/>
  <c r="J42" i="4"/>
  <c r="K42" i="4" s="1"/>
  <c r="BT123" i="4"/>
  <c r="BT32" i="4" s="1"/>
  <c r="CH136" i="4"/>
  <c r="DB61" i="1"/>
  <c r="CH198" i="4"/>
  <c r="AZ123" i="4"/>
  <c r="AZ32" i="4" s="1"/>
  <c r="CO178" i="4"/>
  <c r="X199" i="4"/>
  <c r="BA78" i="4"/>
  <c r="BA79" i="4" s="1"/>
  <c r="BA81" i="4" s="1"/>
  <c r="BN186" i="4"/>
  <c r="BN178" i="4" s="1"/>
  <c r="BN203" i="4"/>
  <c r="AS177" i="4"/>
  <c r="AB114" i="4"/>
  <c r="AB26" i="4" s="1"/>
  <c r="AA114" i="4"/>
  <c r="AA26" i="4" s="1"/>
  <c r="AC114" i="4"/>
  <c r="AC26" i="4" s="1"/>
  <c r="CC112" i="4"/>
  <c r="CH87" i="4"/>
  <c r="CH100" i="4" s="1"/>
  <c r="CC110" i="4"/>
  <c r="CC111" i="4"/>
  <c r="BY111" i="4"/>
  <c r="BY23" i="4" s="1"/>
  <c r="CA111" i="4"/>
  <c r="CA23" i="4" s="1"/>
  <c r="BZ111" i="4"/>
  <c r="BZ23" i="4" s="1"/>
  <c r="Y98" i="4"/>
  <c r="AA87" i="4"/>
  <c r="Y100" i="4"/>
  <c r="CO193" i="4"/>
  <c r="CO180" i="4"/>
  <c r="CW179" i="4"/>
  <c r="CW190" i="4"/>
  <c r="AP90" i="4"/>
  <c r="AP103" i="4"/>
  <c r="DC68" i="8"/>
  <c r="U194" i="4"/>
  <c r="AA109" i="4"/>
  <c r="AA21" i="4" s="1"/>
  <c r="AC109" i="4"/>
  <c r="AC21" i="4" s="1"/>
  <c r="AB109" i="4"/>
  <c r="AB21" i="4" s="1"/>
  <c r="AV121" i="4"/>
  <c r="AV131" i="4" s="1"/>
  <c r="AU32" i="4"/>
  <c r="CT180" i="4"/>
  <c r="CT193" i="4"/>
  <c r="CT178" i="4"/>
  <c r="CV178" i="4"/>
  <c r="CV177" i="4"/>
  <c r="CV194" i="4"/>
  <c r="DB22" i="8"/>
  <c r="DB68" i="8" s="1"/>
  <c r="AQ111" i="4"/>
  <c r="AQ23" i="4" s="1"/>
  <c r="BJ36" i="4"/>
  <c r="AZ36" i="4"/>
  <c r="X57" i="4"/>
  <c r="X67" i="4" s="1"/>
  <c r="X71" i="4" s="1"/>
  <c r="CF174" i="4"/>
  <c r="CM209" i="4"/>
  <c r="CH135" i="4"/>
  <c r="CW209" i="4"/>
  <c r="CW174" i="4" s="1"/>
  <c r="AI203" i="4"/>
  <c r="Y203" i="4"/>
  <c r="AE87" i="4"/>
  <c r="Z114" i="4"/>
  <c r="Z115" i="4"/>
  <c r="Z91" i="4"/>
  <c r="Z98" i="4" s="1"/>
  <c r="Z111" i="4"/>
  <c r="Z110" i="4"/>
  <c r="Z112" i="4"/>
  <c r="BO113" i="4"/>
  <c r="BO25" i="4" s="1"/>
  <c r="BQ113" i="4"/>
  <c r="BQ25" i="4" s="1"/>
  <c r="BP113" i="4"/>
  <c r="BP25" i="4" s="1"/>
  <c r="CU186" i="4"/>
  <c r="CU193" i="4" s="1"/>
  <c r="CL67" i="4"/>
  <c r="CM67" i="4" s="1"/>
  <c r="CM57" i="4"/>
  <c r="CW157" i="4"/>
  <c r="BT109" i="4"/>
  <c r="BT21" i="4" s="1"/>
  <c r="BU109" i="4"/>
  <c r="BU21" i="4" s="1"/>
  <c r="BV109" i="4"/>
  <c r="BV21" i="4" s="1"/>
  <c r="CI24" i="4"/>
  <c r="CJ112" i="4"/>
  <c r="BY103" i="4"/>
  <c r="BY90" i="4"/>
  <c r="BJ180" i="4"/>
  <c r="BJ178" i="4"/>
  <c r="BJ193" i="4"/>
  <c r="CN30" i="4"/>
  <c r="CN40" i="4" s="1"/>
  <c r="CN42" i="4" s="1"/>
  <c r="CL40" i="4"/>
  <c r="CM30" i="4"/>
  <c r="AT180" i="4"/>
  <c r="Z67" i="4"/>
  <c r="BU178" i="4"/>
  <c r="BU193" i="4"/>
  <c r="CQ67" i="4"/>
  <c r="CR57" i="4"/>
  <c r="CL111" i="4"/>
  <c r="CN111" i="4" s="1"/>
  <c r="CO111" i="4" s="1"/>
  <c r="CP111" i="4" s="1"/>
  <c r="CK23" i="4"/>
  <c r="CL178" i="4"/>
  <c r="CH197" i="4"/>
  <c r="CO194" i="4"/>
  <c r="X198" i="4"/>
  <c r="BD127" i="4"/>
  <c r="BI125" i="4" s="1"/>
  <c r="BI127" i="4" s="1"/>
  <c r="BZ115" i="4"/>
  <c r="BZ27" i="4" s="1"/>
  <c r="BY115" i="4"/>
  <c r="BY27" i="4" s="1"/>
  <c r="CA115" i="4"/>
  <c r="CA27" i="4" s="1"/>
  <c r="BX29" i="4"/>
  <c r="BX207" i="4" s="1"/>
  <c r="BX209" i="4" s="1"/>
  <c r="CC174" i="4" s="1"/>
  <c r="BW40" i="4"/>
  <c r="BW207" i="4"/>
  <c r="BW209" i="4" s="1"/>
  <c r="CB174" i="4" s="1"/>
  <c r="CY186" i="4"/>
  <c r="CY193" i="4" s="1"/>
  <c r="CY187" i="4"/>
  <c r="CY179" i="4"/>
  <c r="CY190" i="4"/>
  <c r="AF179" i="4"/>
  <c r="AF186" i="4"/>
  <c r="AF191" i="4"/>
  <c r="AF177" i="4"/>
  <c r="BY112" i="4"/>
  <c r="BY24" i="4" s="1"/>
  <c r="BZ112" i="4"/>
  <c r="BZ24" i="4" s="1"/>
  <c r="CA193" i="4"/>
  <c r="CA180" i="4"/>
  <c r="CM186" i="4"/>
  <c r="CM193" i="4" s="1"/>
  <c r="CM179" i="4"/>
  <c r="CM190" i="4"/>
  <c r="CM187" i="4"/>
  <c r="T42" i="4"/>
  <c r="U42" i="4" s="1"/>
  <c r="U40" i="4"/>
  <c r="AP146" i="4"/>
  <c r="AP147" i="4"/>
  <c r="AT98" i="1"/>
  <c r="DI28" i="1"/>
  <c r="DI26" i="1"/>
  <c r="DI32" i="1" s="1"/>
  <c r="DD26" i="1"/>
  <c r="DD32" i="1" s="1"/>
  <c r="Z59" i="8"/>
  <c r="Z110" i="8"/>
  <c r="Z94" i="4"/>
  <c r="M108" i="1"/>
  <c r="AY42" i="8"/>
  <c r="AY88" i="8" s="1"/>
  <c r="BN24" i="8"/>
  <c r="BN70" i="8" s="1"/>
  <c r="P30" i="8"/>
  <c r="P76" i="8" s="1"/>
  <c r="CC29" i="8"/>
  <c r="CC89" i="4" s="1"/>
  <c r="CC103" i="4" s="1"/>
  <c r="AS43" i="8"/>
  <c r="BN32" i="8"/>
  <c r="BN78" i="8" s="1"/>
  <c r="DH26" i="1"/>
  <c r="DH32" i="1" s="1"/>
  <c r="DC39" i="1"/>
  <c r="DC26" i="1"/>
  <c r="DC32" i="1" s="1"/>
  <c r="CR194" i="4"/>
  <c r="AS194" i="4"/>
  <c r="P12" i="8"/>
  <c r="P58" i="8" s="1"/>
  <c r="S43" i="8"/>
  <c r="T42" i="8"/>
  <c r="BI42" i="8"/>
  <c r="BI88" i="8" s="1"/>
  <c r="BR29" i="8"/>
  <c r="BQ89" i="4"/>
  <c r="BQ103" i="4" s="1"/>
  <c r="CG29" i="8"/>
  <c r="CF89" i="4"/>
  <c r="CF103" i="4" s="1"/>
  <c r="CV13" i="8"/>
  <c r="CU94" i="4"/>
  <c r="CU95" i="4" s="1"/>
  <c r="CU110" i="8"/>
  <c r="CU111" i="8" s="1"/>
  <c r="CU112" i="8" s="1"/>
  <c r="O96" i="1"/>
  <c r="P36" i="8"/>
  <c r="P82" i="8" s="1"/>
  <c r="U24" i="8"/>
  <c r="U70" i="8" s="1"/>
  <c r="O39" i="8"/>
  <c r="N43" i="8"/>
  <c r="CH38" i="8"/>
  <c r="CH84" i="8" s="1"/>
  <c r="BD95" i="4"/>
  <c r="BD104" i="4" s="1"/>
  <c r="AI40" i="8"/>
  <c r="AJ40" i="8" s="1"/>
  <c r="AJ86" i="8" s="1"/>
  <c r="AH101" i="1"/>
  <c r="AA92" i="1"/>
  <c r="K32" i="8"/>
  <c r="K78" i="8" s="1"/>
  <c r="AJ74" i="8"/>
  <c r="AJ101" i="8"/>
  <c r="AJ88" i="4"/>
  <c r="AJ106" i="4" s="1"/>
  <c r="BW101" i="1"/>
  <c r="BX18" i="8"/>
  <c r="BX64" i="8" s="1"/>
  <c r="DH61" i="4"/>
  <c r="DI61" i="4" s="1"/>
  <c r="DJ61" i="4" s="1"/>
  <c r="DK61" i="4" s="1"/>
  <c r="DG61" i="4"/>
  <c r="AF147" i="4"/>
  <c r="AF146" i="4"/>
  <c r="AF75" i="1"/>
  <c r="AF81" i="1" s="1"/>
  <c r="S140" i="1"/>
  <c r="S157" i="1" s="1"/>
  <c r="DC28" i="1"/>
  <c r="CU125" i="1"/>
  <c r="BM53" i="1"/>
  <c r="BN53" i="1" s="1"/>
  <c r="BN54" i="1" s="1"/>
  <c r="AG147" i="4"/>
  <c r="U184" i="1"/>
  <c r="AE175" i="1"/>
  <c r="T144" i="1"/>
  <c r="T140" i="1"/>
  <c r="T157" i="1" s="1"/>
  <c r="BN145" i="1"/>
  <c r="BN141" i="1" s="1"/>
  <c r="BN158" i="1" s="1"/>
  <c r="DC37" i="1"/>
  <c r="AB125" i="1"/>
  <c r="CP125" i="1"/>
  <c r="CS142" i="1"/>
  <c r="CS159" i="1" s="1"/>
  <c r="AQ144" i="1"/>
  <c r="CY167" i="4"/>
  <c r="CY166" i="4" s="1"/>
  <c r="AV140" i="1"/>
  <c r="AV157" i="1" s="1"/>
  <c r="CU140" i="1"/>
  <c r="CU157" i="1" s="1"/>
  <c r="DD24" i="1"/>
  <c r="BK144" i="1"/>
  <c r="DC24" i="1"/>
  <c r="AN136" i="1"/>
  <c r="BM146" i="4"/>
  <c r="CT136" i="1"/>
  <c r="J142" i="1"/>
  <c r="J159" i="1" s="1"/>
  <c r="U186" i="1"/>
  <c r="U201" i="1"/>
  <c r="P191" i="1"/>
  <c r="U192" i="1" s="1"/>
  <c r="AE145" i="1"/>
  <c r="AE141" i="1" s="1"/>
  <c r="AE158" i="1" s="1"/>
  <c r="BR144" i="1"/>
  <c r="BZ169" i="1"/>
  <c r="BZ165" i="1" s="1"/>
  <c r="BZ177" i="1" s="1"/>
  <c r="BF141" i="1"/>
  <c r="BF158" i="1" s="1"/>
  <c r="CC98" i="1"/>
  <c r="DC43" i="1"/>
  <c r="CG166" i="4"/>
  <c r="AJ166" i="4"/>
  <c r="Y166" i="4"/>
  <c r="U196" i="1"/>
  <c r="AV144" i="1"/>
  <c r="H144" i="1"/>
  <c r="AB144" i="1"/>
  <c r="AA140" i="1"/>
  <c r="AA157" i="1" s="1"/>
  <c r="AA159" i="1"/>
  <c r="CN158" i="1"/>
  <c r="CN140" i="1"/>
  <c r="CN157" i="1" s="1"/>
  <c r="J171" i="1"/>
  <c r="J178" i="1" s="1"/>
  <c r="K178" i="1" s="1"/>
  <c r="BR140" i="1"/>
  <c r="BR157" i="1" s="1"/>
  <c r="BI189" i="1"/>
  <c r="AX146" i="1"/>
  <c r="AY146" i="1" s="1"/>
  <c r="AY142" i="1" s="1"/>
  <c r="AX136" i="1"/>
  <c r="AD146" i="1"/>
  <c r="AD144" i="1" s="1"/>
  <c r="AD136" i="1"/>
  <c r="AG141" i="1"/>
  <c r="AG144" i="1"/>
  <c r="CN144" i="1"/>
  <c r="AA144" i="1"/>
  <c r="CQ136" i="1"/>
  <c r="CR146" i="1"/>
  <c r="CR142" i="1" s="1"/>
  <c r="AQ125" i="1"/>
  <c r="AN169" i="1"/>
  <c r="AN165" i="1" s="1"/>
  <c r="AN177" i="1" s="1"/>
  <c r="AN175" i="1"/>
  <c r="AN171" i="1" s="1"/>
  <c r="AN178" i="1" s="1"/>
  <c r="CD172" i="1"/>
  <c r="CE163" i="1"/>
  <c r="BW136" i="1"/>
  <c r="BW146" i="1"/>
  <c r="BX146" i="1" s="1"/>
  <c r="BX142" i="1" s="1"/>
  <c r="CE125" i="1"/>
  <c r="BO158" i="1"/>
  <c r="BJ142" i="1"/>
  <c r="BJ159" i="1" s="1"/>
  <c r="O146" i="1"/>
  <c r="O136" i="1"/>
  <c r="AL141" i="1"/>
  <c r="AL144" i="1"/>
  <c r="W141" i="1"/>
  <c r="Z145" i="1"/>
  <c r="Z141" i="1" s="1"/>
  <c r="Z158" i="1" s="1"/>
  <c r="BP125" i="1"/>
  <c r="H169" i="1"/>
  <c r="H165" i="1" s="1"/>
  <c r="H177" i="1" s="1"/>
  <c r="J75" i="1"/>
  <c r="J81" i="1" s="1"/>
  <c r="R79" i="1"/>
  <c r="Y140" i="4"/>
  <c r="AG72" i="1"/>
  <c r="DA140" i="4"/>
  <c r="DF143" i="4"/>
  <c r="DK143" i="4" s="1"/>
  <c r="DH143" i="4"/>
  <c r="DC169" i="4"/>
  <c r="K53" i="1"/>
  <c r="AP72" i="1"/>
  <c r="AJ140" i="4"/>
  <c r="BT146" i="4"/>
  <c r="CW63" i="1"/>
  <c r="BE92" i="1"/>
  <c r="BX140" i="4"/>
  <c r="S76" i="1" s="1"/>
  <c r="AO166" i="4"/>
  <c r="BB53" i="1"/>
  <c r="BB66" i="1" s="1"/>
  <c r="CL147" i="4"/>
  <c r="BB147" i="4"/>
  <c r="CB46" i="1"/>
  <c r="CB53" i="1" s="1"/>
  <c r="CB54" i="1" s="1"/>
  <c r="CN105" i="8"/>
  <c r="CN108" i="1"/>
  <c r="AO24" i="8"/>
  <c r="AO70" i="8" s="1"/>
  <c r="AP90" i="1"/>
  <c r="AT90" i="1" s="1"/>
  <c r="AO15" i="8"/>
  <c r="AO61" i="8" s="1"/>
  <c r="H100" i="8"/>
  <c r="H102" i="8" s="1"/>
  <c r="H47" i="8"/>
  <c r="H50" i="8" s="1"/>
  <c r="AL100" i="8"/>
  <c r="AL102" i="8" s="1"/>
  <c r="CH12" i="8"/>
  <c r="CH58" i="8" s="1"/>
  <c r="BG89" i="4"/>
  <c r="BG103" i="4" s="1"/>
  <c r="BH29" i="8"/>
  <c r="CP89" i="4"/>
  <c r="CQ29" i="8"/>
  <c r="CQ89" i="4" s="1"/>
  <c r="CQ103" i="4" s="1"/>
  <c r="AC101" i="8"/>
  <c r="AD28" i="8"/>
  <c r="AC88" i="4"/>
  <c r="BN22" i="8"/>
  <c r="BN68" i="8" s="1"/>
  <c r="CC18" i="8"/>
  <c r="CC64" i="8" s="1"/>
  <c r="CJ100" i="8"/>
  <c r="CJ102" i="8" s="1"/>
  <c r="CJ47" i="8"/>
  <c r="BM39" i="8"/>
  <c r="BN39" i="8" s="1"/>
  <c r="BN85" i="8" s="1"/>
  <c r="BL43" i="8"/>
  <c r="BN18" i="8"/>
  <c r="BN64" i="8" s="1"/>
  <c r="CM30" i="8"/>
  <c r="CM76" i="8" s="1"/>
  <c r="BU100" i="8"/>
  <c r="BU102" i="8" s="1"/>
  <c r="BU47" i="8"/>
  <c r="AT22" i="8"/>
  <c r="AT68" i="8" s="1"/>
  <c r="BS23" i="8"/>
  <c r="BS69" i="8" s="1"/>
  <c r="CH22" i="8"/>
  <c r="CH68" i="8" s="1"/>
  <c r="BQ88" i="4"/>
  <c r="BR28" i="8"/>
  <c r="BS28" i="8" s="1"/>
  <c r="BQ101" i="8"/>
  <c r="AU90" i="4"/>
  <c r="AU106" i="4"/>
  <c r="CP94" i="8"/>
  <c r="CO48" i="8"/>
  <c r="CP28" i="8"/>
  <c r="CO101" i="8"/>
  <c r="CO102" i="8" s="1"/>
  <c r="CO88" i="4"/>
  <c r="CO106" i="4" s="1"/>
  <c r="CO33" i="8"/>
  <c r="CO47" i="8" s="1"/>
  <c r="CA28" i="8"/>
  <c r="BZ33" i="8"/>
  <c r="BZ47" i="8" s="1"/>
  <c r="BZ101" i="8"/>
  <c r="BZ102" i="8" s="1"/>
  <c r="BZ88" i="4"/>
  <c r="BZ106" i="4" s="1"/>
  <c r="AZ90" i="4"/>
  <c r="AZ103" i="4"/>
  <c r="AR31" i="8"/>
  <c r="AS31" i="8" s="1"/>
  <c r="AQ33" i="8"/>
  <c r="AQ47" i="8" s="1"/>
  <c r="DB31" i="8"/>
  <c r="DB77" i="8" s="1"/>
  <c r="CY33" i="8"/>
  <c r="M95" i="8"/>
  <c r="M96" i="8" s="1"/>
  <c r="O95" i="8"/>
  <c r="O96" i="8" s="1"/>
  <c r="Q95" i="8" s="1"/>
  <c r="N95" i="8"/>
  <c r="N96" i="8" s="1"/>
  <c r="AV101" i="1"/>
  <c r="AV43" i="8"/>
  <c r="AW40" i="8"/>
  <c r="N31" i="8"/>
  <c r="M33" i="8"/>
  <c r="AT16" i="8"/>
  <c r="AT62" i="8" s="1"/>
  <c r="AO48" i="8"/>
  <c r="AO94" i="8" s="1"/>
  <c r="CT41" i="8"/>
  <c r="CS43" i="8"/>
  <c r="CS47" i="8" s="1"/>
  <c r="V103" i="4"/>
  <c r="BK101" i="8"/>
  <c r="BK102" i="8" s="1"/>
  <c r="BK88" i="4"/>
  <c r="BK106" i="4" s="1"/>
  <c r="BL28" i="8"/>
  <c r="AL103" i="4"/>
  <c r="AL90" i="4"/>
  <c r="BN40" i="8"/>
  <c r="BN86" i="8" s="1"/>
  <c r="Z20" i="8"/>
  <c r="Z66" i="8" s="1"/>
  <c r="CW18" i="8"/>
  <c r="CW64" i="8" s="1"/>
  <c r="AC15" i="8"/>
  <c r="AB25" i="8"/>
  <c r="BF96" i="1"/>
  <c r="BG36" i="8"/>
  <c r="BF43" i="8"/>
  <c r="AV88" i="4"/>
  <c r="AV106" i="4" s="1"/>
  <c r="AV101" i="8"/>
  <c r="AW28" i="8"/>
  <c r="BY105" i="8"/>
  <c r="BY108" i="1"/>
  <c r="CV29" i="8"/>
  <c r="CW29" i="8" s="1"/>
  <c r="CU89" i="4"/>
  <c r="BP101" i="1"/>
  <c r="BQ40" i="8"/>
  <c r="BP43" i="8"/>
  <c r="AB101" i="1"/>
  <c r="AC40" i="8"/>
  <c r="AB43" i="8"/>
  <c r="AN29" i="8"/>
  <c r="AM89" i="4"/>
  <c r="DE167" i="4"/>
  <c r="BX169" i="4"/>
  <c r="BX166" i="4" s="1"/>
  <c r="Z140" i="4"/>
  <c r="CC203" i="4"/>
  <c r="BQ194" i="4"/>
  <c r="BQ177" i="4"/>
  <c r="BQ178" i="4"/>
  <c r="V113" i="4"/>
  <c r="V25" i="4" s="1"/>
  <c r="X113" i="4"/>
  <c r="X25" i="4" s="1"/>
  <c r="W113" i="4"/>
  <c r="W25" i="4" s="1"/>
  <c r="I194" i="4"/>
  <c r="I178" i="4"/>
  <c r="I177" i="4"/>
  <c r="AQ114" i="4"/>
  <c r="AQ26" i="4" s="1"/>
  <c r="AR114" i="4"/>
  <c r="AR26" i="4" s="1"/>
  <c r="AP114" i="4"/>
  <c r="AP26" i="4" s="1"/>
  <c r="U98" i="4"/>
  <c r="U100" i="4"/>
  <c r="CW55" i="4"/>
  <c r="CV57" i="4"/>
  <c r="T180" i="4"/>
  <c r="T193" i="4"/>
  <c r="Z184" i="4"/>
  <c r="Z202" i="4"/>
  <c r="AJ179" i="4"/>
  <c r="AJ191" i="4"/>
  <c r="AJ177" i="4"/>
  <c r="AJ186" i="4"/>
  <c r="AO140" i="4"/>
  <c r="BF186" i="4"/>
  <c r="BF179" i="4"/>
  <c r="BF191" i="4"/>
  <c r="R71" i="4"/>
  <c r="CW87" i="4"/>
  <c r="S113" i="4"/>
  <c r="S25" i="4" s="1"/>
  <c r="Q113" i="4"/>
  <c r="Q25" i="4" s="1"/>
  <c r="R113" i="4"/>
  <c r="R25" i="4" s="1"/>
  <c r="X194" i="4"/>
  <c r="X177" i="4"/>
  <c r="X178" i="4"/>
  <c r="AM191" i="4"/>
  <c r="AM179" i="4"/>
  <c r="AM186" i="4"/>
  <c r="AM177" i="4"/>
  <c r="BF177" i="4"/>
  <c r="U57" i="4"/>
  <c r="T67" i="4"/>
  <c r="AD194" i="4"/>
  <c r="AD177" i="4"/>
  <c r="AD178" i="4"/>
  <c r="CS190" i="4"/>
  <c r="CS186" i="4"/>
  <c r="CS193" i="4" s="1"/>
  <c r="CS187" i="4"/>
  <c r="AE204" i="4"/>
  <c r="AE184" i="4"/>
  <c r="AE177" i="4" s="1"/>
  <c r="AE202" i="4"/>
  <c r="V186" i="4"/>
  <c r="V179" i="4"/>
  <c r="V191" i="4"/>
  <c r="CC199" i="4"/>
  <c r="CC197" i="4"/>
  <c r="CC198" i="4"/>
  <c r="BX57" i="4"/>
  <c r="BW67" i="4"/>
  <c r="AJ197" i="4"/>
  <c r="AJ199" i="4"/>
  <c r="N178" i="4"/>
  <c r="BY180" i="4"/>
  <c r="BY193" i="4"/>
  <c r="BY178" i="4"/>
  <c r="CH191" i="4"/>
  <c r="CH179" i="4"/>
  <c r="CH186" i="4"/>
  <c r="CH178" i="4" s="1"/>
  <c r="Y178" i="4"/>
  <c r="Y180" i="4"/>
  <c r="Y193" i="4"/>
  <c r="BR194" i="4"/>
  <c r="BR177" i="4"/>
  <c r="AK177" i="4"/>
  <c r="AK191" i="4"/>
  <c r="AK179" i="4"/>
  <c r="AK186" i="4"/>
  <c r="CQ100" i="4"/>
  <c r="CS87" i="4"/>
  <c r="CQ98" i="4"/>
  <c r="CQ117" i="4" s="1"/>
  <c r="AL178" i="4"/>
  <c r="AL193" i="4"/>
  <c r="AL180" i="4"/>
  <c r="AW194" i="4"/>
  <c r="AW178" i="4"/>
  <c r="AW177" i="4"/>
  <c r="J194" i="4"/>
  <c r="J177" i="4"/>
  <c r="J178" i="4"/>
  <c r="AS186" i="4"/>
  <c r="AS191" i="4"/>
  <c r="AS179" i="4"/>
  <c r="AM174" i="4"/>
  <c r="DG47" i="4"/>
  <c r="CI193" i="4"/>
  <c r="Z203" i="4"/>
  <c r="R191" i="4"/>
  <c r="R179" i="4"/>
  <c r="V111" i="4"/>
  <c r="V23" i="4" s="1"/>
  <c r="X111" i="4"/>
  <c r="X23" i="4" s="1"/>
  <c r="W111" i="4"/>
  <c r="W23" i="4" s="1"/>
  <c r="BE71" i="4"/>
  <c r="AW125" i="4"/>
  <c r="AW127" i="4" s="1"/>
  <c r="AV36" i="4"/>
  <c r="AV123" i="4"/>
  <c r="X174" i="4"/>
  <c r="AC174" i="4"/>
  <c r="AR110" i="4"/>
  <c r="AR22" i="4" s="1"/>
  <c r="AP110" i="4"/>
  <c r="AP22" i="4" s="1"/>
  <c r="AQ110" i="4"/>
  <c r="AQ22" i="4" s="1"/>
  <c r="BQ180" i="4"/>
  <c r="H178" i="4"/>
  <c r="H193" i="4"/>
  <c r="H180" i="4"/>
  <c r="J67" i="4"/>
  <c r="K57" i="4"/>
  <c r="BS129" i="4"/>
  <c r="BS202" i="4"/>
  <c r="BS203" i="4" s="1"/>
  <c r="BN40" i="4"/>
  <c r="BM42" i="4"/>
  <c r="BN191" i="4"/>
  <c r="BN179" i="4"/>
  <c r="T178" i="4"/>
  <c r="T194" i="4"/>
  <c r="J180" i="4"/>
  <c r="J193" i="4"/>
  <c r="AO67" i="4"/>
  <c r="L186" i="4"/>
  <c r="L177" i="4"/>
  <c r="L191" i="4"/>
  <c r="L179" i="4"/>
  <c r="CC57" i="4"/>
  <c r="CB67" i="4"/>
  <c r="BS57" i="4"/>
  <c r="BR67" i="4"/>
  <c r="CP193" i="4"/>
  <c r="BA180" i="4"/>
  <c r="BA193" i="4"/>
  <c r="BA178" i="4"/>
  <c r="CE26" i="4"/>
  <c r="CF114" i="4"/>
  <c r="CF26" i="4" s="1"/>
  <c r="CD193" i="4"/>
  <c r="CD180" i="4"/>
  <c r="CD178" i="4"/>
  <c r="BS207" i="4"/>
  <c r="BS209" i="4" s="1"/>
  <c r="AE111" i="4"/>
  <c r="AE113" i="4"/>
  <c r="AJ87" i="4"/>
  <c r="AE115" i="4"/>
  <c r="AE114" i="4"/>
  <c r="AE112" i="4"/>
  <c r="AE109" i="4"/>
  <c r="AE91" i="4"/>
  <c r="AE110" i="4"/>
  <c r="BI177" i="4"/>
  <c r="BI194" i="4"/>
  <c r="BT178" i="4"/>
  <c r="BT180" i="4"/>
  <c r="BT193" i="4"/>
  <c r="CI178" i="4"/>
  <c r="CI177" i="4"/>
  <c r="BN166" i="4"/>
  <c r="AH191" i="4"/>
  <c r="AH179" i="4"/>
  <c r="AH186" i="4"/>
  <c r="AH177" i="4"/>
  <c r="AD98" i="4"/>
  <c r="AF87" i="4"/>
  <c r="AD100" i="4"/>
  <c r="W180" i="4"/>
  <c r="CX100" i="4"/>
  <c r="CX105" i="4" s="1"/>
  <c r="CX103" i="4"/>
  <c r="CH98" i="4"/>
  <c r="CM103" i="4"/>
  <c r="U197" i="4"/>
  <c r="U198" i="4"/>
  <c r="CH194" i="4"/>
  <c r="CH177" i="4"/>
  <c r="BI199" i="4"/>
  <c r="BI197" i="4"/>
  <c r="BI198" i="4"/>
  <c r="AT67" i="4"/>
  <c r="BW100" i="4"/>
  <c r="BW105" i="4" s="1"/>
  <c r="CF111" i="4"/>
  <c r="CF23" i="4" s="1"/>
  <c r="CE23" i="4"/>
  <c r="Z197" i="4"/>
  <c r="Z198" i="4"/>
  <c r="AZ180" i="4"/>
  <c r="AZ193" i="4"/>
  <c r="AZ178" i="4"/>
  <c r="BG100" i="4"/>
  <c r="BY36" i="4"/>
  <c r="BY123" i="4"/>
  <c r="BZ125" i="4"/>
  <c r="BZ127" i="4" s="1"/>
  <c r="BF125" i="4"/>
  <c r="BF127" i="4" s="1"/>
  <c r="BE123" i="4"/>
  <c r="BE36" i="4"/>
  <c r="AE40" i="4"/>
  <c r="AD42" i="4"/>
  <c r="BI67" i="4"/>
  <c r="BI71" i="4" s="1"/>
  <c r="BH71" i="4"/>
  <c r="CT100" i="4"/>
  <c r="CT105" i="4" s="1"/>
  <c r="BM178" i="4"/>
  <c r="BM193" i="4"/>
  <c r="BN140" i="4"/>
  <c r="CU194" i="4"/>
  <c r="CU177" i="4"/>
  <c r="CC191" i="4"/>
  <c r="BR180" i="4"/>
  <c r="BR193" i="4"/>
  <c r="BR178" i="4"/>
  <c r="AY123" i="4"/>
  <c r="BD121" i="4" s="1"/>
  <c r="BD131" i="4" s="1"/>
  <c r="CJ21" i="4"/>
  <c r="CK109" i="4"/>
  <c r="DB157" i="4"/>
  <c r="CM62" i="1"/>
  <c r="CW64" i="1"/>
  <c r="G21" i="26" s="1"/>
  <c r="AS175" i="1"/>
  <c r="AS171" i="1" s="1"/>
  <c r="AS178" i="1" s="1"/>
  <c r="AS169" i="1"/>
  <c r="AS165" i="1" s="1"/>
  <c r="AS177" i="1" s="1"/>
  <c r="CR64" i="1"/>
  <c r="F21" i="26" s="1"/>
  <c r="CW38" i="1"/>
  <c r="BQ141" i="1"/>
  <c r="BQ158" i="1" s="1"/>
  <c r="BS145" i="1"/>
  <c r="BS141" i="1" s="1"/>
  <c r="BS158" i="1" s="1"/>
  <c r="BO125" i="1"/>
  <c r="AP125" i="1"/>
  <c r="AR169" i="1"/>
  <c r="AR165" i="1" s="1"/>
  <c r="AR177" i="1" s="1"/>
  <c r="AR175" i="1"/>
  <c r="AR171" i="1" s="1"/>
  <c r="AR178" i="1" s="1"/>
  <c r="DH39" i="1"/>
  <c r="BQ146" i="1"/>
  <c r="BQ144" i="1" s="1"/>
  <c r="BQ136" i="1"/>
  <c r="AZ169" i="1"/>
  <c r="AZ165" i="1" s="1"/>
  <c r="AZ177" i="1" s="1"/>
  <c r="AZ175" i="1"/>
  <c r="AZ171" i="1" s="1"/>
  <c r="AZ178" i="1" s="1"/>
  <c r="AX92" i="1"/>
  <c r="AY92" i="1" s="1"/>
  <c r="CV168" i="4"/>
  <c r="CV166" i="4" s="1"/>
  <c r="CV140" i="4"/>
  <c r="DI21" i="1"/>
  <c r="AF175" i="1"/>
  <c r="AF169" i="1"/>
  <c r="AF165" i="1" s="1"/>
  <c r="AF177" i="1" s="1"/>
  <c r="AJ177" i="1" s="1"/>
  <c r="CV186" i="1"/>
  <c r="CV202" i="1"/>
  <c r="CX167" i="4"/>
  <c r="CX166" i="4" s="1"/>
  <c r="CX140" i="4"/>
  <c r="CX201" i="1"/>
  <c r="CX184" i="1"/>
  <c r="CT146" i="4"/>
  <c r="CT147" i="4"/>
  <c r="BC142" i="1"/>
  <c r="BY175" i="1"/>
  <c r="BY171" i="1" s="1"/>
  <c r="BY178" i="1" s="1"/>
  <c r="BY169" i="1"/>
  <c r="BY165" i="1" s="1"/>
  <c r="BY177" i="1" s="1"/>
  <c r="CD78" i="1"/>
  <c r="CW40" i="1"/>
  <c r="CZ23" i="1"/>
  <c r="CZ172" i="4"/>
  <c r="AY202" i="1"/>
  <c r="AY186" i="1"/>
  <c r="R142" i="1"/>
  <c r="R159" i="1" s="1"/>
  <c r="AR136" i="1"/>
  <c r="AR146" i="1"/>
  <c r="AR144" i="1" s="1"/>
  <c r="Q169" i="1"/>
  <c r="Q165" i="1" s="1"/>
  <c r="Q177" i="1" s="1"/>
  <c r="Q125" i="1"/>
  <c r="CC172" i="1"/>
  <c r="DI143" i="4"/>
  <c r="DD169" i="4"/>
  <c r="CX33" i="1"/>
  <c r="CX53" i="1"/>
  <c r="CV146" i="4"/>
  <c r="CV147" i="4"/>
  <c r="CF146" i="1"/>
  <c r="CF136" i="1"/>
  <c r="BE169" i="1"/>
  <c r="BE165" i="1" s="1"/>
  <c r="BE177" i="1" s="1"/>
  <c r="BE175" i="1"/>
  <c r="BE171" i="1" s="1"/>
  <c r="BE178" i="1" s="1"/>
  <c r="CP146" i="4"/>
  <c r="CP147" i="4"/>
  <c r="CS158" i="1"/>
  <c r="AK142" i="1"/>
  <c r="AK159" i="1" s="1"/>
  <c r="AP169" i="1"/>
  <c r="AP165" i="1" s="1"/>
  <c r="AP177" i="1" s="1"/>
  <c r="AP175" i="1"/>
  <c r="BE125" i="1"/>
  <c r="AZ125" i="1"/>
  <c r="CD144" i="1"/>
  <c r="CD141" i="1"/>
  <c r="AJ172" i="1"/>
  <c r="AM142" i="1"/>
  <c r="CX147" i="4"/>
  <c r="CX146" i="4"/>
  <c r="BD172" i="1"/>
  <c r="DD46" i="4"/>
  <c r="DD28" i="1"/>
  <c r="AC75" i="4"/>
  <c r="AC78" i="4" s="1"/>
  <c r="AC79" i="4" s="1"/>
  <c r="AC81" i="4" s="1"/>
  <c r="AL72" i="1"/>
  <c r="AM78" i="1"/>
  <c r="DD39" i="1"/>
  <c r="BH169" i="1"/>
  <c r="BH165" i="1" s="1"/>
  <c r="BD195" i="1"/>
  <c r="DD23" i="1"/>
  <c r="DE22" i="1"/>
  <c r="DE46" i="4" s="1"/>
  <c r="AA147" i="4"/>
  <c r="CM98" i="1"/>
  <c r="DL13" i="1"/>
  <c r="AC78" i="1"/>
  <c r="AR72" i="1"/>
  <c r="AM80" i="1"/>
  <c r="DD62" i="1"/>
  <c r="DF21" i="1"/>
  <c r="BD146" i="1"/>
  <c r="BD142" i="1" s="1"/>
  <c r="BD184" i="1"/>
  <c r="DJ15" i="1"/>
  <c r="BG140" i="1"/>
  <c r="BG157" i="1" s="1"/>
  <c r="DL19" i="1"/>
  <c r="DL20" i="1" s="1"/>
  <c r="DH21" i="1"/>
  <c r="CI140" i="1"/>
  <c r="CI157" i="1" s="1"/>
  <c r="DK21" i="1"/>
  <c r="DD88" i="4"/>
  <c r="DD28" i="8" s="1"/>
  <c r="DD101" i="8" s="1"/>
  <c r="DE21" i="1"/>
  <c r="BD186" i="1"/>
  <c r="BI201" i="1"/>
  <c r="BA146" i="4"/>
  <c r="BA147" i="4"/>
  <c r="CW32" i="1"/>
  <c r="CW33" i="1" s="1"/>
  <c r="CW27" i="1"/>
  <c r="DD37" i="1"/>
  <c r="DD46" i="1" s="1"/>
  <c r="DF38" i="1"/>
  <c r="BQ146" i="4"/>
  <c r="CM37" i="1"/>
  <c r="CM40" i="1" s="1"/>
  <c r="BQ54" i="1"/>
  <c r="CT54" i="1"/>
  <c r="CL38" i="1"/>
  <c r="CU166" i="4"/>
  <c r="CT66" i="1"/>
  <c r="O75" i="1"/>
  <c r="O81" i="1" s="1"/>
  <c r="P53" i="1"/>
  <c r="CL40" i="1"/>
  <c r="CY33" i="1"/>
  <c r="CY53" i="1"/>
  <c r="CY66" i="1" s="1"/>
  <c r="BW175" i="1"/>
  <c r="BW171" i="1" s="1"/>
  <c r="BW178" i="1" s="1"/>
  <c r="BW169" i="1"/>
  <c r="BW165" i="1" s="1"/>
  <c r="BW177" i="1" s="1"/>
  <c r="CC103" i="1"/>
  <c r="CC102" i="1" s="1"/>
  <c r="CB91" i="1"/>
  <c r="CC91" i="1" s="1"/>
  <c r="BB142" i="1"/>
  <c r="T175" i="1"/>
  <c r="T171" i="1" s="1"/>
  <c r="T178" i="1" s="1"/>
  <c r="T169" i="1"/>
  <c r="T165" i="1" s="1"/>
  <c r="T177" i="1" s="1"/>
  <c r="AZ140" i="1"/>
  <c r="AZ157" i="1" s="1"/>
  <c r="BF142" i="1"/>
  <c r="BF144" i="1"/>
  <c r="AM72" i="1"/>
  <c r="AM75" i="1"/>
  <c r="AM81" i="1" s="1"/>
  <c r="AS53" i="1"/>
  <c r="AS66" i="1" s="1"/>
  <c r="AS72" i="1" s="1"/>
  <c r="AL75" i="1"/>
  <c r="AL81" i="1" s="1"/>
  <c r="AS147" i="4"/>
  <c r="AE40" i="1"/>
  <c r="AM146" i="4"/>
  <c r="AM147" i="4"/>
  <c r="DI142" i="4"/>
  <c r="CM64" i="1"/>
  <c r="E21" i="26" s="1"/>
  <c r="BL66" i="1"/>
  <c r="AK53" i="1"/>
  <c r="AK66" i="1" s="1"/>
  <c r="AK72" i="1" s="1"/>
  <c r="BJ66" i="1"/>
  <c r="BJ75" i="1" s="1"/>
  <c r="BJ79" i="1" s="1"/>
  <c r="CA147" i="4"/>
  <c r="AK147" i="4"/>
  <c r="BV147" i="4"/>
  <c r="BV146" i="4"/>
  <c r="BE54" i="1"/>
  <c r="BE66" i="1"/>
  <c r="AA146" i="4"/>
  <c r="BQ147" i="4"/>
  <c r="AG79" i="1"/>
  <c r="AP81" i="1"/>
  <c r="BE147" i="4"/>
  <c r="BE146" i="4"/>
  <c r="AJ40" i="1"/>
  <c r="AI53" i="1"/>
  <c r="AI66" i="1" s="1"/>
  <c r="AA75" i="1"/>
  <c r="AA81" i="1" s="1"/>
  <c r="AI146" i="4"/>
  <c r="CJ146" i="4"/>
  <c r="CI147" i="4"/>
  <c r="CI53" i="1"/>
  <c r="CI54" i="1" s="1"/>
  <c r="CI146" i="4"/>
  <c r="BO146" i="4"/>
  <c r="BO147" i="4"/>
  <c r="BE79" i="4"/>
  <c r="BE81" i="4" s="1"/>
  <c r="I177" i="1"/>
  <c r="BD166" i="4"/>
  <c r="CE140" i="1"/>
  <c r="CE157" i="1" s="1"/>
  <c r="CK144" i="1"/>
  <c r="CS97" i="1"/>
  <c r="CT97" i="1" s="1"/>
  <c r="BD140" i="4"/>
  <c r="U140" i="4"/>
  <c r="BD202" i="1"/>
  <c r="BC147" i="4"/>
  <c r="CP98" i="1"/>
  <c r="CP90" i="1" s="1"/>
  <c r="BI186" i="1"/>
  <c r="Z169" i="1"/>
  <c r="Z195" i="1"/>
  <c r="AB76" i="1" s="1"/>
  <c r="AE76" i="1" s="1"/>
  <c r="AK78" i="4"/>
  <c r="Z201" i="1"/>
  <c r="BS40" i="1"/>
  <c r="BS38" i="1"/>
  <c r="BC53" i="1"/>
  <c r="BO66" i="1"/>
  <c r="BO54" i="1"/>
  <c r="Y72" i="1"/>
  <c r="Y75" i="1"/>
  <c r="BH146" i="4"/>
  <c r="BH147" i="4"/>
  <c r="BH53" i="1"/>
  <c r="DJ143" i="4"/>
  <c r="DE169" i="4"/>
  <c r="AX40" i="1"/>
  <c r="AX46" i="1"/>
  <c r="AY46" i="1" s="1"/>
  <c r="AX38" i="1"/>
  <c r="BR38" i="1"/>
  <c r="BR40" i="1"/>
  <c r="BR46" i="1"/>
  <c r="Q81" i="1"/>
  <c r="Q79" i="1"/>
  <c r="BW38" i="1"/>
  <c r="BX37" i="1"/>
  <c r="BW40" i="1"/>
  <c r="BW46" i="1"/>
  <c r="BY146" i="4"/>
  <c r="BY147" i="4"/>
  <c r="BY53" i="1"/>
  <c r="CN54" i="1"/>
  <c r="CN66" i="1"/>
  <c r="CN57" i="1"/>
  <c r="CD147" i="4"/>
  <c r="CD146" i="4"/>
  <c r="CH29" i="1"/>
  <c r="X140" i="1"/>
  <c r="X157" i="1" s="1"/>
  <c r="X159" i="1"/>
  <c r="AH159" i="1"/>
  <c r="AH140" i="1"/>
  <c r="AH157" i="1" s="1"/>
  <c r="BS186" i="1"/>
  <c r="BK142" i="1"/>
  <c r="BK159" i="1" s="1"/>
  <c r="L158" i="1"/>
  <c r="L140" i="1"/>
  <c r="L157" i="1" s="1"/>
  <c r="CV54" i="1"/>
  <c r="CV66" i="1"/>
  <c r="CV75" i="1" s="1"/>
  <c r="CV57" i="1"/>
  <c r="CK147" i="4"/>
  <c r="CK146" i="4"/>
  <c r="BS168" i="4"/>
  <c r="BS166" i="4" s="1"/>
  <c r="BS140" i="4"/>
  <c r="CA141" i="1"/>
  <c r="CC145" i="1"/>
  <c r="CC141" i="1" s="1"/>
  <c r="CC158" i="1" s="1"/>
  <c r="CA144" i="1"/>
  <c r="CJ53" i="1"/>
  <c r="CM46" i="1"/>
  <c r="Y140" i="1"/>
  <c r="Y157" i="1" s="1"/>
  <c r="Y159" i="1"/>
  <c r="BU159" i="1"/>
  <c r="BU140" i="1"/>
  <c r="BU157" i="1" s="1"/>
  <c r="CH38" i="1"/>
  <c r="CH40" i="1"/>
  <c r="AT46" i="1"/>
  <c r="AQ146" i="4"/>
  <c r="AQ53" i="1"/>
  <c r="AQ147" i="4"/>
  <c r="CT159" i="1"/>
  <c r="CT140" i="1"/>
  <c r="CJ158" i="1"/>
  <c r="CJ140" i="1"/>
  <c r="CJ157" i="1" s="1"/>
  <c r="AA165" i="1"/>
  <c r="CE147" i="4"/>
  <c r="CE53" i="1"/>
  <c r="CE146" i="4"/>
  <c r="M165" i="1"/>
  <c r="P169" i="1"/>
  <c r="X144" i="1"/>
  <c r="Z146" i="1"/>
  <c r="Z142" i="1" s="1"/>
  <c r="J140" i="1"/>
  <c r="J157" i="1" s="1"/>
  <c r="AB178" i="1"/>
  <c r="CH189" i="1"/>
  <c r="CC189" i="1"/>
  <c r="AT167" i="4"/>
  <c r="AT166" i="4" s="1"/>
  <c r="AT140" i="4"/>
  <c r="AO38" i="1"/>
  <c r="AO40" i="1"/>
  <c r="I72" i="1"/>
  <c r="CG76" i="1" s="1"/>
  <c r="I75" i="1"/>
  <c r="K66" i="1"/>
  <c r="K72" i="1" s="1"/>
  <c r="AJ46" i="1"/>
  <c r="AH146" i="4"/>
  <c r="AH53" i="1"/>
  <c r="AH66" i="1" s="1"/>
  <c r="CP159" i="1"/>
  <c r="CP140" i="1"/>
  <c r="CP157" i="1" s="1"/>
  <c r="AK158" i="1"/>
  <c r="AT38" i="1"/>
  <c r="AT40" i="1"/>
  <c r="CT144" i="1"/>
  <c r="CW146" i="1"/>
  <c r="CW142" i="1" s="1"/>
  <c r="CW159" i="1" s="1"/>
  <c r="AJ146" i="1"/>
  <c r="AJ142" i="1" s="1"/>
  <c r="AH144" i="1"/>
  <c r="AO186" i="1"/>
  <c r="AO202" i="1"/>
  <c r="AT202" i="1"/>
  <c r="CK53" i="1"/>
  <c r="BX189" i="1"/>
  <c r="BS189" i="1"/>
  <c r="AU54" i="1"/>
  <c r="AU66" i="1"/>
  <c r="AU75" i="1" s="1"/>
  <c r="I142" i="1"/>
  <c r="I140" i="1" s="1"/>
  <c r="I157" i="1" s="1"/>
  <c r="BS202" i="1"/>
  <c r="CH169" i="4"/>
  <c r="CH166" i="4" s="1"/>
  <c r="CH140" i="4"/>
  <c r="DK16" i="1"/>
  <c r="DP16" i="1" s="1"/>
  <c r="DH18" i="1"/>
  <c r="DF18" i="1"/>
  <c r="DG16" i="1"/>
  <c r="DG17" i="1" s="1"/>
  <c r="DF22" i="1"/>
  <c r="AB81" i="1"/>
  <c r="AI159" i="1"/>
  <c r="AI140" i="1"/>
  <c r="AI157" i="1" s="1"/>
  <c r="AY40" i="1"/>
  <c r="AY38" i="1"/>
  <c r="DI23" i="1"/>
  <c r="CR27" i="1"/>
  <c r="CR32" i="1"/>
  <c r="CR33" i="1" s="1"/>
  <c r="CB169" i="4"/>
  <c r="CB166" i="4" s="1"/>
  <c r="CB140" i="4"/>
  <c r="AN146" i="4"/>
  <c r="AO46" i="1"/>
  <c r="AN147" i="4"/>
  <c r="BN40" i="1"/>
  <c r="BN38" i="1"/>
  <c r="BD46" i="1"/>
  <c r="AZ146" i="4"/>
  <c r="AZ53" i="1"/>
  <c r="AZ147" i="4"/>
  <c r="BZ146" i="4"/>
  <c r="BZ147" i="4"/>
  <c r="BE158" i="1"/>
  <c r="BE140" i="1"/>
  <c r="BE157" i="1" s="1"/>
  <c r="CJ162" i="1"/>
  <c r="CI166" i="1"/>
  <c r="R158" i="1"/>
  <c r="DH145" i="4"/>
  <c r="CQ23" i="1"/>
  <c r="CN24" i="1"/>
  <c r="CL23" i="1"/>
  <c r="CL24" i="1"/>
  <c r="CL44" i="1"/>
  <c r="CL174" i="4"/>
  <c r="CL32" i="1"/>
  <c r="CL173" i="4"/>
  <c r="CL185" i="1"/>
  <c r="CL145" i="4"/>
  <c r="CL183" i="1"/>
  <c r="CM22" i="1"/>
  <c r="CO172" i="4" s="1"/>
  <c r="CL141" i="4"/>
  <c r="CL142" i="4"/>
  <c r="CL168" i="4" s="1"/>
  <c r="CL106" i="4"/>
  <c r="CL172" i="4"/>
  <c r="DJ10" i="1"/>
  <c r="DO10" i="1" s="1"/>
  <c r="DO12" i="1" s="1"/>
  <c r="DE12" i="1"/>
  <c r="DG10" i="1"/>
  <c r="DG11" i="1" s="1"/>
  <c r="DF12" i="1"/>
  <c r="AC146" i="4"/>
  <c r="AC53" i="1"/>
  <c r="AC147" i="4"/>
  <c r="AE46" i="1"/>
  <c r="BK146" i="4"/>
  <c r="BK147" i="4"/>
  <c r="BN46" i="1"/>
  <c r="M72" i="1"/>
  <c r="M75" i="1"/>
  <c r="BD40" i="1"/>
  <c r="BD38" i="1"/>
  <c r="AU144" i="1"/>
  <c r="AU142" i="1"/>
  <c r="AN53" i="1"/>
  <c r="AZ90" i="1"/>
  <c r="BD98" i="1"/>
  <c r="BD97" i="1" s="1"/>
  <c r="BT90" i="1"/>
  <c r="CM14" i="1"/>
  <c r="CR14" i="1"/>
  <c r="CR169" i="4"/>
  <c r="CR166" i="4" s="1"/>
  <c r="CR140" i="4"/>
  <c r="BP111" i="8" s="1"/>
  <c r="BP112" i="8" s="1"/>
  <c r="BP76" i="1" s="1"/>
  <c r="CC143" i="4"/>
  <c r="AF89" i="1"/>
  <c r="AF92" i="1" s="1"/>
  <c r="AD53" i="1"/>
  <c r="AD66" i="1" s="1"/>
  <c r="AD146" i="4"/>
  <c r="AD147" i="4"/>
  <c r="DA24" i="1"/>
  <c r="DA23" i="1"/>
  <c r="DB22" i="1"/>
  <c r="Q144" i="1"/>
  <c r="Q142" i="1"/>
  <c r="U146" i="1"/>
  <c r="U142" i="1" s="1"/>
  <c r="CG140" i="4"/>
  <c r="AN144" i="1"/>
  <c r="AO146" i="1"/>
  <c r="AO142" i="1" s="1"/>
  <c r="AN142" i="1"/>
  <c r="DE142" i="4"/>
  <c r="CZ168" i="4"/>
  <c r="CZ166" i="4" s="1"/>
  <c r="AV53" i="1"/>
  <c r="AV147" i="4"/>
  <c r="AV146" i="4"/>
  <c r="BU54" i="1"/>
  <c r="BU66" i="1"/>
  <c r="BS201" i="1"/>
  <c r="BS184" i="1"/>
  <c r="BN195" i="1"/>
  <c r="BI202" i="1"/>
  <c r="BI167" i="4"/>
  <c r="BI166" i="4" s="1"/>
  <c r="BI140" i="4"/>
  <c r="BI184" i="1"/>
  <c r="BN184" i="1"/>
  <c r="BI195" i="1"/>
  <c r="BN201" i="1"/>
  <c r="BN186" i="1"/>
  <c r="BI196" i="1"/>
  <c r="BN202" i="1"/>
  <c r="AO201" i="1"/>
  <c r="AO195" i="1"/>
  <c r="AT184" i="1"/>
  <c r="AO184" i="1"/>
  <c r="AT201" i="1"/>
  <c r="CO159" i="1"/>
  <c r="CO140" i="1"/>
  <c r="CO157" i="1" s="1"/>
  <c r="CL159" i="1"/>
  <c r="CL140" i="1"/>
  <c r="CL157" i="1" s="1"/>
  <c r="BZ142" i="1"/>
  <c r="AW159" i="1"/>
  <c r="AW140" i="1"/>
  <c r="AW157" i="1" s="1"/>
  <c r="CV158" i="1"/>
  <c r="CV140" i="1"/>
  <c r="CV157" i="1" s="1"/>
  <c r="BB171" i="1"/>
  <c r="BG147" i="4"/>
  <c r="BI46" i="1"/>
  <c r="BG146" i="4"/>
  <c r="BG53" i="1"/>
  <c r="BA140" i="1"/>
  <c r="BA157" i="1" s="1"/>
  <c r="BA159" i="1"/>
  <c r="BV159" i="1"/>
  <c r="BV140" i="1"/>
  <c r="BV157" i="1" s="1"/>
  <c r="BI40" i="1"/>
  <c r="BI38" i="1"/>
  <c r="BV144" i="1"/>
  <c r="AP142" i="1"/>
  <c r="BL142" i="1"/>
  <c r="BL140" i="1" s="1"/>
  <c r="BL157" i="1" s="1"/>
  <c r="CK158" i="1"/>
  <c r="CK140" i="1"/>
  <c r="CK157" i="1" s="1"/>
  <c r="CL144" i="1"/>
  <c r="CM146" i="1"/>
  <c r="CM142" i="1" s="1"/>
  <c r="CO144" i="1"/>
  <c r="U189" i="1"/>
  <c r="Z189" i="1"/>
  <c r="AJ184" i="1"/>
  <c r="CT58" i="1"/>
  <c r="CT67" i="1"/>
  <c r="BA66" i="1"/>
  <c r="BA75" i="1" s="1"/>
  <c r="BA54" i="1"/>
  <c r="P167" i="4"/>
  <c r="P166" i="4" s="1"/>
  <c r="P140" i="4"/>
  <c r="T66" i="1"/>
  <c r="U53" i="1"/>
  <c r="L72" i="1"/>
  <c r="L75" i="1"/>
  <c r="P66" i="1"/>
  <c r="DI39" i="1"/>
  <c r="DI62" i="1"/>
  <c r="DI37" i="1"/>
  <c r="DI43" i="1"/>
  <c r="DI88" i="4"/>
  <c r="DI28" i="8" s="1"/>
  <c r="CW195" i="1"/>
  <c r="CW230" i="1"/>
  <c r="AE184" i="1"/>
  <c r="AE195" i="1"/>
  <c r="AE201" i="1"/>
  <c r="W66" i="1"/>
  <c r="Z53" i="1"/>
  <c r="BK66" i="1"/>
  <c r="BK54" i="1"/>
  <c r="BZ66" i="1"/>
  <c r="BZ54" i="1"/>
  <c r="DC101" i="8"/>
  <c r="DC74" i="8"/>
  <c r="CP57" i="1"/>
  <c r="CP66" i="1"/>
  <c r="CP54" i="1"/>
  <c r="DI46" i="4"/>
  <c r="AE196" i="1"/>
  <c r="AJ186" i="1"/>
  <c r="AJ202" i="1"/>
  <c r="BT186" i="1"/>
  <c r="BU186" i="1"/>
  <c r="BX185" i="1"/>
  <c r="BY202" i="1"/>
  <c r="BT202" i="1"/>
  <c r="CB184" i="1"/>
  <c r="CF201" i="1"/>
  <c r="V78" i="1"/>
  <c r="Q171" i="1"/>
  <c r="BP142" i="1"/>
  <c r="BP144" i="1"/>
  <c r="BT184" i="1"/>
  <c r="BX183" i="1"/>
  <c r="BU184" i="1"/>
  <c r="BY201" i="1"/>
  <c r="BT201" i="1"/>
  <c r="CG53" i="1"/>
  <c r="CH46" i="1"/>
  <c r="CG146" i="4"/>
  <c r="CG147" i="4"/>
  <c r="CA167" i="4"/>
  <c r="CA166" i="4" s="1"/>
  <c r="CA140" i="4"/>
  <c r="CA202" i="1"/>
  <c r="CB186" i="1"/>
  <c r="CF202" i="1"/>
  <c r="BV202" i="1"/>
  <c r="BW186" i="1"/>
  <c r="BV186" i="1"/>
  <c r="CA201" i="1"/>
  <c r="BV184" i="1"/>
  <c r="BV201" i="1"/>
  <c r="BW184" i="1"/>
  <c r="CG141" i="1"/>
  <c r="CG144" i="1"/>
  <c r="CH145" i="1"/>
  <c r="CH141" i="1" s="1"/>
  <c r="BH171" i="1"/>
  <c r="CD53" i="1"/>
  <c r="CH32" i="1"/>
  <c r="CH33" i="1" s="1"/>
  <c r="CD33" i="1"/>
  <c r="BT167" i="4"/>
  <c r="BT166" i="4" s="1"/>
  <c r="BT140" i="4"/>
  <c r="CA33" i="1"/>
  <c r="CA53" i="1"/>
  <c r="CC32" i="1"/>
  <c r="CC33" i="1" s="1"/>
  <c r="BV33" i="1"/>
  <c r="BV53" i="1"/>
  <c r="BV165" i="1"/>
  <c r="V75" i="4"/>
  <c r="CX125" i="1"/>
  <c r="CU33" i="1"/>
  <c r="CU53" i="1"/>
  <c r="BT33" i="1"/>
  <c r="BT53" i="1"/>
  <c r="BX32" i="1"/>
  <c r="BX33" i="1" s="1"/>
  <c r="BV167" i="4"/>
  <c r="BV166" i="4" s="1"/>
  <c r="BV140" i="4"/>
  <c r="V80" i="1"/>
  <c r="CA184" i="1"/>
  <c r="BZ201" i="1"/>
  <c r="CE201" i="1"/>
  <c r="CC183" i="1"/>
  <c r="BZ184" i="1"/>
  <c r="AW20" i="8"/>
  <c r="AX20" i="8" s="1"/>
  <c r="AV25" i="8"/>
  <c r="BB89" i="4"/>
  <c r="BC29" i="8"/>
  <c r="BD29" i="8" s="1"/>
  <c r="BB33" i="8"/>
  <c r="BM15" i="8"/>
  <c r="BL25" i="8"/>
  <c r="CK103" i="4"/>
  <c r="CK100" i="4"/>
  <c r="CK90" i="4"/>
  <c r="CA100" i="4"/>
  <c r="AV100" i="4"/>
  <c r="AV105" i="4" s="1"/>
  <c r="AB100" i="4"/>
  <c r="AB90" i="4"/>
  <c r="CB144" i="1"/>
  <c r="CC144" i="1" s="1"/>
  <c r="CC147" i="1" s="1"/>
  <c r="CB142" i="1"/>
  <c r="CC146" i="1"/>
  <c r="CC142" i="1" s="1"/>
  <c r="CO35" i="1"/>
  <c r="CO53" i="1"/>
  <c r="CO33" i="1"/>
  <c r="CL151" i="4"/>
  <c r="CL152" i="4" s="1"/>
  <c r="CM152" i="4" s="1"/>
  <c r="CM154" i="4" s="1"/>
  <c r="CR151" i="4" s="1"/>
  <c r="CR154" i="4" s="1"/>
  <c r="CW151" i="4" s="1"/>
  <c r="CW154" i="4" s="1"/>
  <c r="DB151" i="4" s="1"/>
  <c r="DB154" i="4" s="1"/>
  <c r="DG151" i="4" s="1"/>
  <c r="DG154" i="4" s="1"/>
  <c r="DL151" i="4" s="1"/>
  <c r="DL154" i="4" s="1"/>
  <c r="DQ151" i="4" s="1"/>
  <c r="DQ154" i="4" s="1"/>
  <c r="CK183" i="4"/>
  <c r="CE21" i="4"/>
  <c r="CF109" i="4"/>
  <c r="CF21" i="4" s="1"/>
  <c r="CM42" i="8"/>
  <c r="CM88" i="8" s="1"/>
  <c r="J30" i="8"/>
  <c r="I33" i="8"/>
  <c r="O15" i="8"/>
  <c r="N25" i="8"/>
  <c r="BD45" i="8"/>
  <c r="BD91" i="8" s="1"/>
  <c r="BP47" i="8"/>
  <c r="AQ105" i="8"/>
  <c r="AQ108" i="1"/>
  <c r="CE100" i="8"/>
  <c r="CE102" i="8" s="1"/>
  <c r="CE47" i="8"/>
  <c r="BK36" i="4"/>
  <c r="BK123" i="4"/>
  <c r="BL125" i="4"/>
  <c r="BL127" i="4" s="1"/>
  <c r="N100" i="4"/>
  <c r="N105" i="4" s="1"/>
  <c r="BQ134" i="4"/>
  <c r="CK113" i="4"/>
  <c r="CJ25" i="4"/>
  <c r="AH178" i="1"/>
  <c r="AD30" i="8"/>
  <c r="AC33" i="8"/>
  <c r="BI21" i="8"/>
  <c r="BI67" i="8" s="1"/>
  <c r="J14" i="8"/>
  <c r="I25" i="8"/>
  <c r="CL100" i="4"/>
  <c r="CL90" i="4"/>
  <c r="CL103" i="4"/>
  <c r="CN103" i="4" s="1"/>
  <c r="BQ165" i="1"/>
  <c r="BK47" i="8"/>
  <c r="AO14" i="8"/>
  <c r="AO60" i="8" s="1"/>
  <c r="BK92" i="1"/>
  <c r="X15" i="8"/>
  <c r="Y15" i="8" s="1"/>
  <c r="W25" i="8"/>
  <c r="AE202" i="1"/>
  <c r="AE186" i="1"/>
  <c r="Z202" i="1"/>
  <c r="Z196" i="1"/>
  <c r="Z186" i="1"/>
  <c r="BZ202" i="1"/>
  <c r="CA186" i="1"/>
  <c r="BZ186" i="1"/>
  <c r="CE202" i="1"/>
  <c r="CC185" i="1"/>
  <c r="CR46" i="1"/>
  <c r="CQ147" i="4"/>
  <c r="CQ146" i="4"/>
  <c r="T76" i="1" s="1"/>
  <c r="BH30" i="8"/>
  <c r="BG33" i="8"/>
  <c r="Y29" i="8"/>
  <c r="Z29" i="8" s="1"/>
  <c r="X89" i="4"/>
  <c r="X33" i="8"/>
  <c r="AX18" i="8"/>
  <c r="BT122" i="4"/>
  <c r="CO202" i="1"/>
  <c r="CT186" i="1"/>
  <c r="CR185" i="1"/>
  <c r="CT202" i="1"/>
  <c r="CE25" i="4"/>
  <c r="CF113" i="4"/>
  <c r="CF25" i="4" s="1"/>
  <c r="DA183" i="4"/>
  <c r="DC151" i="4"/>
  <c r="DC154" i="4" s="1"/>
  <c r="DC159" i="4" s="1"/>
  <c r="BO122" i="4"/>
  <c r="T100" i="4"/>
  <c r="T103" i="4"/>
  <c r="T30" i="8"/>
  <c r="S33" i="8"/>
  <c r="AR101" i="8"/>
  <c r="AS28" i="8"/>
  <c r="AR88" i="4"/>
  <c r="AR106" i="4" s="1"/>
  <c r="AS17" i="8"/>
  <c r="AR25" i="8"/>
  <c r="CG14" i="8"/>
  <c r="AS100" i="4"/>
  <c r="AS103" i="4"/>
  <c r="AW33" i="8"/>
  <c r="AX30" i="8"/>
  <c r="CB100" i="4"/>
  <c r="AR100" i="4"/>
  <c r="AR103" i="4"/>
  <c r="BN146" i="1"/>
  <c r="BN142" i="1" s="1"/>
  <c r="BM142" i="1"/>
  <c r="DC30" i="8"/>
  <c r="DD30" i="4"/>
  <c r="DC31" i="8"/>
  <c r="CS67" i="1"/>
  <c r="BH18" i="8"/>
  <c r="BI18" i="8" s="1"/>
  <c r="BI64" i="8" s="1"/>
  <c r="BG25" i="8"/>
  <c r="CL136" i="4"/>
  <c r="CN136" i="4" s="1"/>
  <c r="AL177" i="1"/>
  <c r="BI15" i="8"/>
  <c r="BI61" i="8" s="1"/>
  <c r="CR41" i="8"/>
  <c r="CR87" i="8" s="1"/>
  <c r="CJ74" i="1"/>
  <c r="CK74" i="1" s="1"/>
  <c r="CL74" i="1" s="1"/>
  <c r="CN74" i="1" s="1"/>
  <c r="U90" i="1"/>
  <c r="T92" i="1"/>
  <c r="U92" i="1" s="1"/>
  <c r="S165" i="1"/>
  <c r="S177" i="1" s="1"/>
  <c r="CQ66" i="1"/>
  <c r="CQ57" i="1"/>
  <c r="CQ54" i="1"/>
  <c r="BA47" i="8"/>
  <c r="W103" i="4"/>
  <c r="Y12" i="8"/>
  <c r="BV125" i="4"/>
  <c r="BV127" i="4" s="1"/>
  <c r="BU123" i="4"/>
  <c r="BU36" i="4"/>
  <c r="CF100" i="4"/>
  <c r="AE194" i="4"/>
  <c r="CO140" i="4"/>
  <c r="CO167" i="4"/>
  <c r="CO166" i="4" s="1"/>
  <c r="AN30" i="8"/>
  <c r="AM33" i="8"/>
  <c r="BL89" i="4"/>
  <c r="BM29" i="8"/>
  <c r="BL33" i="8"/>
  <c r="BR21" i="8"/>
  <c r="BQ25" i="8"/>
  <c r="BC14" i="8"/>
  <c r="BB25" i="8"/>
  <c r="BP123" i="4"/>
  <c r="BP36" i="4"/>
  <c r="BQ125" i="4"/>
  <c r="BQ127" i="4" s="1"/>
  <c r="BZ100" i="4"/>
  <c r="BZ103" i="4"/>
  <c r="AW136" i="4"/>
  <c r="U30" i="8"/>
  <c r="U76" i="8" s="1"/>
  <c r="CQ24" i="8"/>
  <c r="CQ25" i="8" s="1"/>
  <c r="CP25" i="8"/>
  <c r="CE121" i="4"/>
  <c r="CE131" i="4" s="1"/>
  <c r="CD122" i="4"/>
  <c r="CD32" i="4"/>
  <c r="BJ122" i="4"/>
  <c r="BJ32" i="4"/>
  <c r="BK121" i="4"/>
  <c r="BK131" i="4" s="1"/>
  <c r="CG172" i="1"/>
  <c r="CI163" i="1"/>
  <c r="BA36" i="4"/>
  <c r="BA123" i="4"/>
  <c r="BB125" i="4"/>
  <c r="BB127" i="4" s="1"/>
  <c r="CF115" i="4"/>
  <c r="CF27" i="4" s="1"/>
  <c r="CE27" i="4"/>
  <c r="AY39" i="8"/>
  <c r="AY85" i="8" s="1"/>
  <c r="CF88" i="4"/>
  <c r="CF106" i="4" s="1"/>
  <c r="CF101" i="8"/>
  <c r="CG28" i="8"/>
  <c r="CH28" i="8" s="1"/>
  <c r="CF33" i="8"/>
  <c r="BW24" i="8"/>
  <c r="BV25" i="8"/>
  <c r="CG100" i="4"/>
  <c r="AW100" i="4"/>
  <c r="BM144" i="1"/>
  <c r="CB103" i="4"/>
  <c r="T21" i="8"/>
  <c r="AJ24" i="8"/>
  <c r="AJ70" i="8" s="1"/>
  <c r="CC90" i="1"/>
  <c r="AN20" i="8"/>
  <c r="AO20" i="8" s="1"/>
  <c r="AO66" i="8" s="1"/>
  <c r="AM25" i="8"/>
  <c r="CR40" i="1"/>
  <c r="CR38" i="1"/>
  <c r="BZ168" i="4"/>
  <c r="BZ166" i="4" s="1"/>
  <c r="BZ140" i="4"/>
  <c r="BA103" i="4"/>
  <c r="BA90" i="4"/>
  <c r="BF100" i="4"/>
  <c r="BF103" i="4"/>
  <c r="AQ100" i="4"/>
  <c r="AQ103" i="4"/>
  <c r="AQ90" i="4"/>
  <c r="CT201" i="1"/>
  <c r="CO201" i="1"/>
  <c r="CT184" i="1"/>
  <c r="CR183" i="1"/>
  <c r="CJ187" i="4"/>
  <c r="CJ190" i="4"/>
  <c r="DC102" i="1"/>
  <c r="DC103" i="1" s="1"/>
  <c r="DC91" i="1" s="1"/>
  <c r="BK103" i="4"/>
  <c r="AI100" i="4"/>
  <c r="O100" i="4"/>
  <c r="CA103" i="4"/>
  <c r="BR31" i="8"/>
  <c r="BQ33" i="8"/>
  <c r="CV16" i="8"/>
  <c r="CU25" i="8"/>
  <c r="S103" i="4"/>
  <c r="S100" i="4"/>
  <c r="CK114" i="4"/>
  <c r="CJ26" i="4"/>
  <c r="CE106" i="4"/>
  <c r="CE90" i="4"/>
  <c r="M100" i="4"/>
  <c r="M105" i="4" s="1"/>
  <c r="M90" i="4"/>
  <c r="BQ171" i="1"/>
  <c r="BS175" i="1"/>
  <c r="CK115" i="4"/>
  <c r="CJ27" i="4"/>
  <c r="CS72" i="1"/>
  <c r="CL17" i="8"/>
  <c r="CK25" i="8"/>
  <c r="CU135" i="4"/>
  <c r="AB103" i="4"/>
  <c r="W92" i="1"/>
  <c r="BC91" i="1"/>
  <c r="BD103" i="1"/>
  <c r="BD102" i="1" s="1"/>
  <c r="CF112" i="4"/>
  <c r="CF24" i="4" s="1"/>
  <c r="CE24" i="4"/>
  <c r="AG78" i="4"/>
  <c r="AG79" i="4" s="1"/>
  <c r="AG81" i="4" s="1"/>
  <c r="BC71" i="1"/>
  <c r="BD71" i="1" s="1"/>
  <c r="BD70" i="1"/>
  <c r="G80" i="1"/>
  <c r="BT71" i="1"/>
  <c r="BZ80" i="1"/>
  <c r="BZ75" i="4"/>
  <c r="CC70" i="1" s="1"/>
  <c r="BZ78" i="1"/>
  <c r="Q80" i="1"/>
  <c r="Q78" i="1"/>
  <c r="Q75" i="4"/>
  <c r="CA71" i="1"/>
  <c r="V79" i="1"/>
  <c r="V81" i="1"/>
  <c r="BL71" i="1"/>
  <c r="BN71" i="1" s="1"/>
  <c r="AS75" i="4"/>
  <c r="AS80" i="1"/>
  <c r="AS78" i="1"/>
  <c r="AT76" i="1"/>
  <c r="N80" i="1"/>
  <c r="N75" i="4"/>
  <c r="N78" i="1"/>
  <c r="BJ78" i="4"/>
  <c r="BN78" i="4" s="1"/>
  <c r="BN75" i="4"/>
  <c r="BY71" i="1"/>
  <c r="CB71" i="1"/>
  <c r="BN70" i="1"/>
  <c r="CK71" i="1"/>
  <c r="G78" i="1"/>
  <c r="CI78" i="1"/>
  <c r="CI75" i="4"/>
  <c r="CI80" i="1"/>
  <c r="AR79" i="1"/>
  <c r="AR81" i="1"/>
  <c r="BN80" i="1"/>
  <c r="BN78" i="1"/>
  <c r="BO75" i="4"/>
  <c r="BO78" i="1"/>
  <c r="BO80" i="1"/>
  <c r="CD71" i="1"/>
  <c r="BG71" i="1"/>
  <c r="BI70" i="1"/>
  <c r="BP71" i="1"/>
  <c r="BS70" i="1"/>
  <c r="AV71" i="1"/>
  <c r="AY70" i="1"/>
  <c r="BR71" i="1"/>
  <c r="CG71" i="1"/>
  <c r="CH70" i="1"/>
  <c r="R78" i="4"/>
  <c r="BQ71" i="1"/>
  <c r="BU71" i="1"/>
  <c r="BX70" i="1"/>
  <c r="AW71" i="1"/>
  <c r="CW236" i="1" l="1"/>
  <c r="Z175" i="1"/>
  <c r="DF142" i="4"/>
  <c r="DF168" i="4" s="1"/>
  <c r="DH28" i="1"/>
  <c r="DH62" i="1"/>
  <c r="AW66" i="1"/>
  <c r="AW75" i="1" s="1"/>
  <c r="Z171" i="1"/>
  <c r="CW224" i="1"/>
  <c r="DI24" i="1"/>
  <c r="S81" i="1"/>
  <c r="CW196" i="1"/>
  <c r="AO171" i="1"/>
  <c r="DH43" i="1"/>
  <c r="DH37" i="1"/>
  <c r="CW227" i="1"/>
  <c r="CW221" i="1" s="1"/>
  <c r="CW222" i="1" s="1"/>
  <c r="DA247" i="1" s="1"/>
  <c r="CW191" i="1"/>
  <c r="DH23" i="1"/>
  <c r="K175" i="1"/>
  <c r="CJ117" i="4"/>
  <c r="CC97" i="1"/>
  <c r="BX101" i="8"/>
  <c r="CT102" i="8"/>
  <c r="BN98" i="1"/>
  <c r="P40" i="8"/>
  <c r="P86" i="8" s="1"/>
  <c r="N101" i="1"/>
  <c r="O40" i="8"/>
  <c r="O101" i="1" s="1"/>
  <c r="BG103" i="1"/>
  <c r="BI101" i="1"/>
  <c r="BR13" i="8"/>
  <c r="BQ94" i="4"/>
  <c r="BQ110" i="8"/>
  <c r="AB117" i="4"/>
  <c r="AW117" i="4"/>
  <c r="BT105" i="8"/>
  <c r="J94" i="4"/>
  <c r="J110" i="8"/>
  <c r="J111" i="8" s="1"/>
  <c r="J112" i="8" s="1"/>
  <c r="O110" i="8"/>
  <c r="O111" i="8" s="1"/>
  <c r="O112" i="8" s="1"/>
  <c r="O94" i="4"/>
  <c r="O95" i="4" s="1"/>
  <c r="O104" i="4" s="1"/>
  <c r="P13" i="8"/>
  <c r="AQ105" i="4"/>
  <c r="AW105" i="4"/>
  <c r="AB105" i="4"/>
  <c r="AH43" i="8"/>
  <c r="AT43" i="8"/>
  <c r="AT89" i="8" s="1"/>
  <c r="BL92" i="1"/>
  <c r="BN92" i="1" s="1"/>
  <c r="O117" i="4"/>
  <c r="BH101" i="1"/>
  <c r="BH103" i="1" s="1"/>
  <c r="BH91" i="1" s="1"/>
  <c r="BI40" i="8"/>
  <c r="BI86" i="8" s="1"/>
  <c r="BN96" i="1"/>
  <c r="CK94" i="4"/>
  <c r="CK105" i="4" s="1"/>
  <c r="CK110" i="8"/>
  <c r="CK111" i="8" s="1"/>
  <c r="CK112" i="8" s="1"/>
  <c r="CL13" i="8"/>
  <c r="CJ105" i="4"/>
  <c r="BP95" i="4"/>
  <c r="BP104" i="4" s="1"/>
  <c r="BP117" i="4"/>
  <c r="K13" i="8"/>
  <c r="Z42" i="4"/>
  <c r="Y71" i="4"/>
  <c r="AO40" i="4"/>
  <c r="AN42" i="4"/>
  <c r="CM100" i="4"/>
  <c r="CC100" i="4"/>
  <c r="N193" i="4"/>
  <c r="V90" i="4"/>
  <c r="DD140" i="4"/>
  <c r="O42" i="4"/>
  <c r="O71" i="4" s="1"/>
  <c r="DL31" i="4"/>
  <c r="DB30" i="8"/>
  <c r="DB76" i="8" s="1"/>
  <c r="Z174" i="4"/>
  <c r="DD14" i="4"/>
  <c r="DD173" i="4" s="1"/>
  <c r="CE22" i="4"/>
  <c r="W178" i="4"/>
  <c r="CP178" i="4"/>
  <c r="CL194" i="4"/>
  <c r="Z40" i="4"/>
  <c r="CL180" i="4"/>
  <c r="AT174" i="4"/>
  <c r="CQ110" i="4"/>
  <c r="BS178" i="4"/>
  <c r="AT40" i="4"/>
  <c r="AS42" i="4"/>
  <c r="BD100" i="4"/>
  <c r="BD98" i="4"/>
  <c r="BD117" i="4" s="1"/>
  <c r="BN100" i="4"/>
  <c r="BN98" i="4"/>
  <c r="AX174" i="4"/>
  <c r="BC174" i="4"/>
  <c r="CM98" i="4"/>
  <c r="CR87" i="4"/>
  <c r="CR100" i="4" s="1"/>
  <c r="AI174" i="4"/>
  <c r="AD174" i="4"/>
  <c r="P178" i="1"/>
  <c r="DA167" i="4"/>
  <c r="DA166" i="4" s="1"/>
  <c r="CY72" i="1"/>
  <c r="CY75" i="1"/>
  <c r="CT125" i="1"/>
  <c r="CC178" i="1"/>
  <c r="O79" i="1"/>
  <c r="CM144" i="1"/>
  <c r="CM147" i="1" s="1"/>
  <c r="BX203" i="4"/>
  <c r="CC186" i="4"/>
  <c r="CC177" i="4"/>
  <c r="X105" i="4"/>
  <c r="BN180" i="4"/>
  <c r="BK105" i="4"/>
  <c r="DF167" i="4"/>
  <c r="BD174" i="4"/>
  <c r="CF125" i="4"/>
  <c r="CF127" i="4" s="1"/>
  <c r="CQ193" i="4"/>
  <c r="CQ180" i="4"/>
  <c r="BN101" i="1"/>
  <c r="AO92" i="1"/>
  <c r="CY180" i="4"/>
  <c r="AE103" i="4"/>
  <c r="Y117" i="4"/>
  <c r="DH142" i="4"/>
  <c r="DM142" i="4" s="1"/>
  <c r="DM168" i="4" s="1"/>
  <c r="Y105" i="4"/>
  <c r="BX174" i="4"/>
  <c r="AZ122" i="4"/>
  <c r="R193" i="4"/>
  <c r="BP121" i="4"/>
  <c r="BP131" i="4" s="1"/>
  <c r="BU121" i="4"/>
  <c r="BU131" i="4" s="1"/>
  <c r="BA121" i="4"/>
  <c r="BA131" i="4" s="1"/>
  <c r="R180" i="4"/>
  <c r="BX180" i="4"/>
  <c r="CR174" i="4"/>
  <c r="AO174" i="4"/>
  <c r="X95" i="4"/>
  <c r="X104" i="4" s="1"/>
  <c r="DC168" i="4"/>
  <c r="CT90" i="4"/>
  <c r="BX178" i="4"/>
  <c r="BN193" i="4"/>
  <c r="BN174" i="4"/>
  <c r="BK117" i="4"/>
  <c r="AY203" i="4"/>
  <c r="CF66" i="1"/>
  <c r="CF75" i="1" s="1"/>
  <c r="CF81" i="1" s="1"/>
  <c r="CC175" i="1"/>
  <c r="DQ13" i="1"/>
  <c r="DQ14" i="1" s="1"/>
  <c r="DC27" i="1"/>
  <c r="AE171" i="1"/>
  <c r="BN103" i="1"/>
  <c r="DC30" i="1"/>
  <c r="BN177" i="1"/>
  <c r="CC171" i="1"/>
  <c r="P171" i="1"/>
  <c r="CC46" i="1"/>
  <c r="CC191" i="1" s="1"/>
  <c r="CW166" i="4"/>
  <c r="BN91" i="1"/>
  <c r="DL14" i="1"/>
  <c r="AC140" i="1"/>
  <c r="AC157" i="1" s="1"/>
  <c r="AU108" i="1"/>
  <c r="AU105" i="8"/>
  <c r="CC75" i="8"/>
  <c r="AY89" i="4"/>
  <c r="AY103" i="4" s="1"/>
  <c r="AY75" i="8"/>
  <c r="BF90" i="4"/>
  <c r="BD105" i="4"/>
  <c r="CR110" i="8"/>
  <c r="CR111" i="8" s="1"/>
  <c r="CR112" i="8" s="1"/>
  <c r="CR94" i="4"/>
  <c r="CR105" i="4" s="1"/>
  <c r="CR59" i="8"/>
  <c r="CG36" i="8"/>
  <c r="CF43" i="8"/>
  <c r="CF96" i="1"/>
  <c r="CF98" i="1" s="1"/>
  <c r="CF90" i="1" s="1"/>
  <c r="CM97" i="1"/>
  <c r="CQ105" i="4"/>
  <c r="AJ38" i="8"/>
  <c r="AJ84" i="8" s="1"/>
  <c r="BD101" i="8"/>
  <c r="BD74" i="8"/>
  <c r="BD88" i="4"/>
  <c r="BD106" i="4" s="1"/>
  <c r="AN28" i="8"/>
  <c r="AO28" i="8" s="1"/>
  <c r="AM101" i="8"/>
  <c r="AM88" i="4"/>
  <c r="AM106" i="4" s="1"/>
  <c r="CU180" i="4"/>
  <c r="AI193" i="4"/>
  <c r="AI178" i="4"/>
  <c r="AI180" i="4"/>
  <c r="DP134" i="4"/>
  <c r="DP12" i="4"/>
  <c r="DL61" i="4"/>
  <c r="DM61" i="4"/>
  <c r="DN61" i="4" s="1"/>
  <c r="DO61" i="4" s="1"/>
  <c r="DP61" i="4" s="1"/>
  <c r="DQ61" i="4" s="1"/>
  <c r="BH193" i="4"/>
  <c r="BH178" i="4"/>
  <c r="BH180" i="4"/>
  <c r="AY191" i="4"/>
  <c r="AY179" i="4"/>
  <c r="AY186" i="4"/>
  <c r="U179" i="4"/>
  <c r="U186" i="4"/>
  <c r="U191" i="4"/>
  <c r="CR191" i="4"/>
  <c r="CR186" i="4"/>
  <c r="CR179" i="4"/>
  <c r="AO177" i="4"/>
  <c r="AO179" i="4"/>
  <c r="AO186" i="4"/>
  <c r="AO191" i="4"/>
  <c r="AJ67" i="4"/>
  <c r="AJ71" i="4" s="1"/>
  <c r="AI71" i="4"/>
  <c r="DL15" i="4"/>
  <c r="DM15" i="4"/>
  <c r="DN15" i="4" s="1"/>
  <c r="DO15" i="4" s="1"/>
  <c r="DP15" i="4" s="1"/>
  <c r="DQ15" i="4" s="1"/>
  <c r="CU178" i="4"/>
  <c r="BD123" i="4"/>
  <c r="BI121" i="4" s="1"/>
  <c r="BI131" i="4" s="1"/>
  <c r="BD179" i="4"/>
  <c r="BD191" i="4"/>
  <c r="BD186" i="4"/>
  <c r="BD177" i="4"/>
  <c r="U203" i="4"/>
  <c r="AN180" i="4"/>
  <c r="AN193" i="4"/>
  <c r="AN178" i="4"/>
  <c r="DP18" i="1"/>
  <c r="DP22" i="1"/>
  <c r="DP13" i="4" s="1"/>
  <c r="DI14" i="4"/>
  <c r="DN142" i="4"/>
  <c r="DM22" i="1"/>
  <c r="DN24" i="1" s="1"/>
  <c r="DQ19" i="1"/>
  <c r="DQ20" i="1" s="1"/>
  <c r="DM21" i="1"/>
  <c r="DN21" i="1"/>
  <c r="DN12" i="1"/>
  <c r="DQ10" i="1"/>
  <c r="DP15" i="1"/>
  <c r="DO22" i="1"/>
  <c r="DO13" i="4" s="1"/>
  <c r="DO21" i="1"/>
  <c r="DP21" i="1"/>
  <c r="DH46" i="4"/>
  <c r="DM145" i="4"/>
  <c r="DN88" i="4"/>
  <c r="DN28" i="8" s="1"/>
  <c r="DN39" i="1"/>
  <c r="DN43" i="1"/>
  <c r="DN26" i="1"/>
  <c r="DN32" i="1" s="1"/>
  <c r="DN23" i="1"/>
  <c r="DN28" i="1"/>
  <c r="DN55" i="1" s="1"/>
  <c r="DN16" i="8" s="1"/>
  <c r="DN37" i="1"/>
  <c r="DN62" i="1"/>
  <c r="DN46" i="4"/>
  <c r="DP12" i="1"/>
  <c r="CX231" i="1"/>
  <c r="DO167" i="4"/>
  <c r="CY231" i="1"/>
  <c r="CX219" i="1"/>
  <c r="DP167" i="4"/>
  <c r="DI169" i="4"/>
  <c r="DN143" i="4"/>
  <c r="DH169" i="4"/>
  <c r="DM143" i="4"/>
  <c r="CW233" i="1"/>
  <c r="DQ16" i="1"/>
  <c r="DM18" i="1"/>
  <c r="DN18" i="1"/>
  <c r="DJ169" i="4"/>
  <c r="DO143" i="4"/>
  <c r="DK169" i="4"/>
  <c r="DP143" i="4"/>
  <c r="CY219" i="1"/>
  <c r="CW140" i="4"/>
  <c r="CJ76" i="1" s="1"/>
  <c r="P174" i="4"/>
  <c r="U174" i="4"/>
  <c r="U97" i="1"/>
  <c r="BK90" i="4"/>
  <c r="BZ90" i="4"/>
  <c r="R105" i="4"/>
  <c r="AT97" i="1"/>
  <c r="BF105" i="4"/>
  <c r="AR105" i="4"/>
  <c r="BX105" i="4"/>
  <c r="BZ105" i="4"/>
  <c r="CY90" i="4"/>
  <c r="AD117" i="4"/>
  <c r="DC53" i="1"/>
  <c r="DC54" i="1" s="1"/>
  <c r="DC41" i="1"/>
  <c r="BD144" i="1"/>
  <c r="BD147" i="1" s="1"/>
  <c r="CT108" i="1"/>
  <c r="CT105" i="8"/>
  <c r="BF105" i="8"/>
  <c r="BF108" i="1"/>
  <c r="AT94" i="4"/>
  <c r="AT95" i="4" s="1"/>
  <c r="AT104" i="4" s="1"/>
  <c r="AT59" i="8"/>
  <c r="AT110" i="8"/>
  <c r="O29" i="8"/>
  <c r="O89" i="4" s="1"/>
  <c r="N89" i="4"/>
  <c r="AC180" i="4"/>
  <c r="AC193" i="4"/>
  <c r="AC178" i="4"/>
  <c r="CE180" i="4"/>
  <c r="CE193" i="4"/>
  <c r="CE178" i="4"/>
  <c r="BI146" i="1"/>
  <c r="BI142" i="1" s="1"/>
  <c r="Y25" i="8"/>
  <c r="AR33" i="8"/>
  <c r="AW25" i="8"/>
  <c r="Z71" i="4"/>
  <c r="P175" i="1"/>
  <c r="P174" i="1" s="1"/>
  <c r="AD36" i="8"/>
  <c r="AC96" i="1"/>
  <c r="AC98" i="1" s="1"/>
  <c r="AC90" i="1" s="1"/>
  <c r="AC92" i="1" s="1"/>
  <c r="BC71" i="4"/>
  <c r="BD67" i="4"/>
  <c r="BD71" i="4" s="1"/>
  <c r="T101" i="1"/>
  <c r="U101" i="1" s="1"/>
  <c r="U40" i="8"/>
  <c r="U86" i="8" s="1"/>
  <c r="S101" i="8"/>
  <c r="T28" i="8"/>
  <c r="T33" i="8" s="1"/>
  <c r="U33" i="8" s="1"/>
  <c r="U79" i="8" s="1"/>
  <c r="S88" i="4"/>
  <c r="J98" i="1"/>
  <c r="K36" i="8"/>
  <c r="K82" i="8" s="1"/>
  <c r="J43" i="8"/>
  <c r="K43" i="8" s="1"/>
  <c r="K89" i="8" s="1"/>
  <c r="J96" i="1"/>
  <c r="K96" i="1" s="1"/>
  <c r="BU98" i="1"/>
  <c r="BM94" i="4"/>
  <c r="BN13" i="8"/>
  <c r="BM110" i="8"/>
  <c r="BM111" i="8" s="1"/>
  <c r="BM112" i="8" s="1"/>
  <c r="BG94" i="4"/>
  <c r="BG105" i="4" s="1"/>
  <c r="BG110" i="8"/>
  <c r="BG111" i="8" s="1"/>
  <c r="BG112" i="8" s="1"/>
  <c r="BH13" i="8"/>
  <c r="BF117" i="4"/>
  <c r="CE105" i="4"/>
  <c r="CU101" i="8"/>
  <c r="CU88" i="4"/>
  <c r="CU106" i="4" s="1"/>
  <c r="CV28" i="8"/>
  <c r="CF193" i="4"/>
  <c r="CF180" i="4"/>
  <c r="CF178" i="4"/>
  <c r="BV96" i="1"/>
  <c r="BV98" i="1" s="1"/>
  <c r="BV90" i="1" s="1"/>
  <c r="BV92" i="1" s="1"/>
  <c r="BW38" i="8"/>
  <c r="BX38" i="8" s="1"/>
  <c r="BX84" i="8" s="1"/>
  <c r="BV43" i="8"/>
  <c r="Y36" i="8"/>
  <c r="X43" i="8"/>
  <c r="X96" i="1"/>
  <c r="P178" i="4"/>
  <c r="P194" i="4"/>
  <c r="P177" i="4"/>
  <c r="CA94" i="4"/>
  <c r="CA105" i="4" s="1"/>
  <c r="CA110" i="8"/>
  <c r="CA111" i="8" s="1"/>
  <c r="CA112" i="8" s="1"/>
  <c r="CB13" i="8"/>
  <c r="CC13" i="8" s="1"/>
  <c r="BH142" i="1"/>
  <c r="BH159" i="1" s="1"/>
  <c r="DI55" i="1"/>
  <c r="AS140" i="1"/>
  <c r="AS157" i="1" s="1"/>
  <c r="R140" i="1"/>
  <c r="R157" i="1" s="1"/>
  <c r="AY169" i="1"/>
  <c r="BN169" i="1"/>
  <c r="AO96" i="1"/>
  <c r="AO98" i="1"/>
  <c r="AO90" i="1"/>
  <c r="P180" i="4"/>
  <c r="P193" i="4"/>
  <c r="AX117" i="4"/>
  <c r="AX95" i="4"/>
  <c r="AX104" i="4" s="1"/>
  <c r="DD38" i="8"/>
  <c r="BI180" i="4"/>
  <c r="BI193" i="4"/>
  <c r="AR117" i="4"/>
  <c r="O76" i="1" s="1"/>
  <c r="BU90" i="4"/>
  <c r="BU103" i="4"/>
  <c r="Y40" i="8"/>
  <c r="Y101" i="1" s="1"/>
  <c r="X101" i="1"/>
  <c r="BP193" i="4"/>
  <c r="BP178" i="4"/>
  <c r="BP180" i="4"/>
  <c r="BG101" i="8"/>
  <c r="BH28" i="8"/>
  <c r="BI28" i="8" s="1"/>
  <c r="BG88" i="4"/>
  <c r="BG106" i="4" s="1"/>
  <c r="R117" i="4"/>
  <c r="AX76" i="1" s="1"/>
  <c r="DD82" i="8"/>
  <c r="AJ36" i="8"/>
  <c r="AJ82" i="8" s="1"/>
  <c r="AI96" i="1"/>
  <c r="AI98" i="1" s="1"/>
  <c r="AI90" i="1" s="1"/>
  <c r="AV178" i="4"/>
  <c r="AV180" i="4"/>
  <c r="AV193" i="4"/>
  <c r="AH15" i="8"/>
  <c r="AG25" i="8"/>
  <c r="BO105" i="8"/>
  <c r="BO108" i="1"/>
  <c r="CO173" i="4"/>
  <c r="AS94" i="4"/>
  <c r="AS105" i="4" s="1"/>
  <c r="AS110" i="8"/>
  <c r="AS111" i="8" s="1"/>
  <c r="AS112" i="8" s="1"/>
  <c r="R105" i="8"/>
  <c r="R108" i="1"/>
  <c r="AF47" i="8"/>
  <c r="AF100" i="8"/>
  <c r="AF102" i="8" s="1"/>
  <c r="BE105" i="8"/>
  <c r="BE108" i="1"/>
  <c r="AG180" i="4"/>
  <c r="AG178" i="4"/>
  <c r="AG193" i="4"/>
  <c r="X25" i="8"/>
  <c r="AY20" i="8"/>
  <c r="AY66" i="8" s="1"/>
  <c r="AS25" i="8"/>
  <c r="CW144" i="1"/>
  <c r="CW147" i="1" s="1"/>
  <c r="K165" i="1"/>
  <c r="BJ140" i="1"/>
  <c r="BJ157" i="1" s="1"/>
  <c r="BN165" i="1"/>
  <c r="AY175" i="1"/>
  <c r="BD177" i="1"/>
  <c r="CB76" i="1" s="1"/>
  <c r="CB75" i="4" s="1"/>
  <c r="CB78" i="4" s="1"/>
  <c r="CB79" i="4" s="1"/>
  <c r="CB81" i="4" s="1"/>
  <c r="DH46" i="1"/>
  <c r="AD105" i="4"/>
  <c r="CU33" i="8"/>
  <c r="AG98" i="1"/>
  <c r="DE36" i="8"/>
  <c r="DE38" i="8" s="1"/>
  <c r="DF60" i="4"/>
  <c r="CL40" i="8"/>
  <c r="CK101" i="1"/>
  <c r="CK62" i="4"/>
  <c r="CK43" i="8"/>
  <c r="BQ98" i="1"/>
  <c r="S110" i="8"/>
  <c r="S111" i="8" s="1"/>
  <c r="S112" i="8" s="1"/>
  <c r="T13" i="8"/>
  <c r="T25" i="8" s="1"/>
  <c r="S94" i="4"/>
  <c r="BW29" i="8"/>
  <c r="BV89" i="4"/>
  <c r="CF110" i="8"/>
  <c r="CF111" i="8" s="1"/>
  <c r="CF112" i="8" s="1"/>
  <c r="CG13" i="8"/>
  <c r="CF94" i="4"/>
  <c r="CE117" i="4"/>
  <c r="AH96" i="1"/>
  <c r="AH98" i="1" s="1"/>
  <c r="AH90" i="1" s="1"/>
  <c r="AH92" i="1" s="1"/>
  <c r="AT177" i="4"/>
  <c r="AT178" i="4"/>
  <c r="AT194" i="4"/>
  <c r="AQ193" i="4"/>
  <c r="AQ180" i="4"/>
  <c r="AQ178" i="4"/>
  <c r="R106" i="4"/>
  <c r="R90" i="4"/>
  <c r="BR96" i="1"/>
  <c r="BR98" i="1" s="1"/>
  <c r="BR90" i="1" s="1"/>
  <c r="BL117" i="4"/>
  <c r="BL105" i="4"/>
  <c r="BL95" i="4"/>
  <c r="BL104" i="4" s="1"/>
  <c r="AY67" i="4"/>
  <c r="AY71" i="4" s="1"/>
  <c r="AX71" i="4"/>
  <c r="BZ117" i="4"/>
  <c r="AY117" i="4"/>
  <c r="AY95" i="4"/>
  <c r="AY104" i="4" s="1"/>
  <c r="BX117" i="4"/>
  <c r="AJ33" i="8"/>
  <c r="AJ79" i="8" s="1"/>
  <c r="DE88" i="4"/>
  <c r="DE28" i="8" s="1"/>
  <c r="DE101" i="8" s="1"/>
  <c r="DE14" i="4"/>
  <c r="DE173" i="4" s="1"/>
  <c r="AE178" i="1"/>
  <c r="CW146" i="4"/>
  <c r="H79" i="1"/>
  <c r="AE146" i="1"/>
  <c r="AE142" i="1" s="1"/>
  <c r="AE159" i="1" s="1"/>
  <c r="CS125" i="1"/>
  <c r="DE28" i="1"/>
  <c r="AE169" i="1"/>
  <c r="AO175" i="1"/>
  <c r="AO174" i="1" s="1"/>
  <c r="U76" i="1"/>
  <c r="DE62" i="1"/>
  <c r="DE23" i="1"/>
  <c r="AJ169" i="1"/>
  <c r="AO178" i="1"/>
  <c r="AE144" i="1"/>
  <c r="AE147" i="1" s="1"/>
  <c r="AI105" i="4"/>
  <c r="AV90" i="4"/>
  <c r="CW38" i="8"/>
  <c r="CW84" i="8" s="1"/>
  <c r="CQ96" i="1"/>
  <c r="CR38" i="8"/>
  <c r="CR84" i="8" s="1"/>
  <c r="AM117" i="4"/>
  <c r="AM95" i="4"/>
  <c r="AM104" i="4" s="1"/>
  <c r="AM105" i="4"/>
  <c r="CG101" i="1"/>
  <c r="CG103" i="1" s="1"/>
  <c r="CG91" i="1" s="1"/>
  <c r="CH40" i="8"/>
  <c r="CH86" i="8" s="1"/>
  <c r="AH103" i="4"/>
  <c r="AH90" i="4"/>
  <c r="CQ43" i="8"/>
  <c r="CR43" i="8" s="1"/>
  <c r="CR89" i="8" s="1"/>
  <c r="AN110" i="8"/>
  <c r="AN94" i="4"/>
  <c r="BR33" i="8"/>
  <c r="U75" i="8"/>
  <c r="U89" i="4"/>
  <c r="AI117" i="4"/>
  <c r="AI95" i="4"/>
  <c r="AI104" i="4" s="1"/>
  <c r="AJ110" i="8"/>
  <c r="AJ59" i="8"/>
  <c r="AJ94" i="4"/>
  <c r="CW96" i="1"/>
  <c r="BX106" i="4"/>
  <c r="AO13" i="8"/>
  <c r="CF103" i="1"/>
  <c r="AJ29" i="8"/>
  <c r="AI89" i="4"/>
  <c r="Z78" i="1"/>
  <c r="Z80" i="1"/>
  <c r="U169" i="1"/>
  <c r="BB111" i="8" s="1"/>
  <c r="BB112" i="8" s="1"/>
  <c r="BB76" i="1" s="1"/>
  <c r="AO165" i="1"/>
  <c r="DC46" i="1"/>
  <c r="DC55" i="1"/>
  <c r="K177" i="1"/>
  <c r="CC169" i="1"/>
  <c r="AJ165" i="1"/>
  <c r="BN144" i="1"/>
  <c r="BN147" i="1" s="1"/>
  <c r="N81" i="1"/>
  <c r="AO144" i="1"/>
  <c r="AO147" i="1" s="1"/>
  <c r="CT157" i="1"/>
  <c r="AD142" i="1"/>
  <c r="Y78" i="1"/>
  <c r="AJ144" i="1"/>
  <c r="AJ147" i="1" s="1"/>
  <c r="Z144" i="1"/>
  <c r="Z147" i="1" s="1"/>
  <c r="BS169" i="1"/>
  <c r="K169" i="1"/>
  <c r="K168" i="1" s="1"/>
  <c r="Z174" i="1"/>
  <c r="AT144" i="1"/>
  <c r="AT147" i="1" s="1"/>
  <c r="BF66" i="1"/>
  <c r="BF75" i="1" s="1"/>
  <c r="BA72" i="1"/>
  <c r="BM54" i="1"/>
  <c r="BP54" i="1"/>
  <c r="AM79" i="1"/>
  <c r="AU178" i="1"/>
  <c r="AY178" i="1" s="1"/>
  <c r="AY171" i="1"/>
  <c r="BD140" i="1"/>
  <c r="BD157" i="1" s="1"/>
  <c r="Y80" i="1"/>
  <c r="Y75" i="4"/>
  <c r="Y78" i="4" s="1"/>
  <c r="Y79" i="4" s="1"/>
  <c r="Y81" i="4" s="1"/>
  <c r="AE174" i="1"/>
  <c r="AB72" i="1"/>
  <c r="N144" i="1"/>
  <c r="N142" i="1"/>
  <c r="BJ171" i="1"/>
  <c r="BN175" i="1"/>
  <c r="DH74" i="8"/>
  <c r="DI74" i="8" s="1"/>
  <c r="CC40" i="1"/>
  <c r="V140" i="1"/>
  <c r="V157" i="1" s="1"/>
  <c r="CT76" i="1"/>
  <c r="CT80" i="1" s="1"/>
  <c r="CT73" i="1"/>
  <c r="CS76" i="1"/>
  <c r="CS75" i="4" s="1"/>
  <c r="CS73" i="1"/>
  <c r="DF169" i="4"/>
  <c r="CM194" i="4"/>
  <c r="CM177" i="4"/>
  <c r="CM178" i="4"/>
  <c r="CM180" i="4"/>
  <c r="CL42" i="4"/>
  <c r="CM40" i="4"/>
  <c r="AA100" i="4"/>
  <c r="AA105" i="4" s="1"/>
  <c r="AA90" i="4"/>
  <c r="AA103" i="4"/>
  <c r="P42" i="4"/>
  <c r="P71" i="4" s="1"/>
  <c r="AF178" i="4"/>
  <c r="AF180" i="4"/>
  <c r="AF193" i="4"/>
  <c r="CY194" i="4"/>
  <c r="CY178" i="4"/>
  <c r="CY177" i="4"/>
  <c r="Z100" i="4"/>
  <c r="Z105" i="4" s="1"/>
  <c r="AU33" i="4"/>
  <c r="AU34" i="4"/>
  <c r="AU35" i="4"/>
  <c r="DD22" i="8"/>
  <c r="DD68" i="8" s="1"/>
  <c r="DE22" i="8"/>
  <c r="BX40" i="4"/>
  <c r="BW42" i="4"/>
  <c r="BX42" i="4" s="1"/>
  <c r="CR67" i="4"/>
  <c r="CR71" i="4" s="1"/>
  <c r="CQ71" i="4"/>
  <c r="BN125" i="4"/>
  <c r="BN127" i="4" s="1"/>
  <c r="BI123" i="4"/>
  <c r="BN121" i="4" s="1"/>
  <c r="BN131" i="4" s="1"/>
  <c r="CQ111" i="4"/>
  <c r="CP23" i="4"/>
  <c r="CK112" i="4"/>
  <c r="CJ24" i="4"/>
  <c r="BW174" i="4"/>
  <c r="DA101" i="8"/>
  <c r="DD55" i="1"/>
  <c r="DD16" i="8" s="1"/>
  <c r="BM43" i="8"/>
  <c r="BN43" i="8" s="1"/>
  <c r="BN89" i="8" s="1"/>
  <c r="Z95" i="4"/>
  <c r="Z104" i="4" s="1"/>
  <c r="Z117" i="4"/>
  <c r="AP92" i="1"/>
  <c r="AT92" i="1" s="1"/>
  <c r="DE26" i="1"/>
  <c r="DE32" i="1" s="1"/>
  <c r="DH41" i="1"/>
  <c r="DH53" i="1"/>
  <c r="DH55" i="1"/>
  <c r="DH16" i="8" s="1"/>
  <c r="DH62" i="8" s="1"/>
  <c r="DE37" i="1"/>
  <c r="DA172" i="4"/>
  <c r="DA173" i="4"/>
  <c r="DG22" i="1"/>
  <c r="DF26" i="1"/>
  <c r="DF32" i="1" s="1"/>
  <c r="DB46" i="4"/>
  <c r="DB145" i="4" s="1"/>
  <c r="CS180" i="4"/>
  <c r="Z15" i="8"/>
  <c r="Z61" i="8" s="1"/>
  <c r="AT31" i="8"/>
  <c r="AT77" i="8" s="1"/>
  <c r="CH29" i="8"/>
  <c r="CG89" i="4"/>
  <c r="CG103" i="4" s="1"/>
  <c r="CU104" i="4"/>
  <c r="CU117" i="4"/>
  <c r="CU105" i="4"/>
  <c r="BW103" i="1"/>
  <c r="BX101" i="1"/>
  <c r="O43" i="8"/>
  <c r="P43" i="8" s="1"/>
  <c r="P89" i="8" s="1"/>
  <c r="P39" i="8"/>
  <c r="P85" i="8" s="1"/>
  <c r="CV94" i="4"/>
  <c r="CV110" i="8"/>
  <c r="CW13" i="8"/>
  <c r="BS29" i="8"/>
  <c r="BR89" i="4"/>
  <c r="BR103" i="4" s="1"/>
  <c r="AI101" i="1"/>
  <c r="AJ101" i="1" s="1"/>
  <c r="AI43" i="8"/>
  <c r="O98" i="1"/>
  <c r="P96" i="1"/>
  <c r="U42" i="8"/>
  <c r="U88" i="8" s="1"/>
  <c r="T43" i="8"/>
  <c r="U43" i="8" s="1"/>
  <c r="U89" i="8" s="1"/>
  <c r="DE39" i="1"/>
  <c r="DB39" i="1"/>
  <c r="DE24" i="1"/>
  <c r="DE43" i="1"/>
  <c r="DE13" i="4"/>
  <c r="DE172" i="4" s="1"/>
  <c r="DB62" i="1"/>
  <c r="DB63" i="1" s="1"/>
  <c r="DB43" i="1"/>
  <c r="DB44" i="1" s="1"/>
  <c r="CZ46" i="1"/>
  <c r="AY140" i="1"/>
  <c r="AY157" i="1" s="1"/>
  <c r="AY159" i="1"/>
  <c r="J79" i="1"/>
  <c r="AF79" i="1"/>
  <c r="AL79" i="1"/>
  <c r="U144" i="1"/>
  <c r="U147" i="1" s="1"/>
  <c r="BM66" i="1"/>
  <c r="BN66" i="1" s="1"/>
  <c r="BN72" i="1" s="1"/>
  <c r="CS140" i="1"/>
  <c r="CS157" i="1" s="1"/>
  <c r="K171" i="1"/>
  <c r="K174" i="1" s="1"/>
  <c r="DD74" i="8"/>
  <c r="CC165" i="1"/>
  <c r="BD169" i="1"/>
  <c r="BD168" i="1" s="1"/>
  <c r="DD167" i="4"/>
  <c r="DD166" i="4" s="1"/>
  <c r="DD13" i="4"/>
  <c r="DD172" i="4" s="1"/>
  <c r="BI144" i="1"/>
  <c r="BI147" i="1" s="1"/>
  <c r="CC177" i="1"/>
  <c r="K75" i="1"/>
  <c r="K79" i="1" s="1"/>
  <c r="BD165" i="1"/>
  <c r="BI175" i="1"/>
  <c r="BD175" i="1"/>
  <c r="BD159" i="1"/>
  <c r="AO169" i="1"/>
  <c r="W158" i="1"/>
  <c r="W140" i="1"/>
  <c r="W157" i="1" s="1"/>
  <c r="O144" i="1"/>
  <c r="P144" i="1" s="1"/>
  <c r="P147" i="1" s="1"/>
  <c r="O142" i="1"/>
  <c r="P146" i="1"/>
  <c r="P142" i="1" s="1"/>
  <c r="CF163" i="1"/>
  <c r="CE172" i="1"/>
  <c r="CD169" i="1"/>
  <c r="CD165" i="1" s="1"/>
  <c r="CD177" i="1" s="1"/>
  <c r="CD175" i="1"/>
  <c r="CD171" i="1" s="1"/>
  <c r="CD178" i="1" s="1"/>
  <c r="AG158" i="1"/>
  <c r="AG140" i="1"/>
  <c r="AG157" i="1" s="1"/>
  <c r="AO177" i="1"/>
  <c r="BX175" i="1"/>
  <c r="AL158" i="1"/>
  <c r="AL140" i="1"/>
  <c r="AL157" i="1" s="1"/>
  <c r="BW144" i="1"/>
  <c r="BX144" i="1" s="1"/>
  <c r="BX147" i="1" s="1"/>
  <c r="BW142" i="1"/>
  <c r="CR144" i="1"/>
  <c r="CR147" i="1" s="1"/>
  <c r="CQ142" i="1"/>
  <c r="AD140" i="1"/>
  <c r="AD157" i="1" s="1"/>
  <c r="AD159" i="1"/>
  <c r="AX142" i="1"/>
  <c r="AX144" i="1"/>
  <c r="AY144" i="1" s="1"/>
  <c r="AY147" i="1" s="1"/>
  <c r="CB147" i="4"/>
  <c r="BF72" i="1"/>
  <c r="BJ72" i="1"/>
  <c r="S80" i="1"/>
  <c r="S78" i="1"/>
  <c r="S75" i="4"/>
  <c r="S78" i="4" s="1"/>
  <c r="S79" i="4" s="1"/>
  <c r="S81" i="4" s="1"/>
  <c r="BB54" i="1"/>
  <c r="CB66" i="1"/>
  <c r="BH76" i="1" s="1"/>
  <c r="BH78" i="1" s="1"/>
  <c r="AA79" i="1"/>
  <c r="CB146" i="4"/>
  <c r="AC90" i="4"/>
  <c r="AC106" i="4"/>
  <c r="H54" i="8"/>
  <c r="I49" i="8"/>
  <c r="CJ108" i="1"/>
  <c r="CJ105" i="8"/>
  <c r="AE28" i="8"/>
  <c r="AD101" i="8"/>
  <c r="AD88" i="4"/>
  <c r="BI29" i="8"/>
  <c r="BH89" i="4"/>
  <c r="H108" i="1"/>
  <c r="H105" i="8"/>
  <c r="U21" i="8"/>
  <c r="U67" i="8" s="1"/>
  <c r="BU105" i="8"/>
  <c r="BU108" i="1"/>
  <c r="AL108" i="1"/>
  <c r="AL105" i="8"/>
  <c r="CR29" i="8"/>
  <c r="CW89" i="4"/>
  <c r="CW103" i="4" s="1"/>
  <c r="CW75" i="8"/>
  <c r="BK108" i="1"/>
  <c r="BK105" i="8"/>
  <c r="R95" i="8"/>
  <c r="R96" i="8" s="1"/>
  <c r="T95" i="8"/>
  <c r="T96" i="8" s="1"/>
  <c r="V95" i="8" s="1"/>
  <c r="Q96" i="8"/>
  <c r="S95" i="8"/>
  <c r="S96" i="8" s="1"/>
  <c r="AM103" i="4"/>
  <c r="BP103" i="1"/>
  <c r="BP91" i="1" s="1"/>
  <c r="BP92" i="1" s="1"/>
  <c r="BP108" i="1"/>
  <c r="AW88" i="4"/>
  <c r="AX28" i="8"/>
  <c r="AX33" i="8" s="1"/>
  <c r="AY33" i="8" s="1"/>
  <c r="AY79" i="8" s="1"/>
  <c r="AW101" i="8"/>
  <c r="BG96" i="1"/>
  <c r="BG98" i="1" s="1"/>
  <c r="BG90" i="1" s="1"/>
  <c r="BH36" i="8"/>
  <c r="BG43" i="8"/>
  <c r="AD15" i="8"/>
  <c r="AC25" i="8"/>
  <c r="AC100" i="8" s="1"/>
  <c r="AC102" i="8" s="1"/>
  <c r="AC105" i="8" s="1"/>
  <c r="AX40" i="8"/>
  <c r="AW101" i="1"/>
  <c r="AW43" i="8"/>
  <c r="AW47" i="8" s="1"/>
  <c r="CB28" i="8"/>
  <c r="CA88" i="4"/>
  <c r="CA101" i="8"/>
  <c r="CA102" i="8" s="1"/>
  <c r="CA33" i="8"/>
  <c r="CA47" i="8" s="1"/>
  <c r="BR101" i="8"/>
  <c r="BR88" i="4"/>
  <c r="BS33" i="8"/>
  <c r="BS79" i="8" s="1"/>
  <c r="BS31" i="8"/>
  <c r="BS77" i="8" s="1"/>
  <c r="AO29" i="8"/>
  <c r="AN89" i="4"/>
  <c r="BL88" i="4"/>
  <c r="BL106" i="4" s="1"/>
  <c r="BM28" i="8"/>
  <c r="BN28" i="8" s="1"/>
  <c r="BL101" i="8"/>
  <c r="BZ105" i="8"/>
  <c r="BZ108" i="1"/>
  <c r="CP33" i="8"/>
  <c r="CP47" i="8" s="1"/>
  <c r="CQ28" i="8"/>
  <c r="CP101" i="8"/>
  <c r="CP88" i="4"/>
  <c r="CP106" i="4" s="1"/>
  <c r="BQ90" i="4"/>
  <c r="BQ106" i="4"/>
  <c r="CU103" i="4"/>
  <c r="BF98" i="1"/>
  <c r="M47" i="8"/>
  <c r="BS74" i="8"/>
  <c r="BS101" i="8"/>
  <c r="BS88" i="4"/>
  <c r="BS106" i="4" s="1"/>
  <c r="AC101" i="1"/>
  <c r="AD40" i="8"/>
  <c r="AC43" i="8"/>
  <c r="BQ101" i="1"/>
  <c r="BQ103" i="1" s="1"/>
  <c r="BQ91" i="1" s="1"/>
  <c r="BQ43" i="8"/>
  <c r="BQ47" i="8" s="1"/>
  <c r="BR40" i="8"/>
  <c r="CV89" i="4"/>
  <c r="BF47" i="8"/>
  <c r="AB100" i="8"/>
  <c r="AB102" i="8" s="1"/>
  <c r="AB47" i="8"/>
  <c r="CU41" i="8"/>
  <c r="CT43" i="8"/>
  <c r="CT47" i="8" s="1"/>
  <c r="O31" i="8"/>
  <c r="O33" i="8" s="1"/>
  <c r="N33" i="8"/>
  <c r="CO108" i="1"/>
  <c r="CO105" i="8"/>
  <c r="CQ94" i="8"/>
  <c r="CP48" i="8"/>
  <c r="CQ48" i="8" s="1"/>
  <c r="CR48" i="8" s="1"/>
  <c r="CR94" i="8" s="1"/>
  <c r="BS174" i="4"/>
  <c r="L178" i="4"/>
  <c r="L193" i="4"/>
  <c r="L180" i="4"/>
  <c r="AK193" i="4"/>
  <c r="AK180" i="4"/>
  <c r="AK178" i="4"/>
  <c r="BX67" i="4"/>
  <c r="AE203" i="4"/>
  <c r="CS194" i="4"/>
  <c r="CS177" i="4"/>
  <c r="CS178" i="4"/>
  <c r="BS67" i="4"/>
  <c r="BS71" i="4" s="1"/>
  <c r="BR71" i="4"/>
  <c r="BN42" i="4"/>
  <c r="BN71" i="4" s="1"/>
  <c r="BM71" i="4"/>
  <c r="AV32" i="4"/>
  <c r="AW121" i="4"/>
  <c r="AW131" i="4" s="1"/>
  <c r="AV122" i="4"/>
  <c r="CS100" i="4"/>
  <c r="CS105" i="4" s="1"/>
  <c r="CS90" i="4"/>
  <c r="CS103" i="4"/>
  <c r="CH193" i="4"/>
  <c r="CH180" i="4"/>
  <c r="AE191" i="4"/>
  <c r="AE186" i="4"/>
  <c r="AE179" i="4"/>
  <c r="CW100" i="4"/>
  <c r="BF180" i="4"/>
  <c r="BF178" i="4"/>
  <c r="BF193" i="4"/>
  <c r="AJ178" i="4"/>
  <c r="AJ180" i="4"/>
  <c r="AJ193" i="4"/>
  <c r="K67" i="4"/>
  <c r="K71" i="4" s="1"/>
  <c r="J71" i="4"/>
  <c r="AS193" i="4"/>
  <c r="AS180" i="4"/>
  <c r="U67" i="4"/>
  <c r="U71" i="4" s="1"/>
  <c r="T71" i="4"/>
  <c r="AM180" i="4"/>
  <c r="AM178" i="4"/>
  <c r="AM193" i="4"/>
  <c r="AS178" i="4"/>
  <c r="CC67" i="4"/>
  <c r="CC71" i="4" s="1"/>
  <c r="CB71" i="4"/>
  <c r="AW123" i="4"/>
  <c r="AW36" i="4"/>
  <c r="AX125" i="4"/>
  <c r="V180" i="4"/>
  <c r="V178" i="4"/>
  <c r="V193" i="4"/>
  <c r="Z179" i="4"/>
  <c r="Z186" i="4"/>
  <c r="Z191" i="4"/>
  <c r="Z177" i="4"/>
  <c r="CV67" i="4"/>
  <c r="CW57" i="4"/>
  <c r="AH180" i="4"/>
  <c r="AH178" i="4"/>
  <c r="AH193" i="4"/>
  <c r="AF100" i="4"/>
  <c r="AF105" i="4" s="1"/>
  <c r="AF90" i="4"/>
  <c r="AF103" i="4"/>
  <c r="AE100" i="4"/>
  <c r="AE105" i="4" s="1"/>
  <c r="AE98" i="4"/>
  <c r="AE117" i="4" s="1"/>
  <c r="AJ100" i="4"/>
  <c r="CK21" i="4"/>
  <c r="CL109" i="4"/>
  <c r="CN109" i="4" s="1"/>
  <c r="CO109" i="4" s="1"/>
  <c r="CP109" i="4" s="1"/>
  <c r="CC180" i="4"/>
  <c r="CC178" i="4"/>
  <c r="CC193" i="4"/>
  <c r="CA125" i="4"/>
  <c r="CA127" i="4" s="1"/>
  <c r="BZ36" i="4"/>
  <c r="BZ123" i="4"/>
  <c r="CF90" i="4"/>
  <c r="BF121" i="4"/>
  <c r="BF131" i="4" s="1"/>
  <c r="BE32" i="4"/>
  <c r="BE122" i="4"/>
  <c r="BY32" i="4"/>
  <c r="BY122" i="4"/>
  <c r="BZ121" i="4"/>
  <c r="BZ131" i="4" s="1"/>
  <c r="AD71" i="4"/>
  <c r="AE42" i="4"/>
  <c r="AE71" i="4" s="1"/>
  <c r="BF123" i="4"/>
  <c r="BF36" i="4"/>
  <c r="BG125" i="4"/>
  <c r="BG127" i="4" s="1"/>
  <c r="AT169" i="1"/>
  <c r="AR142" i="1"/>
  <c r="AR159" i="1" s="1"/>
  <c r="AT146" i="1"/>
  <c r="AT142" i="1" s="1"/>
  <c r="AT140" i="1" s="1"/>
  <c r="AT157" i="1" s="1"/>
  <c r="AM140" i="1"/>
  <c r="AM157" i="1" s="1"/>
  <c r="AM159" i="1"/>
  <c r="DC167" i="4"/>
  <c r="DC166" i="4" s="1"/>
  <c r="DC13" i="4"/>
  <c r="CB80" i="1"/>
  <c r="DC140" i="4"/>
  <c r="AK140" i="1"/>
  <c r="AK157" i="1" s="1"/>
  <c r="CX66" i="1"/>
  <c r="CX54" i="1"/>
  <c r="CX57" i="1"/>
  <c r="BS146" i="1"/>
  <c r="BS142" i="1" s="1"/>
  <c r="BI169" i="1"/>
  <c r="BC140" i="1"/>
  <c r="BC157" i="1" s="1"/>
  <c r="BC159" i="1"/>
  <c r="BS144" i="1"/>
  <c r="BS147" i="1" s="1"/>
  <c r="CD140" i="1"/>
  <c r="CD157" i="1" s="1"/>
  <c r="CD158" i="1"/>
  <c r="AP171" i="1"/>
  <c r="AT175" i="1"/>
  <c r="CH146" i="1"/>
  <c r="CH142" i="1" s="1"/>
  <c r="CH159" i="1" s="1"/>
  <c r="CF144" i="1"/>
  <c r="CH144" i="1" s="1"/>
  <c r="CH147" i="1" s="1"/>
  <c r="BQ142" i="1"/>
  <c r="AF171" i="1"/>
  <c r="AJ175" i="1"/>
  <c r="CF142" i="1"/>
  <c r="CB78" i="1"/>
  <c r="BX169" i="1"/>
  <c r="U175" i="1"/>
  <c r="DD53" i="1"/>
  <c r="DD54" i="1" s="1"/>
  <c r="DD41" i="1"/>
  <c r="CW140" i="1"/>
  <c r="CW157" i="1" s="1"/>
  <c r="AQ177" i="1"/>
  <c r="AT177" i="1" s="1"/>
  <c r="AT165" i="1"/>
  <c r="CT75" i="1"/>
  <c r="CT72" i="1"/>
  <c r="CY54" i="1"/>
  <c r="CY57" i="1"/>
  <c r="BB159" i="1"/>
  <c r="BB140" i="1"/>
  <c r="BB157" i="1" s="1"/>
  <c r="CB92" i="1"/>
  <c r="CC92" i="1" s="1"/>
  <c r="BF159" i="1"/>
  <c r="BF140" i="1"/>
  <c r="BF157" i="1" s="1"/>
  <c r="AS75" i="1"/>
  <c r="DI168" i="4"/>
  <c r="DK167" i="4"/>
  <c r="BD53" i="1"/>
  <c r="BD54" i="1" s="1"/>
  <c r="AK75" i="1"/>
  <c r="AK81" i="1" s="1"/>
  <c r="BE75" i="1"/>
  <c r="BE72" i="1"/>
  <c r="AU72" i="1"/>
  <c r="CI66" i="1"/>
  <c r="AJ53" i="1"/>
  <c r="BK75" i="1"/>
  <c r="BK81" i="1" s="1"/>
  <c r="BK72" i="1"/>
  <c r="BJ81" i="1"/>
  <c r="I159" i="1"/>
  <c r="CC147" i="4"/>
  <c r="BK140" i="1"/>
  <c r="BK157" i="1" s="1"/>
  <c r="V78" i="4"/>
  <c r="CC174" i="1"/>
  <c r="CS98" i="1"/>
  <c r="BL159" i="1"/>
  <c r="V177" i="1"/>
  <c r="Z177" i="1" s="1"/>
  <c r="Z165" i="1"/>
  <c r="Z168" i="1" s="1"/>
  <c r="DC173" i="4"/>
  <c r="CC146" i="4"/>
  <c r="CN174" i="4"/>
  <c r="BH75" i="4"/>
  <c r="BH78" i="4" s="1"/>
  <c r="BH79" i="4" s="1"/>
  <c r="BH81" i="4" s="1"/>
  <c r="AK79" i="4"/>
  <c r="AK81" i="4" s="1"/>
  <c r="AB80" i="1"/>
  <c r="AB75" i="4"/>
  <c r="AB78" i="1"/>
  <c r="BC66" i="1"/>
  <c r="BC75" i="1" s="1"/>
  <c r="BC54" i="1"/>
  <c r="CN72" i="1"/>
  <c r="CN75" i="1"/>
  <c r="Y79" i="1"/>
  <c r="Y81" i="1"/>
  <c r="BW146" i="4"/>
  <c r="BW53" i="1"/>
  <c r="BX53" i="1" s="1"/>
  <c r="BX54" i="1" s="1"/>
  <c r="BX46" i="1"/>
  <c r="BW147" i="4"/>
  <c r="AX146" i="4"/>
  <c r="AX147" i="4"/>
  <c r="AX53" i="1"/>
  <c r="AY53" i="1" s="1"/>
  <c r="AY54" i="1" s="1"/>
  <c r="BH66" i="1"/>
  <c r="BH54" i="1"/>
  <c r="BY66" i="1"/>
  <c r="BY75" i="1" s="1"/>
  <c r="BY54" i="1"/>
  <c r="CN58" i="1"/>
  <c r="CN67" i="1"/>
  <c r="BX40" i="1"/>
  <c r="BX38" i="1"/>
  <c r="BS46" i="1"/>
  <c r="BR147" i="4"/>
  <c r="BR146" i="4"/>
  <c r="BR53" i="1"/>
  <c r="CO174" i="4"/>
  <c r="CP174" i="4"/>
  <c r="CJ63" i="4"/>
  <c r="CJ75" i="4"/>
  <c r="CJ80" i="1"/>
  <c r="CJ78" i="1"/>
  <c r="AJ146" i="4"/>
  <c r="AJ191" i="1"/>
  <c r="AJ147" i="4"/>
  <c r="M177" i="1"/>
  <c r="P177" i="1" s="1"/>
  <c r="P165" i="1"/>
  <c r="P168" i="1" s="1"/>
  <c r="CK54" i="1"/>
  <c r="CK66" i="1"/>
  <c r="CK75" i="1" s="1"/>
  <c r="AJ159" i="1"/>
  <c r="AJ140" i="1"/>
  <c r="AJ157" i="1" s="1"/>
  <c r="Z159" i="1"/>
  <c r="Z140" i="1"/>
  <c r="Z157" i="1" s="1"/>
  <c r="AA177" i="1"/>
  <c r="AE177" i="1" s="1"/>
  <c r="AE165" i="1"/>
  <c r="AE168" i="1" s="1"/>
  <c r="AT146" i="4"/>
  <c r="AT147" i="4"/>
  <c r="AT191" i="1"/>
  <c r="BJ79" i="4"/>
  <c r="BJ81" i="4" s="1"/>
  <c r="CN172" i="4"/>
  <c r="AH72" i="1"/>
  <c r="AH75" i="1"/>
  <c r="I81" i="1"/>
  <c r="I79" i="1"/>
  <c r="CE54" i="1"/>
  <c r="CE66" i="1"/>
  <c r="BW111" i="8"/>
  <c r="BW112" i="8" s="1"/>
  <c r="CM146" i="4"/>
  <c r="CM147" i="4"/>
  <c r="CM191" i="1"/>
  <c r="CA158" i="1"/>
  <c r="CA140" i="1"/>
  <c r="CA157" i="1" s="1"/>
  <c r="CV67" i="1"/>
  <c r="CV58" i="1"/>
  <c r="DA55" i="1"/>
  <c r="BR76" i="1"/>
  <c r="CH76" i="1"/>
  <c r="CG80" i="1"/>
  <c r="CG78" i="1"/>
  <c r="CG75" i="4"/>
  <c r="AQ66" i="1"/>
  <c r="AT53" i="1"/>
  <c r="AX177" i="1"/>
  <c r="AY177" i="1" s="1"/>
  <c r="AY165" i="1"/>
  <c r="CJ54" i="1"/>
  <c r="CJ66" i="1"/>
  <c r="AI92" i="1"/>
  <c r="CV72" i="1"/>
  <c r="CZ173" i="4"/>
  <c r="DA21" i="8"/>
  <c r="DA67" i="8" s="1"/>
  <c r="DB13" i="4"/>
  <c r="DA20" i="8"/>
  <c r="AD75" i="1"/>
  <c r="AD72" i="1"/>
  <c r="BT92" i="1"/>
  <c r="DK12" i="1"/>
  <c r="DJ22" i="1"/>
  <c r="DL10" i="1"/>
  <c r="DL11" i="1" s="1"/>
  <c r="DJ12" i="1"/>
  <c r="CN173" i="4"/>
  <c r="DH168" i="4"/>
  <c r="CK162" i="1"/>
  <c r="CJ166" i="1"/>
  <c r="BD146" i="4"/>
  <c r="BD191" i="1"/>
  <c r="BD147" i="4"/>
  <c r="DF24" i="1"/>
  <c r="DF23" i="1"/>
  <c r="DF88" i="4"/>
  <c r="DF28" i="8" s="1"/>
  <c r="DF101" i="8" s="1"/>
  <c r="DF43" i="1"/>
  <c r="DF28" i="1"/>
  <c r="DF46" i="4"/>
  <c r="DG46" i="4" s="1"/>
  <c r="DF39" i="1"/>
  <c r="DG39" i="1" s="1"/>
  <c r="DF13" i="4"/>
  <c r="DF62" i="1"/>
  <c r="DH24" i="1"/>
  <c r="DF37" i="1"/>
  <c r="DL16" i="1"/>
  <c r="DL17" i="1" s="1"/>
  <c r="DK22" i="1"/>
  <c r="DK18" i="1"/>
  <c r="AV54" i="1"/>
  <c r="AV66" i="1"/>
  <c r="AV72" i="1" s="1"/>
  <c r="BU178" i="1"/>
  <c r="BX178" i="1" s="1"/>
  <c r="BX171" i="1"/>
  <c r="CC169" i="4"/>
  <c r="CC166" i="4" s="1"/>
  <c r="CC140" i="4"/>
  <c r="M81" i="1"/>
  <c r="M79" i="1"/>
  <c r="AE147" i="4"/>
  <c r="AE191" i="1"/>
  <c r="AE146" i="4"/>
  <c r="CL167" i="4"/>
  <c r="CL166" i="4" s="1"/>
  <c r="CL140" i="4"/>
  <c r="CQ202" i="1"/>
  <c r="CL202" i="1"/>
  <c r="CM185" i="1"/>
  <c r="CR202" i="1" s="1"/>
  <c r="DB28" i="1"/>
  <c r="AY147" i="4"/>
  <c r="AY146" i="4"/>
  <c r="AY191" i="1"/>
  <c r="AN159" i="1"/>
  <c r="AN140" i="1"/>
  <c r="AN157" i="1" s="1"/>
  <c r="U159" i="1"/>
  <c r="U140" i="1"/>
  <c r="U157" i="1" s="1"/>
  <c r="DC21" i="8"/>
  <c r="DC67" i="8" s="1"/>
  <c r="DB14" i="4"/>
  <c r="DB142" i="4" s="1"/>
  <c r="DB168" i="4" s="1"/>
  <c r="BP78" i="1"/>
  <c r="BP80" i="1"/>
  <c r="BP75" i="4"/>
  <c r="BP78" i="4" s="1"/>
  <c r="BP79" i="4" s="1"/>
  <c r="BP81" i="4" s="1"/>
  <c r="AZ92" i="1"/>
  <c r="BD90" i="1"/>
  <c r="AN66" i="1"/>
  <c r="AO53" i="1"/>
  <c r="BN146" i="4"/>
  <c r="BN191" i="1"/>
  <c r="BN147" i="4"/>
  <c r="CR23" i="1"/>
  <c r="CM173" i="4"/>
  <c r="CM172" i="4"/>
  <c r="CM141" i="4"/>
  <c r="CM188" i="1"/>
  <c r="CM174" i="4"/>
  <c r="CM106" i="4"/>
  <c r="CM145" i="4"/>
  <c r="CM44" i="1"/>
  <c r="E7" i="26"/>
  <c r="CM142" i="4"/>
  <c r="CM168" i="4" s="1"/>
  <c r="CR211" i="1"/>
  <c r="CM211" i="1"/>
  <c r="CM38" i="1"/>
  <c r="CM23" i="1"/>
  <c r="AZ66" i="1"/>
  <c r="AZ54" i="1"/>
  <c r="AO147" i="4"/>
  <c r="AO191" i="1"/>
  <c r="AO146" i="4"/>
  <c r="DJ142" i="4"/>
  <c r="DO142" i="4" s="1"/>
  <c r="DE168" i="4"/>
  <c r="DE166" i="4" s="1"/>
  <c r="DE140" i="4"/>
  <c r="AO140" i="1"/>
  <c r="AO157" i="1" s="1"/>
  <c r="AO159" i="1"/>
  <c r="Q159" i="1"/>
  <c r="Q140" i="1"/>
  <c r="Q157" i="1" s="1"/>
  <c r="DB23" i="1"/>
  <c r="H10" i="26" s="1"/>
  <c r="H9" i="26" s="1"/>
  <c r="AU159" i="1"/>
  <c r="AU140" i="1"/>
  <c r="AU157" i="1" s="1"/>
  <c r="CZ27" i="1"/>
  <c r="AC66" i="1"/>
  <c r="AE53" i="1"/>
  <c r="CP173" i="4"/>
  <c r="CP172" i="4"/>
  <c r="CQ201" i="1"/>
  <c r="CL201" i="1"/>
  <c r="CM183" i="1"/>
  <c r="CR184" i="1" s="1"/>
  <c r="CL53" i="1"/>
  <c r="CL33" i="1"/>
  <c r="CM32" i="1"/>
  <c r="CM33" i="1" s="1"/>
  <c r="DH30" i="1"/>
  <c r="DH147" i="4" s="1"/>
  <c r="DH27" i="1"/>
  <c r="CR159" i="1"/>
  <c r="CR140" i="1"/>
  <c r="CR157" i="1" s="1"/>
  <c r="BB178" i="1"/>
  <c r="BD178" i="1" s="1"/>
  <c r="BD171" i="1"/>
  <c r="BD174" i="1" s="1"/>
  <c r="AP159" i="1"/>
  <c r="AP140" i="1"/>
  <c r="AP157" i="1" s="1"/>
  <c r="BI191" i="1"/>
  <c r="BI146" i="4"/>
  <c r="BI147" i="4"/>
  <c r="CP92" i="1"/>
  <c r="CM159" i="1"/>
  <c r="CM140" i="1"/>
  <c r="CM157" i="1" s="1"/>
  <c r="AE80" i="1"/>
  <c r="AE78" i="1"/>
  <c r="CM74" i="1"/>
  <c r="CT98" i="1"/>
  <c r="CU97" i="1"/>
  <c r="BH177" i="1"/>
  <c r="BI177" i="1" s="1"/>
  <c r="BI165" i="1"/>
  <c r="BX159" i="1"/>
  <c r="BX140" i="1"/>
  <c r="BX157" i="1" s="1"/>
  <c r="BG54" i="1"/>
  <c r="BG66" i="1"/>
  <c r="BI53" i="1"/>
  <c r="BI54" i="1" s="1"/>
  <c r="BZ159" i="1"/>
  <c r="BZ140" i="1"/>
  <c r="BZ157" i="1" s="1"/>
  <c r="DI27" i="1"/>
  <c r="DI30" i="1"/>
  <c r="CP72" i="1"/>
  <c r="CP75" i="1"/>
  <c r="W75" i="1"/>
  <c r="W72" i="1"/>
  <c r="Z66" i="1"/>
  <c r="Z72" i="1" s="1"/>
  <c r="CP67" i="1"/>
  <c r="CP58" i="1"/>
  <c r="AI72" i="1"/>
  <c r="AI75" i="1"/>
  <c r="AJ66" i="1"/>
  <c r="AJ72" i="1" s="1"/>
  <c r="DD30" i="1"/>
  <c r="DD147" i="4" s="1"/>
  <c r="DD27" i="1"/>
  <c r="CW231" i="1"/>
  <c r="CW239" i="1"/>
  <c r="CW240" i="1" s="1"/>
  <c r="DC16" i="8"/>
  <c r="DI41" i="1"/>
  <c r="DI46" i="1"/>
  <c r="DI53" i="1"/>
  <c r="DI57" i="1" s="1"/>
  <c r="AL76" i="1"/>
  <c r="P72" i="1"/>
  <c r="U66" i="1"/>
  <c r="U72" i="1" s="1"/>
  <c r="T75" i="1"/>
  <c r="T72" i="1"/>
  <c r="CT75" i="4"/>
  <c r="CT78" i="1"/>
  <c r="DC34" i="1"/>
  <c r="DC35" i="1" s="1"/>
  <c r="DC45" i="4"/>
  <c r="BB72" i="1"/>
  <c r="BB75" i="1"/>
  <c r="DI101" i="8"/>
  <c r="L81" i="1"/>
  <c r="L79" i="1"/>
  <c r="CA76" i="1" s="1"/>
  <c r="P75" i="1"/>
  <c r="DE41" i="1"/>
  <c r="CU54" i="1"/>
  <c r="CW53" i="1"/>
  <c r="CU57" i="1"/>
  <c r="CU66" i="1"/>
  <c r="CU75" i="1" s="1"/>
  <c r="BV54" i="1"/>
  <c r="BV66" i="1"/>
  <c r="CH158" i="1"/>
  <c r="DI16" i="8"/>
  <c r="CH191" i="1"/>
  <c r="CH146" i="4"/>
  <c r="CH147" i="4"/>
  <c r="BP159" i="1"/>
  <c r="BP140" i="1"/>
  <c r="BP157" i="1" s="1"/>
  <c r="BT54" i="1"/>
  <c r="BT66" i="1"/>
  <c r="BT75" i="1" s="1"/>
  <c r="BV177" i="1"/>
  <c r="BX165" i="1"/>
  <c r="CH53" i="1"/>
  <c r="CD54" i="1"/>
  <c r="CD66" i="1"/>
  <c r="CD75" i="1" s="1"/>
  <c r="CG66" i="1"/>
  <c r="CG72" i="1" s="1"/>
  <c r="CG54" i="1"/>
  <c r="BX195" i="1"/>
  <c r="BX184" i="1"/>
  <c r="BX201" i="1"/>
  <c r="BX196" i="1"/>
  <c r="BX186" i="1"/>
  <c r="BX202" i="1"/>
  <c r="U165" i="1"/>
  <c r="U168" i="1" s="1"/>
  <c r="CG158" i="1"/>
  <c r="CG140" i="1"/>
  <c r="CG157" i="1" s="1"/>
  <c r="Q178" i="1"/>
  <c r="U178" i="1" s="1"/>
  <c r="U171" i="1"/>
  <c r="U174" i="1" s="1"/>
  <c r="CA54" i="1"/>
  <c r="CA66" i="1"/>
  <c r="CC53" i="1"/>
  <c r="CC54" i="1" s="1"/>
  <c r="BH178" i="1"/>
  <c r="BI178" i="1" s="1"/>
  <c r="BI171" i="1"/>
  <c r="BD89" i="4"/>
  <c r="BD75" i="8"/>
  <c r="CQ100" i="8"/>
  <c r="Z89" i="4"/>
  <c r="Z75" i="8"/>
  <c r="CH74" i="8"/>
  <c r="CH88" i="4"/>
  <c r="CH101" i="8"/>
  <c r="CK27" i="4"/>
  <c r="CL115" i="4"/>
  <c r="CN115" i="4" s="1"/>
  <c r="CK26" i="4"/>
  <c r="CL114" i="4"/>
  <c r="CN114" i="4" s="1"/>
  <c r="CE122" i="4"/>
  <c r="CE32" i="4"/>
  <c r="CF121" i="4"/>
  <c r="CF131" i="4" s="1"/>
  <c r="CS79" i="1"/>
  <c r="CS81" i="1"/>
  <c r="AZ35" i="4"/>
  <c r="AZ34" i="4"/>
  <c r="AZ33" i="4"/>
  <c r="CF123" i="4"/>
  <c r="CG125" i="4"/>
  <c r="CG127" i="4" s="1"/>
  <c r="CR24" i="8"/>
  <c r="CR70" i="8" s="1"/>
  <c r="DD102" i="1"/>
  <c r="DD103" i="1" s="1"/>
  <c r="DD91" i="1" s="1"/>
  <c r="CJ194" i="4"/>
  <c r="BB123" i="4"/>
  <c r="BB36" i="4"/>
  <c r="BC125" i="4"/>
  <c r="CJ163" i="1"/>
  <c r="CI172" i="1"/>
  <c r="CR25" i="8"/>
  <c r="CP100" i="8"/>
  <c r="CP102" i="8" s="1"/>
  <c r="BQ36" i="4"/>
  <c r="BR125" i="4"/>
  <c r="BQ123" i="4"/>
  <c r="BC25" i="8"/>
  <c r="BD25" i="8" s="1"/>
  <c r="BD14" i="8"/>
  <c r="BD60" i="8" s="1"/>
  <c r="BM89" i="4"/>
  <c r="BN29" i="8"/>
  <c r="CO74" i="1"/>
  <c r="CP74" i="1" s="1"/>
  <c r="CQ74" i="1" s="1"/>
  <c r="CS74" i="1" s="1"/>
  <c r="CO136" i="4"/>
  <c r="DC76" i="8"/>
  <c r="CH14" i="8"/>
  <c r="CH60" i="8" s="1"/>
  <c r="DC52" i="4"/>
  <c r="DD151" i="4"/>
  <c r="DD154" i="4" s="1"/>
  <c r="DD159" i="4" s="1"/>
  <c r="DC183" i="4"/>
  <c r="BT34" i="4"/>
  <c r="BT35" i="4"/>
  <c r="BT33" i="4"/>
  <c r="CR191" i="1"/>
  <c r="CR146" i="4"/>
  <c r="CR147" i="4"/>
  <c r="J25" i="8"/>
  <c r="K14" i="8"/>
  <c r="K60" i="8" s="1"/>
  <c r="AT17" i="8"/>
  <c r="AT63" i="8" s="1"/>
  <c r="BV47" i="8"/>
  <c r="BV100" i="8"/>
  <c r="BV102" i="8" s="1"/>
  <c r="CG101" i="8"/>
  <c r="CG33" i="8"/>
  <c r="CH33" i="8" s="1"/>
  <c r="CH79" i="8" s="1"/>
  <c r="CG88" i="4"/>
  <c r="BA32" i="4"/>
  <c r="BB121" i="4"/>
  <c r="BB131" i="4" s="1"/>
  <c r="CG175" i="1"/>
  <c r="CG169" i="1"/>
  <c r="CD36" i="4"/>
  <c r="CD34" i="4"/>
  <c r="CD33" i="4"/>
  <c r="CD35" i="4"/>
  <c r="BQ100" i="8"/>
  <c r="BQ102" i="8" s="1"/>
  <c r="BL103" i="4"/>
  <c r="BU32" i="4"/>
  <c r="BV121" i="4"/>
  <c r="BV131" i="4" s="1"/>
  <c r="BU122" i="4"/>
  <c r="BM159" i="1"/>
  <c r="BM140" i="1"/>
  <c r="BM157" i="1" s="1"/>
  <c r="DB183" i="4"/>
  <c r="AW100" i="8"/>
  <c r="X103" i="4"/>
  <c r="X90" i="4"/>
  <c r="CC196" i="1"/>
  <c r="CC186" i="1"/>
  <c r="CH186" i="1"/>
  <c r="CH202" i="1"/>
  <c r="CC202" i="1"/>
  <c r="BQ177" i="1"/>
  <c r="BS177" i="1" s="1"/>
  <c r="BS165" i="1"/>
  <c r="BS168" i="1" s="1"/>
  <c r="BL123" i="4"/>
  <c r="BL36" i="4"/>
  <c r="BM125" i="4"/>
  <c r="N100" i="8"/>
  <c r="N102" i="8" s="1"/>
  <c r="N47" i="8"/>
  <c r="J33" i="8"/>
  <c r="K33" i="8" s="1"/>
  <c r="K79" i="8" s="1"/>
  <c r="K30" i="8"/>
  <c r="K76" i="8" s="1"/>
  <c r="CC159" i="1"/>
  <c r="CC140" i="1"/>
  <c r="CC157" i="1" s="1"/>
  <c r="BL100" i="8"/>
  <c r="BL47" i="8"/>
  <c r="BC89" i="4"/>
  <c r="BC33" i="8"/>
  <c r="BD33" i="8" s="1"/>
  <c r="BD79" i="8" s="1"/>
  <c r="Z12" i="8"/>
  <c r="Z58" i="8" s="1"/>
  <c r="CR233" i="1"/>
  <c r="CR195" i="1"/>
  <c r="CR230" i="1"/>
  <c r="CW201" i="1"/>
  <c r="CR227" i="1"/>
  <c r="CR224" i="1"/>
  <c r="CW184" i="1"/>
  <c r="CR236" i="1"/>
  <c r="BD91" i="1"/>
  <c r="BC92" i="1"/>
  <c r="CV135" i="4"/>
  <c r="CK100" i="8"/>
  <c r="CK102" i="8" s="1"/>
  <c r="CK47" i="8"/>
  <c r="BQ178" i="1"/>
  <c r="BS178" i="1" s="1"/>
  <c r="BS171" i="1"/>
  <c r="BS174" i="1" s="1"/>
  <c r="CU100" i="8"/>
  <c r="CU102" i="8" s="1"/>
  <c r="BI159" i="1"/>
  <c r="BI140" i="1"/>
  <c r="BI157" i="1" s="1"/>
  <c r="BW25" i="8"/>
  <c r="BX24" i="8"/>
  <c r="BX70" i="8" s="1"/>
  <c r="BP32" i="4"/>
  <c r="BQ121" i="4"/>
  <c r="BQ131" i="4" s="1"/>
  <c r="BR25" i="8"/>
  <c r="BS25" i="8" s="1"/>
  <c r="BS21" i="8"/>
  <c r="BS67" i="8" s="1"/>
  <c r="BW125" i="4"/>
  <c r="BV123" i="4"/>
  <c r="BV36" i="4"/>
  <c r="CQ58" i="1"/>
  <c r="CQ67" i="1"/>
  <c r="BB80" i="1"/>
  <c r="BD76" i="1"/>
  <c r="BB75" i="4"/>
  <c r="BB78" i="1"/>
  <c r="BG100" i="8"/>
  <c r="BG102" i="8" s="1"/>
  <c r="BG47" i="8"/>
  <c r="DC77" i="8"/>
  <c r="BN159" i="1"/>
  <c r="BN140" i="1"/>
  <c r="BN157" i="1" s="1"/>
  <c r="AY30" i="8"/>
  <c r="AY76" i="8" s="1"/>
  <c r="AR47" i="8"/>
  <c r="AT25" i="8"/>
  <c r="AR100" i="8"/>
  <c r="AR102" i="8" s="1"/>
  <c r="AS88" i="4"/>
  <c r="AS101" i="8"/>
  <c r="AS33" i="8"/>
  <c r="AT33" i="8" s="1"/>
  <c r="AT79" i="8" s="1"/>
  <c r="U177" i="1"/>
  <c r="DB52" i="4"/>
  <c r="AX25" i="8"/>
  <c r="AY25" i="8" s="1"/>
  <c r="AY18" i="8"/>
  <c r="AY64" i="8" s="1"/>
  <c r="Y89" i="4"/>
  <c r="Y33" i="8"/>
  <c r="T78" i="1"/>
  <c r="T75" i="4"/>
  <c r="T80" i="1"/>
  <c r="CO103" i="4"/>
  <c r="CN89" i="4"/>
  <c r="CN91" i="4" s="1"/>
  <c r="BK122" i="4"/>
  <c r="BL121" i="4"/>
  <c r="BL131" i="4" s="1"/>
  <c r="BK32" i="4"/>
  <c r="CE105" i="8"/>
  <c r="CE108" i="1"/>
  <c r="O25" i="8"/>
  <c r="P15" i="8"/>
  <c r="P61" i="8" s="1"/>
  <c r="CO57" i="1"/>
  <c r="CO66" i="1"/>
  <c r="CO54" i="1"/>
  <c r="CR53" i="1"/>
  <c r="CB140" i="1"/>
  <c r="CB157" i="1" s="1"/>
  <c r="CB159" i="1"/>
  <c r="BM25" i="8"/>
  <c r="BN25" i="8" s="1"/>
  <c r="BN15" i="8"/>
  <c r="BN61" i="8" s="1"/>
  <c r="BB90" i="4"/>
  <c r="BB103" i="4"/>
  <c r="CH184" i="1"/>
  <c r="CC184" i="1"/>
  <c r="CC201" i="1"/>
  <c r="CC195" i="1"/>
  <c r="CH201" i="1"/>
  <c r="BI30" i="8"/>
  <c r="BI76" i="8" s="1"/>
  <c r="AN25" i="8"/>
  <c r="CV25" i="8"/>
  <c r="CW16" i="8"/>
  <c r="CW62" i="8" s="1"/>
  <c r="AM47" i="8"/>
  <c r="AM100" i="8"/>
  <c r="AM102" i="8" s="1"/>
  <c r="S100" i="8"/>
  <c r="S102" i="8" s="1"/>
  <c r="S47" i="8"/>
  <c r="BJ33" i="4"/>
  <c r="BJ35" i="4"/>
  <c r="BJ34" i="4"/>
  <c r="BB47" i="8"/>
  <c r="BB100" i="8"/>
  <c r="BB102" i="8" s="1"/>
  <c r="AN33" i="8"/>
  <c r="AO33" i="8" s="1"/>
  <c r="AO79" i="8" s="1"/>
  <c r="AO30" i="8"/>
  <c r="AO76" i="8" s="1"/>
  <c r="X100" i="8"/>
  <c r="X102" i="8" s="1"/>
  <c r="X47" i="8"/>
  <c r="CQ75" i="1"/>
  <c r="CQ72" i="1"/>
  <c r="DD31" i="8"/>
  <c r="DD30" i="8"/>
  <c r="DE30" i="4"/>
  <c r="AR90" i="4"/>
  <c r="CF100" i="8"/>
  <c r="CF102" i="8" s="1"/>
  <c r="CF47" i="8"/>
  <c r="AS47" i="8"/>
  <c r="AS100" i="8"/>
  <c r="AT28" i="8"/>
  <c r="BO34" i="4"/>
  <c r="BO35" i="4"/>
  <c r="BO33" i="4"/>
  <c r="CW202" i="1"/>
  <c r="CR218" i="1"/>
  <c r="CR196" i="1"/>
  <c r="CW186" i="1"/>
  <c r="W100" i="8"/>
  <c r="W102" i="8" s="1"/>
  <c r="W47" i="8"/>
  <c r="I100" i="8"/>
  <c r="I102" i="8" s="1"/>
  <c r="I47" i="8"/>
  <c r="K25" i="8"/>
  <c r="AD33" i="8"/>
  <c r="AE30" i="8"/>
  <c r="AE76" i="8" s="1"/>
  <c r="CK25" i="4"/>
  <c r="CL113" i="4"/>
  <c r="CN113" i="4" s="1"/>
  <c r="CK186" i="4"/>
  <c r="CK193" i="4" s="1"/>
  <c r="CK179" i="4"/>
  <c r="CK190" i="4"/>
  <c r="CK187" i="4"/>
  <c r="AV47" i="8"/>
  <c r="AV100" i="8"/>
  <c r="AV102" i="8" s="1"/>
  <c r="CM17" i="8"/>
  <c r="CM63" i="8" s="1"/>
  <c r="DB159" i="4"/>
  <c r="CI78" i="4"/>
  <c r="CI79" i="4" s="1"/>
  <c r="CI81" i="4" s="1"/>
  <c r="DG107" i="1"/>
  <c r="Q78" i="4"/>
  <c r="Q79" i="4" s="1"/>
  <c r="Q81" i="4" s="1"/>
  <c r="BA81" i="1"/>
  <c r="BA79" i="1"/>
  <c r="AT78" i="1"/>
  <c r="AT80" i="1"/>
  <c r="BL72" i="1"/>
  <c r="BL75" i="1"/>
  <c r="U78" i="1"/>
  <c r="U80" i="1"/>
  <c r="AU79" i="1"/>
  <c r="AU81" i="1"/>
  <c r="BO71" i="1"/>
  <c r="BS71" i="1" s="1"/>
  <c r="CM70" i="1"/>
  <c r="CI71" i="1"/>
  <c r="N78" i="4"/>
  <c r="BZ71" i="1"/>
  <c r="R79" i="4"/>
  <c r="R81" i="4" s="1"/>
  <c r="BO78" i="4"/>
  <c r="BO79" i="4" s="1"/>
  <c r="BO81" i="4" s="1"/>
  <c r="AS78" i="4"/>
  <c r="AT78" i="4" s="1"/>
  <c r="AT75" i="4"/>
  <c r="BZ78" i="4"/>
  <c r="BZ79" i="4" s="1"/>
  <c r="BZ81" i="4" s="1"/>
  <c r="BQ72" i="1"/>
  <c r="BQ75" i="1"/>
  <c r="CH71" i="1"/>
  <c r="AW72" i="1"/>
  <c r="BU72" i="1"/>
  <c r="BU75" i="1"/>
  <c r="BX71" i="1"/>
  <c r="AY71" i="1"/>
  <c r="BI71" i="1"/>
  <c r="BP72" i="1"/>
  <c r="BP75" i="1"/>
  <c r="BH140" i="1" l="1"/>
  <c r="BH157" i="1" s="1"/>
  <c r="DF14" i="4"/>
  <c r="DH14" i="4"/>
  <c r="DK142" i="4"/>
  <c r="DP142" i="4" s="1"/>
  <c r="AY168" i="1"/>
  <c r="AT159" i="1"/>
  <c r="DF140" i="4"/>
  <c r="CF79" i="1"/>
  <c r="AE140" i="1"/>
  <c r="AE157" i="1" s="1"/>
  <c r="BN97" i="1"/>
  <c r="P110" i="8"/>
  <c r="P111" i="8" s="1"/>
  <c r="P112" i="8" s="1"/>
  <c r="P59" i="8"/>
  <c r="P94" i="4"/>
  <c r="BQ95" i="4"/>
  <c r="BQ104" i="4" s="1"/>
  <c r="BQ117" i="4"/>
  <c r="BQ105" i="4"/>
  <c r="P101" i="1"/>
  <c r="BR94" i="4"/>
  <c r="BR110" i="8"/>
  <c r="BR111" i="8" s="1"/>
  <c r="BR112" i="8" s="1"/>
  <c r="O105" i="4"/>
  <c r="BS13" i="8"/>
  <c r="CK95" i="4"/>
  <c r="CK104" i="4" s="1"/>
  <c r="CK117" i="4"/>
  <c r="J117" i="4"/>
  <c r="J95" i="4"/>
  <c r="J104" i="4" s="1"/>
  <c r="J105" i="4"/>
  <c r="K110" i="8"/>
  <c r="K111" i="8" s="1"/>
  <c r="K112" i="8" s="1"/>
  <c r="K59" i="8"/>
  <c r="CL110" i="8"/>
  <c r="CL94" i="4"/>
  <c r="CM13" i="8"/>
  <c r="CL25" i="8"/>
  <c r="BG91" i="1"/>
  <c r="BI91" i="1" s="1"/>
  <c r="BI103" i="1"/>
  <c r="BI102" i="1" s="1"/>
  <c r="BA122" i="4"/>
  <c r="CQ22" i="4"/>
  <c r="CR22" i="4" s="1"/>
  <c r="CR110" i="4" s="1"/>
  <c r="CS110" i="4"/>
  <c r="DD21" i="8"/>
  <c r="AO42" i="4"/>
  <c r="AO71" i="4" s="1"/>
  <c r="AN71" i="4"/>
  <c r="AT42" i="4"/>
  <c r="AT71" i="4" s="1"/>
  <c r="AS71" i="4"/>
  <c r="CF72" i="1"/>
  <c r="DC147" i="4"/>
  <c r="DI45" i="4"/>
  <c r="DI147" i="4"/>
  <c r="BG90" i="4"/>
  <c r="DF166" i="4"/>
  <c r="DC57" i="1"/>
  <c r="DE74" i="8"/>
  <c r="DF74" i="8" s="1"/>
  <c r="BP122" i="4"/>
  <c r="DB141" i="4"/>
  <c r="DB17" i="4"/>
  <c r="DB20" i="8"/>
  <c r="DB66" i="8" s="1"/>
  <c r="DA66" i="8"/>
  <c r="BN102" i="1"/>
  <c r="Z25" i="8"/>
  <c r="AT168" i="1"/>
  <c r="DN53" i="1"/>
  <c r="DN54" i="1" s="1"/>
  <c r="DG145" i="4"/>
  <c r="DH173" i="4"/>
  <c r="DG23" i="1"/>
  <c r="I10" i="26" s="1"/>
  <c r="I8" i="26" s="1"/>
  <c r="AY174" i="1"/>
  <c r="BH80" i="1"/>
  <c r="AO101" i="8"/>
  <c r="AO88" i="4"/>
  <c r="AO106" i="4" s="1"/>
  <c r="AO74" i="8"/>
  <c r="Y100" i="8"/>
  <c r="Y102" i="8" s="1"/>
  <c r="AM90" i="4"/>
  <c r="Z40" i="8"/>
  <c r="Z86" i="8" s="1"/>
  <c r="CH36" i="8"/>
  <c r="CH82" i="8" s="1"/>
  <c r="CG96" i="1"/>
  <c r="CG43" i="8"/>
  <c r="CH43" i="8" s="1"/>
  <c r="CH89" i="8" s="1"/>
  <c r="CR95" i="4"/>
  <c r="CR104" i="4" s="1"/>
  <c r="CR117" i="4"/>
  <c r="BL102" i="8"/>
  <c r="AN101" i="8"/>
  <c r="AN88" i="4"/>
  <c r="AN106" i="4" s="1"/>
  <c r="BD180" i="4"/>
  <c r="BD193" i="4"/>
  <c r="BD178" i="4"/>
  <c r="U193" i="4"/>
  <c r="U178" i="4"/>
  <c r="U180" i="4"/>
  <c r="AO178" i="4"/>
  <c r="AO193" i="4"/>
  <c r="AO180" i="4"/>
  <c r="CR178" i="4"/>
  <c r="CR180" i="4"/>
  <c r="CR193" i="4"/>
  <c r="DQ12" i="4"/>
  <c r="AY180" i="4"/>
  <c r="AY193" i="4"/>
  <c r="AY178" i="4"/>
  <c r="DI140" i="4"/>
  <c r="DQ13" i="4"/>
  <c r="DM46" i="4"/>
  <c r="DQ11" i="1"/>
  <c r="DN168" i="4"/>
  <c r="DN14" i="4"/>
  <c r="DO168" i="4"/>
  <c r="DO14" i="4"/>
  <c r="DO169" i="4"/>
  <c r="DQ17" i="1"/>
  <c r="DM169" i="4"/>
  <c r="DO140" i="4"/>
  <c r="DN27" i="1"/>
  <c r="DN30" i="1"/>
  <c r="DN101" i="8"/>
  <c r="DM88" i="4"/>
  <c r="DM28" i="8" s="1"/>
  <c r="DM23" i="1"/>
  <c r="DM37" i="1"/>
  <c r="DM28" i="1"/>
  <c r="DM43" i="1"/>
  <c r="DM26" i="1"/>
  <c r="DM32" i="1" s="1"/>
  <c r="DM24" i="1"/>
  <c r="DM39" i="1"/>
  <c r="DQ22" i="1"/>
  <c r="DM62" i="1"/>
  <c r="DM14" i="4"/>
  <c r="DP20" i="8"/>
  <c r="DN41" i="1"/>
  <c r="DN46" i="1"/>
  <c r="DO88" i="4"/>
  <c r="DO28" i="8" s="1"/>
  <c r="DO62" i="1"/>
  <c r="DO28" i="1"/>
  <c r="DO37" i="1"/>
  <c r="DO39" i="1"/>
  <c r="DO23" i="1"/>
  <c r="DO24" i="1"/>
  <c r="DO43" i="1"/>
  <c r="DO26" i="1"/>
  <c r="DO46" i="4"/>
  <c r="DP88" i="4"/>
  <c r="DP28" i="8" s="1"/>
  <c r="DP62" i="1"/>
  <c r="DP28" i="1"/>
  <c r="DP39" i="1"/>
  <c r="DP37" i="1"/>
  <c r="DP23" i="1"/>
  <c r="DP24" i="1"/>
  <c r="DP43" i="1"/>
  <c r="DP26" i="1"/>
  <c r="DP46" i="4"/>
  <c r="DH140" i="4"/>
  <c r="DK168" i="4"/>
  <c r="DK166" i="4" s="1"/>
  <c r="DP169" i="4"/>
  <c r="DN169" i="4"/>
  <c r="DF20" i="8"/>
  <c r="DE21" i="8"/>
  <c r="AT117" i="4"/>
  <c r="CU90" i="4"/>
  <c r="AJ105" i="4"/>
  <c r="AT105" i="4"/>
  <c r="AO97" i="1"/>
  <c r="Z101" i="1"/>
  <c r="CH101" i="1"/>
  <c r="DI173" i="4"/>
  <c r="DH57" i="1"/>
  <c r="BN168" i="1"/>
  <c r="AJ168" i="1"/>
  <c r="CC94" i="4"/>
  <c r="CC95" i="4" s="1"/>
  <c r="CC104" i="4" s="1"/>
  <c r="CC59" i="8"/>
  <c r="CC110" i="8"/>
  <c r="CC111" i="8" s="1"/>
  <c r="CC112" i="8" s="1"/>
  <c r="T100" i="8"/>
  <c r="U25" i="8"/>
  <c r="U100" i="8" s="1"/>
  <c r="CF95" i="4"/>
  <c r="CF104" i="4" s="1"/>
  <c r="CF117" i="4"/>
  <c r="CL101" i="1"/>
  <c r="CL103" i="1" s="1"/>
  <c r="CL91" i="1" s="1"/>
  <c r="CL43" i="8"/>
  <c r="AX80" i="1"/>
  <c r="AX75" i="4"/>
  <c r="AX78" i="4" s="1"/>
  <c r="AX79" i="4" s="1"/>
  <c r="AX81" i="4" s="1"/>
  <c r="AX78" i="1"/>
  <c r="CR201" i="1"/>
  <c r="BM33" i="8"/>
  <c r="BN33" i="8" s="1"/>
  <c r="BN79" i="8" s="1"/>
  <c r="DG43" i="1"/>
  <c r="DG44" i="1" s="1"/>
  <c r="DE68" i="8"/>
  <c r="BI74" i="8"/>
  <c r="BI101" i="8"/>
  <c r="BI88" i="4"/>
  <c r="BI106" i="4" s="1"/>
  <c r="CG110" i="8"/>
  <c r="CG111" i="8" s="1"/>
  <c r="CG112" i="8" s="1"/>
  <c r="CG94" i="4"/>
  <c r="BW89" i="4"/>
  <c r="BW33" i="8"/>
  <c r="BX33" i="8" s="1"/>
  <c r="BX79" i="8" s="1"/>
  <c r="DF36" i="8"/>
  <c r="DF38" i="8" s="1"/>
  <c r="DG38" i="8" s="1"/>
  <c r="DG84" i="8" s="1"/>
  <c r="DG60" i="4"/>
  <c r="DH60" i="4"/>
  <c r="AF108" i="1"/>
  <c r="AF105" i="8"/>
  <c r="CG25" i="8"/>
  <c r="AI15" i="8"/>
  <c r="AH25" i="8"/>
  <c r="BM117" i="4"/>
  <c r="BM105" i="4"/>
  <c r="BM95" i="4"/>
  <c r="BM104" i="4" s="1"/>
  <c r="T88" i="4"/>
  <c r="T101" i="8"/>
  <c r="U28" i="8"/>
  <c r="BV90" i="4"/>
  <c r="BV103" i="4"/>
  <c r="CM40" i="8"/>
  <c r="CM86" i="8" s="1"/>
  <c r="AG100" i="8"/>
  <c r="AG102" i="8" s="1"/>
  <c r="AG47" i="8"/>
  <c r="O80" i="1"/>
  <c r="P76" i="1"/>
  <c r="O78" i="1"/>
  <c r="O75" i="4"/>
  <c r="CB94" i="4"/>
  <c r="CB110" i="8"/>
  <c r="CB111" i="8" s="1"/>
  <c r="CB112" i="8" s="1"/>
  <c r="CB25" i="8"/>
  <c r="Y96" i="1"/>
  <c r="Y98" i="1" s="1"/>
  <c r="Y90" i="1" s="1"/>
  <c r="Y92" i="1" s="1"/>
  <c r="Y43" i="8"/>
  <c r="Z43" i="8" s="1"/>
  <c r="Z89" i="8" s="1"/>
  <c r="CW28" i="8"/>
  <c r="CV88" i="4"/>
  <c r="CV106" i="4" s="1"/>
  <c r="CV101" i="8"/>
  <c r="BH94" i="4"/>
  <c r="BH110" i="8"/>
  <c r="BI13" i="8"/>
  <c r="BN59" i="8"/>
  <c r="BN94" i="4"/>
  <c r="BN110" i="8"/>
  <c r="BN111" i="8" s="1"/>
  <c r="BN112" i="8" s="1"/>
  <c r="S106" i="4"/>
  <c r="S90" i="4"/>
  <c r="AD96" i="1"/>
  <c r="AE36" i="8"/>
  <c r="AE82" i="8" s="1"/>
  <c r="BH25" i="8"/>
  <c r="O90" i="4"/>
  <c r="O103" i="4"/>
  <c r="DH54" i="1"/>
  <c r="BX174" i="1"/>
  <c r="CV33" i="8"/>
  <c r="DE55" i="1"/>
  <c r="DE16" i="8" s="1"/>
  <c r="U13" i="8"/>
  <c r="BS96" i="1"/>
  <c r="CK77" i="4"/>
  <c r="CL77" i="4"/>
  <c r="CF105" i="4"/>
  <c r="AS117" i="4"/>
  <c r="AS95" i="4"/>
  <c r="AS104" i="4" s="1"/>
  <c r="BH88" i="4"/>
  <c r="BH106" i="4" s="1"/>
  <c r="BH101" i="8"/>
  <c r="CA95" i="4"/>
  <c r="CA104" i="4" s="1"/>
  <c r="CA117" i="4"/>
  <c r="X98" i="1"/>
  <c r="BW96" i="1"/>
  <c r="BW98" i="1" s="1"/>
  <c r="BW90" i="1" s="1"/>
  <c r="BW43" i="8"/>
  <c r="BX43" i="8" s="1"/>
  <c r="BX89" i="8" s="1"/>
  <c r="BG95" i="4"/>
  <c r="BG104" i="4" s="1"/>
  <c r="BG117" i="4"/>
  <c r="BX96" i="1"/>
  <c r="P29" i="8"/>
  <c r="T94" i="4"/>
  <c r="T110" i="8"/>
  <c r="T111" i="8" s="1"/>
  <c r="T112" i="8" s="1"/>
  <c r="AG90" i="1"/>
  <c r="AJ98" i="1"/>
  <c r="DD84" i="8"/>
  <c r="DE84" i="8" s="1"/>
  <c r="AC47" i="8"/>
  <c r="DF21" i="8"/>
  <c r="CH13" i="8"/>
  <c r="BX29" i="8"/>
  <c r="S95" i="4"/>
  <c r="S104" i="4" s="1"/>
  <c r="S117" i="4"/>
  <c r="BQ90" i="1"/>
  <c r="BS90" i="1" s="1"/>
  <c r="BS98" i="1"/>
  <c r="CK103" i="1"/>
  <c r="AJ96" i="1"/>
  <c r="DE82" i="8"/>
  <c r="BH33" i="8"/>
  <c r="BI33" i="8" s="1"/>
  <c r="BI79" i="8" s="1"/>
  <c r="BU90" i="1"/>
  <c r="J90" i="1"/>
  <c r="K98" i="1"/>
  <c r="K97" i="1" s="1"/>
  <c r="S105" i="4"/>
  <c r="N103" i="4"/>
  <c r="N90" i="4"/>
  <c r="Z36" i="8"/>
  <c r="Z82" i="8" s="1"/>
  <c r="Z33" i="8"/>
  <c r="Z79" i="8" s="1"/>
  <c r="AC108" i="1"/>
  <c r="CC168" i="1"/>
  <c r="DG28" i="1"/>
  <c r="Z78" i="4"/>
  <c r="CS80" i="1"/>
  <c r="Z75" i="4"/>
  <c r="AS102" i="8"/>
  <c r="AS105" i="8" s="1"/>
  <c r="AJ89" i="4"/>
  <c r="AJ75" i="8"/>
  <c r="U103" i="4"/>
  <c r="AN105" i="4"/>
  <c r="AN95" i="4"/>
  <c r="AN104" i="4" s="1"/>
  <c r="AN117" i="4"/>
  <c r="CF91" i="1"/>
  <c r="CH103" i="1"/>
  <c r="AW102" i="8"/>
  <c r="AW105" i="8" s="1"/>
  <c r="BL90" i="4"/>
  <c r="T47" i="8"/>
  <c r="U47" i="8" s="1"/>
  <c r="AI90" i="4"/>
  <c r="AI103" i="4"/>
  <c r="AO94" i="4"/>
  <c r="AO110" i="8"/>
  <c r="AO111" i="8" s="1"/>
  <c r="AO112" i="8" s="1"/>
  <c r="AO59" i="8"/>
  <c r="AJ95" i="4"/>
  <c r="AJ104" i="4" s="1"/>
  <c r="AJ117" i="4"/>
  <c r="CR96" i="1"/>
  <c r="CQ98" i="1"/>
  <c r="K81" i="1"/>
  <c r="DD20" i="8"/>
  <c r="BI168" i="1"/>
  <c r="AO168" i="1"/>
  <c r="BF81" i="1"/>
  <c r="BF79" i="1"/>
  <c r="CB75" i="1"/>
  <c r="CB81" i="1" s="1"/>
  <c r="BM72" i="1"/>
  <c r="BM75" i="1"/>
  <c r="BM79" i="1" s="1"/>
  <c r="CD72" i="1"/>
  <c r="BJ178" i="1"/>
  <c r="BN178" i="1" s="1"/>
  <c r="BN171" i="1"/>
  <c r="BN174" i="1" s="1"/>
  <c r="DG62" i="1"/>
  <c r="N159" i="1"/>
  <c r="N140" i="1"/>
  <c r="N157" i="1" s="1"/>
  <c r="CS78" i="1"/>
  <c r="CP76" i="1"/>
  <c r="CP80" i="1" s="1"/>
  <c r="CP73" i="1"/>
  <c r="CQ76" i="1"/>
  <c r="CQ80" i="1" s="1"/>
  <c r="CQ73" i="1"/>
  <c r="CN76" i="1"/>
  <c r="CN75" i="4" s="1"/>
  <c r="CN73" i="1"/>
  <c r="CV76" i="1"/>
  <c r="CV78" i="1" s="1"/>
  <c r="CV73" i="1"/>
  <c r="CZ147" i="4"/>
  <c r="CZ146" i="4"/>
  <c r="DE146" i="4" s="1"/>
  <c r="DJ146" i="4" s="1"/>
  <c r="DO146" i="4" s="1"/>
  <c r="CL112" i="4"/>
  <c r="CN112" i="4" s="1"/>
  <c r="CO112" i="4" s="1"/>
  <c r="CP112" i="4" s="1"/>
  <c r="CK24" i="4"/>
  <c r="DD67" i="8"/>
  <c r="BW71" i="4"/>
  <c r="CM42" i="4"/>
  <c r="CM71" i="4" s="1"/>
  <c r="CL71" i="4"/>
  <c r="BS125" i="4"/>
  <c r="BS127" i="4" s="1"/>
  <c r="BN123" i="4"/>
  <c r="BS121" i="4" s="1"/>
  <c r="BS131" i="4" s="1"/>
  <c r="BX71" i="4"/>
  <c r="CQ23" i="4"/>
  <c r="CR23" i="4" s="1"/>
  <c r="CR111" i="4" s="1"/>
  <c r="CS111" i="4"/>
  <c r="DF22" i="8"/>
  <c r="DG22" i="8" s="1"/>
  <c r="DG68" i="8" s="1"/>
  <c r="DB60" i="1"/>
  <c r="DB162" i="4" s="1"/>
  <c r="DB64" i="1"/>
  <c r="DD57" i="1"/>
  <c r="DE20" i="8"/>
  <c r="DJ26" i="1"/>
  <c r="DJ32" i="1" s="1"/>
  <c r="DE53" i="1"/>
  <c r="DE46" i="1"/>
  <c r="H11" i="26"/>
  <c r="H8" i="26" s="1"/>
  <c r="H7" i="26" s="1"/>
  <c r="DK26" i="1"/>
  <c r="DK32" i="1" s="1"/>
  <c r="CT90" i="1"/>
  <c r="CT92" i="1" s="1"/>
  <c r="CW94" i="4"/>
  <c r="CW110" i="8"/>
  <c r="CW59" i="8"/>
  <c r="CH89" i="4"/>
  <c r="CH103" i="4" s="1"/>
  <c r="CH75" i="8"/>
  <c r="CS90" i="1"/>
  <c r="O90" i="1"/>
  <c r="P98" i="1"/>
  <c r="P97" i="1" s="1"/>
  <c r="CV95" i="4"/>
  <c r="CV104" i="4" s="1"/>
  <c r="CV105" i="4"/>
  <c r="CV117" i="4"/>
  <c r="AJ43" i="8"/>
  <c r="AJ89" i="8" s="1"/>
  <c r="BS75" i="8"/>
  <c r="BS89" i="4"/>
  <c r="BW91" i="1"/>
  <c r="BX103" i="1"/>
  <c r="BX102" i="1" s="1"/>
  <c r="BD92" i="1"/>
  <c r="DC20" i="8"/>
  <c r="DC66" i="8" s="1"/>
  <c r="DC172" i="4"/>
  <c r="DI167" i="4"/>
  <c r="DI166" i="4" s="1"/>
  <c r="DI13" i="4"/>
  <c r="DI172" i="4" s="1"/>
  <c r="BI174" i="1"/>
  <c r="BW140" i="1"/>
  <c r="BW157" i="1" s="1"/>
  <c r="BW159" i="1"/>
  <c r="CE175" i="1"/>
  <c r="CE171" i="1" s="1"/>
  <c r="CE178" i="1" s="1"/>
  <c r="CE169" i="1"/>
  <c r="CE165" i="1" s="1"/>
  <c r="CE177" i="1" s="1"/>
  <c r="O159" i="1"/>
  <c r="O140" i="1"/>
  <c r="O157" i="1" s="1"/>
  <c r="AR140" i="1"/>
  <c r="AR157" i="1" s="1"/>
  <c r="CQ159" i="1"/>
  <c r="CQ140" i="1"/>
  <c r="CQ157" i="1" s="1"/>
  <c r="CF172" i="1"/>
  <c r="CH163" i="1"/>
  <c r="CH172" i="1" s="1"/>
  <c r="CH140" i="1"/>
  <c r="CH157" i="1" s="1"/>
  <c r="AX159" i="1"/>
  <c r="AX140" i="1"/>
  <c r="AX157" i="1" s="1"/>
  <c r="P159" i="1"/>
  <c r="P140" i="1"/>
  <c r="P157" i="1" s="1"/>
  <c r="BT72" i="1"/>
  <c r="CB72" i="1"/>
  <c r="CK72" i="1"/>
  <c r="BY72" i="1"/>
  <c r="AD106" i="4"/>
  <c r="AD90" i="4"/>
  <c r="P33" i="8"/>
  <c r="P79" i="8" s="1"/>
  <c r="CR89" i="4"/>
  <c r="CR103" i="4" s="1"/>
  <c r="CR75" i="8"/>
  <c r="BH103" i="4"/>
  <c r="AE74" i="8"/>
  <c r="AE88" i="4"/>
  <c r="AE101" i="8"/>
  <c r="BI89" i="4"/>
  <c r="BI75" i="8"/>
  <c r="BN74" i="8"/>
  <c r="BN88" i="4"/>
  <c r="BN106" i="4" s="1"/>
  <c r="BN101" i="8"/>
  <c r="CQ33" i="8"/>
  <c r="CQ47" i="8" s="1"/>
  <c r="CR47" i="8" s="1"/>
  <c r="CQ88" i="4"/>
  <c r="CQ101" i="8"/>
  <c r="CQ102" i="8" s="1"/>
  <c r="AN90" i="4"/>
  <c r="AN103" i="4"/>
  <c r="CA105" i="8"/>
  <c r="CA108" i="1"/>
  <c r="AX101" i="8"/>
  <c r="AX88" i="4"/>
  <c r="AY28" i="8"/>
  <c r="CR28" i="8"/>
  <c r="AB108" i="1"/>
  <c r="AB105" i="8"/>
  <c r="CV103" i="4"/>
  <c r="BF90" i="1"/>
  <c r="BM88" i="4"/>
  <c r="BM106" i="4" s="1"/>
  <c r="BM101" i="8"/>
  <c r="AO89" i="4"/>
  <c r="AO75" i="8"/>
  <c r="BR106" i="4"/>
  <c r="BR90" i="4"/>
  <c r="CA106" i="4"/>
  <c r="CA90" i="4"/>
  <c r="AX101" i="1"/>
  <c r="AY101" i="1" s="1"/>
  <c r="AX43" i="8"/>
  <c r="AY43" i="8" s="1"/>
  <c r="AY89" i="8" s="1"/>
  <c r="AY40" i="8"/>
  <c r="AY86" i="8" s="1"/>
  <c r="BH96" i="1"/>
  <c r="BH98" i="1" s="1"/>
  <c r="BH90" i="1" s="1"/>
  <c r="BH92" i="1" s="1"/>
  <c r="BH43" i="8"/>
  <c r="BI36" i="8"/>
  <c r="BI82" i="8" s="1"/>
  <c r="AW106" i="4"/>
  <c r="AW90" i="4"/>
  <c r="V96" i="8"/>
  <c r="W95" i="8"/>
  <c r="W96" i="8" s="1"/>
  <c r="Y95" i="8"/>
  <c r="Y96" i="8" s="1"/>
  <c r="AA95" i="8" s="1"/>
  <c r="X95" i="8"/>
  <c r="X96" i="8" s="1"/>
  <c r="BR101" i="1"/>
  <c r="BS40" i="8"/>
  <c r="BS86" i="8" s="1"/>
  <c r="BR43" i="8"/>
  <c r="BS43" i="8" s="1"/>
  <c r="BS89" i="8" s="1"/>
  <c r="AD101" i="1"/>
  <c r="AE101" i="1" s="1"/>
  <c r="AD43" i="8"/>
  <c r="AE43" i="8" s="1"/>
  <c r="AE89" i="8" s="1"/>
  <c r="CB88" i="4"/>
  <c r="CB101" i="8"/>
  <c r="CB33" i="8"/>
  <c r="CC28" i="8"/>
  <c r="CV41" i="8"/>
  <c r="CU43" i="8"/>
  <c r="CU47" i="8" s="1"/>
  <c r="AE15" i="8"/>
  <c r="AE61" i="8" s="1"/>
  <c r="AD25" i="8"/>
  <c r="AE40" i="8"/>
  <c r="AE86" i="8" s="1"/>
  <c r="P31" i="8"/>
  <c r="P77" i="8" s="1"/>
  <c r="AV33" i="4"/>
  <c r="AV34" i="4"/>
  <c r="AV35" i="4"/>
  <c r="AW32" i="4"/>
  <c r="AW122" i="4"/>
  <c r="AX121" i="4"/>
  <c r="Z180" i="4"/>
  <c r="Z178" i="4"/>
  <c r="Z193" i="4"/>
  <c r="CW67" i="4"/>
  <c r="CV71" i="4"/>
  <c r="AE180" i="4"/>
  <c r="AE193" i="4"/>
  <c r="AE178" i="4"/>
  <c r="BF32" i="4"/>
  <c r="BF122" i="4"/>
  <c r="BG121" i="4"/>
  <c r="BG131" i="4" s="1"/>
  <c r="CB125" i="4"/>
  <c r="CA123" i="4"/>
  <c r="CA36" i="4"/>
  <c r="CP21" i="4"/>
  <c r="CQ109" i="4"/>
  <c r="BY35" i="4"/>
  <c r="BY34" i="4"/>
  <c r="BY33" i="4"/>
  <c r="BG36" i="4"/>
  <c r="BG123" i="4"/>
  <c r="BH125" i="4"/>
  <c r="BZ32" i="4"/>
  <c r="CA121" i="4"/>
  <c r="CA131" i="4" s="1"/>
  <c r="BZ122" i="4"/>
  <c r="BE34" i="4"/>
  <c r="BE33" i="4"/>
  <c r="BE35" i="4"/>
  <c r="AF178" i="1"/>
  <c r="AJ178" i="1" s="1"/>
  <c r="AJ171" i="1"/>
  <c r="AJ174" i="1" s="1"/>
  <c r="DG28" i="8"/>
  <c r="DG101" i="8" s="1"/>
  <c r="BS159" i="1"/>
  <c r="BS140" i="1"/>
  <c r="BS157" i="1" s="1"/>
  <c r="CX75" i="1"/>
  <c r="CX72" i="1"/>
  <c r="I76" i="1" s="1"/>
  <c r="DH13" i="4"/>
  <c r="DH20" i="8" s="1"/>
  <c r="DH66" i="8" s="1"/>
  <c r="DH167" i="4"/>
  <c r="DH166" i="4" s="1"/>
  <c r="BQ159" i="1"/>
  <c r="BQ140" i="1"/>
  <c r="BQ157" i="1" s="1"/>
  <c r="AP178" i="1"/>
  <c r="AT178" i="1" s="1"/>
  <c r="AT171" i="1"/>
  <c r="AT174" i="1" s="1"/>
  <c r="CX58" i="1"/>
  <c r="CX67" i="1"/>
  <c r="CF159" i="1"/>
  <c r="CF140" i="1"/>
  <c r="CF157" i="1" s="1"/>
  <c r="BX168" i="1"/>
  <c r="BK79" i="1"/>
  <c r="CT79" i="1"/>
  <c r="CT81" i="1"/>
  <c r="CY58" i="1"/>
  <c r="CY67" i="1"/>
  <c r="DI34" i="1"/>
  <c r="DI58" i="1" s="1"/>
  <c r="AS79" i="1"/>
  <c r="AS81" i="1"/>
  <c r="DI48" i="4"/>
  <c r="DI49" i="4" s="1"/>
  <c r="V79" i="4"/>
  <c r="V81" i="4" s="1"/>
  <c r="AK79" i="1"/>
  <c r="AN111" i="8" s="1"/>
  <c r="AN112" i="8" s="1"/>
  <c r="BD66" i="1"/>
  <c r="BD72" i="1" s="1"/>
  <c r="AV75" i="1"/>
  <c r="AV81" i="1" s="1"/>
  <c r="BE81" i="1"/>
  <c r="BE79" i="1"/>
  <c r="CC66" i="1"/>
  <c r="DI21" i="8"/>
  <c r="CG75" i="1"/>
  <c r="CG79" i="1" s="1"/>
  <c r="BC72" i="1"/>
  <c r="BI66" i="1"/>
  <c r="BI72" i="1" s="1"/>
  <c r="CR186" i="1"/>
  <c r="DC55" i="4"/>
  <c r="AE75" i="4"/>
  <c r="AB78" i="4"/>
  <c r="DB173" i="4"/>
  <c r="AX66" i="1"/>
  <c r="AX54" i="1"/>
  <c r="BX146" i="4"/>
  <c r="BX147" i="4"/>
  <c r="BX191" i="1"/>
  <c r="BS146" i="4"/>
  <c r="BS191" i="1"/>
  <c r="BS147" i="4"/>
  <c r="BH75" i="1"/>
  <c r="BH72" i="1"/>
  <c r="BW54" i="1"/>
  <c r="BW66" i="1"/>
  <c r="BX66" i="1" s="1"/>
  <c r="BX72" i="1" s="1"/>
  <c r="CN81" i="1"/>
  <c r="CN79" i="1"/>
  <c r="BR66" i="1"/>
  <c r="BR54" i="1"/>
  <c r="BS53" i="1"/>
  <c r="BS54" i="1" s="1"/>
  <c r="CV81" i="1"/>
  <c r="CV79" i="1"/>
  <c r="CJ75" i="1"/>
  <c r="CJ72" i="1"/>
  <c r="DA16" i="8"/>
  <c r="DB55" i="1"/>
  <c r="CJ65" i="4"/>
  <c r="CK63" i="4"/>
  <c r="CK64" i="4" s="1"/>
  <c r="AQ75" i="1"/>
  <c r="AQ72" i="1"/>
  <c r="AT66" i="1"/>
  <c r="AT72" i="1" s="1"/>
  <c r="CH78" i="1"/>
  <c r="CH80" i="1"/>
  <c r="CE72" i="1"/>
  <c r="CE75" i="1"/>
  <c r="AH81" i="1"/>
  <c r="AH79" i="1"/>
  <c r="AH76" i="1" s="1"/>
  <c r="CG78" i="4"/>
  <c r="CH75" i="4"/>
  <c r="BR78" i="1"/>
  <c r="BR75" i="4"/>
  <c r="BR78" i="4" s="1"/>
  <c r="BR79" i="4" s="1"/>
  <c r="BR81" i="4" s="1"/>
  <c r="BR80" i="1"/>
  <c r="DH34" i="1"/>
  <c r="DH45" i="4"/>
  <c r="DI23" i="8" s="1"/>
  <c r="CM201" i="1"/>
  <c r="CM224" i="1"/>
  <c r="CR226" i="1" s="1"/>
  <c r="CM195" i="1"/>
  <c r="CM233" i="1"/>
  <c r="CR235" i="1" s="1"/>
  <c r="CM184" i="1"/>
  <c r="CM227" i="1"/>
  <c r="CR229" i="1" s="1"/>
  <c r="CM236" i="1"/>
  <c r="CR238" i="1" s="1"/>
  <c r="CM230" i="1"/>
  <c r="CR232" i="1" s="1"/>
  <c r="DB172" i="4"/>
  <c r="F8" i="26"/>
  <c r="E8" i="26"/>
  <c r="AE192" i="1"/>
  <c r="AJ192" i="1"/>
  <c r="DG13" i="4"/>
  <c r="DF172" i="4"/>
  <c r="AD81" i="1"/>
  <c r="AD79" i="1"/>
  <c r="AO192" i="1"/>
  <c r="AT192" i="1"/>
  <c r="AZ72" i="1"/>
  <c r="AZ75" i="1"/>
  <c r="BD75" i="1" s="1"/>
  <c r="CR189" i="1"/>
  <c r="CM189" i="1"/>
  <c r="AY192" i="1"/>
  <c r="AV76" i="1" s="1"/>
  <c r="DK24" i="1"/>
  <c r="DK23" i="1"/>
  <c r="DK43" i="1"/>
  <c r="DK13" i="4"/>
  <c r="DP172" i="4" s="1"/>
  <c r="DK28" i="1"/>
  <c r="DK39" i="1"/>
  <c r="DK88" i="4"/>
  <c r="DK28" i="8" s="1"/>
  <c r="DK101" i="8" s="1"/>
  <c r="DK46" i="4"/>
  <c r="DK62" i="1"/>
  <c r="DK37" i="1"/>
  <c r="DG26" i="1"/>
  <c r="DG27" i="1" s="1"/>
  <c r="DF53" i="1"/>
  <c r="BD192" i="1"/>
  <c r="DB167" i="4"/>
  <c r="AC72" i="1"/>
  <c r="AC75" i="1"/>
  <c r="AE66" i="1"/>
  <c r="AE72" i="1" s="1"/>
  <c r="CZ55" i="4"/>
  <c r="DG32" i="1"/>
  <c r="DG33" i="1" s="1"/>
  <c r="CM167" i="4"/>
  <c r="CM166" i="4" s="1"/>
  <c r="CM140" i="4"/>
  <c r="AN72" i="1"/>
  <c r="AN75" i="1"/>
  <c r="AO66" i="1"/>
  <c r="AO72" i="1" s="1"/>
  <c r="CM218" i="1"/>
  <c r="CR220" i="1" s="1"/>
  <c r="CM186" i="1"/>
  <c r="CM196" i="1"/>
  <c r="CM202" i="1"/>
  <c r="DG14" i="4"/>
  <c r="DH21" i="8"/>
  <c r="DH67" i="8" s="1"/>
  <c r="DF173" i="4"/>
  <c r="DB21" i="8"/>
  <c r="DB67" i="8" s="1"/>
  <c r="CL66" i="1"/>
  <c r="CL54" i="1"/>
  <c r="CM53" i="1"/>
  <c r="DJ140" i="4"/>
  <c r="DJ14" i="4"/>
  <c r="DJ168" i="4"/>
  <c r="DJ166" i="4" s="1"/>
  <c r="DF46" i="1"/>
  <c r="DF41" i="1"/>
  <c r="DG41" i="1" s="1"/>
  <c r="DG37" i="1"/>
  <c r="DG38" i="1" s="1"/>
  <c r="DF55" i="1"/>
  <c r="DJ23" i="1"/>
  <c r="DJ24" i="1"/>
  <c r="DJ28" i="1"/>
  <c r="DJ88" i="4"/>
  <c r="DJ28" i="8" s="1"/>
  <c r="DJ62" i="1"/>
  <c r="DJ39" i="1"/>
  <c r="DJ37" i="1"/>
  <c r="DJ13" i="4"/>
  <c r="DJ43" i="1"/>
  <c r="DJ46" i="4"/>
  <c r="DL22" i="1"/>
  <c r="BG72" i="1"/>
  <c r="BG75" i="1"/>
  <c r="BG81" i="1" s="1"/>
  <c r="BT111" i="8"/>
  <c r="BT112" i="8" s="1"/>
  <c r="AL75" i="4"/>
  <c r="AO76" i="1"/>
  <c r="AL80" i="1"/>
  <c r="AL78" i="1"/>
  <c r="CA80" i="1"/>
  <c r="CA75" i="4"/>
  <c r="CA78" i="1"/>
  <c r="CC76" i="1"/>
  <c r="DC58" i="1"/>
  <c r="CV97" i="1"/>
  <c r="CU98" i="1"/>
  <c r="BN192" i="1"/>
  <c r="BI192" i="1"/>
  <c r="DE27" i="1"/>
  <c r="DE30" i="1"/>
  <c r="DE147" i="4" s="1"/>
  <c r="BG76" i="1"/>
  <c r="P81" i="1"/>
  <c r="P79" i="1"/>
  <c r="BB79" i="1"/>
  <c r="BB81" i="1"/>
  <c r="CT78" i="4"/>
  <c r="CT79" i="4" s="1"/>
  <c r="CT81" i="4" s="1"/>
  <c r="DD45" i="4"/>
  <c r="DD34" i="1"/>
  <c r="DD48" i="4"/>
  <c r="CP111" i="8"/>
  <c r="CP112" i="8" s="1"/>
  <c r="CP79" i="1"/>
  <c r="CP81" i="1"/>
  <c r="T79" i="1"/>
  <c r="T81" i="1"/>
  <c r="U75" i="1"/>
  <c r="DA246" i="1"/>
  <c r="DA251" i="1" s="1"/>
  <c r="CW243" i="1"/>
  <c r="W81" i="1"/>
  <c r="W79" i="1"/>
  <c r="Z75" i="1"/>
  <c r="DI54" i="1"/>
  <c r="DC62" i="8"/>
  <c r="AI81" i="1"/>
  <c r="AI79" i="1"/>
  <c r="AJ75" i="1"/>
  <c r="CA72" i="1"/>
  <c r="CH66" i="1"/>
  <c r="CH72" i="1" s="1"/>
  <c r="D25" i="26" s="1"/>
  <c r="AI76" i="1"/>
  <c r="BX177" i="1"/>
  <c r="BV75" i="1"/>
  <c r="BV72" i="1"/>
  <c r="CW66" i="1"/>
  <c r="CW72" i="1" s="1"/>
  <c r="G14" i="26"/>
  <c r="CW57" i="1"/>
  <c r="CW54" i="1"/>
  <c r="CH54" i="1"/>
  <c r="D14" i="26"/>
  <c r="BU111" i="8"/>
  <c r="BU112" i="8" s="1"/>
  <c r="BU76" i="1" s="1"/>
  <c r="CH192" i="1"/>
  <c r="CM192" i="1"/>
  <c r="CI111" i="8" s="1"/>
  <c r="CI112" i="8" s="1"/>
  <c r="CU72" i="1"/>
  <c r="CA75" i="1"/>
  <c r="CA81" i="1" s="1"/>
  <c r="CU58" i="1"/>
  <c r="CU67" i="1"/>
  <c r="DI62" i="8"/>
  <c r="BS100" i="8"/>
  <c r="BS102" i="8" s="1"/>
  <c r="BS105" i="8" s="1"/>
  <c r="BS71" i="8"/>
  <c r="BN100" i="8"/>
  <c r="BN71" i="8"/>
  <c r="CK178" i="4"/>
  <c r="CK194" i="4"/>
  <c r="CK177" i="4"/>
  <c r="W108" i="1"/>
  <c r="W105" i="8"/>
  <c r="CQ79" i="1"/>
  <c r="CQ81" i="1"/>
  <c r="X108" i="1"/>
  <c r="X105" i="8"/>
  <c r="BD71" i="8"/>
  <c r="BD100" i="8"/>
  <c r="BD102" i="8" s="1"/>
  <c r="S108" i="1"/>
  <c r="S105" i="8"/>
  <c r="CR54" i="1"/>
  <c r="F14" i="26"/>
  <c r="CR66" i="1"/>
  <c r="CR72" i="1" s="1"/>
  <c r="CR57" i="1"/>
  <c r="CN20" i="4"/>
  <c r="CN27" i="4" s="1"/>
  <c r="CO87" i="4"/>
  <c r="CO89" i="4" s="1"/>
  <c r="CN100" i="4"/>
  <c r="CN105" i="4" s="1"/>
  <c r="U75" i="4"/>
  <c r="T78" i="4"/>
  <c r="T79" i="4" s="1"/>
  <c r="T81" i="4" s="1"/>
  <c r="AS106" i="4"/>
  <c r="AS90" i="4"/>
  <c r="DD77" i="8"/>
  <c r="CW238" i="1"/>
  <c r="CW235" i="1"/>
  <c r="AW108" i="1"/>
  <c r="CS78" i="4"/>
  <c r="CS79" i="4" s="1"/>
  <c r="CS81" i="4" s="1"/>
  <c r="BQ105" i="8"/>
  <c r="BQ108" i="1"/>
  <c r="CG165" i="1"/>
  <c r="BA33" i="4"/>
  <c r="BA34" i="4"/>
  <c r="BA35" i="4"/>
  <c r="BV105" i="8"/>
  <c r="BV108" i="1"/>
  <c r="DE151" i="4"/>
  <c r="DE154" i="4" s="1"/>
  <c r="DE159" i="4" s="1"/>
  <c r="DD183" i="4"/>
  <c r="DD52" i="4"/>
  <c r="CT74" i="1"/>
  <c r="CU74" i="1" s="1"/>
  <c r="CV74" i="1" s="1"/>
  <c r="Y105" i="8"/>
  <c r="Y108" i="1"/>
  <c r="CF122" i="4"/>
  <c r="CG121" i="4"/>
  <c r="CG131" i="4" s="1"/>
  <c r="CI131" i="4" s="1"/>
  <c r="CJ131" i="4" s="1"/>
  <c r="CK131" i="4" s="1"/>
  <c r="CL131" i="4" s="1"/>
  <c r="CN131" i="4" s="1"/>
  <c r="CO131" i="4" s="1"/>
  <c r="CP131" i="4" s="1"/>
  <c r="CQ131" i="4" s="1"/>
  <c r="CS131" i="4" s="1"/>
  <c r="CT131" i="4" s="1"/>
  <c r="CU131" i="4" s="1"/>
  <c r="CV131" i="4" s="1"/>
  <c r="CF32" i="4"/>
  <c r="CE33" i="4"/>
  <c r="CE36" i="4"/>
  <c r="CE34" i="4"/>
  <c r="CE35" i="4"/>
  <c r="CO115" i="4"/>
  <c r="AY71" i="8"/>
  <c r="AY100" i="8"/>
  <c r="K100" i="8"/>
  <c r="K102" i="8" s="1"/>
  <c r="K71" i="8"/>
  <c r="DF30" i="4"/>
  <c r="DE30" i="8"/>
  <c r="DE31" i="8"/>
  <c r="AM105" i="8"/>
  <c r="AM108" i="1"/>
  <c r="CL92" i="1"/>
  <c r="BM47" i="8"/>
  <c r="BN47" i="8" s="1"/>
  <c r="BM100" i="8"/>
  <c r="BK33" i="4"/>
  <c r="BK35" i="4"/>
  <c r="BK34" i="4"/>
  <c r="AE33" i="8"/>
  <c r="AE79" i="8" s="1"/>
  <c r="AX100" i="8"/>
  <c r="AX47" i="8"/>
  <c r="AY47" i="8" s="1"/>
  <c r="AR108" i="1"/>
  <c r="AR105" i="8"/>
  <c r="BB78" i="4"/>
  <c r="BD75" i="4"/>
  <c r="BW100" i="8"/>
  <c r="BW102" i="8" s="1"/>
  <c r="CU108" i="1"/>
  <c r="CU105" i="8"/>
  <c r="CX135" i="4"/>
  <c r="CR231" i="1"/>
  <c r="CR239" i="1"/>
  <c r="CW232" i="1"/>
  <c r="BC103" i="4"/>
  <c r="BC90" i="4"/>
  <c r="BU35" i="4"/>
  <c r="BU33" i="4"/>
  <c r="BU34" i="4"/>
  <c r="CG106" i="4"/>
  <c r="CG90" i="4"/>
  <c r="BX25" i="8"/>
  <c r="J100" i="8"/>
  <c r="J102" i="8" s="1"/>
  <c r="J47" i="8"/>
  <c r="K47" i="8" s="1"/>
  <c r="BN89" i="4"/>
  <c r="BN75" i="8"/>
  <c r="BC47" i="8"/>
  <c r="BD47" i="8" s="1"/>
  <c r="BC100" i="8"/>
  <c r="BC102" i="8" s="1"/>
  <c r="CI175" i="1"/>
  <c r="CI171" i="1" s="1"/>
  <c r="CI178" i="1" s="1"/>
  <c r="CI169" i="1"/>
  <c r="CI165" i="1" s="1"/>
  <c r="CI177" i="1" s="1"/>
  <c r="BB122" i="4"/>
  <c r="BC121" i="4"/>
  <c r="BB32" i="4"/>
  <c r="CO113" i="4"/>
  <c r="AV108" i="1"/>
  <c r="AV105" i="8"/>
  <c r="I50" i="8"/>
  <c r="Z71" i="8"/>
  <c r="Z100" i="8"/>
  <c r="Z102" i="8" s="1"/>
  <c r="AN47" i="8"/>
  <c r="AO47" i="8" s="1"/>
  <c r="AN100" i="8"/>
  <c r="AN102" i="8" s="1"/>
  <c r="CO75" i="1"/>
  <c r="CO72" i="1"/>
  <c r="O100" i="8"/>
  <c r="O102" i="8" s="1"/>
  <c r="O47" i="8"/>
  <c r="AT71" i="8"/>
  <c r="AT100" i="8"/>
  <c r="BD80" i="1"/>
  <c r="BD78" i="1"/>
  <c r="BP34" i="4"/>
  <c r="BP35" i="4"/>
  <c r="BP33" i="4"/>
  <c r="CW226" i="1"/>
  <c r="P25" i="8"/>
  <c r="BM121" i="4"/>
  <c r="BL122" i="4"/>
  <c r="BL32" i="4"/>
  <c r="DC61" i="1"/>
  <c r="DD76" i="8"/>
  <c r="BQ32" i="4"/>
  <c r="BR121" i="4"/>
  <c r="BQ122" i="4"/>
  <c r="CP108" i="1"/>
  <c r="CP105" i="8"/>
  <c r="CK163" i="1"/>
  <c r="CK179" i="1" s="1"/>
  <c r="CJ172" i="1"/>
  <c r="CJ179" i="1"/>
  <c r="CO114" i="4"/>
  <c r="Z103" i="4"/>
  <c r="Z90" i="4"/>
  <c r="BD103" i="4"/>
  <c r="BD90" i="4"/>
  <c r="CS111" i="8"/>
  <c r="CS112" i="8" s="1"/>
  <c r="N79" i="4"/>
  <c r="N81" i="4" s="1"/>
  <c r="CK180" i="4"/>
  <c r="I105" i="8"/>
  <c r="I108" i="1"/>
  <c r="CR219" i="1"/>
  <c r="CR221" i="1"/>
  <c r="CW220" i="1"/>
  <c r="AT88" i="4"/>
  <c r="AT101" i="8"/>
  <c r="AT74" i="8"/>
  <c r="CF105" i="8"/>
  <c r="CF108" i="1"/>
  <c r="BB105" i="8"/>
  <c r="BB108" i="1"/>
  <c r="AO25" i="8"/>
  <c r="CV100" i="8"/>
  <c r="CV102" i="8" s="1"/>
  <c r="CO67" i="1"/>
  <c r="CO58" i="1"/>
  <c r="CV111" i="8" s="1"/>
  <c r="CV112" i="8" s="1"/>
  <c r="Y103" i="4"/>
  <c r="Y90" i="4"/>
  <c r="AT47" i="8"/>
  <c r="BG105" i="8"/>
  <c r="BG108" i="1"/>
  <c r="BV122" i="4"/>
  <c r="BV32" i="4"/>
  <c r="BW121" i="4"/>
  <c r="BR100" i="8"/>
  <c r="BR102" i="8" s="1"/>
  <c r="CK105" i="8"/>
  <c r="CK108" i="1"/>
  <c r="CW229" i="1"/>
  <c r="BL108" i="1"/>
  <c r="BL105" i="8"/>
  <c r="N105" i="8"/>
  <c r="N108" i="1"/>
  <c r="CG171" i="1"/>
  <c r="CR192" i="1"/>
  <c r="CW192" i="1"/>
  <c r="CP136" i="4"/>
  <c r="CR74" i="1"/>
  <c r="BM103" i="4"/>
  <c r="CR71" i="8"/>
  <c r="CR100" i="8"/>
  <c r="DE102" i="1"/>
  <c r="DE103" i="1" s="1"/>
  <c r="DE91" i="1" s="1"/>
  <c r="CG123" i="4"/>
  <c r="CI125" i="4"/>
  <c r="CI127" i="4" s="1"/>
  <c r="CH106" i="4"/>
  <c r="BZ75" i="1"/>
  <c r="BZ72" i="1"/>
  <c r="CD79" i="1"/>
  <c r="CD81" i="1"/>
  <c r="CI72" i="1"/>
  <c r="CI75" i="1"/>
  <c r="CM71" i="1"/>
  <c r="CC71" i="1"/>
  <c r="CK79" i="1"/>
  <c r="CK81" i="1"/>
  <c r="AS79" i="4"/>
  <c r="AS81" i="4" s="1"/>
  <c r="BC81" i="1"/>
  <c r="BC79" i="1"/>
  <c r="BL79" i="1"/>
  <c r="BL81" i="1"/>
  <c r="BY79" i="1"/>
  <c r="BY81" i="1"/>
  <c r="BT81" i="1"/>
  <c r="BT79" i="1"/>
  <c r="BO72" i="1"/>
  <c r="BO75" i="1"/>
  <c r="AW79" i="1"/>
  <c r="AW81" i="1"/>
  <c r="BP79" i="1"/>
  <c r="BP81" i="1"/>
  <c r="BU79" i="1"/>
  <c r="BU81" i="1"/>
  <c r="BQ79" i="1"/>
  <c r="BQ81" i="1"/>
  <c r="DK14" i="4" l="1"/>
  <c r="DK140" i="4"/>
  <c r="BW47" i="8"/>
  <c r="BX47" i="8" s="1"/>
  <c r="Y47" i="8"/>
  <c r="Z47" i="8" s="1"/>
  <c r="CM94" i="4"/>
  <c r="CM59" i="8"/>
  <c r="CM110" i="8"/>
  <c r="CM111" i="8" s="1"/>
  <c r="CM112" i="8" s="1"/>
  <c r="P117" i="4"/>
  <c r="P95" i="4"/>
  <c r="P104" i="4" s="1"/>
  <c r="P105" i="4"/>
  <c r="AX102" i="8"/>
  <c r="CL95" i="4"/>
  <c r="CL104" i="4" s="1"/>
  <c r="CN104" i="4" s="1"/>
  <c r="CL117" i="4"/>
  <c r="CL105" i="4"/>
  <c r="BN102" i="8"/>
  <c r="CL100" i="8"/>
  <c r="CL102" i="8" s="1"/>
  <c r="CM25" i="8"/>
  <c r="BS110" i="8"/>
  <c r="BS111" i="8" s="1"/>
  <c r="BS112" i="8" s="1"/>
  <c r="BS94" i="4"/>
  <c r="BS59" i="8"/>
  <c r="BR95" i="4"/>
  <c r="BR104" i="4" s="1"/>
  <c r="BR117" i="4"/>
  <c r="BR105" i="4"/>
  <c r="BG92" i="1"/>
  <c r="DF82" i="8"/>
  <c r="CT110" i="4"/>
  <c r="CS22" i="4"/>
  <c r="DO173" i="4"/>
  <c r="DB16" i="8"/>
  <c r="DB62" i="8" s="1"/>
  <c r="DA62" i="8"/>
  <c r="DN45" i="4"/>
  <c r="DN147" i="4"/>
  <c r="DE57" i="1"/>
  <c r="DN57" i="1"/>
  <c r="DE67" i="8"/>
  <c r="DF67" i="8" s="1"/>
  <c r="DO166" i="4"/>
  <c r="DO55" i="1"/>
  <c r="DO16" i="8" s="1"/>
  <c r="BN75" i="1"/>
  <c r="BM81" i="1"/>
  <c r="U71" i="8"/>
  <c r="AS108" i="1"/>
  <c r="CG98" i="1"/>
  <c r="CH96" i="1"/>
  <c r="CR33" i="8"/>
  <c r="CR79" i="8" s="1"/>
  <c r="DP168" i="4"/>
  <c r="DP166" i="4" s="1"/>
  <c r="DP14" i="4"/>
  <c r="DP21" i="8" s="1"/>
  <c r="DP140" i="4"/>
  <c r="DQ46" i="4"/>
  <c r="DQ145" i="4" s="1"/>
  <c r="DO41" i="1"/>
  <c r="DO46" i="1"/>
  <c r="DQ39" i="1"/>
  <c r="DN34" i="1"/>
  <c r="DN48" i="4"/>
  <c r="DN49" i="4" s="1"/>
  <c r="DN167" i="4"/>
  <c r="DN166" i="4" s="1"/>
  <c r="DN13" i="4"/>
  <c r="DN172" i="4" s="1"/>
  <c r="DN140" i="4"/>
  <c r="DP32" i="1"/>
  <c r="DP53" i="1" s="1"/>
  <c r="DP30" i="1"/>
  <c r="DP27" i="1"/>
  <c r="DP46" i="1"/>
  <c r="DP41" i="1"/>
  <c r="DP101" i="8"/>
  <c r="DM173" i="4"/>
  <c r="DN21" i="8"/>
  <c r="DM53" i="1"/>
  <c r="DM74" i="8"/>
  <c r="DN74" i="8" s="1"/>
  <c r="DO74" i="8" s="1"/>
  <c r="DP74" i="8" s="1"/>
  <c r="DM101" i="8"/>
  <c r="DQ28" i="8"/>
  <c r="DM13" i="4"/>
  <c r="DM20" i="8" s="1"/>
  <c r="DM167" i="4"/>
  <c r="DM166" i="4" s="1"/>
  <c r="DM140" i="4"/>
  <c r="DO172" i="4"/>
  <c r="DQ62" i="1"/>
  <c r="DQ63" i="1" s="1"/>
  <c r="DM30" i="1"/>
  <c r="DQ26" i="1"/>
  <c r="DQ27" i="1" s="1"/>
  <c r="DM27" i="1"/>
  <c r="DQ28" i="1"/>
  <c r="DM55" i="1"/>
  <c r="DN173" i="4"/>
  <c r="DO21" i="8"/>
  <c r="DP55" i="1"/>
  <c r="DP16" i="8" s="1"/>
  <c r="DO32" i="1"/>
  <c r="DO53" i="1" s="1"/>
  <c r="DO27" i="1"/>
  <c r="DO30" i="1"/>
  <c r="DO101" i="8"/>
  <c r="DQ23" i="1"/>
  <c r="DQ43" i="1"/>
  <c r="DQ44" i="1" s="1"/>
  <c r="DM41" i="1"/>
  <c r="DQ37" i="1"/>
  <c r="DQ38" i="1" s="1"/>
  <c r="DM46" i="1"/>
  <c r="DL13" i="4"/>
  <c r="DL172" i="4" s="1"/>
  <c r="DK173" i="4"/>
  <c r="DM21" i="8"/>
  <c r="DG21" i="8"/>
  <c r="DG67" i="8" s="1"/>
  <c r="CN26" i="4"/>
  <c r="CH90" i="4"/>
  <c r="BM90" i="4"/>
  <c r="BH90" i="4"/>
  <c r="DG36" i="8"/>
  <c r="DG82" i="8" s="1"/>
  <c r="CM101" i="1"/>
  <c r="DD66" i="8"/>
  <c r="DE66" i="8" s="1"/>
  <c r="DF66" i="8" s="1"/>
  <c r="DF84" i="8"/>
  <c r="Z96" i="1"/>
  <c r="CH102" i="1"/>
  <c r="CC117" i="4"/>
  <c r="CV90" i="4"/>
  <c r="CC105" i="4"/>
  <c r="BX98" i="1"/>
  <c r="BX97" i="1" s="1"/>
  <c r="BS97" i="1"/>
  <c r="DC64" i="1"/>
  <c r="DC66" i="1" s="1"/>
  <c r="BX75" i="8"/>
  <c r="BX89" i="4"/>
  <c r="T117" i="4"/>
  <c r="T95" i="4"/>
  <c r="T104" i="4" s="1"/>
  <c r="T105" i="4"/>
  <c r="X90" i="1"/>
  <c r="Z98" i="1"/>
  <c r="BN117" i="4"/>
  <c r="BN105" i="4"/>
  <c r="BN95" i="4"/>
  <c r="BN104" i="4" s="1"/>
  <c r="BH105" i="4"/>
  <c r="BH95" i="4"/>
  <c r="BH104" i="4" s="1"/>
  <c r="BH117" i="4"/>
  <c r="CB95" i="4"/>
  <c r="CB104" i="4" s="1"/>
  <c r="CB117" i="4"/>
  <c r="CB105" i="4"/>
  <c r="T106" i="4"/>
  <c r="T90" i="4"/>
  <c r="AH100" i="8"/>
  <c r="AH102" i="8" s="1"/>
  <c r="AH47" i="8"/>
  <c r="T102" i="8"/>
  <c r="BU92" i="1"/>
  <c r="BX90" i="1"/>
  <c r="CH94" i="4"/>
  <c r="CH59" i="8"/>
  <c r="CH110" i="8"/>
  <c r="CH111" i="8" s="1"/>
  <c r="CH112" i="8" s="1"/>
  <c r="AJ97" i="1"/>
  <c r="P89" i="4"/>
  <c r="P75" i="8"/>
  <c r="CM77" i="4"/>
  <c r="BI25" i="8"/>
  <c r="BH100" i="8"/>
  <c r="BH102" i="8" s="1"/>
  <c r="O78" i="4"/>
  <c r="P75" i="4"/>
  <c r="AI25" i="8"/>
  <c r="AJ25" i="8" s="1"/>
  <c r="AJ15" i="8"/>
  <c r="AJ61" i="8" s="1"/>
  <c r="DI60" i="4"/>
  <c r="DH36" i="8"/>
  <c r="BW90" i="4"/>
  <c r="BW103" i="4"/>
  <c r="AG92" i="1"/>
  <c r="AJ92" i="1" s="1"/>
  <c r="AJ90" i="1"/>
  <c r="BQ92" i="1"/>
  <c r="BI59" i="8"/>
  <c r="BI94" i="4"/>
  <c r="BI110" i="8"/>
  <c r="BI111" i="8" s="1"/>
  <c r="BI112" i="8" s="1"/>
  <c r="CC25" i="8"/>
  <c r="CB100" i="8"/>
  <c r="CB102" i="8" s="1"/>
  <c r="AG108" i="1"/>
  <c r="AG105" i="8"/>
  <c r="U101" i="8"/>
  <c r="U102" i="8" s="1"/>
  <c r="U74" i="8"/>
  <c r="U88" i="4"/>
  <c r="CH25" i="8"/>
  <c r="CG100" i="8"/>
  <c r="CG102" i="8" s="1"/>
  <c r="CG47" i="8"/>
  <c r="CH47" i="8" s="1"/>
  <c r="CG117" i="4"/>
  <c r="CG95" i="4"/>
  <c r="CG104" i="4" s="1"/>
  <c r="CG105" i="4"/>
  <c r="CM43" i="8"/>
  <c r="CM89" i="8" s="1"/>
  <c r="CL47" i="8"/>
  <c r="CM47" i="8" s="1"/>
  <c r="CM93" i="8" s="1"/>
  <c r="J92" i="1"/>
  <c r="K92" i="1" s="1"/>
  <c r="K90" i="1"/>
  <c r="CK91" i="1"/>
  <c r="CM103" i="1"/>
  <c r="U94" i="4"/>
  <c r="U59" i="8"/>
  <c r="U110" i="8"/>
  <c r="AE96" i="1"/>
  <c r="AD98" i="1"/>
  <c r="CW74" i="8"/>
  <c r="CW88" i="4"/>
  <c r="CW106" i="4" s="1"/>
  <c r="CW101" i="8"/>
  <c r="CW33" i="8"/>
  <c r="CW79" i="8" s="1"/>
  <c r="P78" i="1"/>
  <c r="P80" i="1"/>
  <c r="AJ90" i="4"/>
  <c r="AJ103" i="4"/>
  <c r="CQ90" i="1"/>
  <c r="CR98" i="1"/>
  <c r="CR97" i="1" s="1"/>
  <c r="AO117" i="4"/>
  <c r="AO95" i="4"/>
  <c r="AO104" i="4" s="1"/>
  <c r="AO105" i="4"/>
  <c r="CH91" i="1"/>
  <c r="CF92" i="1"/>
  <c r="CB79" i="1"/>
  <c r="CN63" i="4"/>
  <c r="CN65" i="4" s="1"/>
  <c r="CN184" i="4" s="1"/>
  <c r="CP78" i="1"/>
  <c r="CN78" i="1"/>
  <c r="CP75" i="4"/>
  <c r="CP78" i="4" s="1"/>
  <c r="CP79" i="4" s="1"/>
  <c r="CP81" i="4" s="1"/>
  <c r="CN80" i="1"/>
  <c r="DG46" i="1"/>
  <c r="DG63" i="1"/>
  <c r="BL111" i="8"/>
  <c r="BL112" i="8" s="1"/>
  <c r="I7" i="26"/>
  <c r="CQ75" i="4"/>
  <c r="CQ78" i="4" s="1"/>
  <c r="CQ79" i="4" s="1"/>
  <c r="CQ81" i="4" s="1"/>
  <c r="CV80" i="1"/>
  <c r="CQ78" i="1"/>
  <c r="CV75" i="4"/>
  <c r="CV78" i="4" s="1"/>
  <c r="CV79" i="4" s="1"/>
  <c r="CV81" i="4" s="1"/>
  <c r="DE54" i="1"/>
  <c r="CU76" i="1"/>
  <c r="CW76" i="1" s="1"/>
  <c r="CU73" i="1"/>
  <c r="CO76" i="1"/>
  <c r="CO75" i="4" s="1"/>
  <c r="CO73" i="1"/>
  <c r="CY76" i="1"/>
  <c r="CY73" i="1"/>
  <c r="CX76" i="1"/>
  <c r="CX75" i="4" s="1"/>
  <c r="CX78" i="4" s="1"/>
  <c r="CX79" i="4" s="1"/>
  <c r="CX81" i="4" s="1"/>
  <c r="CX73" i="1"/>
  <c r="CT111" i="4"/>
  <c r="CS23" i="4"/>
  <c r="CQ112" i="4"/>
  <c r="CP24" i="4"/>
  <c r="DG38" i="4"/>
  <c r="BX125" i="4"/>
  <c r="BX127" i="4" s="1"/>
  <c r="BS123" i="4"/>
  <c r="BX121" i="4" s="1"/>
  <c r="BX131" i="4" s="1"/>
  <c r="DF68" i="8"/>
  <c r="DG20" i="8"/>
  <c r="DG66" i="8" s="1"/>
  <c r="DG53" i="1"/>
  <c r="DG54" i="1" s="1"/>
  <c r="I17" i="26" s="1"/>
  <c r="BR47" i="8"/>
  <c r="BS47" i="8" s="1"/>
  <c r="BM102" i="8"/>
  <c r="BM108" i="1" s="1"/>
  <c r="CW111" i="8"/>
  <c r="CW112" i="8" s="1"/>
  <c r="CU90" i="1"/>
  <c r="CU92" i="1" s="1"/>
  <c r="BW92" i="1"/>
  <c r="BX91" i="1"/>
  <c r="CW117" i="4"/>
  <c r="CW95" i="4"/>
  <c r="CW104" i="4" s="1"/>
  <c r="BS103" i="4"/>
  <c r="BS90" i="4"/>
  <c r="CS92" i="1"/>
  <c r="CW105" i="4"/>
  <c r="O92" i="1"/>
  <c r="P92" i="1" s="1"/>
  <c r="P90" i="1"/>
  <c r="CF169" i="1"/>
  <c r="CF175" i="1"/>
  <c r="AV79" i="1"/>
  <c r="BI103" i="4"/>
  <c r="BI90" i="4"/>
  <c r="AE90" i="4"/>
  <c r="AE106" i="4"/>
  <c r="CQ105" i="8"/>
  <c r="CQ108" i="1"/>
  <c r="DI67" i="8"/>
  <c r="CC33" i="8"/>
  <c r="CC79" i="8" s="1"/>
  <c r="CB47" i="8"/>
  <c r="CC47" i="8" s="1"/>
  <c r="CC93" i="8" s="1"/>
  <c r="BR103" i="1"/>
  <c r="BS101" i="1"/>
  <c r="BS108" i="1" s="1"/>
  <c r="BF92" i="1"/>
  <c r="BI92" i="1" s="1"/>
  <c r="BI90" i="1"/>
  <c r="BI96" i="1"/>
  <c r="AT102" i="8"/>
  <c r="AT105" i="8" s="1"/>
  <c r="AE25" i="8"/>
  <c r="AD100" i="8"/>
  <c r="AD102" i="8" s="1"/>
  <c r="BI43" i="8"/>
  <c r="BI89" i="8" s="1"/>
  <c r="BH47" i="8"/>
  <c r="BI47" i="8" s="1"/>
  <c r="BI93" i="8" s="1"/>
  <c r="CR88" i="4"/>
  <c r="CR101" i="8"/>
  <c r="CR102" i="8" s="1"/>
  <c r="CR74" i="8"/>
  <c r="AD47" i="8"/>
  <c r="AE47" i="8" s="1"/>
  <c r="CB106" i="4"/>
  <c r="CB90" i="4"/>
  <c r="AY74" i="8"/>
  <c r="AY101" i="8"/>
  <c r="AY102" i="8" s="1"/>
  <c r="AY88" i="4"/>
  <c r="CQ106" i="4"/>
  <c r="CQ90" i="4"/>
  <c r="CV43" i="8"/>
  <c r="CV47" i="8" s="1"/>
  <c r="CW47" i="8" s="1"/>
  <c r="CW41" i="8"/>
  <c r="CC74" i="8"/>
  <c r="CC88" i="4"/>
  <c r="CC101" i="8"/>
  <c r="AC95" i="8"/>
  <c r="AC96" i="8" s="1"/>
  <c r="AB95" i="8"/>
  <c r="AB96" i="8" s="1"/>
  <c r="AD95" i="8"/>
  <c r="AD96" i="8" s="1"/>
  <c r="AF95" i="8" s="1"/>
  <c r="AA96" i="8"/>
  <c r="AO103" i="4"/>
  <c r="AO90" i="4"/>
  <c r="BI98" i="1"/>
  <c r="AX90" i="4"/>
  <c r="AX106" i="4"/>
  <c r="AW34" i="4"/>
  <c r="AW33" i="4"/>
  <c r="AW35" i="4"/>
  <c r="AX131" i="4"/>
  <c r="AX122" i="4"/>
  <c r="AY122" i="4" s="1"/>
  <c r="DG88" i="4"/>
  <c r="DG106" i="4" s="1"/>
  <c r="DE76" i="8"/>
  <c r="DE77" i="8"/>
  <c r="CS109" i="4"/>
  <c r="CQ21" i="4"/>
  <c r="CR21" i="4" s="1"/>
  <c r="CR109" i="4" s="1"/>
  <c r="BZ35" i="4"/>
  <c r="BZ33" i="4"/>
  <c r="BZ34" i="4"/>
  <c r="BH121" i="4"/>
  <c r="BG122" i="4"/>
  <c r="BG32" i="4"/>
  <c r="CB121" i="4"/>
  <c r="CA122" i="4"/>
  <c r="CA32" i="4"/>
  <c r="BF34" i="4"/>
  <c r="BF35" i="4"/>
  <c r="BF33" i="4"/>
  <c r="DI20" i="8"/>
  <c r="DI66" i="8" s="1"/>
  <c r="DH172" i="4"/>
  <c r="DI35" i="1"/>
  <c r="DG74" i="8"/>
  <c r="CX81" i="1"/>
  <c r="CX79" i="1"/>
  <c r="I75" i="4"/>
  <c r="I78" i="4" s="1"/>
  <c r="I79" i="4" s="1"/>
  <c r="I81" i="4" s="1"/>
  <c r="I78" i="1"/>
  <c r="K76" i="1"/>
  <c r="I80" i="1"/>
  <c r="DL43" i="1"/>
  <c r="DL44" i="1" s="1"/>
  <c r="CC72" i="1"/>
  <c r="DI208" i="4"/>
  <c r="CY81" i="1"/>
  <c r="CY79" i="1"/>
  <c r="CA79" i="1"/>
  <c r="BI75" i="1"/>
  <c r="BI79" i="1" s="1"/>
  <c r="CH75" i="1"/>
  <c r="CH81" i="1" s="1"/>
  <c r="CG81" i="1"/>
  <c r="BG79" i="1"/>
  <c r="BS192" i="1"/>
  <c r="AE78" i="4"/>
  <c r="AB79" i="4"/>
  <c r="AB81" i="4" s="1"/>
  <c r="DL39" i="1"/>
  <c r="BH81" i="1"/>
  <c r="BH79" i="1"/>
  <c r="BW75" i="1"/>
  <c r="BW72" i="1"/>
  <c r="CC192" i="1"/>
  <c r="BX192" i="1"/>
  <c r="AX75" i="1"/>
  <c r="AX72" i="1"/>
  <c r="BS66" i="1"/>
  <c r="BS72" i="1" s="1"/>
  <c r="BR72" i="1"/>
  <c r="BR75" i="1"/>
  <c r="AY66" i="1"/>
  <c r="AY72" i="1" s="1"/>
  <c r="AH80" i="1"/>
  <c r="AH78" i="1"/>
  <c r="AH75" i="4"/>
  <c r="AH78" i="4" s="1"/>
  <c r="AH79" i="4" s="1"/>
  <c r="AH81" i="4" s="1"/>
  <c r="DK172" i="4"/>
  <c r="CH78" i="4"/>
  <c r="CG79" i="4"/>
  <c r="CG81" i="4" s="1"/>
  <c r="CE81" i="1"/>
  <c r="CE79" i="1"/>
  <c r="CK74" i="4"/>
  <c r="CJ202" i="4"/>
  <c r="BH111" i="8" s="1"/>
  <c r="BH112" i="8" s="1"/>
  <c r="CJ67" i="4"/>
  <c r="CJ71" i="4" s="1"/>
  <c r="CJ184" i="4"/>
  <c r="CJ78" i="4"/>
  <c r="CJ79" i="4" s="1"/>
  <c r="CJ81" i="4" s="1"/>
  <c r="CJ204" i="4"/>
  <c r="AQ79" i="1"/>
  <c r="AQ81" i="1"/>
  <c r="AT75" i="1"/>
  <c r="CJ81" i="1"/>
  <c r="CJ79" i="1"/>
  <c r="CK76" i="4"/>
  <c r="CL76" i="4"/>
  <c r="DD55" i="4"/>
  <c r="DK20" i="8"/>
  <c r="DJ172" i="4"/>
  <c r="DJ20" i="8"/>
  <c r="DL62" i="1"/>
  <c r="DL63" i="1" s="1"/>
  <c r="DK21" i="8"/>
  <c r="DJ21" i="8"/>
  <c r="DJ173" i="4"/>
  <c r="CL75" i="1"/>
  <c r="CM75" i="1" s="1"/>
  <c r="CL72" i="1"/>
  <c r="CM66" i="1"/>
  <c r="CM72" i="1" s="1"/>
  <c r="E25" i="26" s="1"/>
  <c r="DG173" i="4"/>
  <c r="DG142" i="4"/>
  <c r="DG168" i="4" s="1"/>
  <c r="CM221" i="1"/>
  <c r="CM222" i="1" s="1"/>
  <c r="CM219" i="1"/>
  <c r="DF54" i="1"/>
  <c r="DF57" i="1"/>
  <c r="DG57" i="1" s="1"/>
  <c r="DL46" i="4"/>
  <c r="DL145" i="4" s="1"/>
  <c r="DK55" i="1"/>
  <c r="DK16" i="8" s="1"/>
  <c r="DJ41" i="1"/>
  <c r="DJ46" i="1"/>
  <c r="DL37" i="1"/>
  <c r="DL38" i="1" s="1"/>
  <c r="DJ101" i="8"/>
  <c r="DL28" i="8"/>
  <c r="DF16" i="8"/>
  <c r="DG16" i="8" s="1"/>
  <c r="DG62" i="8" s="1"/>
  <c r="DG55" i="1"/>
  <c r="CZ49" i="4"/>
  <c r="CZ57" i="4" s="1"/>
  <c r="CZ208" i="4"/>
  <c r="DF27" i="1"/>
  <c r="DF30" i="1"/>
  <c r="DK53" i="1"/>
  <c r="AV75" i="4"/>
  <c r="AV78" i="4" s="1"/>
  <c r="AV79" i="4" s="1"/>
  <c r="AV81" i="4" s="1"/>
  <c r="AV80" i="1"/>
  <c r="AV78" i="1"/>
  <c r="AZ79" i="1"/>
  <c r="AZ81" i="1"/>
  <c r="DG141" i="4"/>
  <c r="DG167" i="4" s="1"/>
  <c r="DG172" i="4"/>
  <c r="DL23" i="1"/>
  <c r="J10" i="26" s="1"/>
  <c r="J8" i="26" s="1"/>
  <c r="DJ55" i="1"/>
  <c r="DL28" i="1"/>
  <c r="CM54" i="1"/>
  <c r="E14" i="26"/>
  <c r="AN81" i="1"/>
  <c r="AN79" i="1"/>
  <c r="AO75" i="1"/>
  <c r="DK41" i="1"/>
  <c r="DK46" i="1"/>
  <c r="BQ76" i="1"/>
  <c r="DL14" i="4"/>
  <c r="DL142" i="4" s="1"/>
  <c r="DL168" i="4" s="1"/>
  <c r="DH35" i="1"/>
  <c r="DH58" i="1"/>
  <c r="DJ53" i="1"/>
  <c r="DL32" i="1"/>
  <c r="DL33" i="1" s="1"/>
  <c r="AC79" i="1"/>
  <c r="AC81" i="1"/>
  <c r="AE75" i="1"/>
  <c r="DJ74" i="8"/>
  <c r="DK74" i="8" s="1"/>
  <c r="CM231" i="1"/>
  <c r="CM239" i="1"/>
  <c r="CM240" i="1" s="1"/>
  <c r="DG40" i="1"/>
  <c r="CC80" i="1"/>
  <c r="CC78" i="1"/>
  <c r="AL78" i="4"/>
  <c r="AO78" i="4" s="1"/>
  <c r="AO75" i="4"/>
  <c r="CW74" i="1"/>
  <c r="CX74" i="1" s="1"/>
  <c r="CY74" i="1" s="1"/>
  <c r="CZ74" i="1" s="1"/>
  <c r="DA74" i="1" s="1"/>
  <c r="BI76" i="1"/>
  <c r="BG78" i="1"/>
  <c r="BG80" i="1"/>
  <c r="BG75" i="4"/>
  <c r="CA78" i="4"/>
  <c r="CC75" i="4"/>
  <c r="CX97" i="1"/>
  <c r="CV98" i="1"/>
  <c r="CV90" i="1" s="1"/>
  <c r="AO80" i="1"/>
  <c r="AO78" i="1"/>
  <c r="AJ79" i="1"/>
  <c r="AJ81" i="1"/>
  <c r="DD35" i="1"/>
  <c r="DD58" i="1"/>
  <c r="DD23" i="8"/>
  <c r="DD208" i="4"/>
  <c r="DD49" i="4"/>
  <c r="DE45" i="4"/>
  <c r="DE48" i="4"/>
  <c r="DE34" i="1"/>
  <c r="Z79" i="1"/>
  <c r="Z81" i="1"/>
  <c r="U79" i="1"/>
  <c r="U81" i="1"/>
  <c r="CN111" i="8"/>
  <c r="CN112" i="8" s="1"/>
  <c r="DD62" i="8"/>
  <c r="DE62" i="8" s="1"/>
  <c r="U78" i="4"/>
  <c r="D23" i="26"/>
  <c r="D28" i="26" s="1"/>
  <c r="D30" i="26" s="1"/>
  <c r="D17" i="26"/>
  <c r="G25" i="26"/>
  <c r="CW58" i="1"/>
  <c r="CW67" i="1"/>
  <c r="CW73" i="1" s="1"/>
  <c r="BV81" i="1"/>
  <c r="BV79" i="1"/>
  <c r="AJ76" i="1"/>
  <c r="AI80" i="1"/>
  <c r="AI75" i="4"/>
  <c r="AI78" i="1"/>
  <c r="CU79" i="1"/>
  <c r="CU81" i="1"/>
  <c r="CW75" i="1"/>
  <c r="BX76" i="1"/>
  <c r="BU78" i="1"/>
  <c r="BU80" i="1"/>
  <c r="BU75" i="4"/>
  <c r="G17" i="26"/>
  <c r="G23" i="26"/>
  <c r="BD93" i="8"/>
  <c r="CJ125" i="4"/>
  <c r="CJ127" i="4" s="1"/>
  <c r="CI123" i="4"/>
  <c r="CI121" i="4"/>
  <c r="CG122" i="4"/>
  <c r="CH122" i="4" s="1"/>
  <c r="CH93" i="8"/>
  <c r="BR105" i="8"/>
  <c r="BR108" i="1"/>
  <c r="CP114" i="4"/>
  <c r="CJ175" i="1"/>
  <c r="CJ171" i="1" s="1"/>
  <c r="CJ178" i="1" s="1"/>
  <c r="CJ169" i="1"/>
  <c r="CJ165" i="1" s="1"/>
  <c r="CJ177" i="1" s="1"/>
  <c r="O108" i="1"/>
  <c r="O105" i="8"/>
  <c r="K50" i="8"/>
  <c r="K93" i="8"/>
  <c r="CN25" i="4"/>
  <c r="BB34" i="4"/>
  <c r="BB33" i="4"/>
  <c r="BB35" i="4"/>
  <c r="BC108" i="1"/>
  <c r="BC105" i="8"/>
  <c r="K108" i="1"/>
  <c r="K105" i="8"/>
  <c r="CF33" i="4"/>
  <c r="CF36" i="4"/>
  <c r="CF34" i="4"/>
  <c r="CF35" i="4"/>
  <c r="DD61" i="1"/>
  <c r="CG177" i="1"/>
  <c r="CO91" i="4"/>
  <c r="CO100" i="4" s="1"/>
  <c r="CO105" i="4" s="1"/>
  <c r="CR67" i="1"/>
  <c r="CR73" i="1" s="1"/>
  <c r="CR58" i="1"/>
  <c r="BD105" i="8"/>
  <c r="BD108" i="1"/>
  <c r="DF102" i="1"/>
  <c r="DF103" i="1" s="1"/>
  <c r="DF91" i="1" s="1"/>
  <c r="DG91" i="1" s="1"/>
  <c r="AT106" i="4"/>
  <c r="AT90" i="4"/>
  <c r="CR222" i="1"/>
  <c r="CW223" i="1"/>
  <c r="Z93" i="8"/>
  <c r="BR122" i="4"/>
  <c r="BS122" i="4" s="1"/>
  <c r="BR131" i="4"/>
  <c r="DC67" i="1"/>
  <c r="BM131" i="4"/>
  <c r="BM122" i="4"/>
  <c r="BN122" i="4" s="1"/>
  <c r="AO93" i="8"/>
  <c r="I54" i="8"/>
  <c r="J49" i="8"/>
  <c r="J50" i="8" s="1"/>
  <c r="CP113" i="4"/>
  <c r="BC131" i="4"/>
  <c r="BC122" i="4"/>
  <c r="BD122" i="4" s="1"/>
  <c r="J105" i="8"/>
  <c r="J108" i="1"/>
  <c r="BW105" i="8"/>
  <c r="BW108" i="1"/>
  <c r="AX108" i="1"/>
  <c r="AX105" i="8"/>
  <c r="BM105" i="8"/>
  <c r="CP115" i="4"/>
  <c r="CN21" i="4"/>
  <c r="CN23" i="4"/>
  <c r="CN28" i="4"/>
  <c r="CN96" i="4" s="1"/>
  <c r="CN22" i="4"/>
  <c r="CN24" i="4"/>
  <c r="F25" i="26"/>
  <c r="CG178" i="1"/>
  <c r="BV35" i="4"/>
  <c r="BV33" i="4"/>
  <c r="BV34" i="4"/>
  <c r="AT93" i="8"/>
  <c r="CV105" i="8"/>
  <c r="CV108" i="1"/>
  <c r="AY93" i="8"/>
  <c r="BQ34" i="4"/>
  <c r="BQ35" i="4"/>
  <c r="BQ33" i="4"/>
  <c r="P71" i="8"/>
  <c r="P100" i="8"/>
  <c r="P102" i="8" s="1"/>
  <c r="CO79" i="1"/>
  <c r="CO81" i="1"/>
  <c r="CR75" i="1"/>
  <c r="CR104" i="8" s="1"/>
  <c r="Z105" i="8"/>
  <c r="Z108" i="1"/>
  <c r="CR93" i="8"/>
  <c r="BX100" i="8"/>
  <c r="BX102" i="8" s="1"/>
  <c r="BX71" i="8"/>
  <c r="CR240" i="1"/>
  <c r="CW241" i="1"/>
  <c r="DG30" i="4"/>
  <c r="DH30" i="4"/>
  <c r="DF31" i="8"/>
  <c r="DF30" i="8"/>
  <c r="DG30" i="8" s="1"/>
  <c r="DG76" i="8" s="1"/>
  <c r="F23" i="26"/>
  <c r="F17" i="26"/>
  <c r="BW131" i="4"/>
  <c r="BW122" i="4"/>
  <c r="BX122" i="4" s="1"/>
  <c r="DG102" i="1"/>
  <c r="DG103" i="1" s="1"/>
  <c r="CQ136" i="4"/>
  <c r="AO71" i="8"/>
  <c r="AO100" i="8"/>
  <c r="AO102" i="8" s="1"/>
  <c r="H21" i="26"/>
  <c r="BN93" i="8"/>
  <c r="BX93" i="8"/>
  <c r="BL35" i="4"/>
  <c r="BL33" i="4"/>
  <c r="BL34" i="4"/>
  <c r="AN108" i="1"/>
  <c r="AN105" i="8"/>
  <c r="U93" i="8"/>
  <c r="BN90" i="4"/>
  <c r="BN103" i="4"/>
  <c r="P47" i="8"/>
  <c r="CY135" i="4"/>
  <c r="BB79" i="4"/>
  <c r="BB81" i="4" s="1"/>
  <c r="BD78" i="4"/>
  <c r="DF151" i="4"/>
  <c r="DF154" i="4" s="1"/>
  <c r="DF159" i="4" s="1"/>
  <c r="DE183" i="4"/>
  <c r="DE52" i="4"/>
  <c r="AE93" i="8"/>
  <c r="BN108" i="1"/>
  <c r="BN105" i="8"/>
  <c r="BO79" i="1"/>
  <c r="BO81" i="1"/>
  <c r="CI81" i="1"/>
  <c r="CI79" i="1"/>
  <c r="BN79" i="1"/>
  <c r="BN81" i="1"/>
  <c r="CC75" i="1"/>
  <c r="BZ81" i="1"/>
  <c r="BZ79" i="1"/>
  <c r="BD79" i="1"/>
  <c r="BD81" i="1"/>
  <c r="DP147" i="4" l="1"/>
  <c r="CM100" i="8"/>
  <c r="CM102" i="8" s="1"/>
  <c r="CM105" i="8" s="1"/>
  <c r="CM71" i="8"/>
  <c r="CL105" i="8"/>
  <c r="CL108" i="1"/>
  <c r="CO104" i="4"/>
  <c r="CN95" i="4"/>
  <c r="CM95" i="4"/>
  <c r="CM104" i="4" s="1"/>
  <c r="CM105" i="4"/>
  <c r="CM117" i="4"/>
  <c r="BS105" i="4"/>
  <c r="BS95" i="4"/>
  <c r="BS104" i="4" s="1"/>
  <c r="BS117" i="4"/>
  <c r="CM108" i="1"/>
  <c r="CT22" i="4"/>
  <c r="CU110" i="4"/>
  <c r="DM38" i="4"/>
  <c r="DO38" i="4" s="1"/>
  <c r="DI38" i="4"/>
  <c r="DK38" i="4" s="1"/>
  <c r="DM147" i="4"/>
  <c r="CY80" i="1"/>
  <c r="CY78" i="1"/>
  <c r="DO147" i="4"/>
  <c r="DG30" i="1"/>
  <c r="DF147" i="4"/>
  <c r="DQ41" i="1"/>
  <c r="J7" i="26"/>
  <c r="K7" i="26" s="1"/>
  <c r="DQ46" i="1"/>
  <c r="DQ40" i="1"/>
  <c r="CB108" i="1"/>
  <c r="CB105" i="8"/>
  <c r="CH98" i="1"/>
  <c r="CH97" i="1" s="1"/>
  <c r="CG90" i="1"/>
  <c r="CN202" i="4"/>
  <c r="DN208" i="4"/>
  <c r="DQ141" i="4"/>
  <c r="DO34" i="1"/>
  <c r="DO45" i="4"/>
  <c r="DO48" i="4"/>
  <c r="DP57" i="1"/>
  <c r="DP54" i="1"/>
  <c r="DN35" i="1"/>
  <c r="DN58" i="1"/>
  <c r="DQ14" i="4"/>
  <c r="DQ173" i="4" s="1"/>
  <c r="DO57" i="1"/>
  <c r="DO54" i="1"/>
  <c r="DM16" i="8"/>
  <c r="DQ55" i="1"/>
  <c r="DQ30" i="1"/>
  <c r="DM45" i="4"/>
  <c r="DM34" i="1"/>
  <c r="DN20" i="8"/>
  <c r="DQ53" i="1"/>
  <c r="DQ54" i="1" s="1"/>
  <c r="DM54" i="1"/>
  <c r="DM57" i="1"/>
  <c r="DQ172" i="4"/>
  <c r="DQ88" i="4"/>
  <c r="DQ106" i="4" s="1"/>
  <c r="DQ101" i="8"/>
  <c r="DQ74" i="8"/>
  <c r="DQ32" i="1"/>
  <c r="DQ33" i="1" s="1"/>
  <c r="DP34" i="1"/>
  <c r="DP45" i="4"/>
  <c r="DO20" i="8"/>
  <c r="DM172" i="4"/>
  <c r="DP173" i="4"/>
  <c r="DL141" i="4"/>
  <c r="DL167" i="4" s="1"/>
  <c r="DM67" i="8"/>
  <c r="DN67" i="8" s="1"/>
  <c r="DO67" i="8" s="1"/>
  <c r="DP67" i="8" s="1"/>
  <c r="DQ21" i="8"/>
  <c r="DQ67" i="8" s="1"/>
  <c r="DM66" i="8"/>
  <c r="CM102" i="1"/>
  <c r="Z97" i="1"/>
  <c r="AT108" i="1"/>
  <c r="U111" i="8"/>
  <c r="U112" i="8" s="1"/>
  <c r="K93" i="1"/>
  <c r="U108" i="1"/>
  <c r="U105" i="8"/>
  <c r="AD90" i="1"/>
  <c r="AE98" i="1"/>
  <c r="AE97" i="1" s="1"/>
  <c r="U95" i="4"/>
  <c r="U104" i="4" s="1"/>
  <c r="U105" i="4"/>
  <c r="U117" i="4"/>
  <c r="U106" i="4"/>
  <c r="U90" i="4"/>
  <c r="BI105" i="4"/>
  <c r="BI95" i="4"/>
  <c r="BI104" i="4" s="1"/>
  <c r="BI117" i="4"/>
  <c r="DH82" i="8"/>
  <c r="DH38" i="8"/>
  <c r="AJ71" i="8"/>
  <c r="AJ100" i="8"/>
  <c r="AJ102" i="8" s="1"/>
  <c r="BX92" i="1"/>
  <c r="CK92" i="1"/>
  <c r="CM92" i="1" s="1"/>
  <c r="CM91" i="1"/>
  <c r="CH71" i="8"/>
  <c r="CH100" i="8"/>
  <c r="CH102" i="8" s="1"/>
  <c r="AI100" i="8"/>
  <c r="AI102" i="8" s="1"/>
  <c r="AI47" i="8"/>
  <c r="AJ47" i="8" s="1"/>
  <c r="AJ93" i="8" s="1"/>
  <c r="BI100" i="8"/>
  <c r="BI102" i="8" s="1"/>
  <c r="BI71" i="8"/>
  <c r="T105" i="8"/>
  <c r="T108" i="1"/>
  <c r="X92" i="1"/>
  <c r="Z92" i="1" s="1"/>
  <c r="Z90" i="1"/>
  <c r="BX103" i="4"/>
  <c r="BX90" i="4"/>
  <c r="DJ60" i="4"/>
  <c r="DI36" i="8"/>
  <c r="DI38" i="8" s="1"/>
  <c r="O79" i="4"/>
  <c r="O81" i="4" s="1"/>
  <c r="P78" i="4"/>
  <c r="P79" i="4" s="1"/>
  <c r="CG108" i="1"/>
  <c r="CG105" i="8"/>
  <c r="CC71" i="8"/>
  <c r="CC100" i="8"/>
  <c r="CC102" i="8" s="1"/>
  <c r="BH105" i="8"/>
  <c r="BH108" i="1"/>
  <c r="P103" i="4"/>
  <c r="P90" i="4"/>
  <c r="CH95" i="4"/>
  <c r="CH104" i="4" s="1"/>
  <c r="CH105" i="4"/>
  <c r="CH117" i="4"/>
  <c r="AH105" i="8"/>
  <c r="AH108" i="1"/>
  <c r="CJ203" i="4"/>
  <c r="CQ92" i="1"/>
  <c r="CR92" i="1" s="1"/>
  <c r="CR90" i="1"/>
  <c r="CO78" i="1"/>
  <c r="CN78" i="4"/>
  <c r="CN79" i="4" s="1"/>
  <c r="CN81" i="4" s="1"/>
  <c r="CU78" i="1"/>
  <c r="CO80" i="1"/>
  <c r="CO74" i="4"/>
  <c r="CO78" i="4" s="1"/>
  <c r="CN204" i="4"/>
  <c r="CN67" i="4"/>
  <c r="CN71" i="4" s="1"/>
  <c r="CU75" i="4"/>
  <c r="CU78" i="4" s="1"/>
  <c r="CU79" i="4" s="1"/>
  <c r="CU81" i="4" s="1"/>
  <c r="CU80" i="1"/>
  <c r="CY97" i="1"/>
  <c r="CZ97" i="1" s="1"/>
  <c r="CX98" i="1"/>
  <c r="P93" i="1"/>
  <c r="U89" i="1" s="1"/>
  <c r="U93" i="1" s="1"/>
  <c r="Z89" i="1" s="1"/>
  <c r="CR76" i="1"/>
  <c r="CR78" i="1" s="1"/>
  <c r="CY75" i="4"/>
  <c r="CY78" i="4" s="1"/>
  <c r="CY79" i="4" s="1"/>
  <c r="CY81" i="4" s="1"/>
  <c r="CX78" i="1"/>
  <c r="CX80" i="1"/>
  <c r="DI22" i="8"/>
  <c r="DH22" i="8"/>
  <c r="CQ24" i="4"/>
  <c r="CR24" i="4" s="1"/>
  <c r="CR112" i="4" s="1"/>
  <c r="CS112" i="4"/>
  <c r="CC125" i="4"/>
  <c r="CC127" i="4" s="1"/>
  <c r="BX123" i="4"/>
  <c r="CC121" i="4" s="1"/>
  <c r="CC131" i="4" s="1"/>
  <c r="CT23" i="4"/>
  <c r="CU111" i="4"/>
  <c r="CW90" i="1"/>
  <c r="DF77" i="8"/>
  <c r="CF171" i="1"/>
  <c r="CH175" i="1"/>
  <c r="CF165" i="1"/>
  <c r="CH169" i="1"/>
  <c r="BI81" i="1"/>
  <c r="CR105" i="8"/>
  <c r="CR108" i="1"/>
  <c r="AY108" i="1"/>
  <c r="AY105" i="8"/>
  <c r="CW87" i="8"/>
  <c r="CW43" i="8"/>
  <c r="CW89" i="8" s="1"/>
  <c r="AY90" i="4"/>
  <c r="AY106" i="4"/>
  <c r="CR106" i="4"/>
  <c r="CR90" i="4"/>
  <c r="BI97" i="1"/>
  <c r="BR91" i="1"/>
  <c r="BS103" i="1"/>
  <c r="BS102" i="1" s="1"/>
  <c r="AD105" i="8"/>
  <c r="AD108" i="1"/>
  <c r="AG95" i="8"/>
  <c r="AG96" i="8" s="1"/>
  <c r="AI95" i="8"/>
  <c r="AI96" i="8" s="1"/>
  <c r="AK95" i="8" s="1"/>
  <c r="AH95" i="8"/>
  <c r="AH96" i="8" s="1"/>
  <c r="AF96" i="8"/>
  <c r="CC106" i="4"/>
  <c r="CC90" i="4"/>
  <c r="AE100" i="8"/>
  <c r="AE102" i="8" s="1"/>
  <c r="AE71" i="8"/>
  <c r="BG35" i="4"/>
  <c r="BG33" i="4"/>
  <c r="BG34" i="4"/>
  <c r="DJ66" i="8"/>
  <c r="DK66" i="8" s="1"/>
  <c r="CA34" i="4"/>
  <c r="CA33" i="4"/>
  <c r="CA35" i="4"/>
  <c r="CS21" i="4"/>
  <c r="CT109" i="4"/>
  <c r="BH122" i="4"/>
  <c r="BI122" i="4" s="1"/>
  <c r="BH131" i="4"/>
  <c r="DF76" i="8"/>
  <c r="CB131" i="4"/>
  <c r="CB122" i="4"/>
  <c r="CC122" i="4" s="1"/>
  <c r="K80" i="1"/>
  <c r="K78" i="1"/>
  <c r="CR223" i="1"/>
  <c r="CH79" i="1"/>
  <c r="DD57" i="4"/>
  <c r="DF62" i="8"/>
  <c r="CK78" i="4"/>
  <c r="CK79" i="4" s="1"/>
  <c r="CK81" i="4" s="1"/>
  <c r="DL46" i="1"/>
  <c r="CN177" i="4"/>
  <c r="CN191" i="4"/>
  <c r="CN186" i="4"/>
  <c r="CN179" i="4"/>
  <c r="BW79" i="1"/>
  <c r="BW81" i="1"/>
  <c r="AJ111" i="8" s="1"/>
  <c r="AJ112" i="8" s="1"/>
  <c r="BX75" i="1"/>
  <c r="BR79" i="1"/>
  <c r="BR81" i="1"/>
  <c r="AX79" i="1"/>
  <c r="AX81" i="1"/>
  <c r="AY75" i="1"/>
  <c r="BS75" i="1"/>
  <c r="DG29" i="1"/>
  <c r="DL21" i="8"/>
  <c r="DL67" i="8" s="1"/>
  <c r="DL40" i="1"/>
  <c r="CM76" i="4"/>
  <c r="CJ191" i="4"/>
  <c r="CJ186" i="4"/>
  <c r="CJ179" i="4"/>
  <c r="CJ177" i="4"/>
  <c r="DL41" i="1"/>
  <c r="AT81" i="1"/>
  <c r="AT79" i="1"/>
  <c r="DJ27" i="1"/>
  <c r="DJ30" i="1"/>
  <c r="DJ147" i="4" s="1"/>
  <c r="DL26" i="1"/>
  <c r="DL27" i="1" s="1"/>
  <c r="DF45" i="4"/>
  <c r="DF23" i="8" s="1"/>
  <c r="DF34" i="1"/>
  <c r="DG34" i="1" s="1"/>
  <c r="DG35" i="1" s="1"/>
  <c r="DG54" i="4"/>
  <c r="DG147" i="4" s="1"/>
  <c r="AE81" i="1"/>
  <c r="AE79" i="1"/>
  <c r="E17" i="26"/>
  <c r="E23" i="26"/>
  <c r="E28" i="26" s="1"/>
  <c r="E30" i="26" s="1"/>
  <c r="DJ16" i="8"/>
  <c r="DL55" i="1"/>
  <c r="DK57" i="1"/>
  <c r="DK54" i="1"/>
  <c r="DL74" i="8"/>
  <c r="DL88" i="4"/>
  <c r="DL106" i="4" s="1"/>
  <c r="DL101" i="8"/>
  <c r="CL79" i="1"/>
  <c r="CL81" i="1"/>
  <c r="DJ54" i="1"/>
  <c r="DJ57" i="1"/>
  <c r="DL53" i="1"/>
  <c r="DL54" i="1" s="1"/>
  <c r="J17" i="26" s="1"/>
  <c r="J15" i="26" s="1"/>
  <c r="BQ111" i="8"/>
  <c r="BQ112" i="8" s="1"/>
  <c r="BQ78" i="1"/>
  <c r="BQ75" i="4"/>
  <c r="BQ80" i="1"/>
  <c r="BS76" i="1"/>
  <c r="AO79" i="1"/>
  <c r="AO81" i="1"/>
  <c r="DK27" i="1"/>
  <c r="DK30" i="1"/>
  <c r="DK147" i="4" s="1"/>
  <c r="DE55" i="4"/>
  <c r="CR241" i="1"/>
  <c r="DJ67" i="8"/>
  <c r="DK67" i="8" s="1"/>
  <c r="DL173" i="4"/>
  <c r="DL20" i="8"/>
  <c r="DL66" i="8" s="1"/>
  <c r="AL79" i="4"/>
  <c r="AL81" i="4" s="1"/>
  <c r="CA79" i="4"/>
  <c r="CA81" i="4" s="1"/>
  <c r="CC78" i="4"/>
  <c r="BI78" i="1"/>
  <c r="BI80" i="1"/>
  <c r="BG78" i="4"/>
  <c r="BI78" i="4" s="1"/>
  <c r="BI75" i="4"/>
  <c r="G28" i="26"/>
  <c r="G30" i="26" s="1"/>
  <c r="AR111" i="8" s="1"/>
  <c r="AR112" i="8" s="1"/>
  <c r="CW98" i="1"/>
  <c r="CW97" i="1" s="1"/>
  <c r="DE24" i="8"/>
  <c r="DE23" i="8"/>
  <c r="DE49" i="4"/>
  <c r="DE208" i="4"/>
  <c r="DE58" i="1"/>
  <c r="DE35" i="1"/>
  <c r="I16" i="26"/>
  <c r="I18" i="26"/>
  <c r="J18" i="26" s="1"/>
  <c r="G26" i="26"/>
  <c r="AI78" i="4"/>
  <c r="AJ78" i="4" s="1"/>
  <c r="AJ75" i="4"/>
  <c r="CW12" i="8"/>
  <c r="CW58" i="8" s="1"/>
  <c r="CW80" i="1"/>
  <c r="CW78" i="1"/>
  <c r="CW75" i="4"/>
  <c r="BX78" i="1"/>
  <c r="BX80" i="1"/>
  <c r="BX75" i="4"/>
  <c r="BU78" i="4"/>
  <c r="BX78" i="4" s="1"/>
  <c r="CW81" i="1"/>
  <c r="CW79" i="1"/>
  <c r="AJ80" i="1"/>
  <c r="AJ78" i="1"/>
  <c r="J54" i="8"/>
  <c r="L49" i="8"/>
  <c r="L50" i="8" s="1"/>
  <c r="CR75" i="4"/>
  <c r="AW76" i="1" s="1"/>
  <c r="CJ36" i="4"/>
  <c r="CJ123" i="4"/>
  <c r="CK125" i="4"/>
  <c r="CK127" i="4" s="1"/>
  <c r="DF183" i="4"/>
  <c r="DH151" i="4"/>
  <c r="DH154" i="4" s="1"/>
  <c r="DH159" i="4" s="1"/>
  <c r="DH61" i="1" s="1"/>
  <c r="DF52" i="4"/>
  <c r="DG159" i="4"/>
  <c r="CS136" i="4"/>
  <c r="DH30" i="8"/>
  <c r="DH31" i="8"/>
  <c r="DI30" i="4"/>
  <c r="CR81" i="1"/>
  <c r="CR79" i="1"/>
  <c r="CQ115" i="4"/>
  <c r="CP27" i="4"/>
  <c r="BS93" i="8"/>
  <c r="DG31" i="8"/>
  <c r="DG77" i="8" s="1"/>
  <c r="P108" i="1"/>
  <c r="P105" i="8"/>
  <c r="CO93" i="4"/>
  <c r="CO95" i="4" s="1"/>
  <c r="CN98" i="4"/>
  <c r="CN117" i="4" s="1"/>
  <c r="CP25" i="4"/>
  <c r="CQ113" i="4"/>
  <c r="K54" i="8"/>
  <c r="P49" i="8"/>
  <c r="P95" i="8" s="1"/>
  <c r="K96" i="8"/>
  <c r="CQ114" i="4"/>
  <c r="CP26" i="4"/>
  <c r="DE61" i="1"/>
  <c r="DD74" i="1"/>
  <c r="DE74" i="1" s="1"/>
  <c r="DF74" i="1" s="1"/>
  <c r="DH74" i="1" s="1"/>
  <c r="CZ135" i="4"/>
  <c r="CW93" i="8"/>
  <c r="DB74" i="1"/>
  <c r="P93" i="8"/>
  <c r="AO108" i="1"/>
  <c r="AO105" i="8"/>
  <c r="F28" i="26"/>
  <c r="F30" i="26" s="1"/>
  <c r="F26" i="26"/>
  <c r="BX108" i="1"/>
  <c r="BX105" i="8"/>
  <c r="DH102" i="1"/>
  <c r="DH103" i="1" s="1"/>
  <c r="DH91" i="1" s="1"/>
  <c r="CP87" i="4"/>
  <c r="CO20" i="4"/>
  <c r="CJ121" i="4"/>
  <c r="CI122" i="4"/>
  <c r="CI32" i="4"/>
  <c r="CC81" i="1"/>
  <c r="CC79" i="1"/>
  <c r="CM79" i="1"/>
  <c r="CM81" i="1"/>
  <c r="CV110" i="4" l="1"/>
  <c r="CU22" i="4"/>
  <c r="J14" i="26"/>
  <c r="K14" i="26" s="1"/>
  <c r="CN203" i="4"/>
  <c r="DQ20" i="8"/>
  <c r="DQ66" i="8" s="1"/>
  <c r="DQ142" i="4"/>
  <c r="DQ168" i="4" s="1"/>
  <c r="I15" i="26"/>
  <c r="I14" i="26" s="1"/>
  <c r="CR80" i="1"/>
  <c r="CH90" i="1"/>
  <c r="CG92" i="1"/>
  <c r="CH92" i="1" s="1"/>
  <c r="DN23" i="8"/>
  <c r="DO24" i="8"/>
  <c r="DP58" i="1"/>
  <c r="DP35" i="1"/>
  <c r="DQ57" i="1"/>
  <c r="DM62" i="8"/>
  <c r="DN62" i="8" s="1"/>
  <c r="DO62" i="8" s="1"/>
  <c r="DP62" i="8" s="1"/>
  <c r="DQ16" i="8"/>
  <c r="DQ62" i="8" s="1"/>
  <c r="DO208" i="4"/>
  <c r="DO49" i="4"/>
  <c r="DO23" i="8"/>
  <c r="DQ45" i="4"/>
  <c r="DP23" i="8"/>
  <c r="DO58" i="1"/>
  <c r="DO35" i="1"/>
  <c r="DM58" i="1"/>
  <c r="DM35" i="1"/>
  <c r="DQ34" i="1"/>
  <c r="DQ35" i="1" s="1"/>
  <c r="DQ29" i="1"/>
  <c r="DQ167" i="4"/>
  <c r="DN66" i="8"/>
  <c r="CC108" i="1"/>
  <c r="CC105" i="8"/>
  <c r="P81" i="4"/>
  <c r="U74" i="4"/>
  <c r="U79" i="4" s="1"/>
  <c r="AI105" i="8"/>
  <c r="AI108" i="1"/>
  <c r="AD92" i="1"/>
  <c r="AE92" i="1" s="1"/>
  <c r="AE90" i="1"/>
  <c r="CH105" i="8"/>
  <c r="CH108" i="1"/>
  <c r="DJ36" i="8"/>
  <c r="DJ38" i="8" s="1"/>
  <c r="DK60" i="4"/>
  <c r="BI105" i="8"/>
  <c r="BI108" i="1"/>
  <c r="AJ105" i="8"/>
  <c r="AJ108" i="1"/>
  <c r="DI82" i="8"/>
  <c r="DH84" i="8"/>
  <c r="DI84" i="8" s="1"/>
  <c r="Z93" i="1"/>
  <c r="AE89" i="1" s="1"/>
  <c r="CR78" i="4"/>
  <c r="CH125" i="4"/>
  <c r="CH127" i="4" s="1"/>
  <c r="CC123" i="4"/>
  <c r="CH121" i="4" s="1"/>
  <c r="CH131" i="4" s="1"/>
  <c r="CU23" i="4"/>
  <c r="CV111" i="4"/>
  <c r="CS24" i="4"/>
  <c r="CT112" i="4"/>
  <c r="DJ22" i="8"/>
  <c r="DH68" i="8"/>
  <c r="DI68" i="8" s="1"/>
  <c r="CX90" i="1"/>
  <c r="CX92" i="1" s="1"/>
  <c r="CF177" i="1"/>
  <c r="CH177" i="1" s="1"/>
  <c r="CH165" i="1"/>
  <c r="CH168" i="1" s="1"/>
  <c r="CF178" i="1"/>
  <c r="CH178" i="1" s="1"/>
  <c r="CH171" i="1"/>
  <c r="CH174" i="1" s="1"/>
  <c r="AE105" i="8"/>
  <c r="AE108" i="1"/>
  <c r="AL95" i="8"/>
  <c r="AL96" i="8" s="1"/>
  <c r="AN95" i="8"/>
  <c r="AN96" i="8" s="1"/>
  <c r="AP95" i="8" s="1"/>
  <c r="AK96" i="8"/>
  <c r="AM95" i="8"/>
  <c r="AM96" i="8" s="1"/>
  <c r="BR92" i="1"/>
  <c r="BS92" i="1" s="1"/>
  <c r="BS91" i="1"/>
  <c r="CT21" i="4"/>
  <c r="CU109" i="4"/>
  <c r="BX79" i="1"/>
  <c r="BX81" i="1"/>
  <c r="CN193" i="4"/>
  <c r="CN178" i="4"/>
  <c r="CN180" i="4"/>
  <c r="BS79" i="1"/>
  <c r="BS81" i="1"/>
  <c r="AY81" i="1"/>
  <c r="AY79" i="1"/>
  <c r="DL57" i="1"/>
  <c r="DE57" i="4"/>
  <c r="CJ180" i="4"/>
  <c r="CJ178" i="4"/>
  <c r="CJ193" i="4"/>
  <c r="DG45" i="4"/>
  <c r="DH23" i="8"/>
  <c r="DK45" i="4"/>
  <c r="DM23" i="8" s="1"/>
  <c r="DL54" i="4"/>
  <c r="DK34" i="1"/>
  <c r="BS80" i="1"/>
  <c r="BS78" i="1"/>
  <c r="BX111" i="8"/>
  <c r="BX112" i="8" s="1"/>
  <c r="DL16" i="8"/>
  <c r="DL62" i="8" s="1"/>
  <c r="DJ62" i="8"/>
  <c r="DK62" i="8" s="1"/>
  <c r="DJ45" i="4"/>
  <c r="DJ48" i="4"/>
  <c r="DL30" i="1"/>
  <c r="DJ34" i="1"/>
  <c r="BQ78" i="4"/>
  <c r="BS75" i="4"/>
  <c r="DF58" i="1"/>
  <c r="DF35" i="1"/>
  <c r="Z111" i="8"/>
  <c r="Z112" i="8" s="1"/>
  <c r="DG74" i="1"/>
  <c r="BU79" i="4"/>
  <c r="BU81" i="4" s="1"/>
  <c r="BG79" i="4"/>
  <c r="BG81" i="4" s="1"/>
  <c r="CY98" i="1"/>
  <c r="CV92" i="1"/>
  <c r="CW92" i="1" s="1"/>
  <c r="CW25" i="8"/>
  <c r="BD111" i="8"/>
  <c r="BD112" i="8" s="1"/>
  <c r="AT111" i="8" s="1"/>
  <c r="AT112" i="8" s="1"/>
  <c r="AI79" i="4"/>
  <c r="AI81" i="4" s="1"/>
  <c r="CQ26" i="4"/>
  <c r="CR26" i="4" s="1"/>
  <c r="CR114" i="4" s="1"/>
  <c r="CS114" i="4"/>
  <c r="CI33" i="4"/>
  <c r="CI36" i="4"/>
  <c r="CI34" i="4"/>
  <c r="CI35" i="4"/>
  <c r="CO24" i="4"/>
  <c r="CO23" i="4"/>
  <c r="CO21" i="4"/>
  <c r="CO22" i="4"/>
  <c r="CO28" i="4"/>
  <c r="CO96" i="4" s="1"/>
  <c r="CO26" i="4"/>
  <c r="CO25" i="4"/>
  <c r="CO27" i="4"/>
  <c r="P50" i="8"/>
  <c r="DG52" i="4"/>
  <c r="DG55" i="4" s="1"/>
  <c r="DF55" i="4"/>
  <c r="M49" i="8"/>
  <c r="M50" i="8" s="1"/>
  <c r="L54" i="8"/>
  <c r="CQ27" i="4"/>
  <c r="CR27" i="4" s="1"/>
  <c r="CR115" i="4" s="1"/>
  <c r="CS115" i="4"/>
  <c r="DH77" i="8"/>
  <c r="DG183" i="4"/>
  <c r="CK121" i="4"/>
  <c r="CJ122" i="4"/>
  <c r="CJ32" i="4"/>
  <c r="CO79" i="4"/>
  <c r="CO81" i="4" s="1"/>
  <c r="DH76" i="8"/>
  <c r="DF61" i="1"/>
  <c r="DG61" i="1" s="1"/>
  <c r="AW78" i="1"/>
  <c r="AY76" i="1"/>
  <c r="AW75" i="4"/>
  <c r="AW80" i="1"/>
  <c r="DA135" i="4"/>
  <c r="DC69" i="1"/>
  <c r="DC73" i="1" s="1"/>
  <c r="DI102" i="1"/>
  <c r="DI103" i="1" s="1"/>
  <c r="DI91" i="1" s="1"/>
  <c r="CT136" i="4"/>
  <c r="CP100" i="4"/>
  <c r="CP105" i="4" s="1"/>
  <c r="CP90" i="4"/>
  <c r="CP103" i="4"/>
  <c r="DI74" i="1"/>
  <c r="DJ74" i="1" s="1"/>
  <c r="DK74" i="1" s="1"/>
  <c r="CQ25" i="4"/>
  <c r="CR25" i="4" s="1"/>
  <c r="CR113" i="4" s="1"/>
  <c r="CS113" i="4"/>
  <c r="DJ30" i="4"/>
  <c r="DI31" i="8"/>
  <c r="DI30" i="8"/>
  <c r="DH52" i="4"/>
  <c r="DH55" i="4" s="1"/>
  <c r="DI151" i="4"/>
  <c r="DI154" i="4" s="1"/>
  <c r="DI159" i="4" s="1"/>
  <c r="DH183" i="4"/>
  <c r="CK123" i="4"/>
  <c r="CK36" i="4"/>
  <c r="CL125" i="4"/>
  <c r="CL127" i="4" s="1"/>
  <c r="CX110" i="4" l="1"/>
  <c r="CV22" i="4"/>
  <c r="CW22" i="4" s="1"/>
  <c r="CW110" i="4" s="1"/>
  <c r="DM60" i="4"/>
  <c r="DN60" i="4" s="1"/>
  <c r="BY111" i="8"/>
  <c r="BY112" i="8" s="1"/>
  <c r="AU111" i="8" s="1"/>
  <c r="AU112" i="8" s="1"/>
  <c r="DM74" i="1"/>
  <c r="DQ147" i="4"/>
  <c r="DO66" i="8"/>
  <c r="DM69" i="8"/>
  <c r="DN69" i="8" s="1"/>
  <c r="DO69" i="8" s="1"/>
  <c r="DP69" i="8" s="1"/>
  <c r="DQ23" i="8"/>
  <c r="DQ69" i="8" s="1"/>
  <c r="DJ84" i="8"/>
  <c r="DK36" i="8"/>
  <c r="DK38" i="8" s="1"/>
  <c r="DL60" i="4"/>
  <c r="U81" i="4"/>
  <c r="Z74" i="4"/>
  <c r="Z79" i="4" s="1"/>
  <c r="AE93" i="1"/>
  <c r="AJ89" i="1" s="1"/>
  <c r="AJ93" i="1" s="1"/>
  <c r="AO89" i="1" s="1"/>
  <c r="AO93" i="1" s="1"/>
  <c r="AT89" i="1" s="1"/>
  <c r="AT93" i="1" s="1"/>
  <c r="AY89" i="1" s="1"/>
  <c r="AY93" i="1" s="1"/>
  <c r="BD89" i="1" s="1"/>
  <c r="BD93" i="1" s="1"/>
  <c r="BI89" i="1" s="1"/>
  <c r="BI93" i="1" s="1"/>
  <c r="BN89" i="1" s="1"/>
  <c r="BN93" i="1" s="1"/>
  <c r="BS89" i="1" s="1"/>
  <c r="BS93" i="1" s="1"/>
  <c r="BX89" i="1" s="1"/>
  <c r="BX93" i="1" s="1"/>
  <c r="CC89" i="1" s="1"/>
  <c r="CC93" i="1" s="1"/>
  <c r="CH89" i="1" s="1"/>
  <c r="CH93" i="1" s="1"/>
  <c r="CM89" i="1" s="1"/>
  <c r="CM93" i="1" s="1"/>
  <c r="CR89" i="1" s="1"/>
  <c r="CR93" i="1" s="1"/>
  <c r="CW89" i="1" s="1"/>
  <c r="CW93" i="1" s="1"/>
  <c r="DJ82" i="8"/>
  <c r="CT24" i="4"/>
  <c r="CU112" i="4"/>
  <c r="DJ68" i="8"/>
  <c r="CX111" i="4"/>
  <c r="CV23" i="4"/>
  <c r="CW23" i="4" s="1"/>
  <c r="CW111" i="4" s="1"/>
  <c r="CM125" i="4"/>
  <c r="CM127" i="4" s="1"/>
  <c r="CH123" i="4"/>
  <c r="CM121" i="4" s="1"/>
  <c r="CM131" i="4" s="1"/>
  <c r="CY90" i="1"/>
  <c r="CY92" i="1" s="1"/>
  <c r="AS95" i="8"/>
  <c r="AS96" i="8" s="1"/>
  <c r="AU95" i="8" s="1"/>
  <c r="AP96" i="8"/>
  <c r="AQ95" i="8"/>
  <c r="AQ96" i="8" s="1"/>
  <c r="AR95" i="8"/>
  <c r="AR96" i="8" s="1"/>
  <c r="CV109" i="4"/>
  <c r="CU21" i="4"/>
  <c r="BQ79" i="4"/>
  <c r="BQ81" i="4" s="1"/>
  <c r="BS78" i="4"/>
  <c r="DJ24" i="8"/>
  <c r="DK23" i="8"/>
  <c r="DL45" i="4"/>
  <c r="DJ58" i="1"/>
  <c r="DJ35" i="1"/>
  <c r="DL34" i="1"/>
  <c r="DL35" i="1" s="1"/>
  <c r="DJ49" i="4"/>
  <c r="DJ208" i="4"/>
  <c r="DJ23" i="8"/>
  <c r="DK58" i="1"/>
  <c r="DK35" i="1"/>
  <c r="DH69" i="8"/>
  <c r="DI69" i="8" s="1"/>
  <c r="DL29" i="1"/>
  <c r="DL147" i="4"/>
  <c r="DA97" i="1"/>
  <c r="CW100" i="8"/>
  <c r="CW102" i="8" s="1"/>
  <c r="CW104" i="8" s="1"/>
  <c r="CW71" i="8"/>
  <c r="CT113" i="4"/>
  <c r="CS25" i="4"/>
  <c r="DC71" i="1"/>
  <c r="DC76" i="1"/>
  <c r="AY75" i="4"/>
  <c r="AW78" i="4"/>
  <c r="DL74" i="1"/>
  <c r="DJ102" i="1"/>
  <c r="DJ103" i="1" s="1"/>
  <c r="DJ91" i="1" s="1"/>
  <c r="DC135" i="4"/>
  <c r="AY80" i="1"/>
  <c r="AY78" i="1"/>
  <c r="DI76" i="8"/>
  <c r="P54" i="8"/>
  <c r="U49" i="8"/>
  <c r="P96" i="8"/>
  <c r="CP93" i="4"/>
  <c r="CP95" i="4" s="1"/>
  <c r="CP104" i="4" s="1"/>
  <c r="CO98" i="4"/>
  <c r="CO117" i="4" s="1"/>
  <c r="CN125" i="4"/>
  <c r="CL123" i="4"/>
  <c r="CU136" i="4"/>
  <c r="M54" i="8"/>
  <c r="N49" i="8"/>
  <c r="N50" i="8" s="1"/>
  <c r="CS26" i="4"/>
  <c r="CT114" i="4"/>
  <c r="DI183" i="4"/>
  <c r="DJ151" i="4"/>
  <c r="DJ154" i="4" s="1"/>
  <c r="DJ159" i="4" s="1"/>
  <c r="DI52" i="4"/>
  <c r="DI55" i="4" s="1"/>
  <c r="DI57" i="4" s="1"/>
  <c r="DK30" i="4"/>
  <c r="DM30" i="4" s="1"/>
  <c r="DN30" i="4" s="1"/>
  <c r="DJ31" i="8"/>
  <c r="DJ30" i="8"/>
  <c r="CJ34" i="4"/>
  <c r="CJ33" i="4"/>
  <c r="CJ35" i="4"/>
  <c r="CS27" i="4"/>
  <c r="CT115" i="4"/>
  <c r="CL121" i="4"/>
  <c r="CK122" i="4"/>
  <c r="CK32" i="4"/>
  <c r="DI77" i="8"/>
  <c r="DL107" i="1"/>
  <c r="CX22" i="4" l="1"/>
  <c r="CY110" i="4"/>
  <c r="DO30" i="4"/>
  <c r="DN30" i="8"/>
  <c r="DN31" i="8"/>
  <c r="DM36" i="8"/>
  <c r="DN36" i="8"/>
  <c r="DN38" i="8" s="1"/>
  <c r="DO60" i="4"/>
  <c r="DN74" i="1"/>
  <c r="DO74" i="1" s="1"/>
  <c r="DP74" i="1" s="1"/>
  <c r="DK102" i="1"/>
  <c r="DK103" i="1" s="1"/>
  <c r="DK91" i="1" s="1"/>
  <c r="DL91" i="1" s="1"/>
  <c r="DM105" i="1"/>
  <c r="DL143" i="4"/>
  <c r="DL169" i="4" s="1"/>
  <c r="DL166" i="4" s="1"/>
  <c r="DQ143" i="4"/>
  <c r="DM30" i="8"/>
  <c r="DM31" i="8"/>
  <c r="DL38" i="4"/>
  <c r="DN38" i="4" s="1"/>
  <c r="DP38" i="4" s="1"/>
  <c r="DM22" i="8"/>
  <c r="DP66" i="8"/>
  <c r="DL36" i="8"/>
  <c r="DL82" i="8" s="1"/>
  <c r="DK82" i="8"/>
  <c r="DK84" i="8"/>
  <c r="DJ77" i="8"/>
  <c r="Z81" i="4"/>
  <c r="AE74" i="4"/>
  <c r="AE79" i="4" s="1"/>
  <c r="DL38" i="8"/>
  <c r="DL84" i="8" s="1"/>
  <c r="CW52" i="8"/>
  <c r="CR125" i="4"/>
  <c r="CM123" i="4"/>
  <c r="CR121" i="4" s="1"/>
  <c r="CX23" i="4"/>
  <c r="CY111" i="4"/>
  <c r="CU24" i="4"/>
  <c r="CV112" i="4"/>
  <c r="DK22" i="8"/>
  <c r="DL22" i="8" s="1"/>
  <c r="DL68" i="8" s="1"/>
  <c r="AX95" i="8"/>
  <c r="AX96" i="8" s="1"/>
  <c r="AZ95" i="8" s="1"/>
  <c r="AV95" i="8"/>
  <c r="AV96" i="8" s="1"/>
  <c r="AU96" i="8"/>
  <c r="AW95" i="8"/>
  <c r="AW96" i="8" s="1"/>
  <c r="CV21" i="4"/>
  <c r="CW21" i="4" s="1"/>
  <c r="CW109" i="4" s="1"/>
  <c r="CX109" i="4"/>
  <c r="DJ69" i="8"/>
  <c r="DK69" i="8" s="1"/>
  <c r="DL23" i="8"/>
  <c r="DL69" i="8" s="1"/>
  <c r="DL105" i="1"/>
  <c r="DL102" i="1" s="1"/>
  <c r="DL103" i="1" s="1"/>
  <c r="DC97" i="1"/>
  <c r="DB89" i="1"/>
  <c r="CW83" i="1"/>
  <c r="CW108" i="1"/>
  <c r="CW105" i="8"/>
  <c r="N54" i="8"/>
  <c r="O49" i="8"/>
  <c r="O50" i="8" s="1"/>
  <c r="U95" i="8"/>
  <c r="U50" i="8"/>
  <c r="CK34" i="4"/>
  <c r="CK33" i="4"/>
  <c r="CK35" i="4"/>
  <c r="DL30" i="4"/>
  <c r="DK31" i="8"/>
  <c r="DL31" i="8" s="1"/>
  <c r="DL77" i="8" s="1"/>
  <c r="DK30" i="8"/>
  <c r="DL30" i="8" s="1"/>
  <c r="DL76" i="8" s="1"/>
  <c r="DI61" i="1"/>
  <c r="DC75" i="1"/>
  <c r="CU115" i="4"/>
  <c r="CT27" i="4"/>
  <c r="CV136" i="4"/>
  <c r="DJ76" i="8"/>
  <c r="DD135" i="4"/>
  <c r="CT25" i="4"/>
  <c r="CU113" i="4"/>
  <c r="CL122" i="4"/>
  <c r="CM122" i="4" s="1"/>
  <c r="CN121" i="4"/>
  <c r="CN126" i="4" s="1"/>
  <c r="CU114" i="4"/>
  <c r="CT26" i="4"/>
  <c r="DJ183" i="4"/>
  <c r="DK151" i="4"/>
  <c r="DK154" i="4" s="1"/>
  <c r="DJ52" i="4"/>
  <c r="DJ55" i="4" s="1"/>
  <c r="DJ57" i="4" s="1"/>
  <c r="AW79" i="4"/>
  <c r="AW81" i="4" s="1"/>
  <c r="AY78" i="4"/>
  <c r="DC75" i="4"/>
  <c r="DC12" i="8"/>
  <c r="CY22" i="4" l="1"/>
  <c r="CZ110" i="4"/>
  <c r="DA110" i="4" s="1"/>
  <c r="DC110" i="4" s="1"/>
  <c r="DQ74" i="1"/>
  <c r="DO22" i="8"/>
  <c r="DP30" i="4"/>
  <c r="DO30" i="8"/>
  <c r="DO31" i="8"/>
  <c r="DK159" i="4"/>
  <c r="DL159" i="4" s="1"/>
  <c r="DM151" i="4"/>
  <c r="DM154" i="4" s="1"/>
  <c r="DL140" i="4"/>
  <c r="DP60" i="4"/>
  <c r="DO36" i="8"/>
  <c r="DO38" i="8" s="1"/>
  <c r="DN22" i="8"/>
  <c r="DM38" i="8"/>
  <c r="DM82" i="8"/>
  <c r="DN82" i="8" s="1"/>
  <c r="DQ169" i="4"/>
  <c r="DQ166" i="4" s="1"/>
  <c r="DQ140" i="4"/>
  <c r="DN105" i="1"/>
  <c r="DM102" i="1"/>
  <c r="DM103" i="1" s="1"/>
  <c r="DM91" i="1" s="1"/>
  <c r="DM77" i="8"/>
  <c r="DN77" i="8" s="1"/>
  <c r="DM76" i="8"/>
  <c r="DM68" i="8"/>
  <c r="AE81" i="4"/>
  <c r="AJ74" i="4"/>
  <c r="AJ79" i="4" s="1"/>
  <c r="CZ111" i="4"/>
  <c r="DA111" i="4" s="1"/>
  <c r="DC111" i="4" s="1"/>
  <c r="CY23" i="4"/>
  <c r="CX112" i="4"/>
  <c r="CV24" i="4"/>
  <c r="CW24" i="4" s="1"/>
  <c r="CW112" i="4" s="1"/>
  <c r="DK68" i="8"/>
  <c r="BA95" i="8"/>
  <c r="BA96" i="8" s="1"/>
  <c r="BB95" i="8"/>
  <c r="BB96" i="8" s="1"/>
  <c r="BC95" i="8"/>
  <c r="BC96" i="8" s="1"/>
  <c r="BE95" i="8" s="1"/>
  <c r="AZ96" i="8"/>
  <c r="DK76" i="8"/>
  <c r="CY109" i="4"/>
  <c r="CX21" i="4"/>
  <c r="DD97" i="1"/>
  <c r="DC98" i="1"/>
  <c r="DC90" i="1" s="1"/>
  <c r="CZ190" i="4"/>
  <c r="CU26" i="4"/>
  <c r="CV114" i="4"/>
  <c r="DE135" i="4"/>
  <c r="Z49" i="8"/>
  <c r="U96" i="8"/>
  <c r="U54" i="8"/>
  <c r="DK183" i="4"/>
  <c r="DK52" i="4"/>
  <c r="CU27" i="4"/>
  <c r="CV115" i="4"/>
  <c r="CN127" i="4"/>
  <c r="DK77" i="8"/>
  <c r="DJ61" i="1"/>
  <c r="CV113" i="4"/>
  <c r="CU25" i="4"/>
  <c r="DC58" i="8"/>
  <c r="CX136" i="4"/>
  <c r="Q49" i="8"/>
  <c r="Q50" i="8" s="1"/>
  <c r="O54" i="8"/>
  <c r="DO77" i="8" l="1"/>
  <c r="DO82" i="8"/>
  <c r="DQ30" i="4"/>
  <c r="DP30" i="8"/>
  <c r="DQ30" i="8" s="1"/>
  <c r="DQ76" i="8" s="1"/>
  <c r="DP31" i="8"/>
  <c r="DQ31" i="8" s="1"/>
  <c r="DQ77" i="8" s="1"/>
  <c r="DM84" i="8"/>
  <c r="DN84" i="8" s="1"/>
  <c r="DO84" i="8" s="1"/>
  <c r="DN151" i="4"/>
  <c r="DN154" i="4" s="1"/>
  <c r="DM52" i="4"/>
  <c r="DM55" i="4" s="1"/>
  <c r="DM159" i="4"/>
  <c r="DM183" i="4"/>
  <c r="DP36" i="8"/>
  <c r="DQ60" i="4"/>
  <c r="DQ38" i="4"/>
  <c r="DO105" i="1"/>
  <c r="DN102" i="1"/>
  <c r="DN103" i="1" s="1"/>
  <c r="DN91" i="1" s="1"/>
  <c r="DN68" i="8"/>
  <c r="DN76" i="8"/>
  <c r="AO74" i="4"/>
  <c r="AO79" i="4" s="1"/>
  <c r="AJ81" i="4"/>
  <c r="CY112" i="4"/>
  <c r="CX24" i="4"/>
  <c r="DB84" i="1"/>
  <c r="BH95" i="8"/>
  <c r="BH96" i="8" s="1"/>
  <c r="BJ95" i="8" s="1"/>
  <c r="BG95" i="8"/>
  <c r="BG96" i="8" s="1"/>
  <c r="BE96" i="8"/>
  <c r="BF95" i="8"/>
  <c r="BF96" i="8" s="1"/>
  <c r="CZ109" i="4"/>
  <c r="CY21" i="4"/>
  <c r="DE97" i="1"/>
  <c r="DD98" i="1"/>
  <c r="DD90" i="1" s="1"/>
  <c r="Q54" i="8"/>
  <c r="R49" i="8"/>
  <c r="R50" i="8" s="1"/>
  <c r="CO125" i="4"/>
  <c r="CN123" i="4"/>
  <c r="CN36" i="4"/>
  <c r="DD110" i="4"/>
  <c r="CX115" i="4"/>
  <c r="CV27" i="4"/>
  <c r="CW27" i="4" s="1"/>
  <c r="CW115" i="4" s="1"/>
  <c r="CX113" i="4"/>
  <c r="CV25" i="4"/>
  <c r="CW25" i="4" s="1"/>
  <c r="CW113" i="4" s="1"/>
  <c r="DK55" i="4"/>
  <c r="DL52" i="4"/>
  <c r="DL55" i="4" s="1"/>
  <c r="DD111" i="4"/>
  <c r="Z95" i="8"/>
  <c r="Z50" i="8"/>
  <c r="DF135" i="4"/>
  <c r="DL183" i="4"/>
  <c r="CY136" i="4"/>
  <c r="DK61" i="1"/>
  <c r="DL61" i="1" s="1"/>
  <c r="CX114" i="4"/>
  <c r="CV26" i="4"/>
  <c r="CW26" i="4" s="1"/>
  <c r="CW114" i="4" s="1"/>
  <c r="DM61" i="1" l="1"/>
  <c r="DP38" i="8"/>
  <c r="DQ38" i="8" s="1"/>
  <c r="DQ84" i="8" s="1"/>
  <c r="DQ36" i="8"/>
  <c r="DQ82" i="8" s="1"/>
  <c r="DP22" i="8"/>
  <c r="DQ22" i="8" s="1"/>
  <c r="DQ68" i="8" s="1"/>
  <c r="DP77" i="8"/>
  <c r="DN183" i="4"/>
  <c r="DO151" i="4"/>
  <c r="DO154" i="4" s="1"/>
  <c r="DN159" i="4"/>
  <c r="DN52" i="4"/>
  <c r="DN55" i="4" s="1"/>
  <c r="DN57" i="4" s="1"/>
  <c r="DP82" i="8"/>
  <c r="DP105" i="1"/>
  <c r="DP102" i="1" s="1"/>
  <c r="DP103" i="1" s="1"/>
  <c r="DP91" i="1" s="1"/>
  <c r="DO102" i="1"/>
  <c r="DO103" i="1" s="1"/>
  <c r="DO91" i="1" s="1"/>
  <c r="DO68" i="8"/>
  <c r="DO76" i="8"/>
  <c r="AO81" i="4"/>
  <c r="AT74" i="4"/>
  <c r="AT79" i="4" s="1"/>
  <c r="CY24" i="4"/>
  <c r="CZ112" i="4"/>
  <c r="DA112" i="4" s="1"/>
  <c r="DC112" i="4" s="1"/>
  <c r="DD112" i="4" s="1"/>
  <c r="DE112" i="4" s="1"/>
  <c r="DF112" i="4" s="1"/>
  <c r="DH112" i="4" s="1"/>
  <c r="DI112" i="4" s="1"/>
  <c r="DJ112" i="4" s="1"/>
  <c r="DK112" i="4" s="1"/>
  <c r="DM112" i="4" s="1"/>
  <c r="DN112" i="4" s="1"/>
  <c r="DO112" i="4" s="1"/>
  <c r="DP112" i="4" s="1"/>
  <c r="DB50" i="1"/>
  <c r="DA56" i="1"/>
  <c r="DB56" i="1" s="1"/>
  <c r="BJ96" i="8"/>
  <c r="BK95" i="8"/>
  <c r="BK96" i="8" s="1"/>
  <c r="BM95" i="8"/>
  <c r="BM96" i="8" s="1"/>
  <c r="BO95" i="8" s="1"/>
  <c r="BL95" i="8"/>
  <c r="BL96" i="8" s="1"/>
  <c r="DA109" i="4"/>
  <c r="DE98" i="1"/>
  <c r="DF97" i="1"/>
  <c r="DC84" i="1"/>
  <c r="DC86" i="1" s="1"/>
  <c r="DC89" i="1"/>
  <c r="DC93" i="1" s="1"/>
  <c r="DC83" i="1" s="1"/>
  <c r="CZ77" i="4"/>
  <c r="CY114" i="4"/>
  <c r="CX26" i="4"/>
  <c r="CY113" i="4"/>
  <c r="CX25" i="4"/>
  <c r="R54" i="8"/>
  <c r="S49" i="8"/>
  <c r="S50" i="8" s="1"/>
  <c r="DH135" i="4"/>
  <c r="DE111" i="4"/>
  <c r="DE110" i="4"/>
  <c r="CZ136" i="4"/>
  <c r="Z96" i="8"/>
  <c r="Z54" i="8"/>
  <c r="AE49" i="8"/>
  <c r="CY115" i="4"/>
  <c r="CX27" i="4"/>
  <c r="CO121" i="4"/>
  <c r="CO126" i="4" s="1"/>
  <c r="CO127" i="4" s="1"/>
  <c r="CN32" i="4"/>
  <c r="CN122" i="4"/>
  <c r="DQ91" i="1" l="1"/>
  <c r="DN61" i="1"/>
  <c r="DP84" i="8"/>
  <c r="DP151" i="4"/>
  <c r="DP154" i="4" s="1"/>
  <c r="DO183" i="4"/>
  <c r="DO159" i="4"/>
  <c r="DO52" i="4"/>
  <c r="DO55" i="4" s="1"/>
  <c r="DO57" i="4" s="1"/>
  <c r="DQ105" i="1"/>
  <c r="DQ102" i="1" s="1"/>
  <c r="DQ103" i="1" s="1"/>
  <c r="DP76" i="8"/>
  <c r="DP68" i="8"/>
  <c r="AT81" i="4"/>
  <c r="AY74" i="4"/>
  <c r="AY79" i="4" s="1"/>
  <c r="BR95" i="8"/>
  <c r="BR96" i="8" s="1"/>
  <c r="BT95" i="8" s="1"/>
  <c r="BP95" i="8"/>
  <c r="BP96" i="8" s="1"/>
  <c r="BQ95" i="8"/>
  <c r="BQ96" i="8" s="1"/>
  <c r="BO96" i="8"/>
  <c r="DC109" i="4"/>
  <c r="DC79" i="1"/>
  <c r="DC78" i="1"/>
  <c r="DD84" i="1"/>
  <c r="DD86" i="1" s="1"/>
  <c r="DA190" i="4"/>
  <c r="DH97" i="1"/>
  <c r="DF98" i="1"/>
  <c r="DF90" i="1" s="1"/>
  <c r="DE90" i="1"/>
  <c r="DD89" i="1"/>
  <c r="DD93" i="1" s="1"/>
  <c r="DI135" i="4"/>
  <c r="DA136" i="4"/>
  <c r="AE95" i="8"/>
  <c r="AE50" i="8"/>
  <c r="DF110" i="4"/>
  <c r="S54" i="8"/>
  <c r="T49" i="8"/>
  <c r="T50" i="8" s="1"/>
  <c r="DF111" i="4"/>
  <c r="CZ113" i="4"/>
  <c r="CY25" i="4"/>
  <c r="CZ114" i="4"/>
  <c r="CY26" i="4"/>
  <c r="CY27" i="4"/>
  <c r="CZ115" i="4"/>
  <c r="CN33" i="4"/>
  <c r="CN34" i="4"/>
  <c r="CN35" i="4"/>
  <c r="CO123" i="4"/>
  <c r="CP125" i="4"/>
  <c r="CO36" i="4"/>
  <c r="AK111" i="8" l="1"/>
  <c r="AK112" i="8" s="1"/>
  <c r="DP159" i="4"/>
  <c r="DQ159" i="4" s="1"/>
  <c r="DP183" i="4"/>
  <c r="DQ183" i="4" s="1"/>
  <c r="DP52" i="4"/>
  <c r="DO61" i="1"/>
  <c r="AY81" i="4"/>
  <c r="BD74" i="4"/>
  <c r="BD79" i="4" s="1"/>
  <c r="DB71" i="1"/>
  <c r="DG98" i="1"/>
  <c r="DG97" i="1" s="1"/>
  <c r="BU95" i="8"/>
  <c r="BU96" i="8" s="1"/>
  <c r="BV95" i="8"/>
  <c r="BV96" i="8" s="1"/>
  <c r="BW95" i="8"/>
  <c r="BW96" i="8" s="1"/>
  <c r="BY95" i="8" s="1"/>
  <c r="BT96" i="8"/>
  <c r="DD109" i="4"/>
  <c r="DG90" i="1"/>
  <c r="DE84" i="1"/>
  <c r="DE86" i="1" s="1"/>
  <c r="DD83" i="1"/>
  <c r="DE89" i="1"/>
  <c r="DE93" i="1" s="1"/>
  <c r="DI97" i="1"/>
  <c r="DH98" i="1"/>
  <c r="DH90" i="1" s="1"/>
  <c r="DB42" i="8"/>
  <c r="DC80" i="1"/>
  <c r="DC190" i="4"/>
  <c r="DC81" i="1"/>
  <c r="DC42" i="8"/>
  <c r="DB85" i="1"/>
  <c r="H31" i="26"/>
  <c r="DB190" i="4"/>
  <c r="DA115" i="4"/>
  <c r="DC136" i="4"/>
  <c r="CO122" i="4"/>
  <c r="CO32" i="4"/>
  <c r="CP121" i="4"/>
  <c r="CP126" i="4" s="1"/>
  <c r="DA113" i="4"/>
  <c r="DH111" i="4"/>
  <c r="T54" i="8"/>
  <c r="V49" i="8"/>
  <c r="V50" i="8" s="1"/>
  <c r="DJ135" i="4"/>
  <c r="DA114" i="4"/>
  <c r="DH110" i="4"/>
  <c r="AE54" i="8"/>
  <c r="AJ49" i="8"/>
  <c r="AE96" i="8"/>
  <c r="DQ52" i="4" l="1"/>
  <c r="DQ55" i="4" s="1"/>
  <c r="DP55" i="4"/>
  <c r="DP61" i="1"/>
  <c r="DQ61" i="1" s="1"/>
  <c r="BI74" i="4"/>
  <c r="BI79" i="4" s="1"/>
  <c r="BD81" i="4"/>
  <c r="BZ95" i="8"/>
  <c r="BZ96" i="8" s="1"/>
  <c r="CA95" i="8"/>
  <c r="CA96" i="8" s="1"/>
  <c r="BY96" i="8"/>
  <c r="CB95" i="8"/>
  <c r="CB96" i="8" s="1"/>
  <c r="CD95" i="8" s="1"/>
  <c r="DE109" i="4"/>
  <c r="DC88" i="8"/>
  <c r="DC43" i="8"/>
  <c r="DI98" i="1"/>
  <c r="DI90" i="1" s="1"/>
  <c r="DJ97" i="1"/>
  <c r="DA77" i="4"/>
  <c r="DB62" i="4"/>
  <c r="DC62" i="4" s="1"/>
  <c r="DE83" i="1"/>
  <c r="DF89" i="1"/>
  <c r="DF93" i="1" s="1"/>
  <c r="DB88" i="8"/>
  <c r="DD42" i="8"/>
  <c r="DD43" i="8" s="1"/>
  <c r="DD190" i="4"/>
  <c r="DF84" i="1"/>
  <c r="AJ95" i="8"/>
  <c r="AJ50" i="8"/>
  <c r="DI110" i="4"/>
  <c r="DI111" i="4"/>
  <c r="DC115" i="4"/>
  <c r="DC113" i="4"/>
  <c r="CO34" i="4"/>
  <c r="CO33" i="4"/>
  <c r="CO35" i="4"/>
  <c r="DC114" i="4"/>
  <c r="DK135" i="4"/>
  <c r="DM135" i="4" s="1"/>
  <c r="V54" i="8"/>
  <c r="W49" i="8"/>
  <c r="W50" i="8" s="1"/>
  <c r="CP127" i="4"/>
  <c r="DD136" i="4"/>
  <c r="DN135" i="4" l="1"/>
  <c r="BI81" i="4"/>
  <c r="BN74" i="4"/>
  <c r="BN79" i="4" s="1"/>
  <c r="DB70" i="1"/>
  <c r="DB69" i="1"/>
  <c r="CE95" i="8"/>
  <c r="CE96" i="8" s="1"/>
  <c r="CG95" i="8"/>
  <c r="CG96" i="8" s="1"/>
  <c r="CI95" i="8" s="1"/>
  <c r="CD96" i="8"/>
  <c r="CF95" i="8"/>
  <c r="CF96" i="8" s="1"/>
  <c r="DF109" i="4"/>
  <c r="DG84" i="1"/>
  <c r="DF86" i="1"/>
  <c r="DD62" i="4"/>
  <c r="DE42" i="8"/>
  <c r="DE190" i="4"/>
  <c r="DC77" i="4"/>
  <c r="DB77" i="4"/>
  <c r="DK97" i="1"/>
  <c r="DJ98" i="1"/>
  <c r="DH84" i="1"/>
  <c r="DH86" i="1" s="1"/>
  <c r="DF83" i="1"/>
  <c r="DH89" i="1"/>
  <c r="DH93" i="1" s="1"/>
  <c r="DC89" i="8"/>
  <c r="DD88" i="8"/>
  <c r="CQ125" i="4"/>
  <c r="CP36" i="4"/>
  <c r="CP123" i="4"/>
  <c r="W54" i="8"/>
  <c r="X49" i="8"/>
  <c r="X50" i="8" s="1"/>
  <c r="DD113" i="4"/>
  <c r="DJ110" i="4"/>
  <c r="DD114" i="4"/>
  <c r="DD115" i="4"/>
  <c r="AO49" i="8"/>
  <c r="AJ54" i="8"/>
  <c r="AJ96" i="8"/>
  <c r="DE136" i="4"/>
  <c r="DJ111" i="4"/>
  <c r="DO135" i="4" l="1"/>
  <c r="DK98" i="1"/>
  <c r="DK90" i="1" s="1"/>
  <c r="DM97" i="1"/>
  <c r="BS74" i="4"/>
  <c r="BS79" i="4" s="1"/>
  <c r="BN81" i="4"/>
  <c r="CJ95" i="8"/>
  <c r="CJ96" i="8" s="1"/>
  <c r="CI96" i="8"/>
  <c r="CL95" i="8"/>
  <c r="CL96" i="8" s="1"/>
  <c r="CN95" i="8" s="1"/>
  <c r="CK95" i="8"/>
  <c r="CK96" i="8" s="1"/>
  <c r="DH109" i="4"/>
  <c r="DI109" i="4" s="1"/>
  <c r="DJ109" i="4" s="1"/>
  <c r="DK109" i="4" s="1"/>
  <c r="DM109" i="4" s="1"/>
  <c r="DN109" i="4" s="1"/>
  <c r="DO109" i="4" s="1"/>
  <c r="DP109" i="4" s="1"/>
  <c r="DD77" i="4"/>
  <c r="DF190" i="4"/>
  <c r="DF42" i="8"/>
  <c r="DH83" i="1"/>
  <c r="DI89" i="1"/>
  <c r="DI93" i="1" s="1"/>
  <c r="DI84" i="1"/>
  <c r="DI86" i="1" s="1"/>
  <c r="DJ90" i="1"/>
  <c r="DL98" i="1"/>
  <c r="DL97" i="1" s="1"/>
  <c r="DE43" i="8"/>
  <c r="DE62" i="4"/>
  <c r="DE88" i="8"/>
  <c r="DD89" i="8"/>
  <c r="DG86" i="1"/>
  <c r="DK111" i="4"/>
  <c r="DM111" i="4" s="1"/>
  <c r="DN111" i="4" s="1"/>
  <c r="DO111" i="4" s="1"/>
  <c r="DP111" i="4" s="1"/>
  <c r="DE115" i="4"/>
  <c r="DK110" i="4"/>
  <c r="DM110" i="4" s="1"/>
  <c r="DN110" i="4" s="1"/>
  <c r="DO110" i="4" s="1"/>
  <c r="DP110" i="4" s="1"/>
  <c r="DE113" i="4"/>
  <c r="CQ121" i="4"/>
  <c r="CQ126" i="4" s="1"/>
  <c r="CR126" i="4" s="1"/>
  <c r="CP122" i="4"/>
  <c r="CP32" i="4"/>
  <c r="X54" i="8"/>
  <c r="Y49" i="8"/>
  <c r="Y50" i="8" s="1"/>
  <c r="DE114" i="4"/>
  <c r="AO95" i="8"/>
  <c r="AO50" i="8"/>
  <c r="DF136" i="4"/>
  <c r="DL90" i="1" l="1"/>
  <c r="DP135" i="4"/>
  <c r="DM98" i="1"/>
  <c r="DN97" i="1"/>
  <c r="BS81" i="4"/>
  <c r="BX74" i="4"/>
  <c r="BX79" i="4" s="1"/>
  <c r="CQ95" i="8"/>
  <c r="CQ96" i="8" s="1"/>
  <c r="CS95" i="8" s="1"/>
  <c r="CN96" i="8"/>
  <c r="CO95" i="8"/>
  <c r="CO96" i="8" s="1"/>
  <c r="CP95" i="8"/>
  <c r="CP96" i="8" s="1"/>
  <c r="CQ127" i="4"/>
  <c r="CS125" i="4" s="1"/>
  <c r="DF88" i="8"/>
  <c r="DF89" i="8" s="1"/>
  <c r="DE89" i="8"/>
  <c r="DF43" i="8"/>
  <c r="DG42" i="8"/>
  <c r="DF62" i="4"/>
  <c r="DE77" i="4"/>
  <c r="DJ89" i="1"/>
  <c r="DJ93" i="1" s="1"/>
  <c r="DI83" i="1"/>
  <c r="DG190" i="4"/>
  <c r="DG85" i="1"/>
  <c r="I31" i="26"/>
  <c r="DJ84" i="1"/>
  <c r="DJ86" i="1" s="1"/>
  <c r="DH190" i="4"/>
  <c r="DH42" i="8"/>
  <c r="DF114" i="4"/>
  <c r="DH136" i="4"/>
  <c r="AO96" i="8"/>
  <c r="AT49" i="8"/>
  <c r="AO54" i="8"/>
  <c r="CP34" i="4"/>
  <c r="CP33" i="4"/>
  <c r="CP35" i="4"/>
  <c r="DF115" i="4"/>
  <c r="DF113" i="4"/>
  <c r="Y54" i="8"/>
  <c r="AA49" i="8"/>
  <c r="AA50" i="8" s="1"/>
  <c r="CR131" i="4"/>
  <c r="CR127" i="4"/>
  <c r="DO97" i="1" l="1"/>
  <c r="DN98" i="1"/>
  <c r="DN90" i="1" s="1"/>
  <c r="DM90" i="1"/>
  <c r="CQ123" i="4"/>
  <c r="CQ122" i="4" s="1"/>
  <c r="CR122" i="4" s="1"/>
  <c r="CQ36" i="4"/>
  <c r="CR36" i="4" s="1"/>
  <c r="BX81" i="4"/>
  <c r="CC74" i="4"/>
  <c r="CC79" i="4" s="1"/>
  <c r="CS96" i="8"/>
  <c r="CU95" i="8"/>
  <c r="CU96" i="8" s="1"/>
  <c r="CT95" i="8"/>
  <c r="CT96" i="8" s="1"/>
  <c r="CV95" i="8"/>
  <c r="CV96" i="8" s="1"/>
  <c r="CX95" i="8" s="1"/>
  <c r="DH43" i="8"/>
  <c r="DH88" i="8"/>
  <c r="DI42" i="8"/>
  <c r="DI190" i="4"/>
  <c r="DK84" i="1"/>
  <c r="DF77" i="4"/>
  <c r="DG62" i="4"/>
  <c r="DJ83" i="1"/>
  <c r="DK89" i="1"/>
  <c r="DK93" i="1" s="1"/>
  <c r="DG88" i="8"/>
  <c r="DG43" i="8"/>
  <c r="DG89" i="8" s="1"/>
  <c r="AA54" i="8"/>
  <c r="AB49" i="8"/>
  <c r="AB50" i="8" s="1"/>
  <c r="AT95" i="8"/>
  <c r="AT50" i="8"/>
  <c r="DH114" i="4"/>
  <c r="DH113" i="4"/>
  <c r="DH115" i="4"/>
  <c r="CR123" i="4"/>
  <c r="CW121" i="4" s="1"/>
  <c r="CW125" i="4"/>
  <c r="DI136" i="4"/>
  <c r="CQ32" i="4" l="1"/>
  <c r="CQ34" i="4" s="1"/>
  <c r="CR34" i="4" s="1"/>
  <c r="CS121" i="4"/>
  <c r="CS126" i="4" s="1"/>
  <c r="CS127" i="4" s="1"/>
  <c r="DK83" i="1"/>
  <c r="DM89" i="1"/>
  <c r="DM93" i="1" s="1"/>
  <c r="DM84" i="1"/>
  <c r="DO98" i="1"/>
  <c r="DP97" i="1"/>
  <c r="DP98" i="1" s="1"/>
  <c r="DP90" i="1" s="1"/>
  <c r="CH74" i="4"/>
  <c r="CH79" i="4" s="1"/>
  <c r="CC81" i="4"/>
  <c r="CZ95" i="8"/>
  <c r="DA95" i="8"/>
  <c r="CY95" i="8"/>
  <c r="CY96" i="8" s="1"/>
  <c r="CX96" i="8"/>
  <c r="DL84" i="1"/>
  <c r="DK86" i="1"/>
  <c r="DH62" i="4"/>
  <c r="DG77" i="4"/>
  <c r="DI43" i="8"/>
  <c r="DJ42" i="8"/>
  <c r="DJ190" i="4"/>
  <c r="DH89" i="8"/>
  <c r="DI88" i="8"/>
  <c r="AT96" i="8"/>
  <c r="AT54" i="8"/>
  <c r="AY49" i="8"/>
  <c r="DJ136" i="4"/>
  <c r="DI115" i="4"/>
  <c r="AC49" i="8"/>
  <c r="AC50" i="8" s="1"/>
  <c r="AB54" i="8"/>
  <c r="DI113" i="4"/>
  <c r="DI114" i="4"/>
  <c r="CQ35" i="4" l="1"/>
  <c r="CR35" i="4" s="1"/>
  <c r="CR32" i="4"/>
  <c r="CR135" i="4" s="1"/>
  <c r="CQ33" i="4"/>
  <c r="CR33" i="4" s="1"/>
  <c r="DN89" i="1"/>
  <c r="DN93" i="1" s="1"/>
  <c r="DM83" i="1"/>
  <c r="DM86" i="1"/>
  <c r="DN84" i="1"/>
  <c r="DO90" i="1"/>
  <c r="DQ90" i="1" s="1"/>
  <c r="DQ98" i="1"/>
  <c r="DQ97" i="1" s="1"/>
  <c r="CH81" i="4"/>
  <c r="CM74" i="4"/>
  <c r="DI89" i="8"/>
  <c r="DJ88" i="8"/>
  <c r="DK42" i="8"/>
  <c r="DL86" i="1"/>
  <c r="J31" i="26" s="1"/>
  <c r="DK190" i="4"/>
  <c r="DH77" i="4"/>
  <c r="DJ43" i="8"/>
  <c r="DI62" i="4"/>
  <c r="DJ62" i="4" s="1"/>
  <c r="DJ115" i="4"/>
  <c r="DK136" i="4"/>
  <c r="DM136" i="4" s="1"/>
  <c r="DJ113" i="4"/>
  <c r="AY95" i="8"/>
  <c r="AY50" i="8"/>
  <c r="CT125" i="4"/>
  <c r="CS123" i="4"/>
  <c r="CS36" i="4"/>
  <c r="AC54" i="8"/>
  <c r="AD49" i="8"/>
  <c r="AD50" i="8" s="1"/>
  <c r="DJ114" i="4"/>
  <c r="CR134" i="4" l="1"/>
  <c r="CR136" i="4"/>
  <c r="DN136" i="4"/>
  <c r="DN86" i="1"/>
  <c r="DO84" i="1"/>
  <c r="DM190" i="4"/>
  <c r="DM42" i="8"/>
  <c r="DO89" i="1"/>
  <c r="DO93" i="1" s="1"/>
  <c r="DN83" i="1"/>
  <c r="DJ77" i="4"/>
  <c r="DL85" i="1"/>
  <c r="DL190" i="4"/>
  <c r="DI77" i="4"/>
  <c r="DK43" i="8"/>
  <c r="DK62" i="4"/>
  <c r="DL42" i="8"/>
  <c r="DJ89" i="8"/>
  <c r="DK88" i="8"/>
  <c r="DK89" i="8" s="1"/>
  <c r="AY54" i="8"/>
  <c r="BD49" i="8"/>
  <c r="AY96" i="8"/>
  <c r="DK114" i="4"/>
  <c r="DM114" i="4" s="1"/>
  <c r="DN114" i="4" s="1"/>
  <c r="DO114" i="4" s="1"/>
  <c r="DP114" i="4" s="1"/>
  <c r="DK115" i="4"/>
  <c r="DM115" i="4" s="1"/>
  <c r="DN115" i="4" s="1"/>
  <c r="DO115" i="4" s="1"/>
  <c r="DP115" i="4" s="1"/>
  <c r="CS122" i="4"/>
  <c r="CS32" i="4"/>
  <c r="CT121" i="4"/>
  <c r="CT126" i="4" s="1"/>
  <c r="CT127" i="4" s="1"/>
  <c r="DK113" i="4"/>
  <c r="DM113" i="4" s="1"/>
  <c r="DN113" i="4" s="1"/>
  <c r="DO113" i="4" s="1"/>
  <c r="DP113" i="4" s="1"/>
  <c r="AD54" i="8"/>
  <c r="AF49" i="8"/>
  <c r="AF50" i="8" s="1"/>
  <c r="DO136" i="4" l="1"/>
  <c r="DM88" i="8"/>
  <c r="DM43" i="8"/>
  <c r="DN190" i="4"/>
  <c r="DN42" i="8"/>
  <c r="DO86" i="1"/>
  <c r="DP84" i="1"/>
  <c r="DP89" i="1"/>
  <c r="DP93" i="1" s="1"/>
  <c r="DP83" i="1" s="1"/>
  <c r="DO83" i="1"/>
  <c r="DL62" i="4"/>
  <c r="DM62" i="4" s="1"/>
  <c r="DK77" i="4"/>
  <c r="DL88" i="8"/>
  <c r="DL43" i="8"/>
  <c r="DL89" i="8" s="1"/>
  <c r="CT36" i="4"/>
  <c r="CT123" i="4"/>
  <c r="CU125" i="4"/>
  <c r="CS33" i="4"/>
  <c r="CS34" i="4"/>
  <c r="CS35" i="4"/>
  <c r="BD95" i="8"/>
  <c r="BD50" i="8"/>
  <c r="AF54" i="8"/>
  <c r="AG49" i="8"/>
  <c r="AG50" i="8" s="1"/>
  <c r="DP136" i="4" l="1"/>
  <c r="DM77" i="4"/>
  <c r="DP86" i="1"/>
  <c r="DN88" i="8"/>
  <c r="DM89" i="8"/>
  <c r="DO190" i="4"/>
  <c r="DO42" i="8"/>
  <c r="DN43" i="8"/>
  <c r="DN62" i="4"/>
  <c r="DQ84" i="1"/>
  <c r="DL77" i="4"/>
  <c r="BD96" i="8"/>
  <c r="BD54" i="8"/>
  <c r="BI49" i="8"/>
  <c r="AG54" i="8"/>
  <c r="AH49" i="8"/>
  <c r="AH50" i="8" s="1"/>
  <c r="CU121" i="4"/>
  <c r="CU126" i="4" s="1"/>
  <c r="CU127" i="4" s="1"/>
  <c r="CT32" i="4"/>
  <c r="CT122" i="4"/>
  <c r="DN77" i="4" l="1"/>
  <c r="DO88" i="8"/>
  <c r="DN89" i="8"/>
  <c r="DP190" i="4"/>
  <c r="DP42" i="8"/>
  <c r="DQ42" i="8" s="1"/>
  <c r="DQ86" i="1"/>
  <c r="DO43" i="8"/>
  <c r="DO62" i="4"/>
  <c r="CV125" i="4"/>
  <c r="CU36" i="4"/>
  <c r="CU123" i="4"/>
  <c r="CT33" i="4"/>
  <c r="CT34" i="4"/>
  <c r="CT35" i="4"/>
  <c r="AH54" i="8"/>
  <c r="AI49" i="8"/>
  <c r="AI50" i="8" s="1"/>
  <c r="BI95" i="8"/>
  <c r="BI50" i="8"/>
  <c r="DO77" i="4" l="1"/>
  <c r="DQ88" i="8"/>
  <c r="DQ43" i="8"/>
  <c r="DQ89" i="8" s="1"/>
  <c r="DP88" i="8"/>
  <c r="DP89" i="8" s="1"/>
  <c r="DO89" i="8"/>
  <c r="DQ190" i="4"/>
  <c r="DQ85" i="1"/>
  <c r="DP43" i="8"/>
  <c r="DP62" i="4"/>
  <c r="CV121" i="4"/>
  <c r="CV126" i="4" s="1"/>
  <c r="CW126" i="4" s="1"/>
  <c r="CU32" i="4"/>
  <c r="CU122" i="4"/>
  <c r="BI96" i="8"/>
  <c r="BN49" i="8"/>
  <c r="BI54" i="8"/>
  <c r="AI54" i="8"/>
  <c r="AK49" i="8"/>
  <c r="AK50" i="8" s="1"/>
  <c r="DQ62" i="4" l="1"/>
  <c r="DP77" i="4"/>
  <c r="CV127" i="4"/>
  <c r="CV36" i="4" s="1"/>
  <c r="CW36" i="4" s="1"/>
  <c r="AL49" i="8"/>
  <c r="AL50" i="8" s="1"/>
  <c r="AK54" i="8"/>
  <c r="CU33" i="4"/>
  <c r="CU34" i="4"/>
  <c r="CU35" i="4"/>
  <c r="BN95" i="8"/>
  <c r="BN50" i="8"/>
  <c r="CW131" i="4"/>
  <c r="CW127" i="4"/>
  <c r="DB125" i="4" s="1"/>
  <c r="DQ77" i="4" l="1"/>
  <c r="CX125" i="4"/>
  <c r="CV123" i="4"/>
  <c r="CV32" i="4" s="1"/>
  <c r="BN96" i="8"/>
  <c r="BS49" i="8"/>
  <c r="BN54" i="8"/>
  <c r="CW123" i="4"/>
  <c r="DB121" i="4" s="1"/>
  <c r="AL54" i="8"/>
  <c r="AM49" i="8"/>
  <c r="AM50" i="8" s="1"/>
  <c r="CX121" i="4" l="1"/>
  <c r="CX126" i="4" s="1"/>
  <c r="CX127" i="4" s="1"/>
  <c r="CX123" i="4" s="1"/>
  <c r="CV122" i="4"/>
  <c r="CW122" i="4" s="1"/>
  <c r="BS95" i="8"/>
  <c r="BS50" i="8"/>
  <c r="CV33" i="4"/>
  <c r="CW33" i="4" s="1"/>
  <c r="CW32" i="4"/>
  <c r="CV34" i="4"/>
  <c r="CW34" i="4" s="1"/>
  <c r="CV35" i="4"/>
  <c r="CW35" i="4" s="1"/>
  <c r="AN49" i="8"/>
  <c r="AN50" i="8" s="1"/>
  <c r="AM54" i="8"/>
  <c r="CW135" i="4" l="1"/>
  <c r="CX36" i="4"/>
  <c r="CY125" i="4"/>
  <c r="CW136" i="4"/>
  <c r="AN54" i="8"/>
  <c r="AP49" i="8"/>
  <c r="AP50" i="8" s="1"/>
  <c r="CY121" i="4"/>
  <c r="CY126" i="4" s="1"/>
  <c r="CX32" i="4"/>
  <c r="CX122" i="4"/>
  <c r="BX49" i="8"/>
  <c r="BS96" i="8"/>
  <c r="BS54" i="8"/>
  <c r="CW134" i="4"/>
  <c r="CY127" i="4" l="1"/>
  <c r="BX95" i="8"/>
  <c r="BX50" i="8"/>
  <c r="AP54" i="8"/>
  <c r="AQ49" i="8"/>
  <c r="AQ50" i="8" s="1"/>
  <c r="CX33" i="4"/>
  <c r="CX34" i="4"/>
  <c r="CX35" i="4"/>
  <c r="CZ125" i="4" l="1"/>
  <c r="CY123" i="4"/>
  <c r="CZ121" i="4" s="1"/>
  <c r="CZ126" i="4" s="1"/>
  <c r="CZ127" i="4" s="1"/>
  <c r="CZ123" i="4" s="1"/>
  <c r="CZ122" i="4" s="1"/>
  <c r="BX54" i="8"/>
  <c r="CC49" i="8"/>
  <c r="BX96" i="8"/>
  <c r="CY36" i="4"/>
  <c r="AQ54" i="8"/>
  <c r="AR49" i="8"/>
  <c r="AR50" i="8" s="1"/>
  <c r="DA125" i="4" l="1"/>
  <c r="CC95" i="8"/>
  <c r="CC50" i="8"/>
  <c r="CY122" i="4"/>
  <c r="CY32" i="4"/>
  <c r="AR54" i="8"/>
  <c r="AS49" i="8"/>
  <c r="AS50" i="8" s="1"/>
  <c r="DA121" i="4" l="1"/>
  <c r="DA123" i="4" s="1"/>
  <c r="DA127" i="4" s="1"/>
  <c r="DA126" i="4" s="1"/>
  <c r="DB122" i="4"/>
  <c r="CY33" i="4"/>
  <c r="CY34" i="4"/>
  <c r="CY35" i="4"/>
  <c r="AS54" i="8"/>
  <c r="AU49" i="8"/>
  <c r="AU50" i="8" s="1"/>
  <c r="CC96" i="8"/>
  <c r="CC54" i="8"/>
  <c r="CH49" i="8"/>
  <c r="CZ32" i="4" l="1"/>
  <c r="CH95" i="8"/>
  <c r="CH50" i="8"/>
  <c r="AU54" i="8"/>
  <c r="AV49" i="8"/>
  <c r="AV50" i="8" s="1"/>
  <c r="CZ36" i="4" l="1"/>
  <c r="CZ33" i="4"/>
  <c r="CZ34" i="4"/>
  <c r="CZ35" i="4"/>
  <c r="AV54" i="8"/>
  <c r="AW49" i="8"/>
  <c r="AW50" i="8" s="1"/>
  <c r="CH54" i="8"/>
  <c r="CM49" i="8"/>
  <c r="CH96" i="8"/>
  <c r="CM95" i="8" l="1"/>
  <c r="CM50" i="8"/>
  <c r="DA32" i="4"/>
  <c r="DC121" i="4"/>
  <c r="DC126" i="4" s="1"/>
  <c r="DB126" i="4"/>
  <c r="CZ207" i="4"/>
  <c r="CZ209" i="4" s="1"/>
  <c r="CZ40" i="4"/>
  <c r="AW54" i="8"/>
  <c r="AX49" i="8"/>
  <c r="AX50" i="8" s="1"/>
  <c r="CR49" i="8" l="1"/>
  <c r="CM96" i="8"/>
  <c r="CM54" i="8"/>
  <c r="DC125" i="4"/>
  <c r="DA36" i="4"/>
  <c r="DC123" i="4"/>
  <c r="CZ174" i="4"/>
  <c r="DB32" i="4"/>
  <c r="DA33" i="4"/>
  <c r="DB33" i="4" s="1"/>
  <c r="DA34" i="4"/>
  <c r="DB34" i="4" s="1"/>
  <c r="DA35" i="4"/>
  <c r="DB35" i="4" s="1"/>
  <c r="AX54" i="8"/>
  <c r="AZ49" i="8"/>
  <c r="AZ50" i="8" s="1"/>
  <c r="DB127" i="4"/>
  <c r="DG125" i="4" s="1"/>
  <c r="DB131" i="4"/>
  <c r="DB36" i="4" l="1"/>
  <c r="DB135" i="4"/>
  <c r="DB134" i="4"/>
  <c r="DB136" i="4"/>
  <c r="DD121" i="4"/>
  <c r="DC32" i="4"/>
  <c r="DB129" i="4"/>
  <c r="DB123" i="4" s="1"/>
  <c r="DG121" i="4" s="1"/>
  <c r="AZ54" i="8"/>
  <c r="BA49" i="8"/>
  <c r="BA50" i="8" s="1"/>
  <c r="CR95" i="8"/>
  <c r="CR50" i="8"/>
  <c r="DC127" i="4"/>
  <c r="DD126" i="4" l="1"/>
  <c r="DD123" i="4"/>
  <c r="BA54" i="8"/>
  <c r="BB49" i="8"/>
  <c r="BB50" i="8" s="1"/>
  <c r="DC33" i="4"/>
  <c r="DC34" i="4"/>
  <c r="DC35" i="4"/>
  <c r="DD125" i="4"/>
  <c r="DC36" i="4"/>
  <c r="CR54" i="8"/>
  <c r="CW49" i="8"/>
  <c r="CR96" i="8"/>
  <c r="DB37" i="4"/>
  <c r="DC129" i="4"/>
  <c r="DC37" i="4" s="1"/>
  <c r="DD127" i="4" l="1"/>
  <c r="DE125" i="4" s="1"/>
  <c r="BB54" i="8"/>
  <c r="BC49" i="8"/>
  <c r="BC50" i="8" s="1"/>
  <c r="DD32" i="4"/>
  <c r="DE121" i="4"/>
  <c r="CW95" i="8"/>
  <c r="CW50" i="8"/>
  <c r="DD36" i="4" l="1"/>
  <c r="DD129" i="4"/>
  <c r="DD37" i="4" s="1"/>
  <c r="DD33" i="4"/>
  <c r="DD34" i="4"/>
  <c r="DD35" i="4"/>
  <c r="BE49" i="8"/>
  <c r="BE50" i="8" s="1"/>
  <c r="BC54" i="8"/>
  <c r="CW96" i="8"/>
  <c r="DB49" i="8"/>
  <c r="CW11" i="4"/>
  <c r="DE126" i="4"/>
  <c r="DE127" i="4" s="1"/>
  <c r="DE123" i="4"/>
  <c r="CW54" i="8" l="1"/>
  <c r="CX161" i="4"/>
  <c r="DB161" i="4"/>
  <c r="DE36" i="4"/>
  <c r="DF125" i="4"/>
  <c r="CW199" i="4"/>
  <c r="CW185" i="4"/>
  <c r="CW17" i="4"/>
  <c r="BE54" i="8"/>
  <c r="BF49" i="8"/>
  <c r="BF50" i="8" s="1"/>
  <c r="DF121" i="4"/>
  <c r="DE129" i="4"/>
  <c r="DE37" i="4" s="1"/>
  <c r="DE32" i="4"/>
  <c r="DB95" i="8"/>
  <c r="DE33" i="4" l="1"/>
  <c r="DE34" i="4"/>
  <c r="DE35" i="4"/>
  <c r="CW192" i="4"/>
  <c r="CW186" i="4"/>
  <c r="CW187" i="4"/>
  <c r="BG49" i="8"/>
  <c r="BG50" i="8" s="1"/>
  <c r="BF54" i="8"/>
  <c r="DF126" i="4"/>
  <c r="DF123" i="4"/>
  <c r="CW197" i="4"/>
  <c r="CW198" i="4"/>
  <c r="CW42" i="4"/>
  <c r="CW71" i="4" s="1"/>
  <c r="DG126" i="4" l="1"/>
  <c r="DF127" i="4"/>
  <c r="DF129" i="4" s="1"/>
  <c r="BG54" i="8"/>
  <c r="BH49" i="8"/>
  <c r="BH50" i="8" s="1"/>
  <c r="CW177" i="4"/>
  <c r="CW178" i="4"/>
  <c r="CW194" i="4"/>
  <c r="DF32" i="4"/>
  <c r="DH121" i="4"/>
  <c r="CW193" i="4"/>
  <c r="CW180" i="4"/>
  <c r="DF37" i="4" l="1"/>
  <c r="DG129" i="4"/>
  <c r="DH126" i="4"/>
  <c r="DH123" i="4"/>
  <c r="DH125" i="4"/>
  <c r="DF36" i="4"/>
  <c r="DG36" i="4" s="1"/>
  <c r="DG32" i="4"/>
  <c r="DF33" i="4"/>
  <c r="DG33" i="4" s="1"/>
  <c r="DF34" i="4"/>
  <c r="DG34" i="4" s="1"/>
  <c r="DF35" i="4"/>
  <c r="DG35" i="4" s="1"/>
  <c r="BH54" i="8"/>
  <c r="BJ49" i="8"/>
  <c r="BJ50" i="8" s="1"/>
  <c r="DG127" i="4"/>
  <c r="DL125" i="4" s="1"/>
  <c r="DG131" i="4"/>
  <c r="DH127" i="4" l="1"/>
  <c r="DH129" i="4" s="1"/>
  <c r="DH37" i="4" s="1"/>
  <c r="DG135" i="4"/>
  <c r="DG134" i="4"/>
  <c r="DG136" i="4"/>
  <c r="DG123" i="4"/>
  <c r="DL121" i="4" s="1"/>
  <c r="DG37" i="4"/>
  <c r="BJ54" i="8"/>
  <c r="BK49" i="8"/>
  <c r="BK50" i="8" s="1"/>
  <c r="DI121" i="4"/>
  <c r="DH32" i="4"/>
  <c r="DH36" i="4" l="1"/>
  <c r="DI125" i="4"/>
  <c r="DH33" i="4"/>
  <c r="DH34" i="4"/>
  <c r="DH35" i="4"/>
  <c r="BL49" i="8"/>
  <c r="BL50" i="8" s="1"/>
  <c r="BK54" i="8"/>
  <c r="DI126" i="4"/>
  <c r="DI123" i="4"/>
  <c r="DI32" i="4" l="1"/>
  <c r="DJ121" i="4"/>
  <c r="BL54" i="8"/>
  <c r="BM49" i="8"/>
  <c r="BM50" i="8" s="1"/>
  <c r="DI127" i="4"/>
  <c r="BM54" i="8" l="1"/>
  <c r="BO49" i="8"/>
  <c r="BO50" i="8" s="1"/>
  <c r="DJ125" i="4"/>
  <c r="DI36" i="4"/>
  <c r="DJ126" i="4"/>
  <c r="DJ123" i="4"/>
  <c r="DI33" i="4"/>
  <c r="DI34" i="4"/>
  <c r="DI35" i="4"/>
  <c r="DI129" i="4"/>
  <c r="DI37" i="4" s="1"/>
  <c r="DK121" i="4" l="1"/>
  <c r="DJ32" i="4"/>
  <c r="BO54" i="8"/>
  <c r="BP49" i="8"/>
  <c r="BP50" i="8" s="1"/>
  <c r="DJ127" i="4"/>
  <c r="DJ129" i="4" s="1"/>
  <c r="DJ37" i="4" s="1"/>
  <c r="DJ36" i="4" l="1"/>
  <c r="DK125" i="4"/>
  <c r="DJ33" i="4"/>
  <c r="DJ34" i="4"/>
  <c r="DJ35" i="4"/>
  <c r="BP54" i="8"/>
  <c r="BQ49" i="8"/>
  <c r="BQ50" i="8" s="1"/>
  <c r="DK123" i="4"/>
  <c r="DM121" i="4" s="1"/>
  <c r="DK126" i="4"/>
  <c r="DM123" i="4" l="1"/>
  <c r="DM126" i="4"/>
  <c r="DL126" i="4"/>
  <c r="DK127" i="4"/>
  <c r="DK32" i="4"/>
  <c r="BQ54" i="8"/>
  <c r="BR49" i="8"/>
  <c r="BR50" i="8" s="1"/>
  <c r="DK36" i="4" l="1"/>
  <c r="DL36" i="4" s="1"/>
  <c r="DM125" i="4"/>
  <c r="DM127" i="4" s="1"/>
  <c r="DN121" i="4"/>
  <c r="DM32" i="4"/>
  <c r="DK129" i="4"/>
  <c r="DL129" i="4" s="1"/>
  <c r="BR54" i="8"/>
  <c r="BT49" i="8"/>
  <c r="BT50" i="8" s="1"/>
  <c r="DL32" i="4"/>
  <c r="DK33" i="4"/>
  <c r="DL33" i="4" s="1"/>
  <c r="DK34" i="4"/>
  <c r="DL34" i="4" s="1"/>
  <c r="DK35" i="4"/>
  <c r="DL35" i="4" s="1"/>
  <c r="DL127" i="4"/>
  <c r="DQ125" i="4" s="1"/>
  <c r="DL131" i="4"/>
  <c r="DN126" i="4" l="1"/>
  <c r="DN123" i="4"/>
  <c r="DN125" i="4"/>
  <c r="DM36" i="4"/>
  <c r="DM129" i="4"/>
  <c r="DM37" i="4" s="1"/>
  <c r="DM33" i="4"/>
  <c r="DM34" i="4"/>
  <c r="DM35" i="4"/>
  <c r="DK37" i="4"/>
  <c r="DL37" i="4" s="1"/>
  <c r="DL135" i="4"/>
  <c r="DL134" i="4"/>
  <c r="DL136" i="4"/>
  <c r="BT54" i="8"/>
  <c r="BU49" i="8"/>
  <c r="BU50" i="8" s="1"/>
  <c r="DL123" i="4"/>
  <c r="DQ121" i="4" s="1"/>
  <c r="DN127" i="4" l="1"/>
  <c r="DO125" i="4" s="1"/>
  <c r="DN32" i="4"/>
  <c r="DO121" i="4"/>
  <c r="BU54" i="8"/>
  <c r="BV49" i="8"/>
  <c r="BV50" i="8" s="1"/>
  <c r="DN129" i="4" l="1"/>
  <c r="DN37" i="4" s="1"/>
  <c r="DN36" i="4"/>
  <c r="DN33" i="4"/>
  <c r="DN34" i="4"/>
  <c r="DN35" i="4"/>
  <c r="DO126" i="4"/>
  <c r="DO127" i="4" s="1"/>
  <c r="DO123" i="4"/>
  <c r="BV54" i="8"/>
  <c r="BW49" i="8"/>
  <c r="BW50" i="8" s="1"/>
  <c r="DP125" i="4" l="1"/>
  <c r="DO36" i="4"/>
  <c r="DO129" i="4"/>
  <c r="DO37" i="4" s="1"/>
  <c r="DO32" i="4"/>
  <c r="DP121" i="4"/>
  <c r="BW54" i="8"/>
  <c r="BY49" i="8"/>
  <c r="BY50" i="8" s="1"/>
  <c r="DO33" i="4" l="1"/>
  <c r="DO34" i="4"/>
  <c r="DO35" i="4"/>
  <c r="DP123" i="4"/>
  <c r="DP126" i="4"/>
  <c r="DQ126" i="4" s="1"/>
  <c r="BY54" i="8"/>
  <c r="BZ49" i="8"/>
  <c r="BZ50" i="8" s="1"/>
  <c r="DP127" i="4" l="1"/>
  <c r="DP36" i="4" s="1"/>
  <c r="DQ36" i="4" s="1"/>
  <c r="DP32" i="4"/>
  <c r="DQ127" i="4"/>
  <c r="DQ131" i="4"/>
  <c r="CA49" i="8"/>
  <c r="CA50" i="8" s="1"/>
  <c r="BZ54" i="8"/>
  <c r="DP129" i="4" l="1"/>
  <c r="DQ129" i="4" s="1"/>
  <c r="DQ123" i="4" s="1"/>
  <c r="DQ32" i="4"/>
  <c r="DP33" i="4"/>
  <c r="DQ33" i="4" s="1"/>
  <c r="DP34" i="4"/>
  <c r="DQ34" i="4" s="1"/>
  <c r="DP35" i="4"/>
  <c r="DQ35" i="4" s="1"/>
  <c r="CA54" i="8"/>
  <c r="CB49" i="8"/>
  <c r="CB50" i="8" s="1"/>
  <c r="DQ135" i="4" l="1"/>
  <c r="DQ134" i="4"/>
  <c r="DP37" i="4"/>
  <c r="DQ37" i="4" s="1"/>
  <c r="DQ136" i="4"/>
  <c r="CB54" i="8"/>
  <c r="CD49" i="8"/>
  <c r="CD50" i="8" s="1"/>
  <c r="CD54" i="8" l="1"/>
  <c r="CE49" i="8"/>
  <c r="CE50" i="8" s="1"/>
  <c r="CE54" i="8" l="1"/>
  <c r="CF49" i="8"/>
  <c r="CF50" i="8" s="1"/>
  <c r="CF54" i="8" l="1"/>
  <c r="CG49" i="8"/>
  <c r="CG50" i="8" s="1"/>
  <c r="CG54" i="8" l="1"/>
  <c r="CI49" i="8"/>
  <c r="CI50" i="8" s="1"/>
  <c r="CI54" i="8" l="1"/>
  <c r="CJ49" i="8"/>
  <c r="CJ50" i="8" s="1"/>
  <c r="CK49" i="8" l="1"/>
  <c r="CK50" i="8" s="1"/>
  <c r="CJ54" i="8"/>
  <c r="CK54" i="8" l="1"/>
  <c r="CL49" i="8"/>
  <c r="CL50" i="8" s="1"/>
  <c r="CL54" i="8" l="1"/>
  <c r="CN49" i="8"/>
  <c r="CN50" i="8" s="1"/>
  <c r="CN54" i="8" l="1"/>
  <c r="CO49" i="8"/>
  <c r="CO50" i="8" s="1"/>
  <c r="CP49" i="8" l="1"/>
  <c r="CP50" i="8" s="1"/>
  <c r="CO54" i="8"/>
  <c r="CP54" i="8" l="1"/>
  <c r="CQ49" i="8"/>
  <c r="CQ50" i="8" s="1"/>
  <c r="CQ54" i="8" l="1"/>
  <c r="CS49" i="8"/>
  <c r="CS50" i="8" s="1"/>
  <c r="CS54" i="8" l="1"/>
  <c r="CT49" i="8"/>
  <c r="CT50" i="8" s="1"/>
  <c r="CU49" i="8" l="1"/>
  <c r="CU50" i="8" s="1"/>
  <c r="CT54" i="8"/>
  <c r="CU54" i="8" l="1"/>
  <c r="CV49" i="8"/>
  <c r="CV50" i="8" s="1"/>
  <c r="CV54" i="8" l="1"/>
  <c r="CX49" i="8"/>
  <c r="CX50" i="8" s="1"/>
  <c r="CX54" i="8" l="1"/>
  <c r="CY49" i="8"/>
  <c r="CZ33" i="1" l="1"/>
  <c r="CZ72" i="1" l="1"/>
  <c r="CZ57" i="1"/>
  <c r="CZ67" i="1" s="1"/>
  <c r="CZ73" i="1" s="1"/>
  <c r="CZ54" i="1"/>
  <c r="CZ58" i="1" l="1"/>
  <c r="CZ79" i="1" l="1"/>
  <c r="CZ81" i="1"/>
  <c r="CZ76" i="1"/>
  <c r="CZ78" i="1" l="1"/>
  <c r="CZ80" i="1"/>
  <c r="CZ75" i="4"/>
  <c r="CZ65" i="4" l="1"/>
  <c r="DB63" i="4" l="1"/>
  <c r="DC63" i="4"/>
  <c r="DA74" i="4"/>
  <c r="CZ184" i="4"/>
  <c r="CZ202" i="4"/>
  <c r="CZ67" i="4"/>
  <c r="CZ204" i="4"/>
  <c r="CZ78" i="4"/>
  <c r="CZ79" i="4" s="1"/>
  <c r="CZ81" i="4" s="1"/>
  <c r="CZ179" i="4" l="1"/>
  <c r="CZ191" i="4"/>
  <c r="CZ203" i="4"/>
  <c r="CZ199" i="4" l="1"/>
  <c r="CZ185" i="4"/>
  <c r="CZ17" i="4"/>
  <c r="CZ187" i="4" l="1"/>
  <c r="CZ192" i="4"/>
  <c r="CZ186" i="4"/>
  <c r="CZ198" i="4"/>
  <c r="CZ197" i="4"/>
  <c r="CZ42" i="4"/>
  <c r="CZ71" i="4" s="1"/>
  <c r="CZ5" i="4" s="1"/>
  <c r="CZ193" i="4" l="1"/>
  <c r="CZ180" i="4"/>
  <c r="CZ178" i="4"/>
  <c r="CZ194" i="4"/>
  <c r="CZ177" i="4"/>
  <c r="CZ101" i="8" l="1"/>
  <c r="DB28" i="8"/>
  <c r="DB101" i="8" l="1"/>
  <c r="DB74" i="8"/>
  <c r="DB88" i="4"/>
  <c r="DB106" i="4" s="1"/>
  <c r="CZ79" i="8" l="1"/>
  <c r="CY25" i="8" l="1"/>
  <c r="CY100" i="8" s="1"/>
  <c r="CY102" i="8" s="1"/>
  <c r="CY110" i="8"/>
  <c r="CY111" i="8" s="1"/>
  <c r="CY112" i="8" s="1"/>
  <c r="CY94" i="4"/>
  <c r="CY117" i="4" l="1"/>
  <c r="CY105" i="4"/>
  <c r="CY95" i="4"/>
  <c r="CY104" i="4" s="1"/>
  <c r="CY47" i="8"/>
  <c r="CY105" i="8"/>
  <c r="CY108" i="1"/>
  <c r="CY50" i="8" l="1"/>
  <c r="CZ49" i="8" s="1"/>
  <c r="CY54" i="8" l="1"/>
  <c r="CZ110" i="8" l="1"/>
  <c r="CZ111" i="8" s="1"/>
  <c r="CZ112" i="8" s="1"/>
  <c r="CZ71" i="8" l="1"/>
  <c r="CZ100" i="8" l="1"/>
  <c r="CZ102" i="8" s="1"/>
  <c r="CZ105" i="8" l="1"/>
  <c r="CZ108" i="1"/>
  <c r="DA48" i="8" l="1"/>
  <c r="CZ94" i="8"/>
  <c r="DB48" i="8" l="1"/>
  <c r="DC48" i="8"/>
  <c r="DA94" i="8"/>
  <c r="DC94" i="8" l="1"/>
  <c r="DB94" i="8"/>
  <c r="DC64" i="4"/>
  <c r="DA76" i="4"/>
  <c r="DB64" i="4"/>
  <c r="DA65" i="4"/>
  <c r="DD48" i="8"/>
  <c r="DE48" i="8" l="1"/>
  <c r="DA184" i="4"/>
  <c r="DA202" i="4"/>
  <c r="DA204" i="4"/>
  <c r="DC74" i="4"/>
  <c r="DB65" i="4"/>
  <c r="DB76" i="4"/>
  <c r="DD94" i="8"/>
  <c r="DC65" i="4"/>
  <c r="DD64" i="4"/>
  <c r="DC76" i="4"/>
  <c r="DA203" i="4" l="1"/>
  <c r="DD76" i="4"/>
  <c r="DE64" i="4"/>
  <c r="DD74" i="4"/>
  <c r="DC184" i="4"/>
  <c r="DC204" i="4"/>
  <c r="DC78" i="4"/>
  <c r="DC79" i="4" s="1"/>
  <c r="DC81" i="4" s="1"/>
  <c r="DC202" i="4"/>
  <c r="DB184" i="4"/>
  <c r="DB204" i="4"/>
  <c r="DB202" i="4"/>
  <c r="DA179" i="4"/>
  <c r="DA191" i="4"/>
  <c r="DF48" i="8"/>
  <c r="DE94" i="8"/>
  <c r="DC203" i="4" l="1"/>
  <c r="DC179" i="4"/>
  <c r="DC191" i="4"/>
  <c r="DE76" i="4"/>
  <c r="DF64" i="4"/>
  <c r="DF94" i="8"/>
  <c r="DB179" i="4"/>
  <c r="DB191" i="4"/>
  <c r="DH48" i="8"/>
  <c r="DG48" i="8"/>
  <c r="DB203" i="4"/>
  <c r="DH64" i="4" l="1"/>
  <c r="DF76" i="4"/>
  <c r="DG94" i="8"/>
  <c r="DG64" i="4"/>
  <c r="DI48" i="8"/>
  <c r="DH94" i="8"/>
  <c r="DG76" i="4" l="1"/>
  <c r="DH76" i="4"/>
  <c r="DI64" i="4"/>
  <c r="DJ48" i="8"/>
  <c r="DI94" i="8"/>
  <c r="DK48" i="8" l="1"/>
  <c r="DJ94" i="8"/>
  <c r="DI76" i="4"/>
  <c r="DJ64" i="4"/>
  <c r="DL48" i="8" l="1"/>
  <c r="DL94" i="8" s="1"/>
  <c r="DM48" i="8"/>
  <c r="DK64" i="4"/>
  <c r="DM64" i="4" s="1"/>
  <c r="DJ76" i="4"/>
  <c r="DK94" i="8"/>
  <c r="DL64" i="4" l="1"/>
  <c r="DM94" i="8"/>
  <c r="DN48" i="8"/>
  <c r="DO48" i="8" s="1"/>
  <c r="DP48" i="8" s="1"/>
  <c r="DM76" i="4"/>
  <c r="DN64" i="4"/>
  <c r="DK76" i="4"/>
  <c r="DQ48" i="8" l="1"/>
  <c r="DQ94" i="8" s="1"/>
  <c r="DL76" i="4"/>
  <c r="DN94" i="8"/>
  <c r="DO94" i="8" s="1"/>
  <c r="DP94" i="8" s="1"/>
  <c r="DO64" i="4"/>
  <c r="DN76" i="4"/>
  <c r="DQ64" i="4" l="1"/>
  <c r="DO76" i="4"/>
  <c r="DP64" i="4"/>
  <c r="CZ25" i="4"/>
  <c r="CZ21" i="4"/>
  <c r="CZ24" i="4"/>
  <c r="CZ91" i="4"/>
  <c r="CZ96" i="4" s="1"/>
  <c r="CZ95" i="4" s="1"/>
  <c r="DQ76" i="4" l="1"/>
  <c r="DP76" i="4"/>
  <c r="CZ90" i="4"/>
  <c r="CZ100" i="4"/>
  <c r="DA87" i="4"/>
  <c r="CZ22" i="4"/>
  <c r="CZ26" i="4"/>
  <c r="CZ23" i="4"/>
  <c r="CZ27" i="4"/>
  <c r="DA91" i="4" l="1"/>
  <c r="DA96" i="4" s="1"/>
  <c r="DA103" i="4"/>
  <c r="DC103" i="4" s="1"/>
  <c r="DD103" i="4" s="1"/>
  <c r="DE103" i="4" s="1"/>
  <c r="DF103" i="4" s="1"/>
  <c r="DH103" i="4" s="1"/>
  <c r="DI103" i="4" s="1"/>
  <c r="DJ103" i="4" s="1"/>
  <c r="DK103" i="4" s="1"/>
  <c r="DM103" i="4" s="1"/>
  <c r="DN103" i="4" s="1"/>
  <c r="DO103" i="4" s="1"/>
  <c r="DP103" i="4" s="1"/>
  <c r="CZ117" i="4"/>
  <c r="CZ105" i="4"/>
  <c r="DA105" i="4" s="1"/>
  <c r="DA29" i="8"/>
  <c r="DA93" i="4"/>
  <c r="CZ104" i="4"/>
  <c r="DB29" i="8" l="1"/>
  <c r="DA75" i="8"/>
  <c r="DA79" i="8" s="1"/>
  <c r="DA33" i="8"/>
  <c r="DB89" i="4" l="1"/>
  <c r="DB103" i="4" s="1"/>
  <c r="DB33" i="8"/>
  <c r="DB79" i="8" s="1"/>
  <c r="DB75" i="8"/>
  <c r="DD104" i="4"/>
  <c r="DE104" i="4" l="1"/>
  <c r="DA40" i="4" l="1"/>
  <c r="DB40" i="4"/>
  <c r="DF104" i="4"/>
  <c r="DB207" i="4" l="1"/>
  <c r="DA207" i="4"/>
  <c r="DH104" i="4"/>
  <c r="DI104" i="4" l="1"/>
  <c r="DJ104" i="4" l="1"/>
  <c r="DK104" i="4" l="1"/>
  <c r="DM104" i="4" s="1"/>
  <c r="DN104" i="4" s="1"/>
  <c r="DO104" i="4" s="1"/>
  <c r="DP104" i="4" s="1"/>
  <c r="CZ36" i="8" l="1"/>
  <c r="CZ96" i="1" l="1"/>
  <c r="CZ98" i="1" l="1"/>
  <c r="CZ90" i="1" l="1"/>
  <c r="CZ92" i="1" l="1"/>
  <c r="CZ37" i="8" l="1"/>
  <c r="CZ89" i="8" l="1"/>
  <c r="CZ93" i="8" s="1"/>
  <c r="CZ96" i="8" s="1"/>
  <c r="CZ39" i="8"/>
  <c r="CZ43" i="8" l="1"/>
  <c r="CZ47" i="8" s="1"/>
  <c r="CZ50" i="8" l="1"/>
  <c r="CZ54" i="8" l="1"/>
  <c r="DA49" i="8"/>
  <c r="CL76" i="1" l="1"/>
  <c r="CL78" i="1" s="1"/>
  <c r="CL111" i="8"/>
  <c r="CL112" i="8" s="1"/>
  <c r="DB30" i="1"/>
  <c r="DB29" i="1" s="1"/>
  <c r="DA34" i="1"/>
  <c r="DA35" i="1" s="1"/>
  <c r="DA26" i="1"/>
  <c r="DA23" i="8"/>
  <c r="DB34" i="1" l="1"/>
  <c r="DB35" i="1" s="1"/>
  <c r="CM76" i="1"/>
  <c r="CL80" i="1"/>
  <c r="CL75" i="4"/>
  <c r="DB23" i="8"/>
  <c r="DB69" i="8" s="1"/>
  <c r="DA69" i="8"/>
  <c r="DA24" i="8"/>
  <c r="DA70" i="8" s="1"/>
  <c r="DB45" i="4"/>
  <c r="DC23" i="8"/>
  <c r="DG23" i="8" s="1"/>
  <c r="DA27" i="1"/>
  <c r="DA32" i="1"/>
  <c r="DG143" i="4"/>
  <c r="DB143" i="4"/>
  <c r="DB26" i="1"/>
  <c r="DB27" i="1" s="1"/>
  <c r="CM75" i="4" l="1"/>
  <c r="CL78" i="4"/>
  <c r="CM78" i="4" s="1"/>
  <c r="DB32" i="1"/>
  <c r="DB33" i="1" s="1"/>
  <c r="DA33" i="1"/>
  <c r="CM80" i="1"/>
  <c r="CM78" i="1"/>
  <c r="DC69" i="8"/>
  <c r="DB169" i="4"/>
  <c r="DB166" i="4" s="1"/>
  <c r="DB140" i="4"/>
  <c r="DG69" i="8"/>
  <c r="DD69" i="8"/>
  <c r="DG140" i="4"/>
  <c r="DG169" i="4"/>
  <c r="DG166" i="4" s="1"/>
  <c r="CL79" i="4" l="1"/>
  <c r="CL81" i="4" s="1"/>
  <c r="CM79" i="4"/>
  <c r="DE69" i="8"/>
  <c r="CR74" i="4" l="1"/>
  <c r="CR79" i="4" s="1"/>
  <c r="CM81" i="4"/>
  <c r="DF69" i="8"/>
  <c r="DB41" i="1"/>
  <c r="DA37" i="1"/>
  <c r="DA53" i="1" s="1"/>
  <c r="DA46" i="1" l="1"/>
  <c r="CR81" i="4"/>
  <c r="CW74" i="4"/>
  <c r="CW78" i="4" s="1"/>
  <c r="CW79" i="4" s="1"/>
  <c r="DB46" i="1"/>
  <c r="DA146" i="4"/>
  <c r="DA147" i="4"/>
  <c r="DA66" i="1"/>
  <c r="DA54" i="1"/>
  <c r="DA57" i="1"/>
  <c r="DB53" i="1"/>
  <c r="DB54" i="1" s="1"/>
  <c r="H17" i="26" s="1"/>
  <c r="DA38" i="1"/>
  <c r="DB37" i="1"/>
  <c r="H16" i="26" l="1"/>
  <c r="H18" i="26"/>
  <c r="H15" i="26" s="1"/>
  <c r="H14" i="26" s="1"/>
  <c r="H23" i="26" s="1"/>
  <c r="DC146" i="4"/>
  <c r="DF146" i="4"/>
  <c r="DA67" i="1"/>
  <c r="DB57" i="1"/>
  <c r="DA58" i="1"/>
  <c r="DA75" i="1"/>
  <c r="DA72" i="1"/>
  <c r="DB66" i="1"/>
  <c r="DB72" i="1" s="1"/>
  <c r="DB74" i="4"/>
  <c r="CW81" i="4"/>
  <c r="DB38" i="1"/>
  <c r="DB40" i="1"/>
  <c r="DB48" i="4"/>
  <c r="DA49" i="4"/>
  <c r="DA208" i="4"/>
  <c r="DA209" i="4" s="1"/>
  <c r="DA55" i="4"/>
  <c r="DB55" i="4" s="1"/>
  <c r="DB54" i="4"/>
  <c r="DB147" i="4" s="1"/>
  <c r="DA79" i="1" l="1"/>
  <c r="DA81" i="1"/>
  <c r="DB75" i="1"/>
  <c r="DK146" i="4"/>
  <c r="DF48" i="4"/>
  <c r="DA76" i="1"/>
  <c r="DA73" i="1"/>
  <c r="DB67" i="1"/>
  <c r="DB73" i="1" s="1"/>
  <c r="DC48" i="4"/>
  <c r="DH146" i="4"/>
  <c r="H25" i="26"/>
  <c r="H28" i="26" s="1"/>
  <c r="H30" i="26" s="1"/>
  <c r="DA57" i="4"/>
  <c r="DA67" i="4" s="1"/>
  <c r="DB49" i="4"/>
  <c r="DB208" i="4"/>
  <c r="DB209" i="4" s="1"/>
  <c r="DB146" i="4"/>
  <c r="DB24" i="8"/>
  <c r="DA174" i="4"/>
  <c r="DP146" i="4" l="1"/>
  <c r="DP48" i="4" s="1"/>
  <c r="DK48" i="4"/>
  <c r="H26" i="26"/>
  <c r="DM146" i="4"/>
  <c r="DM48" i="4" s="1"/>
  <c r="DH48" i="4"/>
  <c r="DB81" i="1"/>
  <c r="DB79" i="1"/>
  <c r="DF208" i="4"/>
  <c r="DF49" i="4"/>
  <c r="DF57" i="4" s="1"/>
  <c r="DF24" i="8"/>
  <c r="DG48" i="4"/>
  <c r="DC49" i="4"/>
  <c r="DC57" i="4" s="1"/>
  <c r="DC67" i="4" s="1"/>
  <c r="DD24" i="8"/>
  <c r="DC208" i="4"/>
  <c r="DC24" i="8"/>
  <c r="DA75" i="4"/>
  <c r="DA78" i="4" s="1"/>
  <c r="DA79" i="4" s="1"/>
  <c r="DA81" i="4" s="1"/>
  <c r="DA78" i="1"/>
  <c r="DA80" i="1"/>
  <c r="DB76" i="1"/>
  <c r="DB57" i="4"/>
  <c r="DB67" i="4" s="1"/>
  <c r="DB70" i="8"/>
  <c r="DB174" i="4"/>
  <c r="DN24" i="8" l="1"/>
  <c r="DM208" i="4"/>
  <c r="DM49" i="4"/>
  <c r="DM57" i="4" s="1"/>
  <c r="DM24" i="8"/>
  <c r="DP49" i="4"/>
  <c r="DP57" i="4" s="1"/>
  <c r="DP208" i="4"/>
  <c r="DQ48" i="4"/>
  <c r="DP24" i="8"/>
  <c r="DB75" i="4"/>
  <c r="DB78" i="4" s="1"/>
  <c r="DB79" i="4" s="1"/>
  <c r="DB80" i="1"/>
  <c r="DB12" i="8"/>
  <c r="DB58" i="8" s="1"/>
  <c r="DB78" i="1"/>
  <c r="DC70" i="8"/>
  <c r="DD70" i="8" s="1"/>
  <c r="DE70" i="8" s="1"/>
  <c r="DG24" i="8"/>
  <c r="DG70" i="8" s="1"/>
  <c r="DG146" i="4"/>
  <c r="DG49" i="4"/>
  <c r="DG57" i="4" s="1"/>
  <c r="DG208" i="4"/>
  <c r="DK49" i="4"/>
  <c r="DK57" i="4" s="1"/>
  <c r="DK208" i="4"/>
  <c r="DL48" i="4"/>
  <c r="DK24" i="8"/>
  <c r="DH49" i="4"/>
  <c r="DH57" i="4" s="1"/>
  <c r="DI24" i="8"/>
  <c r="DH208" i="4"/>
  <c r="DH24" i="8"/>
  <c r="DH70" i="8" l="1"/>
  <c r="DI70" i="8" s="1"/>
  <c r="DJ70" i="8" s="1"/>
  <c r="DK70" i="8" s="1"/>
  <c r="DL24" i="8"/>
  <c r="DL70" i="8" s="1"/>
  <c r="DM70" i="8"/>
  <c r="DN70" i="8" s="1"/>
  <c r="DO70" i="8" s="1"/>
  <c r="DP70" i="8" s="1"/>
  <c r="DQ24" i="8"/>
  <c r="DQ70" i="8" s="1"/>
  <c r="DQ146" i="4"/>
  <c r="DQ208" i="4"/>
  <c r="DQ49" i="4"/>
  <c r="DQ57" i="4" s="1"/>
  <c r="DG74" i="4"/>
  <c r="DB81" i="4"/>
  <c r="DL146" i="4"/>
  <c r="DL49" i="4"/>
  <c r="DL57" i="4" s="1"/>
  <c r="DL208" i="4"/>
  <c r="DF70" i="8"/>
  <c r="DA199" i="4" l="1"/>
  <c r="DA17" i="4"/>
  <c r="DA185" i="4"/>
  <c r="DB185" i="4" l="1"/>
  <c r="DB199" i="4"/>
  <c r="DA192" i="4"/>
  <c r="DA186" i="4"/>
  <c r="DA187" i="4"/>
  <c r="DA198" i="4"/>
  <c r="DA197" i="4"/>
  <c r="DA42" i="4"/>
  <c r="DA71" i="4" s="1"/>
  <c r="DA5" i="4" s="1"/>
  <c r="DB198" i="4" l="1"/>
  <c r="DB197" i="4"/>
  <c r="DB42" i="4"/>
  <c r="DB71" i="4" s="1"/>
  <c r="DB5" i="4" s="1"/>
  <c r="DA178" i="4"/>
  <c r="DA194" i="4"/>
  <c r="DA177" i="4"/>
  <c r="DA180" i="4"/>
  <c r="DA193" i="4"/>
  <c r="DB186" i="4"/>
  <c r="DB192" i="4"/>
  <c r="DB187" i="4"/>
  <c r="DB180" i="4" l="1"/>
  <c r="DB193" i="4"/>
  <c r="DB194" i="4"/>
  <c r="DB177" i="4"/>
  <c r="DB178" i="4"/>
  <c r="DA36" i="8"/>
  <c r="DB36" i="8" l="1"/>
  <c r="DA96" i="1"/>
  <c r="DB82" i="8"/>
  <c r="DB37" i="8"/>
  <c r="DA37" i="8"/>
  <c r="DA98" i="1" l="1"/>
  <c r="DB96" i="1"/>
  <c r="DB83" i="8"/>
  <c r="DA43" i="8"/>
  <c r="DA39" i="8"/>
  <c r="DB39" i="8" s="1"/>
  <c r="DA89" i="8"/>
  <c r="DA90" i="1" l="1"/>
  <c r="DB98" i="1"/>
  <c r="DB97" i="1" s="1"/>
  <c r="DB43" i="8"/>
  <c r="DB89" i="8" s="1"/>
  <c r="DB85" i="8"/>
  <c r="DA100" i="4"/>
  <c r="DA20" i="4"/>
  <c r="DC87" i="4"/>
  <c r="DC89" i="4" s="1"/>
  <c r="DC29" i="8" s="1"/>
  <c r="DA92" i="1" l="1"/>
  <c r="DB92" i="1" s="1"/>
  <c r="DB90" i="1"/>
  <c r="DC33" i="8"/>
  <c r="DC75" i="8"/>
  <c r="DC91" i="4"/>
  <c r="DA22" i="4"/>
  <c r="DB22" i="4" s="1"/>
  <c r="DA25" i="4"/>
  <c r="DB25" i="4" s="1"/>
  <c r="DB20" i="4"/>
  <c r="DB91" i="4" s="1"/>
  <c r="DA27" i="4"/>
  <c r="DB27" i="4" s="1"/>
  <c r="DA26" i="4"/>
  <c r="DB26" i="4" s="1"/>
  <c r="DA24" i="4"/>
  <c r="DB24" i="4" s="1"/>
  <c r="DA23" i="4"/>
  <c r="DB23" i="4" s="1"/>
  <c r="DB111" i="4" s="1"/>
  <c r="DA21" i="4"/>
  <c r="DB21" i="4" s="1"/>
  <c r="DB93" i="1" l="1"/>
  <c r="DG89" i="1" s="1"/>
  <c r="DG93" i="1" s="1"/>
  <c r="DB113" i="4"/>
  <c r="DC20" i="4"/>
  <c r="DC100" i="4"/>
  <c r="DD87" i="4"/>
  <c r="DA28" i="4"/>
  <c r="DB28" i="4" s="1"/>
  <c r="DB96" i="4" s="1"/>
  <c r="DB98" i="4" s="1"/>
  <c r="DC93" i="4"/>
  <c r="DC95" i="4" s="1"/>
  <c r="DB112" i="4"/>
  <c r="DB114" i="4"/>
  <c r="DB110" i="4"/>
  <c r="DC79" i="8"/>
  <c r="DB100" i="4"/>
  <c r="DG87" i="4"/>
  <c r="DB109" i="4"/>
  <c r="DB115" i="4"/>
  <c r="DB83" i="1" l="1"/>
  <c r="DG83" i="1"/>
  <c r="DL89" i="1"/>
  <c r="DL93" i="1" s="1"/>
  <c r="DD89" i="4"/>
  <c r="DD29" i="8" s="1"/>
  <c r="DG93" i="4"/>
  <c r="DC22" i="4"/>
  <c r="DC21" i="4"/>
  <c r="DC24" i="4"/>
  <c r="DC26" i="4"/>
  <c r="DC25" i="4"/>
  <c r="DC27" i="4"/>
  <c r="DC23" i="4"/>
  <c r="DL83" i="1" l="1"/>
  <c r="DQ89" i="1"/>
  <c r="DQ93" i="1" s="1"/>
  <c r="DQ83" i="1" s="1"/>
  <c r="DD91" i="4"/>
  <c r="DD100" i="4" s="1"/>
  <c r="DD33" i="8"/>
  <c r="DD75" i="8"/>
  <c r="DE87" i="4" l="1"/>
  <c r="DE89" i="4" s="1"/>
  <c r="DD20" i="4"/>
  <c r="DD27" i="4" s="1"/>
  <c r="DD79" i="8"/>
  <c r="DD21" i="4"/>
  <c r="DD24" i="4"/>
  <c r="DD23" i="4" l="1"/>
  <c r="DD22" i="4"/>
  <c r="DD26" i="4"/>
  <c r="DD25" i="4"/>
  <c r="DE29" i="8"/>
  <c r="DE75" i="8" s="1"/>
  <c r="DE91" i="4"/>
  <c r="DE100" i="4" s="1"/>
  <c r="DE20" i="4" l="1"/>
  <c r="DE23" i="4" s="1"/>
  <c r="DF87" i="4"/>
  <c r="DF89" i="4" s="1"/>
  <c r="DF29" i="8" s="1"/>
  <c r="DF75" i="8" s="1"/>
  <c r="DF79" i="8" s="1"/>
  <c r="DE33" i="8"/>
  <c r="DE79" i="8"/>
  <c r="DE22" i="4" l="1"/>
  <c r="DE21" i="4"/>
  <c r="DE24" i="4"/>
  <c r="DE25" i="4"/>
  <c r="DE27" i="4"/>
  <c r="DE26" i="4"/>
  <c r="DF91" i="4"/>
  <c r="DF100" i="4" s="1"/>
  <c r="DF33" i="8"/>
  <c r="DG29" i="8"/>
  <c r="DF20" i="4" l="1"/>
  <c r="DF24" i="4" s="1"/>
  <c r="DG24" i="4" s="1"/>
  <c r="DH87" i="4"/>
  <c r="DG75" i="8"/>
  <c r="DG33" i="8"/>
  <c r="DG79" i="8" s="1"/>
  <c r="DG89" i="4"/>
  <c r="DG103" i="4" s="1"/>
  <c r="DH89" i="4"/>
  <c r="DH29" i="8" s="1"/>
  <c r="DF27" i="4" l="1"/>
  <c r="DG27" i="4" s="1"/>
  <c r="DF25" i="4"/>
  <c r="DG25" i="4" s="1"/>
  <c r="DF23" i="4"/>
  <c r="DG23" i="4" s="1"/>
  <c r="DG20" i="4"/>
  <c r="DG91" i="4" s="1"/>
  <c r="DF22" i="4"/>
  <c r="DG22" i="4" s="1"/>
  <c r="DF21" i="4"/>
  <c r="DG21" i="4" s="1"/>
  <c r="DF26" i="4"/>
  <c r="DG26" i="4" s="1"/>
  <c r="DG112" i="4"/>
  <c r="DH33" i="8"/>
  <c r="DH75" i="8"/>
  <c r="DH91" i="4"/>
  <c r="DG109" i="4" l="1"/>
  <c r="DG114" i="4"/>
  <c r="DG115" i="4"/>
  <c r="DG111" i="4"/>
  <c r="DG113" i="4"/>
  <c r="DG110" i="4"/>
  <c r="DH79" i="8"/>
  <c r="DH20" i="4"/>
  <c r="DI87" i="4"/>
  <c r="DH100" i="4"/>
  <c r="DL87" i="4"/>
  <c r="DG100" i="4"/>
  <c r="DI89" i="4" l="1"/>
  <c r="DI29" i="8" s="1"/>
  <c r="DH21" i="4"/>
  <c r="DH23" i="4"/>
  <c r="DH24" i="4"/>
  <c r="DH27" i="4"/>
  <c r="DH22" i="4"/>
  <c r="DH26" i="4"/>
  <c r="DH25" i="4"/>
  <c r="DI91" i="4" l="1"/>
  <c r="DI20" i="4" s="1"/>
  <c r="DI33" i="8"/>
  <c r="DI75" i="8"/>
  <c r="DI100" i="4" l="1"/>
  <c r="DJ87" i="4"/>
  <c r="DJ89" i="4" s="1"/>
  <c r="DJ29" i="8" s="1"/>
  <c r="DJ75" i="8" s="1"/>
  <c r="DI26" i="4"/>
  <c r="DI24" i="4"/>
  <c r="DI21" i="4"/>
  <c r="DI22" i="4"/>
  <c r="DI23" i="4"/>
  <c r="DI27" i="4"/>
  <c r="DI25" i="4"/>
  <c r="DI79" i="8"/>
  <c r="DJ91" i="4" l="1"/>
  <c r="DJ20" i="4" s="1"/>
  <c r="DJ79" i="8"/>
  <c r="DJ33" i="8"/>
  <c r="DK87" i="4" l="1"/>
  <c r="DK89" i="4" s="1"/>
  <c r="DK29" i="8" s="1"/>
  <c r="DJ100" i="4"/>
  <c r="DJ22" i="4"/>
  <c r="DJ27" i="4"/>
  <c r="DJ24" i="4"/>
  <c r="DJ26" i="4"/>
  <c r="DJ23" i="4"/>
  <c r="DJ21" i="4"/>
  <c r="DJ25" i="4"/>
  <c r="DK33" i="8" l="1"/>
  <c r="DK75" i="8"/>
  <c r="DK79" i="8" s="1"/>
  <c r="DL29" i="8"/>
  <c r="DK91" i="4"/>
  <c r="DK20" i="4" l="1"/>
  <c r="DM87" i="4"/>
  <c r="DK100" i="4"/>
  <c r="DL75" i="8"/>
  <c r="DL89" i="4"/>
  <c r="DL103" i="4" s="1"/>
  <c r="DL33" i="8"/>
  <c r="DL79" i="8" s="1"/>
  <c r="DM89" i="4" l="1"/>
  <c r="DM29" i="8" s="1"/>
  <c r="DK24" i="4"/>
  <c r="DL24" i="4" s="1"/>
  <c r="DK25" i="4"/>
  <c r="DL25" i="4" s="1"/>
  <c r="DK21" i="4"/>
  <c r="DL21" i="4" s="1"/>
  <c r="DK26" i="4"/>
  <c r="DL26" i="4" s="1"/>
  <c r="DK22" i="4"/>
  <c r="DL22" i="4" s="1"/>
  <c r="DK23" i="4"/>
  <c r="DL23" i="4" s="1"/>
  <c r="DL20" i="4"/>
  <c r="DK27" i="4"/>
  <c r="DL27" i="4" s="1"/>
  <c r="DL111" i="4" l="1"/>
  <c r="DL91" i="4"/>
  <c r="DL114" i="4"/>
  <c r="DM33" i="8"/>
  <c r="DM75" i="8"/>
  <c r="DL109" i="4"/>
  <c r="DL110" i="4"/>
  <c r="DL113" i="4"/>
  <c r="DM91" i="4"/>
  <c r="DL115" i="4"/>
  <c r="DL112" i="4"/>
  <c r="DQ87" i="4" l="1"/>
  <c r="DL100" i="4"/>
  <c r="DM20" i="4"/>
  <c r="DN87" i="4"/>
  <c r="DM100" i="4"/>
  <c r="DM79" i="8"/>
  <c r="DN89" i="4" l="1"/>
  <c r="DN29" i="8" s="1"/>
  <c r="DM25" i="4"/>
  <c r="DM26" i="4"/>
  <c r="DM24" i="4"/>
  <c r="DM21" i="4"/>
  <c r="DM22" i="4"/>
  <c r="DM27" i="4"/>
  <c r="DM23" i="4"/>
  <c r="DN91" i="4" l="1"/>
  <c r="DN100" i="4" s="1"/>
  <c r="DN33" i="8"/>
  <c r="DN75" i="8"/>
  <c r="DO87" i="4" l="1"/>
  <c r="DO89" i="4" s="1"/>
  <c r="DO29" i="8" s="1"/>
  <c r="DO75" i="8" s="1"/>
  <c r="DN20" i="4"/>
  <c r="DN22" i="4" s="1"/>
  <c r="DN79" i="8"/>
  <c r="DN23" i="4" l="1"/>
  <c r="DN25" i="4"/>
  <c r="DN21" i="4"/>
  <c r="DN27" i="4"/>
  <c r="DN24" i="4"/>
  <c r="DN26" i="4"/>
  <c r="DO91" i="4"/>
  <c r="DO100" i="4" s="1"/>
  <c r="DO33" i="8"/>
  <c r="DO79" i="8"/>
  <c r="DP87" i="4" l="1"/>
  <c r="DP89" i="4" s="1"/>
  <c r="DP29" i="8" s="1"/>
  <c r="DO20" i="4"/>
  <c r="DO23" i="4" s="1"/>
  <c r="DO22" i="4" l="1"/>
  <c r="DO27" i="4"/>
  <c r="DO24" i="4"/>
  <c r="DO21" i="4"/>
  <c r="DO25" i="4"/>
  <c r="DO26" i="4"/>
  <c r="DP91" i="4"/>
  <c r="DP33" i="8"/>
  <c r="DP75" i="8"/>
  <c r="DP79" i="8" s="1"/>
  <c r="DQ29" i="8"/>
  <c r="DQ33" i="8" l="1"/>
  <c r="DQ79" i="8" s="1"/>
  <c r="DQ89" i="4"/>
  <c r="DQ103" i="4" s="1"/>
  <c r="DQ75" i="8"/>
  <c r="DP20" i="4"/>
  <c r="DP100" i="4"/>
  <c r="DP25" i="4" l="1"/>
  <c r="DQ25" i="4" s="1"/>
  <c r="DP26" i="4"/>
  <c r="DQ26" i="4" s="1"/>
  <c r="DP23" i="4"/>
  <c r="DQ23" i="4" s="1"/>
  <c r="DP21" i="4"/>
  <c r="DQ21" i="4" s="1"/>
  <c r="DP24" i="4"/>
  <c r="DQ24" i="4" s="1"/>
  <c r="DP27" i="4"/>
  <c r="DQ27" i="4" s="1"/>
  <c r="DP22" i="4"/>
  <c r="DQ22" i="4" s="1"/>
  <c r="DQ20" i="4"/>
  <c r="DQ112" i="4" l="1"/>
  <c r="DQ113" i="4"/>
  <c r="DQ110" i="4"/>
  <c r="DQ111" i="4"/>
  <c r="DQ91" i="4"/>
  <c r="DQ109" i="4"/>
  <c r="DQ115" i="4"/>
  <c r="DQ114" i="4"/>
  <c r="DQ100" i="4" l="1"/>
  <c r="DA94" i="4"/>
  <c r="DC105" i="4"/>
  <c r="DD105" i="4" s="1"/>
  <c r="DC94" i="4" l="1"/>
  <c r="DC96" i="4" s="1"/>
  <c r="DD93" i="4" s="1"/>
  <c r="DD95" i="4" s="1"/>
  <c r="DD94" i="4"/>
  <c r="DE105" i="4"/>
  <c r="DA117" i="4"/>
  <c r="DA95" i="4"/>
  <c r="DA104" i="4" s="1"/>
  <c r="DC13" i="8" l="1"/>
  <c r="DC110" i="8" s="1"/>
  <c r="DC111" i="8" s="1"/>
  <c r="DC112" i="8" s="1"/>
  <c r="DC28" i="4"/>
  <c r="DC29" i="4" s="1"/>
  <c r="DC207" i="4" s="1"/>
  <c r="DC209" i="4" s="1"/>
  <c r="DC98" i="4"/>
  <c r="DC117" i="4" s="1"/>
  <c r="DA13" i="8"/>
  <c r="DA18" i="8" s="1"/>
  <c r="DA25" i="8" s="1"/>
  <c r="DD96" i="4"/>
  <c r="DE94" i="4"/>
  <c r="DF105" i="4"/>
  <c r="DC25" i="8" l="1"/>
  <c r="DC100" i="8" s="1"/>
  <c r="DC102" i="8" s="1"/>
  <c r="DC59" i="8"/>
  <c r="DC71" i="8" s="1"/>
  <c r="DC93" i="8" s="1"/>
  <c r="DC40" i="4"/>
  <c r="DB13" i="8"/>
  <c r="DB110" i="8" s="1"/>
  <c r="DB111" i="8" s="1"/>
  <c r="DB112" i="8" s="1"/>
  <c r="DA110" i="8"/>
  <c r="DA111" i="8" s="1"/>
  <c r="DA112" i="8" s="1"/>
  <c r="DA59" i="8"/>
  <c r="DD98" i="4"/>
  <c r="DD117" i="4" s="1"/>
  <c r="DD28" i="4"/>
  <c r="DD29" i="4" s="1"/>
  <c r="DE93" i="4"/>
  <c r="DA47" i="8"/>
  <c r="DA100" i="8"/>
  <c r="DA102" i="8" s="1"/>
  <c r="DH105" i="4"/>
  <c r="DF94" i="4"/>
  <c r="DA64" i="8"/>
  <c r="DA71" i="8" s="1"/>
  <c r="DA93" i="8" s="1"/>
  <c r="DA96" i="8" s="1"/>
  <c r="DC95" i="8" s="1"/>
  <c r="DB18" i="8"/>
  <c r="DB64" i="8" s="1"/>
  <c r="DC174" i="4"/>
  <c r="DD13" i="8"/>
  <c r="DC47" i="8" l="1"/>
  <c r="DB59" i="8"/>
  <c r="DD59" i="8"/>
  <c r="DB94" i="4"/>
  <c r="DB95" i="4" s="1"/>
  <c r="DB104" i="4" s="1"/>
  <c r="DB25" i="8"/>
  <c r="DB100" i="8" s="1"/>
  <c r="DB102" i="8" s="1"/>
  <c r="DE95" i="8"/>
  <c r="DF95" i="8"/>
  <c r="DD95" i="8"/>
  <c r="DB71" i="8"/>
  <c r="DH94" i="4"/>
  <c r="DI105" i="4"/>
  <c r="DD110" i="8"/>
  <c r="DD111" i="8" s="1"/>
  <c r="DD112" i="8" s="1"/>
  <c r="DC96" i="8"/>
  <c r="DA50" i="8"/>
  <c r="DB47" i="8"/>
  <c r="DC105" i="8"/>
  <c r="DC108" i="1"/>
  <c r="DE95" i="4"/>
  <c r="DE13" i="8" s="1"/>
  <c r="DA105" i="8"/>
  <c r="DA108" i="1"/>
  <c r="DD40" i="4"/>
  <c r="DD207" i="4"/>
  <c r="DD209" i="4" s="1"/>
  <c r="DB117" i="4" l="1"/>
  <c r="DB105" i="4"/>
  <c r="DD174" i="4"/>
  <c r="DA54" i="8"/>
  <c r="DC49" i="8"/>
  <c r="DC50" i="8" s="1"/>
  <c r="DB104" i="8"/>
  <c r="DB103" i="8"/>
  <c r="DB52" i="8"/>
  <c r="DB108" i="1"/>
  <c r="DB105" i="8"/>
  <c r="DI94" i="4"/>
  <c r="DJ105" i="4"/>
  <c r="DE110" i="8"/>
  <c r="DE111" i="8" s="1"/>
  <c r="DE112" i="8" s="1"/>
  <c r="DE59" i="8"/>
  <c r="DE96" i="4"/>
  <c r="DB93" i="8"/>
  <c r="DB50" i="8"/>
  <c r="DD49" i="8" l="1"/>
  <c r="DC11" i="4"/>
  <c r="DD162" i="4" s="1"/>
  <c r="DB96" i="8"/>
  <c r="DG49" i="8"/>
  <c r="DG95" i="8" s="1"/>
  <c r="DB54" i="8"/>
  <c r="DE98" i="4"/>
  <c r="DE117" i="4" s="1"/>
  <c r="DE28" i="4"/>
  <c r="DE29" i="4" s="1"/>
  <c r="DF93" i="4"/>
  <c r="DK105" i="4"/>
  <c r="DJ94" i="4"/>
  <c r="DC54" i="8" l="1"/>
  <c r="DK94" i="4"/>
  <c r="DM105" i="4"/>
  <c r="DE40" i="4"/>
  <c r="DE207" i="4"/>
  <c r="DE209" i="4" s="1"/>
  <c r="DC199" i="4"/>
  <c r="DC185" i="4"/>
  <c r="DC17" i="4"/>
  <c r="DF95" i="4"/>
  <c r="DF13" i="8" s="1"/>
  <c r="DD60" i="1" l="1"/>
  <c r="DF110" i="8"/>
  <c r="DF111" i="8" s="1"/>
  <c r="DF112" i="8" s="1"/>
  <c r="DG13" i="8"/>
  <c r="DF59" i="8"/>
  <c r="DC187" i="4"/>
  <c r="DC192" i="4"/>
  <c r="DC186" i="4"/>
  <c r="DE174" i="4"/>
  <c r="DC198" i="4"/>
  <c r="DC197" i="4"/>
  <c r="DC42" i="4"/>
  <c r="DC71" i="4" s="1"/>
  <c r="DC5" i="4" s="1"/>
  <c r="DF96" i="4"/>
  <c r="DM94" i="4"/>
  <c r="DN105" i="4"/>
  <c r="DD64" i="1" l="1"/>
  <c r="DD66" i="1" s="1"/>
  <c r="DD69" i="1" s="1"/>
  <c r="DD67" i="1"/>
  <c r="DC194" i="4"/>
  <c r="DC177" i="4"/>
  <c r="DC178" i="4"/>
  <c r="DF28" i="4"/>
  <c r="DH93" i="4"/>
  <c r="DF98" i="4"/>
  <c r="DF117" i="4" s="1"/>
  <c r="DC180" i="4"/>
  <c r="DC193" i="4"/>
  <c r="DG94" i="4"/>
  <c r="DG105" i="4" s="1"/>
  <c r="DG59" i="8"/>
  <c r="DG110" i="8"/>
  <c r="DG111" i="8" s="1"/>
  <c r="DG112" i="8" s="1"/>
  <c r="DO105" i="4"/>
  <c r="DN94" i="4"/>
  <c r="DD76" i="1" l="1"/>
  <c r="DD73" i="1"/>
  <c r="DD71" i="1"/>
  <c r="DD75" i="1" s="1"/>
  <c r="DO94" i="4"/>
  <c r="DP105" i="4"/>
  <c r="DP94" i="4" s="1"/>
  <c r="DH95" i="4"/>
  <c r="DH13" i="8" s="1"/>
  <c r="DF29" i="4"/>
  <c r="DG28" i="4"/>
  <c r="DD75" i="4" l="1"/>
  <c r="DD12" i="8"/>
  <c r="DD78" i="1"/>
  <c r="DD80" i="1"/>
  <c r="DD63" i="4"/>
  <c r="DD65" i="4" s="1"/>
  <c r="DD79" i="1"/>
  <c r="DD81" i="1"/>
  <c r="DH110" i="8"/>
  <c r="DH111" i="8" s="1"/>
  <c r="DH112" i="8" s="1"/>
  <c r="DH59" i="8"/>
  <c r="DG29" i="4"/>
  <c r="DG96" i="4"/>
  <c r="DF40" i="4"/>
  <c r="DF207" i="4"/>
  <c r="DF209" i="4" s="1"/>
  <c r="DH96" i="4"/>
  <c r="DE74" i="4" l="1"/>
  <c r="DD67" i="4"/>
  <c r="DD78" i="4"/>
  <c r="DD79" i="4" s="1"/>
  <c r="DD81" i="4" s="1"/>
  <c r="DD204" i="4"/>
  <c r="DD184" i="4"/>
  <c r="DD202" i="4"/>
  <c r="DD58" i="8"/>
  <c r="DD71" i="8" s="1"/>
  <c r="DD93" i="8" s="1"/>
  <c r="DD96" i="8" s="1"/>
  <c r="DD25" i="8"/>
  <c r="DG95" i="4"/>
  <c r="DG104" i="4" s="1"/>
  <c r="DL93" i="4"/>
  <c r="DG98" i="4"/>
  <c r="DG117" i="4" s="1"/>
  <c r="DG40" i="4"/>
  <c r="DG207" i="4"/>
  <c r="DG209" i="4" s="1"/>
  <c r="DH98" i="4"/>
  <c r="DH117" i="4" s="1"/>
  <c r="DH28" i="4"/>
  <c r="DH29" i="4" s="1"/>
  <c r="DI93" i="4"/>
  <c r="DF174" i="4"/>
  <c r="DD203" i="4" l="1"/>
  <c r="DD179" i="4"/>
  <c r="DD191" i="4"/>
  <c r="DD100" i="8"/>
  <c r="DD102" i="8" s="1"/>
  <c r="DD47" i="8"/>
  <c r="DD50" i="8" s="1"/>
  <c r="DI95" i="4"/>
  <c r="DI13" i="8" s="1"/>
  <c r="DH40" i="4"/>
  <c r="DH207" i="4"/>
  <c r="DH209" i="4" s="1"/>
  <c r="DG174" i="4"/>
  <c r="DD105" i="8" l="1"/>
  <c r="DD108" i="1"/>
  <c r="DE49" i="8"/>
  <c r="DD11" i="4"/>
  <c r="DD54" i="8" s="1"/>
  <c r="DI96" i="4"/>
  <c r="DJ93" i="4" s="1"/>
  <c r="DI110" i="8"/>
  <c r="DI111" i="8" s="1"/>
  <c r="DI112" i="8" s="1"/>
  <c r="DI59" i="8"/>
  <c r="DH174" i="4"/>
  <c r="DE162" i="4" l="1"/>
  <c r="DD17" i="4"/>
  <c r="DD199" i="4"/>
  <c r="DD185" i="4"/>
  <c r="DI98" i="4"/>
  <c r="DI117" i="4" s="1"/>
  <c r="DI28" i="4"/>
  <c r="DI29" i="4" s="1"/>
  <c r="DI40" i="4" s="1"/>
  <c r="DJ95" i="4"/>
  <c r="DJ13" i="8" s="1"/>
  <c r="DJ59" i="8" s="1"/>
  <c r="DD187" i="4" l="1"/>
  <c r="DD192" i="4"/>
  <c r="DD186" i="4"/>
  <c r="DE60" i="1"/>
  <c r="DD42" i="4"/>
  <c r="DD71" i="4" s="1"/>
  <c r="DD5" i="4" s="1"/>
  <c r="DD198" i="4"/>
  <c r="DD197" i="4"/>
  <c r="DI207" i="4"/>
  <c r="DI209" i="4" s="1"/>
  <c r="DI174" i="4" s="1"/>
  <c r="DJ96" i="4"/>
  <c r="DJ110" i="8"/>
  <c r="DJ111" i="8" s="1"/>
  <c r="DJ112" i="8" s="1"/>
  <c r="DE64" i="1" l="1"/>
  <c r="DE66" i="1" s="1"/>
  <c r="DE67" i="1"/>
  <c r="DD193" i="4"/>
  <c r="DD180" i="4"/>
  <c r="DD194" i="4"/>
  <c r="DD178" i="4"/>
  <c r="DD177" i="4"/>
  <c r="DJ98" i="4"/>
  <c r="DJ117" i="4" s="1"/>
  <c r="DJ28" i="4"/>
  <c r="DJ29" i="4" s="1"/>
  <c r="DK93" i="4"/>
  <c r="DE69" i="1" l="1"/>
  <c r="DE76" i="1" s="1"/>
  <c r="DJ40" i="4"/>
  <c r="DJ207" i="4"/>
  <c r="DJ209" i="4" s="1"/>
  <c r="DK95" i="4"/>
  <c r="DK13" i="8" s="1"/>
  <c r="DE12" i="8" l="1"/>
  <c r="DE78" i="1"/>
  <c r="DE75" i="4"/>
  <c r="DE80" i="1"/>
  <c r="DE63" i="4"/>
  <c r="DE65" i="4" s="1"/>
  <c r="DE71" i="1"/>
  <c r="DE75" i="1" s="1"/>
  <c r="DE73" i="1"/>
  <c r="DK96" i="4"/>
  <c r="DM93" i="4" s="1"/>
  <c r="DJ174" i="4"/>
  <c r="DK110" i="8"/>
  <c r="DK111" i="8" s="1"/>
  <c r="DK112" i="8" s="1"/>
  <c r="DL13" i="8"/>
  <c r="DK59" i="8"/>
  <c r="DE58" i="8" l="1"/>
  <c r="DE71" i="8" s="1"/>
  <c r="DE93" i="8" s="1"/>
  <c r="DE96" i="8" s="1"/>
  <c r="DE25" i="8"/>
  <c r="DF74" i="4"/>
  <c r="DE184" i="4"/>
  <c r="DE78" i="4"/>
  <c r="DE79" i="4" s="1"/>
  <c r="DE81" i="4" s="1"/>
  <c r="DE67" i="4"/>
  <c r="DE202" i="4"/>
  <c r="DE204" i="4"/>
  <c r="DE79" i="1"/>
  <c r="DE81" i="1"/>
  <c r="DK28" i="4"/>
  <c r="DL28" i="4" s="1"/>
  <c r="DK98" i="4"/>
  <c r="DK117" i="4" s="1"/>
  <c r="DL59" i="8"/>
  <c r="DL94" i="4"/>
  <c r="DL105" i="4" s="1"/>
  <c r="DL110" i="8"/>
  <c r="DL111" i="8" s="1"/>
  <c r="DL112" i="8" s="1"/>
  <c r="DM95" i="4"/>
  <c r="DM13" i="8" s="1"/>
  <c r="DE203" i="4" l="1"/>
  <c r="DE191" i="4"/>
  <c r="DE179" i="4"/>
  <c r="DE47" i="8"/>
  <c r="DE50" i="8" s="1"/>
  <c r="DE100" i="8"/>
  <c r="DE102" i="8" s="1"/>
  <c r="DK29" i="4"/>
  <c r="DK40" i="4" s="1"/>
  <c r="DM59" i="8"/>
  <c r="DM110" i="8"/>
  <c r="DM111" i="8" s="1"/>
  <c r="DM112" i="8" s="1"/>
  <c r="DM96" i="4"/>
  <c r="DL96" i="4"/>
  <c r="DL29" i="4"/>
  <c r="DE11" i="4" l="1"/>
  <c r="DE54" i="8" s="1"/>
  <c r="DF49" i="8"/>
  <c r="DE108" i="1"/>
  <c r="DE105" i="8"/>
  <c r="DK207" i="4"/>
  <c r="DK209" i="4" s="1"/>
  <c r="DK174" i="4" s="1"/>
  <c r="DM28" i="4"/>
  <c r="DM29" i="4" s="1"/>
  <c r="DN93" i="4"/>
  <c r="DM98" i="4"/>
  <c r="DM117" i="4" s="1"/>
  <c r="DQ93" i="4"/>
  <c r="DL98" i="4"/>
  <c r="DL117" i="4" s="1"/>
  <c r="DL95" i="4"/>
  <c r="DL104" i="4" s="1"/>
  <c r="DL40" i="4"/>
  <c r="DL207" i="4"/>
  <c r="DL209" i="4" s="1"/>
  <c r="DE199" i="4" l="1"/>
  <c r="DE185" i="4"/>
  <c r="DE17" i="4"/>
  <c r="DF162" i="4"/>
  <c r="DN95" i="4"/>
  <c r="DN13" i="8" s="1"/>
  <c r="DM40" i="4"/>
  <c r="DM207" i="4"/>
  <c r="DM209" i="4" s="1"/>
  <c r="DM174" i="4" s="1"/>
  <c r="DL174" i="4"/>
  <c r="DF60" i="1" l="1"/>
  <c r="DG60" i="1" s="1"/>
  <c r="DG162" i="4"/>
  <c r="DG161" i="4" s="1"/>
  <c r="DE42" i="4"/>
  <c r="DE71" i="4" s="1"/>
  <c r="DE5" i="4" s="1"/>
  <c r="DE197" i="4"/>
  <c r="DE198" i="4"/>
  <c r="DE192" i="4"/>
  <c r="DE187" i="4"/>
  <c r="DE186" i="4"/>
  <c r="DN96" i="4"/>
  <c r="DN28" i="4" s="1"/>
  <c r="DN29" i="4" s="1"/>
  <c r="DN110" i="8"/>
  <c r="DN111" i="8" s="1"/>
  <c r="DN112" i="8" s="1"/>
  <c r="DN59" i="8"/>
  <c r="DE180" i="4" l="1"/>
  <c r="DE193" i="4"/>
  <c r="AQ111" i="8"/>
  <c r="AQ112" i="8" s="1"/>
  <c r="DF67" i="1"/>
  <c r="DF64" i="1"/>
  <c r="DE177" i="4"/>
  <c r="DE194" i="4"/>
  <c r="DE178" i="4"/>
  <c r="DN98" i="4"/>
  <c r="DN117" i="4" s="1"/>
  <c r="DO93" i="4"/>
  <c r="DO95" i="4" s="1"/>
  <c r="DO13" i="8" s="1"/>
  <c r="DN40" i="4"/>
  <c r="DN207" i="4"/>
  <c r="DN209" i="4" s="1"/>
  <c r="DN174" i="4" s="1"/>
  <c r="DG67" i="1" l="1"/>
  <c r="DG64" i="1"/>
  <c r="I21" i="26" s="1"/>
  <c r="I23" i="26" s="1"/>
  <c r="DF66" i="1"/>
  <c r="DO110" i="8"/>
  <c r="DO111" i="8" s="1"/>
  <c r="DO112" i="8" s="1"/>
  <c r="DO59" i="8"/>
  <c r="DO96" i="4"/>
  <c r="DF69" i="1" l="1"/>
  <c r="DG66" i="1"/>
  <c r="DO98" i="4"/>
  <c r="DO117" i="4" s="1"/>
  <c r="DP93" i="4"/>
  <c r="DO28" i="4"/>
  <c r="DO29" i="4" s="1"/>
  <c r="DF71" i="1" l="1"/>
  <c r="DF73" i="1"/>
  <c r="DG69" i="1"/>
  <c r="DG73" i="1" s="1"/>
  <c r="DF76" i="1"/>
  <c r="DO207" i="4"/>
  <c r="DO209" i="4" s="1"/>
  <c r="DO174" i="4" s="1"/>
  <c r="DO40" i="4"/>
  <c r="DP95" i="4"/>
  <c r="DP13" i="8" s="1"/>
  <c r="DF75" i="4" l="1"/>
  <c r="DF63" i="4"/>
  <c r="DF12" i="8"/>
  <c r="DG76" i="1"/>
  <c r="DF80" i="1"/>
  <c r="DF78" i="1"/>
  <c r="DG71" i="1"/>
  <c r="DG72" i="1" s="1"/>
  <c r="DF75" i="1"/>
  <c r="DP110" i="8"/>
  <c r="DP111" i="8" s="1"/>
  <c r="DP112" i="8" s="1"/>
  <c r="DQ13" i="8"/>
  <c r="DP59" i="8"/>
  <c r="DP96" i="4"/>
  <c r="DF79" i="1" l="1"/>
  <c r="DF81" i="1"/>
  <c r="DG75" i="1"/>
  <c r="DG12" i="8"/>
  <c r="DG25" i="8" s="1"/>
  <c r="DG78" i="1"/>
  <c r="DG80" i="1"/>
  <c r="DG75" i="4"/>
  <c r="I25" i="26"/>
  <c r="DF58" i="8"/>
  <c r="DF71" i="8" s="1"/>
  <c r="DF93" i="8" s="1"/>
  <c r="DF96" i="8" s="1"/>
  <c r="DH95" i="8" s="1"/>
  <c r="DF25" i="8"/>
  <c r="DF65" i="4"/>
  <c r="DG63" i="4"/>
  <c r="DG65" i="4" s="1"/>
  <c r="DP98" i="4"/>
  <c r="DP117" i="4" s="1"/>
  <c r="DP28" i="4"/>
  <c r="DQ94" i="4"/>
  <c r="DQ105" i="4" s="1"/>
  <c r="DQ59" i="8"/>
  <c r="DQ110" i="8"/>
  <c r="DQ111" i="8" s="1"/>
  <c r="DQ112" i="8" s="1"/>
  <c r="DF47" i="8" l="1"/>
  <c r="DF100" i="8"/>
  <c r="DF102" i="8" s="1"/>
  <c r="DG202" i="4"/>
  <c r="DG78" i="4"/>
  <c r="DG79" i="4" s="1"/>
  <c r="DL74" i="4" s="1"/>
  <c r="DG184" i="4"/>
  <c r="DG204" i="4"/>
  <c r="DG67" i="4"/>
  <c r="DF202" i="4"/>
  <c r="DF78" i="4"/>
  <c r="DF79" i="4" s="1"/>
  <c r="DF81" i="4" s="1"/>
  <c r="DF67" i="4"/>
  <c r="DH74" i="4"/>
  <c r="DF204" i="4"/>
  <c r="DF184" i="4"/>
  <c r="I28" i="26"/>
  <c r="I30" i="26" s="1"/>
  <c r="I26" i="26"/>
  <c r="DG58" i="8"/>
  <c r="DG79" i="1"/>
  <c r="DG81" i="1"/>
  <c r="DI95" i="8"/>
  <c r="DJ95" i="8"/>
  <c r="DK95" i="8"/>
  <c r="DP29" i="4"/>
  <c r="DQ28" i="4"/>
  <c r="DF203" i="4" l="1"/>
  <c r="DG203" i="4"/>
  <c r="DG81" i="4"/>
  <c r="DF191" i="4"/>
  <c r="DF179" i="4"/>
  <c r="DG179" i="4"/>
  <c r="DG191" i="4"/>
  <c r="DG100" i="8"/>
  <c r="DG102" i="8" s="1"/>
  <c r="DG71" i="8"/>
  <c r="DF105" i="8"/>
  <c r="DF108" i="1"/>
  <c r="DF50" i="8"/>
  <c r="DG47" i="8"/>
  <c r="DQ29" i="4"/>
  <c r="DQ96" i="4"/>
  <c r="DP40" i="4"/>
  <c r="DP207" i="4"/>
  <c r="DP209" i="4" s="1"/>
  <c r="DP174" i="4" s="1"/>
  <c r="DG93" i="8" l="1"/>
  <c r="DG50" i="8"/>
  <c r="DF11" i="4"/>
  <c r="DF54" i="8" s="1"/>
  <c r="DH49" i="8"/>
  <c r="DG108" i="1"/>
  <c r="DG52" i="8"/>
  <c r="DG105" i="8"/>
  <c r="DG104" i="8"/>
  <c r="DG103" i="8"/>
  <c r="DQ98" i="4"/>
  <c r="DQ117" i="4" s="1"/>
  <c r="DQ95" i="4"/>
  <c r="DQ104" i="4" s="1"/>
  <c r="DQ40" i="4"/>
  <c r="DQ207" i="4"/>
  <c r="DQ209" i="4" s="1"/>
  <c r="DQ174" i="4" s="1"/>
  <c r="DF199" i="4" l="1"/>
  <c r="DF185" i="4"/>
  <c r="DG11" i="4"/>
  <c r="DG54" i="8" s="1"/>
  <c r="DF17" i="4"/>
  <c r="DL49" i="8"/>
  <c r="DL95" i="8" s="1"/>
  <c r="DG96" i="8"/>
  <c r="DG185" i="4" l="1"/>
  <c r="DG17" i="4"/>
  <c r="DH162" i="4"/>
  <c r="DG199" i="4"/>
  <c r="DF187" i="4"/>
  <c r="DF192" i="4"/>
  <c r="DF186" i="4"/>
  <c r="DF198" i="4"/>
  <c r="DF197" i="4"/>
  <c r="DF42" i="4"/>
  <c r="DF71" i="4" s="1"/>
  <c r="DF5" i="4" s="1"/>
  <c r="DF180" i="4" l="1"/>
  <c r="DF193" i="4"/>
  <c r="DH60" i="1"/>
  <c r="DG42" i="4"/>
  <c r="DG71" i="4" s="1"/>
  <c r="DG5" i="4" s="1"/>
  <c r="DG198" i="4"/>
  <c r="DG197" i="4"/>
  <c r="DF194" i="4"/>
  <c r="DF177" i="4"/>
  <c r="DF178" i="4"/>
  <c r="DG187" i="4"/>
  <c r="DG192" i="4"/>
  <c r="DG186" i="4"/>
  <c r="DG180" i="4" l="1"/>
  <c r="DG193" i="4"/>
  <c r="DH64" i="1"/>
  <c r="DH66" i="1" s="1"/>
  <c r="DH67" i="1"/>
  <c r="DG178" i="4"/>
  <c r="DG177" i="4"/>
  <c r="DG194" i="4"/>
  <c r="DH69" i="1" l="1"/>
  <c r="DH73" i="1" l="1"/>
  <c r="DH71" i="1"/>
  <c r="DH75" i="1" s="1"/>
  <c r="DH76" i="1"/>
  <c r="DH12" i="8" l="1"/>
  <c r="DH75" i="4"/>
  <c r="DH78" i="1"/>
  <c r="DH80" i="1"/>
  <c r="DH63" i="4"/>
  <c r="DH65" i="4" s="1"/>
  <c r="DH79" i="1"/>
  <c r="DH81" i="1"/>
  <c r="DH78" i="4" l="1"/>
  <c r="DH79" i="4" s="1"/>
  <c r="DH81" i="4" s="1"/>
  <c r="DH67" i="4"/>
  <c r="DH184" i="4"/>
  <c r="DH204" i="4"/>
  <c r="DH202" i="4"/>
  <c r="DI74" i="4"/>
  <c r="DH58" i="8"/>
  <c r="DH25" i="8"/>
  <c r="DH203" i="4" l="1"/>
  <c r="DH100" i="8"/>
  <c r="DH102" i="8" s="1"/>
  <c r="DH47" i="8"/>
  <c r="DH50" i="8" s="1"/>
  <c r="DH71" i="8"/>
  <c r="DH93" i="8" s="1"/>
  <c r="DH96" i="8" s="1"/>
  <c r="DH179" i="4"/>
  <c r="DH191" i="4"/>
  <c r="DI49" i="8" l="1"/>
  <c r="DH11" i="4"/>
  <c r="DH108" i="1"/>
  <c r="DH105" i="8"/>
  <c r="DH54" i="8" l="1"/>
  <c r="DI162" i="4"/>
  <c r="DH199" i="4"/>
  <c r="DH185" i="4"/>
  <c r="DH17" i="4"/>
  <c r="DH192" i="4" l="1"/>
  <c r="DH187" i="4"/>
  <c r="DH186" i="4"/>
  <c r="DI60" i="1"/>
  <c r="DH42" i="4"/>
  <c r="DH71" i="4" s="1"/>
  <c r="DH5" i="4" s="1"/>
  <c r="DH197" i="4"/>
  <c r="DH198" i="4"/>
  <c r="DI64" i="1" l="1"/>
  <c r="DI66" i="1" s="1"/>
  <c r="DI67" i="1"/>
  <c r="DH193" i="4"/>
  <c r="DH180" i="4"/>
  <c r="DH178" i="4"/>
  <c r="DH177" i="4"/>
  <c r="DH194" i="4"/>
  <c r="DI69" i="1" l="1"/>
  <c r="DI73" i="1" l="1"/>
  <c r="DI71" i="1"/>
  <c r="DI75" i="1" s="1"/>
  <c r="DI76" i="1"/>
  <c r="DI75" i="4" l="1"/>
  <c r="DI63" i="4"/>
  <c r="DI65" i="4" s="1"/>
  <c r="DI12" i="8"/>
  <c r="DI78" i="1"/>
  <c r="DI80" i="1"/>
  <c r="DI79" i="1"/>
  <c r="DI81" i="1"/>
  <c r="DI25" i="8" l="1"/>
  <c r="DI58" i="8"/>
  <c r="DI202" i="4"/>
  <c r="DI204" i="4"/>
  <c r="DI184" i="4"/>
  <c r="DJ74" i="4"/>
  <c r="DI67" i="4"/>
  <c r="DI78" i="4"/>
  <c r="DI79" i="4" s="1"/>
  <c r="DI81" i="4" s="1"/>
  <c r="DI203" i="4" l="1"/>
  <c r="DI71" i="8"/>
  <c r="DI93" i="8" s="1"/>
  <c r="DI96" i="8" s="1"/>
  <c r="DI191" i="4"/>
  <c r="DI179" i="4"/>
  <c r="DI47" i="8"/>
  <c r="DI50" i="8" s="1"/>
  <c r="DI100" i="8"/>
  <c r="DI102" i="8" s="1"/>
  <c r="DI105" i="8" l="1"/>
  <c r="DI108" i="1"/>
  <c r="DI11" i="4"/>
  <c r="DI54" i="8" s="1"/>
  <c r="DJ49" i="8"/>
  <c r="DI199" i="4" l="1"/>
  <c r="DI17" i="4"/>
  <c r="DI185" i="4"/>
  <c r="DJ162" i="4"/>
  <c r="DJ60" i="1" l="1"/>
  <c r="DI192" i="4"/>
  <c r="DI187" i="4"/>
  <c r="DI186" i="4"/>
  <c r="DI198" i="4"/>
  <c r="DI197" i="4"/>
  <c r="DI42" i="4"/>
  <c r="DI71" i="4" s="1"/>
  <c r="DI5" i="4" s="1"/>
  <c r="DI180" i="4" l="1"/>
  <c r="DI193" i="4"/>
  <c r="DI178" i="4"/>
  <c r="DI177" i="4"/>
  <c r="DI194" i="4"/>
  <c r="DJ67" i="1"/>
  <c r="DJ64" i="1"/>
  <c r="DJ66" i="1" l="1"/>
  <c r="DJ69" i="1" l="1"/>
  <c r="DJ73" i="1" l="1"/>
  <c r="DJ71" i="1"/>
  <c r="DJ76" i="1"/>
  <c r="DJ75" i="4" l="1"/>
  <c r="DJ78" i="1"/>
  <c r="DJ80" i="1"/>
  <c r="DJ12" i="8"/>
  <c r="DJ63" i="4"/>
  <c r="DJ65" i="4" s="1"/>
  <c r="DJ75" i="1"/>
  <c r="DJ79" i="1" l="1"/>
  <c r="DJ81" i="1"/>
  <c r="DJ25" i="8"/>
  <c r="DJ58" i="8"/>
  <c r="DK74" i="4"/>
  <c r="DJ202" i="4"/>
  <c r="DJ204" i="4"/>
  <c r="DJ67" i="4"/>
  <c r="DJ184" i="4"/>
  <c r="DJ78" i="4"/>
  <c r="DJ79" i="4" s="1"/>
  <c r="DJ81" i="4" s="1"/>
  <c r="DJ203" i="4" l="1"/>
  <c r="DJ47" i="8"/>
  <c r="DJ100" i="8"/>
  <c r="DJ102" i="8" s="1"/>
  <c r="DJ191" i="4"/>
  <c r="DJ179" i="4"/>
  <c r="DJ71" i="8"/>
  <c r="DJ93" i="8" s="1"/>
  <c r="DJ96" i="8" s="1"/>
  <c r="DJ108" i="1" l="1"/>
  <c r="DJ105" i="8"/>
  <c r="DJ50" i="8"/>
  <c r="DJ11" i="4" l="1"/>
  <c r="DK49" i="8"/>
  <c r="DJ185" i="4" l="1"/>
  <c r="DJ199" i="4"/>
  <c r="DK162" i="4"/>
  <c r="DJ17" i="4"/>
  <c r="DJ54" i="8"/>
  <c r="DJ42" i="4" l="1"/>
  <c r="DJ71" i="4" s="1"/>
  <c r="DJ5" i="4" s="1"/>
  <c r="DJ198" i="4"/>
  <c r="DJ197" i="4"/>
  <c r="DK60" i="1"/>
  <c r="DL162" i="4"/>
  <c r="DJ187" i="4"/>
  <c r="DJ192" i="4"/>
  <c r="DJ186" i="4"/>
  <c r="DK64" i="1" l="1"/>
  <c r="DK67" i="1"/>
  <c r="DL60" i="1"/>
  <c r="BV111" i="8" s="1"/>
  <c r="BV112" i="8" s="1"/>
  <c r="DJ193" i="4"/>
  <c r="DJ180" i="4"/>
  <c r="DJ177" i="4"/>
  <c r="DJ194" i="4"/>
  <c r="DJ178" i="4"/>
  <c r="DL67" i="1" l="1"/>
  <c r="DK66" i="1"/>
  <c r="DL64" i="1"/>
  <c r="J21" i="26" s="1"/>
  <c r="J23" i="26" s="1"/>
  <c r="DK69" i="1" l="1"/>
  <c r="DL66" i="1"/>
  <c r="DK71" i="1" l="1"/>
  <c r="DK73" i="1"/>
  <c r="DL69" i="1"/>
  <c r="DL73" i="1" s="1"/>
  <c r="DK76" i="1"/>
  <c r="DK80" i="1" l="1"/>
  <c r="DK75" i="4"/>
  <c r="DK63" i="4"/>
  <c r="DK12" i="8"/>
  <c r="DK78" i="1"/>
  <c r="DL76" i="1"/>
  <c r="DL71" i="1"/>
  <c r="DL72" i="1" s="1"/>
  <c r="DK75" i="1"/>
  <c r="DK79" i="1" l="1"/>
  <c r="DK81" i="1"/>
  <c r="DL75" i="1"/>
  <c r="DK25" i="8"/>
  <c r="DK58" i="8"/>
  <c r="DK71" i="8" s="1"/>
  <c r="DK93" i="8" s="1"/>
  <c r="DK96" i="8" s="1"/>
  <c r="DM95" i="8" s="1"/>
  <c r="J25" i="26"/>
  <c r="DL63" i="4"/>
  <c r="DL65" i="4" s="1"/>
  <c r="DK65" i="4"/>
  <c r="DL78" i="1"/>
  <c r="DL80" i="1"/>
  <c r="DL12" i="8"/>
  <c r="DL75" i="4"/>
  <c r="DL184" i="4" l="1"/>
  <c r="DL202" i="4"/>
  <c r="DL67" i="4"/>
  <c r="DL204" i="4"/>
  <c r="DL78" i="4"/>
  <c r="DL79" i="4" s="1"/>
  <c r="DQ74" i="4" s="1"/>
  <c r="DK100" i="8"/>
  <c r="DK102" i="8" s="1"/>
  <c r="DK47" i="8"/>
  <c r="DL58" i="8"/>
  <c r="DL25" i="8"/>
  <c r="DL81" i="1"/>
  <c r="DL79" i="1"/>
  <c r="J26" i="26"/>
  <c r="J28" i="26"/>
  <c r="J30" i="26" s="1"/>
  <c r="DK204" i="4"/>
  <c r="DK202" i="4"/>
  <c r="DK184" i="4"/>
  <c r="DK78" i="4"/>
  <c r="DK79" i="4" s="1"/>
  <c r="DK81" i="4" s="1"/>
  <c r="DK67" i="4"/>
  <c r="DM74" i="4"/>
  <c r="DN95" i="8"/>
  <c r="DP95" i="8"/>
  <c r="DO95" i="8"/>
  <c r="DK203" i="4" l="1"/>
  <c r="DL81" i="4"/>
  <c r="DL203" i="4"/>
  <c r="DK50" i="8"/>
  <c r="DL47" i="8"/>
  <c r="J38" i="26"/>
  <c r="K30" i="26"/>
  <c r="DK105" i="8"/>
  <c r="DK108" i="1"/>
  <c r="DK179" i="4"/>
  <c r="DK191" i="4"/>
  <c r="DL100" i="8"/>
  <c r="DL102" i="8" s="1"/>
  <c r="DL71" i="8"/>
  <c r="DL191" i="4"/>
  <c r="DL179" i="4"/>
  <c r="DL93" i="8" l="1"/>
  <c r="DL50" i="8"/>
  <c r="DM49" i="8"/>
  <c r="DK11" i="4"/>
  <c r="DK54" i="8" s="1"/>
  <c r="DL105" i="8"/>
  <c r="DL103" i="8"/>
  <c r="DL52" i="8"/>
  <c r="DL108" i="1"/>
  <c r="DL104" i="8"/>
  <c r="DQ49" i="8" l="1"/>
  <c r="DQ95" i="8" s="1"/>
  <c r="DL96" i="8"/>
  <c r="DK185" i="4"/>
  <c r="DL11" i="4"/>
  <c r="DK17" i="4"/>
  <c r="DK199" i="4"/>
  <c r="DK42" i="4" l="1"/>
  <c r="DK71" i="4" s="1"/>
  <c r="DK5" i="4" s="1"/>
  <c r="DK198" i="4"/>
  <c r="DK197" i="4"/>
  <c r="DL199" i="4"/>
  <c r="DL17" i="4"/>
  <c r="DL185" i="4"/>
  <c r="DM162" i="4"/>
  <c r="DL54" i="8"/>
  <c r="DK187" i="4"/>
  <c r="DK192" i="4"/>
  <c r="DK186" i="4"/>
  <c r="DK180" i="4" l="1"/>
  <c r="DK193" i="4"/>
  <c r="DM60" i="1"/>
  <c r="DL192" i="4"/>
  <c r="DL187" i="4"/>
  <c r="DL186" i="4"/>
  <c r="DK177" i="4"/>
  <c r="DK178" i="4"/>
  <c r="DK194" i="4"/>
  <c r="DL42" i="4"/>
  <c r="DL71" i="4" s="1"/>
  <c r="DL5" i="4" s="1"/>
  <c r="DL198" i="4"/>
  <c r="DL197" i="4"/>
  <c r="DM64" i="1" l="1"/>
  <c r="DM66" i="1" s="1"/>
  <c r="DM67" i="1"/>
  <c r="DL193" i="4"/>
  <c r="DL180" i="4"/>
  <c r="DL178" i="4"/>
  <c r="DL194" i="4"/>
  <c r="DL177" i="4"/>
  <c r="DM69" i="1" l="1"/>
  <c r="DM73" i="1" l="1"/>
  <c r="DM71" i="1"/>
  <c r="DM75" i="1" s="1"/>
  <c r="DM76" i="1"/>
  <c r="DM79" i="1" l="1"/>
  <c r="DM81" i="1"/>
  <c r="DM12" i="8"/>
  <c r="DM75" i="4"/>
  <c r="DM78" i="1"/>
  <c r="DM80" i="1"/>
  <c r="DM63" i="4"/>
  <c r="DM65" i="4" s="1"/>
  <c r="DM202" i="4" l="1"/>
  <c r="DN74" i="4"/>
  <c r="DM184" i="4"/>
  <c r="DM67" i="4"/>
  <c r="DM78" i="4"/>
  <c r="DM79" i="4" s="1"/>
  <c r="DM81" i="4" s="1"/>
  <c r="DM204" i="4"/>
  <c r="DM58" i="8"/>
  <c r="DM25" i="8"/>
  <c r="DM203" i="4" l="1"/>
  <c r="DM179" i="4"/>
  <c r="DM191" i="4"/>
  <c r="DM47" i="8"/>
  <c r="DM50" i="8" s="1"/>
  <c r="DM100" i="8"/>
  <c r="DM102" i="8" s="1"/>
  <c r="DM71" i="8"/>
  <c r="DM93" i="8" s="1"/>
  <c r="DM96" i="8" s="1"/>
  <c r="DM11" i="4" l="1"/>
  <c r="DM54" i="8" s="1"/>
  <c r="DN49" i="8"/>
  <c r="DM108" i="1"/>
  <c r="DM105" i="8"/>
  <c r="DN162" i="4" l="1"/>
  <c r="DM17" i="4"/>
  <c r="DM199" i="4"/>
  <c r="DM185" i="4"/>
  <c r="DM192" i="4" l="1"/>
  <c r="DM187" i="4"/>
  <c r="DM186" i="4"/>
  <c r="DM197" i="4"/>
  <c r="DM198" i="4"/>
  <c r="DM42" i="4"/>
  <c r="DM71" i="4" s="1"/>
  <c r="DN60" i="1"/>
  <c r="DN67" i="1" l="1"/>
  <c r="DN64" i="1"/>
  <c r="DM193" i="4"/>
  <c r="DM180" i="4"/>
  <c r="DM177" i="4"/>
  <c r="DM194" i="4"/>
  <c r="DM178" i="4"/>
  <c r="DN66" i="1" l="1"/>
  <c r="DN69" i="1" l="1"/>
  <c r="DN73" i="1" l="1"/>
  <c r="DN71" i="1"/>
  <c r="DN76" i="1"/>
  <c r="DN75" i="4" l="1"/>
  <c r="DN78" i="1"/>
  <c r="DN63" i="4"/>
  <c r="DN65" i="4" s="1"/>
  <c r="DN80" i="1"/>
  <c r="DN12" i="8"/>
  <c r="DN75" i="1"/>
  <c r="DN67" i="4" l="1"/>
  <c r="DN202" i="4"/>
  <c r="DN204" i="4"/>
  <c r="DN78" i="4"/>
  <c r="DN79" i="4" s="1"/>
  <c r="DN81" i="4" s="1"/>
  <c r="DN184" i="4"/>
  <c r="DO74" i="4"/>
  <c r="DN79" i="1"/>
  <c r="DN81" i="1"/>
  <c r="DN25" i="8"/>
  <c r="DN58" i="8"/>
  <c r="DN71" i="8" l="1"/>
  <c r="DN93" i="8" s="1"/>
  <c r="DN96" i="8" s="1"/>
  <c r="DN203" i="4"/>
  <c r="DN100" i="8"/>
  <c r="DN102" i="8" s="1"/>
  <c r="DN47" i="8"/>
  <c r="DN191" i="4"/>
  <c r="DN179" i="4"/>
  <c r="DN108" i="1" l="1"/>
  <c r="DN105" i="8"/>
  <c r="DN50" i="8"/>
  <c r="DN11" i="4" l="1"/>
  <c r="DN54" i="8" s="1"/>
  <c r="DO49" i="8"/>
  <c r="DN199" i="4" l="1"/>
  <c r="DO162" i="4"/>
  <c r="DN17" i="4"/>
  <c r="DN185" i="4"/>
  <c r="DN192" i="4" l="1"/>
  <c r="DN187" i="4"/>
  <c r="DN186" i="4"/>
  <c r="DN42" i="4"/>
  <c r="DN71" i="4" s="1"/>
  <c r="DN198" i="4"/>
  <c r="DN197" i="4"/>
  <c r="DO60" i="1"/>
  <c r="DO64" i="1" l="1"/>
  <c r="DO67" i="1"/>
  <c r="DN180" i="4"/>
  <c r="DN193" i="4"/>
  <c r="DN194" i="4"/>
  <c r="DN178" i="4"/>
  <c r="DN177" i="4"/>
  <c r="DO66" i="1" l="1"/>
  <c r="DO69" i="1" l="1"/>
  <c r="DO71" i="1" l="1"/>
  <c r="DO73" i="1"/>
  <c r="DO76" i="1"/>
  <c r="DO80" i="1" l="1"/>
  <c r="DO63" i="4"/>
  <c r="DO65" i="4" s="1"/>
  <c r="DO12" i="8"/>
  <c r="DO78" i="1"/>
  <c r="DO75" i="4"/>
  <c r="DO75" i="1"/>
  <c r="DO25" i="8" l="1"/>
  <c r="DO58" i="8"/>
  <c r="DO79" i="1"/>
  <c r="DO81" i="1"/>
  <c r="DO184" i="4"/>
  <c r="DO202" i="4"/>
  <c r="DP74" i="4"/>
  <c r="DO67" i="4"/>
  <c r="DO78" i="4"/>
  <c r="DO79" i="4" s="1"/>
  <c r="DO81" i="4" s="1"/>
  <c r="DO204" i="4"/>
  <c r="DO203" i="4" l="1"/>
  <c r="DO191" i="4"/>
  <c r="DO179" i="4"/>
  <c r="DO71" i="8"/>
  <c r="DO93" i="8" s="1"/>
  <c r="DO96" i="8" s="1"/>
  <c r="DO100" i="8"/>
  <c r="DO102" i="8" s="1"/>
  <c r="DO47" i="8"/>
  <c r="DO50" i="8" l="1"/>
  <c r="DO105" i="8"/>
  <c r="DO108" i="1"/>
  <c r="DP49" i="8" l="1"/>
  <c r="DO11" i="4"/>
  <c r="DO185" i="4" l="1"/>
  <c r="DO17" i="4"/>
  <c r="DP162" i="4"/>
  <c r="DO199" i="4"/>
  <c r="DO54" i="8"/>
  <c r="DP60" i="1" l="1"/>
  <c r="DQ162" i="4"/>
  <c r="DO42" i="4"/>
  <c r="DO71" i="4" s="1"/>
  <c r="DO197" i="4"/>
  <c r="DO198" i="4"/>
  <c r="DO187" i="4"/>
  <c r="DO192" i="4"/>
  <c r="DO186" i="4"/>
  <c r="DO193" i="4" l="1"/>
  <c r="DO180" i="4"/>
  <c r="DO178" i="4"/>
  <c r="DO194" i="4"/>
  <c r="DO177" i="4"/>
  <c r="DP67" i="1"/>
  <c r="DP64" i="1"/>
  <c r="DQ60" i="1"/>
  <c r="DP66" i="1" l="1"/>
  <c r="DQ64" i="1"/>
  <c r="DQ67" i="1"/>
  <c r="DP69" i="1" l="1"/>
  <c r="DQ66" i="1"/>
  <c r="DP71" i="1" l="1"/>
  <c r="DP73" i="1"/>
  <c r="DQ69" i="1"/>
  <c r="DQ73" i="1" s="1"/>
  <c r="DP76" i="1"/>
  <c r="DP75" i="4" l="1"/>
  <c r="DP78" i="1"/>
  <c r="DP80" i="1"/>
  <c r="DP12" i="8"/>
  <c r="DP63" i="4"/>
  <c r="DQ76" i="1"/>
  <c r="DQ71" i="1"/>
  <c r="DQ72" i="1" s="1"/>
  <c r="DP75" i="1"/>
  <c r="DQ75" i="4" l="1"/>
  <c r="DQ12" i="8"/>
  <c r="DQ78" i="1"/>
  <c r="DQ80" i="1"/>
  <c r="DQ63" i="4"/>
  <c r="DQ65" i="4" s="1"/>
  <c r="DP65" i="4"/>
  <c r="DP79" i="1"/>
  <c r="DP81" i="1"/>
  <c r="DQ75" i="1"/>
  <c r="DP25" i="8"/>
  <c r="DP58" i="8"/>
  <c r="DP71" i="8" s="1"/>
  <c r="DP93" i="8" s="1"/>
  <c r="DP96" i="8" s="1"/>
  <c r="DQ78" i="4" l="1"/>
  <c r="DQ79" i="4" s="1"/>
  <c r="DQ81" i="4" s="1"/>
  <c r="DQ184" i="4"/>
  <c r="DQ67" i="4"/>
  <c r="DQ204" i="4"/>
  <c r="DQ202" i="4"/>
  <c r="DQ79" i="1"/>
  <c r="DQ81" i="1"/>
  <c r="DP47" i="8"/>
  <c r="DP100" i="8"/>
  <c r="DP102" i="8" s="1"/>
  <c r="DP67" i="4"/>
  <c r="DP204" i="4"/>
  <c r="DP184" i="4"/>
  <c r="DP202" i="4"/>
  <c r="DP78" i="4"/>
  <c r="DP79" i="4" s="1"/>
  <c r="DP81" i="4" s="1"/>
  <c r="DQ25" i="8"/>
  <c r="DQ58" i="8"/>
  <c r="DP191" i="4" l="1"/>
  <c r="DP179" i="4"/>
  <c r="DP50" i="8"/>
  <c r="DQ47" i="8"/>
  <c r="DQ203" i="4"/>
  <c r="DP108" i="1"/>
  <c r="DP105" i="8"/>
  <c r="DQ100" i="8"/>
  <c r="DQ102" i="8" s="1"/>
  <c r="DQ71" i="8"/>
  <c r="DP203" i="4"/>
  <c r="DQ191" i="4"/>
  <c r="DQ179" i="4"/>
  <c r="DQ105" i="8" l="1"/>
  <c r="DQ103" i="8"/>
  <c r="DQ52" i="8"/>
  <c r="DQ104" i="8"/>
  <c r="DQ108" i="1"/>
  <c r="DP11" i="4"/>
  <c r="DP54" i="8" s="1"/>
  <c r="DQ93" i="8"/>
  <c r="DQ50" i="8"/>
  <c r="DQ96" i="8" l="1"/>
  <c r="DQ11" i="4"/>
  <c r="DP17" i="4"/>
  <c r="DP185" i="4"/>
  <c r="DP199" i="4"/>
  <c r="DP187" i="4" l="1"/>
  <c r="DP192" i="4"/>
  <c r="DP186" i="4"/>
  <c r="DP197" i="4"/>
  <c r="DP198" i="4"/>
  <c r="DP42" i="4"/>
  <c r="DP71" i="4" s="1"/>
  <c r="DQ17" i="4"/>
  <c r="DQ185" i="4"/>
  <c r="DQ199" i="4"/>
  <c r="DQ54" i="8"/>
  <c r="DQ192" i="4" l="1"/>
  <c r="DQ187" i="4"/>
  <c r="DQ186" i="4"/>
  <c r="DQ42" i="4"/>
  <c r="DQ71" i="4" s="1"/>
  <c r="DQ197" i="4"/>
  <c r="DQ198" i="4"/>
  <c r="DP180" i="4"/>
  <c r="DP193" i="4"/>
  <c r="DP178" i="4"/>
  <c r="DP177" i="4"/>
  <c r="DP194" i="4"/>
  <c r="DQ193" i="4" l="1"/>
  <c r="DQ180" i="4"/>
  <c r="DQ178" i="4"/>
  <c r="DQ194" i="4"/>
  <c r="DQ177" i="4"/>
</calcChain>
</file>

<file path=xl/comments1.xml><?xml version="1.0" encoding="utf-8"?>
<comments xmlns="http://schemas.openxmlformats.org/spreadsheetml/2006/main">
  <authors>
    <author>Holman, Ivan P (Research)</author>
    <author>Gupta, Gaurav (Research)</author>
    <author>Essex, Brian (Research)</author>
    <author>Robb, Thomas (Research)</author>
    <author>kogay</author>
    <author>Varma, Abhiroop (Research)</author>
    <author>Rao, Sushil (Research)</author>
    <author>Tammannavar, Sunil (Research)</author>
    <author>Kogay, Natalia (Research)</author>
    <author>Mendiratta, Divya (Research)</author>
    <author>Dixit, Siddharth (Research)</author>
    <author>K, Hemalatha (Research)</author>
  </authors>
  <commentList>
    <comment ref="CS11" authorId="0">
      <text>
        <r>
          <rPr>
            <b/>
            <sz val="9"/>
            <color indexed="81"/>
            <rFont val="Tahoma"/>
            <family val="2"/>
          </rPr>
          <t>Holman, Ivan P (Research):</t>
        </r>
        <r>
          <rPr>
            <sz val="9"/>
            <color indexed="81"/>
            <rFont val="Tahoma"/>
            <family val="2"/>
          </rPr>
          <t xml:space="preserve">
Poitentiual wekness in Banking sector</t>
        </r>
      </text>
    </comment>
    <comment ref="CT11" authorId="0">
      <text>
        <r>
          <rPr>
            <b/>
            <sz val="9"/>
            <color indexed="81"/>
            <rFont val="Tahoma"/>
            <family val="2"/>
          </rPr>
          <t>Holman, Ivan P (Research):</t>
        </r>
        <r>
          <rPr>
            <sz val="9"/>
            <color indexed="81"/>
            <rFont val="Tahoma"/>
            <family val="2"/>
          </rPr>
          <t xml:space="preserve">
back to sequential growth in 2Q</t>
        </r>
      </text>
    </comment>
    <comment ref="CN13" authorId="1">
      <text>
        <r>
          <rPr>
            <b/>
            <sz val="9"/>
            <color indexed="81"/>
            <rFont val="Tahoma"/>
            <family val="2"/>
          </rPr>
          <t>Gupta, Gaurav (Research):</t>
        </r>
        <r>
          <rPr>
            <sz val="9"/>
            <color indexed="81"/>
            <rFont val="Tahoma"/>
            <family val="2"/>
          </rPr>
          <t xml:space="preserve">
added TriZetto Revenues @750 million/year</t>
        </r>
      </text>
    </comment>
    <comment ref="CP13" authorId="1">
      <text>
        <r>
          <rPr>
            <b/>
            <sz val="9"/>
            <color indexed="81"/>
            <rFont val="Tahoma"/>
            <family val="2"/>
          </rPr>
          <t>Gupta, Gaurav (Research):</t>
        </r>
        <r>
          <rPr>
            <sz val="9"/>
            <color indexed="81"/>
            <rFont val="Tahoma"/>
            <family val="2"/>
          </rPr>
          <t xml:space="preserve">
added TriZetto Revenues @750 million/year</t>
        </r>
      </text>
    </comment>
    <comment ref="CQ13" authorId="2">
      <text>
        <r>
          <rPr>
            <b/>
            <sz val="9"/>
            <color indexed="81"/>
            <rFont val="Tahoma"/>
            <family val="2"/>
          </rPr>
          <t>Essex, Brian (Research):</t>
        </r>
        <r>
          <rPr>
            <sz val="9"/>
            <color indexed="81"/>
            <rFont val="Tahoma"/>
            <family val="2"/>
          </rPr>
          <t xml:space="preserve">
Trizetto was ~$740mm /yr. closed Nov 20th 2014
</t>
        </r>
      </text>
    </comment>
    <comment ref="CT15" authorId="0">
      <text>
        <r>
          <rPr>
            <b/>
            <sz val="9"/>
            <color indexed="81"/>
            <rFont val="Tahoma"/>
            <family val="2"/>
          </rPr>
          <t>Holman, Ivan P (Research):</t>
        </r>
        <r>
          <rPr>
            <sz val="9"/>
            <color indexed="81"/>
            <rFont val="Tahoma"/>
            <family val="2"/>
          </rPr>
          <t xml:space="preserve">
back to sequential growth</t>
        </r>
      </text>
    </comment>
    <comment ref="CQ22" authorId="0">
      <text>
        <r>
          <rPr>
            <b/>
            <sz val="9"/>
            <color indexed="81"/>
            <rFont val="Tahoma"/>
            <family val="2"/>
          </rPr>
          <t>Holman, Ivan P (Research):</t>
        </r>
        <r>
          <rPr>
            <sz val="9"/>
            <color indexed="81"/>
            <rFont val="Tahoma"/>
            <family val="2"/>
          </rPr>
          <t xml:space="preserve">
Guidance $3.23bb</t>
        </r>
      </text>
    </comment>
    <comment ref="DA22" authorId="3">
      <text>
        <r>
          <rPr>
            <b/>
            <sz val="9"/>
            <color indexed="81"/>
            <rFont val="Tahoma"/>
            <family val="2"/>
          </rPr>
          <t>Robb, Thomas (Research):</t>
        </r>
        <r>
          <rPr>
            <sz val="9"/>
            <color indexed="81"/>
            <rFont val="Tahoma"/>
            <family val="2"/>
          </rPr>
          <t xml:space="preserve">
Guidance: $3.79-3.85bn</t>
        </r>
      </text>
    </comment>
    <comment ref="DB22" authorId="3">
      <text>
        <r>
          <rPr>
            <b/>
            <sz val="9"/>
            <color indexed="81"/>
            <rFont val="Tahoma"/>
            <family val="2"/>
          </rPr>
          <t>Robb, Thomas (Research):</t>
        </r>
        <r>
          <rPr>
            <sz val="9"/>
            <color indexed="81"/>
            <rFont val="Tahoma"/>
            <family val="2"/>
          </rPr>
          <t xml:space="preserve">
Guidance: $14.78-14.84bn</t>
        </r>
      </text>
    </comment>
    <comment ref="DC22" authorId="3">
      <text>
        <r>
          <rPr>
            <b/>
            <sz val="9"/>
            <color indexed="81"/>
            <rFont val="Tahoma"/>
            <family val="2"/>
          </rPr>
          <t>Robb, Thomas (Research):</t>
        </r>
        <r>
          <rPr>
            <sz val="9"/>
            <color indexed="81"/>
            <rFont val="Tahoma"/>
            <family val="2"/>
          </rPr>
          <t xml:space="preserve">
Guidance: $3.88-3.92bn</t>
        </r>
      </text>
    </comment>
    <comment ref="DG22" authorId="3">
      <text>
        <r>
          <rPr>
            <b/>
            <sz val="9"/>
            <color indexed="81"/>
            <rFont val="Tahoma"/>
            <family val="2"/>
          </rPr>
          <t>Robb, Thomas (Research):</t>
        </r>
        <r>
          <rPr>
            <sz val="9"/>
            <color indexed="81"/>
            <rFont val="Tahoma"/>
            <family val="2"/>
          </rPr>
          <t xml:space="preserve">
Guidance: $16.0-16.3bn</t>
        </r>
      </text>
    </comment>
    <comment ref="DG23" authorId="3">
      <text>
        <r>
          <rPr>
            <b/>
            <sz val="9"/>
            <color indexed="81"/>
            <rFont val="Tahoma"/>
            <family val="2"/>
          </rPr>
          <t>Robb, Thomas (Research):</t>
        </r>
        <r>
          <rPr>
            <sz val="9"/>
            <color indexed="81"/>
            <rFont val="Tahoma"/>
            <family val="2"/>
          </rPr>
          <t xml:space="preserve">
4Q: Guidance includes 100bps of FX</t>
        </r>
      </text>
    </comment>
    <comment ref="CP28" authorId="0">
      <text>
        <r>
          <rPr>
            <b/>
            <sz val="9"/>
            <color indexed="81"/>
            <rFont val="Tahoma"/>
            <family val="2"/>
          </rPr>
          <t>Holman, Ivan P (Research):</t>
        </r>
        <r>
          <rPr>
            <sz val="9"/>
            <color indexed="81"/>
            <rFont val="Tahoma"/>
            <family val="2"/>
          </rPr>
          <t xml:space="preserve">
From footnotes of release below rev table</t>
        </r>
      </text>
    </comment>
    <comment ref="CX28" authorId="0">
      <text>
        <r>
          <rPr>
            <b/>
            <sz val="9"/>
            <color indexed="81"/>
            <rFont val="Tahoma"/>
            <family val="2"/>
          </rPr>
          <t>Holman, Ivan P (Research):</t>
        </r>
        <r>
          <rPr>
            <sz val="9"/>
            <color indexed="81"/>
            <rFont val="Tahoma"/>
            <family val="2"/>
          </rPr>
          <t xml:space="preserve">
For the three months ended March 31, 2017, the $54 million adjustment to exclude stock-based compensation from income from operations includes $15 million, which was reported in cost of revenues and $39 million, which was reported in selling, general and administrative expenses in our unaudited consolidated statements of operations.</t>
        </r>
      </text>
    </comment>
    <comment ref="G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3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G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32"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DA33" authorId="3">
      <text>
        <r>
          <rPr>
            <b/>
            <sz val="9"/>
            <color indexed="81"/>
            <rFont val="Tahoma"/>
            <family val="2"/>
          </rPr>
          <t>Robb, Thomas (Research):</t>
        </r>
        <r>
          <rPr>
            <sz val="9"/>
            <color indexed="81"/>
            <rFont val="Tahoma"/>
            <family val="2"/>
          </rPr>
          <t xml:space="preserve">
Pressured from Promos/Raises deferred from July due to transition</t>
        </r>
      </text>
    </comment>
    <comment ref="DE33" authorId="3">
      <text>
        <r>
          <rPr>
            <b/>
            <sz val="9"/>
            <color indexed="81"/>
            <rFont val="Tahoma"/>
            <family val="2"/>
          </rPr>
          <t>Robb, Thomas (Research):</t>
        </r>
        <r>
          <rPr>
            <sz val="9"/>
            <color indexed="81"/>
            <rFont val="Tahoma"/>
            <family val="2"/>
          </rPr>
          <t xml:space="preserve">
Raises and promos typically happen in 3Q</t>
        </r>
      </text>
    </comment>
    <comment ref="DA37" authorId="3">
      <text>
        <r>
          <rPr>
            <b/>
            <sz val="9"/>
            <color indexed="81"/>
            <rFont val="Tahoma"/>
            <family val="2"/>
          </rPr>
          <t>Robb, Thomas (Research):</t>
        </r>
        <r>
          <rPr>
            <sz val="9"/>
            <color indexed="81"/>
            <rFont val="Tahoma"/>
            <family val="2"/>
          </rPr>
          <t xml:space="preserve">
continue to move around q/q through transition</t>
        </r>
      </text>
    </comment>
    <comment ref="CX39" authorId="0">
      <text>
        <r>
          <rPr>
            <b/>
            <sz val="9"/>
            <color indexed="81"/>
            <rFont val="Tahoma"/>
            <family val="2"/>
          </rPr>
          <t>Holman, Ivan P (Research):</t>
        </r>
        <r>
          <rPr>
            <sz val="9"/>
            <color indexed="81"/>
            <rFont val="Tahoma"/>
            <family val="2"/>
          </rPr>
          <t xml:space="preserve">
For the three months ended March 31, 2017, the $54 million adjustment to exclude stock-based compensation from income from operations includes $15 million, which was reported in cost of revenues and $39 million, which was reported in selling, general and administrative expenses in our unaudited consolidated statements of operations.</t>
        </r>
      </text>
    </comment>
    <comment ref="G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4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49" authorId="4">
      <text>
        <r>
          <rPr>
            <b/>
            <sz val="8"/>
            <color indexed="81"/>
            <rFont val="Tahoma"/>
            <family val="2"/>
          </rPr>
          <t>kogay:</t>
        </r>
        <r>
          <rPr>
            <sz val="8"/>
            <color indexed="81"/>
            <rFont val="Tahoma"/>
            <family val="2"/>
          </rPr>
          <t xml:space="preserve">
Investment in in Questra  Corporation</t>
        </r>
      </text>
    </comment>
    <comment ref="AD49" authorId="4">
      <text>
        <r>
          <rPr>
            <b/>
            <sz val="8"/>
            <color indexed="81"/>
            <rFont val="Tahoma"/>
            <family val="2"/>
          </rPr>
          <t>kogay:</t>
        </r>
        <r>
          <rPr>
            <sz val="8"/>
            <color indexed="81"/>
            <rFont val="Tahoma"/>
            <family val="2"/>
          </rPr>
          <t xml:space="preserve">
Direct legal,  accounting,  printing and other
costs associated with the split-off from IMS Health.</t>
        </r>
      </text>
    </comment>
    <comment ref="AF49" authorId="4">
      <text>
        <r>
          <rPr>
            <b/>
            <sz val="8"/>
            <color indexed="81"/>
            <rFont val="Tahoma"/>
            <family val="2"/>
          </rPr>
          <t>kogay:</t>
        </r>
        <r>
          <rPr>
            <sz val="8"/>
            <color indexed="81"/>
            <rFont val="Tahoma"/>
            <family val="2"/>
          </rPr>
          <t xml:space="preserve">
Direct legal,  accounting,  printing and other
costs associated with the split-off from IMS Health.</t>
        </r>
      </text>
    </comment>
    <comment ref="CP51" authorId="0">
      <text>
        <r>
          <rPr>
            <b/>
            <sz val="9"/>
            <color indexed="81"/>
            <rFont val="Tahoma"/>
            <family val="2"/>
          </rPr>
          <t>Holman, Ivan P (Research):</t>
        </r>
        <r>
          <rPr>
            <sz val="9"/>
            <color indexed="81"/>
            <rFont val="Tahoma"/>
            <family val="2"/>
          </rPr>
          <t xml:space="preserve">
Used prior year formula to solve tax impact on EPS, reconciles</t>
        </r>
      </text>
    </comment>
    <comment ref="DB54" authorId="3">
      <text>
        <r>
          <rPr>
            <b/>
            <sz val="9"/>
            <color indexed="81"/>
            <rFont val="Tahoma"/>
            <family val="2"/>
          </rPr>
          <t>Robb, Thomas (Research):</t>
        </r>
        <r>
          <rPr>
            <sz val="9"/>
            <color indexed="81"/>
            <rFont val="Tahoma"/>
            <family val="2"/>
          </rPr>
          <t xml:space="preserve">
Guidance: at least 19.6%</t>
        </r>
      </text>
    </comment>
    <comment ref="DG54" authorId="3">
      <text>
        <r>
          <rPr>
            <b/>
            <sz val="9"/>
            <color indexed="81"/>
            <rFont val="Tahoma"/>
            <family val="2"/>
          </rPr>
          <t>Robb, Thomas (Research):</t>
        </r>
        <r>
          <rPr>
            <sz val="9"/>
            <color indexed="81"/>
            <rFont val="Tahoma"/>
            <family val="2"/>
          </rPr>
          <t xml:space="preserve">
Guidance: 21%</t>
        </r>
      </text>
    </comment>
    <comment ref="DL54" authorId="3">
      <text>
        <r>
          <rPr>
            <b/>
            <sz val="9"/>
            <color indexed="81"/>
            <rFont val="Tahoma"/>
            <family val="2"/>
          </rPr>
          <t>Robb, Thomas (Research):</t>
        </r>
        <r>
          <rPr>
            <sz val="9"/>
            <color indexed="81"/>
            <rFont val="Tahoma"/>
            <family val="2"/>
          </rPr>
          <t xml:space="preserve">
Margin improvement plan to reach 22% </t>
        </r>
      </text>
    </comment>
    <comment ref="CS55" authorId="0">
      <text>
        <r>
          <rPr>
            <b/>
            <sz val="9"/>
            <color indexed="81"/>
            <rFont val="Tahoma"/>
            <family val="2"/>
          </rPr>
          <t>Holman, Ivan P (Research):</t>
        </r>
        <r>
          <rPr>
            <sz val="9"/>
            <color indexed="81"/>
            <rFont val="Tahoma"/>
            <family val="2"/>
          </rPr>
          <t xml:space="preserve">
in footnotes of press release</t>
        </r>
      </text>
    </comment>
    <comment ref="CT55" authorId="0">
      <text>
        <r>
          <rPr>
            <b/>
            <sz val="9"/>
            <color indexed="81"/>
            <rFont val="Tahoma"/>
            <family val="2"/>
          </rPr>
          <t>Holman, Ivan P (Research):</t>
        </r>
        <r>
          <rPr>
            <sz val="9"/>
            <color indexed="81"/>
            <rFont val="Tahoma"/>
            <family val="2"/>
          </rPr>
          <t xml:space="preserve">
For the three months ended June 30, 2016, the $62.2 million adjustment to exclude stock-based compensation from income from operations includes $12.9 million, which was reported in cost of revenues and $49.3 million, which was reported in selling, general and administrative expenses in our unaudited condensed consolidated statements of operations.  
</t>
        </r>
      </text>
    </comment>
    <comment ref="CU55" authorId="0">
      <text>
        <r>
          <rPr>
            <b/>
            <sz val="9"/>
            <color indexed="81"/>
            <rFont val="Tahoma"/>
            <family val="2"/>
          </rPr>
          <t>Holman, Ivan P (Research):</t>
        </r>
        <r>
          <rPr>
            <sz val="9"/>
            <color indexed="81"/>
            <rFont val="Tahoma"/>
            <family val="2"/>
          </rPr>
          <t xml:space="preserve">
For the three months ended September 30, 2016, the $49.7 million adjustment to exclude stock-based compensation from income from operations includes $13.7 million, which was reported in cost of revenues and $36.0 million, which was reported in selling, general and administrative expenses in our unaudited condensed consolidated statements of operations.  
For the three months ended September 30, 2015, the $46.4 million adjustment to exclude stock-based compensation from income from operations includes $10.4 million, which was reported in cost of revenues and $36.0 million, which was reported in selling, general and administrative expenses in our unaudited condensed consolidated statements of operations.</t>
        </r>
      </text>
    </comment>
    <comment ref="CV55" authorId="5">
      <text>
        <r>
          <rPr>
            <sz val="9"/>
            <color indexed="81"/>
            <rFont val="Tahoma"/>
            <family val="2"/>
          </rPr>
          <t>For the three months ended December 31, 2016, the $52 million adjustment to exclude stock-based compensation from income from operations includes $14 million, which was reported in cost of revenues and $38 million, which was reported in selling, general and administrative expenses in our unaudited condensed consolidated statements of operations
For the three months ended December 31, 2015, the $50 million adjustment to exclude stock-based compensation from income from operations includes $10 million, which was reported in cost of revenues and $40 million, which was reported in selling, general and administrative expenses in our unaudited condensed consolidated statements of operations.</t>
        </r>
      </text>
    </comment>
    <comment ref="CZ62" authorId="3">
      <text>
        <r>
          <rPr>
            <b/>
            <sz val="9"/>
            <color indexed="81"/>
            <rFont val="Tahoma"/>
            <family val="2"/>
          </rPr>
          <t>Robb, Thomas (Research):</t>
        </r>
        <r>
          <rPr>
            <sz val="9"/>
            <color indexed="81"/>
            <rFont val="Tahoma"/>
            <family val="2"/>
          </rPr>
          <t xml:space="preserve">
Includes Income from equity method</t>
        </r>
      </text>
    </comment>
    <comment ref="DA62" authorId="3">
      <text>
        <r>
          <rPr>
            <b/>
            <sz val="9"/>
            <color indexed="81"/>
            <rFont val="Tahoma"/>
            <family val="2"/>
          </rPr>
          <t>Robb, Thomas (Research):</t>
        </r>
        <r>
          <rPr>
            <sz val="9"/>
            <color indexed="81"/>
            <rFont val="Tahoma"/>
            <family val="2"/>
          </rPr>
          <t xml:space="preserve">
Includes Income from equity method</t>
        </r>
      </text>
    </comment>
    <comment ref="G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6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70" authorId="4">
      <text>
        <r>
          <rPr>
            <b/>
            <sz val="8"/>
            <color indexed="81"/>
            <rFont val="Tahoma"/>
            <family val="2"/>
          </rPr>
          <t>kogay:</t>
        </r>
        <r>
          <rPr>
            <sz val="8"/>
            <color indexed="81"/>
            <rFont val="Tahoma"/>
            <family val="2"/>
          </rPr>
          <t xml:space="preserve">
Investment in in Questra  Corporation</t>
        </r>
      </text>
    </comment>
    <comment ref="AD70" authorId="4">
      <text>
        <r>
          <rPr>
            <b/>
            <sz val="8"/>
            <color indexed="81"/>
            <rFont val="Tahoma"/>
            <family val="2"/>
          </rPr>
          <t>kogay:</t>
        </r>
        <r>
          <rPr>
            <sz val="8"/>
            <color indexed="81"/>
            <rFont val="Tahoma"/>
            <family val="2"/>
          </rPr>
          <t xml:space="preserve">
Direct legal,  accounting,  printing and other
costs associated with the split-off from IMS Health.</t>
        </r>
      </text>
    </comment>
    <comment ref="AF70" authorId="4">
      <text>
        <r>
          <rPr>
            <b/>
            <sz val="8"/>
            <color indexed="81"/>
            <rFont val="Tahoma"/>
            <family val="2"/>
          </rPr>
          <t>kogay:</t>
        </r>
        <r>
          <rPr>
            <sz val="8"/>
            <color indexed="81"/>
            <rFont val="Tahoma"/>
            <family val="2"/>
          </rPr>
          <t xml:space="preserve">
Direct legal,  accounting,  printing and other
costs associated with the split-off from IMS Health.</t>
        </r>
      </text>
    </comment>
    <comment ref="AS70" authorId="4">
      <text>
        <r>
          <rPr>
            <b/>
            <sz val="8"/>
            <color indexed="81"/>
            <rFont val="Tahoma"/>
            <family val="2"/>
          </rPr>
          <t>kogay:</t>
        </r>
        <r>
          <rPr>
            <sz val="8"/>
            <color indexed="81"/>
            <rFont val="Tahoma"/>
            <family val="2"/>
          </rPr>
          <t xml:space="preserve">
One-time income tax benefit related to the repatriation of approximately $60 million of earnings of its foreign subsidiaries pursuant to the American Jobs Creation Act of 2004. </t>
        </r>
      </text>
    </comment>
    <comment ref="AU70" authorId="6">
      <text>
        <r>
          <rPr>
            <sz val="9"/>
            <color indexed="81"/>
            <rFont val="Tahoma"/>
            <family val="2"/>
          </rPr>
          <t xml:space="preserve">Back calculated using reported non-GAAP EPS as company has not provided the tax impact on non-GAAP adj. </t>
        </r>
      </text>
    </comment>
    <comment ref="AV70" authorId="6">
      <text>
        <r>
          <rPr>
            <sz val="9"/>
            <color indexed="81"/>
            <rFont val="Tahoma"/>
            <family val="2"/>
          </rPr>
          <t xml:space="preserve">Back calculated using reported non-GAAP EPS as company has not provided the tax impact on non-GAAP adj. </t>
        </r>
      </text>
    </comment>
    <comment ref="AW70" authorId="6">
      <text>
        <r>
          <rPr>
            <sz val="9"/>
            <color indexed="81"/>
            <rFont val="Tahoma"/>
            <family val="2"/>
          </rPr>
          <t xml:space="preserve">Back calculated using reported non-GAAP EPS as company has not provided the tax impact on non-GAAP adj. </t>
        </r>
      </text>
    </comment>
    <comment ref="AX70" authorId="6">
      <text>
        <r>
          <rPr>
            <sz val="9"/>
            <color indexed="81"/>
            <rFont val="Tahoma"/>
            <family val="2"/>
          </rPr>
          <t xml:space="preserve">Back calculated using reported non-GAAP EPS as company has not provided the tax impact on non-GAAP adj. </t>
        </r>
      </text>
    </comment>
    <comment ref="AZ70" authorId="6">
      <text>
        <r>
          <rPr>
            <sz val="9"/>
            <color indexed="81"/>
            <rFont val="Tahoma"/>
            <family val="2"/>
          </rPr>
          <t xml:space="preserve">Back calculated using reported non-GAAP EPS as company has not provided the tax impact on non-GAAP adj. </t>
        </r>
      </text>
    </comment>
    <comment ref="BA70" authorId="6">
      <text>
        <r>
          <rPr>
            <sz val="9"/>
            <color indexed="81"/>
            <rFont val="Tahoma"/>
            <family val="2"/>
          </rPr>
          <t xml:space="preserve">Back calculated using reported non-GAAP EPS as company has not provided the tax impact on non-GAAP adj. </t>
        </r>
      </text>
    </comment>
    <comment ref="BB70" authorId="6">
      <text>
        <r>
          <rPr>
            <sz val="9"/>
            <color indexed="81"/>
            <rFont val="Tahoma"/>
            <family val="2"/>
          </rPr>
          <t xml:space="preserve">Back calculated using reported non-GAAP EPS as company has not provided the tax impact on non-GAAP adj. </t>
        </r>
      </text>
    </comment>
    <comment ref="BC70" authorId="6">
      <text>
        <r>
          <rPr>
            <sz val="9"/>
            <color indexed="81"/>
            <rFont val="Tahoma"/>
            <family val="2"/>
          </rPr>
          <t xml:space="preserve">Back calculated using reported non-GAAP EPS as company has not provided the tax impact on non-GAAP adj. </t>
        </r>
      </text>
    </comment>
    <comment ref="BE70" authorId="6">
      <text>
        <r>
          <rPr>
            <sz val="9"/>
            <color indexed="81"/>
            <rFont val="Tahoma"/>
            <family val="2"/>
          </rPr>
          <t xml:space="preserve">Back calculated using reported non-GAAP EPS as company has not provided the tax impact on non-GAAP adj. </t>
        </r>
      </text>
    </comment>
    <comment ref="BF70" authorId="6">
      <text>
        <r>
          <rPr>
            <sz val="9"/>
            <color indexed="81"/>
            <rFont val="Tahoma"/>
            <family val="2"/>
          </rPr>
          <t xml:space="preserve">Back calculated using reported non-GAAP EPS as company has not provided the tax impact on non-GAAP adj. </t>
        </r>
      </text>
    </comment>
    <comment ref="BG70" authorId="6">
      <text>
        <r>
          <rPr>
            <sz val="9"/>
            <color indexed="81"/>
            <rFont val="Tahoma"/>
            <family val="2"/>
          </rPr>
          <t xml:space="preserve">Back calculated using reported non-GAAP EPS as company has not provided the tax impact on non-GAAP adj. </t>
        </r>
      </text>
    </comment>
    <comment ref="BH70" authorId="6">
      <text>
        <r>
          <rPr>
            <sz val="9"/>
            <color indexed="81"/>
            <rFont val="Tahoma"/>
            <family val="2"/>
          </rPr>
          <t xml:space="preserve">Back calculated using reported non-GAAP EPS as company has not provided the tax impact on non-GAAP adj. </t>
        </r>
      </text>
    </comment>
    <comment ref="BJ70" authorId="6">
      <text>
        <r>
          <rPr>
            <sz val="9"/>
            <color indexed="81"/>
            <rFont val="Tahoma"/>
            <family val="2"/>
          </rPr>
          <t xml:space="preserve">Back calculated using reported non-GAAP EPS as company has not provided the tax impact on non-GAAP adj. </t>
        </r>
      </text>
    </comment>
    <comment ref="BK70" authorId="6">
      <text>
        <r>
          <rPr>
            <sz val="9"/>
            <color indexed="81"/>
            <rFont val="Tahoma"/>
            <family val="2"/>
          </rPr>
          <t xml:space="preserve">Back calculated using reported non-GAAP EPS as company has not provided the tax impact on non-GAAP adj. </t>
        </r>
      </text>
    </comment>
    <comment ref="BL70" authorId="6">
      <text>
        <r>
          <rPr>
            <sz val="9"/>
            <color indexed="81"/>
            <rFont val="Tahoma"/>
            <family val="2"/>
          </rPr>
          <t xml:space="preserve">Back calculated using reported non-GAAP EPS as company has not provided the tax impact on non-GAAP adj. </t>
        </r>
      </text>
    </comment>
    <comment ref="BM70" authorId="6">
      <text>
        <r>
          <rPr>
            <sz val="9"/>
            <color indexed="81"/>
            <rFont val="Tahoma"/>
            <family val="2"/>
          </rPr>
          <t xml:space="preserve">Back calculated using reported non-GAAP EPS as company has not provided the tax impact on non-GAAP adj. </t>
        </r>
      </text>
    </comment>
    <comment ref="BO70" authorId="6">
      <text>
        <r>
          <rPr>
            <sz val="9"/>
            <color indexed="81"/>
            <rFont val="Tahoma"/>
            <family val="2"/>
          </rPr>
          <t xml:space="preserve">Back calculated using reported non-GAAP EPS as company has not provided the tax impact on non-GAAP adj. </t>
        </r>
      </text>
    </comment>
    <comment ref="BP70" authorId="6">
      <text>
        <r>
          <rPr>
            <sz val="9"/>
            <color indexed="81"/>
            <rFont val="Tahoma"/>
            <family val="2"/>
          </rPr>
          <t xml:space="preserve">Back calculated using reported non-GAAP EPS as company has not provided the tax impact on non-GAAP adj. </t>
        </r>
      </text>
    </comment>
    <comment ref="BQ70" authorId="6">
      <text>
        <r>
          <rPr>
            <sz val="9"/>
            <color indexed="81"/>
            <rFont val="Tahoma"/>
            <family val="2"/>
          </rPr>
          <t xml:space="preserve">Back calculated using reported non-GAAP EPS as company has not provided the tax impact on non-GAAP adj. </t>
        </r>
      </text>
    </comment>
    <comment ref="BR70" authorId="6">
      <text>
        <r>
          <rPr>
            <sz val="9"/>
            <color indexed="81"/>
            <rFont val="Tahoma"/>
            <family val="2"/>
          </rPr>
          <t xml:space="preserve">Back calculated using reported non-GAAP EPS as company has not provided the tax impact on non-GAAP adj. </t>
        </r>
      </text>
    </comment>
    <comment ref="BT70" authorId="6">
      <text>
        <r>
          <rPr>
            <sz val="9"/>
            <color indexed="81"/>
            <rFont val="Tahoma"/>
            <family val="2"/>
          </rPr>
          <t xml:space="preserve">Back calculated using reported non-GAAP EPS as company has not provided the tax impact on non-GAAP adj. </t>
        </r>
      </text>
    </comment>
    <comment ref="BU70" authorId="6">
      <text>
        <r>
          <rPr>
            <sz val="9"/>
            <color indexed="81"/>
            <rFont val="Tahoma"/>
            <family val="2"/>
          </rPr>
          <t xml:space="preserve">Back calculated using reported non-GAAP EPS as company has not provided the tax impact on non-GAAP adj. </t>
        </r>
      </text>
    </comment>
    <comment ref="BV70" authorId="6">
      <text>
        <r>
          <rPr>
            <sz val="9"/>
            <color indexed="81"/>
            <rFont val="Tahoma"/>
            <family val="2"/>
          </rPr>
          <t xml:space="preserve">Back calculated using reported non-GAAP EPS as company has not provided the tax impact on non-GAAP adj. </t>
        </r>
      </text>
    </comment>
    <comment ref="BW70" authorId="6">
      <text>
        <r>
          <rPr>
            <sz val="9"/>
            <color indexed="81"/>
            <rFont val="Tahoma"/>
            <family val="2"/>
          </rPr>
          <t xml:space="preserve">Back calculated using reported non-GAAP EPS as company has not provided the tax impact on non-GAAP adj. </t>
        </r>
      </text>
    </comment>
    <comment ref="BY70" authorId="6">
      <text>
        <r>
          <rPr>
            <sz val="9"/>
            <color indexed="81"/>
            <rFont val="Tahoma"/>
            <family val="2"/>
          </rPr>
          <t xml:space="preserve">Back calculated using reported non-GAAP EPS as company has not provided the tax impact on non-GAAP adj. </t>
        </r>
      </text>
    </comment>
    <comment ref="BZ70" authorId="6">
      <text>
        <r>
          <rPr>
            <sz val="9"/>
            <color indexed="81"/>
            <rFont val="Tahoma"/>
            <family val="2"/>
          </rPr>
          <t xml:space="preserve">Back calculated using reported non-GAAP EPS as company has not provided the tax impact on non-GAAP adj. </t>
        </r>
      </text>
    </comment>
    <comment ref="CA70" authorId="6">
      <text>
        <r>
          <rPr>
            <sz val="9"/>
            <color indexed="81"/>
            <rFont val="Tahoma"/>
            <family val="2"/>
          </rPr>
          <t xml:space="preserve">Back calculated using reported non-GAAP EPS as company has not provided the tax impact on non-GAAP adj. </t>
        </r>
      </text>
    </comment>
    <comment ref="CB70" authorId="6">
      <text>
        <r>
          <rPr>
            <sz val="9"/>
            <color indexed="81"/>
            <rFont val="Tahoma"/>
            <family val="2"/>
          </rPr>
          <t xml:space="preserve">Back calculated using reported non-GAAP EPS as company has not provided the tax impact on non-GAAP adj. </t>
        </r>
      </text>
    </comment>
    <comment ref="CD70" authorId="6">
      <text>
        <r>
          <rPr>
            <sz val="9"/>
            <color indexed="81"/>
            <rFont val="Tahoma"/>
            <family val="2"/>
          </rPr>
          <t xml:space="preserve">Back calculated using reported non-GAAP EPS as company has not provided the tax impact on non-GAAP adj. </t>
        </r>
      </text>
    </comment>
    <comment ref="CE70" authorId="6">
      <text>
        <r>
          <rPr>
            <sz val="9"/>
            <color indexed="81"/>
            <rFont val="Tahoma"/>
            <family val="2"/>
          </rPr>
          <t xml:space="preserve">Back calculated using reported non-GAAP EPS as company has not provided the tax impact on non-GAAP adj. </t>
        </r>
      </text>
    </comment>
    <comment ref="CF70" authorId="6">
      <text>
        <r>
          <rPr>
            <sz val="9"/>
            <color indexed="81"/>
            <rFont val="Tahoma"/>
            <family val="2"/>
          </rPr>
          <t xml:space="preserve">Back calculated using reported non-GAAP EPS as company has not provided the tax impact on non-GAAP adj. </t>
        </r>
      </text>
    </comment>
    <comment ref="CG70" authorId="6">
      <text>
        <r>
          <rPr>
            <sz val="9"/>
            <color indexed="81"/>
            <rFont val="Tahoma"/>
            <family val="2"/>
          </rPr>
          <t xml:space="preserve">Back calculated using reported non-GAAP EPS as company has not provided the tax impact on non-GAAP adj. </t>
        </r>
      </text>
    </comment>
    <comment ref="CI70" authorId="6">
      <text>
        <r>
          <rPr>
            <sz val="9"/>
            <color indexed="81"/>
            <rFont val="Tahoma"/>
            <family val="2"/>
          </rPr>
          <t xml:space="preserve">Back calculated using reported non-GAAP EPS as company has not provided the tax impact on non-GAAP adj. </t>
        </r>
      </text>
    </comment>
    <comment ref="CJ70" authorId="6">
      <text>
        <r>
          <rPr>
            <sz val="9"/>
            <color indexed="81"/>
            <rFont val="Tahoma"/>
            <family val="2"/>
          </rPr>
          <t xml:space="preserve">Back calculated using reported non-GAAP EPS as company has not provided the tax impact on non-GAAP adj. </t>
        </r>
      </text>
    </comment>
    <comment ref="CK70" authorId="6">
      <text>
        <r>
          <rPr>
            <sz val="9"/>
            <color indexed="81"/>
            <rFont val="Tahoma"/>
            <family val="2"/>
          </rPr>
          <t xml:space="preserve">Back calculated using reported non-GAAP EPS as company has not provided the tax impact on non-GAAP adj. </t>
        </r>
      </text>
    </comment>
    <comment ref="CL70" authorId="6">
      <text>
        <r>
          <rPr>
            <sz val="9"/>
            <color indexed="81"/>
            <rFont val="Tahoma"/>
            <family val="2"/>
          </rPr>
          <t xml:space="preserve">Back calculated using reported non-GAAP EPS as company has not provided the tax impact on non-GAAP adj. </t>
        </r>
      </text>
    </comment>
    <comment ref="CV70" authorId="6">
      <text>
        <r>
          <rPr>
            <sz val="9"/>
            <color indexed="81"/>
            <rFont val="Tahoma"/>
            <family val="2"/>
          </rPr>
          <t>8K - 4Q 16</t>
        </r>
      </text>
    </comment>
    <comment ref="DG72" authorId="3">
      <text>
        <r>
          <rPr>
            <b/>
            <sz val="9"/>
            <color indexed="81"/>
            <rFont val="Tahoma"/>
            <family val="2"/>
          </rPr>
          <t>Robb, Thomas (Research):</t>
        </r>
        <r>
          <rPr>
            <sz val="9"/>
            <color indexed="81"/>
            <rFont val="Tahoma"/>
            <family val="2"/>
          </rPr>
          <t xml:space="preserve">
Guidance: 24%</t>
        </r>
      </text>
    </comment>
    <comment ref="DL72" authorId="3">
      <text>
        <r>
          <rPr>
            <b/>
            <sz val="9"/>
            <color indexed="81"/>
            <rFont val="Tahoma"/>
            <family val="2"/>
          </rPr>
          <t>Robb, Thomas (Research):</t>
        </r>
        <r>
          <rPr>
            <sz val="9"/>
            <color indexed="81"/>
            <rFont val="Tahoma"/>
            <family val="2"/>
          </rPr>
          <t xml:space="preserve">
Guidance: 24-26%</t>
        </r>
      </text>
    </comment>
    <comment ref="DA73" authorId="3">
      <text>
        <r>
          <rPr>
            <b/>
            <sz val="9"/>
            <color indexed="81"/>
            <rFont val="Tahoma"/>
            <family val="2"/>
          </rPr>
          <t>Robb, Thomas (Research):</t>
        </r>
        <r>
          <rPr>
            <sz val="9"/>
            <color indexed="81"/>
            <rFont val="Tahoma"/>
            <family val="2"/>
          </rPr>
          <t xml:space="preserve">
Guidance: ~26%</t>
        </r>
      </text>
    </comment>
    <comment ref="DB73" authorId="3">
      <text>
        <r>
          <rPr>
            <b/>
            <sz val="9"/>
            <color indexed="81"/>
            <rFont val="Tahoma"/>
            <family val="2"/>
          </rPr>
          <t>Robb, Thomas (Research):</t>
        </r>
        <r>
          <rPr>
            <sz val="9"/>
            <color indexed="81"/>
            <rFont val="Tahoma"/>
            <family val="2"/>
          </rPr>
          <t xml:space="preserve">
Guidance: 23%</t>
        </r>
      </text>
    </comment>
    <comment ref="A75" authorId="4">
      <text>
        <r>
          <rPr>
            <b/>
            <sz val="8"/>
            <color indexed="81"/>
            <rFont val="Tahoma"/>
            <family val="2"/>
          </rPr>
          <t>kogay:</t>
        </r>
        <r>
          <rPr>
            <sz val="8"/>
            <color indexed="81"/>
            <rFont val="Tahoma"/>
            <family val="2"/>
          </rPr>
          <t xml:space="preserve">
Excludes stock-based compensation in 1Q06-4Q12.
Excludes stock-based compensation and acquisition-related charges in 1Q13 and after.</t>
        </r>
      </text>
    </comment>
    <comment ref="AW75" authorId="4">
      <text>
        <r>
          <rPr>
            <b/>
            <sz val="8"/>
            <color indexed="81"/>
            <rFont val="Tahoma"/>
            <family val="2"/>
          </rPr>
          <t>kogay:</t>
        </r>
        <r>
          <rPr>
            <sz val="8"/>
            <color indexed="81"/>
            <rFont val="Tahoma"/>
            <family val="2"/>
          </rPr>
          <t xml:space="preserve">
Adjusted tax rate on stock-based compensation to arrive at the $0.23 EPS in the filings</t>
        </r>
      </text>
    </comment>
    <comment ref="BB75" authorId="4">
      <text>
        <r>
          <rPr>
            <b/>
            <sz val="8"/>
            <color indexed="81"/>
            <rFont val="Tahoma"/>
            <family val="2"/>
          </rPr>
          <t>kogay:</t>
        </r>
        <r>
          <rPr>
            <sz val="8"/>
            <color indexed="81"/>
            <rFont val="Tahoma"/>
            <family val="2"/>
          </rPr>
          <t xml:space="preserve">
Adjusted tax rate on stock-based compensation to arrive at the $0.340 EPS in the filings</t>
        </r>
      </text>
    </comment>
    <comment ref="BG75" authorId="4">
      <text>
        <r>
          <rPr>
            <b/>
            <sz val="8"/>
            <color indexed="81"/>
            <rFont val="Tahoma"/>
            <family val="2"/>
          </rPr>
          <t>kogay:</t>
        </r>
        <r>
          <rPr>
            <sz val="8"/>
            <color indexed="81"/>
            <rFont val="Tahoma"/>
            <family val="2"/>
          </rPr>
          <t xml:space="preserve">
Adjusted tax rate on stock-based compensation to arrive at the $0.404 EPS in the filings</t>
        </r>
      </text>
    </comment>
    <comment ref="BJ75" authorId="4">
      <text>
        <r>
          <rPr>
            <b/>
            <sz val="8"/>
            <color indexed="81"/>
            <rFont val="Tahoma"/>
            <family val="2"/>
          </rPr>
          <t>kogay:</t>
        </r>
        <r>
          <rPr>
            <sz val="8"/>
            <color indexed="81"/>
            <rFont val="Tahoma"/>
            <family val="2"/>
          </rPr>
          <t xml:space="preserve">
Adjusted tax rate on stock-based compensation to arrive at the $0.41 EPS in the filings</t>
        </r>
      </text>
    </comment>
    <comment ref="BM75" authorId="4">
      <text>
        <r>
          <rPr>
            <b/>
            <sz val="8"/>
            <color indexed="81"/>
            <rFont val="Tahoma"/>
            <family val="2"/>
          </rPr>
          <t>kogay:</t>
        </r>
        <r>
          <rPr>
            <sz val="8"/>
            <color indexed="81"/>
            <rFont val="Tahoma"/>
            <family val="2"/>
          </rPr>
          <t xml:space="preserve">
Adjusted tax rate on stock-based compensation to arrive at the $0.50 EPS in the filings</t>
        </r>
      </text>
    </comment>
    <comment ref="BP75" authorId="4">
      <text>
        <r>
          <rPr>
            <b/>
            <sz val="8"/>
            <color indexed="81"/>
            <rFont val="Tahoma"/>
            <family val="2"/>
          </rPr>
          <t>kogay:</t>
        </r>
        <r>
          <rPr>
            <sz val="8"/>
            <color indexed="81"/>
            <rFont val="Tahoma"/>
            <family val="2"/>
          </rPr>
          <t xml:space="preserve">
Adjusted tax rate on stock-based compensation to arrive at the $0.59 EPS in the filings</t>
        </r>
      </text>
    </comment>
    <comment ref="BQ75" authorId="4">
      <text>
        <r>
          <rPr>
            <b/>
            <sz val="8"/>
            <color indexed="81"/>
            <rFont val="Tahoma"/>
            <family val="2"/>
          </rPr>
          <t>kogay:</t>
        </r>
        <r>
          <rPr>
            <sz val="8"/>
            <color indexed="81"/>
            <rFont val="Tahoma"/>
            <family val="2"/>
          </rPr>
          <t xml:space="preserve">
Adjusted tax rate on stock-based compensation to arrive at the $0.69 EPS in the filings</t>
        </r>
      </text>
    </comment>
    <comment ref="CN75" authorId="1">
      <text>
        <r>
          <rPr>
            <b/>
            <sz val="9"/>
            <color indexed="81"/>
            <rFont val="Tahoma"/>
            <family val="2"/>
          </rPr>
          <t>Gupta, Gaurav (Research):</t>
        </r>
        <r>
          <rPr>
            <sz val="9"/>
            <color indexed="81"/>
            <rFont val="Tahoma"/>
            <family val="2"/>
          </rPr>
          <t xml:space="preserve">
used higher tax rate to reconcile with reported non GAAP EPS</t>
        </r>
      </text>
    </comment>
    <comment ref="G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76"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G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H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I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J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L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M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N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O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Q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R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S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T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V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W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X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Y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A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B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C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D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F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G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H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I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K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L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M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N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P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Q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R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S80" authorId="4">
      <text>
        <r>
          <rPr>
            <b/>
            <sz val="8"/>
            <color indexed="81"/>
            <rFont val="Tahoma"/>
            <family val="2"/>
          </rPr>
          <t>kogay:</t>
        </r>
        <r>
          <rPr>
            <sz val="8"/>
            <color indexed="81"/>
            <rFont val="Tahoma"/>
            <family val="2"/>
          </rPr>
          <t xml:space="preserve">
Excludes stock-based compensation expense.
Effective January 1, 2006, the company adopted SFAS No. 123R, which required it to record stock compensation expense in its statement of operations. </t>
        </r>
      </text>
    </comment>
    <comment ref="A81" authorId="4">
      <text>
        <r>
          <rPr>
            <b/>
            <sz val="8"/>
            <color indexed="81"/>
            <rFont val="Tahoma"/>
            <family val="2"/>
          </rPr>
          <t>kogay:</t>
        </r>
        <r>
          <rPr>
            <sz val="8"/>
            <color indexed="81"/>
            <rFont val="Tahoma"/>
            <family val="2"/>
          </rPr>
          <t xml:space="preserve">
Excludes stock-based compensation in 1Q06-4Q12.
Excludes stock-based compensation and acquisition-related charges in 1Q13 and after.</t>
        </r>
      </text>
    </comment>
    <comment ref="CQ81" authorId="0">
      <text>
        <r>
          <rPr>
            <b/>
            <sz val="9"/>
            <color indexed="81"/>
            <rFont val="Tahoma"/>
            <family val="2"/>
          </rPr>
          <t>Holman, Ivan P (Research):</t>
        </r>
        <r>
          <rPr>
            <sz val="9"/>
            <color indexed="81"/>
            <rFont val="Tahoma"/>
            <family val="2"/>
          </rPr>
          <t xml:space="preserve">
$0.77</t>
        </r>
      </text>
    </comment>
    <comment ref="DA81" authorId="3">
      <text>
        <r>
          <rPr>
            <b/>
            <sz val="9"/>
            <color indexed="81"/>
            <rFont val="Tahoma"/>
            <family val="2"/>
          </rPr>
          <t>Robb, Thomas (Research):</t>
        </r>
        <r>
          <rPr>
            <sz val="9"/>
            <color indexed="81"/>
            <rFont val="Tahoma"/>
            <family val="2"/>
          </rPr>
          <t xml:space="preserve">
Guidance: at least $0.95</t>
        </r>
      </text>
    </comment>
    <comment ref="DB81" authorId="3">
      <text>
        <r>
          <rPr>
            <b/>
            <sz val="9"/>
            <color indexed="81"/>
            <rFont val="Tahoma"/>
            <family val="2"/>
          </rPr>
          <t>Robb, Thomas (Research):</t>
        </r>
        <r>
          <rPr>
            <sz val="9"/>
            <color indexed="81"/>
            <rFont val="Tahoma"/>
            <family val="2"/>
          </rPr>
          <t xml:space="preserve">
Guidance: at least $3.70</t>
        </r>
      </text>
    </comment>
    <comment ref="DC81" authorId="3">
      <text>
        <r>
          <rPr>
            <b/>
            <sz val="9"/>
            <color indexed="81"/>
            <rFont val="Tahoma"/>
            <family val="2"/>
          </rPr>
          <t>Robb, Thomas (Research):</t>
        </r>
        <r>
          <rPr>
            <sz val="9"/>
            <color indexed="81"/>
            <rFont val="Tahoma"/>
            <family val="2"/>
          </rPr>
          <t xml:space="preserve">
Guidance: at least $1.04</t>
        </r>
      </text>
    </comment>
    <comment ref="DG81" authorId="3">
      <text>
        <r>
          <rPr>
            <b/>
            <sz val="9"/>
            <color indexed="81"/>
            <rFont val="Tahoma"/>
            <family val="2"/>
          </rPr>
          <t>Robb, Thomas (Research):</t>
        </r>
        <r>
          <rPr>
            <sz val="9"/>
            <color indexed="81"/>
            <rFont val="Tahoma"/>
            <family val="2"/>
          </rPr>
          <t xml:space="preserve">
Guidance: at least $4.53</t>
        </r>
      </text>
    </comment>
    <comment ref="G83" authorId="4">
      <text>
        <r>
          <rPr>
            <b/>
            <sz val="8"/>
            <color indexed="81"/>
            <rFont val="Tahoma"/>
            <family val="2"/>
          </rPr>
          <t>kogay:</t>
        </r>
        <r>
          <rPr>
            <sz val="8"/>
            <color indexed="81"/>
            <rFont val="Tahoma"/>
            <family val="2"/>
          </rPr>
          <t xml:space="preserve">
Estimate</t>
        </r>
      </text>
    </comment>
    <comment ref="CZ86" authorId="3">
      <text>
        <r>
          <rPr>
            <b/>
            <sz val="9"/>
            <color indexed="81"/>
            <rFont val="Tahoma"/>
            <family val="2"/>
          </rPr>
          <t>Robb, Thomas (Research):</t>
        </r>
        <r>
          <rPr>
            <sz val="9"/>
            <color indexed="81"/>
            <rFont val="Tahoma"/>
            <family val="2"/>
          </rPr>
          <t xml:space="preserve">
Guidance: 592mm</t>
        </r>
      </text>
    </comment>
    <comment ref="DA86" authorId="3">
      <text>
        <r>
          <rPr>
            <b/>
            <sz val="9"/>
            <color indexed="81"/>
            <rFont val="Tahoma"/>
            <family val="2"/>
          </rPr>
          <t>Robb, Thomas (Research):</t>
        </r>
        <r>
          <rPr>
            <sz val="9"/>
            <color indexed="81"/>
            <rFont val="Tahoma"/>
            <family val="2"/>
          </rPr>
          <t xml:space="preserve">
Guidance: 592mm</t>
        </r>
      </text>
    </comment>
    <comment ref="DB86" authorId="3">
      <text>
        <r>
          <rPr>
            <b/>
            <sz val="9"/>
            <color indexed="81"/>
            <rFont val="Tahoma"/>
            <family val="2"/>
          </rPr>
          <t>Robb, Thomas (Research):</t>
        </r>
        <r>
          <rPr>
            <sz val="9"/>
            <color indexed="81"/>
            <rFont val="Tahoma"/>
            <family val="2"/>
          </rPr>
          <t xml:space="preserve">
Guidance: ~595mm</t>
        </r>
      </text>
    </comment>
    <comment ref="DC86" authorId="3">
      <text>
        <r>
          <rPr>
            <b/>
            <sz val="9"/>
            <color indexed="81"/>
            <rFont val="Tahoma"/>
            <family val="2"/>
          </rPr>
          <t>Robb, Thomas (Research):</t>
        </r>
        <r>
          <rPr>
            <sz val="9"/>
            <color indexed="81"/>
            <rFont val="Tahoma"/>
            <family val="2"/>
          </rPr>
          <t xml:space="preserve">
Guidance: 589mm</t>
        </r>
      </text>
    </comment>
    <comment ref="DG86" authorId="3">
      <text>
        <r>
          <rPr>
            <b/>
            <sz val="9"/>
            <color indexed="81"/>
            <rFont val="Tahoma"/>
            <family val="2"/>
          </rPr>
          <t>Robb, Thomas (Research):</t>
        </r>
        <r>
          <rPr>
            <sz val="9"/>
            <color indexed="81"/>
            <rFont val="Tahoma"/>
            <family val="2"/>
          </rPr>
          <t xml:space="preserve">
Guidance: 585mm</t>
        </r>
      </text>
    </comment>
    <comment ref="C90" authorId="6">
      <text>
        <r>
          <rPr>
            <sz val="9"/>
            <color indexed="81"/>
            <rFont val="Tahoma"/>
            <family val="2"/>
          </rPr>
          <t>Includes: 
Shares Issued under Stock-based Compensation Plans</t>
        </r>
      </text>
    </comment>
    <comment ref="D96" authorId="6">
      <text>
        <r>
          <rPr>
            <sz val="9"/>
            <color indexed="81"/>
            <rFont val="Tahoma"/>
            <family val="2"/>
          </rPr>
          <t>Includes:
Value of Shares Issued under Stock-based Compensation Plans</t>
        </r>
      </text>
    </comment>
    <comment ref="D98" authorId="6">
      <text>
        <r>
          <rPr>
            <sz val="9"/>
            <color indexed="81"/>
            <rFont val="Tahoma"/>
            <family val="2"/>
          </rPr>
          <t>Includes:
Shares Issued under Stock-based Compensation Plans</t>
        </r>
      </text>
    </comment>
    <comment ref="CS101" authorId="0">
      <text>
        <r>
          <rPr>
            <b/>
            <sz val="9"/>
            <color indexed="81"/>
            <rFont val="Tahoma"/>
            <family val="2"/>
          </rPr>
          <t>Holman, Ivan P (Research):</t>
        </r>
        <r>
          <rPr>
            <sz val="9"/>
            <color indexed="81"/>
            <rFont val="Tahoma"/>
            <family val="2"/>
          </rPr>
          <t xml:space="preserve">
 We repurchased 4.3 million shares in the first quarter at a total cost of $244.6 million, reflecting confidence in the strength of our business and our commitment to drive shareholder value." </t>
        </r>
      </text>
    </comment>
    <comment ref="CT101" authorId="7">
      <text>
        <r>
          <rPr>
            <sz val="9"/>
            <color indexed="81"/>
            <rFont val="Tahoma"/>
            <family val="2"/>
          </rPr>
          <t xml:space="preserve">During the six months ended June 30, 2016, we repurchased 5.1 million shares of our Class A common stock for $294.6 million
</t>
        </r>
      </text>
    </comment>
    <comment ref="CU101" authorId="0">
      <text>
        <r>
          <rPr>
            <b/>
            <sz val="9"/>
            <color indexed="81"/>
            <rFont val="Tahoma"/>
            <family val="2"/>
          </rPr>
          <t>Holman, Ivan P (Research):</t>
        </r>
        <r>
          <rPr>
            <sz val="9"/>
            <color indexed="81"/>
            <rFont val="Tahoma"/>
            <family val="2"/>
          </rPr>
          <t xml:space="preserve">
During the three months ended September 30, 2016, we repurchased $144.9 million of our Class A common stock under our stock repurchase program.
These stock repurchases were funded from working capital. As of September 30, 2016, the remaining available balance under the Board of Directors
authorization was $998.4 million.</t>
        </r>
      </text>
    </comment>
    <comment ref="DG101" authorId="3">
      <text>
        <r>
          <rPr>
            <b/>
            <sz val="9"/>
            <color indexed="81"/>
            <rFont val="Tahoma"/>
            <family val="2"/>
          </rPr>
          <t>Robb, Thomas (Research):</t>
        </r>
        <r>
          <rPr>
            <sz val="9"/>
            <color indexed="81"/>
            <rFont val="Tahoma"/>
            <family val="2"/>
          </rPr>
          <t xml:space="preserve">
3Q17: Committed to repurchase $1.2bn by the end 2018</t>
        </r>
      </text>
    </comment>
    <comment ref="CI105" authorId="8">
      <text>
        <r>
          <rPr>
            <b/>
            <sz val="9"/>
            <color indexed="81"/>
            <rFont val="Tahoma"/>
            <family val="2"/>
          </rPr>
          <t>Kogay, Natalia (Research):</t>
        </r>
        <r>
          <rPr>
            <sz val="9"/>
            <color indexed="81"/>
            <rFont val="Tahoma"/>
            <family val="2"/>
          </rPr>
          <t xml:space="preserve">
=TF("CTSH","TF.PR.PriceAverageOverRange(sdate=#1,edate=#2)",,BR8,BS8)</t>
        </r>
      </text>
    </comment>
    <comment ref="CS105" authorId="9">
      <text>
        <r>
          <rPr>
            <sz val="9"/>
            <color indexed="81"/>
            <rFont val="Tahoma"/>
            <family val="2"/>
          </rPr>
          <t>Adjusted closing price as on 30th June 2016</t>
        </r>
      </text>
    </comment>
    <comment ref="CT105" authorId="9">
      <text>
        <r>
          <rPr>
            <sz val="9"/>
            <color indexed="81"/>
            <rFont val="Tahoma"/>
            <family val="2"/>
          </rPr>
          <t>Adjusted closing price as on 30th June 2016</t>
        </r>
      </text>
    </comment>
    <comment ref="CU105" authorId="9">
      <text>
        <r>
          <rPr>
            <sz val="9"/>
            <color indexed="81"/>
            <rFont val="Tahoma"/>
            <family val="2"/>
          </rPr>
          <t>Adjusted closing price as on 30th Sept 2016</t>
        </r>
      </text>
    </comment>
    <comment ref="CV105" authorId="9">
      <text>
        <r>
          <rPr>
            <sz val="9"/>
            <color indexed="81"/>
            <rFont val="Tahoma"/>
            <family val="2"/>
          </rPr>
          <t>Adjusted closing price as on 30th Dec 2016</t>
        </r>
      </text>
    </comment>
    <comment ref="CX105" authorId="9">
      <text>
        <r>
          <rPr>
            <sz val="9"/>
            <color indexed="81"/>
            <rFont val="Tahoma"/>
            <family val="2"/>
          </rPr>
          <t>Adjusted closing price as on 31st March 2017</t>
        </r>
      </text>
    </comment>
    <comment ref="CY105" authorId="9">
      <text>
        <r>
          <rPr>
            <sz val="9"/>
            <color indexed="81"/>
            <rFont val="Tahoma"/>
            <family val="2"/>
          </rPr>
          <t>Adjusted closing price as on 30th June 2017</t>
        </r>
      </text>
    </comment>
    <comment ref="CZ105" authorId="3">
      <text>
        <r>
          <rPr>
            <b/>
            <sz val="9"/>
            <color indexed="81"/>
            <rFont val="Tahoma"/>
            <family val="2"/>
          </rPr>
          <t>Robb, Thomas (Research):</t>
        </r>
        <r>
          <rPr>
            <sz val="9"/>
            <color indexed="81"/>
            <rFont val="Tahoma"/>
            <family val="2"/>
          </rPr>
          <t xml:space="preserve">
3Q17 Average</t>
        </r>
      </text>
    </comment>
    <comment ref="CM112" authorId="10">
      <text>
        <r>
          <rPr>
            <sz val="9"/>
            <color indexed="81"/>
            <rFont val="Tahoma"/>
            <family val="2"/>
          </rPr>
          <t xml:space="preserve">Reported: 
$7,879.785mn
</t>
        </r>
      </text>
    </comment>
    <comment ref="CP147" authorId="0">
      <text>
        <r>
          <rPr>
            <b/>
            <sz val="9"/>
            <color indexed="81"/>
            <rFont val="Tahoma"/>
            <family val="2"/>
          </rPr>
          <t>Holman, Ivan P (Research):</t>
        </r>
        <r>
          <rPr>
            <sz val="9"/>
            <color indexed="81"/>
            <rFont val="Tahoma"/>
            <family val="2"/>
          </rPr>
          <t xml:space="preserve">
10q</t>
        </r>
      </text>
    </comment>
    <comment ref="CS147" authorId="0">
      <text>
        <r>
          <rPr>
            <b/>
            <sz val="9"/>
            <color indexed="81"/>
            <rFont val="Tahoma"/>
            <family val="2"/>
          </rPr>
          <t>Holman, Ivan P (Research):</t>
        </r>
        <r>
          <rPr>
            <sz val="9"/>
            <color indexed="81"/>
            <rFont val="Tahoma"/>
            <family val="2"/>
          </rPr>
          <t xml:space="preserve">
Annualized turnover, including both voluntary and involuntary, was approximately 14.6% for the three
months ended March 31, 2016.</t>
        </r>
      </text>
    </comment>
    <comment ref="CT147" authorId="7">
      <text>
        <r>
          <rPr>
            <sz val="9"/>
            <color indexed="81"/>
            <rFont val="Tahoma"/>
            <family val="2"/>
          </rPr>
          <t xml:space="preserve">Annualized turnover, including both voluntary and involuntary, was approximately 17.1% for the three months ended June 30, 2016
</t>
        </r>
      </text>
    </comment>
    <comment ref="CU147" authorId="0">
      <text>
        <r>
          <rPr>
            <b/>
            <sz val="9"/>
            <color indexed="81"/>
            <rFont val="Tahoma"/>
            <family val="2"/>
          </rPr>
          <t>Holman, Ivan P (Research):</t>
        </r>
        <r>
          <rPr>
            <sz val="9"/>
            <color indexed="81"/>
            <rFont val="Tahoma"/>
            <family val="2"/>
          </rPr>
          <t xml:space="preserve">
Annualized turnover, including both voluntary and involuntary, was approximately 16.6%
for the three months ended September 30, 2016.</t>
        </r>
      </text>
    </comment>
    <comment ref="CV147" authorId="0">
      <text>
        <r>
          <rPr>
            <sz val="9"/>
            <color indexed="81"/>
            <rFont val="Tahoma"/>
            <family val="2"/>
          </rPr>
          <t>Annualized turnover, including both voluntary and involuntary, was approximately 15.6% for the three months ended December 31, 2016</t>
        </r>
      </text>
    </comment>
    <comment ref="CX147" authorId="9">
      <text>
        <r>
          <rPr>
            <sz val="9"/>
            <color indexed="81"/>
            <rFont val="Tahoma"/>
            <family val="2"/>
          </rPr>
          <t xml:space="preserve">Annualized turnover, including both voluntary and involuntary, was approximately 14.7% for the three months ended March 31, 2017
</t>
        </r>
      </text>
    </comment>
    <comment ref="CY147" authorId="3">
      <text>
        <r>
          <rPr>
            <b/>
            <sz val="9"/>
            <color indexed="81"/>
            <rFont val="Tahoma"/>
            <family val="2"/>
          </rPr>
          <t>Robb, Thomas (Research):</t>
        </r>
        <r>
          <rPr>
            <sz val="9"/>
            <color indexed="81"/>
            <rFont val="Tahoma"/>
            <family val="2"/>
          </rPr>
          <t xml:space="preserve">
Annualized including BPO and trainees</t>
        </r>
      </text>
    </comment>
    <comment ref="CZ147" authorId="3">
      <text>
        <r>
          <rPr>
            <b/>
            <sz val="9"/>
            <color indexed="81"/>
            <rFont val="Tahoma"/>
            <family val="2"/>
          </rPr>
          <t>Robb, Thomas (Research):</t>
        </r>
        <r>
          <rPr>
            <sz val="9"/>
            <color indexed="81"/>
            <rFont val="Tahoma"/>
            <family val="2"/>
          </rPr>
          <t xml:space="preserve">
Annualized including BPO and trainees</t>
        </r>
      </text>
    </comment>
    <comment ref="CT149" authorId="0">
      <text>
        <r>
          <rPr>
            <b/>
            <sz val="9"/>
            <color indexed="81"/>
            <rFont val="Tahoma"/>
            <family val="2"/>
          </rPr>
          <t>Holman, Ivan P (Research):</t>
        </r>
        <r>
          <rPr>
            <sz val="9"/>
            <color indexed="81"/>
            <rFont val="Tahoma"/>
            <family val="2"/>
          </rPr>
          <t xml:space="preserve">
•Net headcount addition for the quarter was approximately 11,300.</t>
        </r>
      </text>
    </comment>
    <comment ref="CU149" authorId="0">
      <text>
        <r>
          <rPr>
            <b/>
            <sz val="9"/>
            <color indexed="81"/>
            <rFont val="Tahoma"/>
            <family val="2"/>
          </rPr>
          <t>Holman, Ivan P (Research):</t>
        </r>
        <r>
          <rPr>
            <sz val="9"/>
            <color indexed="81"/>
            <rFont val="Tahoma"/>
            <family val="2"/>
          </rPr>
          <t xml:space="preserve">
Total headcount at the end of the quarter was 255,800 employees globally, of which 239,500 were service delivery staff. Offshore utilization was
73%, excluding recent college graduates was 79%, and on site utilization was 90% during the quarter.</t>
        </r>
      </text>
    </comment>
    <comment ref="CS150" authorId="9">
      <text>
        <r>
          <rPr>
            <sz val="9"/>
            <color indexed="81"/>
            <rFont val="Tahoma"/>
            <family val="2"/>
          </rPr>
          <t>Source: Transcript 1Q16</t>
        </r>
      </text>
    </comment>
    <comment ref="CQ207" authorId="11">
      <text>
        <r>
          <rPr>
            <sz val="9"/>
            <color indexed="81"/>
            <rFont val="Tahoma"/>
            <family val="2"/>
          </rPr>
          <t xml:space="preserve">Percentage for 4Q15, not available.
</t>
        </r>
      </text>
    </comment>
    <comment ref="CS207" authorId="9">
      <text>
        <r>
          <rPr>
            <sz val="9"/>
            <color indexed="81"/>
            <rFont val="Tahoma"/>
            <family val="2"/>
          </rPr>
          <t xml:space="preserve">Not available
</t>
        </r>
      </text>
    </comment>
    <comment ref="CT207" authorId="9">
      <text>
        <r>
          <rPr>
            <sz val="9"/>
            <color indexed="81"/>
            <rFont val="Tahoma"/>
            <family val="2"/>
          </rPr>
          <t xml:space="preserve">Not available
</t>
        </r>
      </text>
    </comment>
    <comment ref="CQ208" authorId="11">
      <text>
        <r>
          <rPr>
            <sz val="9"/>
            <color indexed="81"/>
            <rFont val="Tahoma"/>
            <family val="2"/>
          </rPr>
          <t>Percentage for 4Q15, not available.</t>
        </r>
      </text>
    </comment>
    <comment ref="CS208" authorId="9">
      <text>
        <r>
          <rPr>
            <sz val="9"/>
            <color indexed="81"/>
            <rFont val="Tahoma"/>
            <family val="2"/>
          </rPr>
          <t xml:space="preserve">Not available
</t>
        </r>
      </text>
    </comment>
    <comment ref="CT208" authorId="9">
      <text>
        <r>
          <rPr>
            <sz val="9"/>
            <color indexed="81"/>
            <rFont val="Tahoma"/>
            <family val="2"/>
          </rPr>
          <t xml:space="preserve">Not available
</t>
        </r>
      </text>
    </comment>
    <comment ref="CS215" authorId="9">
      <text>
        <r>
          <rPr>
            <sz val="9"/>
            <color indexed="81"/>
            <rFont val="Tahoma"/>
            <family val="2"/>
          </rPr>
          <t>Source: Transcript 1Q16</t>
        </r>
      </text>
    </comment>
  </commentList>
</comments>
</file>

<file path=xl/comments2.xml><?xml version="1.0" encoding="utf-8"?>
<comments xmlns="http://schemas.openxmlformats.org/spreadsheetml/2006/main">
  <authors>
    <author>Holman, Ivan P (Research)</author>
    <author>Robb, Thomas (Research)</author>
  </authors>
  <commentList>
    <comment ref="CQ16" authorId="0">
      <text>
        <r>
          <rPr>
            <b/>
            <sz val="9"/>
            <color indexed="81"/>
            <rFont val="Tahoma"/>
            <family val="2"/>
          </rPr>
          <t>Holman, Ivan P (Research):</t>
        </r>
        <r>
          <rPr>
            <sz val="9"/>
            <color indexed="81"/>
            <rFont val="Tahoma"/>
            <family val="2"/>
          </rPr>
          <t xml:space="preserve">
pLUG</t>
        </r>
      </text>
    </comment>
    <comment ref="DA54" authorId="1">
      <text>
        <r>
          <rPr>
            <b/>
            <sz val="9"/>
            <color indexed="81"/>
            <rFont val="Tahoma"/>
            <family val="2"/>
          </rPr>
          <t>Robb, Thomas (Research):</t>
        </r>
        <r>
          <rPr>
            <sz val="9"/>
            <color indexed="81"/>
            <rFont val="Tahoma"/>
            <family val="2"/>
          </rPr>
          <t xml:space="preserve">
Includes $584mm long-term tax payable</t>
        </r>
      </text>
    </comment>
    <comment ref="DG54" authorId="1">
      <text>
        <r>
          <rPr>
            <b/>
            <sz val="9"/>
            <color indexed="81"/>
            <rFont val="Tahoma"/>
            <family val="2"/>
          </rPr>
          <t>Robb, Thomas (Research):</t>
        </r>
        <r>
          <rPr>
            <sz val="9"/>
            <color indexed="81"/>
            <rFont val="Tahoma"/>
            <family val="2"/>
          </rPr>
          <t xml:space="preserve">
Assumes tax liability declines at ~$50mm/year (8% of $635mm)
On December 22, 2017 the U.S. Tax Cuts and Jobs Act, or Tax Reform Act, was signed into law. In connection with the enactment of the Tax Reform Act, we recorded a one-time provisional net income tax expense of $617 million comprised of: (i) the one-time transitional tax expense on accumulated undistributed earnings of foreign subsidiaries of $635 million, (ii) foreign and U.S. state income tax expense that will be applicable upon repatriation of the accumulated undistributed earnings of our foreign subsidiaries, other than our Indian subsidiaries, of $53 million, partially offset by (iii) an income tax benefit of $71 million resulting from the revaluation of U.S. net deferred income tax liabilities to the new lower U.S. income tax rate. The one-time incremental income tax expense reflects certain assumptions based upon our interpretation of the Tax Reform Act as of January 18, 2018 and may change, possibly materially, as we receive additional clarification and guidance and as the interpretation of the Tax Reform Act evolves over time. Any additional changes would be reflected as a non-GAAP adjustment in the period in which they are recorded. However, such amounts cannot be provided on a forward looking basis without unreasonable effort.
</t>
        </r>
      </text>
    </comment>
    <comment ref="DL54" authorId="1">
      <text>
        <r>
          <rPr>
            <b/>
            <sz val="9"/>
            <color indexed="81"/>
            <rFont val="Tahoma"/>
            <family val="2"/>
          </rPr>
          <t>Robb, Thomas (Research):</t>
        </r>
        <r>
          <rPr>
            <sz val="9"/>
            <color indexed="81"/>
            <rFont val="Tahoma"/>
            <family val="2"/>
          </rPr>
          <t xml:space="preserve">
Assumes tax liability declines at ~$50mm/year (8% of $635mm)
On December 22, 2017 the U.S. Tax Cuts and Jobs Act, or Tax Reform Act, was signed into law. In connection with the enactment of the Tax Reform Act, we recorded a one-time provisional net income tax expense of $617 million comprised of: (i) the one-time transitional tax expense on accumulated undistributed earnings of foreign subsidiaries of $635 million, (ii) foreign and U.S. state income tax expense that will be applicable upon repatriation of the accumulated undistributed earnings of our foreign subsidiaries, other than our Indian subsidiaries, of $53 million, partially offset by (iii) an income tax benefit of $71 million resulting from the revaluation of U.S. net deferred income tax liabilities to the new lower U.S. income tax rate. The one-time incremental income tax expense reflects certain assumptions based upon our interpretation of the Tax Reform Act as of January 18, 2018 and may change, possibly materially, as we receive additional clarification and guidance and as the interpretation of the Tax Reform Act evolves over time. Any additional changes would be reflected as a non-GAAP adjustment in the period in which they are recorded. However, such amounts cannot be provided on a forward looking basis without unreasonable effort.
</t>
        </r>
      </text>
    </comment>
    <comment ref="DQ54" authorId="1">
      <text>
        <r>
          <rPr>
            <b/>
            <sz val="9"/>
            <color indexed="81"/>
            <rFont val="Tahoma"/>
            <family val="2"/>
          </rPr>
          <t>Robb, Thomas (Research):</t>
        </r>
        <r>
          <rPr>
            <sz val="9"/>
            <color indexed="81"/>
            <rFont val="Tahoma"/>
            <family val="2"/>
          </rPr>
          <t xml:space="preserve">
Assumes tax liability declines at ~$50mm/year (8% of $635mm)
On December 22, 2017 the U.S. Tax Cuts and Jobs Act, or Tax Reform Act, was signed into law. In connection with the enactment of the Tax Reform Act, we recorded a one-time provisional net income tax expense of $617 million comprised of: (i) the one-time transitional tax expense on accumulated undistributed earnings of foreign subsidiaries of $635 million, (ii) foreign and U.S. state income tax expense that will be applicable upon repatriation of the accumulated undistributed earnings of our foreign subsidiaries, other than our Indian subsidiaries, of $53 million, partially offset by (iii) an income tax benefit of $71 million resulting from the revaluation of U.S. net deferred income tax liabilities to the new lower U.S. income tax rate. The one-time incremental income tax expense reflects certain assumptions based upon our interpretation of the Tax Reform Act as of January 18, 2018 and may change, possibly materially, as we receive additional clarification and guidance and as the interpretation of the Tax Reform Act evolves over time. Any additional changes would be reflected as a non-GAAP adjustment in the period in which they are recorded. However, such amounts cannot be provided on a forward looking basis without unreasonable effort.
</t>
        </r>
      </text>
    </comment>
  </commentList>
</comments>
</file>

<file path=xl/comments3.xml><?xml version="1.0" encoding="utf-8"?>
<comments xmlns="http://schemas.openxmlformats.org/spreadsheetml/2006/main">
  <authors>
    <author>Holman, Ivan P (Research)</author>
    <author>shahviv</author>
    <author>Magajwala, Vatsal (Research)</author>
    <author>Varma, Abhiroop (Research)</author>
  </authors>
  <commentList>
    <comment ref="CX40" authorId="0">
      <text>
        <r>
          <rPr>
            <b/>
            <sz val="9"/>
            <color indexed="81"/>
            <rFont val="Tahoma"/>
            <family val="2"/>
          </rPr>
          <t>Holman, Ivan P (Research):</t>
        </r>
        <r>
          <rPr>
            <sz val="9"/>
            <color indexed="81"/>
            <rFont val="Tahoma"/>
            <family val="2"/>
          </rPr>
          <t xml:space="preserve">
As part of this plan, the Company expects to commence a $1.5 billion accelerated share repurchase program (ASR) in the first quarter of 2017, initiate a regular quarterly cash dividend of $0.15 per share commencing in the second quarter of 2017, </t>
        </r>
      </text>
    </comment>
    <comment ref="CP58" authorId="0">
      <text>
        <r>
          <rPr>
            <b/>
            <sz val="9"/>
            <color indexed="81"/>
            <rFont val="Tahoma"/>
            <family val="2"/>
          </rPr>
          <t>Holman, Ivan P (Research):</t>
        </r>
        <r>
          <rPr>
            <sz val="9"/>
            <color indexed="81"/>
            <rFont val="Tahoma"/>
            <family val="2"/>
          </rPr>
          <t xml:space="preserve">
Linked to IS</t>
        </r>
      </text>
    </comment>
    <comment ref="AU61" authorId="1">
      <text>
        <r>
          <rPr>
            <sz val="8"/>
            <color indexed="81"/>
            <rFont val="Tahoma"/>
            <family val="2"/>
          </rPr>
          <t xml:space="preserve">Includes deferred income taxes and tax benefit related to stock option exercises
</t>
        </r>
      </text>
    </comment>
    <comment ref="CP61" authorId="0">
      <text>
        <r>
          <rPr>
            <b/>
            <sz val="9"/>
            <color indexed="81"/>
            <rFont val="Tahoma"/>
            <family val="2"/>
          </rPr>
          <t>Holman, Ivan P (Research):</t>
        </r>
        <r>
          <rPr>
            <sz val="9"/>
            <color indexed="81"/>
            <rFont val="Tahoma"/>
            <family val="2"/>
          </rPr>
          <t xml:space="preserve">
Linked to change in BS afj for 6 month cum figure</t>
        </r>
      </text>
    </comment>
    <comment ref="CP62" authorId="0">
      <text>
        <r>
          <rPr>
            <b/>
            <sz val="9"/>
            <color indexed="81"/>
            <rFont val="Tahoma"/>
            <family val="2"/>
          </rPr>
          <t>Holman, Ivan P (Research):</t>
        </r>
        <r>
          <rPr>
            <sz val="9"/>
            <color indexed="81"/>
            <rFont val="Tahoma"/>
            <family val="2"/>
          </rPr>
          <t xml:space="preserve">
Linked to IS</t>
        </r>
      </text>
    </comment>
    <comment ref="Y64" authorId="1">
      <text>
        <r>
          <rPr>
            <sz val="8"/>
            <color indexed="81"/>
            <rFont val="Tahoma"/>
            <family val="2"/>
          </rPr>
          <t xml:space="preserve">Impairment loss on investment
</t>
        </r>
      </text>
    </comment>
    <comment ref="AD64" authorId="1">
      <text>
        <r>
          <rPr>
            <sz val="8"/>
            <color indexed="81"/>
            <rFont val="Tahoma"/>
            <family val="2"/>
          </rPr>
          <t xml:space="preserve">Split off costs
</t>
        </r>
      </text>
    </comment>
    <comment ref="AF64" authorId="1">
      <text>
        <r>
          <rPr>
            <sz val="8"/>
            <color indexed="81"/>
            <rFont val="Tahoma"/>
            <family val="2"/>
          </rPr>
          <t xml:space="preserve">Split off costs
</t>
        </r>
      </text>
    </comment>
    <comment ref="AG64" authorId="1">
      <text>
        <r>
          <rPr>
            <sz val="8"/>
            <color indexed="81"/>
            <rFont val="Tahoma"/>
            <family val="2"/>
          </rPr>
          <t xml:space="preserve">Split off costs
</t>
        </r>
      </text>
    </comment>
    <comment ref="AH64" authorId="1">
      <text>
        <r>
          <rPr>
            <sz val="8"/>
            <color indexed="81"/>
            <rFont val="Tahoma"/>
            <family val="2"/>
          </rPr>
          <t xml:space="preserve">Split off costs
</t>
        </r>
      </text>
    </comment>
    <comment ref="AI64" authorId="1">
      <text>
        <r>
          <rPr>
            <sz val="8"/>
            <color indexed="81"/>
            <rFont val="Tahoma"/>
            <family val="2"/>
          </rPr>
          <t xml:space="preserve">Split off costs
</t>
        </r>
      </text>
    </comment>
    <comment ref="CY88" authorId="2">
      <text>
        <r>
          <rPr>
            <sz val="9"/>
            <color indexed="81"/>
            <rFont val="Tahoma"/>
            <family val="2"/>
          </rPr>
          <t>Dividends paid</t>
        </r>
        <r>
          <rPr>
            <sz val="9"/>
            <color indexed="81"/>
            <rFont val="Tahoma"/>
            <family val="2"/>
          </rPr>
          <t xml:space="preserve">
</t>
        </r>
      </text>
    </comment>
    <comment ref="AK94" authorId="1">
      <text>
        <r>
          <rPr>
            <b/>
            <sz val="8"/>
            <color indexed="81"/>
            <rFont val="Tahoma"/>
            <family val="2"/>
          </rPr>
          <t xml:space="preserve">kogay:
</t>
        </r>
        <r>
          <rPr>
            <sz val="8"/>
            <color indexed="81"/>
            <rFont val="Tahoma"/>
            <family val="2"/>
          </rPr>
          <t>Investing cash flow for 1Q:
As per 1Q05 10-Q: ($64.110) mn
As per 1Q04 10-Q: ($41.060) mn
Difference adjusted as restatement</t>
        </r>
      </text>
    </comment>
    <comment ref="AL94" authorId="1">
      <text>
        <r>
          <rPr>
            <b/>
            <sz val="8"/>
            <color indexed="81"/>
            <rFont val="Tahoma"/>
            <family val="2"/>
          </rPr>
          <t xml:space="preserve">kogay:
</t>
        </r>
        <r>
          <rPr>
            <sz val="8"/>
            <color indexed="81"/>
            <rFont val="Tahoma"/>
            <family val="2"/>
          </rPr>
          <t>Investing cash flow for 2Q (Cumulative):
As per 2Q05 10-Q: ($68.861) mn
As per 2Q04 10-Q: ($44.686) mn
Difference adjusted as restatement</t>
        </r>
      </text>
    </comment>
    <comment ref="AM94" authorId="1">
      <text>
        <r>
          <rPr>
            <b/>
            <sz val="8"/>
            <color indexed="81"/>
            <rFont val="Tahoma"/>
            <family val="2"/>
          </rPr>
          <t xml:space="preserve">kogay:
</t>
        </r>
        <r>
          <rPr>
            <sz val="8"/>
            <color indexed="81"/>
            <rFont val="Tahoma"/>
            <family val="2"/>
          </rPr>
          <t>Investing cash flow for 3Q (Cumulative):
As per 3Q05 10-Q: ($67.979) mn
As per 3Q04 10-Q: ($43.604) mn
Difference adjusted as restatement</t>
        </r>
      </text>
    </comment>
    <comment ref="AN94" authorId="1">
      <text>
        <r>
          <rPr>
            <b/>
            <sz val="8"/>
            <color indexed="81"/>
            <rFont val="Tahoma"/>
            <family val="2"/>
          </rPr>
          <t xml:space="preserve">kogay:
</t>
        </r>
        <r>
          <rPr>
            <sz val="8"/>
            <color indexed="81"/>
            <rFont val="Tahoma"/>
            <family val="2"/>
          </rPr>
          <t>Investing cash flow for 4Q (Cumulative):
As per 10-K 2005: ($112.694) mn
As per 10-K 2004: ($68.394) mn
Difference adjusted as restatement</t>
        </r>
      </text>
    </comment>
    <comment ref="AP94" authorId="1">
      <text>
        <r>
          <rPr>
            <b/>
            <sz val="8"/>
            <color indexed="81"/>
            <rFont val="Tahoma"/>
            <family val="2"/>
          </rPr>
          <t xml:space="preserve">kogay:
</t>
        </r>
        <r>
          <rPr>
            <sz val="8"/>
            <color indexed="81"/>
            <rFont val="Tahoma"/>
            <family val="2"/>
          </rPr>
          <t xml:space="preserve">Closing balance of FY04 as per:
10-K 2004: $293.446 mn
10-K 2005: $199.296 mn
</t>
        </r>
      </text>
    </comment>
    <comment ref="AQ94" authorId="1">
      <text>
        <r>
          <rPr>
            <b/>
            <sz val="8"/>
            <color indexed="81"/>
            <rFont val="Tahoma"/>
            <family val="2"/>
          </rPr>
          <t xml:space="preserve">kogay:
</t>
        </r>
        <r>
          <rPr>
            <sz val="8"/>
            <color indexed="81"/>
            <rFont val="Tahoma"/>
            <family val="2"/>
          </rPr>
          <t xml:space="preserve">Closing balance of FY04 as per:
10-K 2004: $293.446 mn
10-K 2005: $199.296 mn
</t>
        </r>
      </text>
    </comment>
    <comment ref="AR94" authorId="1">
      <text>
        <r>
          <rPr>
            <b/>
            <sz val="8"/>
            <color indexed="81"/>
            <rFont val="Tahoma"/>
            <family val="2"/>
          </rPr>
          <t xml:space="preserve">kogay:
</t>
        </r>
        <r>
          <rPr>
            <sz val="8"/>
            <color indexed="81"/>
            <rFont val="Tahoma"/>
            <family val="2"/>
          </rPr>
          <t xml:space="preserve">Closing balance of FY04 as per:
10-K 2004: $293.446 mn
10-K 2005: $199.296 mn
</t>
        </r>
      </text>
    </comment>
    <comment ref="AS94" authorId="1">
      <text>
        <r>
          <rPr>
            <b/>
            <sz val="8"/>
            <color indexed="81"/>
            <rFont val="Tahoma"/>
            <family val="2"/>
          </rPr>
          <t xml:space="preserve">kogay:
</t>
        </r>
        <r>
          <rPr>
            <sz val="8"/>
            <color indexed="81"/>
            <rFont val="Tahoma"/>
            <family val="2"/>
          </rPr>
          <t xml:space="preserve">Closing balance of FY04 as per:
10-K 2004: $293.446 mn
10-K 2005: $199.296 mn
</t>
        </r>
      </text>
    </comment>
    <comment ref="CV94" authorId="3">
      <text>
        <r>
          <rPr>
            <sz val="9"/>
            <color indexed="81"/>
            <rFont val="Tahoma"/>
            <family val="2"/>
          </rPr>
          <t>Company has disclosed the rounded numbers in Q4FY16 filings, where as reported decimals in previous quarters, hence shown the difference here</t>
        </r>
      </text>
    </comment>
  </commentList>
</comments>
</file>

<file path=xl/sharedStrings.xml><?xml version="1.0" encoding="utf-8"?>
<sst xmlns="http://schemas.openxmlformats.org/spreadsheetml/2006/main" count="928" uniqueCount="727">
  <si>
    <t>Cognizant Technology Solutions Corp</t>
  </si>
  <si>
    <t>Income Statement</t>
  </si>
  <si>
    <t>Fiscal Year</t>
  </si>
  <si>
    <t>($ in millions)</t>
  </si>
  <si>
    <t>Revenues</t>
  </si>
  <si>
    <t>Financial Services</t>
  </si>
  <si>
    <t>Healthcare</t>
  </si>
  <si>
    <t>Other</t>
  </si>
  <si>
    <t>E = Morgan Stanley Research Estimates, A = Actual</t>
  </si>
  <si>
    <t>Total Revenues</t>
  </si>
  <si>
    <t>Operating Expenses</t>
  </si>
  <si>
    <t>Depreciation and Amortization</t>
  </si>
  <si>
    <t xml:space="preserve">Stock-based Compensation </t>
  </si>
  <si>
    <t>Other, Net</t>
  </si>
  <si>
    <t>GAAP Net Income</t>
  </si>
  <si>
    <t>Period Ending Outstanding Shares</t>
  </si>
  <si>
    <t>Average Shares (Basic)</t>
  </si>
  <si>
    <t>Average Shares (Diluted)</t>
  </si>
  <si>
    <t>Effective Tax Rate</t>
  </si>
  <si>
    <t>Statutory Tax Rate</t>
  </si>
  <si>
    <t>Check</t>
  </si>
  <si>
    <t>Share Count Calculations</t>
  </si>
  <si>
    <t>Share Repurchases</t>
  </si>
  <si>
    <t>Share Issuances</t>
  </si>
  <si>
    <t>Beginning Basic Shares Outstanding</t>
  </si>
  <si>
    <t>Ending Basic Shares Outstanding</t>
  </si>
  <si>
    <t>Shares Issued</t>
  </si>
  <si>
    <t>Shares Repurchased</t>
  </si>
  <si>
    <t>North America</t>
  </si>
  <si>
    <t>Europe</t>
  </si>
  <si>
    <t>Asia Pacific, Middle East and Latin America</t>
  </si>
  <si>
    <t>United Kingdom</t>
  </si>
  <si>
    <t>Europe ex-United Kingdom</t>
  </si>
  <si>
    <t>Revenue by Geography</t>
  </si>
  <si>
    <t>Balance Sheet</t>
  </si>
  <si>
    <t>Cash Flow Statement</t>
  </si>
  <si>
    <t>Current Assets</t>
  </si>
  <si>
    <t>Cash and Cash Equivalents</t>
  </si>
  <si>
    <t>Short-term Investments</t>
  </si>
  <si>
    <t>Trade Accounts Receivable, Net</t>
  </si>
  <si>
    <t>Unbilled Accounts Receivable</t>
  </si>
  <si>
    <t>Deferred Income Tax Assets, Net</t>
  </si>
  <si>
    <t>Other Current Assets</t>
  </si>
  <si>
    <t>Total Current Assets</t>
  </si>
  <si>
    <t xml:space="preserve">Property and Equipment, Net </t>
  </si>
  <si>
    <t>Property and Equipment, Gross</t>
  </si>
  <si>
    <t>Buildings</t>
  </si>
  <si>
    <t>Computer Equipment and Purchased Software</t>
  </si>
  <si>
    <t>Furniture and Equipment</t>
  </si>
  <si>
    <t>Land</t>
  </si>
  <si>
    <t>Leasehold Land</t>
  </si>
  <si>
    <t>Capital Work-in-Progress</t>
  </si>
  <si>
    <t>Leasehold Improvements</t>
  </si>
  <si>
    <t>Goodwill</t>
  </si>
  <si>
    <t>Intangible Assets, Net</t>
  </si>
  <si>
    <t>Total Assets</t>
  </si>
  <si>
    <t>Current Liabilities</t>
  </si>
  <si>
    <t>Accounts Payable</t>
  </si>
  <si>
    <t>Deferred Revenue</t>
  </si>
  <si>
    <t>Accrued Expenses and Other Current Liabilities</t>
  </si>
  <si>
    <t>Total Current Liabilities</t>
  </si>
  <si>
    <t>Deferred Income Tax Liabilities, Net</t>
  </si>
  <si>
    <t>Total Liabilities</t>
  </si>
  <si>
    <t>Stockholders' Equity</t>
  </si>
  <si>
    <t>Preferred Stock</t>
  </si>
  <si>
    <t>Common Stock</t>
  </si>
  <si>
    <t>Additional Paid-in Capital</t>
  </si>
  <si>
    <t>Retained Earnings</t>
  </si>
  <si>
    <t>Accumulated Other Comprehensive Income</t>
  </si>
  <si>
    <t>Total Stockholders' Equity</t>
  </si>
  <si>
    <t>Total Liabilities and Stockholders' Equity</t>
  </si>
  <si>
    <t>Long-term Investments</t>
  </si>
  <si>
    <t>USD</t>
  </si>
  <si>
    <t>CTSH.O</t>
  </si>
  <si>
    <t>Cumulative Cash Flow Statement</t>
  </si>
  <si>
    <t>Cash Flows from Operating Activities</t>
  </si>
  <si>
    <t>Net income</t>
  </si>
  <si>
    <t>Provision for Doubtful Accounts</t>
  </si>
  <si>
    <t>Deferred Income Taxes</t>
  </si>
  <si>
    <t>Stock-based Compensation Expense</t>
  </si>
  <si>
    <t>Excess Tax Benefits on Stock-based Compensation Plans</t>
  </si>
  <si>
    <t>Changes in Assets and Liabilities</t>
  </si>
  <si>
    <t>Trade Accounts Receivable</t>
  </si>
  <si>
    <t>Other Assets</t>
  </si>
  <si>
    <t>Noncumulative Cash Flow Statement</t>
  </si>
  <si>
    <t>Noncurrent Assets</t>
  </si>
  <si>
    <t>Total Noncurrent Assets</t>
  </si>
  <si>
    <t>Noncurrent Liabilities</t>
  </si>
  <si>
    <t>Total Noncurrent Liabilities</t>
  </si>
  <si>
    <t>Other Current and Noncurrent Liabilities</t>
  </si>
  <si>
    <t>Net Cash Provided by Operating Activities</t>
  </si>
  <si>
    <t>Cash Flows from Investing Activities</t>
  </si>
  <si>
    <t>Purchases of Property and Equipment</t>
  </si>
  <si>
    <t>Purchases of Investments</t>
  </si>
  <si>
    <t>Proceeds from Maturity or Sale of Investments</t>
  </si>
  <si>
    <t>Net Cash Used in Investing Activities</t>
  </si>
  <si>
    <t>Cash Flows from Financing Activities</t>
  </si>
  <si>
    <t>Issuance of Common Stock under Stock-based Compensation Plans</t>
  </si>
  <si>
    <t>Repurchases of Common Stock</t>
  </si>
  <si>
    <t>Net Cash Used in Financing Activities</t>
  </si>
  <si>
    <t>Effect of Currency Translation on Cash and Cash Equivalents</t>
  </si>
  <si>
    <t>Increase (Decrease) in Cash and Cash Equivalents</t>
  </si>
  <si>
    <t>Cash and Cash Equivalents, Beginning of Year</t>
  </si>
  <si>
    <t>Cash and Cash Equivalents, End of Period</t>
  </si>
  <si>
    <t>Proceeds from Issued Shares / Contributed Capital</t>
  </si>
  <si>
    <t>Cash and Cash Equivalents, Beginning of Period</t>
  </si>
  <si>
    <t>Shareholders' Equity</t>
  </si>
  <si>
    <t>Beginning Shareholders' Equity</t>
  </si>
  <si>
    <t>Net Income</t>
  </si>
  <si>
    <t>Changes in Accumulated Comprehensive Income</t>
  </si>
  <si>
    <t>Other Changes in Shareholders' Equity</t>
  </si>
  <si>
    <t>Ending Shareholders' Equity</t>
  </si>
  <si>
    <t>Unrecorded Goodwill from Pooling</t>
  </si>
  <si>
    <t>Bull Case</t>
  </si>
  <si>
    <t>Base Case</t>
  </si>
  <si>
    <t>Bear Case</t>
  </si>
  <si>
    <t>Currency</t>
  </si>
  <si>
    <t>Current Stock Price</t>
  </si>
  <si>
    <t>Count</t>
  </si>
  <si>
    <t>CTSH.O,mscalc:targetPrice,,,,USD</t>
  </si>
  <si>
    <t>CTSH.O,mscalc:sedolCodeCalc</t>
  </si>
  <si>
    <t>CTSH.O,mscalc:closePriceCurrencyCalc</t>
  </si>
  <si>
    <t>72</t>
  </si>
  <si>
    <t>2257019</t>
  </si>
  <si>
    <t>Adjustment for Restatements</t>
  </si>
  <si>
    <t>Value of Shares Issued</t>
  </si>
  <si>
    <t>Issue Price</t>
  </si>
  <si>
    <t>Repurchase Price</t>
  </si>
  <si>
    <t>Value of Shares Repurchased</t>
  </si>
  <si>
    <t>Average Closing Share Price</t>
  </si>
  <si>
    <t>NA</t>
  </si>
  <si>
    <t>Dilution Ratio</t>
  </si>
  <si>
    <t>Cost of Equity</t>
  </si>
  <si>
    <t>Changes in Common Stock and Additional Paid-in Capital</t>
  </si>
  <si>
    <t>Fixed Assets</t>
  </si>
  <si>
    <t>Beginning Property and Equipment, Gross</t>
  </si>
  <si>
    <t>Ending Property and Equipment, Gross</t>
  </si>
  <si>
    <t>Asset Retirements and Disposals</t>
  </si>
  <si>
    <t>Proceeds from Sales of Property and Equipment</t>
  </si>
  <si>
    <t>Fixed Asset Mix as % of Gross Property and Equipment</t>
  </si>
  <si>
    <t>Average Property and Equipment, Gross</t>
  </si>
  <si>
    <t>Retirements as % of Beginning Property and Equipment, Gross</t>
  </si>
  <si>
    <t>Depreciation</t>
  </si>
  <si>
    <t>Retirements as % of Beginning Accumulated Depreciation</t>
  </si>
  <si>
    <t>Beginning Accumulated Depreciation</t>
  </si>
  <si>
    <t>Ending Accumulated Depreciation</t>
  </si>
  <si>
    <t>Accumulated Depreciation</t>
  </si>
  <si>
    <t>Implied / Assumed Depreciable Life of Property and Equipment</t>
  </si>
  <si>
    <t>Capital Additions</t>
  </si>
  <si>
    <t>Capex as % of Revenue</t>
  </si>
  <si>
    <t>Remaining Useful Life of Fixed Assets</t>
  </si>
  <si>
    <t>Balance Sheet Drivers</t>
  </si>
  <si>
    <t>Cash Conversion Cycle</t>
  </si>
  <si>
    <t>Days Sales Outstanding</t>
  </si>
  <si>
    <t>Days Payable Outstanding</t>
  </si>
  <si>
    <t>Days Unbilled Accounts Receivable Outstanding</t>
  </si>
  <si>
    <t>Deferred Revenue as % of Total Revenue</t>
  </si>
  <si>
    <t>Accrued Expenses as % of Total Expenses</t>
  </si>
  <si>
    <t>Other Noncurrent Liabilities</t>
  </si>
  <si>
    <t>Other Noncurrent Assets</t>
  </si>
  <si>
    <t>Other Noncurrent Liabilities as % of Total Expenses</t>
  </si>
  <si>
    <t>Intangible Assets</t>
  </si>
  <si>
    <t>Beginning Intangible Assets, Gross</t>
  </si>
  <si>
    <t>Ending Intangible Assets, Gross</t>
  </si>
  <si>
    <t>Intangible Assets, Gross</t>
  </si>
  <si>
    <t>Customer Relationships</t>
  </si>
  <si>
    <t>Developed Technology</t>
  </si>
  <si>
    <t>Accumulated Amortization</t>
  </si>
  <si>
    <t>Acquired Intangibles and Other</t>
  </si>
  <si>
    <t>Amortization and Other</t>
  </si>
  <si>
    <t>Implied / Assumed Depreciable Life of Intangible Assets</t>
  </si>
  <si>
    <t>Intangible Asset Mix as % of Gross Intangible Assets</t>
  </si>
  <si>
    <t>Acquisitions, Net of Cash Acquired, and Other</t>
  </si>
  <si>
    <t>Total</t>
  </si>
  <si>
    <t>Headcount</t>
  </si>
  <si>
    <t>Beginning Headcount</t>
  </si>
  <si>
    <t>Beginning Technical Staff</t>
  </si>
  <si>
    <t>Beginning Support Staff</t>
  </si>
  <si>
    <t>Ending Technical Staff</t>
  </si>
  <si>
    <t>Ending Support Staff</t>
  </si>
  <si>
    <t>Departures</t>
  </si>
  <si>
    <t>Technical Staff Departures</t>
  </si>
  <si>
    <t>Support Staff Departures</t>
  </si>
  <si>
    <t>Attrition Rate</t>
  </si>
  <si>
    <t>Revenue by Geography (%)</t>
  </si>
  <si>
    <t>Ending Technical Staff Y/Y Change</t>
  </si>
  <si>
    <t>Ending Support Staff Y/Y Change</t>
  </si>
  <si>
    <t>New Hires</t>
  </si>
  <si>
    <t>Technical Staff New Hires</t>
  </si>
  <si>
    <t>Support Staff New Hires</t>
  </si>
  <si>
    <t>New Hires as % Headcount</t>
  </si>
  <si>
    <t>Technical Staff New Hires as % of Headcount</t>
  </si>
  <si>
    <t>Support Staff New Hires as % of Headcount</t>
  </si>
  <si>
    <t>Staff Mix</t>
  </si>
  <si>
    <t>Miscellaneous Data</t>
  </si>
  <si>
    <t>Average Billable Staff Headcount</t>
  </si>
  <si>
    <t>Average Hourly Billing Rate</t>
  </si>
  <si>
    <t>Billable Hours</t>
  </si>
  <si>
    <t>Onshore</t>
  </si>
  <si>
    <t>Offshore</t>
  </si>
  <si>
    <t>Onshore Revenue</t>
  </si>
  <si>
    <t>Offshore Revenue</t>
  </si>
  <si>
    <t>Offshore Utilization ex-Trainees</t>
  </si>
  <si>
    <t>Utilization</t>
  </si>
  <si>
    <t>Revenue by Service</t>
  </si>
  <si>
    <t>Application Development</t>
  </si>
  <si>
    <t>Application Management</t>
  </si>
  <si>
    <t>Revenue Concentration</t>
  </si>
  <si>
    <t>Top Five Accounts as % of Revenue</t>
  </si>
  <si>
    <t>Top Ten Accounts as % of Revenue</t>
  </si>
  <si>
    <t>Active Clients</t>
  </si>
  <si>
    <t>Strategic Clients</t>
  </si>
  <si>
    <t>Re-engineering</t>
  </si>
  <si>
    <t>Y2K</t>
  </si>
  <si>
    <t>Revenue by Service (%)</t>
  </si>
  <si>
    <t>Y/Y Growth</t>
  </si>
  <si>
    <t>Y/Y</t>
  </si>
  <si>
    <t>CTSH</t>
  </si>
  <si>
    <t>Balance Sheet Ratios and Analysis</t>
  </si>
  <si>
    <t>Asset Turnover</t>
  </si>
  <si>
    <t>Receivables Turnover</t>
  </si>
  <si>
    <t>Leverage</t>
  </si>
  <si>
    <t>Net Debt/ Equity</t>
  </si>
  <si>
    <t>Net Debt/ Total Capital</t>
  </si>
  <si>
    <t>Debt/ Equity</t>
  </si>
  <si>
    <t>Debt/ Total Capital</t>
  </si>
  <si>
    <t>Capital Structure</t>
  </si>
  <si>
    <t>Total Debt</t>
  </si>
  <si>
    <t>Common Equity</t>
  </si>
  <si>
    <t>Total Capitalization</t>
  </si>
  <si>
    <t>Net Debt</t>
  </si>
  <si>
    <t>Book Value per Share</t>
  </si>
  <si>
    <t>Cash per Share</t>
  </si>
  <si>
    <t>Total Debt per Share</t>
  </si>
  <si>
    <t>Net Debt per Share</t>
  </si>
  <si>
    <t>Liquidity Ratios</t>
  </si>
  <si>
    <t>Current Ratio</t>
  </si>
  <si>
    <t>Quick Ratio</t>
  </si>
  <si>
    <t>Cash Ratio</t>
  </si>
  <si>
    <t>Asset Book Value</t>
  </si>
  <si>
    <t>Tangible</t>
  </si>
  <si>
    <t>Intangible</t>
  </si>
  <si>
    <t>Net Operating Assets</t>
  </si>
  <si>
    <t>Operating Assets</t>
  </si>
  <si>
    <t>Operating Liabilities</t>
  </si>
  <si>
    <t>Value per Share</t>
  </si>
  <si>
    <t>Unbilled Accounts Receivable Turnover</t>
  </si>
  <si>
    <t xml:space="preserve">Net Operating Asset Turnover </t>
  </si>
  <si>
    <t>Total Cash</t>
  </si>
  <si>
    <t>Total Capitalization per Share</t>
  </si>
  <si>
    <t>Free Cash Flow</t>
  </si>
  <si>
    <t>CapEx</t>
  </si>
  <si>
    <t>EBITDA</t>
  </si>
  <si>
    <t>Earnings Before Interest and Tax</t>
  </si>
  <si>
    <t>Cash Flow from Operations</t>
  </si>
  <si>
    <t>Free Cash Flow per Share</t>
  </si>
  <si>
    <t>EBITDA per Share</t>
  </si>
  <si>
    <t>,mscalc:targetPrice,,,,USD</t>
  </si>
  <si>
    <t>,mscalc:sedolCodeCalc</t>
  </si>
  <si>
    <t>,mscalc:closePriceCurrencyCalc</t>
  </si>
  <si>
    <t>CTSH.O,mscalc:targetPrice</t>
  </si>
  <si>
    <t>$N$2</t>
  </si>
  <si>
    <t>Revenue Growth by Geography (%)</t>
  </si>
  <si>
    <t>Reported Income Tax Expense (Benefit)</t>
  </si>
  <si>
    <t>Onshore Revenue as % of Total</t>
  </si>
  <si>
    <t>Offshore Revenue as % of Total</t>
  </si>
  <si>
    <t>Other Income (Expense), Net</t>
  </si>
  <si>
    <t>Revenue from Fixed-Price Contracts</t>
  </si>
  <si>
    <t>Revenue by Growth Service (%)</t>
  </si>
  <si>
    <t>y/y</t>
  </si>
  <si>
    <t>Non-operating FX gains/loss</t>
  </si>
  <si>
    <t>Non GAAP EPS</t>
  </si>
  <si>
    <t>Long Term Debt</t>
  </si>
  <si>
    <t>Opening Balance</t>
  </si>
  <si>
    <t>Additions</t>
  </si>
  <si>
    <t>Closing Balance</t>
  </si>
  <si>
    <t>Interest Expense</t>
  </si>
  <si>
    <t>Interest Rate</t>
  </si>
  <si>
    <t>No. of Days</t>
  </si>
  <si>
    <t>Net Proceeds from Debt Issue</t>
  </si>
  <si>
    <t>Short Term Debt</t>
  </si>
  <si>
    <t>Debt (net)</t>
  </si>
  <si>
    <t>Scenario Analysis</t>
  </si>
  <si>
    <t>($ in millions, except EPS)</t>
  </si>
  <si>
    <t>Base</t>
  </si>
  <si>
    <t>Bear</t>
  </si>
  <si>
    <t xml:space="preserve">Bull </t>
  </si>
  <si>
    <t>%age of Segment Revenue</t>
  </si>
  <si>
    <t>Taxes</t>
  </si>
  <si>
    <t>Tax Rate</t>
  </si>
  <si>
    <t>Fully Diluted Shares Outstanding</t>
  </si>
  <si>
    <t>2017e</t>
  </si>
  <si>
    <t>Non GAAP EBIT</t>
  </si>
  <si>
    <t>Other Income/Expenses</t>
  </si>
  <si>
    <t>No GAAP Pre-Tax Income</t>
  </si>
  <si>
    <t>P/E Multiple</t>
  </si>
  <si>
    <t>Consulting</t>
  </si>
  <si>
    <t>Outsourcing:</t>
  </si>
  <si>
    <t>Application Mgmt</t>
  </si>
  <si>
    <t>Infrastructure Mgmt</t>
  </si>
  <si>
    <t>Horizon 3</t>
  </si>
  <si>
    <t>Ending Headcount</t>
  </si>
  <si>
    <t>Horizon 2 (consulting)</t>
  </si>
  <si>
    <t>BPO (Horizon 2)</t>
  </si>
  <si>
    <t>Horizon 1 (app dev, SI, Testing)</t>
  </si>
  <si>
    <t>y/y growth</t>
  </si>
  <si>
    <t>1Q16</t>
  </si>
  <si>
    <t>2Q16</t>
  </si>
  <si>
    <t>Revenue per Employee</t>
  </si>
  <si>
    <t>Operating Cost per Employee</t>
  </si>
  <si>
    <t>United States</t>
  </si>
  <si>
    <t>1Q17</t>
  </si>
  <si>
    <t>Dividend per share</t>
  </si>
  <si>
    <t>Other/Dividend</t>
  </si>
  <si>
    <t>Total Capital Return, % of FCF</t>
  </si>
  <si>
    <t>Repayments, Net</t>
  </si>
  <si>
    <t>2018e</t>
  </si>
  <si>
    <t>Non-GAAP Pretax Income</t>
  </si>
  <si>
    <t>Tax Impact of Non-GAAP Adjustments</t>
  </si>
  <si>
    <t>Cost of Revenues GAAP</t>
  </si>
  <si>
    <t>Stock Based Comp</t>
  </si>
  <si>
    <t>Cost of Revenues Non-GAAP</t>
  </si>
  <si>
    <t>Gross Profit Non GAAP</t>
  </si>
  <si>
    <t>Gross Profit GAAP</t>
  </si>
  <si>
    <t>Selling, General and Administrative Non-GAAP</t>
  </si>
  <si>
    <t>% of Revenue</t>
  </si>
  <si>
    <t>Selling, General and Administrative GAAP</t>
  </si>
  <si>
    <t>Non-GAAP Operating Income</t>
  </si>
  <si>
    <t>GAAP Operating Income</t>
  </si>
  <si>
    <t>Interest Income</t>
  </si>
  <si>
    <t>GAAP Pretax Income</t>
  </si>
  <si>
    <t>Non-GAAP Net Income</t>
  </si>
  <si>
    <t>Acquisition, Realignment &amp; Related Charges</t>
  </si>
  <si>
    <t>Acquisition Charges</t>
  </si>
  <si>
    <t>Realignment charges &amp; Other</t>
  </si>
  <si>
    <t>3Q17</t>
  </si>
  <si>
    <t>Products and Resources</t>
  </si>
  <si>
    <t>Communications, Media and Technology</t>
  </si>
  <si>
    <t>% rev</t>
  </si>
  <si>
    <t>Implementation</t>
  </si>
  <si>
    <t>IT Outsourcing</t>
  </si>
  <si>
    <t>Business Process Outsourcing</t>
  </si>
  <si>
    <t>Custom Software Support</t>
  </si>
  <si>
    <t>Hardware Support</t>
  </si>
  <si>
    <t>Gartner Mapping</t>
  </si>
  <si>
    <t>Garnter data</t>
  </si>
  <si>
    <t>2Q17</t>
  </si>
  <si>
    <t>Gross Margin</t>
  </si>
  <si>
    <t>Q/Q</t>
  </si>
  <si>
    <t>Non-GAAP Operating Margin</t>
  </si>
  <si>
    <t>Non-GAAP Adjustments:</t>
  </si>
  <si>
    <t>Diluted Non-GAAP EPS</t>
  </si>
  <si>
    <t>Diluted GAAP EPS</t>
  </si>
  <si>
    <t>Basic GAAP EPS</t>
  </si>
  <si>
    <t>Basic Non-GAAP EPS</t>
  </si>
  <si>
    <t>Non-GAAP Tax Expense (Benefit)</t>
  </si>
  <si>
    <t>3Q16</t>
  </si>
  <si>
    <t>Ending Headcount Y/Y Change</t>
  </si>
  <si>
    <t>GAAP Tax Rate</t>
  </si>
  <si>
    <t>base</t>
  </si>
  <si>
    <t>Free Cash Flow as %age of Net Income</t>
  </si>
  <si>
    <t>2019e</t>
  </si>
  <si>
    <t>4Q17</t>
  </si>
  <si>
    <t>4Q16</t>
  </si>
  <si>
    <t>84</t>
  </si>
  <si>
    <t>Research</t>
  </si>
  <si>
    <t>MSA611BG</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</si>
  <si>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</si>
  <si>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</si>
  <si>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</si>
  <si>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</si>
  <si>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</si>
  <si>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</si>
  <si>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Brian Essex</t>
  </si>
  <si>
    <t>Date: 11 Feb 2018</t>
  </si>
  <si>
    <t>Ticker: CTSH.O</t>
  </si>
  <si>
    <t>Stock Rating: Equal-Weight</t>
  </si>
  <si>
    <t>Industry: IT Services</t>
  </si>
  <si>
    <t>Industry View: Attractive</t>
  </si>
  <si>
    <t>Price as of 11 Feb 2018: 76.29</t>
  </si>
  <si>
    <t>Target Price: 88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</si>
  <si>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</si>
  <si>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</si>
  <si>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</si>
  <si>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</si>
  <si>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Cognizant Technology Solutions Corp.</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</si>
  <si>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</si>
  <si>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</si>
  <si>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</si>
  <si>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</si>
  <si>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</si>
  <si>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</si>
  <si>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</si>
  <si>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</si>
  <si>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</si>
  <si>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</si>
  <si>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</si>
  <si>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</si>
  <si>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</si>
  <si>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</si>
  <si>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</si>
  <si>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</si>
  <si>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</si>
  <si>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</si>
  <si>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</si>
  <si>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</si>
  <si>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</si>
  <si>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</si>
  <si>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</si>
  <si>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</si>
  <si>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</si>
  <si>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</si>
  <si>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</si>
  <si>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</si>
  <si>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</si>
  <si>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</si>
  <si>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</si>
  <si>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</si>
  <si>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</si>
  <si>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</si>
  <si>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</si>
  <si>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</si>
  <si>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</si>
  <si>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</si>
  <si>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</si>
  <si>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</si>
  <si>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</si>
  <si>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</si>
  <si>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</si>
  <si>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</si>
  <si>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</si>
  <si>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</si>
  <si>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</si>
  <si>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</si>
  <si>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</si>
  <si>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</si>
  <si>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</si>
  <si>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</si>
  <si>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</si>
  <si>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</si>
  <si>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</si>
  <si>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</si>
  <si>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</si>
  <si>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</si>
  <si>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</si>
  <si>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</si>
  <si>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</si>
  <si>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</si>
  <si>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</si>
  <si>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</si>
  <si>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</si>
  <si>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</si>
  <si>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</si>
  <si>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</si>
  <si>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</si>
  <si>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</si>
  <si>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</si>
  <si>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</si>
  <si>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</si>
  <si>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</si>
  <si>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</si>
  <si>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</si>
  <si>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</si>
  <si>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</si>
  <si>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</si>
  <si>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</si>
  <si>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</si>
  <si>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</si>
  <si>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</si>
  <si>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</si>
  <si>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</si>
  <si>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</si>
  <si>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</si>
  <si>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</si>
  <si>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</si>
  <si>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</si>
  <si>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</si>
  <si>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</si>
  <si>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</si>
  <si>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</si>
  <si>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</si>
  <si>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</si>
  <si>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</si>
  <si>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</si>
  <si>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</si>
  <si>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</si>
  <si>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</si>
  <si>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</si>
  <si>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</si>
  <si>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</si>
  <si>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</si>
  <si>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</si>
  <si>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</si>
  <si>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</si>
  <si>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</si>
  <si>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</si>
  <si>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</si>
  <si>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</si>
  <si>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</si>
  <si>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</si>
  <si>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</si>
  <si>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</si>
  <si>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</si>
  <si>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</si>
  <si>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</si>
  <si>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</si>
  <si>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</si>
  <si>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</si>
  <si>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</si>
  <si>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</si>
  <si>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</si>
  <si>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</si>
  <si>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</si>
  <si>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</si>
  <si>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</si>
  <si>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</si>
  <si>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</si>
  <si>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</si>
  <si>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</si>
  <si>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</si>
  <si>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</si>
  <si>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</si>
  <si>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</si>
  <si>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</si>
  <si>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</si>
  <si>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</si>
  <si>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</si>
  <si>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</si>
  <si>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</si>
  <si>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</si>
  <si>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</si>
  <si>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</si>
  <si>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</si>
  <si>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</si>
  <si>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</si>
  <si>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</si>
  <si>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</si>
  <si>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</si>
  <si>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</si>
  <si>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</si>
  <si>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</si>
  <si>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</si>
  <si>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</si>
  <si>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</si>
  <si>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</si>
  <si>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</si>
  <si>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</si>
  <si>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</si>
  <si>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</si>
  <si>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</si>
  <si>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</si>
  <si>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</si>
  <si>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</si>
  <si>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</si>
  <si>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</si>
  <si>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</si>
  <si>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</si>
  <si>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</si>
  <si>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</si>
  <si>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</si>
  <si>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</si>
  <si>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</si>
  <si>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</si>
  <si>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</si>
  <si>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</si>
  <si>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</si>
  <si>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</si>
  <si>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</si>
  <si>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</si>
  <si>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</si>
  <si>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</si>
  <si>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</si>
  <si>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</si>
  <si>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</si>
  <si>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</si>
  <si>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</si>
  <si>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</si>
  <si>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</si>
  <si>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</si>
  <si>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</si>
  <si>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</si>
  <si>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</si>
  <si>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</si>
  <si>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</si>
  <si>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</si>
  <si>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</si>
  <si>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</si>
  <si>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</si>
  <si>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</si>
  <si>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</si>
  <si>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</si>
  <si>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</si>
  <si>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</si>
  <si>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</si>
  <si>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</si>
  <si>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</si>
  <si>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</si>
  <si>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</si>
  <si>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</si>
  <si>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</si>
  <si>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</si>
  <si>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</si>
  <si>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</si>
  <si>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</si>
  <si>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</si>
  <si>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</si>
  <si>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</si>
  <si>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</si>
  <si>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</si>
  <si>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</si>
  <si>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</si>
  <si>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</si>
  <si>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</si>
  <si>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</si>
  <si>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</si>
  <si>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</si>
  <si>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</si>
  <si>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</si>
  <si>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</si>
  <si>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</si>
  <si>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</si>
  <si>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</si>
  <si>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</si>
  <si>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</si>
  <si>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</si>
  <si>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</si>
  <si>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</si>
  <si>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</si>
  <si>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Cognizant Technology</t>
  </si>
  <si>
    <t>Solutions Corp.</t>
  </si>
  <si>
    <t>In the next 3 months, Morgan Stanley expects to receive or intends to seek compensation for investment</t>
  </si>
  <si>
    <t>banking services from Cognizant Technology Solutions Corp.</t>
  </si>
  <si>
    <t>Within the last 12 months, Morgan Stanley has received compensation for investment banking services from</t>
  </si>
  <si>
    <t>Cognizant Technology Solutions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</si>
  <si>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</si>
  <si>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</si>
  <si>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</si>
  <si>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</si>
  <si>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</si>
  <si>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Brian Essex,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</si>
  <si>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</si>
  <si>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</si>
  <si>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</si>
  <si>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</si>
  <si>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</si>
  <si>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</si>
  <si>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</si>
  <si>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</si>
  <si>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</si>
  <si>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</si>
  <si>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</si>
  <si>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</si>
  <si>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</si>
  <si>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</si>
  <si>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</si>
  <si>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</si>
  <si>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</si>
  <si>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</si>
  <si>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</si>
  <si>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</si>
  <si>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</si>
  <si>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</si>
  <si>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</si>
  <si>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</si>
  <si>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</si>
  <si>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</si>
  <si>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</si>
  <si>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</si>
  <si>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</si>
  <si>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</si>
  <si>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</si>
  <si>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</si>
  <si>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</si>
  <si>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</si>
  <si>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</si>
  <si>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</si>
  <si>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</si>
  <si>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</si>
  <si>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</si>
  <si>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</si>
  <si>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</si>
  <si>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</si>
  <si>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</si>
  <si>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</si>
  <si>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</si>
  <si>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</si>
  <si>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</si>
  <si>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</si>
  <si>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</si>
  <si>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</si>
  <si>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</si>
  <si>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</si>
  <si>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</si>
  <si>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</si>
  <si>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</si>
  <si>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</si>
  <si>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</si>
  <si>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</si>
  <si>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</si>
  <si>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</si>
  <si>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</si>
  <si>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</si>
  <si>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</si>
  <si>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</si>
  <si>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</si>
  <si>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</si>
  <si>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</si>
  <si>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</si>
  <si>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</si>
  <si>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Attractive</t>
  </si>
  <si>
    <t>Regular Update</t>
  </si>
  <si>
    <t>NorthAmerica</t>
  </si>
  <si>
    <t>robbt</t>
  </si>
  <si>
    <t>L:\ER43\ITServices\1. Coverage\CTSH\CTSH_4Q17_WIP.xlsm</t>
  </si>
  <si>
    <t>[BRO MSA]</t>
  </si>
  <si>
    <t>[PRODUCT MODEL]</t>
  </si>
  <si>
    <t>[EMAIL_ALERT YES]</t>
  </si>
  <si>
    <t>[DISCIPLINE Company]</t>
  </si>
  <si>
    <t>[SUPPRESSED NO]</t>
  </si>
  <si>
    <t>[DOCDAT 2018-02-11]</t>
  </si>
  <si>
    <t>[DOCTIME 11:40]</t>
  </si>
  <si>
    <t>[PSYM CTSH.O(S&amp;P) (None)]</t>
  </si>
  <si>
    <t>[COU 1]</t>
  </si>
  <si>
    <t>[ANA ]</t>
  </si>
  <si>
    <t>[HL CTSH.O Model]</t>
  </si>
  <si>
    <t>[IND TECHNO]</t>
  </si>
  <si>
    <t>[PANA MSA611BG]</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</si>
</sst>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5" formatCode="&quot;$&quot;#,##0_);\(&quot;$&quot;#,##0\)"/>
    <numFmt numFmtId="7" formatCode="&quot;$&quot;#,##0.00_);\(&quot;$&quot;#,##0.00\)"/>
    <numFmt numFmtId="44" formatCode="_(&quot;$&quot;* #,##0.00_);_(&quot;$&quot;* \(#,##0.00\);_(&quot;$&quot;* &quot;-&quot;??_);_(@_)"/>
    <numFmt numFmtId="43" formatCode="_(* #,##0.00_);_(* \(#,##0.00\);_(* &quot;-&quot;??_);_(@_)"/>
    <numFmt numFmtId="164" formatCode="_(* #,##0_);_(* \(#,##0\);_(* &quot;-&quot;??_);_(@_)"/>
    <numFmt numFmtId="166" formatCode="_(* #,##0.0_);_(* \(#,##0.0\);_(* &quot;-&quot;??_);_(@_)"/>
    <numFmt numFmtId="167" formatCode="#,##0.0_);\(#,##0.0\)"/>
    <numFmt numFmtId="168" formatCode="[$-409]mmm\-yy_);@"/>
    <numFmt numFmtId="169" formatCode="General&quot;A&quot;"/>
    <numFmt numFmtId="170" formatCode="General&quot;E&quot;"/>
    <numFmt numFmtId="171" formatCode="General&quot;A &quot;"/>
    <numFmt numFmtId="172" formatCode="General&quot;E &quot;"/>
    <numFmt numFmtId="173" formatCode="0.0%"/>
    <numFmt numFmtId="174" formatCode="#,##0.000_);\(#,##0.000\)"/>
    <numFmt numFmtId="176" formatCode="#,##0.0"/>
    <numFmt numFmtId="181" formatCode="#,##0.000"/>
    <numFmt numFmtId="182" formatCode="_(* #,##0.000_);_(* \(#,##0.000\);_(* &quot;-&quot;??_);_(@_)"/>
    <numFmt numFmtId="183" formatCode="0.0"/>
    <numFmt numFmtId="184" formatCode="0.000000000000000000000000000000000000000000000"/>
    <numFmt numFmtId="185" formatCode="_(* #,##0.0_);_(* \(#,##0.0\);_(* &quot;-&quot;?_);_(@_)"/>
    <numFmt numFmtId="186" formatCode="#,##0_);\(#,##0\);\-_)"/>
    <numFmt numFmtId="187" formatCode="&quot;$&quot;#,##0.000_);\(&quot;$&quot;#,##0.000\)"/>
    <numFmt numFmtId="188" formatCode="_(* #,##0.000_);_(* \(#,##0.000\);_(* &quot;-&quot;?_);_(@_)"/>
    <numFmt numFmtId="189" formatCode="&quot;$&quot;#,##0.0_);\(&quot;$&quot;#,##0.0\)"/>
    <numFmt numFmtId="190" formatCode="0.0_);\(0.0\)"/>
    <numFmt numFmtId="191" formatCode="_(&quot;$&quot;* #,##0.0_);_(&quot;$&quot;* \(#,##0.0\);_(&quot;$&quot;* &quot;-&quot;?_);_(@_)"/>
    <numFmt numFmtId="192" formatCode="0.0&quot;x&quot;"/>
    <numFmt numFmtId="193" formatCode="_(* #,##0.0000_);_(* \(#,##0.0000\);_(* &quot;-&quot;??_);_(@_)"/>
    <numFmt numFmtId="194" formatCode="_(* #,##0.00000_);_(* \(#,##0.00000\);_(* &quot;-&quot;?_);_(@_)"/>
    <numFmt numFmtId="195" formatCode="0.000000"/>
    <numFmt numFmtId="196" formatCode="#,##0.0000_);\(#,##0.0000\)"/>
    <numFmt numFmtId="197" formatCode="_(* #,##0.0000_);_(* \(#,##0.0000\);_(* &quot;-&quot;?_);_(@_)"/>
    <numFmt numFmtId="199" formatCode="_(&quot;$&quot;* #,##0.000_);_(&quot;$&quot;* \(#,##0.000\);_(&quot;$&quot;* &quot;-&quot;??_);_(@_)"/>
    <numFmt numFmtId="200" formatCode="#,##0.00000_);\(#,##0.00000\)"/>
    <numFmt numFmtId="215" formatCode="mm/dd/yy\ hh:mm"/>
  </numFmts>
  <fonts count="99">
    <font>
      <sz val="10"/>
      <name val="Arial"/>
    </font>
    <font>
      <sz val="10"/>
      <name val="Arial"/>
      <family val="2"/>
    </font>
    <font>
      <sz val="8"/>
      <name val="Arial"/>
      <family val="2"/>
    </font>
    <font>
      <b/>
      <sz val="8"/>
      <color indexed="9"/>
      <name val="Arial"/>
      <family val="2"/>
    </font>
    <font>
      <b/>
      <sz val="8"/>
      <color indexed="12"/>
      <name val="Arial"/>
      <family val="2"/>
    </font>
    <font>
      <sz val="8"/>
      <name val="Arial"/>
      <family val="2"/>
    </font>
    <font>
      <b/>
      <sz val="8"/>
      <name val="Arial"/>
      <family val="2"/>
    </font>
    <font>
      <b/>
      <sz val="8"/>
      <color indexed="9"/>
      <name val="Arial"/>
      <family val="2"/>
    </font>
    <font>
      <b/>
      <sz val="8"/>
      <color indexed="12"/>
      <name val="Arial"/>
      <family val="2"/>
    </font>
    <font>
      <b/>
      <i/>
      <sz val="8"/>
      <color indexed="9"/>
      <name val="Arial"/>
      <family val="2"/>
    </font>
    <font>
      <b/>
      <sz val="9"/>
      <name val="Arial"/>
      <family val="2"/>
    </font>
    <font>
      <b/>
      <sz val="8"/>
      <name val="Arial"/>
      <family val="2"/>
    </font>
    <font>
      <sz val="8"/>
      <color indexed="12"/>
      <name val="Arial"/>
      <family val="2"/>
    </font>
    <font>
      <i/>
      <sz val="8"/>
      <name val="Arial"/>
      <family val="2"/>
    </font>
    <font>
      <i/>
      <sz val="8"/>
      <color indexed="62"/>
      <name val="Arial"/>
      <family val="2"/>
    </font>
    <font>
      <sz val="8"/>
      <color indexed="12"/>
      <name val="Arial"/>
      <family val="2"/>
    </font>
    <font>
      <sz val="8"/>
      <color indexed="23"/>
      <name val="Arial"/>
      <family val="2"/>
    </font>
    <font>
      <sz val="10"/>
      <name val="Arial"/>
      <family val="2"/>
    </font>
    <font>
      <i/>
      <sz val="8"/>
      <color indexed="12"/>
      <name val="Arial"/>
      <family val="2"/>
    </font>
    <font>
      <sz val="8"/>
      <color indexed="81"/>
      <name val="Tahoma"/>
      <family val="2"/>
    </font>
    <font>
      <b/>
      <sz val="8"/>
      <color indexed="81"/>
      <name val="Tahoma"/>
      <family val="2"/>
    </font>
    <font>
      <sz val="8"/>
      <color indexed="23"/>
      <name val="Arial"/>
      <family val="2"/>
    </font>
    <font>
      <sz val="11"/>
      <name val="Arial"/>
      <family val="2"/>
    </font>
    <font>
      <b/>
      <sz val="10"/>
      <name val="Arial"/>
      <family val="2"/>
    </font>
    <font>
      <sz val="10"/>
      <name val="Arial"/>
      <family val="2"/>
    </font>
    <font>
      <i/>
      <sz val="8"/>
      <name val="Arial"/>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i/>
      <sz val="8"/>
      <name val="Arial"/>
      <family val="2"/>
    </font>
    <font>
      <b/>
      <sz val="8"/>
      <color indexed="10"/>
      <name val="Arial"/>
      <family val="2"/>
    </font>
    <font>
      <i/>
      <sz val="8"/>
      <color indexed="10"/>
      <name val="Arial"/>
      <family val="2"/>
    </font>
    <font>
      <i/>
      <sz val="8"/>
      <color indexed="23"/>
      <name val="Arial"/>
      <family val="2"/>
    </font>
    <font>
      <sz val="8"/>
      <color indexed="10"/>
      <name val="Arial"/>
      <family val="2"/>
    </font>
    <font>
      <sz val="8"/>
      <color indexed="10"/>
      <name val="Arial"/>
      <family val="2"/>
    </font>
    <font>
      <sz val="9"/>
      <name val="Arial"/>
      <family val="2"/>
    </font>
    <font>
      <sz val="10"/>
      <color indexed="8"/>
      <name val="MS Sans Serif"/>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sz val="10"/>
      <name val="Times New Roman"/>
      <family val="1"/>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indexed="81"/>
      <name val="Tahoma"/>
      <family val="2"/>
    </font>
    <font>
      <b/>
      <sz val="9"/>
      <color indexed="81"/>
      <name val="Tahoma"/>
      <family val="2"/>
    </font>
    <font>
      <sz val="10"/>
      <name val="Arial"/>
      <family val="2"/>
    </font>
    <font>
      <b/>
      <sz val="11"/>
      <color indexed="9"/>
      <name val="GillSans"/>
    </font>
    <font>
      <sz val="10"/>
      <name val="Geneva"/>
    </font>
    <font>
      <sz val="16"/>
      <name val="Arial"/>
      <family val="2"/>
    </font>
    <font>
      <b/>
      <sz val="16"/>
      <name val="Arial"/>
      <family val="2"/>
    </font>
    <font>
      <b/>
      <sz val="11"/>
      <name val="GillSans"/>
    </font>
    <font>
      <i/>
      <sz val="9"/>
      <name val="Arial"/>
      <family val="2"/>
    </font>
    <font>
      <sz val="10"/>
      <name val="Arial"/>
      <family val="2"/>
    </font>
    <font>
      <sz val="10"/>
      <name val="GillSans Light"/>
    </font>
    <font>
      <sz val="10"/>
      <name val="Arial"/>
      <family val="2"/>
    </font>
    <font>
      <u/>
      <sz val="11"/>
      <color indexed="12"/>
      <name val="Calibri"/>
      <family val="2"/>
    </font>
    <font>
      <sz val="8"/>
      <name val="Arial"/>
      <family val="2"/>
    </font>
    <font>
      <u/>
      <sz val="8"/>
      <color indexed="12"/>
      <name val="Arial"/>
      <family val="2"/>
    </font>
    <font>
      <sz val="10"/>
      <name val="Geneva"/>
      <family val="2"/>
    </font>
    <font>
      <sz val="10"/>
      <name val="Segoe UI"/>
      <family val="2"/>
    </font>
    <font>
      <sz val="11"/>
      <color theme="1"/>
      <name val="Calibri"/>
      <family val="2"/>
      <scheme val="minor"/>
    </font>
    <font>
      <sz val="8"/>
      <color rgb="FF0000FF"/>
      <name val="Arial"/>
      <family val="2"/>
    </font>
    <font>
      <b/>
      <sz val="8"/>
      <color theme="0"/>
      <name val="Arial"/>
      <family val="2"/>
    </font>
    <font>
      <sz val="8"/>
      <color rgb="FFFF0000"/>
      <name val="Arial"/>
      <family val="2"/>
    </font>
    <font>
      <sz val="10"/>
      <color rgb="FF0000FF"/>
      <name val="Arial"/>
      <family val="2"/>
    </font>
    <font>
      <b/>
      <sz val="8"/>
      <color rgb="FF0000FF"/>
      <name val="Arial"/>
      <family val="2"/>
    </font>
    <font>
      <b/>
      <sz val="8"/>
      <color rgb="FFFF0000"/>
      <name val="Arial"/>
      <family val="2"/>
    </font>
    <font>
      <i/>
      <sz val="8"/>
      <color rgb="FFFF0000"/>
      <name val="Arial"/>
      <family val="2"/>
    </font>
    <font>
      <sz val="8"/>
      <color theme="0"/>
      <name val="Arial"/>
      <family val="2"/>
    </font>
    <font>
      <sz val="8"/>
      <color rgb="FF3333FF"/>
      <name val="Arial"/>
      <family val="2"/>
    </font>
    <font>
      <b/>
      <sz val="8"/>
      <color rgb="FF3333FF"/>
      <name val="Arial"/>
      <family val="2"/>
    </font>
    <font>
      <b/>
      <sz val="8"/>
      <color rgb="FF00B050"/>
      <name val="Arial"/>
      <family val="2"/>
    </font>
    <font>
      <sz val="8"/>
      <color rgb="FFC00000"/>
      <name val="Arial"/>
      <family val="2"/>
    </font>
    <font>
      <b/>
      <sz val="8"/>
      <color rgb="FFC00000"/>
      <name val="Arial"/>
      <family val="2"/>
    </font>
    <font>
      <sz val="8"/>
      <color theme="1"/>
      <name val="Arial"/>
      <family val="2"/>
    </font>
    <font>
      <i/>
      <sz val="8"/>
      <color rgb="FF0000FF"/>
      <name val="Arial"/>
      <family val="2"/>
    </font>
    <font>
      <sz val="10"/>
      <name val="Courier"/>
      <family val="3"/>
    </font>
    <font>
      <i/>
      <sz val="10"/>
      <name val="Arial"/>
      <family val="2"/>
    </font>
    <font>
      <sz val="10"/>
      <color rgb="FF000000"/>
      <name val="Arial"/>
      <family val="2"/>
    </font>
    <font>
      <b/>
      <sz val="12"/>
      <color rgb="FF000080"/>
      <name val="Arial"/>
      <family val="2"/>
    </font>
  </fonts>
  <fills count="36">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mediumGray"/>
    </fill>
    <fill>
      <patternFill patternType="solid">
        <fgColor indexed="47"/>
        <bgColor indexed="64"/>
      </patternFill>
    </fill>
    <fill>
      <patternFill patternType="solid">
        <fgColor indexed="12"/>
        <bgColor indexed="64"/>
      </patternFill>
    </fill>
    <fill>
      <patternFill patternType="solid">
        <fgColor indexed="44"/>
        <bgColor indexed="64"/>
      </patternFill>
    </fill>
    <fill>
      <patternFill patternType="solid">
        <fgColor indexed="65"/>
        <bgColor indexed="64"/>
      </patternFill>
    </fill>
    <fill>
      <patternFill patternType="solid">
        <fgColor rgb="FF0000FF"/>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rgb="FFCCFFCC"/>
        <bgColor indexed="64"/>
      </patternFill>
    </fill>
    <fill>
      <patternFill patternType="solid">
        <fgColor rgb="FFFFCCCC"/>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99"/>
        <bgColor indexed="64"/>
      </patternFill>
    </fill>
    <fill>
      <patternFill patternType="solid">
        <fgColor rgb="FF92D050"/>
        <bgColor indexed="64"/>
      </patternFill>
    </fill>
    <fill>
      <patternFill patternType="solid">
        <fgColor rgb="FFFFC000"/>
        <bgColor indexed="64"/>
      </patternFill>
    </fill>
    <fill>
      <patternFill patternType="solid">
        <fgColor rgb="FF99CCFF"/>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28">
    <xf numFmtId="0" fontId="0" fillId="0" borderId="0" applyNumberFormat="0" applyFill="0" applyBorder="0" applyAlignment="0" applyProtection="0"/>
    <xf numFmtId="0" fontId="57" fillId="0" borderId="0" applyNumberFormat="0" applyFont="0" applyFill="0" applyBorder="0" applyAlignment="0" applyProtection="0"/>
    <xf numFmtId="0" fontId="43" fillId="0" borderId="0"/>
    <xf numFmtId="0" fontId="1" fillId="0" borderId="0"/>
    <xf numFmtId="0" fontId="17" fillId="0" borderId="0"/>
    <xf numFmtId="10" fontId="17" fillId="0" borderId="0" applyFont="0" applyFill="0" applyBorder="0" applyAlignment="0" applyProtection="0"/>
    <xf numFmtId="10" fontId="17" fillId="0" borderId="0" applyFont="0" applyFill="0" applyBorder="0" applyAlignment="0" applyProtection="0"/>
    <xf numFmtId="0" fontId="43" fillId="0" borderId="0" applyNumberFormat="0" applyFont="0" applyFill="0" applyBorder="0" applyAlignment="0" applyProtection="0"/>
    <xf numFmtId="3" fontId="42" fillId="0" borderId="0"/>
    <xf numFmtId="0" fontId="77" fillId="0" borderId="0"/>
    <xf numFmtId="0" fontId="1" fillId="0" borderId="0"/>
    <xf numFmtId="0" fontId="17" fillId="0" borderId="0"/>
    <xf numFmtId="0" fontId="1" fillId="0" borderId="0"/>
    <xf numFmtId="0" fontId="17" fillId="0" borderId="0"/>
    <xf numFmtId="0" fontId="1" fillId="0" borderId="0"/>
    <xf numFmtId="0" fontId="17" fillId="0" borderId="0"/>
    <xf numFmtId="0" fontId="1" fillId="0" borderId="0"/>
    <xf numFmtId="0" fontId="17" fillId="0" borderId="0"/>
    <xf numFmtId="0" fontId="1" fillId="0" borderId="0"/>
    <xf numFmtId="0" fontId="17" fillId="0" borderId="0"/>
    <xf numFmtId="0" fontId="31" fillId="0" borderId="0"/>
    <xf numFmtId="0" fontId="31" fillId="0" borderId="0"/>
    <xf numFmtId="0" fontId="44" fillId="2"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2" borderId="0" applyNumberFormat="0" applyBorder="0" applyAlignment="0" applyProtection="0"/>
    <xf numFmtId="0" fontId="44" fillId="5"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7" borderId="0" applyNumberFormat="0" applyBorder="0" applyAlignment="0" applyProtection="0"/>
    <xf numFmtId="0" fontId="44"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6" borderId="0" applyNumberFormat="0" applyBorder="0" applyAlignment="0" applyProtection="0"/>
    <xf numFmtId="0" fontId="45" fillId="8" borderId="0" applyNumberFormat="0" applyBorder="0" applyAlignment="0" applyProtection="0"/>
    <xf numFmtId="0" fontId="45"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10"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186" fontId="2" fillId="0" borderId="0" applyFont="0" applyFill="0" applyBorder="0" applyProtection="0"/>
    <xf numFmtId="186" fontId="2" fillId="0" borderId="0" applyFont="0" applyFill="0" applyBorder="0" applyProtection="0"/>
    <xf numFmtId="186" fontId="75" fillId="0" borderId="0" applyFont="0" applyFill="0" applyBorder="0" applyProtection="0"/>
    <xf numFmtId="0" fontId="46" fillId="11" borderId="0" applyNumberFormat="0" applyBorder="0" applyAlignment="0" applyProtection="0"/>
    <xf numFmtId="0" fontId="32" fillId="0" borderId="0"/>
    <xf numFmtId="0" fontId="47" fillId="12" borderId="1" applyNumberFormat="0" applyAlignment="0" applyProtection="0"/>
    <xf numFmtId="0" fontId="48" fillId="13" borderId="2" applyNumberFormat="0" applyAlignment="0" applyProtection="0"/>
    <xf numFmtId="43" fontId="1" fillId="0" borderId="0" applyFont="0" applyFill="0" applyBorder="0" applyAlignment="0" applyProtection="0"/>
    <xf numFmtId="43" fontId="71"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79"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64"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0" fontId="49" fillId="0" borderId="0" applyNumberFormat="0" applyFill="0" applyBorder="0" applyAlignment="0" applyProtection="0"/>
    <xf numFmtId="0" fontId="27" fillId="0" borderId="0"/>
    <xf numFmtId="0" fontId="28" fillId="14" borderId="0"/>
    <xf numFmtId="0" fontId="50" fillId="15" borderId="0" applyNumberFormat="0" applyBorder="0" applyAlignment="0" applyProtection="0"/>
    <xf numFmtId="0" fontId="51" fillId="0" borderId="3" applyNumberFormat="0" applyFill="0" applyAlignment="0" applyProtection="0"/>
    <xf numFmtId="0" fontId="52" fillId="0" borderId="4" applyNumberFormat="0" applyFill="0" applyAlignment="0" applyProtection="0"/>
    <xf numFmtId="0" fontId="53" fillId="0" borderId="5" applyNumberFormat="0" applyFill="0" applyAlignment="0" applyProtection="0"/>
    <xf numFmtId="0" fontId="53" fillId="0" borderId="0" applyNumberFormat="0" applyFill="0" applyBorder="0" applyAlignment="0" applyProtection="0"/>
    <xf numFmtId="0" fontId="26" fillId="0" borderId="0">
      <alignment wrapText="1"/>
    </xf>
    <xf numFmtId="0" fontId="74" fillId="0" borderId="0" applyNumberFormat="0" applyFill="0" applyBorder="0" applyAlignment="0" applyProtection="0">
      <alignment vertical="top"/>
      <protection locked="0"/>
    </xf>
    <xf numFmtId="0" fontId="76" fillId="0" borderId="0" applyNumberFormat="0" applyFill="0" applyBorder="0" applyAlignment="0" applyProtection="0">
      <alignment vertical="top"/>
      <protection locked="0"/>
    </xf>
    <xf numFmtId="0" fontId="54" fillId="4" borderId="1" applyNumberFormat="0" applyAlignment="0" applyProtection="0"/>
    <xf numFmtId="0" fontId="72" fillId="0" borderId="0" applyNumberFormat="0" applyFill="0" applyBorder="0" applyProtection="0">
      <alignment horizontal="left" vertical="center"/>
    </xf>
    <xf numFmtId="0" fontId="55" fillId="0" borderId="6" applyNumberFormat="0" applyFill="0" applyAlignment="0" applyProtection="0"/>
    <xf numFmtId="0" fontId="28" fillId="0" borderId="0"/>
    <xf numFmtId="0" fontId="29" fillId="0" borderId="0"/>
    <xf numFmtId="0" fontId="30" fillId="0" borderId="0"/>
    <xf numFmtId="0" fontId="56" fillId="4" borderId="0" applyNumberFormat="0" applyBorder="0" applyAlignment="0" applyProtection="0"/>
    <xf numFmtId="0" fontId="75" fillId="0" borderId="0" applyNumberFormat="0" applyBorder="0" applyAlignment="0" applyProtection="0"/>
    <xf numFmtId="0" fontId="24" fillId="0" borderId="0"/>
    <xf numFmtId="0" fontId="2" fillId="0" borderId="0" applyNumberFormat="0" applyBorder="0" applyAlignment="0" applyProtection="0"/>
    <xf numFmtId="0" fontId="64" fillId="0" borderId="0"/>
    <xf numFmtId="0" fontId="17" fillId="0" borderId="0"/>
    <xf numFmtId="0" fontId="17" fillId="0" borderId="0"/>
    <xf numFmtId="0" fontId="17" fillId="0" borderId="0"/>
    <xf numFmtId="0" fontId="57" fillId="0" borderId="0" applyNumberFormat="0" applyFon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xf numFmtId="0" fontId="57" fillId="0" borderId="0" applyNumberFormat="0" applyFont="0" applyFill="0" applyBorder="0" applyAlignment="0" applyProtection="0"/>
    <xf numFmtId="0" fontId="78" fillId="0" borderId="0"/>
    <xf numFmtId="0" fontId="79" fillId="0" borderId="0"/>
    <xf numFmtId="0" fontId="1" fillId="4" borderId="7" applyNumberFormat="0" applyFont="0" applyAlignment="0" applyProtection="0"/>
    <xf numFmtId="0" fontId="17" fillId="4" borderId="7" applyNumberFormat="0" applyFont="0" applyAlignment="0" applyProtection="0"/>
    <xf numFmtId="0" fontId="58" fillId="12" borderId="8" applyNumberFormat="0" applyAlignment="0" applyProtection="0"/>
    <xf numFmtId="0" fontId="33" fillId="0" borderId="0">
      <alignment vertical="center"/>
    </xf>
    <xf numFmtId="0" fontId="30" fillId="0" borderId="0"/>
    <xf numFmtId="9" fontId="1" fillId="0" borderId="0" applyFont="0" applyFill="0" applyBorder="0" applyAlignment="0" applyProtection="0"/>
    <xf numFmtId="9" fontId="66" fillId="0" borderId="0" applyFont="0" applyFill="0" applyBorder="0" applyAlignment="0" applyProtection="0"/>
    <xf numFmtId="9" fontId="71"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79" fillId="0" borderId="0" applyFont="0" applyFill="0" applyBorder="0" applyAlignment="0" applyProtection="0"/>
    <xf numFmtId="0" fontId="72" fillId="0" borderId="0" applyNumberFormat="0" applyFill="0" applyBorder="0" applyProtection="0">
      <alignment horizontal="right" vertical="center"/>
    </xf>
    <xf numFmtId="0" fontId="17" fillId="16" borderId="0" applyNumberFormat="0" applyFont="0" applyBorder="0" applyAlignment="0" applyProtection="0"/>
    <xf numFmtId="0" fontId="17" fillId="16" borderId="0" applyNumberFormat="0" applyFont="0" applyBorder="0" applyAlignment="0" applyProtection="0"/>
    <xf numFmtId="0" fontId="34" fillId="0" borderId="0"/>
    <xf numFmtId="0" fontId="34" fillId="0" borderId="9">
      <alignment horizontal="centerContinuous"/>
    </xf>
    <xf numFmtId="0" fontId="35" fillId="0" borderId="9"/>
    <xf numFmtId="0" fontId="1" fillId="0" borderId="0">
      <alignment vertical="top"/>
    </xf>
    <xf numFmtId="0" fontId="17" fillId="0" borderId="0">
      <alignment vertical="top"/>
    </xf>
    <xf numFmtId="0" fontId="17" fillId="0" borderId="0">
      <alignment vertical="top"/>
    </xf>
    <xf numFmtId="0" fontId="59" fillId="0" borderId="0" applyNumberFormat="0" applyFill="0" applyBorder="0" applyAlignment="0" applyProtection="0"/>
    <xf numFmtId="0" fontId="65" fillId="17" borderId="0" applyNumberFormat="0" applyBorder="0" applyProtection="0">
      <alignment horizontal="left" vertical="center"/>
    </xf>
    <xf numFmtId="0" fontId="69" fillId="1" borderId="0" applyNumberFormat="0" applyBorder="0" applyProtection="0">
      <alignment horizontal="left" vertical="center"/>
    </xf>
    <xf numFmtId="0" fontId="60" fillId="0" borderId="10" applyNumberFormat="0" applyFill="0" applyAlignment="0" applyProtection="0"/>
    <xf numFmtId="0" fontId="61" fillId="0" borderId="0" applyNumberFormat="0" applyFill="0" applyBorder="0" applyAlignment="0" applyProtection="0"/>
    <xf numFmtId="0" fontId="1" fillId="0" borderId="0"/>
    <xf numFmtId="0" fontId="1" fillId="16" borderId="0" applyNumberFormat="0" applyFont="0" applyBorder="0" applyAlignment="0" applyProtection="0"/>
    <xf numFmtId="0" fontId="95" fillId="0" borderId="0"/>
  </cellStyleXfs>
  <cellXfs count="1164">
    <xf numFmtId="0" fontId="0" fillId="0" borderId="0" xfId="0"/>
    <xf numFmtId="0" fontId="2" fillId="0" borderId="0" xfId="0" applyFont="1"/>
    <xf numFmtId="0" fontId="10" fillId="0" borderId="0" xfId="0" applyFont="1"/>
    <xf numFmtId="0" fontId="2" fillId="0" borderId="11" xfId="0" applyFont="1" applyBorder="1"/>
    <xf numFmtId="0" fontId="2" fillId="0" borderId="0" xfId="0" applyFont="1" applyBorder="1"/>
    <xf numFmtId="0" fontId="2" fillId="0" borderId="12" xfId="0" applyFont="1" applyBorder="1"/>
    <xf numFmtId="0" fontId="2" fillId="0" borderId="13" xfId="0" applyFont="1" applyBorder="1"/>
    <xf numFmtId="0" fontId="2" fillId="0" borderId="14" xfId="0" applyFont="1" applyBorder="1"/>
    <xf numFmtId="0" fontId="2" fillId="0" borderId="15" xfId="0" applyFont="1" applyBorder="1"/>
    <xf numFmtId="0" fontId="3" fillId="0" borderId="0" xfId="0" applyFont="1"/>
    <xf numFmtId="0" fontId="9" fillId="19" borderId="13" xfId="0" applyNumberFormat="1" applyFont="1" applyFill="1" applyBorder="1" applyAlignment="1"/>
    <xf numFmtId="0" fontId="9" fillId="19" borderId="14" xfId="0" applyNumberFormat="1" applyFont="1" applyFill="1" applyBorder="1" applyAlignment="1"/>
    <xf numFmtId="0" fontId="3" fillId="19" borderId="17" xfId="0" applyNumberFormat="1" applyFont="1" applyFill="1" applyBorder="1" applyAlignment="1"/>
    <xf numFmtId="0" fontId="3" fillId="19" borderId="16" xfId="0" applyNumberFormat="1" applyFont="1" applyFill="1" applyBorder="1" applyAlignment="1"/>
    <xf numFmtId="167" fontId="2" fillId="0" borderId="11" xfId="0" applyNumberFormat="1" applyFont="1" applyBorder="1"/>
    <xf numFmtId="167" fontId="2" fillId="0" borderId="0" xfId="0" applyNumberFormat="1" applyFont="1" applyBorder="1"/>
    <xf numFmtId="167" fontId="2" fillId="0" borderId="12" xfId="0" applyNumberFormat="1" applyFont="1" applyBorder="1"/>
    <xf numFmtId="167" fontId="11" fillId="20" borderId="18" xfId="0" applyNumberFormat="1" applyFont="1" applyFill="1" applyBorder="1"/>
    <xf numFmtId="167" fontId="11" fillId="20" borderId="19" xfId="0" applyNumberFormat="1" applyFont="1" applyFill="1" applyBorder="1"/>
    <xf numFmtId="0" fontId="11" fillId="0" borderId="0" xfId="0" applyFont="1"/>
    <xf numFmtId="168" fontId="7" fillId="19" borderId="18" xfId="0" applyNumberFormat="1" applyFont="1" applyFill="1" applyBorder="1" applyAlignment="1"/>
    <xf numFmtId="168" fontId="7" fillId="19" borderId="19" xfId="0" applyNumberFormat="1" applyFont="1" applyFill="1" applyBorder="1" applyAlignment="1"/>
    <xf numFmtId="168" fontId="7" fillId="19" borderId="20" xfId="0" applyNumberFormat="1" applyFont="1" applyFill="1" applyBorder="1" applyAlignment="1"/>
    <xf numFmtId="169" fontId="3" fillId="19" borderId="18" xfId="0" applyNumberFormat="1" applyFont="1" applyFill="1" applyBorder="1" applyAlignment="1">
      <alignment horizontal="centerContinuous"/>
    </xf>
    <xf numFmtId="169" fontId="3" fillId="19" borderId="19" xfId="0" applyNumberFormat="1" applyFont="1" applyFill="1" applyBorder="1" applyAlignment="1">
      <alignment horizontal="centerContinuous"/>
    </xf>
    <xf numFmtId="169" fontId="3" fillId="19" borderId="20" xfId="0" applyNumberFormat="1" applyFont="1" applyFill="1" applyBorder="1" applyAlignment="1">
      <alignment horizontal="centerContinuous"/>
    </xf>
    <xf numFmtId="170" fontId="4" fillId="0" borderId="19" xfId="0" applyNumberFormat="1" applyFont="1" applyFill="1" applyBorder="1" applyAlignment="1">
      <alignment horizontal="centerContinuous"/>
    </xf>
    <xf numFmtId="0" fontId="11" fillId="0" borderId="0" xfId="0" applyFont="1" applyBorder="1"/>
    <xf numFmtId="0" fontId="3" fillId="0" borderId="17" xfId="0" applyNumberFormat="1" applyFont="1" applyBorder="1" applyAlignment="1">
      <alignment horizontal="center"/>
    </xf>
    <xf numFmtId="171" fontId="7" fillId="19" borderId="18" xfId="0" applyNumberFormat="1" applyFont="1" applyFill="1" applyBorder="1" applyAlignment="1">
      <alignment horizontal="right"/>
    </xf>
    <xf numFmtId="0" fontId="11" fillId="0" borderId="12" xfId="0" applyFont="1" applyBorder="1"/>
    <xf numFmtId="0" fontId="11" fillId="0" borderId="11" xfId="0" applyFont="1" applyBorder="1"/>
    <xf numFmtId="0" fontId="5" fillId="0" borderId="11" xfId="0" applyFont="1" applyBorder="1"/>
    <xf numFmtId="0" fontId="5" fillId="0" borderId="0" xfId="0" applyFont="1" applyBorder="1"/>
    <xf numFmtId="0" fontId="5" fillId="0" borderId="12" xfId="0" applyFont="1" applyBorder="1"/>
    <xf numFmtId="167" fontId="5" fillId="0" borderId="11" xfId="0" applyNumberFormat="1" applyFont="1" applyBorder="1"/>
    <xf numFmtId="167" fontId="5" fillId="0" borderId="0" xfId="0" applyNumberFormat="1" applyFont="1" applyBorder="1"/>
    <xf numFmtId="167" fontId="5" fillId="0" borderId="12" xfId="0" applyNumberFormat="1" applyFont="1" applyBorder="1"/>
    <xf numFmtId="0" fontId="5" fillId="0" borderId="0" xfId="0" applyFont="1"/>
    <xf numFmtId="167" fontId="11" fillId="0" borderId="11" xfId="0" applyNumberFormat="1" applyFont="1" applyBorder="1"/>
    <xf numFmtId="167" fontId="11" fillId="0" borderId="0" xfId="0" applyNumberFormat="1" applyFont="1" applyBorder="1"/>
    <xf numFmtId="167" fontId="11" fillId="0" borderId="12" xfId="0" applyNumberFormat="1" applyFont="1" applyBorder="1"/>
    <xf numFmtId="0" fontId="13" fillId="0" borderId="11" xfId="0" applyFont="1" applyBorder="1"/>
    <xf numFmtId="0" fontId="13" fillId="0" borderId="0" xfId="0" applyFont="1"/>
    <xf numFmtId="0" fontId="14" fillId="0" borderId="11" xfId="0" applyFont="1" applyBorder="1"/>
    <xf numFmtId="0" fontId="14" fillId="0" borderId="0" xfId="0" applyFont="1" applyBorder="1"/>
    <xf numFmtId="0" fontId="2" fillId="0" borderId="17" xfId="0" applyFont="1" applyBorder="1"/>
    <xf numFmtId="0" fontId="2" fillId="0" borderId="16" xfId="0" applyFont="1" applyBorder="1"/>
    <xf numFmtId="0" fontId="2" fillId="0" borderId="21" xfId="0" applyFont="1" applyBorder="1"/>
    <xf numFmtId="0" fontId="11" fillId="0" borderId="17" xfId="0" applyFont="1" applyBorder="1"/>
    <xf numFmtId="0" fontId="2" fillId="0" borderId="16" xfId="0" applyFont="1" applyFill="1" applyBorder="1"/>
    <xf numFmtId="0" fontId="2" fillId="0" borderId="21" xfId="0" applyFont="1" applyFill="1" applyBorder="1"/>
    <xf numFmtId="0" fontId="2" fillId="0" borderId="17" xfId="0" applyFont="1" applyFill="1" applyBorder="1"/>
    <xf numFmtId="0" fontId="11" fillId="0" borderId="11" xfId="0" applyFont="1" applyFill="1" applyBorder="1"/>
    <xf numFmtId="0" fontId="11" fillId="0" borderId="0" xfId="0" applyFont="1" applyFill="1" applyBorder="1"/>
    <xf numFmtId="0" fontId="11" fillId="0" borderId="17" xfId="0" applyFont="1" applyFill="1" applyBorder="1"/>
    <xf numFmtId="0" fontId="5" fillId="0" borderId="11" xfId="0" applyFont="1" applyFill="1" applyBorder="1"/>
    <xf numFmtId="0" fontId="5" fillId="0" borderId="0" xfId="0" applyFont="1" applyFill="1" applyBorder="1"/>
    <xf numFmtId="0" fontId="5" fillId="0" borderId="12" xfId="0" applyFont="1" applyFill="1" applyBorder="1"/>
    <xf numFmtId="173" fontId="15" fillId="18" borderId="0" xfId="103" applyNumberFormat="1" applyFont="1" applyFill="1" applyBorder="1"/>
    <xf numFmtId="167" fontId="5" fillId="0" borderId="0" xfId="0" applyNumberFormat="1" applyFont="1"/>
    <xf numFmtId="167" fontId="15" fillId="0" borderId="0" xfId="0" applyNumberFormat="1" applyFont="1" applyBorder="1"/>
    <xf numFmtId="167" fontId="15" fillId="0" borderId="11" xfId="0" applyNumberFormat="1" applyFont="1" applyBorder="1"/>
    <xf numFmtId="167" fontId="15" fillId="0" borderId="12" xfId="0" applyNumberFormat="1" applyFont="1" applyBorder="1"/>
    <xf numFmtId="173" fontId="5" fillId="0" borderId="0" xfId="103" applyNumberFormat="1" applyFont="1" applyFill="1" applyBorder="1"/>
    <xf numFmtId="173" fontId="2" fillId="0" borderId="11" xfId="103" applyNumberFormat="1" applyFont="1" applyBorder="1"/>
    <xf numFmtId="173" fontId="5" fillId="0" borderId="11" xfId="103" applyNumberFormat="1" applyFont="1" applyBorder="1"/>
    <xf numFmtId="173" fontId="5" fillId="0" borderId="11" xfId="103" applyNumberFormat="1" applyFont="1" applyFill="1" applyBorder="1"/>
    <xf numFmtId="173" fontId="5" fillId="0" borderId="0" xfId="103" applyNumberFormat="1" applyFont="1" applyBorder="1"/>
    <xf numFmtId="173" fontId="5" fillId="0" borderId="12" xfId="103" applyNumberFormat="1" applyFont="1" applyBorder="1"/>
    <xf numFmtId="173" fontId="2" fillId="0" borderId="0" xfId="103" applyNumberFormat="1" applyFont="1" applyBorder="1"/>
    <xf numFmtId="173" fontId="2" fillId="0" borderId="12" xfId="103" applyNumberFormat="1" applyFont="1" applyBorder="1"/>
    <xf numFmtId="173" fontId="16" fillId="0" borderId="0" xfId="103" applyNumberFormat="1" applyFont="1" applyBorder="1"/>
    <xf numFmtId="0" fontId="6" fillId="0" borderId="11" xfId="0" applyFont="1" applyBorder="1"/>
    <xf numFmtId="0" fontId="6" fillId="0" borderId="0" xfId="0" applyFont="1" applyBorder="1"/>
    <xf numFmtId="173" fontId="5" fillId="0" borderId="0" xfId="103" applyNumberFormat="1" applyFont="1"/>
    <xf numFmtId="173" fontId="5" fillId="0" borderId="12" xfId="103" applyNumberFormat="1" applyFont="1" applyFill="1" applyBorder="1"/>
    <xf numFmtId="167" fontId="11" fillId="0" borderId="0" xfId="0" applyNumberFormat="1" applyFont="1" applyFill="1" applyBorder="1"/>
    <xf numFmtId="167" fontId="11" fillId="0" borderId="11" xfId="0" applyNumberFormat="1" applyFont="1" applyFill="1" applyBorder="1"/>
    <xf numFmtId="167" fontId="11" fillId="0" borderId="12" xfId="0" applyNumberFormat="1" applyFont="1" applyFill="1" applyBorder="1"/>
    <xf numFmtId="167" fontId="4" fillId="0" borderId="11" xfId="0" applyNumberFormat="1" applyFont="1" applyBorder="1"/>
    <xf numFmtId="167" fontId="4" fillId="0" borderId="11" xfId="0" applyNumberFormat="1" applyFont="1" applyFill="1" applyBorder="1"/>
    <xf numFmtId="173" fontId="14" fillId="0" borderId="11" xfId="103" applyNumberFormat="1" applyFont="1" applyBorder="1"/>
    <xf numFmtId="173" fontId="14" fillId="0" borderId="0" xfId="103" applyNumberFormat="1" applyFont="1" applyBorder="1"/>
    <xf numFmtId="173" fontId="14" fillId="0" borderId="12" xfId="103" applyNumberFormat="1" applyFont="1" applyBorder="1"/>
    <xf numFmtId="173" fontId="12" fillId="18" borderId="0" xfId="103" applyNumberFormat="1" applyFont="1" applyFill="1" applyBorder="1"/>
    <xf numFmtId="167" fontId="12" fillId="0" borderId="0" xfId="0" applyNumberFormat="1" applyFont="1" applyBorder="1"/>
    <xf numFmtId="167" fontId="12" fillId="0" borderId="11" xfId="0" applyNumberFormat="1" applyFont="1" applyBorder="1"/>
    <xf numFmtId="167" fontId="12" fillId="0" borderId="12" xfId="0" applyNumberFormat="1" applyFont="1" applyBorder="1"/>
    <xf numFmtId="173" fontId="13" fillId="0" borderId="11" xfId="103" applyNumberFormat="1" applyFont="1" applyBorder="1"/>
    <xf numFmtId="173" fontId="13" fillId="0" borderId="0" xfId="103" applyNumberFormat="1" applyFont="1" applyBorder="1"/>
    <xf numFmtId="173" fontId="13" fillId="0" borderId="12" xfId="103" applyNumberFormat="1" applyFont="1" applyBorder="1"/>
    <xf numFmtId="9" fontId="2" fillId="0" borderId="0" xfId="103" applyFont="1"/>
    <xf numFmtId="9" fontId="2" fillId="0" borderId="0" xfId="103" applyNumberFormat="1" applyFont="1"/>
    <xf numFmtId="174" fontId="11" fillId="0" borderId="0" xfId="0" applyNumberFormat="1" applyFont="1" applyBorder="1"/>
    <xf numFmtId="7" fontId="5" fillId="0" borderId="0" xfId="59" applyNumberFormat="1" applyFont="1"/>
    <xf numFmtId="7" fontId="5" fillId="0" borderId="11" xfId="59" applyNumberFormat="1" applyFont="1" applyBorder="1"/>
    <xf numFmtId="7" fontId="5" fillId="0" borderId="0" xfId="59" applyNumberFormat="1" applyFont="1" applyBorder="1"/>
    <xf numFmtId="7" fontId="5" fillId="0" borderId="12" xfId="59" applyNumberFormat="1" applyFont="1" applyBorder="1"/>
    <xf numFmtId="173" fontId="18" fillId="0" borderId="11" xfId="103" applyNumberFormat="1" applyFont="1" applyBorder="1"/>
    <xf numFmtId="173" fontId="18" fillId="0" borderId="0" xfId="103" applyNumberFormat="1" applyFont="1" applyBorder="1"/>
    <xf numFmtId="173" fontId="18" fillId="0" borderId="12" xfId="103" applyNumberFormat="1" applyFont="1" applyBorder="1"/>
    <xf numFmtId="0" fontId="5" fillId="0" borderId="13" xfId="0" applyFont="1" applyBorder="1"/>
    <xf numFmtId="0" fontId="5" fillId="0" borderId="14" xfId="0" applyFont="1" applyBorder="1"/>
    <xf numFmtId="167" fontId="15" fillId="0" borderId="13" xfId="0" applyNumberFormat="1" applyFont="1" applyBorder="1"/>
    <xf numFmtId="167" fontId="15" fillId="0" borderId="14" xfId="0" applyNumberFormat="1" applyFont="1" applyBorder="1"/>
    <xf numFmtId="167" fontId="15" fillId="0" borderId="15" xfId="0" applyNumberFormat="1" applyFont="1" applyBorder="1"/>
    <xf numFmtId="167" fontId="5" fillId="0" borderId="14" xfId="0" applyNumberFormat="1" applyFont="1" applyBorder="1"/>
    <xf numFmtId="0" fontId="5" fillId="0" borderId="15" xfId="0" applyFont="1" applyBorder="1"/>
    <xf numFmtId="174" fontId="5" fillId="0" borderId="12" xfId="0" applyNumberFormat="1" applyFont="1" applyBorder="1"/>
    <xf numFmtId="174" fontId="2" fillId="0" borderId="0" xfId="0" applyNumberFormat="1" applyFont="1" applyBorder="1"/>
    <xf numFmtId="0" fontId="2" fillId="0" borderId="11" xfId="0" applyFont="1" applyFill="1" applyBorder="1"/>
    <xf numFmtId="0" fontId="2" fillId="0" borderId="0" xfId="0" applyFont="1" applyFill="1" applyBorder="1"/>
    <xf numFmtId="0" fontId="2" fillId="0" borderId="12" xfId="0" applyFont="1" applyFill="1" applyBorder="1"/>
    <xf numFmtId="0" fontId="2" fillId="0" borderId="0" xfId="0" applyFont="1" applyFill="1"/>
    <xf numFmtId="167" fontId="11" fillId="0" borderId="0" xfId="0" applyNumberFormat="1" applyFont="1"/>
    <xf numFmtId="0" fontId="15" fillId="0" borderId="11" xfId="0" applyFont="1" applyBorder="1"/>
    <xf numFmtId="0" fontId="15" fillId="0" borderId="0" xfId="0" applyFont="1" applyBorder="1"/>
    <xf numFmtId="173" fontId="2" fillId="0" borderId="0" xfId="103" applyNumberFormat="1" applyFont="1"/>
    <xf numFmtId="173" fontId="2" fillId="0" borderId="11" xfId="0" applyNumberFormat="1" applyFont="1" applyBorder="1"/>
    <xf numFmtId="173" fontId="2" fillId="0" borderId="0" xfId="0" applyNumberFormat="1" applyFont="1" applyBorder="1"/>
    <xf numFmtId="173" fontId="2" fillId="0" borderId="12" xfId="0" applyNumberFormat="1" applyFont="1" applyBorder="1"/>
    <xf numFmtId="173" fontId="2" fillId="0" borderId="0" xfId="103" applyNumberFormat="1" applyFont="1" applyFill="1" applyBorder="1"/>
    <xf numFmtId="0" fontId="2" fillId="0" borderId="11" xfId="103" applyNumberFormat="1" applyFont="1" applyBorder="1"/>
    <xf numFmtId="0" fontId="2" fillId="0" borderId="0" xfId="103" applyNumberFormat="1" applyFont="1" applyBorder="1"/>
    <xf numFmtId="0" fontId="2" fillId="0" borderId="12" xfId="103" applyNumberFormat="1" applyFont="1" applyBorder="1"/>
    <xf numFmtId="167" fontId="15" fillId="18" borderId="0" xfId="0" applyNumberFormat="1" applyFont="1" applyFill="1" applyBorder="1"/>
    <xf numFmtId="173" fontId="2" fillId="0" borderId="0" xfId="103" applyNumberFormat="1" applyFont="1" applyFill="1"/>
    <xf numFmtId="0" fontId="6" fillId="0" borderId="0" xfId="0" applyFont="1" applyFill="1" applyBorder="1"/>
    <xf numFmtId="167" fontId="5" fillId="0" borderId="11" xfId="0" applyNumberFormat="1" applyFont="1" applyFill="1" applyBorder="1"/>
    <xf numFmtId="167" fontId="5" fillId="0" borderId="0" xfId="0" applyNumberFormat="1" applyFont="1" applyFill="1" applyBorder="1"/>
    <xf numFmtId="167" fontId="5" fillId="0" borderId="12" xfId="0" applyNumberFormat="1" applyFont="1" applyFill="1" applyBorder="1"/>
    <xf numFmtId="0" fontId="5" fillId="0" borderId="0" xfId="0" applyFont="1" applyFill="1"/>
    <xf numFmtId="0" fontId="15" fillId="0" borderId="0" xfId="0" applyFont="1" applyFill="1"/>
    <xf numFmtId="176" fontId="5" fillId="0" borderId="11" xfId="0" applyNumberFormat="1" applyFont="1" applyFill="1" applyBorder="1"/>
    <xf numFmtId="176" fontId="5" fillId="0" borderId="0" xfId="0" applyNumberFormat="1" applyFont="1" applyBorder="1"/>
    <xf numFmtId="176" fontId="5" fillId="0" borderId="11" xfId="0" applyNumberFormat="1" applyFont="1" applyBorder="1"/>
    <xf numFmtId="176" fontId="5" fillId="0" borderId="0" xfId="0" applyNumberFormat="1" applyFont="1"/>
    <xf numFmtId="176" fontId="2" fillId="0" borderId="11" xfId="0" applyNumberFormat="1" applyFont="1" applyFill="1" applyBorder="1"/>
    <xf numFmtId="176" fontId="2" fillId="0" borderId="0" xfId="0" applyNumberFormat="1" applyFont="1" applyFill="1" applyBorder="1"/>
    <xf numFmtId="176" fontId="2" fillId="0" borderId="11" xfId="103" applyNumberFormat="1" applyFont="1" applyFill="1" applyBorder="1"/>
    <xf numFmtId="176" fontId="2" fillId="0" borderId="0" xfId="103" applyNumberFormat="1" applyFont="1" applyFill="1" applyBorder="1"/>
    <xf numFmtId="176" fontId="2" fillId="0" borderId="12" xfId="103" applyNumberFormat="1" applyFont="1" applyFill="1" applyBorder="1"/>
    <xf numFmtId="176" fontId="12" fillId="0" borderId="0" xfId="103" applyNumberFormat="1" applyFont="1" applyFill="1" applyBorder="1"/>
    <xf numFmtId="176" fontId="2" fillId="0" borderId="0" xfId="0" applyNumberFormat="1" applyFont="1" applyFill="1"/>
    <xf numFmtId="176" fontId="5" fillId="0" borderId="0" xfId="0" applyNumberFormat="1" applyFont="1" applyFill="1" applyBorder="1"/>
    <xf numFmtId="176" fontId="5" fillId="0" borderId="12" xfId="0" applyNumberFormat="1" applyFont="1" applyFill="1" applyBorder="1"/>
    <xf numFmtId="176" fontId="5" fillId="0" borderId="11" xfId="103" applyNumberFormat="1" applyFont="1" applyFill="1" applyBorder="1"/>
    <xf numFmtId="176" fontId="5" fillId="0" borderId="0" xfId="103" applyNumberFormat="1" applyFont="1" applyFill="1" applyBorder="1"/>
    <xf numFmtId="176" fontId="5" fillId="0" borderId="12" xfId="103" applyNumberFormat="1" applyFont="1" applyFill="1" applyBorder="1"/>
    <xf numFmtId="176" fontId="2" fillId="0" borderId="12" xfId="0" applyNumberFormat="1" applyFont="1" applyFill="1" applyBorder="1"/>
    <xf numFmtId="176" fontId="2" fillId="0" borderId="0" xfId="103" applyNumberFormat="1" applyFont="1" applyFill="1"/>
    <xf numFmtId="176" fontId="15" fillId="0" borderId="0" xfId="0" applyNumberFormat="1" applyFont="1" applyBorder="1"/>
    <xf numFmtId="176" fontId="15" fillId="0" borderId="0" xfId="0" applyNumberFormat="1" applyFont="1" applyFill="1" applyBorder="1"/>
    <xf numFmtId="176" fontId="5" fillId="0" borderId="0" xfId="0" applyNumberFormat="1" applyFont="1" applyFill="1"/>
    <xf numFmtId="176" fontId="15" fillId="0" borderId="0" xfId="0" applyNumberFormat="1" applyFont="1" applyFill="1"/>
    <xf numFmtId="176" fontId="2" fillId="0" borderId="0" xfId="0" applyNumberFormat="1" applyFont="1"/>
    <xf numFmtId="176" fontId="2" fillId="0" borderId="13" xfId="0" applyNumberFormat="1" applyFont="1" applyBorder="1"/>
    <xf numFmtId="176" fontId="2" fillId="0" borderId="14" xfId="0" applyNumberFormat="1" applyFont="1" applyBorder="1"/>
    <xf numFmtId="176" fontId="2" fillId="0" borderId="15" xfId="0" applyNumberFormat="1" applyFont="1" applyBorder="1"/>
    <xf numFmtId="173" fontId="11" fillId="0" borderId="11" xfId="103" applyNumberFormat="1" applyFont="1" applyBorder="1"/>
    <xf numFmtId="173" fontId="11" fillId="0" borderId="0" xfId="103" applyNumberFormat="1" applyFont="1" applyBorder="1"/>
    <xf numFmtId="173" fontId="11" fillId="0" borderId="12" xfId="103" applyNumberFormat="1" applyFont="1" applyBorder="1"/>
    <xf numFmtId="0" fontId="16" fillId="0" borderId="11" xfId="0" applyFont="1" applyBorder="1"/>
    <xf numFmtId="0" fontId="16" fillId="0" borderId="0" xfId="0" applyFont="1" applyBorder="1"/>
    <xf numFmtId="167" fontId="16" fillId="0" borderId="11" xfId="0" applyNumberFormat="1" applyFont="1" applyBorder="1"/>
    <xf numFmtId="167" fontId="16" fillId="0" borderId="0" xfId="0" applyNumberFormat="1" applyFont="1" applyBorder="1"/>
    <xf numFmtId="167" fontId="16" fillId="0" borderId="12" xfId="0" applyNumberFormat="1" applyFont="1" applyBorder="1"/>
    <xf numFmtId="174" fontId="12" fillId="0" borderId="0" xfId="0" applyNumberFormat="1" applyFont="1" applyBorder="1"/>
    <xf numFmtId="176" fontId="11" fillId="0" borderId="11" xfId="0" applyNumberFormat="1" applyFont="1" applyBorder="1"/>
    <xf numFmtId="49" fontId="11" fillId="0" borderId="11" xfId="0" applyNumberFormat="1" applyFont="1" applyBorder="1"/>
    <xf numFmtId="49" fontId="11" fillId="0" borderId="0" xfId="0" applyNumberFormat="1" applyFont="1" applyBorder="1"/>
    <xf numFmtId="49" fontId="11" fillId="0" borderId="11" xfId="103" applyNumberFormat="1" applyFont="1" applyBorder="1"/>
    <xf numFmtId="49" fontId="11" fillId="0" borderId="0" xfId="103" applyNumberFormat="1" applyFont="1" applyBorder="1"/>
    <xf numFmtId="49" fontId="11" fillId="0" borderId="12" xfId="103" applyNumberFormat="1" applyFont="1" applyBorder="1"/>
    <xf numFmtId="0" fontId="6" fillId="0" borderId="0" xfId="0" applyFont="1"/>
    <xf numFmtId="0" fontId="3" fillId="0" borderId="0" xfId="0" applyFont="1" applyFill="1"/>
    <xf numFmtId="0" fontId="11" fillId="0" borderId="0" xfId="0" applyFont="1" applyFill="1"/>
    <xf numFmtId="0" fontId="14" fillId="0" borderId="0" xfId="0" applyFont="1" applyFill="1"/>
    <xf numFmtId="0" fontId="16" fillId="0" borderId="0" xfId="0" applyFont="1" applyFill="1"/>
    <xf numFmtId="167" fontId="15" fillId="0" borderId="0" xfId="0" applyNumberFormat="1" applyFont="1" applyFill="1"/>
    <xf numFmtId="167" fontId="11" fillId="0" borderId="0" xfId="0" applyNumberFormat="1" applyFont="1" applyFill="1"/>
    <xf numFmtId="167" fontId="5" fillId="0" borderId="0" xfId="0" applyNumberFormat="1" applyFont="1" applyFill="1"/>
    <xf numFmtId="49" fontId="11" fillId="0" borderId="0" xfId="0" applyNumberFormat="1" applyFont="1" applyFill="1"/>
    <xf numFmtId="173" fontId="5" fillId="0" borderId="0" xfId="103" applyNumberFormat="1" applyFont="1" applyFill="1"/>
    <xf numFmtId="176" fontId="2" fillId="0" borderId="0" xfId="0" applyNumberFormat="1" applyFont="1" applyBorder="1"/>
    <xf numFmtId="176" fontId="2" fillId="0" borderId="11" xfId="0" applyNumberFormat="1" applyFont="1" applyBorder="1"/>
    <xf numFmtId="176" fontId="12" fillId="0" borderId="0" xfId="0" applyNumberFormat="1" applyFont="1" applyFill="1"/>
    <xf numFmtId="0" fontId="6" fillId="0" borderId="0" xfId="0" applyFont="1" applyFill="1"/>
    <xf numFmtId="167" fontId="2" fillId="0" borderId="0" xfId="0" applyNumberFormat="1" applyFont="1" applyFill="1"/>
    <xf numFmtId="167" fontId="6" fillId="0" borderId="0" xfId="0" applyNumberFormat="1" applyFont="1" applyFill="1"/>
    <xf numFmtId="176" fontId="11" fillId="0" borderId="0" xfId="0" applyNumberFormat="1" applyFont="1" applyBorder="1"/>
    <xf numFmtId="176" fontId="15" fillId="0" borderId="0" xfId="0" applyNumberFormat="1" applyFont="1"/>
    <xf numFmtId="0" fontId="6" fillId="0" borderId="11" xfId="0" applyFont="1" applyFill="1" applyBorder="1"/>
    <xf numFmtId="167" fontId="6" fillId="0" borderId="0" xfId="0" applyNumberFormat="1" applyFont="1" applyBorder="1"/>
    <xf numFmtId="167" fontId="6" fillId="0" borderId="11" xfId="0" applyNumberFormat="1" applyFont="1" applyBorder="1"/>
    <xf numFmtId="0" fontId="25" fillId="0" borderId="0" xfId="0" applyFont="1"/>
    <xf numFmtId="0" fontId="6" fillId="0" borderId="17" xfId="0" applyFont="1" applyBorder="1"/>
    <xf numFmtId="176" fontId="5" fillId="0" borderId="13" xfId="0" applyNumberFormat="1" applyFont="1" applyBorder="1"/>
    <xf numFmtId="176" fontId="5" fillId="0" borderId="14" xfId="0" applyNumberFormat="1" applyFont="1" applyBorder="1"/>
    <xf numFmtId="176" fontId="11" fillId="0" borderId="0" xfId="0" applyNumberFormat="1" applyFont="1"/>
    <xf numFmtId="176" fontId="11" fillId="0" borderId="12" xfId="0" applyNumberFormat="1" applyFont="1" applyBorder="1"/>
    <xf numFmtId="176" fontId="11" fillId="0" borderId="0" xfId="0" applyNumberFormat="1" applyFont="1" applyFill="1"/>
    <xf numFmtId="176" fontId="11" fillId="0" borderId="0" xfId="103" applyNumberFormat="1" applyFont="1" applyBorder="1"/>
    <xf numFmtId="167" fontId="6" fillId="0" borderId="12" xfId="0" applyNumberFormat="1" applyFont="1" applyBorder="1"/>
    <xf numFmtId="0" fontId="6" fillId="0" borderId="12" xfId="0" applyFont="1" applyFill="1" applyBorder="1"/>
    <xf numFmtId="0" fontId="8" fillId="0" borderId="0" xfId="0" applyFont="1"/>
    <xf numFmtId="0" fontId="8" fillId="0" borderId="0" xfId="0" applyFont="1" applyBorder="1"/>
    <xf numFmtId="0" fontId="8" fillId="0" borderId="0" xfId="0" applyFont="1" applyFill="1"/>
    <xf numFmtId="167" fontId="12" fillId="0" borderId="0" xfId="0" applyNumberFormat="1" applyFont="1"/>
    <xf numFmtId="167" fontId="12" fillId="0" borderId="0" xfId="0" applyNumberFormat="1" applyFont="1" applyFill="1"/>
    <xf numFmtId="167" fontId="6" fillId="0" borderId="0" xfId="0" applyNumberFormat="1" applyFont="1"/>
    <xf numFmtId="167" fontId="12" fillId="0" borderId="13" xfId="0" applyNumberFormat="1" applyFont="1" applyBorder="1"/>
    <xf numFmtId="167" fontId="12" fillId="0" borderId="14" xfId="0" applyNumberFormat="1" applyFont="1" applyBorder="1"/>
    <xf numFmtId="174" fontId="12" fillId="0" borderId="15" xfId="0" applyNumberFormat="1" applyFont="1" applyBorder="1"/>
    <xf numFmtId="167" fontId="12" fillId="0" borderId="15" xfId="0" applyNumberFormat="1" applyFont="1" applyBorder="1"/>
    <xf numFmtId="167" fontId="2" fillId="0" borderId="15" xfId="0" applyNumberFormat="1" applyFont="1" applyBorder="1"/>
    <xf numFmtId="167" fontId="2" fillId="0" borderId="13" xfId="0" applyNumberFormat="1" applyFont="1" applyBorder="1"/>
    <xf numFmtId="167" fontId="2" fillId="0" borderId="14" xfId="0" applyNumberFormat="1" applyFont="1" applyBorder="1"/>
    <xf numFmtId="0" fontId="21" fillId="0" borderId="0" xfId="0" applyFont="1"/>
    <xf numFmtId="0" fontId="21" fillId="0" borderId="0" xfId="0" applyFont="1" applyFill="1"/>
    <xf numFmtId="173" fontId="21" fillId="0" borderId="11" xfId="103" applyNumberFormat="1" applyFont="1" applyBorder="1"/>
    <xf numFmtId="173" fontId="21" fillId="0" borderId="0" xfId="103" applyNumberFormat="1" applyFont="1" applyBorder="1"/>
    <xf numFmtId="173" fontId="21" fillId="0" borderId="12" xfId="103" applyNumberFormat="1" applyFont="1" applyBorder="1"/>
    <xf numFmtId="0" fontId="21" fillId="0" borderId="11" xfId="0" applyFont="1" applyBorder="1"/>
    <xf numFmtId="0" fontId="21" fillId="0" borderId="0" xfId="0" applyFont="1" applyBorder="1"/>
    <xf numFmtId="173" fontId="21" fillId="0" borderId="11" xfId="0" applyNumberFormat="1" applyFont="1" applyBorder="1"/>
    <xf numFmtId="173" fontId="21" fillId="0" borderId="0" xfId="0" applyNumberFormat="1" applyFont="1" applyBorder="1"/>
    <xf numFmtId="176" fontId="5" fillId="0" borderId="0" xfId="103" applyNumberFormat="1" applyFont="1" applyBorder="1"/>
    <xf numFmtId="167" fontId="12" fillId="0" borderId="11" xfId="103" applyNumberFormat="1" applyFont="1" applyBorder="1"/>
    <xf numFmtId="167" fontId="12" fillId="0" borderId="0" xfId="103" applyNumberFormat="1" applyFont="1" applyBorder="1"/>
    <xf numFmtId="167" fontId="12" fillId="0" borderId="12" xfId="103" applyNumberFormat="1" applyFont="1" applyBorder="1"/>
    <xf numFmtId="167" fontId="15" fillId="0" borderId="11" xfId="103" applyNumberFormat="1" applyFont="1" applyBorder="1"/>
    <xf numFmtId="167" fontId="15" fillId="0" borderId="0" xfId="103" applyNumberFormat="1" applyFont="1" applyBorder="1"/>
    <xf numFmtId="167" fontId="15" fillId="0" borderId="12" xfId="103" applyNumberFormat="1" applyFont="1" applyBorder="1"/>
    <xf numFmtId="167" fontId="11" fillId="0" borderId="11" xfId="103" applyNumberFormat="1" applyFont="1" applyBorder="1"/>
    <xf numFmtId="167" fontId="11" fillId="0" borderId="0" xfId="103" applyNumberFormat="1" applyFont="1" applyBorder="1"/>
    <xf numFmtId="167" fontId="11" fillId="0" borderId="12" xfId="103" applyNumberFormat="1" applyFont="1" applyBorder="1"/>
    <xf numFmtId="167" fontId="2" fillId="0" borderId="11" xfId="103" applyNumberFormat="1" applyFont="1" applyBorder="1"/>
    <xf numFmtId="167" fontId="2" fillId="0" borderId="0" xfId="103" applyNumberFormat="1" applyFont="1" applyBorder="1"/>
    <xf numFmtId="167" fontId="2" fillId="0" borderId="12" xfId="103" applyNumberFormat="1" applyFont="1" applyBorder="1"/>
    <xf numFmtId="167" fontId="6" fillId="0" borderId="0" xfId="103" applyNumberFormat="1" applyFont="1" applyBorder="1"/>
    <xf numFmtId="167" fontId="6" fillId="0" borderId="12" xfId="103" applyNumberFormat="1" applyFont="1" applyBorder="1"/>
    <xf numFmtId="167" fontId="6" fillId="0" borderId="11" xfId="103" applyNumberFormat="1" applyFont="1" applyBorder="1"/>
    <xf numFmtId="167" fontId="12" fillId="0" borderId="11" xfId="103" applyNumberFormat="1" applyFont="1" applyFill="1" applyBorder="1"/>
    <xf numFmtId="167" fontId="12" fillId="0" borderId="0" xfId="103" applyNumberFormat="1" applyFont="1" applyFill="1" applyBorder="1"/>
    <xf numFmtId="167" fontId="12" fillId="0" borderId="12" xfId="103" applyNumberFormat="1" applyFont="1" applyFill="1" applyBorder="1"/>
    <xf numFmtId="167" fontId="12" fillId="0" borderId="11" xfId="0" applyNumberFormat="1" applyFont="1" applyFill="1" applyBorder="1"/>
    <xf numFmtId="167" fontId="12" fillId="0" borderId="0" xfId="0" applyNumberFormat="1" applyFont="1" applyFill="1" applyBorder="1"/>
    <xf numFmtId="167" fontId="12" fillId="0" borderId="12" xfId="0" applyNumberFormat="1" applyFont="1" applyFill="1" applyBorder="1"/>
    <xf numFmtId="167" fontId="15" fillId="0" borderId="11" xfId="0" applyNumberFormat="1" applyFont="1" applyFill="1" applyBorder="1"/>
    <xf numFmtId="167" fontId="15" fillId="0" borderId="0" xfId="0" applyNumberFormat="1" applyFont="1" applyFill="1" applyBorder="1"/>
    <xf numFmtId="167" fontId="15" fillId="0" borderId="12" xfId="0" applyNumberFormat="1" applyFont="1" applyFill="1" applyBorder="1"/>
    <xf numFmtId="167" fontId="15" fillId="0" borderId="11" xfId="103" applyNumberFormat="1" applyFont="1" applyFill="1" applyBorder="1"/>
    <xf numFmtId="167" fontId="15" fillId="0" borderId="0" xfId="103" applyNumberFormat="1" applyFont="1" applyFill="1" applyBorder="1"/>
    <xf numFmtId="167" fontId="15" fillId="0" borderId="12" xfId="103" applyNumberFormat="1" applyFont="1" applyFill="1" applyBorder="1"/>
    <xf numFmtId="167" fontId="11" fillId="0" borderId="11" xfId="103" applyNumberFormat="1" applyFont="1" applyFill="1" applyBorder="1"/>
    <xf numFmtId="167" fontId="11" fillId="0" borderId="0" xfId="103" applyNumberFormat="1" applyFont="1" applyFill="1" applyBorder="1"/>
    <xf numFmtId="167" fontId="11" fillId="0" borderId="12" xfId="103" applyNumberFormat="1" applyFont="1" applyFill="1" applyBorder="1"/>
    <xf numFmtId="167" fontId="2" fillId="0" borderId="11" xfId="0" applyNumberFormat="1" applyFont="1" applyFill="1" applyBorder="1"/>
    <xf numFmtId="167" fontId="2" fillId="0" borderId="0" xfId="0" applyNumberFormat="1" applyFont="1" applyFill="1" applyBorder="1"/>
    <xf numFmtId="167" fontId="2" fillId="0" borderId="12" xfId="0" applyNumberFormat="1" applyFont="1" applyFill="1" applyBorder="1"/>
    <xf numFmtId="173" fontId="6" fillId="0" borderId="0" xfId="103" applyNumberFormat="1" applyFont="1" applyBorder="1"/>
    <xf numFmtId="167" fontId="5" fillId="0" borderId="11" xfId="103" applyNumberFormat="1" applyFont="1" applyBorder="1"/>
    <xf numFmtId="167" fontId="5" fillId="0" borderId="0" xfId="103" applyNumberFormat="1" applyFont="1" applyBorder="1"/>
    <xf numFmtId="167" fontId="5" fillId="0" borderId="12" xfId="103" applyNumberFormat="1" applyFont="1" applyBorder="1"/>
    <xf numFmtId="167" fontId="2" fillId="0" borderId="0" xfId="0" applyNumberFormat="1" applyFont="1"/>
    <xf numFmtId="49" fontId="0" fillId="0" borderId="0" xfId="0" applyNumberFormat="1"/>
    <xf numFmtId="176" fontId="11" fillId="0" borderId="11" xfId="103" applyNumberFormat="1" applyFont="1" applyFill="1" applyBorder="1"/>
    <xf numFmtId="176" fontId="11" fillId="0" borderId="0" xfId="0" applyNumberFormat="1" applyFont="1" applyFill="1" applyBorder="1"/>
    <xf numFmtId="176" fontId="11" fillId="0" borderId="0" xfId="103" applyNumberFormat="1" applyFont="1" applyFill="1" applyBorder="1"/>
    <xf numFmtId="176" fontId="11" fillId="0" borderId="12" xfId="103" applyNumberFormat="1" applyFont="1" applyFill="1" applyBorder="1"/>
    <xf numFmtId="176" fontId="4" fillId="0" borderId="0" xfId="103" applyNumberFormat="1" applyFont="1" applyFill="1" applyBorder="1"/>
    <xf numFmtId="176" fontId="11" fillId="0" borderId="11" xfId="0" applyNumberFormat="1" applyFont="1" applyFill="1" applyBorder="1"/>
    <xf numFmtId="176" fontId="11" fillId="0" borderId="12" xfId="0" applyNumberFormat="1" applyFont="1" applyFill="1" applyBorder="1"/>
    <xf numFmtId="44" fontId="12" fillId="0" borderId="12" xfId="59" applyFont="1" applyFill="1" applyBorder="1"/>
    <xf numFmtId="44" fontId="15" fillId="0" borderId="11" xfId="59" applyFont="1" applyBorder="1"/>
    <xf numFmtId="44" fontId="15" fillId="0" borderId="0" xfId="59" applyFont="1" applyBorder="1"/>
    <xf numFmtId="44" fontId="12" fillId="0" borderId="0" xfId="59" applyFont="1" applyFill="1" applyBorder="1"/>
    <xf numFmtId="44" fontId="12" fillId="0" borderId="11" xfId="59" applyFont="1" applyFill="1" applyBorder="1"/>
    <xf numFmtId="44" fontId="5" fillId="0" borderId="11" xfId="59" applyFont="1" applyBorder="1"/>
    <xf numFmtId="44" fontId="5" fillId="0" borderId="0" xfId="59" applyFont="1" applyBorder="1"/>
    <xf numFmtId="44" fontId="5" fillId="0" borderId="12" xfId="59" applyFont="1" applyBorder="1"/>
    <xf numFmtId="44" fontId="15" fillId="0" borderId="12" xfId="59" applyFont="1" applyBorder="1"/>
    <xf numFmtId="167" fontId="15" fillId="0" borderId="0" xfId="0" applyNumberFormat="1" applyFont="1" applyBorder="1" applyAlignment="1">
      <alignment horizontal="right"/>
    </xf>
    <xf numFmtId="167" fontId="15" fillId="0" borderId="12" xfId="0" applyNumberFormat="1" applyFont="1" applyBorder="1" applyAlignment="1">
      <alignment horizontal="right"/>
    </xf>
    <xf numFmtId="167" fontId="15" fillId="0" borderId="11" xfId="0" applyNumberFormat="1" applyFont="1" applyBorder="1" applyAlignment="1">
      <alignment horizontal="right"/>
    </xf>
    <xf numFmtId="174" fontId="15" fillId="0" borderId="0" xfId="103" applyNumberFormat="1" applyFont="1" applyBorder="1"/>
    <xf numFmtId="166" fontId="5" fillId="0" borderId="11" xfId="53" applyNumberFormat="1" applyFont="1" applyBorder="1"/>
    <xf numFmtId="166" fontId="5" fillId="0" borderId="0" xfId="53" applyNumberFormat="1" applyFont="1" applyBorder="1"/>
    <xf numFmtId="181" fontId="5" fillId="0" borderId="11" xfId="0" applyNumberFormat="1" applyFont="1" applyFill="1" applyBorder="1"/>
    <xf numFmtId="9" fontId="12" fillId="0" borderId="0" xfId="103" applyFont="1" applyFill="1" applyBorder="1"/>
    <xf numFmtId="44" fontId="15" fillId="18" borderId="0" xfId="59" applyFont="1" applyFill="1" applyBorder="1"/>
    <xf numFmtId="182" fontId="2" fillId="0" borderId="0" xfId="53" applyNumberFormat="1" applyFont="1"/>
    <xf numFmtId="164" fontId="2" fillId="0" borderId="0" xfId="53" applyNumberFormat="1" applyFont="1"/>
    <xf numFmtId="173" fontId="2" fillId="0" borderId="13" xfId="0" applyNumberFormat="1" applyFont="1" applyBorder="1"/>
    <xf numFmtId="173" fontId="2" fillId="0" borderId="14" xfId="0" applyNumberFormat="1" applyFont="1" applyBorder="1"/>
    <xf numFmtId="173" fontId="2" fillId="0" borderId="15" xfId="0" applyNumberFormat="1" applyFont="1" applyBorder="1"/>
    <xf numFmtId="0" fontId="11" fillId="0" borderId="16" xfId="0" applyFont="1" applyBorder="1"/>
    <xf numFmtId="173" fontId="11" fillId="0" borderId="17" xfId="0" applyNumberFormat="1" applyFont="1" applyBorder="1"/>
    <xf numFmtId="173" fontId="11" fillId="0" borderId="16" xfId="0" applyNumberFormat="1" applyFont="1" applyBorder="1"/>
    <xf numFmtId="173" fontId="11" fillId="0" borderId="21" xfId="0" applyNumberFormat="1" applyFont="1" applyBorder="1"/>
    <xf numFmtId="173" fontId="12" fillId="18" borderId="0" xfId="0" applyNumberFormat="1" applyFont="1" applyFill="1" applyBorder="1"/>
    <xf numFmtId="173" fontId="12" fillId="0" borderId="11" xfId="0" applyNumberFormat="1" applyFont="1" applyFill="1" applyBorder="1"/>
    <xf numFmtId="173" fontId="12" fillId="0" borderId="0" xfId="0" applyNumberFormat="1" applyFont="1" applyFill="1" applyBorder="1"/>
    <xf numFmtId="166" fontId="5" fillId="0" borderId="12" xfId="53" applyNumberFormat="1" applyFont="1" applyBorder="1"/>
    <xf numFmtId="166" fontId="15" fillId="18" borderId="0" xfId="53" applyNumberFormat="1" applyFont="1" applyFill="1" applyBorder="1"/>
    <xf numFmtId="167" fontId="15" fillId="18" borderId="0" xfId="103" applyNumberFormat="1" applyFont="1" applyFill="1" applyBorder="1"/>
    <xf numFmtId="173" fontId="15" fillId="0" borderId="12" xfId="103" applyNumberFormat="1" applyFont="1" applyFill="1" applyBorder="1"/>
    <xf numFmtId="173" fontId="15" fillId="0" borderId="0" xfId="103" applyNumberFormat="1" applyFont="1" applyFill="1" applyBorder="1"/>
    <xf numFmtId="166" fontId="5" fillId="0" borderId="0" xfId="53" applyNumberFormat="1" applyFont="1" applyFill="1" applyBorder="1"/>
    <xf numFmtId="166" fontId="5" fillId="0" borderId="12" xfId="53" applyNumberFormat="1" applyFont="1" applyFill="1" applyBorder="1"/>
    <xf numFmtId="166" fontId="5" fillId="0" borderId="11" xfId="53" applyNumberFormat="1" applyFont="1" applyFill="1" applyBorder="1"/>
    <xf numFmtId="0" fontId="12" fillId="0" borderId="0" xfId="0" applyFont="1" applyFill="1"/>
    <xf numFmtId="167" fontId="21" fillId="0" borderId="11" xfId="0" applyNumberFormat="1" applyFont="1" applyBorder="1"/>
    <xf numFmtId="167" fontId="21" fillId="0" borderId="0" xfId="0" applyNumberFormat="1" applyFont="1" applyBorder="1"/>
    <xf numFmtId="167" fontId="21" fillId="0" borderId="12" xfId="0" applyNumberFormat="1" applyFont="1" applyBorder="1"/>
    <xf numFmtId="174" fontId="21" fillId="0" borderId="0" xfId="0" applyNumberFormat="1" applyFont="1" applyBorder="1"/>
    <xf numFmtId="167" fontId="2" fillId="0" borderId="12" xfId="103" applyNumberFormat="1" applyFont="1" applyFill="1" applyBorder="1"/>
    <xf numFmtId="167" fontId="2" fillId="0" borderId="0" xfId="103" applyNumberFormat="1" applyFont="1" applyFill="1" applyBorder="1"/>
    <xf numFmtId="174" fontId="2" fillId="0" borderId="0" xfId="0" applyNumberFormat="1" applyFont="1"/>
    <xf numFmtId="174" fontId="6" fillId="0" borderId="12" xfId="0" applyNumberFormat="1" applyFont="1" applyBorder="1"/>
    <xf numFmtId="182" fontId="38" fillId="0" borderId="0" xfId="53" applyNumberFormat="1" applyFont="1" applyBorder="1"/>
    <xf numFmtId="182" fontId="11" fillId="0" borderId="0" xfId="53" applyNumberFormat="1" applyFont="1" applyBorder="1"/>
    <xf numFmtId="0" fontId="12" fillId="0" borderId="11" xfId="0" applyFont="1" applyBorder="1"/>
    <xf numFmtId="185" fontId="16" fillId="0" borderId="0" xfId="59" applyNumberFormat="1" applyFont="1"/>
    <xf numFmtId="185" fontId="16" fillId="0" borderId="12" xfId="59" applyNumberFormat="1" applyFont="1" applyBorder="1"/>
    <xf numFmtId="185" fontId="16" fillId="0" borderId="0" xfId="59" applyNumberFormat="1" applyFont="1" applyBorder="1"/>
    <xf numFmtId="0" fontId="2" fillId="0" borderId="22" xfId="0" applyFont="1" applyFill="1" applyBorder="1"/>
    <xf numFmtId="0" fontId="11" fillId="0" borderId="22" xfId="0" applyFont="1" applyBorder="1"/>
    <xf numFmtId="0" fontId="2" fillId="0" borderId="22" xfId="0" applyFont="1" applyBorder="1"/>
    <xf numFmtId="167" fontId="15" fillId="0" borderId="22" xfId="0" applyNumberFormat="1" applyFont="1" applyBorder="1"/>
    <xf numFmtId="0" fontId="5" fillId="0" borderId="22" xfId="0" applyFont="1" applyBorder="1"/>
    <xf numFmtId="167" fontId="5" fillId="0" borderId="22" xfId="0" applyNumberFormat="1" applyFont="1" applyBorder="1"/>
    <xf numFmtId="167" fontId="11" fillId="0" borderId="22" xfId="0" applyNumberFormat="1" applyFont="1" applyBorder="1"/>
    <xf numFmtId="7" fontId="5" fillId="0" borderId="22" xfId="59" applyNumberFormat="1" applyFont="1" applyBorder="1"/>
    <xf numFmtId="173" fontId="5" fillId="0" borderId="22" xfId="103" applyNumberFormat="1" applyFont="1" applyBorder="1"/>
    <xf numFmtId="173" fontId="2" fillId="0" borderId="22" xfId="103" applyNumberFormat="1" applyFont="1" applyBorder="1"/>
    <xf numFmtId="176" fontId="5" fillId="0" borderId="22" xfId="0" applyNumberFormat="1" applyFont="1" applyFill="1" applyBorder="1"/>
    <xf numFmtId="176" fontId="11" fillId="0" borderId="22" xfId="0" applyNumberFormat="1" applyFont="1" applyFill="1" applyBorder="1"/>
    <xf numFmtId="176" fontId="2" fillId="0" borderId="22" xfId="0" applyNumberFormat="1" applyFont="1" applyFill="1" applyBorder="1"/>
    <xf numFmtId="176" fontId="2" fillId="0" borderId="22" xfId="103" applyNumberFormat="1" applyFont="1" applyFill="1" applyBorder="1"/>
    <xf numFmtId="176" fontId="5" fillId="0" borderId="22" xfId="0" applyNumberFormat="1" applyFont="1" applyBorder="1"/>
    <xf numFmtId="176" fontId="11" fillId="0" borderId="22" xfId="0" applyNumberFormat="1" applyFont="1" applyBorder="1"/>
    <xf numFmtId="173" fontId="2" fillId="0" borderId="11" xfId="103" applyNumberFormat="1" applyFont="1" applyFill="1" applyBorder="1"/>
    <xf numFmtId="176" fontId="2" fillId="0" borderId="13" xfId="0" applyNumberFormat="1" applyFont="1" applyFill="1" applyBorder="1"/>
    <xf numFmtId="176" fontId="2" fillId="0" borderId="14" xfId="0" applyNumberFormat="1" applyFont="1" applyFill="1" applyBorder="1"/>
    <xf numFmtId="176" fontId="2" fillId="0" borderId="15" xfId="0" applyNumberFormat="1" applyFont="1" applyFill="1" applyBorder="1"/>
    <xf numFmtId="173" fontId="2" fillId="0" borderId="0" xfId="0" applyNumberFormat="1" applyFont="1" applyFill="1" applyBorder="1"/>
    <xf numFmtId="0" fontId="3" fillId="0" borderId="0" xfId="0" applyFont="1" applyFill="1" applyBorder="1"/>
    <xf numFmtId="0" fontId="21" fillId="0" borderId="0" xfId="0" applyFont="1" applyFill="1" applyBorder="1"/>
    <xf numFmtId="167" fontId="12" fillId="0" borderId="22" xfId="0" applyNumberFormat="1" applyFont="1" applyBorder="1"/>
    <xf numFmtId="167" fontId="2" fillId="0" borderId="22" xfId="0" applyNumberFormat="1" applyFont="1" applyBorder="1"/>
    <xf numFmtId="0" fontId="6" fillId="0" borderId="22" xfId="0" applyFont="1" applyFill="1" applyBorder="1"/>
    <xf numFmtId="0" fontId="6" fillId="0" borderId="22" xfId="0" applyFont="1" applyBorder="1"/>
    <xf numFmtId="167" fontId="6" fillId="0" borderId="22" xfId="0" applyNumberFormat="1" applyFont="1" applyBorder="1"/>
    <xf numFmtId="167" fontId="6" fillId="0" borderId="0" xfId="0" applyNumberFormat="1" applyFont="1" applyFill="1" applyBorder="1"/>
    <xf numFmtId="181" fontId="5" fillId="0" borderId="0" xfId="0" applyNumberFormat="1" applyFont="1" applyFill="1" applyBorder="1"/>
    <xf numFmtId="181" fontId="5" fillId="0" borderId="12" xfId="0" applyNumberFormat="1" applyFont="1" applyFill="1" applyBorder="1"/>
    <xf numFmtId="176" fontId="11" fillId="0" borderId="22" xfId="103" applyNumberFormat="1" applyFont="1" applyFill="1" applyBorder="1"/>
    <xf numFmtId="176" fontId="11" fillId="0" borderId="0" xfId="103" applyNumberFormat="1" applyFont="1" applyFill="1"/>
    <xf numFmtId="176" fontId="13" fillId="0" borderId="0" xfId="0" applyNumberFormat="1" applyFont="1" applyFill="1"/>
    <xf numFmtId="176" fontId="13" fillId="0" borderId="11" xfId="0" applyNumberFormat="1" applyFont="1" applyFill="1" applyBorder="1"/>
    <xf numFmtId="176" fontId="13" fillId="0" borderId="0" xfId="0" applyNumberFormat="1" applyFont="1" applyFill="1" applyBorder="1"/>
    <xf numFmtId="167" fontId="5" fillId="0" borderId="22" xfId="0" applyNumberFormat="1" applyFont="1" applyFill="1" applyBorder="1"/>
    <xf numFmtId="37" fontId="5" fillId="0" borderId="0" xfId="0" applyNumberFormat="1" applyFont="1" applyFill="1"/>
    <xf numFmtId="37" fontId="5" fillId="0" borderId="11" xfId="0" applyNumberFormat="1" applyFont="1" applyFill="1" applyBorder="1"/>
    <xf numFmtId="37" fontId="5" fillId="0" borderId="0" xfId="0" applyNumberFormat="1" applyFont="1" applyFill="1" applyBorder="1"/>
    <xf numFmtId="37" fontId="5" fillId="0" borderId="12" xfId="0" applyNumberFormat="1" applyFont="1" applyFill="1" applyBorder="1"/>
    <xf numFmtId="37" fontId="5" fillId="0" borderId="22" xfId="0" applyNumberFormat="1" applyFont="1" applyFill="1" applyBorder="1"/>
    <xf numFmtId="37" fontId="15" fillId="0" borderId="11" xfId="0" applyNumberFormat="1" applyFont="1" applyFill="1" applyBorder="1"/>
    <xf numFmtId="37" fontId="15" fillId="0" borderId="0" xfId="0" applyNumberFormat="1" applyFont="1" applyFill="1" applyBorder="1"/>
    <xf numFmtId="37" fontId="15" fillId="0" borderId="12" xfId="0" applyNumberFormat="1" applyFont="1" applyFill="1" applyBorder="1"/>
    <xf numFmtId="173" fontId="13" fillId="0" borderId="0" xfId="103" applyNumberFormat="1" applyFont="1" applyFill="1" applyBorder="1"/>
    <xf numFmtId="173" fontId="18" fillId="0" borderId="0" xfId="103" applyNumberFormat="1" applyFont="1" applyFill="1" applyBorder="1"/>
    <xf numFmtId="181" fontId="11" fillId="0" borderId="11" xfId="0" applyNumberFormat="1" applyFont="1" applyFill="1" applyBorder="1"/>
    <xf numFmtId="181" fontId="11" fillId="0" borderId="0" xfId="0" applyNumberFormat="1" applyFont="1" applyFill="1" applyBorder="1"/>
    <xf numFmtId="181" fontId="11" fillId="0" borderId="12" xfId="0" applyNumberFormat="1" applyFont="1" applyFill="1" applyBorder="1"/>
    <xf numFmtId="173" fontId="11" fillId="0" borderId="0" xfId="103" applyNumberFormat="1" applyFont="1" applyFill="1" applyBorder="1"/>
    <xf numFmtId="173" fontId="15" fillId="0" borderId="11" xfId="103" applyNumberFormat="1" applyFont="1" applyFill="1" applyBorder="1"/>
    <xf numFmtId="37" fontId="16" fillId="0" borderId="11" xfId="0" applyNumberFormat="1" applyFont="1" applyFill="1" applyBorder="1"/>
    <xf numFmtId="37" fontId="16" fillId="0" borderId="0" xfId="0" applyNumberFormat="1" applyFont="1" applyFill="1" applyBorder="1"/>
    <xf numFmtId="37" fontId="16" fillId="0" borderId="12" xfId="0" applyNumberFormat="1" applyFont="1" applyFill="1" applyBorder="1"/>
    <xf numFmtId="37" fontId="16" fillId="0" borderId="22" xfId="0" applyNumberFormat="1" applyFont="1" applyFill="1" applyBorder="1"/>
    <xf numFmtId="37" fontId="16" fillId="0" borderId="0" xfId="0" applyNumberFormat="1" applyFont="1" applyFill="1"/>
    <xf numFmtId="176" fontId="16" fillId="0" borderId="0" xfId="0" applyNumberFormat="1" applyFont="1" applyFill="1"/>
    <xf numFmtId="176" fontId="16" fillId="0" borderId="11" xfId="0" applyNumberFormat="1" applyFont="1" applyFill="1" applyBorder="1"/>
    <xf numFmtId="176" fontId="16" fillId="0" borderId="11" xfId="103" applyNumberFormat="1" applyFont="1" applyFill="1" applyBorder="1"/>
    <xf numFmtId="176" fontId="16" fillId="0" borderId="0" xfId="103" applyNumberFormat="1" applyFont="1" applyFill="1" applyBorder="1"/>
    <xf numFmtId="176" fontId="16" fillId="0" borderId="12" xfId="103" applyNumberFormat="1" applyFont="1" applyFill="1" applyBorder="1"/>
    <xf numFmtId="173" fontId="16" fillId="0" borderId="11" xfId="103" applyNumberFormat="1" applyFont="1" applyFill="1" applyBorder="1"/>
    <xf numFmtId="173" fontId="16" fillId="0" borderId="0" xfId="103" applyNumberFormat="1" applyFont="1" applyFill="1" applyBorder="1"/>
    <xf numFmtId="173" fontId="16" fillId="0" borderId="12" xfId="103" applyNumberFormat="1" applyFont="1" applyFill="1" applyBorder="1"/>
    <xf numFmtId="167" fontId="16" fillId="0" borderId="22" xfId="0" applyNumberFormat="1" applyFont="1" applyBorder="1"/>
    <xf numFmtId="167" fontId="16" fillId="0" borderId="0" xfId="0" applyNumberFormat="1" applyFont="1"/>
    <xf numFmtId="167" fontId="16" fillId="0" borderId="11" xfId="0" applyNumberFormat="1" applyFont="1" applyFill="1" applyBorder="1"/>
    <xf numFmtId="167" fontId="16" fillId="0" borderId="11" xfId="103" applyNumberFormat="1" applyFont="1" applyFill="1" applyBorder="1"/>
    <xf numFmtId="167" fontId="16" fillId="0" borderId="0" xfId="103" applyNumberFormat="1" applyFont="1" applyFill="1" applyBorder="1"/>
    <xf numFmtId="167" fontId="16" fillId="0" borderId="12" xfId="103" applyNumberFormat="1" applyFont="1" applyFill="1" applyBorder="1"/>
    <xf numFmtId="167" fontId="16" fillId="0" borderId="0" xfId="0" applyNumberFormat="1" applyFont="1" applyFill="1"/>
    <xf numFmtId="9" fontId="15" fillId="0" borderId="11" xfId="103" applyFont="1" applyFill="1" applyBorder="1"/>
    <xf numFmtId="9" fontId="15" fillId="0" borderId="0" xfId="103" applyFont="1" applyFill="1" applyBorder="1"/>
    <xf numFmtId="9" fontId="15" fillId="0" borderId="12" xfId="103" applyFont="1" applyFill="1" applyBorder="1"/>
    <xf numFmtId="44" fontId="5" fillId="0" borderId="0" xfId="59" applyFont="1" applyFill="1" applyBorder="1"/>
    <xf numFmtId="44" fontId="15" fillId="0" borderId="11" xfId="59" applyFont="1" applyFill="1" applyBorder="1"/>
    <xf numFmtId="173" fontId="5" fillId="0" borderId="22" xfId="103" applyNumberFormat="1" applyFont="1" applyFill="1" applyBorder="1"/>
    <xf numFmtId="44" fontId="2" fillId="0" borderId="0" xfId="59" applyFont="1" applyFill="1" applyBorder="1"/>
    <xf numFmtId="167" fontId="40" fillId="0" borderId="0" xfId="0" applyNumberFormat="1" applyFont="1" applyBorder="1"/>
    <xf numFmtId="183" fontId="2" fillId="0" borderId="0" xfId="0" applyNumberFormat="1" applyFont="1"/>
    <xf numFmtId="0" fontId="11" fillId="0" borderId="12" xfId="0" applyFont="1" applyFill="1" applyBorder="1"/>
    <xf numFmtId="176" fontId="2" fillId="0" borderId="12" xfId="0" applyNumberFormat="1" applyFont="1" applyBorder="1"/>
    <xf numFmtId="44" fontId="2" fillId="0" borderId="12" xfId="59" applyFont="1" applyFill="1" applyBorder="1"/>
    <xf numFmtId="44" fontId="2" fillId="0" borderId="11" xfId="59" applyFont="1" applyFill="1" applyBorder="1"/>
    <xf numFmtId="0" fontId="5" fillId="0" borderId="13" xfId="0" applyFont="1" applyFill="1" applyBorder="1"/>
    <xf numFmtId="0" fontId="5" fillId="0" borderId="14" xfId="0" applyFont="1" applyFill="1" applyBorder="1"/>
    <xf numFmtId="0" fontId="5" fillId="0" borderId="15" xfId="0" applyFont="1" applyFill="1" applyBorder="1"/>
    <xf numFmtId="44" fontId="5" fillId="0" borderId="11" xfId="59" applyFont="1" applyFill="1" applyBorder="1"/>
    <xf numFmtId="44" fontId="5" fillId="0" borderId="12" xfId="59" applyFont="1" applyFill="1" applyBorder="1"/>
    <xf numFmtId="9" fontId="11" fillId="0" borderId="0" xfId="103" applyFont="1" applyFill="1" applyBorder="1"/>
    <xf numFmtId="9" fontId="2" fillId="0" borderId="0" xfId="103" applyFont="1" applyFill="1" applyBorder="1"/>
    <xf numFmtId="173" fontId="12" fillId="0" borderId="0" xfId="103" applyNumberFormat="1" applyFont="1" applyFill="1" applyBorder="1"/>
    <xf numFmtId="44" fontId="15" fillId="0" borderId="0" xfId="59" applyFont="1" applyFill="1" applyBorder="1"/>
    <xf numFmtId="173" fontId="41" fillId="0" borderId="11" xfId="103" applyNumberFormat="1" applyFont="1" applyFill="1" applyBorder="1"/>
    <xf numFmtId="173" fontId="41" fillId="0" borderId="0" xfId="103" applyNumberFormat="1" applyFont="1" applyFill="1" applyBorder="1"/>
    <xf numFmtId="173" fontId="41" fillId="0" borderId="12" xfId="103" applyNumberFormat="1" applyFont="1" applyFill="1" applyBorder="1"/>
    <xf numFmtId="173" fontId="37" fillId="0" borderId="0" xfId="0" applyNumberFormat="1" applyFont="1"/>
    <xf numFmtId="9" fontId="40" fillId="0" borderId="0" xfId="103" applyFont="1"/>
    <xf numFmtId="7" fontId="37" fillId="0" borderId="0" xfId="0" applyNumberFormat="1" applyFont="1" applyBorder="1"/>
    <xf numFmtId="187" fontId="40" fillId="0" borderId="0" xfId="0" applyNumberFormat="1" applyFont="1"/>
    <xf numFmtId="39" fontId="5" fillId="0" borderId="0" xfId="0" applyNumberFormat="1" applyFont="1" applyBorder="1"/>
    <xf numFmtId="0" fontId="41" fillId="0" borderId="0" xfId="0" applyFont="1"/>
    <xf numFmtId="185" fontId="41" fillId="0" borderId="0" xfId="59" applyNumberFormat="1" applyFont="1"/>
    <xf numFmtId="0" fontId="41" fillId="0" borderId="0" xfId="0" applyFont="1" applyFill="1"/>
    <xf numFmtId="0" fontId="40" fillId="0" borderId="0" xfId="0" applyFont="1"/>
    <xf numFmtId="185" fontId="40" fillId="0" borderId="0" xfId="59" applyNumberFormat="1" applyFont="1"/>
    <xf numFmtId="0" fontId="40" fillId="0" borderId="0" xfId="0" applyFont="1" applyFill="1"/>
    <xf numFmtId="188" fontId="40" fillId="0" borderId="0" xfId="59" applyNumberFormat="1" applyFont="1"/>
    <xf numFmtId="9" fontId="5" fillId="0" borderId="0" xfId="103" applyFont="1" applyFill="1" applyBorder="1"/>
    <xf numFmtId="174" fontId="37" fillId="0" borderId="0" xfId="0" applyNumberFormat="1" applyFont="1" applyBorder="1"/>
    <xf numFmtId="174" fontId="37" fillId="0" borderId="0" xfId="59" applyNumberFormat="1" applyFont="1" applyBorder="1"/>
    <xf numFmtId="167" fontId="80" fillId="0" borderId="12" xfId="0" applyNumberFormat="1" applyFont="1" applyFill="1" applyBorder="1"/>
    <xf numFmtId="167" fontId="80" fillId="0" borderId="0" xfId="0" applyNumberFormat="1" applyFont="1" applyBorder="1"/>
    <xf numFmtId="167" fontId="80" fillId="0" borderId="0" xfId="0" applyNumberFormat="1" applyFont="1" applyFill="1" applyBorder="1"/>
    <xf numFmtId="7" fontId="2" fillId="0" borderId="0" xfId="59" applyNumberFormat="1" applyFont="1"/>
    <xf numFmtId="7" fontId="2" fillId="0" borderId="11" xfId="59" applyNumberFormat="1" applyFont="1" applyBorder="1"/>
    <xf numFmtId="7" fontId="2" fillId="0" borderId="0" xfId="59" applyNumberFormat="1" applyFont="1" applyBorder="1"/>
    <xf numFmtId="7" fontId="2" fillId="0" borderId="12" xfId="59" applyNumberFormat="1" applyFont="1" applyBorder="1"/>
    <xf numFmtId="7" fontId="2" fillId="0" borderId="22" xfId="59" applyNumberFormat="1" applyFont="1" applyBorder="1"/>
    <xf numFmtId="7" fontId="6" fillId="0" borderId="0" xfId="59" applyNumberFormat="1" applyFont="1"/>
    <xf numFmtId="7" fontId="6" fillId="0" borderId="11" xfId="59" applyNumberFormat="1" applyFont="1" applyBorder="1"/>
    <xf numFmtId="167" fontId="80" fillId="0" borderId="12" xfId="103" applyNumberFormat="1" applyFont="1" applyFill="1" applyBorder="1"/>
    <xf numFmtId="167" fontId="6" fillId="0" borderId="12" xfId="0" applyNumberFormat="1" applyFont="1" applyFill="1" applyBorder="1"/>
    <xf numFmtId="168" fontId="81" fillId="22" borderId="20" xfId="0" applyNumberFormat="1" applyFont="1" applyFill="1" applyBorder="1" applyAlignment="1"/>
    <xf numFmtId="176" fontId="82" fillId="0" borderId="0" xfId="0" applyNumberFormat="1" applyFont="1" applyFill="1" applyBorder="1"/>
    <xf numFmtId="3" fontId="82" fillId="0" borderId="0" xfId="0" applyNumberFormat="1" applyFont="1" applyFill="1" applyBorder="1"/>
    <xf numFmtId="9" fontId="5" fillId="0" borderId="11" xfId="103" applyFont="1" applyFill="1" applyBorder="1"/>
    <xf numFmtId="3" fontId="82" fillId="0" borderId="12" xfId="0" applyNumberFormat="1" applyFont="1" applyFill="1" applyBorder="1"/>
    <xf numFmtId="9" fontId="5" fillId="0" borderId="12" xfId="103" applyFont="1" applyFill="1" applyBorder="1"/>
    <xf numFmtId="44" fontId="80" fillId="0" borderId="0" xfId="59" applyFont="1" applyBorder="1"/>
    <xf numFmtId="167" fontId="80" fillId="0" borderId="0" xfId="103" applyNumberFormat="1" applyFont="1" applyFill="1" applyBorder="1"/>
    <xf numFmtId="166" fontId="15" fillId="0" borderId="0" xfId="53" applyNumberFormat="1" applyFont="1" applyFill="1" applyBorder="1"/>
    <xf numFmtId="9" fontId="82" fillId="0" borderId="0" xfId="103" applyFont="1" applyFill="1" applyBorder="1"/>
    <xf numFmtId="9" fontId="82" fillId="0" borderId="12" xfId="103" applyFont="1" applyFill="1" applyBorder="1"/>
    <xf numFmtId="9" fontId="82" fillId="0" borderId="11" xfId="103" applyFont="1" applyFill="1" applyBorder="1"/>
    <xf numFmtId="183" fontId="2" fillId="0" borderId="0" xfId="0" applyNumberFormat="1" applyFont="1" applyFill="1"/>
    <xf numFmtId="7" fontId="40" fillId="0" borderId="0" xfId="53" applyNumberFormat="1" applyFont="1" applyFill="1"/>
    <xf numFmtId="176" fontId="37" fillId="0" borderId="0" xfId="103" applyNumberFormat="1" applyFont="1" applyFill="1"/>
    <xf numFmtId="43" fontId="2" fillId="0" borderId="0" xfId="53" applyFont="1" applyFill="1"/>
    <xf numFmtId="173" fontId="6" fillId="0" borderId="0" xfId="0" applyNumberFormat="1" applyFont="1" applyFill="1"/>
    <xf numFmtId="10" fontId="2" fillId="0" borderId="0" xfId="103" applyNumberFormat="1" applyFont="1" applyBorder="1"/>
    <xf numFmtId="173" fontId="37" fillId="0" borderId="0" xfId="103" applyNumberFormat="1" applyFont="1" applyBorder="1"/>
    <xf numFmtId="185" fontId="2" fillId="0" borderId="0" xfId="59" applyNumberFormat="1" applyFont="1"/>
    <xf numFmtId="185" fontId="41" fillId="0" borderId="0" xfId="59" applyNumberFormat="1" applyFont="1" applyBorder="1"/>
    <xf numFmtId="173" fontId="80" fillId="0" borderId="0" xfId="103" applyNumberFormat="1" applyFont="1" applyFill="1" applyBorder="1"/>
    <xf numFmtId="168" fontId="8" fillId="0" borderId="19" xfId="0" applyNumberFormat="1" applyFont="1" applyFill="1" applyBorder="1" applyAlignment="1"/>
    <xf numFmtId="173" fontId="15" fillId="18" borderId="0" xfId="0" applyNumberFormat="1" applyFont="1" applyFill="1" applyBorder="1"/>
    <xf numFmtId="167" fontId="82" fillId="0" borderId="0" xfId="103" applyNumberFormat="1" applyFont="1" applyBorder="1"/>
    <xf numFmtId="0" fontId="0" fillId="24" borderId="0" xfId="0" applyFill="1" applyBorder="1"/>
    <xf numFmtId="190" fontId="2" fillId="0" borderId="0" xfId="0" applyNumberFormat="1" applyFont="1" applyBorder="1"/>
    <xf numFmtId="190" fontId="6" fillId="0" borderId="0" xfId="0" applyNumberFormat="1" applyFont="1" applyBorder="1"/>
    <xf numFmtId="190" fontId="80" fillId="0" borderId="0" xfId="0" applyNumberFormat="1" applyFont="1" applyBorder="1"/>
    <xf numFmtId="0" fontId="80" fillId="0" borderId="0" xfId="0" applyFont="1" applyBorder="1"/>
    <xf numFmtId="166" fontId="6" fillId="0" borderId="0" xfId="53" applyNumberFormat="1" applyFont="1" applyBorder="1"/>
    <xf numFmtId="9" fontId="37" fillId="0" borderId="0" xfId="0" applyNumberFormat="1" applyFont="1" applyBorder="1"/>
    <xf numFmtId="173" fontId="80" fillId="0" borderId="0" xfId="0" applyNumberFormat="1" applyFont="1" applyBorder="1"/>
    <xf numFmtId="191" fontId="15" fillId="0" borderId="0" xfId="103" applyNumberFormat="1" applyFont="1" applyBorder="1"/>
    <xf numFmtId="10" fontId="5" fillId="0" borderId="0" xfId="103" applyNumberFormat="1" applyFont="1" applyFill="1" applyBorder="1"/>
    <xf numFmtId="0" fontId="80" fillId="0" borderId="0" xfId="0" applyFont="1"/>
    <xf numFmtId="0" fontId="17" fillId="24" borderId="0" xfId="1" applyFont="1" applyFill="1"/>
    <xf numFmtId="9" fontId="17" fillId="24" borderId="0" xfId="104" applyFont="1" applyFill="1"/>
    <xf numFmtId="0" fontId="0" fillId="24" borderId="0" xfId="0" applyFill="1"/>
    <xf numFmtId="0" fontId="23" fillId="24" borderId="0" xfId="1" applyFont="1" applyFill="1" applyAlignment="1">
      <alignment horizontal="left"/>
    </xf>
    <xf numFmtId="0" fontId="67" fillId="24" borderId="0" xfId="1" applyFont="1" applyFill="1"/>
    <xf numFmtId="0" fontId="70" fillId="24" borderId="0" xfId="122" quotePrefix="1" applyFont="1" applyFill="1" applyBorder="1">
      <alignment horizontal="left" vertical="center"/>
    </xf>
    <xf numFmtId="0" fontId="10" fillId="24" borderId="0" xfId="122" applyFont="1" applyFill="1" applyBorder="1">
      <alignment horizontal="left" vertical="center"/>
    </xf>
    <xf numFmtId="0" fontId="23" fillId="24" borderId="0" xfId="0" applyFont="1" applyFill="1"/>
    <xf numFmtId="0" fontId="0" fillId="25" borderId="0" xfId="0" applyFill="1"/>
    <xf numFmtId="166" fontId="17" fillId="25" borderId="0" xfId="54" applyNumberFormat="1" applyFont="1" applyFill="1"/>
    <xf numFmtId="0" fontId="17" fillId="24" borderId="0" xfId="0" applyFont="1" applyFill="1"/>
    <xf numFmtId="173" fontId="17" fillId="24" borderId="0" xfId="105" applyNumberFormat="1" applyFont="1" applyFill="1"/>
    <xf numFmtId="0" fontId="0" fillId="26" borderId="0" xfId="0" applyFill="1"/>
    <xf numFmtId="173" fontId="0" fillId="26" borderId="0" xfId="0" applyNumberFormat="1" applyFill="1"/>
    <xf numFmtId="173" fontId="83" fillId="26" borderId="0" xfId="105" applyNumberFormat="1" applyFont="1" applyFill="1"/>
    <xf numFmtId="0" fontId="0" fillId="27" borderId="0" xfId="0" applyFill="1"/>
    <xf numFmtId="173" fontId="83" fillId="27" borderId="0" xfId="105" applyNumberFormat="1" applyFont="1" applyFill="1"/>
    <xf numFmtId="0" fontId="23" fillId="28" borderId="0" xfId="0" applyFont="1" applyFill="1"/>
    <xf numFmtId="166" fontId="0" fillId="24" borderId="0" xfId="0" applyNumberFormat="1" applyFill="1"/>
    <xf numFmtId="183" fontId="0" fillId="24" borderId="0" xfId="0" applyNumberFormat="1" applyFill="1"/>
    <xf numFmtId="0" fontId="17" fillId="26" borderId="0" xfId="0" applyFont="1" applyFill="1"/>
    <xf numFmtId="0" fontId="17" fillId="27" borderId="0" xfId="0" applyFont="1" applyFill="1"/>
    <xf numFmtId="192" fontId="17" fillId="21" borderId="0" xfId="95" applyNumberFormat="1" applyFont="1" applyFill="1" applyBorder="1" applyAlignment="1">
      <alignment horizontal="center"/>
    </xf>
    <xf numFmtId="192" fontId="83" fillId="26" borderId="0" xfId="95" applyNumberFormat="1" applyFont="1" applyFill="1" applyBorder="1" applyAlignment="1">
      <alignment horizontal="center"/>
    </xf>
    <xf numFmtId="192" fontId="83" fillId="27" borderId="0" xfId="95" applyNumberFormat="1" applyFont="1" applyFill="1" applyBorder="1" applyAlignment="1">
      <alignment horizontal="center"/>
    </xf>
    <xf numFmtId="192" fontId="83" fillId="21" borderId="0" xfId="95" applyNumberFormat="1" applyFont="1" applyFill="1" applyBorder="1" applyAlignment="1">
      <alignment horizontal="center"/>
    </xf>
    <xf numFmtId="173" fontId="71" fillId="24" borderId="0" xfId="103" applyNumberFormat="1" applyFont="1" applyFill="1"/>
    <xf numFmtId="0" fontId="23" fillId="25" borderId="0" xfId="0" applyFont="1" applyFill="1"/>
    <xf numFmtId="164" fontId="23" fillId="28" borderId="0" xfId="0" applyNumberFormat="1" applyFont="1" applyFill="1"/>
    <xf numFmtId="166" fontId="71" fillId="24" borderId="0" xfId="53" applyNumberFormat="1" applyFont="1" applyFill="1"/>
    <xf numFmtId="164" fontId="71" fillId="24" borderId="0" xfId="53" applyNumberFormat="1" applyFont="1" applyFill="1"/>
    <xf numFmtId="188" fontId="41" fillId="0" borderId="0" xfId="59" applyNumberFormat="1" applyFont="1" applyBorder="1"/>
    <xf numFmtId="167" fontId="12" fillId="18" borderId="0" xfId="0" applyNumberFormat="1" applyFont="1" applyFill="1" applyBorder="1"/>
    <xf numFmtId="176" fontId="6" fillId="0" borderId="0" xfId="0" applyNumberFormat="1" applyFont="1" applyFill="1" applyBorder="1"/>
    <xf numFmtId="176" fontId="6" fillId="0" borderId="0" xfId="103" applyNumberFormat="1" applyFont="1" applyFill="1" applyBorder="1"/>
    <xf numFmtId="185" fontId="40" fillId="0" borderId="0" xfId="59" applyNumberFormat="1" applyFont="1" applyBorder="1"/>
    <xf numFmtId="176" fontId="6" fillId="0" borderId="0" xfId="103" applyNumberFormat="1" applyFont="1" applyBorder="1"/>
    <xf numFmtId="176" fontId="2" fillId="0" borderId="0" xfId="103" applyNumberFormat="1" applyFont="1" applyBorder="1"/>
    <xf numFmtId="176" fontId="6" fillId="0" borderId="0" xfId="0" applyNumberFormat="1" applyFont="1" applyBorder="1"/>
    <xf numFmtId="173" fontId="6" fillId="0" borderId="16" xfId="0" applyNumberFormat="1" applyFont="1" applyBorder="1"/>
    <xf numFmtId="166" fontId="12" fillId="18" borderId="0" xfId="56" applyNumberFormat="1" applyFont="1" applyFill="1" applyBorder="1"/>
    <xf numFmtId="166" fontId="2" fillId="0" borderId="0" xfId="56" applyNumberFormat="1" applyFont="1" applyFill="1" applyBorder="1"/>
    <xf numFmtId="166" fontId="6" fillId="0" borderId="0" xfId="56" applyNumberFormat="1" applyFont="1" applyBorder="1"/>
    <xf numFmtId="173" fontId="6" fillId="0" borderId="0" xfId="103" applyNumberFormat="1" applyFont="1" applyFill="1" applyBorder="1"/>
    <xf numFmtId="0" fontId="2" fillId="0" borderId="14" xfId="0" applyFont="1" applyFill="1" applyBorder="1"/>
    <xf numFmtId="185" fontId="41" fillId="0" borderId="0" xfId="0" applyNumberFormat="1" applyFont="1"/>
    <xf numFmtId="44" fontId="14" fillId="0" borderId="0" xfId="59" applyFont="1" applyBorder="1"/>
    <xf numFmtId="2" fontId="0" fillId="24" borderId="0" xfId="0" applyNumberFormat="1" applyFill="1"/>
    <xf numFmtId="43" fontId="2" fillId="0" borderId="0" xfId="0" applyNumberFormat="1" applyFont="1"/>
    <xf numFmtId="182" fontId="40" fillId="0" borderId="0" xfId="53" applyNumberFormat="1" applyFont="1"/>
    <xf numFmtId="194" fontId="41" fillId="0" borderId="0" xfId="59" applyNumberFormat="1" applyFont="1" applyBorder="1"/>
    <xf numFmtId="195" fontId="2" fillId="0" borderId="0" xfId="0" applyNumberFormat="1" applyFont="1"/>
    <xf numFmtId="196" fontId="2" fillId="0" borderId="0" xfId="0" applyNumberFormat="1" applyFont="1"/>
    <xf numFmtId="5" fontId="23" fillId="24" borderId="25" xfId="54" applyNumberFormat="1" applyFont="1" applyFill="1" applyBorder="1"/>
    <xf numFmtId="197" fontId="40" fillId="0" borderId="0" xfId="59" applyNumberFormat="1" applyFont="1"/>
    <xf numFmtId="167" fontId="80" fillId="24" borderId="0" xfId="0" applyNumberFormat="1" applyFont="1" applyFill="1" applyBorder="1"/>
    <xf numFmtId="43" fontId="0" fillId="24" borderId="0" xfId="0" applyNumberFormat="1" applyFill="1"/>
    <xf numFmtId="194" fontId="40" fillId="0" borderId="0" xfId="59" applyNumberFormat="1" applyFont="1"/>
    <xf numFmtId="196" fontId="82" fillId="0" borderId="0" xfId="103" applyNumberFormat="1" applyFont="1" applyBorder="1"/>
    <xf numFmtId="37" fontId="82" fillId="0" borderId="0" xfId="103" applyNumberFormat="1" applyFont="1" applyBorder="1"/>
    <xf numFmtId="197" fontId="41" fillId="0" borderId="0" xfId="59" applyNumberFormat="1" applyFont="1" applyBorder="1"/>
    <xf numFmtId="183" fontId="2" fillId="0" borderId="0" xfId="0" applyNumberFormat="1" applyFont="1" applyBorder="1"/>
    <xf numFmtId="0" fontId="2" fillId="0" borderId="19" xfId="0" applyFont="1" applyBorder="1"/>
    <xf numFmtId="37" fontId="15" fillId="29" borderId="0" xfId="0" applyNumberFormat="1" applyFont="1" applyFill="1" applyBorder="1"/>
    <xf numFmtId="167" fontId="12" fillId="24" borderId="0" xfId="0" applyNumberFormat="1" applyFont="1" applyFill="1" applyBorder="1"/>
    <xf numFmtId="173" fontId="14" fillId="24" borderId="0" xfId="103" applyNumberFormat="1" applyFont="1" applyFill="1" applyBorder="1"/>
    <xf numFmtId="173" fontId="15" fillId="23" borderId="11" xfId="103" applyNumberFormat="1" applyFont="1" applyFill="1" applyBorder="1"/>
    <xf numFmtId="173" fontId="73" fillId="24" borderId="0" xfId="103" applyNumberFormat="1" applyFont="1" applyFill="1"/>
    <xf numFmtId="200" fontId="2" fillId="0" borderId="0" xfId="0" applyNumberFormat="1" applyFont="1"/>
    <xf numFmtId="173" fontId="2" fillId="24" borderId="0" xfId="103" applyNumberFormat="1" applyFont="1" applyFill="1" applyBorder="1"/>
    <xf numFmtId="0" fontId="2" fillId="24" borderId="0" xfId="0" applyFont="1" applyFill="1" applyBorder="1"/>
    <xf numFmtId="176" fontId="5" fillId="0" borderId="0" xfId="0" applyNumberFormat="1" applyFont="1" applyBorder="1" applyAlignment="1">
      <alignment horizontal="left" indent="2"/>
    </xf>
    <xf numFmtId="37" fontId="12" fillId="0" borderId="0" xfId="0" applyNumberFormat="1" applyFont="1" applyBorder="1"/>
    <xf numFmtId="37" fontId="2" fillId="0" borderId="0" xfId="0" applyNumberFormat="1" applyFont="1" applyBorder="1"/>
    <xf numFmtId="37" fontId="5" fillId="0" borderId="22" xfId="0" applyNumberFormat="1" applyFont="1" applyBorder="1"/>
    <xf numFmtId="37" fontId="5" fillId="0" borderId="11" xfId="0" applyNumberFormat="1" applyFont="1" applyBorder="1"/>
    <xf numFmtId="37" fontId="5" fillId="0" borderId="0" xfId="0" applyNumberFormat="1" applyFont="1" applyBorder="1"/>
    <xf numFmtId="37" fontId="15" fillId="0" borderId="0" xfId="0" applyNumberFormat="1" applyFont="1" applyBorder="1"/>
    <xf numFmtId="37" fontId="80" fillId="0" borderId="0" xfId="0" applyNumberFormat="1" applyFont="1" applyFill="1" applyBorder="1"/>
    <xf numFmtId="167" fontId="2" fillId="24" borderId="12" xfId="0" applyNumberFormat="1" applyFont="1" applyFill="1" applyBorder="1"/>
    <xf numFmtId="197" fontId="2" fillId="0" borderId="0" xfId="0" applyNumberFormat="1" applyFont="1" applyFill="1"/>
    <xf numFmtId="197" fontId="2" fillId="0" borderId="0" xfId="0" applyNumberFormat="1" applyFont="1"/>
    <xf numFmtId="176" fontId="80" fillId="0" borderId="14" xfId="0" applyNumberFormat="1" applyFont="1" applyBorder="1"/>
    <xf numFmtId="9" fontId="2" fillId="0" borderId="0" xfId="0" applyNumberFormat="1" applyFont="1" applyBorder="1"/>
    <xf numFmtId="0" fontId="2" fillId="30" borderId="11" xfId="0" applyFont="1" applyFill="1" applyBorder="1"/>
    <xf numFmtId="166" fontId="6" fillId="31" borderId="0" xfId="53" applyNumberFormat="1" applyFont="1" applyFill="1" applyBorder="1"/>
    <xf numFmtId="167" fontId="2" fillId="24" borderId="12" xfId="103" applyNumberFormat="1" applyFont="1" applyFill="1" applyBorder="1"/>
    <xf numFmtId="167" fontId="6" fillId="24" borderId="12" xfId="103" applyNumberFormat="1" applyFont="1" applyFill="1" applyBorder="1"/>
    <xf numFmtId="167" fontId="2" fillId="24" borderId="0" xfId="103" applyNumberFormat="1" applyFont="1" applyFill="1" applyBorder="1"/>
    <xf numFmtId="167" fontId="2" fillId="24" borderId="11" xfId="0" applyNumberFormat="1" applyFont="1" applyFill="1" applyBorder="1"/>
    <xf numFmtId="167" fontId="2" fillId="24" borderId="0" xfId="0" applyNumberFormat="1" applyFont="1" applyFill="1" applyBorder="1"/>
    <xf numFmtId="167" fontId="5" fillId="24" borderId="11" xfId="0" applyNumberFormat="1" applyFont="1" applyFill="1" applyBorder="1"/>
    <xf numFmtId="167" fontId="5" fillId="24" borderId="0" xfId="0" applyNumberFormat="1" applyFont="1" applyFill="1" applyBorder="1"/>
    <xf numFmtId="167" fontId="5" fillId="24" borderId="12" xfId="0" applyNumberFormat="1" applyFont="1" applyFill="1" applyBorder="1"/>
    <xf numFmtId="167" fontId="11" fillId="24" borderId="11" xfId="0" applyNumberFormat="1" applyFont="1" applyFill="1" applyBorder="1"/>
    <xf numFmtId="167" fontId="11" fillId="24" borderId="0" xfId="0" applyNumberFormat="1" applyFont="1" applyFill="1" applyBorder="1"/>
    <xf numFmtId="167" fontId="11" fillId="24" borderId="12" xfId="0" applyNumberFormat="1" applyFont="1" applyFill="1" applyBorder="1"/>
    <xf numFmtId="167" fontId="6" fillId="24" borderId="0" xfId="103" applyNumberFormat="1" applyFont="1" applyFill="1" applyBorder="1"/>
    <xf numFmtId="167" fontId="6" fillId="24" borderId="11" xfId="0" applyNumberFormat="1" applyFont="1" applyFill="1" applyBorder="1"/>
    <xf numFmtId="167" fontId="6" fillId="24" borderId="0" xfId="0" applyNumberFormat="1" applyFont="1" applyFill="1" applyBorder="1"/>
    <xf numFmtId="43" fontId="2" fillId="0" borderId="11" xfId="53" applyFont="1" applyFill="1" applyBorder="1"/>
    <xf numFmtId="43" fontId="2" fillId="0" borderId="0" xfId="53" applyFont="1" applyFill="1" applyBorder="1"/>
    <xf numFmtId="43" fontId="2" fillId="0" borderId="12" xfId="53" applyFont="1" applyFill="1" applyBorder="1"/>
    <xf numFmtId="43" fontId="40" fillId="0" borderId="0" xfId="53" applyFont="1" applyFill="1" applyBorder="1"/>
    <xf numFmtId="43" fontId="37" fillId="0" borderId="0" xfId="53" applyFont="1" applyFill="1" applyBorder="1"/>
    <xf numFmtId="43" fontId="85" fillId="0" borderId="0" xfId="53" applyFont="1" applyFill="1" applyBorder="1"/>
    <xf numFmtId="37" fontId="80" fillId="0" borderId="0" xfId="0" applyNumberFormat="1" applyFont="1" applyBorder="1"/>
    <xf numFmtId="167" fontId="15" fillId="33" borderId="12" xfId="0" applyNumberFormat="1" applyFont="1" applyFill="1" applyBorder="1"/>
    <xf numFmtId="167" fontId="16" fillId="33" borderId="12" xfId="0" applyNumberFormat="1" applyFont="1" applyFill="1" applyBorder="1"/>
    <xf numFmtId="167" fontId="16" fillId="33" borderId="12" xfId="103" applyNumberFormat="1" applyFont="1" applyFill="1" applyBorder="1"/>
    <xf numFmtId="167" fontId="5" fillId="33" borderId="12" xfId="0" applyNumberFormat="1" applyFont="1" applyFill="1" applyBorder="1"/>
    <xf numFmtId="9" fontId="80" fillId="0" borderId="0" xfId="103" applyFont="1" applyFill="1" applyBorder="1"/>
    <xf numFmtId="7" fontId="6" fillId="0" borderId="0" xfId="59" applyNumberFormat="1" applyFont="1" applyFill="1"/>
    <xf numFmtId="7" fontId="6" fillId="0" borderId="11" xfId="59" applyNumberFormat="1" applyFont="1" applyFill="1" applyBorder="1"/>
    <xf numFmtId="7" fontId="6" fillId="0" borderId="0" xfId="59" applyNumberFormat="1" applyFont="1" applyFill="1" applyBorder="1"/>
    <xf numFmtId="7" fontId="6" fillId="0" borderId="12" xfId="59" applyNumberFormat="1" applyFont="1" applyFill="1" applyBorder="1"/>
    <xf numFmtId="0" fontId="2" fillId="0" borderId="24" xfId="0" applyFont="1" applyBorder="1"/>
    <xf numFmtId="167" fontId="2" fillId="0" borderId="22" xfId="0" applyNumberFormat="1" applyFont="1" applyFill="1" applyBorder="1"/>
    <xf numFmtId="167" fontId="6" fillId="0" borderId="22" xfId="0" applyNumberFormat="1" applyFont="1" applyFill="1" applyBorder="1"/>
    <xf numFmtId="0" fontId="2" fillId="30" borderId="0" xfId="0" applyFont="1" applyFill="1" applyBorder="1"/>
    <xf numFmtId="0" fontId="2" fillId="30" borderId="12" xfId="0" applyFont="1" applyFill="1" applyBorder="1"/>
    <xf numFmtId="167" fontId="2" fillId="30" borderId="11" xfId="0" applyNumberFormat="1" applyFont="1" applyFill="1" applyBorder="1"/>
    <xf numFmtId="167" fontId="2" fillId="30" borderId="0" xfId="0" applyNumberFormat="1" applyFont="1" applyFill="1" applyBorder="1"/>
    <xf numFmtId="167" fontId="2" fillId="30" borderId="12" xfId="0" applyNumberFormat="1" applyFont="1" applyFill="1" applyBorder="1"/>
    <xf numFmtId="173" fontId="2" fillId="30" borderId="0" xfId="103" applyNumberFormat="1" applyFont="1" applyFill="1" applyBorder="1"/>
    <xf numFmtId="167" fontId="12" fillId="30" borderId="11" xfId="0" applyNumberFormat="1" applyFont="1" applyFill="1" applyBorder="1"/>
    <xf numFmtId="167" fontId="12" fillId="30" borderId="0" xfId="0" applyNumberFormat="1" applyFont="1" applyFill="1" applyBorder="1"/>
    <xf numFmtId="167" fontId="12" fillId="30" borderId="12" xfId="0" applyNumberFormat="1" applyFont="1" applyFill="1" applyBorder="1"/>
    <xf numFmtId="167" fontId="5" fillId="30" borderId="0" xfId="0" applyNumberFormat="1" applyFont="1" applyFill="1" applyBorder="1"/>
    <xf numFmtId="173" fontId="2" fillId="30" borderId="11" xfId="103" applyNumberFormat="1" applyFont="1" applyFill="1" applyBorder="1"/>
    <xf numFmtId="173" fontId="2" fillId="30" borderId="12" xfId="103" applyNumberFormat="1" applyFont="1" applyFill="1" applyBorder="1"/>
    <xf numFmtId="0" fontId="2" fillId="24" borderId="0" xfId="0" applyFont="1" applyFill="1"/>
    <xf numFmtId="0" fontId="6" fillId="24" borderId="11" xfId="0" applyFont="1" applyFill="1" applyBorder="1"/>
    <xf numFmtId="0" fontId="2" fillId="24" borderId="12" xfId="0" applyFont="1" applyFill="1" applyBorder="1"/>
    <xf numFmtId="0" fontId="2" fillId="24" borderId="22" xfId="0" applyFont="1" applyFill="1" applyBorder="1"/>
    <xf numFmtId="0" fontId="2" fillId="24" borderId="11" xfId="0" applyFont="1" applyFill="1" applyBorder="1"/>
    <xf numFmtId="167" fontId="12" fillId="24" borderId="11" xfId="0" applyNumberFormat="1" applyFont="1" applyFill="1" applyBorder="1"/>
    <xf numFmtId="167" fontId="12" fillId="24" borderId="12" xfId="0" applyNumberFormat="1" applyFont="1" applyFill="1" applyBorder="1"/>
    <xf numFmtId="173" fontId="2" fillId="24" borderId="11" xfId="103" applyNumberFormat="1" applyFont="1" applyFill="1" applyBorder="1"/>
    <xf numFmtId="0" fontId="11" fillId="24" borderId="0" xfId="0" applyFont="1" applyFill="1"/>
    <xf numFmtId="0" fontId="11" fillId="24" borderId="0" xfId="0" applyFont="1" applyFill="1" applyBorder="1"/>
    <xf numFmtId="0" fontId="11" fillId="24" borderId="12" xfId="0" applyFont="1" applyFill="1" applyBorder="1"/>
    <xf numFmtId="167" fontId="4" fillId="24" borderId="11" xfId="0" applyNumberFormat="1" applyFont="1" applyFill="1" applyBorder="1"/>
    <xf numFmtId="167" fontId="4" fillId="24" borderId="0" xfId="0" applyNumberFormat="1" applyFont="1" applyFill="1" applyBorder="1"/>
    <xf numFmtId="167" fontId="4" fillId="24" borderId="12" xfId="0" applyNumberFormat="1" applyFont="1" applyFill="1" applyBorder="1"/>
    <xf numFmtId="0" fontId="11" fillId="24" borderId="22" xfId="0" applyFont="1" applyFill="1" applyBorder="1"/>
    <xf numFmtId="0" fontId="11" fillId="24" borderId="11" xfId="0" applyFont="1" applyFill="1" applyBorder="1"/>
    <xf numFmtId="0" fontId="6" fillId="24" borderId="0" xfId="0" applyFont="1" applyFill="1"/>
    <xf numFmtId="0" fontId="6" fillId="24" borderId="0" xfId="0" applyFont="1" applyFill="1" applyBorder="1"/>
    <xf numFmtId="0" fontId="6" fillId="24" borderId="12" xfId="0" applyFont="1" applyFill="1" applyBorder="1"/>
    <xf numFmtId="167" fontId="84" fillId="24" borderId="0" xfId="0" applyNumberFormat="1" applyFont="1" applyFill="1" applyBorder="1"/>
    <xf numFmtId="173" fontId="5" fillId="24" borderId="11" xfId="103" applyNumberFormat="1" applyFont="1" applyFill="1" applyBorder="1"/>
    <xf numFmtId="173" fontId="5" fillId="24" borderId="0" xfId="103" applyNumberFormat="1" applyFont="1" applyFill="1" applyBorder="1"/>
    <xf numFmtId="173" fontId="5" fillId="24" borderId="12" xfId="103" applyNumberFormat="1" applyFont="1" applyFill="1" applyBorder="1"/>
    <xf numFmtId="173" fontId="15" fillId="24" borderId="11" xfId="103" applyNumberFormat="1" applyFont="1" applyFill="1" applyBorder="1"/>
    <xf numFmtId="173" fontId="15" fillId="24" borderId="0" xfId="103" applyNumberFormat="1" applyFont="1" applyFill="1" applyBorder="1"/>
    <xf numFmtId="173" fontId="15" fillId="24" borderId="12" xfId="103" applyNumberFormat="1" applyFont="1" applyFill="1" applyBorder="1"/>
    <xf numFmtId="0" fontId="13" fillId="24" borderId="0" xfId="0" applyFont="1" applyFill="1" applyBorder="1"/>
    <xf numFmtId="173" fontId="13" fillId="24" borderId="11" xfId="103" applyNumberFormat="1" applyFont="1" applyFill="1" applyBorder="1"/>
    <xf numFmtId="173" fontId="13" fillId="24" borderId="0" xfId="103" applyNumberFormat="1" applyFont="1" applyFill="1" applyBorder="1"/>
    <xf numFmtId="173" fontId="13" fillId="24" borderId="12" xfId="103" applyNumberFormat="1" applyFont="1" applyFill="1" applyBorder="1"/>
    <xf numFmtId="173" fontId="13" fillId="24" borderId="0" xfId="0" applyNumberFormat="1" applyFont="1" applyFill="1" applyBorder="1"/>
    <xf numFmtId="0" fontId="13" fillId="24" borderId="11" xfId="0" applyFont="1" applyFill="1" applyBorder="1"/>
    <xf numFmtId="0" fontId="13" fillId="24" borderId="0" xfId="0" applyFont="1" applyFill="1"/>
    <xf numFmtId="0" fontId="5" fillId="24" borderId="0" xfId="0" applyFont="1" applyFill="1"/>
    <xf numFmtId="0" fontId="5" fillId="24" borderId="11" xfId="0" applyFont="1" applyFill="1" applyBorder="1"/>
    <xf numFmtId="0" fontId="5" fillId="24" borderId="0" xfId="0" applyFont="1" applyFill="1" applyBorder="1"/>
    <xf numFmtId="0" fontId="5" fillId="24" borderId="12" xfId="0" applyFont="1" applyFill="1" applyBorder="1"/>
    <xf numFmtId="167" fontId="15" fillId="24" borderId="11" xfId="0" applyNumberFormat="1" applyFont="1" applyFill="1" applyBorder="1"/>
    <xf numFmtId="167" fontId="15" fillId="24" borderId="0" xfId="0" applyNumberFormat="1" applyFont="1" applyFill="1" applyBorder="1"/>
    <xf numFmtId="167" fontId="15" fillId="24" borderId="12" xfId="0" applyNumberFormat="1" applyFont="1" applyFill="1" applyBorder="1"/>
    <xf numFmtId="174" fontId="2" fillId="24" borderId="0" xfId="0" applyNumberFormat="1" applyFont="1" applyFill="1" applyBorder="1"/>
    <xf numFmtId="173" fontId="40" fillId="24" borderId="0" xfId="103" applyNumberFormat="1" applyFont="1" applyFill="1" applyBorder="1"/>
    <xf numFmtId="10" fontId="40" fillId="24" borderId="0" xfId="103" applyNumberFormat="1" applyFont="1" applyFill="1" applyBorder="1"/>
    <xf numFmtId="0" fontId="14" fillId="24" borderId="0" xfId="0" applyFont="1" applyFill="1"/>
    <xf numFmtId="0" fontId="14" fillId="24" borderId="11" xfId="0" applyFont="1" applyFill="1" applyBorder="1"/>
    <xf numFmtId="0" fontId="14" fillId="24" borderId="0" xfId="0" applyFont="1" applyFill="1" applyBorder="1"/>
    <xf numFmtId="0" fontId="13" fillId="24" borderId="12" xfId="0" applyFont="1" applyFill="1" applyBorder="1"/>
    <xf numFmtId="173" fontId="13" fillId="24" borderId="22" xfId="103" applyNumberFormat="1" applyFont="1" applyFill="1" applyBorder="1"/>
    <xf numFmtId="167" fontId="2" fillId="24" borderId="22" xfId="0" applyNumberFormat="1" applyFont="1" applyFill="1" applyBorder="1"/>
    <xf numFmtId="9" fontId="2" fillId="24" borderId="22" xfId="103" applyFont="1" applyFill="1" applyBorder="1"/>
    <xf numFmtId="9" fontId="2" fillId="0" borderId="22" xfId="103" applyFont="1" applyBorder="1"/>
    <xf numFmtId="0" fontId="86" fillId="0" borderId="0" xfId="0" applyFont="1"/>
    <xf numFmtId="0" fontId="86" fillId="0" borderId="11" xfId="0" applyFont="1" applyBorder="1"/>
    <xf numFmtId="0" fontId="10" fillId="24" borderId="0" xfId="0" applyFont="1" applyFill="1"/>
    <xf numFmtId="0" fontId="3" fillId="24" borderId="0" xfId="0" applyFont="1" applyFill="1"/>
    <xf numFmtId="0" fontId="3" fillId="24" borderId="17" xfId="0" applyNumberFormat="1" applyFont="1" applyFill="1" applyBorder="1" applyAlignment="1"/>
    <xf numFmtId="0" fontId="3" fillId="24" borderId="16" xfId="0" applyNumberFormat="1" applyFont="1" applyFill="1" applyBorder="1" applyAlignment="1"/>
    <xf numFmtId="0" fontId="3" fillId="24" borderId="21" xfId="0" applyNumberFormat="1" applyFont="1" applyFill="1" applyBorder="1" applyAlignment="1"/>
    <xf numFmtId="0" fontId="9" fillId="24" borderId="13" xfId="0" applyNumberFormat="1" applyFont="1" applyFill="1" applyBorder="1" applyAlignment="1"/>
    <xf numFmtId="0" fontId="9" fillId="24" borderId="14" xfId="0" applyNumberFormat="1" applyFont="1" applyFill="1" applyBorder="1" applyAlignment="1"/>
    <xf numFmtId="0" fontId="9" fillId="24" borderId="15" xfId="0" applyNumberFormat="1" applyFont="1" applyFill="1" applyBorder="1" applyAlignment="1"/>
    <xf numFmtId="173" fontId="5" fillId="24" borderId="0" xfId="103" applyNumberFormat="1" applyFont="1" applyFill="1"/>
    <xf numFmtId="167" fontId="5" fillId="24" borderId="0" xfId="0" applyNumberFormat="1" applyFont="1" applyFill="1"/>
    <xf numFmtId="0" fontId="86" fillId="24" borderId="0" xfId="0" applyFont="1" applyFill="1"/>
    <xf numFmtId="167" fontId="6" fillId="24" borderId="0" xfId="0" applyNumberFormat="1" applyFont="1" applyFill="1"/>
    <xf numFmtId="7" fontId="5" fillId="24" borderId="0" xfId="59" applyNumberFormat="1" applyFont="1" applyFill="1"/>
    <xf numFmtId="7" fontId="5" fillId="24" borderId="11" xfId="59" applyNumberFormat="1" applyFont="1" applyFill="1" applyBorder="1" applyAlignment="1">
      <alignment horizontal="left"/>
    </xf>
    <xf numFmtId="7" fontId="5" fillId="24" borderId="0" xfId="59" applyNumberFormat="1" applyFont="1" applyFill="1" applyBorder="1" applyAlignment="1">
      <alignment horizontal="left"/>
    </xf>
    <xf numFmtId="7" fontId="2" fillId="24" borderId="0" xfId="59" applyNumberFormat="1" applyFont="1" applyFill="1"/>
    <xf numFmtId="7" fontId="2" fillId="24" borderId="11" xfId="59" applyNumberFormat="1" applyFont="1" applyFill="1" applyBorder="1" applyAlignment="1">
      <alignment horizontal="left"/>
    </xf>
    <xf numFmtId="7" fontId="2" fillId="24" borderId="0" xfId="59" applyNumberFormat="1" applyFont="1" applyFill="1" applyBorder="1" applyAlignment="1">
      <alignment horizontal="left"/>
    </xf>
    <xf numFmtId="7" fontId="6" fillId="24" borderId="0" xfId="59" applyNumberFormat="1" applyFont="1" applyFill="1"/>
    <xf numFmtId="7" fontId="6" fillId="24" borderId="11" xfId="59" applyNumberFormat="1" applyFont="1" applyFill="1" applyBorder="1" applyAlignment="1">
      <alignment horizontal="left"/>
    </xf>
    <xf numFmtId="7" fontId="6" fillId="24" borderId="0" xfId="59" applyNumberFormat="1" applyFont="1" applyFill="1" applyBorder="1" applyAlignment="1">
      <alignment horizontal="left"/>
    </xf>
    <xf numFmtId="0" fontId="5" fillId="24" borderId="14" xfId="0" applyFont="1" applyFill="1" applyBorder="1"/>
    <xf numFmtId="167" fontId="11" fillId="24" borderId="0" xfId="0" applyNumberFormat="1" applyFont="1" applyFill="1"/>
    <xf numFmtId="176" fontId="11" fillId="24" borderId="0" xfId="0" applyNumberFormat="1" applyFont="1" applyFill="1"/>
    <xf numFmtId="176" fontId="11" fillId="24" borderId="11" xfId="103" applyNumberFormat="1" applyFont="1" applyFill="1" applyBorder="1"/>
    <xf numFmtId="176" fontId="11" fillId="24" borderId="0" xfId="0" applyNumberFormat="1" applyFont="1" applyFill="1" applyBorder="1"/>
    <xf numFmtId="176" fontId="80" fillId="24" borderId="0" xfId="0" applyNumberFormat="1" applyFont="1" applyFill="1"/>
    <xf numFmtId="176" fontId="5" fillId="24" borderId="11" xfId="0" applyNumberFormat="1" applyFont="1" applyFill="1" applyBorder="1"/>
    <xf numFmtId="176" fontId="5" fillId="24" borderId="0" xfId="0" applyNumberFormat="1" applyFont="1" applyFill="1" applyBorder="1"/>
    <xf numFmtId="176" fontId="84" fillId="24" borderId="0" xfId="0" applyNumberFormat="1" applyFont="1" applyFill="1"/>
    <xf numFmtId="176" fontId="11" fillId="24" borderId="11" xfId="0" applyNumberFormat="1" applyFont="1" applyFill="1" applyBorder="1"/>
    <xf numFmtId="167" fontId="80" fillId="24" borderId="0" xfId="0" applyNumberFormat="1" applyFont="1" applyFill="1"/>
    <xf numFmtId="176" fontId="2" fillId="24" borderId="0" xfId="103" applyNumberFormat="1" applyFont="1" applyFill="1"/>
    <xf numFmtId="176" fontId="2" fillId="24" borderId="11" xfId="103" applyNumberFormat="1" applyFont="1" applyFill="1" applyBorder="1"/>
    <xf numFmtId="176" fontId="2" fillId="24" borderId="0" xfId="103" applyNumberFormat="1" applyFont="1" applyFill="1" applyBorder="1"/>
    <xf numFmtId="176" fontId="2" fillId="24" borderId="0" xfId="0" applyNumberFormat="1" applyFont="1" applyFill="1"/>
    <xf numFmtId="176" fontId="2" fillId="24" borderId="13" xfId="0" applyNumberFormat="1" applyFont="1" applyFill="1" applyBorder="1"/>
    <xf numFmtId="176" fontId="2" fillId="24" borderId="14" xfId="0" applyNumberFormat="1" applyFont="1" applyFill="1" applyBorder="1"/>
    <xf numFmtId="176" fontId="11" fillId="24" borderId="0" xfId="103" applyNumberFormat="1" applyFont="1" applyFill="1"/>
    <xf numFmtId="176" fontId="11" fillId="24" borderId="0" xfId="103" applyNumberFormat="1" applyFont="1" applyFill="1" applyBorder="1"/>
    <xf numFmtId="167" fontId="16" fillId="24" borderId="0" xfId="0" applyNumberFormat="1" applyFont="1" applyFill="1"/>
    <xf numFmtId="167" fontId="16" fillId="24" borderId="11" xfId="0" applyNumberFormat="1" applyFont="1" applyFill="1" applyBorder="1"/>
    <xf numFmtId="167" fontId="16" fillId="24" borderId="0" xfId="0" applyNumberFormat="1" applyFont="1" applyFill="1" applyBorder="1"/>
    <xf numFmtId="176" fontId="5" fillId="24" borderId="0" xfId="0" applyNumberFormat="1" applyFont="1" applyFill="1"/>
    <xf numFmtId="37" fontId="5" fillId="24" borderId="0" xfId="0" applyNumberFormat="1" applyFont="1" applyFill="1"/>
    <xf numFmtId="37" fontId="5" fillId="24" borderId="11" xfId="0" applyNumberFormat="1" applyFont="1" applyFill="1" applyBorder="1"/>
    <xf numFmtId="37" fontId="5" fillId="24" borderId="0" xfId="0" applyNumberFormat="1" applyFont="1" applyFill="1" applyBorder="1"/>
    <xf numFmtId="37" fontId="16" fillId="24" borderId="0" xfId="0" applyNumberFormat="1" applyFont="1" applyFill="1"/>
    <xf numFmtId="37" fontId="16" fillId="24" borderId="11" xfId="0" applyNumberFormat="1" applyFont="1" applyFill="1" applyBorder="1"/>
    <xf numFmtId="37" fontId="16" fillId="24" borderId="0" xfId="0" applyNumberFormat="1" applyFont="1" applyFill="1" applyBorder="1"/>
    <xf numFmtId="176" fontId="13" fillId="24" borderId="0" xfId="0" applyNumberFormat="1" applyFont="1" applyFill="1"/>
    <xf numFmtId="176" fontId="13" fillId="24" borderId="11" xfId="0" applyNumberFormat="1" applyFont="1" applyFill="1" applyBorder="1"/>
    <xf numFmtId="176" fontId="13" fillId="24" borderId="0" xfId="0" applyNumberFormat="1" applyFont="1" applyFill="1" applyBorder="1"/>
    <xf numFmtId="37" fontId="2" fillId="24" borderId="0" xfId="0" applyNumberFormat="1" applyFont="1" applyFill="1" applyBorder="1"/>
    <xf numFmtId="176" fontId="16" fillId="24" borderId="0" xfId="0" applyNumberFormat="1" applyFont="1" applyFill="1"/>
    <xf numFmtId="176" fontId="16" fillId="24" borderId="11" xfId="0" applyNumberFormat="1" applyFont="1" applyFill="1" applyBorder="1"/>
    <xf numFmtId="37" fontId="11" fillId="24" borderId="0" xfId="0" applyNumberFormat="1" applyFont="1" applyFill="1" applyBorder="1"/>
    <xf numFmtId="37" fontId="11" fillId="24" borderId="11" xfId="0" applyNumberFormat="1" applyFont="1" applyFill="1" applyBorder="1"/>
    <xf numFmtId="37" fontId="6" fillId="24" borderId="11" xfId="0" applyNumberFormat="1" applyFont="1" applyFill="1" applyBorder="1"/>
    <xf numFmtId="37" fontId="2" fillId="24" borderId="11" xfId="0" applyNumberFormat="1" applyFont="1" applyFill="1" applyBorder="1"/>
    <xf numFmtId="173" fontId="2" fillId="24" borderId="0" xfId="103" applyNumberFormat="1" applyFont="1" applyFill="1"/>
    <xf numFmtId="37" fontId="6" fillId="24" borderId="0" xfId="0" applyNumberFormat="1" applyFont="1" applyFill="1" applyBorder="1"/>
    <xf numFmtId="167" fontId="11" fillId="20" borderId="26" xfId="0" applyNumberFormat="1" applyFont="1" applyFill="1" applyBorder="1"/>
    <xf numFmtId="173" fontId="2" fillId="24" borderId="22" xfId="103" applyNumberFormat="1" applyFont="1" applyFill="1" applyBorder="1"/>
    <xf numFmtId="167" fontId="11" fillId="24" borderId="22" xfId="0" applyNumberFormat="1" applyFont="1" applyFill="1" applyBorder="1"/>
    <xf numFmtId="167" fontId="6" fillId="24" borderId="22" xfId="0" applyNumberFormat="1" applyFont="1" applyFill="1" applyBorder="1"/>
    <xf numFmtId="173" fontId="13" fillId="0" borderId="22" xfId="103" applyNumberFormat="1" applyFont="1" applyBorder="1"/>
    <xf numFmtId="43" fontId="2" fillId="0" borderId="22" xfId="53" applyFont="1" applyFill="1" applyBorder="1"/>
    <xf numFmtId="173" fontId="5" fillId="0" borderId="23" xfId="103" applyNumberFormat="1" applyFont="1" applyBorder="1"/>
    <xf numFmtId="173" fontId="15" fillId="32" borderId="0" xfId="103" applyNumberFormat="1" applyFont="1" applyFill="1" applyBorder="1"/>
    <xf numFmtId="176" fontId="4" fillId="0" borderId="22" xfId="103" applyNumberFormat="1" applyFont="1" applyFill="1" applyBorder="1"/>
    <xf numFmtId="44" fontId="5" fillId="0" borderId="22" xfId="59" applyFont="1" applyBorder="1"/>
    <xf numFmtId="176" fontId="12" fillId="0" borderId="22" xfId="103" applyNumberFormat="1" applyFont="1" applyFill="1" applyBorder="1"/>
    <xf numFmtId="10" fontId="2" fillId="0" borderId="22" xfId="103" applyNumberFormat="1" applyFont="1" applyFill="1" applyBorder="1"/>
    <xf numFmtId="43" fontId="2" fillId="0" borderId="23" xfId="53" applyFont="1" applyBorder="1"/>
    <xf numFmtId="167" fontId="15" fillId="33" borderId="22" xfId="0" applyNumberFormat="1" applyFont="1" applyFill="1" applyBorder="1"/>
    <xf numFmtId="167" fontId="16" fillId="33" borderId="22" xfId="0" applyNumberFormat="1" applyFont="1" applyFill="1" applyBorder="1"/>
    <xf numFmtId="167" fontId="16" fillId="33" borderId="22" xfId="103" applyNumberFormat="1" applyFont="1" applyFill="1" applyBorder="1"/>
    <xf numFmtId="167" fontId="5" fillId="33" borderId="22" xfId="0" applyNumberFormat="1" applyFont="1" applyFill="1" applyBorder="1"/>
    <xf numFmtId="173" fontId="13" fillId="0" borderId="22" xfId="103" applyNumberFormat="1" applyFont="1" applyFill="1" applyBorder="1"/>
    <xf numFmtId="173" fontId="16" fillId="0" borderId="22" xfId="103" applyNumberFormat="1" applyFont="1" applyFill="1" applyBorder="1"/>
    <xf numFmtId="176" fontId="5" fillId="0" borderId="22" xfId="103" applyNumberFormat="1" applyFont="1" applyFill="1" applyBorder="1"/>
    <xf numFmtId="9" fontId="5" fillId="0" borderId="22" xfId="103" applyFont="1" applyFill="1" applyBorder="1"/>
    <xf numFmtId="173" fontId="15" fillId="0" borderId="22" xfId="103" applyNumberFormat="1" applyFont="1" applyFill="1" applyBorder="1"/>
    <xf numFmtId="176" fontId="2" fillId="0" borderId="23" xfId="0" applyNumberFormat="1" applyFont="1" applyBorder="1"/>
    <xf numFmtId="167" fontId="80" fillId="30" borderId="0" xfId="0" applyNumberFormat="1" applyFont="1" applyFill="1" applyBorder="1"/>
    <xf numFmtId="167" fontId="2" fillId="30" borderId="22" xfId="0" applyNumberFormat="1" applyFont="1" applyFill="1" applyBorder="1"/>
    <xf numFmtId="173" fontId="2" fillId="30" borderId="22" xfId="103" applyNumberFormat="1" applyFont="1" applyFill="1" applyBorder="1"/>
    <xf numFmtId="37" fontId="80" fillId="30" borderId="0" xfId="0" applyNumberFormat="1" applyFont="1" applyFill="1" applyBorder="1"/>
    <xf numFmtId="164" fontId="2" fillId="30" borderId="0" xfId="53" applyNumberFormat="1" applyFont="1" applyFill="1" applyBorder="1"/>
    <xf numFmtId="0" fontId="5" fillId="30" borderId="11" xfId="0" applyFont="1" applyFill="1" applyBorder="1"/>
    <xf numFmtId="0" fontId="5" fillId="30" borderId="0" xfId="0" applyFont="1" applyFill="1" applyBorder="1"/>
    <xf numFmtId="0" fontId="5" fillId="30" borderId="12" xfId="0" applyFont="1" applyFill="1" applyBorder="1"/>
    <xf numFmtId="167" fontId="5" fillId="30" borderId="11" xfId="0" applyNumberFormat="1" applyFont="1" applyFill="1" applyBorder="1"/>
    <xf numFmtId="167" fontId="5" fillId="30" borderId="12" xfId="0" applyNumberFormat="1" applyFont="1" applyFill="1" applyBorder="1"/>
    <xf numFmtId="0" fontId="86" fillId="30" borderId="11" xfId="0" applyFont="1" applyFill="1" applyBorder="1"/>
    <xf numFmtId="0" fontId="86" fillId="30" borderId="0" xfId="0" applyFont="1" applyFill="1" applyBorder="1"/>
    <xf numFmtId="0" fontId="86" fillId="30" borderId="12" xfId="0" applyFont="1" applyFill="1" applyBorder="1"/>
    <xf numFmtId="167" fontId="86" fillId="30" borderId="11" xfId="0" applyNumberFormat="1" applyFont="1" applyFill="1" applyBorder="1"/>
    <xf numFmtId="167" fontId="86" fillId="30" borderId="0" xfId="0" applyNumberFormat="1" applyFont="1" applyFill="1" applyBorder="1"/>
    <xf numFmtId="167" fontId="86" fillId="30" borderId="12" xfId="0" applyNumberFormat="1" applyFont="1" applyFill="1" applyBorder="1"/>
    <xf numFmtId="167" fontId="86" fillId="30" borderId="22" xfId="0" applyNumberFormat="1" applyFont="1" applyFill="1" applyBorder="1"/>
    <xf numFmtId="0" fontId="13" fillId="30" borderId="0" xfId="0" applyFont="1" applyFill="1" applyBorder="1"/>
    <xf numFmtId="0" fontId="13" fillId="30" borderId="12" xfId="0" applyFont="1" applyFill="1" applyBorder="1"/>
    <xf numFmtId="173" fontId="18" fillId="30" borderId="11" xfId="103" applyNumberFormat="1" applyFont="1" applyFill="1" applyBorder="1"/>
    <xf numFmtId="173" fontId="18" fillId="30" borderId="0" xfId="103" applyNumberFormat="1" applyFont="1" applyFill="1" applyBorder="1"/>
    <xf numFmtId="173" fontId="18" fillId="30" borderId="12" xfId="103" applyNumberFormat="1" applyFont="1" applyFill="1" applyBorder="1"/>
    <xf numFmtId="173" fontId="13" fillId="30" borderId="11" xfId="0" applyNumberFormat="1" applyFont="1" applyFill="1" applyBorder="1"/>
    <xf numFmtId="173" fontId="13" fillId="30" borderId="0" xfId="0" applyNumberFormat="1" applyFont="1" applyFill="1" applyBorder="1"/>
    <xf numFmtId="173" fontId="13" fillId="30" borderId="22" xfId="103" applyNumberFormat="1" applyFont="1" applyFill="1" applyBorder="1"/>
    <xf numFmtId="173" fontId="37" fillId="24" borderId="0" xfId="103" applyNumberFormat="1" applyFont="1" applyFill="1"/>
    <xf numFmtId="164" fontId="37" fillId="24" borderId="0" xfId="53" applyNumberFormat="1" applyFont="1" applyFill="1"/>
    <xf numFmtId="193" fontId="6" fillId="24" borderId="0" xfId="53" applyNumberFormat="1" applyFont="1" applyFill="1"/>
    <xf numFmtId="9" fontId="2" fillId="24" borderId="0" xfId="103" applyFont="1" applyFill="1"/>
    <xf numFmtId="183" fontId="85" fillId="24" borderId="0" xfId="0" applyNumberFormat="1" applyFont="1" applyFill="1"/>
    <xf numFmtId="43" fontId="37" fillId="24" borderId="0" xfId="53" applyFont="1" applyFill="1"/>
    <xf numFmtId="173" fontId="85" fillId="24" borderId="0" xfId="103" applyNumberFormat="1" applyFont="1" applyFill="1"/>
    <xf numFmtId="7" fontId="82" fillId="24" borderId="0" xfId="53" applyNumberFormat="1" applyFont="1" applyFill="1"/>
    <xf numFmtId="10" fontId="85" fillId="24" borderId="0" xfId="103" applyNumberFormat="1" applyFont="1" applyFill="1" applyBorder="1"/>
    <xf numFmtId="43" fontId="2" fillId="24" borderId="0" xfId="53" applyFont="1" applyFill="1"/>
    <xf numFmtId="9" fontId="6" fillId="24" borderId="0" xfId="103" applyFont="1" applyFill="1"/>
    <xf numFmtId="9" fontId="40" fillId="24" borderId="0" xfId="103" applyFont="1" applyFill="1"/>
    <xf numFmtId="173" fontId="6" fillId="24" borderId="0" xfId="103" applyNumberFormat="1" applyFont="1" applyFill="1"/>
    <xf numFmtId="166" fontId="84" fillId="24" borderId="0" xfId="53" applyNumberFormat="1" applyFont="1" applyFill="1"/>
    <xf numFmtId="166" fontId="6" fillId="24" borderId="0" xfId="53" applyNumberFormat="1" applyFont="1" applyFill="1"/>
    <xf numFmtId="9" fontId="6" fillId="24" borderId="0" xfId="53" applyNumberFormat="1" applyFont="1" applyFill="1"/>
    <xf numFmtId="9" fontId="84" fillId="24" borderId="0" xfId="103" applyFont="1" applyFill="1"/>
    <xf numFmtId="37" fontId="6" fillId="24" borderId="0" xfId="53" applyNumberFormat="1" applyFont="1" applyFill="1"/>
    <xf numFmtId="37" fontId="6" fillId="24" borderId="0" xfId="103" applyNumberFormat="1" applyFont="1" applyFill="1"/>
    <xf numFmtId="164" fontId="6" fillId="24" borderId="0" xfId="53" applyNumberFormat="1" applyFont="1" applyFill="1"/>
    <xf numFmtId="166" fontId="84" fillId="24" borderId="0" xfId="53" applyNumberFormat="1" applyFont="1" applyFill="1" applyBorder="1"/>
    <xf numFmtId="184" fontId="2" fillId="0" borderId="0" xfId="53" applyNumberFormat="1" applyFont="1" applyBorder="1"/>
    <xf numFmtId="0" fontId="3" fillId="0" borderId="24" xfId="0" applyFont="1" applyBorder="1"/>
    <xf numFmtId="171" fontId="7" fillId="19" borderId="26" xfId="0" applyNumberFormat="1" applyFont="1" applyFill="1" applyBorder="1" applyAlignment="1">
      <alignment horizontal="right"/>
    </xf>
    <xf numFmtId="167" fontId="14" fillId="0" borderId="22" xfId="0" applyNumberFormat="1" applyFont="1" applyBorder="1"/>
    <xf numFmtId="167" fontId="21" fillId="0" borderId="22" xfId="0" applyNumberFormat="1" applyFont="1" applyBorder="1"/>
    <xf numFmtId="0" fontId="5" fillId="0" borderId="23" xfId="0" applyFont="1" applyBorder="1"/>
    <xf numFmtId="197" fontId="41" fillId="0" borderId="22" xfId="59" applyNumberFormat="1" applyFont="1" applyBorder="1"/>
    <xf numFmtId="185" fontId="16" fillId="0" borderId="22" xfId="59" applyNumberFormat="1" applyFont="1" applyBorder="1"/>
    <xf numFmtId="183" fontId="12" fillId="0" borderId="22" xfId="0" applyNumberFormat="1" applyFont="1" applyBorder="1"/>
    <xf numFmtId="0" fontId="2" fillId="0" borderId="23" xfId="0" applyFont="1" applyBorder="1"/>
    <xf numFmtId="0" fontId="11" fillId="0" borderId="24" xfId="0" applyFont="1" applyBorder="1"/>
    <xf numFmtId="166" fontId="5" fillId="0" borderId="22" xfId="53" applyNumberFormat="1" applyFont="1" applyBorder="1"/>
    <xf numFmtId="167" fontId="2" fillId="0" borderId="23" xfId="0" applyNumberFormat="1" applyFont="1" applyBorder="1"/>
    <xf numFmtId="167" fontId="11" fillId="0" borderId="24" xfId="0" applyNumberFormat="1" applyFont="1" applyBorder="1"/>
    <xf numFmtId="167" fontId="2" fillId="0" borderId="24" xfId="0" applyNumberFormat="1" applyFont="1" applyBorder="1"/>
    <xf numFmtId="167" fontId="5" fillId="0" borderId="22" xfId="103" applyNumberFormat="1" applyFont="1" applyBorder="1"/>
    <xf numFmtId="167" fontId="11" fillId="0" borderId="22" xfId="0" applyNumberFormat="1" applyFont="1" applyFill="1" applyBorder="1"/>
    <xf numFmtId="166" fontId="5" fillId="0" borderId="22" xfId="53" applyNumberFormat="1" applyFont="1" applyFill="1" applyBorder="1"/>
    <xf numFmtId="166" fontId="5" fillId="0" borderId="22" xfId="53" applyNumberFormat="1" applyFont="1" applyBorder="1" applyAlignment="1">
      <alignment horizontal="right"/>
    </xf>
    <xf numFmtId="166" fontId="5" fillId="0" borderId="22" xfId="53" applyNumberFormat="1" applyFont="1" applyFill="1" applyBorder="1" applyAlignment="1">
      <alignment horizontal="right"/>
    </xf>
    <xf numFmtId="167" fontId="2" fillId="0" borderId="22" xfId="103" applyNumberFormat="1" applyFont="1" applyBorder="1" applyAlignment="1">
      <alignment horizontal="right"/>
    </xf>
    <xf numFmtId="167" fontId="11" fillId="0" borderId="22" xfId="0" applyNumberFormat="1" applyFont="1" applyBorder="1" applyAlignment="1">
      <alignment horizontal="right"/>
    </xf>
    <xf numFmtId="167" fontId="2" fillId="0" borderId="22" xfId="0" applyNumberFormat="1" applyFont="1" applyBorder="1" applyAlignment="1">
      <alignment horizontal="right"/>
    </xf>
    <xf numFmtId="167" fontId="5" fillId="0" borderId="22" xfId="0" applyNumberFormat="1" applyFont="1" applyBorder="1" applyAlignment="1">
      <alignment horizontal="right"/>
    </xf>
    <xf numFmtId="44" fontId="2" fillId="0" borderId="22" xfId="59" applyFont="1" applyFill="1" applyBorder="1" applyAlignment="1">
      <alignment horizontal="right"/>
    </xf>
    <xf numFmtId="167" fontId="2" fillId="0" borderId="22" xfId="0" applyNumberFormat="1" applyFont="1" applyFill="1" applyBorder="1" applyAlignment="1">
      <alignment horizontal="right"/>
    </xf>
    <xf numFmtId="167" fontId="11" fillId="0" borderId="22" xfId="103" applyNumberFormat="1" applyFont="1" applyFill="1" applyBorder="1" applyAlignment="1">
      <alignment horizontal="right"/>
    </xf>
    <xf numFmtId="167" fontId="2" fillId="0" borderId="22" xfId="103" applyNumberFormat="1" applyFont="1" applyFill="1" applyBorder="1" applyAlignment="1">
      <alignment horizontal="right"/>
    </xf>
    <xf numFmtId="167" fontId="11" fillId="0" borderId="22" xfId="0" applyNumberFormat="1" applyFont="1" applyFill="1" applyBorder="1" applyAlignment="1">
      <alignment horizontal="right"/>
    </xf>
    <xf numFmtId="172" fontId="4" fillId="0" borderId="26" xfId="0" applyNumberFormat="1" applyFont="1" applyBorder="1"/>
    <xf numFmtId="164" fontId="3" fillId="0" borderId="0" xfId="0" applyNumberFormat="1" applyFont="1" applyFill="1" applyBorder="1"/>
    <xf numFmtId="164" fontId="2" fillId="0" borderId="0" xfId="0" applyNumberFormat="1" applyFont="1" applyFill="1" applyBorder="1"/>
    <xf numFmtId="167" fontId="2" fillId="0" borderId="22" xfId="103" applyNumberFormat="1" applyFont="1" applyBorder="1"/>
    <xf numFmtId="167" fontId="2" fillId="24" borderId="22" xfId="103" applyNumberFormat="1" applyFont="1" applyFill="1" applyBorder="1"/>
    <xf numFmtId="167" fontId="6" fillId="0" borderId="22" xfId="103" applyNumberFormat="1" applyFont="1" applyBorder="1"/>
    <xf numFmtId="9" fontId="2" fillId="0" borderId="22" xfId="0" applyNumberFormat="1" applyFont="1" applyBorder="1"/>
    <xf numFmtId="185" fontId="2" fillId="0" borderId="22" xfId="59" applyNumberFormat="1" applyFont="1" applyBorder="1"/>
    <xf numFmtId="0" fontId="8" fillId="0" borderId="11" xfId="0" applyFont="1" applyBorder="1"/>
    <xf numFmtId="44" fontId="12" fillId="32" borderId="14" xfId="59" applyFont="1" applyFill="1" applyBorder="1"/>
    <xf numFmtId="0" fontId="3" fillId="0" borderId="24" xfId="0" applyNumberFormat="1" applyFont="1" applyBorder="1" applyAlignment="1">
      <alignment horizontal="centerContinuous"/>
    </xf>
    <xf numFmtId="43" fontId="85" fillId="0" borderId="22" xfId="53" applyFont="1" applyFill="1" applyBorder="1"/>
    <xf numFmtId="173" fontId="13" fillId="30" borderId="22" xfId="0" applyNumberFormat="1" applyFont="1" applyFill="1" applyBorder="1"/>
    <xf numFmtId="37" fontId="80" fillId="0" borderId="22" xfId="0" applyNumberFormat="1" applyFont="1" applyFill="1" applyBorder="1"/>
    <xf numFmtId="167" fontId="5" fillId="30" borderId="22" xfId="0" applyNumberFormat="1" applyFont="1" applyFill="1" applyBorder="1"/>
    <xf numFmtId="167" fontId="5" fillId="24" borderId="22" xfId="0" applyNumberFormat="1" applyFont="1" applyFill="1" applyBorder="1"/>
    <xf numFmtId="0" fontId="2" fillId="30" borderId="22" xfId="0" applyFont="1" applyFill="1" applyBorder="1"/>
    <xf numFmtId="0" fontId="86" fillId="30" borderId="22" xfId="0" applyFont="1" applyFill="1" applyBorder="1"/>
    <xf numFmtId="39" fontId="5" fillId="0" borderId="22" xfId="0" applyNumberFormat="1" applyFont="1" applyFill="1" applyBorder="1"/>
    <xf numFmtId="174" fontId="40" fillId="30" borderId="0" xfId="0" applyNumberFormat="1" applyFont="1" applyFill="1" applyBorder="1"/>
    <xf numFmtId="174" fontId="86" fillId="30" borderId="0" xfId="0" applyNumberFormat="1" applyFont="1" applyFill="1" applyBorder="1"/>
    <xf numFmtId="0" fontId="4" fillId="0" borderId="24" xfId="0" applyNumberFormat="1" applyFont="1" applyBorder="1" applyAlignment="1">
      <alignment horizontal="centerContinuous"/>
    </xf>
    <xf numFmtId="37" fontId="15" fillId="0" borderId="22" xfId="0" applyNumberFormat="1" applyFont="1" applyFill="1" applyBorder="1"/>
    <xf numFmtId="9" fontId="85" fillId="0" borderId="22" xfId="103" applyFont="1" applyFill="1" applyBorder="1"/>
    <xf numFmtId="167" fontId="16" fillId="0" borderId="22" xfId="103" applyNumberFormat="1" applyFont="1" applyFill="1" applyBorder="1"/>
    <xf numFmtId="176" fontId="16" fillId="0" borderId="22" xfId="103" applyNumberFormat="1" applyFont="1" applyFill="1" applyBorder="1"/>
    <xf numFmtId="37" fontId="2" fillId="0" borderId="22" xfId="0" applyNumberFormat="1" applyFont="1" applyFill="1" applyBorder="1"/>
    <xf numFmtId="0" fontId="3" fillId="0" borderId="0" xfId="0" applyFont="1" applyBorder="1"/>
    <xf numFmtId="164" fontId="3" fillId="0" borderId="11" xfId="0" applyNumberFormat="1" applyFont="1" applyFill="1" applyBorder="1"/>
    <xf numFmtId="164" fontId="2" fillId="0" borderId="11" xfId="0" applyNumberFormat="1" applyFont="1" applyFill="1" applyBorder="1"/>
    <xf numFmtId="0" fontId="86" fillId="0" borderId="0" xfId="0" applyFont="1" applyBorder="1"/>
    <xf numFmtId="0" fontId="5" fillId="0" borderId="0" xfId="0" applyNumberFormat="1" applyFont="1" applyBorder="1"/>
    <xf numFmtId="0" fontId="13" fillId="0" borderId="0" xfId="0" applyFont="1" applyBorder="1"/>
    <xf numFmtId="167" fontId="16" fillId="0" borderId="0" xfId="0" applyNumberFormat="1" applyFont="1" applyFill="1" applyBorder="1"/>
    <xf numFmtId="176" fontId="16" fillId="0" borderId="0" xfId="0" applyNumberFormat="1" applyFont="1" applyFill="1" applyBorder="1"/>
    <xf numFmtId="176" fontId="11" fillId="24" borderId="12" xfId="103" applyNumberFormat="1" applyFont="1" applyFill="1" applyBorder="1"/>
    <xf numFmtId="173" fontId="11" fillId="24" borderId="11" xfId="103" applyNumberFormat="1" applyFont="1" applyFill="1" applyBorder="1"/>
    <xf numFmtId="173" fontId="11" fillId="24" borderId="0" xfId="103" applyNumberFormat="1" applyFont="1" applyFill="1" applyBorder="1"/>
    <xf numFmtId="173" fontId="11" fillId="24" borderId="12" xfId="103" applyNumberFormat="1" applyFont="1" applyFill="1" applyBorder="1"/>
    <xf numFmtId="176" fontId="11" fillId="24" borderId="22" xfId="0" applyNumberFormat="1" applyFont="1" applyFill="1" applyBorder="1"/>
    <xf numFmtId="9" fontId="11" fillId="24" borderId="0" xfId="103" applyFont="1" applyFill="1" applyBorder="1"/>
    <xf numFmtId="176" fontId="11" fillId="24" borderId="22" xfId="103" applyNumberFormat="1" applyFont="1" applyFill="1" applyBorder="1"/>
    <xf numFmtId="173" fontId="16" fillId="24" borderId="0" xfId="103" applyNumberFormat="1" applyFont="1" applyFill="1" applyBorder="1"/>
    <xf numFmtId="173" fontId="5" fillId="24" borderId="22" xfId="103" applyNumberFormat="1" applyFont="1" applyFill="1" applyBorder="1"/>
    <xf numFmtId="176" fontId="5" fillId="24" borderId="22" xfId="0" applyNumberFormat="1" applyFont="1" applyFill="1" applyBorder="1"/>
    <xf numFmtId="176" fontId="5" fillId="24" borderId="22" xfId="103" applyNumberFormat="1" applyFont="1" applyFill="1" applyBorder="1"/>
    <xf numFmtId="176" fontId="5" fillId="24" borderId="0" xfId="103" applyNumberFormat="1" applyFont="1" applyFill="1" applyBorder="1"/>
    <xf numFmtId="173" fontId="82" fillId="24" borderId="0" xfId="103" applyNumberFormat="1" applyFont="1" applyFill="1" applyBorder="1"/>
    <xf numFmtId="167" fontId="11" fillId="24" borderId="0" xfId="103" applyNumberFormat="1" applyFont="1" applyFill="1" applyBorder="1"/>
    <xf numFmtId="167" fontId="11" fillId="24" borderId="12" xfId="103" applyNumberFormat="1" applyFont="1" applyFill="1" applyBorder="1"/>
    <xf numFmtId="167" fontId="11" fillId="24" borderId="11" xfId="103" applyNumberFormat="1" applyFont="1" applyFill="1" applyBorder="1"/>
    <xf numFmtId="37" fontId="5" fillId="24" borderId="12" xfId="0" applyNumberFormat="1" applyFont="1" applyFill="1" applyBorder="1"/>
    <xf numFmtId="37" fontId="5" fillId="24" borderId="22" xfId="0" applyNumberFormat="1" applyFont="1" applyFill="1" applyBorder="1"/>
    <xf numFmtId="9" fontId="15" fillId="24" borderId="11" xfId="103" applyFont="1" applyFill="1" applyBorder="1"/>
    <xf numFmtId="44" fontId="15" fillId="24" borderId="11" xfId="59" applyFont="1" applyFill="1" applyBorder="1"/>
    <xf numFmtId="44" fontId="15" fillId="24" borderId="0" xfId="59" applyFont="1" applyFill="1" applyBorder="1"/>
    <xf numFmtId="44" fontId="15" fillId="24" borderId="12" xfId="59" applyFont="1" applyFill="1" applyBorder="1"/>
    <xf numFmtId="44" fontId="5" fillId="24" borderId="0" xfId="59" applyFont="1" applyFill="1" applyBorder="1"/>
    <xf numFmtId="44" fontId="5" fillId="24" borderId="22" xfId="59" applyFont="1" applyFill="1" applyBorder="1"/>
    <xf numFmtId="44" fontId="15" fillId="24" borderId="0" xfId="59" applyNumberFormat="1" applyFont="1" applyFill="1" applyBorder="1"/>
    <xf numFmtId="44" fontId="15" fillId="24" borderId="12" xfId="59" applyNumberFormat="1" applyFont="1" applyFill="1" applyBorder="1"/>
    <xf numFmtId="44" fontId="15" fillId="24" borderId="11" xfId="59" applyNumberFormat="1" applyFont="1" applyFill="1" applyBorder="1"/>
    <xf numFmtId="37" fontId="15" fillId="24" borderId="0" xfId="0" applyNumberFormat="1" applyFont="1" applyFill="1" applyBorder="1"/>
    <xf numFmtId="173" fontId="25" fillId="0" borderId="22" xfId="103" applyNumberFormat="1" applyFont="1" applyBorder="1"/>
    <xf numFmtId="173" fontId="6" fillId="0" borderId="22" xfId="103" applyNumberFormat="1" applyFont="1" applyBorder="1"/>
    <xf numFmtId="49" fontId="6" fillId="0" borderId="22" xfId="103" applyNumberFormat="1" applyFont="1" applyBorder="1"/>
    <xf numFmtId="174" fontId="6" fillId="0" borderId="22" xfId="0" applyNumberFormat="1" applyFont="1" applyBorder="1"/>
    <xf numFmtId="185" fontId="41" fillId="0" borderId="22" xfId="59" applyNumberFormat="1" applyFont="1" applyBorder="1"/>
    <xf numFmtId="167" fontId="11" fillId="0" borderId="22" xfId="103" applyNumberFormat="1" applyFont="1" applyBorder="1"/>
    <xf numFmtId="44" fontId="2" fillId="0" borderId="22" xfId="59" applyFont="1" applyFill="1" applyBorder="1"/>
    <xf numFmtId="167" fontId="11" fillId="0" borderId="22" xfId="103" applyNumberFormat="1" applyFont="1" applyFill="1" applyBorder="1"/>
    <xf numFmtId="167" fontId="2" fillId="0" borderId="22" xfId="103" applyNumberFormat="1" applyFont="1" applyFill="1" applyBorder="1"/>
    <xf numFmtId="9" fontId="80" fillId="0" borderId="0" xfId="0" applyNumberFormat="1" applyFont="1" applyBorder="1"/>
    <xf numFmtId="182" fontId="39" fillId="0" borderId="0" xfId="53" applyNumberFormat="1" applyFont="1" applyBorder="1"/>
    <xf numFmtId="174" fontId="5" fillId="0" borderId="0" xfId="0" applyNumberFormat="1" applyFont="1" applyFill="1" applyBorder="1"/>
    <xf numFmtId="183" fontId="2" fillId="0" borderId="16" xfId="0" applyNumberFormat="1" applyFont="1" applyBorder="1"/>
    <xf numFmtId="0" fontId="3" fillId="0" borderId="24" xfId="0" applyNumberFormat="1" applyFont="1" applyFill="1" applyBorder="1"/>
    <xf numFmtId="0" fontId="3" fillId="0" borderId="24" xfId="0" applyNumberFormat="1" applyFont="1" applyBorder="1" applyAlignment="1">
      <alignment horizontal="center"/>
    </xf>
    <xf numFmtId="167" fontId="15" fillId="24" borderId="22" xfId="0" applyNumberFormat="1" applyFont="1" applyFill="1" applyBorder="1"/>
    <xf numFmtId="167" fontId="16" fillId="24" borderId="22" xfId="0" applyNumberFormat="1" applyFont="1" applyFill="1" applyBorder="1"/>
    <xf numFmtId="167" fontId="16" fillId="24" borderId="22" xfId="103" applyNumberFormat="1" applyFont="1" applyFill="1" applyBorder="1"/>
    <xf numFmtId="43" fontId="15" fillId="32" borderId="0" xfId="53" applyFont="1" applyFill="1" applyBorder="1"/>
    <xf numFmtId="164" fontId="2" fillId="30" borderId="22" xfId="53" applyNumberFormat="1" applyFont="1" applyFill="1" applyBorder="1"/>
    <xf numFmtId="5" fontId="2" fillId="0" borderId="0" xfId="0" applyNumberFormat="1" applyFont="1"/>
    <xf numFmtId="7" fontId="2" fillId="24" borderId="0" xfId="53" applyNumberFormat="1" applyFont="1" applyFill="1"/>
    <xf numFmtId="185" fontId="2" fillId="0" borderId="0" xfId="0" applyNumberFormat="1" applyFont="1"/>
    <xf numFmtId="44" fontId="12" fillId="24" borderId="14" xfId="59" applyFont="1" applyFill="1" applyBorder="1"/>
    <xf numFmtId="9" fontId="15" fillId="32" borderId="0" xfId="103" applyFont="1" applyFill="1" applyBorder="1"/>
    <xf numFmtId="189" fontId="2" fillId="0" borderId="0" xfId="0" applyNumberFormat="1" applyFont="1"/>
    <xf numFmtId="7" fontId="2" fillId="0" borderId="0" xfId="0" applyNumberFormat="1" applyFont="1"/>
    <xf numFmtId="168" fontId="81" fillId="22" borderId="19" xfId="0" applyNumberFormat="1" applyFont="1" applyFill="1" applyBorder="1" applyAlignment="1"/>
    <xf numFmtId="0" fontId="5" fillId="24" borderId="22" xfId="0" applyFont="1" applyFill="1" applyBorder="1"/>
    <xf numFmtId="0" fontId="5" fillId="24" borderId="23" xfId="0" applyFont="1" applyFill="1" applyBorder="1"/>
    <xf numFmtId="9" fontId="5" fillId="0" borderId="22" xfId="103" applyFont="1" applyBorder="1"/>
    <xf numFmtId="10" fontId="2" fillId="0" borderId="22" xfId="103" applyNumberFormat="1" applyFont="1" applyBorder="1"/>
    <xf numFmtId="0" fontId="3" fillId="22" borderId="16" xfId="0" applyNumberFormat="1" applyFont="1" applyFill="1" applyBorder="1" applyAlignment="1"/>
    <xf numFmtId="169" fontId="3" fillId="22" borderId="18" xfId="0" applyNumberFormat="1" applyFont="1" applyFill="1" applyBorder="1" applyAlignment="1">
      <alignment horizontal="centerContinuous"/>
    </xf>
    <xf numFmtId="169" fontId="3" fillId="22" borderId="19" xfId="0" applyNumberFormat="1" applyFont="1" applyFill="1" applyBorder="1" applyAlignment="1">
      <alignment horizontal="centerContinuous"/>
    </xf>
    <xf numFmtId="169" fontId="3" fillId="22" borderId="20" xfId="0" applyNumberFormat="1" applyFont="1" applyFill="1" applyBorder="1" applyAlignment="1">
      <alignment horizontal="centerContinuous"/>
    </xf>
    <xf numFmtId="0" fontId="3" fillId="22" borderId="17" xfId="0" applyNumberFormat="1" applyFont="1" applyFill="1" applyBorder="1" applyAlignment="1">
      <alignment horizontal="center"/>
    </xf>
    <xf numFmtId="0" fontId="3" fillId="22" borderId="16" xfId="0" applyNumberFormat="1" applyFont="1" applyFill="1" applyBorder="1" applyAlignment="1">
      <alignment horizontal="center"/>
    </xf>
    <xf numFmtId="0" fontId="3" fillId="22" borderId="16" xfId="0" applyNumberFormat="1" applyFont="1" applyFill="1" applyBorder="1"/>
    <xf numFmtId="0" fontId="4" fillId="22" borderId="16" xfId="0" applyNumberFormat="1" applyFont="1" applyFill="1" applyBorder="1" applyAlignment="1">
      <alignment horizontal="centerContinuous"/>
    </xf>
    <xf numFmtId="0" fontId="3" fillId="22" borderId="16" xfId="0" applyNumberFormat="1" applyFont="1" applyFill="1" applyBorder="1" applyAlignment="1">
      <alignment horizontal="centerContinuous"/>
    </xf>
    <xf numFmtId="0" fontId="3" fillId="22" borderId="24" xfId="0" applyNumberFormat="1" applyFont="1" applyFill="1" applyBorder="1" applyAlignment="1">
      <alignment horizontal="centerContinuous"/>
    </xf>
    <xf numFmtId="0" fontId="9" fillId="22" borderId="14" xfId="0" applyNumberFormat="1" applyFont="1" applyFill="1" applyBorder="1" applyAlignment="1"/>
    <xf numFmtId="168" fontId="7" fillId="22" borderId="18" xfId="0" applyNumberFormat="1" applyFont="1" applyFill="1" applyBorder="1" applyAlignment="1"/>
    <xf numFmtId="168" fontId="7" fillId="22" borderId="19" xfId="0" applyNumberFormat="1" applyFont="1" applyFill="1" applyBorder="1" applyAlignment="1"/>
    <xf numFmtId="168" fontId="7" fillId="22" borderId="20" xfId="0" applyNumberFormat="1" applyFont="1" applyFill="1" applyBorder="1" applyAlignment="1"/>
    <xf numFmtId="171" fontId="7" fillId="22" borderId="18" xfId="0" applyNumberFormat="1" applyFont="1" applyFill="1" applyBorder="1" applyAlignment="1">
      <alignment horizontal="right"/>
    </xf>
    <xf numFmtId="171" fontId="7" fillId="22" borderId="19" xfId="0" applyNumberFormat="1" applyFont="1" applyFill="1" applyBorder="1" applyAlignment="1">
      <alignment horizontal="right"/>
    </xf>
    <xf numFmtId="171" fontId="7" fillId="22" borderId="26" xfId="0" applyNumberFormat="1" applyFont="1" applyFill="1" applyBorder="1" applyAlignment="1">
      <alignment horizontal="right"/>
    </xf>
    <xf numFmtId="0" fontId="3" fillId="22" borderId="24" xfId="0" applyFont="1" applyFill="1" applyBorder="1"/>
    <xf numFmtId="9" fontId="5" fillId="24" borderId="0" xfId="103" applyFont="1" applyFill="1"/>
    <xf numFmtId="9" fontId="5" fillId="24" borderId="11" xfId="103" applyFont="1" applyFill="1" applyBorder="1"/>
    <xf numFmtId="9" fontId="5" fillId="24" borderId="0" xfId="103" applyFont="1" applyFill="1" applyBorder="1"/>
    <xf numFmtId="9" fontId="13" fillId="0" borderId="22" xfId="103" applyFont="1" applyBorder="1"/>
    <xf numFmtId="9" fontId="5" fillId="0" borderId="0" xfId="103" applyFont="1" applyFill="1"/>
    <xf numFmtId="173" fontId="2" fillId="24" borderId="0" xfId="53" applyNumberFormat="1" applyFont="1" applyFill="1"/>
    <xf numFmtId="182" fontId="84" fillId="24" borderId="0" xfId="53" applyNumberFormat="1" applyFont="1" applyFill="1" applyBorder="1"/>
    <xf numFmtId="7" fontId="11" fillId="0" borderId="0" xfId="0" applyNumberFormat="1" applyFont="1" applyBorder="1"/>
    <xf numFmtId="173" fontId="2" fillId="0" borderId="0" xfId="106" applyNumberFormat="1" applyFont="1" applyFill="1" applyBorder="1"/>
    <xf numFmtId="173" fontId="12" fillId="0" borderId="0" xfId="106" applyNumberFormat="1" applyFont="1" applyFill="1" applyBorder="1"/>
    <xf numFmtId="173" fontId="2" fillId="0" borderId="22" xfId="106" applyNumberFormat="1" applyFont="1" applyFill="1" applyBorder="1"/>
    <xf numFmtId="173" fontId="12" fillId="0" borderId="22" xfId="106" applyNumberFormat="1" applyFont="1" applyFill="1" applyBorder="1"/>
    <xf numFmtId="5" fontId="2" fillId="24" borderId="0" xfId="0" applyNumberFormat="1" applyFont="1" applyFill="1"/>
    <xf numFmtId="5" fontId="2" fillId="24" borderId="0" xfId="0" applyNumberFormat="1" applyFont="1" applyFill="1" applyBorder="1"/>
    <xf numFmtId="7" fontId="2" fillId="24" borderId="0" xfId="0" applyNumberFormat="1" applyFont="1" applyFill="1"/>
    <xf numFmtId="7" fontId="2" fillId="24" borderId="0" xfId="0" applyNumberFormat="1" applyFont="1" applyFill="1" applyBorder="1"/>
    <xf numFmtId="0" fontId="22" fillId="24" borderId="0" xfId="0" applyFont="1" applyFill="1" applyBorder="1"/>
    <xf numFmtId="0" fontId="22" fillId="24" borderId="0" xfId="0" applyFont="1" applyFill="1"/>
    <xf numFmtId="173" fontId="2" fillId="24" borderId="0" xfId="0" applyNumberFormat="1" applyFont="1" applyFill="1"/>
    <xf numFmtId="173" fontId="2" fillId="24" borderId="22" xfId="106" applyNumberFormat="1" applyFont="1" applyFill="1" applyBorder="1"/>
    <xf numFmtId="173" fontId="12" fillId="24" borderId="22" xfId="106" applyNumberFormat="1" applyFont="1" applyFill="1" applyBorder="1"/>
    <xf numFmtId="176" fontId="2" fillId="24" borderId="23" xfId="0" applyNumberFormat="1" applyFont="1" applyFill="1" applyBorder="1"/>
    <xf numFmtId="9" fontId="80" fillId="24" borderId="0" xfId="103" applyFont="1" applyFill="1" applyBorder="1"/>
    <xf numFmtId="9" fontId="80" fillId="24" borderId="0" xfId="103" applyFont="1" applyFill="1"/>
    <xf numFmtId="167" fontId="11" fillId="35" borderId="19" xfId="0" applyNumberFormat="1" applyFont="1" applyFill="1" applyBorder="1"/>
    <xf numFmtId="0" fontId="11" fillId="35" borderId="19" xfId="0" applyFont="1" applyFill="1" applyBorder="1"/>
    <xf numFmtId="0" fontId="11" fillId="35" borderId="20" xfId="0" applyFont="1" applyFill="1" applyBorder="1"/>
    <xf numFmtId="167" fontId="4" fillId="35" borderId="11" xfId="0" applyNumberFormat="1" applyFont="1" applyFill="1" applyBorder="1"/>
    <xf numFmtId="167" fontId="4" fillId="35" borderId="0" xfId="0" applyNumberFormat="1" applyFont="1" applyFill="1" applyBorder="1"/>
    <xf numFmtId="167" fontId="4" fillId="35" borderId="12" xfId="0" applyNumberFormat="1" applyFont="1" applyFill="1" applyBorder="1"/>
    <xf numFmtId="167" fontId="11" fillId="35" borderId="11" xfId="0" applyNumberFormat="1" applyFont="1" applyFill="1" applyBorder="1"/>
    <xf numFmtId="167" fontId="11" fillId="35" borderId="0" xfId="0" applyNumberFormat="1" applyFont="1" applyFill="1" applyBorder="1"/>
    <xf numFmtId="167" fontId="11" fillId="35" borderId="18" xfId="0" applyNumberFormat="1" applyFont="1" applyFill="1" applyBorder="1"/>
    <xf numFmtId="0" fontId="6" fillId="35" borderId="11" xfId="0" applyFont="1" applyFill="1" applyBorder="1"/>
    <xf numFmtId="0" fontId="11" fillId="35" borderId="0" xfId="0" applyFont="1" applyFill="1" applyBorder="1"/>
    <xf numFmtId="0" fontId="11" fillId="35" borderId="12" xfId="0" applyFont="1" applyFill="1" applyBorder="1"/>
    <xf numFmtId="167" fontId="11" fillId="35" borderId="12" xfId="0" applyNumberFormat="1" applyFont="1" applyFill="1" applyBorder="1"/>
    <xf numFmtId="167" fontId="11" fillId="35" borderId="22" xfId="0" applyNumberFormat="1" applyFont="1" applyFill="1" applyBorder="1"/>
    <xf numFmtId="167" fontId="6" fillId="35" borderId="22" xfId="0" applyNumberFormat="1" applyFont="1" applyFill="1" applyBorder="1"/>
    <xf numFmtId="0" fontId="11" fillId="35" borderId="18" xfId="0" applyFont="1" applyFill="1" applyBorder="1"/>
    <xf numFmtId="0" fontId="11" fillId="23" borderId="17" xfId="0" applyFont="1" applyFill="1" applyBorder="1"/>
    <xf numFmtId="0" fontId="2" fillId="23" borderId="16" xfId="0" applyFont="1" applyFill="1" applyBorder="1"/>
    <xf numFmtId="0" fontId="2" fillId="23" borderId="17" xfId="0" applyFont="1" applyFill="1" applyBorder="1"/>
    <xf numFmtId="0" fontId="2" fillId="23" borderId="21" xfId="0" applyFont="1" applyFill="1" applyBorder="1"/>
    <xf numFmtId="0" fontId="2" fillId="23" borderId="24" xfId="0" applyFont="1" applyFill="1" applyBorder="1"/>
    <xf numFmtId="9" fontId="2" fillId="23" borderId="17" xfId="103" applyFont="1" applyFill="1" applyBorder="1"/>
    <xf numFmtId="9" fontId="2" fillId="23" borderId="16" xfId="103" applyFont="1" applyFill="1" applyBorder="1"/>
    <xf numFmtId="0" fontId="6" fillId="35" borderId="0" xfId="0" applyFont="1" applyFill="1" applyBorder="1"/>
    <xf numFmtId="0" fontId="6" fillId="35" borderId="12" xfId="0" applyFont="1" applyFill="1" applyBorder="1"/>
    <xf numFmtId="167" fontId="6" fillId="35" borderId="11" xfId="0" applyNumberFormat="1" applyFont="1" applyFill="1" applyBorder="1"/>
    <xf numFmtId="167" fontId="6" fillId="35" borderId="0" xfId="0" applyNumberFormat="1" applyFont="1" applyFill="1" applyBorder="1"/>
    <xf numFmtId="167" fontId="6" fillId="35" borderId="12" xfId="0" applyNumberFormat="1" applyFont="1" applyFill="1" applyBorder="1"/>
    <xf numFmtId="0" fontId="36" fillId="24" borderId="0" xfId="0" applyFont="1" applyFill="1" applyBorder="1"/>
    <xf numFmtId="0" fontId="36" fillId="24" borderId="12" xfId="0" applyFont="1" applyFill="1" applyBorder="1"/>
    <xf numFmtId="173" fontId="36" fillId="24" borderId="11" xfId="103" applyNumberFormat="1" applyFont="1" applyFill="1" applyBorder="1"/>
    <xf numFmtId="173" fontId="36" fillId="24" borderId="0" xfId="103" applyNumberFormat="1" applyFont="1" applyFill="1" applyBorder="1"/>
    <xf numFmtId="173" fontId="36" fillId="24" borderId="12" xfId="103" applyNumberFormat="1" applyFont="1" applyFill="1" applyBorder="1"/>
    <xf numFmtId="173" fontId="36" fillId="24" borderId="22" xfId="103" applyNumberFormat="1" applyFont="1" applyFill="1" applyBorder="1"/>
    <xf numFmtId="173" fontId="2" fillId="0" borderId="22" xfId="103" applyNumberFormat="1" applyFont="1" applyFill="1" applyBorder="1"/>
    <xf numFmtId="7" fontId="6" fillId="35" borderId="13" xfId="59" applyNumberFormat="1" applyFont="1" applyFill="1" applyBorder="1" applyAlignment="1">
      <alignment horizontal="left"/>
    </xf>
    <xf numFmtId="7" fontId="6" fillId="35" borderId="14" xfId="59" applyNumberFormat="1" applyFont="1" applyFill="1" applyBorder="1" applyAlignment="1">
      <alignment horizontal="left"/>
    </xf>
    <xf numFmtId="7" fontId="6" fillId="35" borderId="13" xfId="59" applyNumberFormat="1" applyFont="1" applyFill="1" applyBorder="1"/>
    <xf numFmtId="7" fontId="6" fillId="35" borderId="14" xfId="59" applyNumberFormat="1" applyFont="1" applyFill="1" applyBorder="1"/>
    <xf numFmtId="7" fontId="6" fillId="35" borderId="15" xfId="59" applyNumberFormat="1" applyFont="1" applyFill="1" applyBorder="1"/>
    <xf numFmtId="7" fontId="6" fillId="35" borderId="23" xfId="59" applyNumberFormat="1" applyFont="1" applyFill="1" applyBorder="1"/>
    <xf numFmtId="0" fontId="6" fillId="24" borderId="13" xfId="0" applyFont="1" applyFill="1" applyBorder="1"/>
    <xf numFmtId="0" fontId="6" fillId="24" borderId="14" xfId="0" applyFont="1" applyFill="1" applyBorder="1"/>
    <xf numFmtId="167" fontId="4" fillId="0" borderId="13" xfId="0" applyNumberFormat="1" applyFont="1" applyBorder="1"/>
    <xf numFmtId="167" fontId="4" fillId="0" borderId="14" xfId="0" applyNumberFormat="1" applyFont="1" applyBorder="1"/>
    <xf numFmtId="167" fontId="4" fillId="0" borderId="15" xfId="0" applyNumberFormat="1" applyFont="1" applyBorder="1"/>
    <xf numFmtId="37" fontId="4" fillId="0" borderId="13" xfId="0" applyNumberFormat="1" applyFont="1" applyFill="1" applyBorder="1"/>
    <xf numFmtId="37" fontId="4" fillId="0" borderId="14" xfId="0" applyNumberFormat="1" applyFont="1" applyFill="1" applyBorder="1"/>
    <xf numFmtId="37" fontId="4" fillId="0" borderId="23" xfId="0" applyNumberFormat="1" applyFont="1" applyFill="1" applyBorder="1"/>
    <xf numFmtId="167" fontId="84" fillId="0" borderId="14" xfId="0" applyNumberFormat="1" applyFont="1" applyBorder="1"/>
    <xf numFmtId="37" fontId="84" fillId="0" borderId="23" xfId="0" applyNumberFormat="1" applyFont="1" applyFill="1" applyBorder="1"/>
    <xf numFmtId="37" fontId="84" fillId="0" borderId="14" xfId="0" applyNumberFormat="1" applyFont="1" applyBorder="1"/>
    <xf numFmtId="37" fontId="4" fillId="0" borderId="14" xfId="0" applyNumberFormat="1" applyFont="1" applyBorder="1"/>
    <xf numFmtId="37" fontId="6" fillId="0" borderId="14" xfId="0" applyNumberFormat="1" applyFont="1" applyBorder="1"/>
    <xf numFmtId="37" fontId="6" fillId="0" borderId="23" xfId="0" applyNumberFormat="1" applyFont="1" applyFill="1" applyBorder="1"/>
    <xf numFmtId="173" fontId="6" fillId="24" borderId="11" xfId="103" applyNumberFormat="1" applyFont="1" applyFill="1" applyBorder="1"/>
    <xf numFmtId="173" fontId="6" fillId="24" borderId="0" xfId="103" applyNumberFormat="1" applyFont="1" applyFill="1" applyBorder="1"/>
    <xf numFmtId="173" fontId="6" fillId="24" borderId="12" xfId="103" applyNumberFormat="1" applyFont="1" applyFill="1" applyBorder="1"/>
    <xf numFmtId="173" fontId="6" fillId="24" borderId="22" xfId="103" applyNumberFormat="1" applyFont="1" applyFill="1" applyBorder="1"/>
    <xf numFmtId="10" fontId="6" fillId="24" borderId="0" xfId="103" applyNumberFormat="1" applyFont="1" applyFill="1" applyBorder="1"/>
    <xf numFmtId="173" fontId="4" fillId="32" borderId="0" xfId="103" applyNumberFormat="1" applyFont="1" applyFill="1" applyBorder="1"/>
    <xf numFmtId="0" fontId="2" fillId="0" borderId="0" xfId="0" applyFont="1" applyBorder="1" applyAlignment="1">
      <alignment horizontal="left" indent="2"/>
    </xf>
    <xf numFmtId="43" fontId="2" fillId="0" borderId="0" xfId="53" applyFont="1"/>
    <xf numFmtId="37" fontId="89" fillId="0" borderId="14" xfId="0" applyNumberFormat="1" applyFont="1" applyBorder="1"/>
    <xf numFmtId="187" fontId="6" fillId="0" borderId="0" xfId="59" applyNumberFormat="1" applyFont="1" applyFill="1" applyBorder="1"/>
    <xf numFmtId="167" fontId="88" fillId="24" borderId="0" xfId="0" applyNumberFormat="1" applyFont="1" applyFill="1" applyBorder="1"/>
    <xf numFmtId="167" fontId="88" fillId="0" borderId="0" xfId="0" applyNumberFormat="1" applyFont="1" applyBorder="1"/>
    <xf numFmtId="1" fontId="2" fillId="0" borderId="0" xfId="0" applyNumberFormat="1" applyFont="1" applyBorder="1"/>
    <xf numFmtId="185" fontId="2" fillId="0" borderId="0" xfId="103" applyNumberFormat="1" applyFont="1" applyBorder="1"/>
    <xf numFmtId="185" fontId="2" fillId="0" borderId="22" xfId="0" applyNumberFormat="1" applyFont="1" applyBorder="1"/>
    <xf numFmtId="185" fontId="2" fillId="0" borderId="22" xfId="103" applyNumberFormat="1" applyFont="1" applyBorder="1"/>
    <xf numFmtId="185" fontId="12" fillId="0" borderId="0" xfId="103" applyNumberFormat="1" applyFont="1" applyFill="1" applyBorder="1"/>
    <xf numFmtId="185" fontId="2" fillId="0" borderId="0" xfId="0" applyNumberFormat="1" applyFont="1" applyBorder="1"/>
    <xf numFmtId="185" fontId="6" fillId="0" borderId="0" xfId="103" applyNumberFormat="1" applyFont="1" applyBorder="1"/>
    <xf numFmtId="185" fontId="6" fillId="0" borderId="22" xfId="0" applyNumberFormat="1" applyFont="1" applyBorder="1"/>
    <xf numFmtId="185" fontId="2" fillId="24" borderId="0" xfId="103" applyNumberFormat="1" applyFont="1" applyFill="1" applyBorder="1"/>
    <xf numFmtId="185" fontId="2" fillId="24" borderId="22" xfId="103" applyNumberFormat="1" applyFont="1" applyFill="1" applyBorder="1"/>
    <xf numFmtId="185" fontId="6" fillId="24" borderId="0" xfId="103" applyNumberFormat="1" applyFont="1" applyFill="1" applyBorder="1"/>
    <xf numFmtId="185" fontId="6" fillId="24" borderId="22" xfId="0" applyNumberFormat="1" applyFont="1" applyFill="1" applyBorder="1"/>
    <xf numFmtId="185" fontId="6" fillId="0" borderId="0" xfId="0" applyNumberFormat="1" applyFont="1" applyBorder="1"/>
    <xf numFmtId="185" fontId="12" fillId="24" borderId="0" xfId="103" applyNumberFormat="1" applyFont="1" applyFill="1" applyBorder="1"/>
    <xf numFmtId="185" fontId="2" fillId="24" borderId="0" xfId="0" applyNumberFormat="1" applyFont="1" applyFill="1" applyBorder="1"/>
    <xf numFmtId="185" fontId="2" fillId="0" borderId="11" xfId="103" applyNumberFormat="1" applyFont="1" applyBorder="1"/>
    <xf numFmtId="185" fontId="2" fillId="0" borderId="11" xfId="0" applyNumberFormat="1" applyFont="1" applyBorder="1"/>
    <xf numFmtId="185" fontId="6" fillId="0" borderId="11" xfId="0" applyNumberFormat="1" applyFont="1" applyBorder="1"/>
    <xf numFmtId="185" fontId="6" fillId="0" borderId="11" xfId="103" applyNumberFormat="1" applyFont="1" applyBorder="1"/>
    <xf numFmtId="185" fontId="2" fillId="24" borderId="11" xfId="0" applyNumberFormat="1" applyFont="1" applyFill="1" applyBorder="1"/>
    <xf numFmtId="185" fontId="6" fillId="24" borderId="11" xfId="0" applyNumberFormat="1" applyFont="1" applyFill="1" applyBorder="1"/>
    <xf numFmtId="185" fontId="6" fillId="24" borderId="0" xfId="0" applyNumberFormat="1" applyFont="1" applyFill="1" applyBorder="1"/>
    <xf numFmtId="173" fontId="80" fillId="24" borderId="0" xfId="103" applyNumberFormat="1" applyFont="1" applyFill="1" applyBorder="1"/>
    <xf numFmtId="37" fontId="5" fillId="34" borderId="0" xfId="0" applyNumberFormat="1" applyFont="1" applyFill="1" applyBorder="1"/>
    <xf numFmtId="37" fontId="16" fillId="34" borderId="0" xfId="0" applyNumberFormat="1" applyFont="1" applyFill="1" applyBorder="1"/>
    <xf numFmtId="167" fontId="11" fillId="35" borderId="26" xfId="0" applyNumberFormat="1" applyFont="1" applyFill="1" applyBorder="1"/>
    <xf numFmtId="167" fontId="11" fillId="35" borderId="20" xfId="0" applyNumberFormat="1" applyFont="1" applyFill="1" applyBorder="1"/>
    <xf numFmtId="167" fontId="11" fillId="20" borderId="20" xfId="0" applyNumberFormat="1" applyFont="1" applyFill="1" applyBorder="1"/>
    <xf numFmtId="37" fontId="2" fillId="0" borderId="0" xfId="0" applyNumberFormat="1" applyFont="1" applyFill="1" applyBorder="1"/>
    <xf numFmtId="37" fontId="88" fillId="0" borderId="0" xfId="0" applyNumberFormat="1" applyFont="1" applyBorder="1"/>
    <xf numFmtId="0" fontId="6" fillId="23" borderId="17" xfId="0" applyFont="1" applyFill="1" applyBorder="1"/>
    <xf numFmtId="167" fontId="2" fillId="23" borderId="24" xfId="0" applyNumberFormat="1" applyFont="1" applyFill="1" applyBorder="1"/>
    <xf numFmtId="167" fontId="90" fillId="0" borderId="0" xfId="103" applyNumberFormat="1" applyFont="1" applyBorder="1"/>
    <xf numFmtId="37" fontId="89" fillId="0" borderId="23" xfId="0" applyNumberFormat="1" applyFont="1" applyFill="1" applyBorder="1"/>
    <xf numFmtId="166" fontId="12" fillId="18" borderId="0" xfId="53" applyNumberFormat="1" applyFont="1" applyFill="1" applyBorder="1"/>
    <xf numFmtId="0" fontId="13" fillId="0" borderId="11" xfId="0" applyFont="1" applyFill="1" applyBorder="1"/>
    <xf numFmtId="9" fontId="5" fillId="0" borderId="0" xfId="103" applyFont="1" applyBorder="1"/>
    <xf numFmtId="39" fontId="2" fillId="24" borderId="22" xfId="0" applyNumberFormat="1" applyFont="1" applyFill="1" applyBorder="1"/>
    <xf numFmtId="39" fontId="2" fillId="0" borderId="0" xfId="0" applyNumberFormat="1" applyFont="1" applyBorder="1"/>
    <xf numFmtId="0" fontId="1" fillId="0" borderId="0" xfId="125"/>
    <xf numFmtId="185" fontId="80" fillId="0" borderId="0" xfId="103" applyNumberFormat="1" applyFont="1" applyFill="1" applyBorder="1"/>
    <xf numFmtId="185" fontId="12" fillId="0" borderId="0" xfId="0" applyNumberFormat="1" applyFont="1" applyFill="1" applyBorder="1"/>
    <xf numFmtId="185" fontId="80" fillId="0" borderId="0" xfId="0" applyNumberFormat="1" applyFont="1" applyFill="1" applyBorder="1"/>
    <xf numFmtId="166" fontId="23" fillId="25" borderId="0" xfId="54" applyNumberFormat="1" applyFont="1" applyFill="1"/>
    <xf numFmtId="164" fontId="23" fillId="25" borderId="0" xfId="54" applyNumberFormat="1" applyFont="1" applyFill="1"/>
    <xf numFmtId="0" fontId="23" fillId="0" borderId="0" xfId="0" applyFont="1" applyFill="1"/>
    <xf numFmtId="164" fontId="23" fillId="0" borderId="0" xfId="53" applyNumberFormat="1" applyFont="1" applyFill="1"/>
    <xf numFmtId="164" fontId="0" fillId="24" borderId="0" xfId="0" applyNumberFormat="1" applyFill="1"/>
    <xf numFmtId="0" fontId="68" fillId="24" borderId="25" xfId="0" applyFont="1" applyFill="1" applyBorder="1" applyAlignment="1">
      <alignment horizontal="center" vertical="center"/>
    </xf>
    <xf numFmtId="43" fontId="23" fillId="28" borderId="0" xfId="0" applyNumberFormat="1" applyFont="1" applyFill="1"/>
    <xf numFmtId="164" fontId="23" fillId="0" borderId="0" xfId="0" applyNumberFormat="1" applyFont="1" applyFill="1"/>
    <xf numFmtId="167" fontId="88" fillId="30" borderId="0" xfId="0" applyNumberFormat="1" applyFont="1" applyFill="1" applyBorder="1"/>
    <xf numFmtId="164" fontId="15" fillId="0" borderId="0" xfId="53" applyNumberFormat="1" applyFont="1" applyFill="1" applyBorder="1"/>
    <xf numFmtId="3" fontId="80" fillId="24" borderId="0" xfId="0" applyNumberFormat="1" applyFont="1" applyFill="1" applyBorder="1"/>
    <xf numFmtId="3" fontId="15" fillId="24" borderId="0" xfId="0" applyNumberFormat="1" applyFont="1" applyFill="1" applyBorder="1"/>
    <xf numFmtId="3" fontId="84" fillId="24" borderId="0" xfId="0" applyNumberFormat="1" applyFont="1" applyFill="1" applyBorder="1"/>
    <xf numFmtId="3" fontId="89" fillId="24" borderId="0" xfId="0" applyNumberFormat="1" applyFont="1" applyFill="1" applyBorder="1"/>
    <xf numFmtId="3" fontId="11" fillId="24" borderId="0" xfId="0" applyNumberFormat="1" applyFont="1" applyFill="1" applyBorder="1"/>
    <xf numFmtId="3" fontId="6" fillId="24" borderId="0" xfId="0" applyNumberFormat="1" applyFont="1" applyFill="1" applyBorder="1"/>
    <xf numFmtId="3" fontId="11" fillId="35" borderId="0" xfId="0" applyNumberFormat="1" applyFont="1" applyFill="1" applyBorder="1"/>
    <xf numFmtId="3" fontId="11" fillId="20" borderId="19" xfId="0" applyNumberFormat="1" applyFont="1" applyFill="1" applyBorder="1"/>
    <xf numFmtId="3" fontId="11" fillId="35" borderId="19" xfId="0" applyNumberFormat="1" applyFont="1" applyFill="1" applyBorder="1"/>
    <xf numFmtId="185" fontId="80" fillId="0" borderId="0" xfId="0" applyNumberFormat="1" applyFont="1" applyBorder="1"/>
    <xf numFmtId="185" fontId="12" fillId="0" borderId="0" xfId="0" applyNumberFormat="1" applyFont="1" applyBorder="1"/>
    <xf numFmtId="185" fontId="80" fillId="24" borderId="0" xfId="0" applyNumberFormat="1" applyFont="1" applyFill="1" applyBorder="1"/>
    <xf numFmtId="185" fontId="88" fillId="24" borderId="0" xfId="0" applyNumberFormat="1" applyFont="1" applyFill="1" applyBorder="1"/>
    <xf numFmtId="185" fontId="5" fillId="0" borderId="0" xfId="0" applyNumberFormat="1" applyFont="1" applyBorder="1"/>
    <xf numFmtId="185" fontId="88" fillId="0" borderId="0" xfId="0" applyNumberFormat="1" applyFont="1" applyBorder="1"/>
    <xf numFmtId="167" fontId="88" fillId="0" borderId="0" xfId="103" applyNumberFormat="1" applyFont="1" applyBorder="1"/>
    <xf numFmtId="167" fontId="91" fillId="0" borderId="0" xfId="103" applyNumberFormat="1" applyFont="1" applyBorder="1"/>
    <xf numFmtId="167" fontId="91" fillId="0" borderId="0" xfId="0" applyNumberFormat="1" applyFont="1" applyBorder="1"/>
    <xf numFmtId="185" fontId="12" fillId="0" borderId="12" xfId="0" applyNumberFormat="1" applyFont="1" applyFill="1" applyBorder="1"/>
    <xf numFmtId="167" fontId="80" fillId="0" borderId="0" xfId="103" applyNumberFormat="1" applyFont="1" applyBorder="1"/>
    <xf numFmtId="185" fontId="91" fillId="0" borderId="0" xfId="103" applyNumberFormat="1" applyFont="1" applyBorder="1"/>
    <xf numFmtId="185" fontId="91" fillId="0" borderId="0" xfId="103" applyNumberFormat="1" applyFont="1" applyFill="1" applyBorder="1"/>
    <xf numFmtId="43" fontId="91" fillId="0" borderId="0" xfId="103" applyNumberFormat="1" applyFont="1" applyFill="1" applyBorder="1"/>
    <xf numFmtId="185" fontId="91" fillId="24" borderId="0" xfId="103" applyNumberFormat="1" applyFont="1" applyFill="1" applyBorder="1"/>
    <xf numFmtId="185" fontId="80" fillId="0" borderId="0" xfId="103" applyNumberFormat="1" applyFont="1" applyBorder="1"/>
    <xf numFmtId="0" fontId="81" fillId="22" borderId="24" xfId="0" applyFont="1" applyFill="1" applyBorder="1"/>
    <xf numFmtId="170" fontId="81" fillId="22" borderId="19" xfId="0" applyNumberFormat="1" applyFont="1" applyFill="1" applyBorder="1" applyAlignment="1">
      <alignment horizontal="centerContinuous"/>
    </xf>
    <xf numFmtId="171" fontId="81" fillId="22" borderId="26" xfId="0" applyNumberFormat="1" applyFont="1" applyFill="1" applyBorder="1" applyAlignment="1">
      <alignment horizontal="right"/>
    </xf>
    <xf numFmtId="166" fontId="87" fillId="24" borderId="0" xfId="53" applyNumberFormat="1" applyFont="1" applyFill="1"/>
    <xf numFmtId="7" fontId="87" fillId="24" borderId="0" xfId="53" applyNumberFormat="1" applyFont="1" applyFill="1"/>
    <xf numFmtId="9" fontId="87" fillId="24" borderId="0" xfId="53" applyNumberFormat="1" applyFont="1" applyFill="1"/>
    <xf numFmtId="173" fontId="87" fillId="24" borderId="0" xfId="103" applyNumberFormat="1" applyFont="1" applyFill="1"/>
    <xf numFmtId="43" fontId="87" fillId="24" borderId="0" xfId="53" applyNumberFormat="1" applyFont="1" applyFill="1" applyBorder="1"/>
    <xf numFmtId="44" fontId="87" fillId="24" borderId="0" xfId="59" applyFont="1" applyFill="1"/>
    <xf numFmtId="199" fontId="87" fillId="24" borderId="0" xfId="59" applyNumberFormat="1" applyFont="1" applyFill="1"/>
    <xf numFmtId="9" fontId="80" fillId="24" borderId="22" xfId="103" applyFont="1" applyFill="1" applyBorder="1"/>
    <xf numFmtId="190" fontId="12" fillId="0" borderId="0" xfId="103" applyNumberFormat="1" applyFont="1" applyBorder="1"/>
    <xf numFmtId="190" fontId="15" fillId="0" borderId="0" xfId="103" applyNumberFormat="1" applyFont="1" applyBorder="1"/>
    <xf numFmtId="190" fontId="5" fillId="0" borderId="22" xfId="0" applyNumberFormat="1" applyFont="1" applyBorder="1"/>
    <xf numFmtId="167" fontId="91" fillId="18" borderId="0" xfId="103" applyNumberFormat="1" applyFont="1" applyFill="1" applyBorder="1"/>
    <xf numFmtId="167" fontId="92" fillId="0" borderId="0" xfId="103" applyNumberFormat="1" applyFont="1" applyBorder="1"/>
    <xf numFmtId="190" fontId="90" fillId="0" borderId="0" xfId="0" applyNumberFormat="1" applyFont="1" applyBorder="1"/>
    <xf numFmtId="174" fontId="11" fillId="24" borderId="0" xfId="0" applyNumberFormat="1" applyFont="1" applyFill="1" applyBorder="1"/>
    <xf numFmtId="9" fontId="2" fillId="0" borderId="0" xfId="103" applyFont="1" applyBorder="1"/>
    <xf numFmtId="44" fontId="93" fillId="0" borderId="0" xfId="59" applyFont="1" applyFill="1" applyBorder="1"/>
    <xf numFmtId="44" fontId="93" fillId="0" borderId="22" xfId="59" applyFont="1" applyFill="1" applyBorder="1"/>
    <xf numFmtId="173" fontId="94" fillId="0" borderId="0" xfId="103" applyNumberFormat="1" applyFont="1" applyFill="1" applyBorder="1"/>
    <xf numFmtId="173" fontId="94" fillId="0" borderId="22" xfId="103" applyNumberFormat="1" applyFont="1" applyFill="1" applyBorder="1"/>
    <xf numFmtId="9" fontId="80" fillId="31" borderId="0" xfId="103" applyFont="1" applyFill="1" applyBorder="1"/>
    <xf numFmtId="0" fontId="1" fillId="21" borderId="0" xfId="127" applyFont="1" applyFill="1" applyAlignment="1">
      <alignment vertical="top"/>
    </xf>
    <xf numFmtId="0" fontId="1" fillId="21" borderId="0" xfId="125" applyFill="1" applyAlignment="1">
      <alignment vertical="top"/>
    </xf>
    <xf numFmtId="0" fontId="1" fillId="21" borderId="0" xfId="125" applyFill="1"/>
    <xf numFmtId="0" fontId="22" fillId="21" borderId="0" xfId="127" applyFont="1" applyFill="1" applyAlignment="1">
      <alignment horizontal="left" vertical="top"/>
    </xf>
    <xf numFmtId="0" fontId="1" fillId="21" borderId="0" xfId="125" applyFont="1" applyFill="1" applyAlignment="1">
      <alignment vertical="top"/>
    </xf>
    <xf numFmtId="0" fontId="96" fillId="21" borderId="0" xfId="127" applyFont="1" applyFill="1" applyAlignment="1">
      <alignment vertical="top"/>
    </xf>
    <xf numFmtId="0" fontId="0" fillId="21" borderId="0" xfId="0" applyFill="1" applyAlignment="1">
      <alignment vertical="top"/>
    </xf>
    <xf numFmtId="0" fontId="97" fillId="21" borderId="0" xfId="0" applyFont="1" applyFill="1" applyAlignment="1">
      <alignment vertical="top"/>
    </xf>
    <xf numFmtId="0" fontId="98" fillId="21" borderId="0" xfId="0" applyFont="1" applyFill="1" applyAlignment="1">
      <alignment vertical="top"/>
    </xf>
    <xf numFmtId="0" fontId="98" fillId="21" borderId="0" xfId="0" applyFont="1" applyFill="1" applyAlignment="1">
      <alignment vertical="top"/>
    </xf>
    <xf numFmtId="0" fontId="97" fillId="21" borderId="0" xfId="0" applyFont="1" applyFill="1" applyAlignment="1">
      <alignment vertical="top"/>
    </xf>
    <xf numFmtId="0" fontId="0" fillId="21" borderId="0" xfId="0" applyFill="1" applyAlignment="1">
      <alignment vertical="top"/>
    </xf>
    <xf numFmtId="0" fontId="0" fillId="21" borderId="31" xfId="0" applyFill="1" applyBorder="1" applyAlignment="1">
      <alignment vertical="top"/>
    </xf>
    <xf numFmtId="0" fontId="97" fillId="21" borderId="27" xfId="0" applyFont="1" applyFill="1" applyBorder="1" applyAlignment="1">
      <alignment vertical="top"/>
    </xf>
    <xf numFmtId="0" fontId="97" fillId="21" borderId="28" xfId="0" applyFont="1" applyFill="1" applyBorder="1" applyAlignment="1">
      <alignment vertical="top"/>
    </xf>
    <xf numFmtId="0" fontId="97" fillId="21" borderId="29" xfId="0" applyFont="1" applyFill="1" applyBorder="1" applyAlignment="1">
      <alignment vertical="top"/>
    </xf>
    <xf numFmtId="0" fontId="97" fillId="21" borderId="30" xfId="0" applyFont="1" applyFill="1" applyBorder="1" applyAlignment="1">
      <alignment vertical="top"/>
    </xf>
    <xf numFmtId="9" fontId="97" fillId="21" borderId="27" xfId="0" applyNumberFormat="1" applyFont="1" applyFill="1" applyBorder="1" applyAlignment="1">
      <alignment vertical="top"/>
    </xf>
    <xf numFmtId="3" fontId="97" fillId="21" borderId="27" xfId="0" applyNumberFormat="1" applyFont="1" applyFill="1" applyBorder="1" applyAlignment="1">
      <alignment vertical="top"/>
    </xf>
    <xf numFmtId="0" fontId="0" fillId="21" borderId="32" xfId="0" applyFill="1" applyBorder="1" applyAlignment="1">
      <alignment vertical="top"/>
    </xf>
    <xf numFmtId="2" fontId="1" fillId="0" borderId="0" xfId="125" applyNumberFormat="1" applyAlignment="1">
      <alignment horizontal="left"/>
    </xf>
    <xf numFmtId="0" fontId="1" fillId="0" borderId="0" xfId="125" applyNumberFormat="1" applyAlignment="1">
      <alignment horizontal="left"/>
    </xf>
    <xf numFmtId="1" fontId="1" fillId="0" borderId="0" xfId="125" applyNumberFormat="1" applyAlignment="1">
      <alignment horizontal="left"/>
    </xf>
    <xf numFmtId="0" fontId="1" fillId="0" borderId="0" xfId="125" applyFont="1"/>
    <xf numFmtId="215" fontId="1" fillId="0" borderId="0" xfId="125" applyNumberFormat="1" applyAlignment="1">
      <alignment horizontal="left"/>
    </xf>
    <xf numFmtId="49" fontId="1" fillId="0" borderId="0" xfId="125" applyNumberFormat="1"/>
  </cellXfs>
  <cellStyles count="128">
    <cellStyle name="_x000a_386grabber=M" xfId="1"/>
    <cellStyle name="_x000d__x000a_JournalTemplate=C:\COMFO\CTALK\JOURSTD.TPL_x000d__x000a_LbStateAddress=3 3 0 251 1 89 2 311_x000d__x000a_LbStateJou" xfId="2"/>
    <cellStyle name="%" xfId="3"/>
    <cellStyle name="% 2" xfId="4"/>
    <cellStyle name="%.00" xfId="5"/>
    <cellStyle name="%.00 2" xfId="6"/>
    <cellStyle name="******************************************" xfId="7"/>
    <cellStyle name="_AAPL_MS_Model" xfId="8"/>
    <cellStyle name="_IBM Organic Growth Note" xfId="9"/>
    <cellStyle name="_RRS1" xfId="10"/>
    <cellStyle name="_RRS1 2" xfId="11"/>
    <cellStyle name="_RRS10" xfId="12"/>
    <cellStyle name="_RRS10 2" xfId="13"/>
    <cellStyle name="_RRS2" xfId="14"/>
    <cellStyle name="_RRS2 2" xfId="15"/>
    <cellStyle name="_SUMMARY " xfId="16"/>
    <cellStyle name="_SUMMARY  2" xfId="17"/>
    <cellStyle name="=C:\WINNT35\SYSTEM32\COMMAND.COM" xfId="18"/>
    <cellStyle name="=C:\WINNT35\SYSTEM32\COMMAND.COM 2" xfId="19"/>
    <cellStyle name="0_Capex &amp; Depreciation " xfId="20"/>
    <cellStyle name="0_Valuing BP " xfId="21"/>
    <cellStyle name="20% - Accent1" xfId="22" builtinId="30" customBuiltin="1"/>
    <cellStyle name="20% - Accent2" xfId="23" builtinId="34" customBuiltin="1"/>
    <cellStyle name="20% - Accent3" xfId="24" builtinId="38" customBuiltin="1"/>
    <cellStyle name="20% - Accent4" xfId="25" builtinId="42" customBuiltin="1"/>
    <cellStyle name="20% - Accent5" xfId="26" builtinId="46" customBuiltin="1"/>
    <cellStyle name="20% - Accent6" xfId="27" builtinId="50" customBuiltin="1"/>
    <cellStyle name="40% - Accent1" xfId="28" builtinId="31" customBuiltin="1"/>
    <cellStyle name="40% - Accent2" xfId="29" builtinId="35" customBuiltin="1"/>
    <cellStyle name="40% - Accent3" xfId="30" builtinId="39" customBuiltin="1"/>
    <cellStyle name="40% - Accent4" xfId="31" builtinId="43" customBuiltin="1"/>
    <cellStyle name="40% - Accent5" xfId="32" builtinId="47" customBuiltin="1"/>
    <cellStyle name="40% - Accent6" xfId="33" builtinId="51" customBuiltin="1"/>
    <cellStyle name="60% - Accent1" xfId="34" builtinId="32" customBuiltin="1"/>
    <cellStyle name="60% - Accent2" xfId="35" builtinId="36" customBuiltin="1"/>
    <cellStyle name="60% - Accent3" xfId="36" builtinId="40" customBuiltin="1"/>
    <cellStyle name="60% - Accent4" xfId="37" builtinId="44" customBuiltin="1"/>
    <cellStyle name="60% - Accent5" xfId="38" builtinId="48" customBuiltin="1"/>
    <cellStyle name="60% - Accent6" xfId="39" builtinId="52" customBuiltin="1"/>
    <cellStyle name="Accent1" xfId="40" builtinId="29" customBuiltin="1"/>
    <cellStyle name="Accent2" xfId="41" builtinId="33" customBuiltin="1"/>
    <cellStyle name="Accent3" xfId="42" builtinId="37" customBuiltin="1"/>
    <cellStyle name="Accent4" xfId="43" builtinId="41" customBuiltin="1"/>
    <cellStyle name="Accent5" xfId="44" builtinId="45" customBuiltin="1"/>
    <cellStyle name="Accent6" xfId="45" builtinId="49" customBuiltin="1"/>
    <cellStyle name="ActgNumber" xfId="46"/>
    <cellStyle name="ActgNumber 2" xfId="47"/>
    <cellStyle name="ActgNumber 3" xfId="48"/>
    <cellStyle name="Bad" xfId="49" builtinId="27" customBuiltin="1"/>
    <cellStyle name="c_HardInc " xfId="50"/>
    <cellStyle name="Calculation" xfId="51" builtinId="22" customBuiltin="1"/>
    <cellStyle name="Check Cell" xfId="52" builtinId="23" customBuiltin="1"/>
    <cellStyle name="Comma" xfId="53" builtinId="3"/>
    <cellStyle name="Comma 2" xfId="54"/>
    <cellStyle name="Comma 2 2" xfId="55"/>
    <cellStyle name="Comma 3" xfId="56"/>
    <cellStyle name="Comma 3 2" xfId="57"/>
    <cellStyle name="Comma 4" xfId="58"/>
    <cellStyle name="Currency" xfId="59" builtinId="4"/>
    <cellStyle name="Currency 2" xfId="60"/>
    <cellStyle name="Currency 2 2" xfId="61"/>
    <cellStyle name="Currency 2 3" xfId="62"/>
    <cellStyle name="Currency 3" xfId="63"/>
    <cellStyle name="Currency 3 2" xfId="64"/>
    <cellStyle name="Currency 4" xfId="65"/>
    <cellStyle name="Explanatory Text" xfId="66" builtinId="53" customBuiltin="1"/>
    <cellStyle name="Fail" xfId="67"/>
    <cellStyle name="FiscalPeriod" xfId="68"/>
    <cellStyle name="Good" xfId="69" builtinId="26" customBuiltin="1"/>
    <cellStyle name="Heading 1" xfId="70" builtinId="16" customBuiltin="1"/>
    <cellStyle name="Heading 2" xfId="71" builtinId="17" customBuiltin="1"/>
    <cellStyle name="Heading 3" xfId="72" builtinId="18" customBuiltin="1"/>
    <cellStyle name="Heading 4" xfId="73" builtinId="19" customBuiltin="1"/>
    <cellStyle name="Hidden" xfId="74"/>
    <cellStyle name="Hyperlink 2" xfId="75"/>
    <cellStyle name="Hyperlink 3" xfId="76"/>
    <cellStyle name="Input" xfId="77" builtinId="20" customBuiltin="1"/>
    <cellStyle name="KP_Normal" xfId="78"/>
    <cellStyle name="Linked Cell" xfId="79" builtinId="24" customBuiltin="1"/>
    <cellStyle name="MetricLabel" xfId="80"/>
    <cellStyle name="MetricLabelBlue" xfId="81"/>
    <cellStyle name="MetricValue" xfId="82"/>
    <cellStyle name="Neutral" xfId="83" builtinId="28" customBuiltin="1"/>
    <cellStyle name="Normal" xfId="0" builtinId="0"/>
    <cellStyle name="Normal 10" xfId="84"/>
    <cellStyle name="Normal 11" xfId="125"/>
    <cellStyle name="Normal 2" xfId="85"/>
    <cellStyle name="Normal 2 2" xfId="86"/>
    <cellStyle name="Normal 3" xfId="87"/>
    <cellStyle name="Normal 3 2" xfId="88"/>
    <cellStyle name="Normal 4" xfId="89"/>
    <cellStyle name="Normal 4 2" xfId="90"/>
    <cellStyle name="Normal 5" xfId="91"/>
    <cellStyle name="Normal 5 2" xfId="92"/>
    <cellStyle name="Normal 5 3" xfId="93"/>
    <cellStyle name="Normal 6" xfId="94"/>
    <cellStyle name="Normal 7" xfId="95"/>
    <cellStyle name="Normal 8" xfId="96"/>
    <cellStyle name="Normal 9" xfId="97"/>
    <cellStyle name="Normal_DisclaimerSheet Samples" xfId="127"/>
    <cellStyle name="Note" xfId="98" builtinId="10" customBuiltin="1"/>
    <cellStyle name="Note 2" xfId="99"/>
    <cellStyle name="Output" xfId="100" builtinId="21" customBuiltin="1"/>
    <cellStyle name="p " xfId="101"/>
    <cellStyle name="Pass" xfId="102"/>
    <cellStyle name="Percent" xfId="103" builtinId="5"/>
    <cellStyle name="Percent 2" xfId="104"/>
    <cellStyle name="Percent 3" xfId="105"/>
    <cellStyle name="Percent 3 2" xfId="106"/>
    <cellStyle name="Percent 4" xfId="107"/>
    <cellStyle name="Percent 4 2" xfId="108"/>
    <cellStyle name="Percent 5" xfId="109"/>
    <cellStyle name="Percent 6" xfId="110"/>
    <cellStyle name="Right" xfId="111"/>
    <cellStyle name="RRSInstruction" xfId="112"/>
    <cellStyle name="RRSInstruction 2" xfId="113"/>
    <cellStyle name="RRSInstruction 3" xfId="126"/>
    <cellStyle name="s_HardInc " xfId="114"/>
    <cellStyle name="s_Valuation " xfId="115"/>
    <cellStyle name="ssp " xfId="116"/>
    <cellStyle name="Style 1" xfId="117"/>
    <cellStyle name="Style 1 2" xfId="118"/>
    <cellStyle name="Style 2" xfId="119"/>
    <cellStyle name="Title" xfId="120" builtinId="15" customBuiltin="1"/>
    <cellStyle name="title1" xfId="121"/>
    <cellStyle name="title2" xfId="122"/>
    <cellStyle name="Total" xfId="123" builtinId="25" customBuiltin="1"/>
    <cellStyle name="Warning Text" xfId="124" builtinId="11" customBuiltin="1"/>
  </cellStyles>
  <dxfs count="111">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FF"/>
      <color rgb="FF0000FF"/>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styles.xml" Type="http://schemas.openxmlformats.org/officeDocument/2006/relationships/styles"/>
<Relationship Id="rId11" Target="sharedStrings.xml" Type="http://schemas.openxmlformats.org/officeDocument/2006/relationships/sharedStrings"/>
<Relationship Id="rId12" Target="calcChain.xml" Type="http://schemas.openxmlformats.org/officeDocument/2006/relationships/calcChain"/>
<Relationship Id="rId13" Target="../customXml/item1.xml" Type="http://schemas.openxmlformats.org/officeDocument/2006/relationships/customXml"/>
<Relationship Id="rId14"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theme/theme1.xml" Type="http://schemas.openxmlformats.org/officeDocument/2006/relationships/theme"/>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CTSH Headcount Y/Y</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0"/>
          <c:y val="0.11949655167835219"/>
          <c:w val="0.98850257542310527"/>
          <c:h val="0.83294244106288096"/>
        </c:manualLayout>
      </c:layout>
      <c:barChart>
        <c:barDir val="col"/>
        <c:grouping val="clustered"/>
        <c:varyColors val="0"/>
        <c:ser>
          <c:idx val="0"/>
          <c:order val="0"/>
          <c:spPr>
            <a:solidFill>
              <a:srgbClr val="137CB1"/>
            </a:solidFill>
            <a:ln w="25400">
              <a:noFill/>
            </a:ln>
            <a:effectLst/>
          </c:spPr>
          <c:invertIfNegative val="0"/>
          <c:cat>
            <c:strRef>
              <c:f>(IS!$CS$6:$CV$6,IS!$CX$6:$DA$6)</c:f>
              <c:strCache>
                <c:ptCount val="4"/>
                <c:pt idx="0">
                  <c:v>1Q17</c:v>
                </c:pt>
                <c:pt idx="1">
                  <c:v>2Q17</c:v>
                </c:pt>
                <c:pt idx="2">
                  <c:v>3Q17</c:v>
                </c:pt>
                <c:pt idx="3">
                  <c:v>4Q17</c:v>
                </c:pt>
              </c:strCache>
            </c:strRef>
          </c:cat>
          <c:val>
            <c:numRef>
              <c:f>(IS!$CS$153:$CV$153,IS!$CX$153:$DA$153)</c:f>
            </c:numRef>
          </c:val>
        </c:ser>
        <c:dLbls>
          <c:showLegendKey val="0"/>
          <c:showVal val="0"/>
          <c:showCatName val="0"/>
          <c:showSerName val="0"/>
          <c:showPercent val="0"/>
          <c:showBubbleSize val="0"/>
        </c:dLbls>
        <c:gapWidth val="60"/>
        <c:axId val="656248832"/>
        <c:axId val="656250368"/>
      </c:barChart>
      <c:catAx>
        <c:axId val="656248832"/>
        <c:scaling>
          <c:orientation val="minMax"/>
        </c:scaling>
        <c:delete val="0"/>
        <c:axPos val="b"/>
        <c:numFmt formatCode="[$-409]mmm\-yy_);@" sourceLinked="1"/>
        <c:majorTickMark val="none"/>
        <c:minorTickMark val="none"/>
        <c:tickLblPos val="low"/>
        <c:spPr>
          <a:ln w="12700">
            <a:solidFill>
              <a:srgbClr val="808080"/>
            </a:solidFill>
            <a:prstDash val="solid"/>
          </a:ln>
        </c:spPr>
        <c:txPr>
          <a:bodyPr rot="0" vert="horz"/>
          <a:lstStyle/>
          <a:p>
            <a:pPr>
              <a:defRPr sz="1400" b="0" i="0">
                <a:solidFill>
                  <a:srgbClr val="808080"/>
                </a:solidFill>
                <a:latin typeface="Arial"/>
                <a:ea typeface="Arial"/>
                <a:cs typeface="Arial"/>
              </a:defRPr>
            </a:pPr>
            <a:endParaRPr lang="en-US"/>
          </a:p>
        </c:txPr>
        <c:crossAx val="656250368"/>
        <c:crosses val="autoZero"/>
        <c:auto val="1"/>
        <c:lblAlgn val="ctr"/>
        <c:lblOffset val="100"/>
        <c:tickLblSkip val="1"/>
        <c:tickMarkSkip val="1"/>
        <c:noMultiLvlLbl val="0"/>
      </c:catAx>
      <c:valAx>
        <c:axId val="656250368"/>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56248832"/>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171</xdr:row>
      <xdr:rowOff>0</xdr:rowOff>
    </xdr:from>
    <xdr:to>
      <xdr:col>7</xdr:col>
      <xdr:colOff>390525</xdr:colOff>
      <xdr:row>194</xdr:row>
      <xdr:rowOff>104775</xdr:rowOff>
    </xdr:to>
    <xdr:pic>
      <xdr:nvPicPr>
        <xdr:cNvPr id="46238721" name="Picture 1" descr="C:\Users\robbt\AppData\Local\Temp\MercuryPriceRatingHistoryChart\CTSH.O_2018_02_10_18_44_5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1556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107</xdr:col>
      <xdr:colOff>261937</xdr:colOff>
      <xdr:row>121</xdr:row>
      <xdr:rowOff>128587</xdr:rowOff>
    </xdr:from>
    <xdr:to>
      <xdr:col>131</xdr:col>
      <xdr:colOff>165163</xdr:colOff>
      <xdr:row>271</xdr:row>
      <xdr:rowOff>75286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85"/>
  <sheetViews>
    <sheetView showGridLines="0" tabSelected="1" workbookViewId="0">
      <selection activeCell="Z1" sqref="Z1"/>
    </sheetView>
  </sheetViews>
  <sheetFormatPr defaultRowHeight="12.75"/>
  <cols>
    <col min="1" max="1" width="25.7109375" style="1140" customWidth="1"/>
    <col min="2" max="5" width="9.140625" style="1140"/>
    <col min="6" max="6" width="18.7109375" style="1140" customWidth="1"/>
    <col min="7" max="256" width="9.140625" style="1140"/>
    <col min="257" max="257" width="100.7109375" style="1140" customWidth="1"/>
    <col min="258" max="512" width="9.140625" style="1140"/>
    <col min="513" max="513" width="100.7109375" style="1140" customWidth="1"/>
    <col min="514" max="768" width="9.140625" style="1140"/>
    <col min="769" max="769" width="100.7109375" style="1140" customWidth="1"/>
    <col min="770" max="1024" width="9.140625" style="1140"/>
    <col min="1025" max="1025" width="100.7109375" style="1140" customWidth="1"/>
    <col min="1026" max="1280" width="9.140625" style="1140"/>
    <col min="1281" max="1281" width="100.7109375" style="1140" customWidth="1"/>
    <col min="1282" max="1536" width="9.140625" style="1140"/>
    <col min="1537" max="1537" width="100.7109375" style="1140" customWidth="1"/>
    <col min="1538" max="1792" width="9.140625" style="1140"/>
    <col min="1793" max="1793" width="100.7109375" style="1140" customWidth="1"/>
    <col min="1794" max="2048" width="9.140625" style="1140"/>
    <col min="2049" max="2049" width="100.7109375" style="1140" customWidth="1"/>
    <col min="2050" max="2304" width="9.140625" style="1140"/>
    <col min="2305" max="2305" width="100.7109375" style="1140" customWidth="1"/>
    <col min="2306" max="2560" width="9.140625" style="1140"/>
    <col min="2561" max="2561" width="100.7109375" style="1140" customWidth="1"/>
    <col min="2562" max="2816" width="9.140625" style="1140"/>
    <col min="2817" max="2817" width="100.7109375" style="1140" customWidth="1"/>
    <col min="2818" max="3072" width="9.140625" style="1140"/>
    <col min="3073" max="3073" width="100.7109375" style="1140" customWidth="1"/>
    <col min="3074" max="3328" width="9.140625" style="1140"/>
    <col min="3329" max="3329" width="100.7109375" style="1140" customWidth="1"/>
    <col min="3330" max="3584" width="9.140625" style="1140"/>
    <col min="3585" max="3585" width="100.7109375" style="1140" customWidth="1"/>
    <col min="3586" max="3840" width="9.140625" style="1140"/>
    <col min="3841" max="3841" width="100.7109375" style="1140" customWidth="1"/>
    <col min="3842" max="4096" width="9.140625" style="1140"/>
    <col min="4097" max="4097" width="100.7109375" style="1140" customWidth="1"/>
    <col min="4098" max="4352" width="9.140625" style="1140"/>
    <col min="4353" max="4353" width="100.7109375" style="1140" customWidth="1"/>
    <col min="4354" max="4608" width="9.140625" style="1140"/>
    <col min="4609" max="4609" width="100.7109375" style="1140" customWidth="1"/>
    <col min="4610" max="4864" width="9.140625" style="1140"/>
    <col min="4865" max="4865" width="100.7109375" style="1140" customWidth="1"/>
    <col min="4866" max="5120" width="9.140625" style="1140"/>
    <col min="5121" max="5121" width="100.7109375" style="1140" customWidth="1"/>
    <col min="5122" max="5376" width="9.140625" style="1140"/>
    <col min="5377" max="5377" width="100.7109375" style="1140" customWidth="1"/>
    <col min="5378" max="5632" width="9.140625" style="1140"/>
    <col min="5633" max="5633" width="100.7109375" style="1140" customWidth="1"/>
    <col min="5634" max="5888" width="9.140625" style="1140"/>
    <col min="5889" max="5889" width="100.7109375" style="1140" customWidth="1"/>
    <col min="5890" max="6144" width="9.140625" style="1140"/>
    <col min="6145" max="6145" width="100.7109375" style="1140" customWidth="1"/>
    <col min="6146" max="6400" width="9.140625" style="1140"/>
    <col min="6401" max="6401" width="100.7109375" style="1140" customWidth="1"/>
    <col min="6402" max="6656" width="9.140625" style="1140"/>
    <col min="6657" max="6657" width="100.7109375" style="1140" customWidth="1"/>
    <col min="6658" max="6912" width="9.140625" style="1140"/>
    <col min="6913" max="6913" width="100.7109375" style="1140" customWidth="1"/>
    <col min="6914" max="7168" width="9.140625" style="1140"/>
    <col min="7169" max="7169" width="100.7109375" style="1140" customWidth="1"/>
    <col min="7170" max="7424" width="9.140625" style="1140"/>
    <col min="7425" max="7425" width="100.7109375" style="1140" customWidth="1"/>
    <col min="7426" max="7680" width="9.140625" style="1140"/>
    <col min="7681" max="7681" width="100.7109375" style="1140" customWidth="1"/>
    <col min="7682" max="7936" width="9.140625" style="1140"/>
    <col min="7937" max="7937" width="100.7109375" style="1140" customWidth="1"/>
    <col min="7938" max="8192" width="9.140625" style="1140"/>
    <col min="8193" max="8193" width="100.7109375" style="1140" customWidth="1"/>
    <col min="8194" max="8448" width="9.140625" style="1140"/>
    <col min="8449" max="8449" width="100.7109375" style="1140" customWidth="1"/>
    <col min="8450" max="8704" width="9.140625" style="1140"/>
    <col min="8705" max="8705" width="100.7109375" style="1140" customWidth="1"/>
    <col min="8706" max="8960" width="9.140625" style="1140"/>
    <col min="8961" max="8961" width="100.7109375" style="1140" customWidth="1"/>
    <col min="8962" max="9216" width="9.140625" style="1140"/>
    <col min="9217" max="9217" width="100.7109375" style="1140" customWidth="1"/>
    <col min="9218" max="9472" width="9.140625" style="1140"/>
    <col min="9473" max="9473" width="100.7109375" style="1140" customWidth="1"/>
    <col min="9474" max="9728" width="9.140625" style="1140"/>
    <col min="9729" max="9729" width="100.7109375" style="1140" customWidth="1"/>
    <col min="9730" max="9984" width="9.140625" style="1140"/>
    <col min="9985" max="9985" width="100.7109375" style="1140" customWidth="1"/>
    <col min="9986" max="10240" width="9.140625" style="1140"/>
    <col min="10241" max="10241" width="100.7109375" style="1140" customWidth="1"/>
    <col min="10242" max="10496" width="9.140625" style="1140"/>
    <col min="10497" max="10497" width="100.7109375" style="1140" customWidth="1"/>
    <col min="10498" max="10752" width="9.140625" style="1140"/>
    <col min="10753" max="10753" width="100.7109375" style="1140" customWidth="1"/>
    <col min="10754" max="11008" width="9.140625" style="1140"/>
    <col min="11009" max="11009" width="100.7109375" style="1140" customWidth="1"/>
    <col min="11010" max="11264" width="9.140625" style="1140"/>
    <col min="11265" max="11265" width="100.7109375" style="1140" customWidth="1"/>
    <col min="11266" max="11520" width="9.140625" style="1140"/>
    <col min="11521" max="11521" width="100.7109375" style="1140" customWidth="1"/>
    <col min="11522" max="11776" width="9.140625" style="1140"/>
    <col min="11777" max="11777" width="100.7109375" style="1140" customWidth="1"/>
    <col min="11778" max="12032" width="9.140625" style="1140"/>
    <col min="12033" max="12033" width="100.7109375" style="1140" customWidth="1"/>
    <col min="12034" max="12288" width="9.140625" style="1140"/>
    <col min="12289" max="12289" width="100.7109375" style="1140" customWidth="1"/>
    <col min="12290" max="12544" width="9.140625" style="1140"/>
    <col min="12545" max="12545" width="100.7109375" style="1140" customWidth="1"/>
    <col min="12546" max="12800" width="9.140625" style="1140"/>
    <col min="12801" max="12801" width="100.7109375" style="1140" customWidth="1"/>
    <col min="12802" max="13056" width="9.140625" style="1140"/>
    <col min="13057" max="13057" width="100.7109375" style="1140" customWidth="1"/>
    <col min="13058" max="13312" width="9.140625" style="1140"/>
    <col min="13313" max="13313" width="100.7109375" style="1140" customWidth="1"/>
    <col min="13314" max="13568" width="9.140625" style="1140"/>
    <col min="13569" max="13569" width="100.7109375" style="1140" customWidth="1"/>
    <col min="13570" max="13824" width="9.140625" style="1140"/>
    <col min="13825" max="13825" width="100.7109375" style="1140" customWidth="1"/>
    <col min="13826" max="14080" width="9.140625" style="1140"/>
    <col min="14081" max="14081" width="100.7109375" style="1140" customWidth="1"/>
    <col min="14082" max="14336" width="9.140625" style="1140"/>
    <col min="14337" max="14337" width="100.7109375" style="1140" customWidth="1"/>
    <col min="14338" max="14592" width="9.140625" style="1140"/>
    <col min="14593" max="14593" width="100.7109375" style="1140" customWidth="1"/>
    <col min="14594" max="14848" width="9.140625" style="1140"/>
    <col min="14849" max="14849" width="100.7109375" style="1140" customWidth="1"/>
    <col min="14850" max="15104" width="9.140625" style="1140"/>
    <col min="15105" max="15105" width="100.7109375" style="1140" customWidth="1"/>
    <col min="15106" max="15360" width="9.140625" style="1140"/>
    <col min="15361" max="15361" width="100.7109375" style="1140" customWidth="1"/>
    <col min="15362" max="15616" width="9.140625" style="1140"/>
    <col min="15617" max="15617" width="100.7109375" style="1140" customWidth="1"/>
    <col min="15618" max="15872" width="9.140625" style="1140"/>
    <col min="15873" max="15873" width="100.7109375" style="1140" customWidth="1"/>
    <col min="15874" max="16128" width="9.140625" style="1140"/>
    <col min="16129" max="16129" width="100.7109375" style="1140" customWidth="1"/>
    <col min="16130" max="16384" width="9.140625" style="1140"/>
  </cols>
  <sheetData>
    <row r="1" spans="1:8" ht="30" customHeight="1">
      <c r="A1" s="1138"/>
      <c r="B1" s="1139"/>
      <c r="C1" s="1139"/>
      <c r="D1" s="1139"/>
      <c r="E1" s="1139"/>
      <c r="F1" s="1139"/>
      <c r="G1" s="1139"/>
      <c r="H1" s="1139"/>
    </row>
    <row r="2" spans="1:8" ht="14.25">
      <c r="A2" s="1141" t="s">
        <v>370</v>
      </c>
      <c r="B2" s="1139"/>
      <c r="C2" s="1139"/>
      <c r="D2" s="1139"/>
      <c r="E2" s="1139"/>
      <c r="F2" s="1139"/>
      <c r="G2" s="1139"/>
      <c r="H2" s="1139"/>
    </row>
    <row r="3" spans="1:8" ht="14.25">
      <c r="A3" s="1141" t="s">
        <v>371</v>
      </c>
      <c r="B3" s="1139"/>
      <c r="C3" s="1139"/>
      <c r="D3" s="1139"/>
      <c r="E3" s="1139"/>
      <c r="F3" s="1139"/>
      <c r="G3" s="1139"/>
      <c r="H3" s="1139"/>
    </row>
    <row r="4" spans="1:8" ht="14.25">
      <c r="A4" s="1141" t="s">
        <v>310</v>
      </c>
      <c r="B4" s="1139"/>
      <c r="C4" s="1139"/>
      <c r="D4" s="1139"/>
      <c r="E4" s="1139"/>
      <c r="F4" s="1139"/>
      <c r="G4" s="1139"/>
      <c r="H4" s="1139"/>
    </row>
    <row r="5" spans="1:8" ht="14.25">
      <c r="A5" s="1141" t="s">
        <v>372</v>
      </c>
      <c r="B5" s="1139"/>
      <c r="C5" s="1139"/>
      <c r="D5" s="1139"/>
      <c r="E5" s="1139"/>
      <c r="F5" s="1139"/>
      <c r="G5" s="1139"/>
      <c r="H5" s="1139"/>
    </row>
    <row r="6" spans="1:8" ht="14.25">
      <c r="A6" s="1141"/>
      <c r="B6" s="1139"/>
      <c r="C6" s="1139"/>
      <c r="D6" s="1139"/>
      <c r="E6" s="1139"/>
      <c r="F6" s="1139"/>
      <c r="G6" s="1139"/>
      <c r="H6" s="1139"/>
    </row>
    <row r="7" spans="1:8">
      <c r="A7" s="1138" t="s">
        <v>373</v>
      </c>
      <c r="B7" s="1139"/>
      <c r="C7" s="1139"/>
      <c r="D7" s="1139"/>
      <c r="E7" s="1139"/>
      <c r="F7" s="1139"/>
      <c r="G7" s="1139"/>
      <c r="H7" s="1139"/>
    </row>
    <row r="8" spans="1:8">
      <c r="A8" s="1138" t="s">
        <v>374</v>
      </c>
      <c r="B8" s="1139"/>
      <c r="C8" s="1139"/>
      <c r="D8" s="1139"/>
      <c r="E8" s="1139"/>
      <c r="F8" s="1139"/>
      <c r="G8" s="1139"/>
      <c r="H8" s="1139"/>
    </row>
    <row r="9" spans="1:8">
      <c r="A9" s="1138"/>
      <c r="B9" s="1139"/>
      <c r="C9" s="1139"/>
      <c r="D9" s="1139"/>
      <c r="E9" s="1139"/>
      <c r="F9" s="1139"/>
      <c r="G9" s="1139"/>
      <c r="H9" s="1139"/>
    </row>
    <row r="10" spans="1:8">
      <c r="A10" s="1142" t="s">
        <v>375</v>
      </c>
      <c r="B10" s="1139"/>
      <c r="C10" s="1139"/>
      <c r="D10" s="1139"/>
      <c r="E10" s="1139"/>
      <c r="F10" s="1139"/>
      <c r="G10" s="1139"/>
      <c r="H10" s="1139"/>
    </row>
    <row r="11" spans="1:8">
      <c r="A11" s="1142" t="s">
        <v>376</v>
      </c>
      <c r="B11" s="1139"/>
      <c r="C11" s="1139"/>
      <c r="D11" s="1139"/>
      <c r="E11" s="1139"/>
      <c r="F11" s="1139"/>
      <c r="G11" s="1139"/>
      <c r="H11" s="1139"/>
    </row>
    <row r="12" spans="1:8">
      <c r="A12" s="1142" t="s">
        <v>377</v>
      </c>
      <c r="B12" s="1139"/>
      <c r="C12" s="1139"/>
      <c r="D12" s="1139"/>
      <c r="E12" s="1139"/>
      <c r="F12" s="1139"/>
      <c r="G12" s="1139"/>
      <c r="H12" s="1139"/>
    </row>
    <row r="13" spans="1:8">
      <c r="A13" s="1142" t="s">
        <v>378</v>
      </c>
      <c r="B13" s="1139"/>
      <c r="C13" s="1139"/>
      <c r="D13" s="1139"/>
      <c r="E13" s="1139"/>
      <c r="F13" s="1139"/>
      <c r="G13" s="1139"/>
      <c r="H13" s="1139"/>
    </row>
    <row r="14" spans="1:8">
      <c r="A14" s="1142" t="s">
        <v>379</v>
      </c>
      <c r="B14" s="1139"/>
      <c r="C14" s="1139"/>
      <c r="D14" s="1139"/>
      <c r="E14" s="1139"/>
      <c r="F14" s="1139"/>
      <c r="G14" s="1139"/>
      <c r="H14" s="1139"/>
    </row>
    <row r="15" spans="1:8">
      <c r="A15" s="1142" t="s">
        <v>380</v>
      </c>
      <c r="B15" s="1139"/>
      <c r="C15" s="1139"/>
      <c r="D15" s="1139"/>
      <c r="E15" s="1139"/>
      <c r="F15" s="1139"/>
      <c r="G15" s="1139"/>
      <c r="H15" s="1139"/>
    </row>
    <row r="16" spans="1:8">
      <c r="A16" s="1142"/>
      <c r="B16" s="1139"/>
      <c r="C16" s="1139"/>
      <c r="D16" s="1139"/>
      <c r="E16" s="1139"/>
      <c r="F16" s="1139"/>
      <c r="G16" s="1139"/>
      <c r="H16" s="1139"/>
    </row>
    <row r="17" spans="1:8">
      <c r="A17" s="1142" t="s">
        <v>367</v>
      </c>
      <c r="B17" s="1139"/>
      <c r="C17" s="1139"/>
      <c r="D17" s="1139"/>
      <c r="E17" s="1139"/>
      <c r="F17" s="1139"/>
      <c r="G17" s="1139"/>
      <c r="H17" s="1139"/>
    </row>
    <row r="18" spans="1:8">
      <c r="A18" s="1142"/>
      <c r="B18" s="1139"/>
      <c r="C18" s="1139"/>
      <c r="D18" s="1139"/>
      <c r="E18" s="1139"/>
      <c r="F18" s="1139"/>
      <c r="G18" s="1139"/>
      <c r="H18" s="1139"/>
    </row>
    <row r="19" spans="1:8">
      <c r="A19" s="1142" t="s">
        <v>368</v>
      </c>
      <c r="B19" s="1139"/>
      <c r="C19" s="1139"/>
      <c r="D19" s="1139"/>
      <c r="E19" s="1139"/>
      <c r="F19" s="1139"/>
      <c r="G19" s="1139"/>
      <c r="H19" s="1139"/>
    </row>
    <row r="20" spans="1:8">
      <c r="A20" s="1138"/>
      <c r="B20" s="1139"/>
      <c r="C20" s="1139"/>
      <c r="D20" s="1139"/>
      <c r="E20" s="1139"/>
      <c r="F20" s="1139"/>
      <c r="G20" s="1139"/>
      <c r="H20" s="1139"/>
    </row>
    <row r="21" spans="1:8">
      <c r="A21" s="1143" t="s">
        <v>369</v>
      </c>
      <c r="B21" s="1139"/>
      <c r="C21" s="1139"/>
      <c r="D21" s="1139"/>
      <c r="E21" s="1139"/>
      <c r="F21" s="1139"/>
      <c r="G21" s="1139"/>
      <c r="H21" s="1139"/>
    </row>
    <row r="22" spans="1:8">
      <c r="A22" s="1144"/>
      <c r="B22" s="1144"/>
      <c r="C22" s="1144"/>
      <c r="D22" s="1144"/>
      <c r="E22" s="1144"/>
      <c r="F22" s="1144"/>
      <c r="G22" s="1144"/>
      <c r="H22" s="1144"/>
    </row>
    <row r="23" spans="1:8">
      <c r="A23" s="1145" t="s">
        <v>655</v>
      </c>
      <c r="B23" s="1144"/>
      <c r="C23" s="1144"/>
      <c r="D23" s="1144"/>
      <c r="E23" s="1144"/>
      <c r="F23" s="1144"/>
      <c r="G23" s="1144"/>
      <c r="H23" s="1144"/>
    </row>
    <row r="24" spans="1:8">
      <c r="A24" s="1145" t="s">
        <v>656</v>
      </c>
      <c r="B24" s="1144"/>
      <c r="C24" s="1144"/>
      <c r="D24" s="1144"/>
      <c r="E24" s="1144"/>
      <c r="F24" s="1144"/>
      <c r="G24" s="1144"/>
      <c r="H24" s="1144"/>
    </row>
    <row r="25" spans="1:8">
      <c r="A25" s="1145" t="s">
        <v>657</v>
      </c>
      <c r="B25" s="1144"/>
      <c r="C25" s="1144"/>
      <c r="D25" s="1144"/>
      <c r="E25" s="1144"/>
      <c r="F25" s="1144"/>
      <c r="G25" s="1144"/>
      <c r="H25" s="1144"/>
    </row>
    <row r="26" spans="1:8">
      <c r="A26" s="1145" t="s">
        <v>658</v>
      </c>
      <c r="B26" s="1144"/>
      <c r="C26" s="1144"/>
      <c r="D26" s="1144"/>
      <c r="E26" s="1144"/>
      <c r="F26" s="1144"/>
      <c r="G26" s="1144"/>
      <c r="H26" s="1144"/>
    </row>
    <row r="27" spans="1:8">
      <c r="A27" s="1144"/>
      <c r="B27" s="1144"/>
      <c r="C27" s="1144"/>
      <c r="D27" s="1144"/>
      <c r="E27" s="1144"/>
      <c r="F27" s="1144"/>
      <c r="G27" s="1144"/>
      <c r="H27" s="1144"/>
    </row>
    <row r="28" spans="1:8">
      <c r="A28" s="1144"/>
      <c r="B28" s="1144"/>
      <c r="C28" s="1144"/>
      <c r="D28" s="1144"/>
      <c r="E28" s="1144"/>
      <c r="F28" s="1144"/>
      <c r="G28" s="1144"/>
      <c r="H28" s="1144"/>
    </row>
    <row r="29" spans="1:8">
      <c r="A29" s="1145" t="s">
        <v>650</v>
      </c>
      <c r="B29" s="1144"/>
      <c r="C29" s="1144"/>
      <c r="D29" s="1144"/>
      <c r="E29" s="1144"/>
      <c r="F29" s="1144"/>
      <c r="G29" s="1144"/>
      <c r="H29" s="1144"/>
    </row>
    <row r="30" spans="1:8">
      <c r="A30" s="1145" t="s">
        <v>651</v>
      </c>
      <c r="B30" s="1144"/>
      <c r="C30" s="1144"/>
      <c r="D30" s="1144"/>
      <c r="E30" s="1144"/>
      <c r="F30" s="1144"/>
      <c r="G30" s="1144"/>
      <c r="H30" s="1144"/>
    </row>
    <row r="31" spans="1:8">
      <c r="A31" s="1145" t="s">
        <v>652</v>
      </c>
      <c r="B31" s="1144"/>
      <c r="C31" s="1144"/>
      <c r="D31" s="1144"/>
      <c r="E31" s="1144"/>
      <c r="F31" s="1144"/>
      <c r="G31" s="1144"/>
      <c r="H31" s="1144"/>
    </row>
    <row r="32" spans="1:8">
      <c r="A32" s="1145" t="s">
        <v>653</v>
      </c>
      <c r="B32" s="1144"/>
      <c r="C32" s="1144"/>
      <c r="D32" s="1144"/>
      <c r="E32" s="1144"/>
      <c r="F32" s="1144"/>
      <c r="G32" s="1144"/>
      <c r="H32" s="1144"/>
    </row>
    <row r="33" spans="1:8">
      <c r="A33" s="1145" t="s">
        <v>654</v>
      </c>
      <c r="B33" s="1144"/>
      <c r="C33" s="1144"/>
      <c r="D33" s="1144"/>
      <c r="E33" s="1144"/>
      <c r="F33" s="1144"/>
      <c r="G33" s="1144"/>
      <c r="H33" s="1144"/>
    </row>
    <row r="34" spans="1:8">
      <c r="A34" s="1144"/>
      <c r="B34" s="1144"/>
      <c r="C34" s="1144"/>
      <c r="D34" s="1144"/>
      <c r="E34" s="1144"/>
      <c r="F34" s="1144"/>
      <c r="G34" s="1144"/>
      <c r="H34" s="1144"/>
    </row>
    <row r="35" spans="1:8">
      <c r="A35" s="1145" t="s">
        <v>646</v>
      </c>
      <c r="B35" s="1144"/>
      <c r="C35" s="1144"/>
      <c r="D35" s="1144"/>
      <c r="E35" s="1144"/>
      <c r="F35" s="1144"/>
      <c r="G35" s="1144"/>
      <c r="H35" s="1144"/>
    </row>
    <row r="36" spans="1:8">
      <c r="A36" s="1145" t="s">
        <v>647</v>
      </c>
      <c r="B36" s="1144"/>
      <c r="C36" s="1144"/>
      <c r="D36" s="1144"/>
      <c r="E36" s="1144"/>
      <c r="F36" s="1144"/>
      <c r="G36" s="1144"/>
      <c r="H36" s="1144"/>
    </row>
    <row r="37" spans="1:8">
      <c r="A37" s="1145" t="s">
        <v>648</v>
      </c>
      <c r="B37" s="1144"/>
      <c r="C37" s="1144"/>
      <c r="D37" s="1144"/>
      <c r="E37" s="1144"/>
      <c r="F37" s="1144"/>
      <c r="G37" s="1144"/>
      <c r="H37" s="1144"/>
    </row>
    <row r="38" spans="1:8">
      <c r="A38" s="1145" t="s">
        <v>649</v>
      </c>
      <c r="B38" s="1144"/>
      <c r="C38" s="1144"/>
      <c r="D38" s="1144"/>
      <c r="E38" s="1144"/>
      <c r="F38" s="1144"/>
      <c r="G38" s="1144"/>
      <c r="H38" s="1144"/>
    </row>
    <row r="39" spans="1:8">
      <c r="A39" s="1144"/>
      <c r="B39" s="1144"/>
      <c r="C39" s="1144"/>
      <c r="D39" s="1144"/>
      <c r="E39" s="1144"/>
      <c r="F39" s="1144"/>
      <c r="G39" s="1144"/>
      <c r="H39" s="1144"/>
    </row>
    <row r="40" spans="1:8">
      <c r="A40" s="1145" t="s">
        <v>640</v>
      </c>
      <c r="B40" s="1144"/>
      <c r="C40" s="1144"/>
      <c r="D40" s="1144"/>
      <c r="E40" s="1144"/>
      <c r="F40" s="1144"/>
      <c r="G40" s="1144"/>
      <c r="H40" s="1144"/>
    </row>
    <row r="41" spans="1:8">
      <c r="A41" s="1145" t="s">
        <v>641</v>
      </c>
      <c r="B41" s="1144"/>
      <c r="C41" s="1144"/>
      <c r="D41" s="1144"/>
      <c r="E41" s="1144"/>
      <c r="F41" s="1144"/>
      <c r="G41" s="1144"/>
      <c r="H41" s="1144"/>
    </row>
    <row r="42" spans="1:8">
      <c r="A42" s="1145" t="s">
        <v>642</v>
      </c>
      <c r="B42" s="1144"/>
      <c r="C42" s="1144"/>
      <c r="D42" s="1144"/>
      <c r="E42" s="1144"/>
      <c r="F42" s="1144"/>
      <c r="G42" s="1144"/>
      <c r="H42" s="1144"/>
    </row>
    <row r="43" spans="1:8">
      <c r="A43" s="1145" t="s">
        <v>643</v>
      </c>
      <c r="B43" s="1144"/>
      <c r="C43" s="1144"/>
      <c r="D43" s="1144"/>
      <c r="E43" s="1144"/>
      <c r="F43" s="1144"/>
      <c r="G43" s="1144"/>
      <c r="H43" s="1144"/>
    </row>
    <row r="44" spans="1:8">
      <c r="A44" s="1145" t="s">
        <v>644</v>
      </c>
      <c r="B44" s="1144"/>
      <c r="C44" s="1144"/>
      <c r="D44" s="1144"/>
      <c r="E44" s="1144"/>
      <c r="F44" s="1144"/>
      <c r="G44" s="1144"/>
      <c r="H44" s="1144"/>
    </row>
    <row r="45" spans="1:8">
      <c r="A45" s="1145" t="s">
        <v>645</v>
      </c>
      <c r="B45" s="1144"/>
      <c r="C45" s="1144"/>
      <c r="D45" s="1144"/>
      <c r="E45" s="1144"/>
      <c r="F45" s="1144"/>
      <c r="G45" s="1144"/>
      <c r="H45" s="1144"/>
    </row>
    <row r="46" spans="1:8">
      <c r="A46" s="1144"/>
      <c r="B46" s="1144"/>
      <c r="C46" s="1144"/>
      <c r="D46" s="1144"/>
      <c r="E46" s="1144"/>
      <c r="F46" s="1144"/>
      <c r="G46" s="1144"/>
      <c r="H46" s="1144"/>
    </row>
    <row r="47" spans="1:8" ht="15.75">
      <c r="A47" s="1146" t="s">
        <v>381</v>
      </c>
      <c r="B47" s="1144"/>
      <c r="C47" s="1144"/>
      <c r="D47" s="1144"/>
      <c r="E47" s="1144"/>
      <c r="F47" s="1144"/>
      <c r="G47" s="1144"/>
      <c r="H47" s="1144"/>
    </row>
    <row r="48" spans="1:8">
      <c r="A48" s="1144"/>
      <c r="B48" s="1144"/>
      <c r="C48" s="1144"/>
      <c r="D48" s="1144"/>
      <c r="E48" s="1144"/>
      <c r="F48" s="1144"/>
      <c r="G48" s="1144"/>
      <c r="H48" s="1144"/>
    </row>
    <row r="49" spans="1:8">
      <c r="A49" s="1145" t="s">
        <v>636</v>
      </c>
      <c r="B49" s="1144"/>
      <c r="C49" s="1144"/>
      <c r="D49" s="1144"/>
      <c r="E49" s="1144"/>
      <c r="F49" s="1144"/>
      <c r="G49" s="1144"/>
      <c r="H49" s="1144"/>
    </row>
    <row r="50" spans="1:8">
      <c r="A50" s="1145" t="s">
        <v>637</v>
      </c>
      <c r="B50" s="1144"/>
      <c r="C50" s="1144"/>
      <c r="D50" s="1144"/>
      <c r="E50" s="1144"/>
      <c r="F50" s="1144"/>
      <c r="G50" s="1144"/>
      <c r="H50" s="1144"/>
    </row>
    <row r="51" spans="1:8">
      <c r="A51" s="1145" t="s">
        <v>638</v>
      </c>
      <c r="B51" s="1144"/>
      <c r="C51" s="1144"/>
      <c r="D51" s="1144"/>
      <c r="E51" s="1144"/>
      <c r="F51" s="1144"/>
      <c r="G51" s="1144"/>
      <c r="H51" s="1144"/>
    </row>
    <row r="52" spans="1:8">
      <c r="A52" s="1145" t="s">
        <v>639</v>
      </c>
      <c r="B52" s="1144"/>
      <c r="C52" s="1144"/>
      <c r="D52" s="1144"/>
      <c r="E52" s="1144"/>
      <c r="F52" s="1144"/>
      <c r="G52" s="1144"/>
      <c r="H52" s="1144"/>
    </row>
    <row r="53" spans="1:8">
      <c r="A53" s="1144"/>
      <c r="B53" s="1144"/>
      <c r="C53" s="1144"/>
      <c r="D53" s="1144"/>
      <c r="E53" s="1144"/>
      <c r="F53" s="1144"/>
      <c r="G53" s="1144"/>
      <c r="H53" s="1144"/>
    </row>
    <row r="54" spans="1:8">
      <c r="A54" s="1145" t="s">
        <v>382</v>
      </c>
      <c r="B54" s="1144"/>
      <c r="C54" s="1144"/>
      <c r="D54" s="1144"/>
      <c r="E54" s="1144"/>
      <c r="F54" s="1144"/>
      <c r="G54" s="1144"/>
      <c r="H54" s="1144"/>
    </row>
    <row r="55" spans="1:8">
      <c r="A55" s="1144"/>
      <c r="B55" s="1144"/>
      <c r="C55" s="1144"/>
      <c r="D55" s="1144"/>
      <c r="E55" s="1144"/>
      <c r="F55" s="1144"/>
      <c r="G55" s="1144"/>
      <c r="H55" s="1144"/>
    </row>
    <row r="56" spans="1:8" ht="15.75">
      <c r="A56" s="1146" t="s">
        <v>383</v>
      </c>
      <c r="B56" s="1144"/>
      <c r="C56" s="1144"/>
      <c r="D56" s="1144"/>
      <c r="E56" s="1144"/>
      <c r="F56" s="1144"/>
      <c r="G56" s="1144"/>
      <c r="H56" s="1144"/>
    </row>
    <row r="57" spans="1:8">
      <c r="A57" s="1144"/>
      <c r="B57" s="1144"/>
      <c r="C57" s="1144"/>
      <c r="D57" s="1144"/>
      <c r="E57" s="1144"/>
      <c r="F57" s="1144"/>
      <c r="G57" s="1144"/>
      <c r="H57" s="1144"/>
    </row>
    <row r="58" spans="1:8">
      <c r="A58" s="1145" t="s">
        <v>634</v>
      </c>
      <c r="B58" s="1144"/>
      <c r="C58" s="1144"/>
      <c r="D58" s="1144"/>
      <c r="E58" s="1144"/>
      <c r="F58" s="1144"/>
      <c r="G58" s="1144"/>
      <c r="H58" s="1144"/>
    </row>
    <row r="59" spans="1:8">
      <c r="A59" s="1145" t="s">
        <v>635</v>
      </c>
      <c r="B59" s="1144"/>
      <c r="C59" s="1144"/>
      <c r="D59" s="1144"/>
      <c r="E59" s="1144"/>
      <c r="F59" s="1144"/>
      <c r="G59" s="1144"/>
      <c r="H59" s="1144"/>
    </row>
    <row r="60" spans="1:8">
      <c r="A60" s="1144"/>
      <c r="B60" s="1144"/>
      <c r="C60" s="1144"/>
      <c r="D60" s="1144"/>
      <c r="E60" s="1144"/>
      <c r="F60" s="1144"/>
      <c r="G60" s="1144"/>
      <c r="H60" s="1144"/>
    </row>
    <row r="61" spans="1:8" ht="15.75">
      <c r="A61" s="1146" t="s">
        <v>384</v>
      </c>
      <c r="B61" s="1144"/>
      <c r="C61" s="1144"/>
      <c r="D61" s="1144"/>
      <c r="E61" s="1144"/>
      <c r="F61" s="1144"/>
      <c r="G61" s="1144"/>
      <c r="H61" s="1144"/>
    </row>
    <row r="62" spans="1:8">
      <c r="A62" s="1144"/>
      <c r="B62" s="1144"/>
      <c r="C62" s="1144"/>
      <c r="D62" s="1144"/>
      <c r="E62" s="1144"/>
      <c r="F62" s="1144"/>
      <c r="G62" s="1144"/>
      <c r="H62" s="1144"/>
    </row>
    <row r="63" spans="1:8">
      <c r="A63" s="1145" t="s">
        <v>632</v>
      </c>
      <c r="B63" s="1144"/>
      <c r="C63" s="1144"/>
      <c r="D63" s="1144"/>
      <c r="E63" s="1144"/>
      <c r="F63" s="1144"/>
      <c r="G63" s="1144"/>
      <c r="H63" s="1144"/>
    </row>
    <row r="64" spans="1:8">
      <c r="A64" s="1145" t="s">
        <v>633</v>
      </c>
      <c r="B64" s="1144"/>
      <c r="C64" s="1144"/>
      <c r="D64" s="1144"/>
      <c r="E64" s="1144"/>
      <c r="F64" s="1144"/>
      <c r="G64" s="1144"/>
      <c r="H64" s="1144"/>
    </row>
    <row r="65" spans="1:8">
      <c r="A65" s="1144"/>
      <c r="B65" s="1144"/>
      <c r="C65" s="1144"/>
      <c r="D65" s="1144"/>
      <c r="E65" s="1144"/>
      <c r="F65" s="1144"/>
      <c r="G65" s="1144"/>
      <c r="H65" s="1144"/>
    </row>
    <row r="66" spans="1:8">
      <c r="A66" s="1145" t="s">
        <v>630</v>
      </c>
      <c r="B66" s="1144"/>
      <c r="C66" s="1144"/>
      <c r="D66" s="1144"/>
      <c r="E66" s="1144"/>
      <c r="F66" s="1144"/>
      <c r="G66" s="1144"/>
      <c r="H66" s="1144"/>
    </row>
    <row r="67" spans="1:8">
      <c r="A67" s="1145" t="s">
        <v>631</v>
      </c>
      <c r="B67" s="1144"/>
      <c r="C67" s="1144"/>
      <c r="D67" s="1144"/>
      <c r="E67" s="1144"/>
      <c r="F67" s="1144"/>
      <c r="G67" s="1144"/>
      <c r="H67" s="1144"/>
    </row>
    <row r="68" spans="1:8">
      <c r="A68" s="1144"/>
      <c r="B68" s="1144"/>
      <c r="C68" s="1144"/>
      <c r="D68" s="1144"/>
      <c r="E68" s="1144"/>
      <c r="F68" s="1144"/>
      <c r="G68" s="1144"/>
      <c r="H68" s="1144"/>
    </row>
    <row r="69" spans="1:8">
      <c r="A69" s="1145" t="s">
        <v>627</v>
      </c>
      <c r="B69" s="1144"/>
      <c r="C69" s="1144"/>
      <c r="D69" s="1144"/>
      <c r="E69" s="1144"/>
      <c r="F69" s="1144"/>
      <c r="G69" s="1144"/>
      <c r="H69" s="1144"/>
    </row>
    <row r="70" spans="1:8">
      <c r="A70" s="1145" t="s">
        <v>628</v>
      </c>
      <c r="B70" s="1144"/>
      <c r="C70" s="1144"/>
      <c r="D70" s="1144"/>
      <c r="E70" s="1144"/>
      <c r="F70" s="1144"/>
      <c r="G70" s="1144"/>
      <c r="H70" s="1144"/>
    </row>
    <row r="71" spans="1:8">
      <c r="A71" s="1145" t="s">
        <v>629</v>
      </c>
      <c r="B71" s="1144"/>
      <c r="C71" s="1144"/>
      <c r="D71" s="1144"/>
      <c r="E71" s="1144"/>
      <c r="F71" s="1144"/>
      <c r="G71" s="1144"/>
      <c r="H71" s="1144"/>
    </row>
    <row r="72" spans="1:8">
      <c r="A72" s="1144"/>
      <c r="B72" s="1144"/>
      <c r="C72" s="1144"/>
      <c r="D72" s="1144"/>
      <c r="E72" s="1144"/>
      <c r="F72" s="1144"/>
      <c r="G72" s="1144"/>
      <c r="H72" s="1144"/>
    </row>
    <row r="73" spans="1:8">
      <c r="A73" s="1145" t="s">
        <v>385</v>
      </c>
      <c r="B73" s="1144"/>
      <c r="C73" s="1144"/>
      <c r="D73" s="1144"/>
      <c r="E73" s="1144"/>
      <c r="F73" s="1144"/>
      <c r="G73" s="1144"/>
      <c r="H73" s="1144"/>
    </row>
    <row r="74" spans="1:8">
      <c r="A74" s="1144"/>
      <c r="B74" s="1144"/>
      <c r="C74" s="1144"/>
      <c r="D74" s="1144"/>
      <c r="E74" s="1144"/>
      <c r="F74" s="1144"/>
      <c r="G74" s="1144"/>
      <c r="H74" s="1144"/>
    </row>
    <row r="75" spans="1:8">
      <c r="A75" s="1145" t="s">
        <v>622</v>
      </c>
      <c r="B75" s="1144"/>
      <c r="C75" s="1144"/>
      <c r="D75" s="1144"/>
      <c r="E75" s="1144"/>
      <c r="F75" s="1144"/>
      <c r="G75" s="1144"/>
      <c r="H75" s="1144"/>
    </row>
    <row r="76" spans="1:8">
      <c r="A76" s="1145" t="s">
        <v>623</v>
      </c>
      <c r="B76" s="1144"/>
      <c r="C76" s="1144"/>
      <c r="D76" s="1144"/>
      <c r="E76" s="1144"/>
      <c r="F76" s="1144"/>
      <c r="G76" s="1144"/>
      <c r="H76" s="1144"/>
    </row>
    <row r="77" spans="1:8">
      <c r="A77" s="1145" t="s">
        <v>624</v>
      </c>
      <c r="B77" s="1144"/>
      <c r="C77" s="1144"/>
      <c r="D77" s="1144"/>
      <c r="E77" s="1144"/>
      <c r="F77" s="1144"/>
      <c r="G77" s="1144"/>
      <c r="H77" s="1144"/>
    </row>
    <row r="78" spans="1:8">
      <c r="A78" s="1145" t="s">
        <v>625</v>
      </c>
      <c r="B78" s="1144"/>
      <c r="C78" s="1144"/>
      <c r="D78" s="1144"/>
      <c r="E78" s="1144"/>
      <c r="F78" s="1144"/>
      <c r="G78" s="1144"/>
      <c r="H78" s="1144"/>
    </row>
    <row r="79" spans="1:8">
      <c r="A79" s="1145" t="s">
        <v>626</v>
      </c>
      <c r="B79" s="1144"/>
      <c r="C79" s="1144"/>
      <c r="D79" s="1144"/>
      <c r="E79" s="1144"/>
      <c r="F79" s="1144"/>
      <c r="G79" s="1144"/>
      <c r="H79" s="1144"/>
    </row>
    <row r="80" spans="1:8">
      <c r="A80" s="1145" t="s">
        <v>511</v>
      </c>
      <c r="B80" s="1144"/>
      <c r="C80" s="1144"/>
      <c r="D80" s="1144"/>
      <c r="E80" s="1144"/>
      <c r="F80" s="1144"/>
      <c r="G80" s="1144"/>
      <c r="H80" s="1144"/>
    </row>
    <row r="81" spans="1:8">
      <c r="A81" s="1144"/>
      <c r="B81" s="1144"/>
      <c r="C81" s="1144"/>
      <c r="D81" s="1144"/>
      <c r="E81" s="1144"/>
      <c r="F81" s="1144"/>
      <c r="G81" s="1144"/>
      <c r="H81" s="1144"/>
    </row>
    <row r="82" spans="1:8">
      <c r="A82" s="1145" t="s">
        <v>615</v>
      </c>
      <c r="B82" s="1144"/>
      <c r="C82" s="1144"/>
      <c r="D82" s="1144"/>
      <c r="E82" s="1144"/>
      <c r="F82" s="1144"/>
      <c r="G82" s="1144"/>
      <c r="H82" s="1144"/>
    </row>
    <row r="83" spans="1:8">
      <c r="A83" s="1145" t="s">
        <v>616</v>
      </c>
      <c r="B83" s="1144"/>
      <c r="C83" s="1144"/>
      <c r="D83" s="1144"/>
      <c r="E83" s="1144"/>
      <c r="F83" s="1144"/>
      <c r="G83" s="1144"/>
      <c r="H83" s="1144"/>
    </row>
    <row r="84" spans="1:8">
      <c r="A84" s="1145" t="s">
        <v>617</v>
      </c>
      <c r="B84" s="1144"/>
      <c r="C84" s="1144"/>
      <c r="D84" s="1144"/>
      <c r="E84" s="1144"/>
      <c r="F84" s="1144"/>
      <c r="G84" s="1144"/>
      <c r="H84" s="1144"/>
    </row>
    <row r="85" spans="1:8">
      <c r="A85" s="1145" t="s">
        <v>618</v>
      </c>
      <c r="B85" s="1144"/>
      <c r="C85" s="1144"/>
      <c r="D85" s="1144"/>
      <c r="E85" s="1144"/>
      <c r="F85" s="1144"/>
      <c r="G85" s="1144"/>
      <c r="H85" s="1144"/>
    </row>
    <row r="86" spans="1:8">
      <c r="A86" s="1145" t="s">
        <v>619</v>
      </c>
      <c r="B86" s="1144"/>
      <c r="C86" s="1144"/>
      <c r="D86" s="1144"/>
      <c r="E86" s="1144"/>
      <c r="F86" s="1144"/>
      <c r="G86" s="1144"/>
      <c r="H86" s="1144"/>
    </row>
    <row r="87" spans="1:8">
      <c r="A87" s="1145" t="s">
        <v>620</v>
      </c>
      <c r="B87" s="1144"/>
      <c r="C87" s="1144"/>
      <c r="D87" s="1144"/>
      <c r="E87" s="1144"/>
      <c r="F87" s="1144"/>
      <c r="G87" s="1144"/>
      <c r="H87" s="1144"/>
    </row>
    <row r="88" spans="1:8">
      <c r="A88" s="1145" t="s">
        <v>621</v>
      </c>
      <c r="B88" s="1144"/>
      <c r="C88" s="1144"/>
      <c r="D88" s="1144"/>
      <c r="E88" s="1144"/>
      <c r="F88" s="1144"/>
      <c r="G88" s="1144"/>
      <c r="H88" s="1144"/>
    </row>
    <row r="89" spans="1:8">
      <c r="A89" s="1144"/>
      <c r="B89" s="1144"/>
      <c r="C89" s="1144"/>
      <c r="D89" s="1144"/>
      <c r="E89" s="1144"/>
      <c r="F89" s="1144"/>
      <c r="G89" s="1144"/>
      <c r="H89" s="1144"/>
    </row>
    <row r="90" spans="1:8">
      <c r="A90" s="1145" t="s">
        <v>613</v>
      </c>
      <c r="B90" s="1144"/>
      <c r="C90" s="1144"/>
      <c r="D90" s="1144"/>
      <c r="E90" s="1144"/>
      <c r="F90" s="1144"/>
      <c r="G90" s="1144"/>
      <c r="H90" s="1144"/>
    </row>
    <row r="91" spans="1:8">
      <c r="A91" s="1145" t="s">
        <v>614</v>
      </c>
      <c r="B91" s="1144"/>
      <c r="C91" s="1144"/>
      <c r="D91" s="1144"/>
      <c r="E91" s="1144"/>
      <c r="F91" s="1144"/>
      <c r="G91" s="1144"/>
      <c r="H91" s="1144"/>
    </row>
    <row r="92" spans="1:8">
      <c r="A92" s="1144"/>
      <c r="B92" s="1144"/>
      <c r="C92" s="1144"/>
      <c r="D92" s="1144"/>
      <c r="E92" s="1144"/>
      <c r="F92" s="1144"/>
      <c r="G92" s="1144"/>
      <c r="H92" s="1144"/>
    </row>
    <row r="93" spans="1:8" ht="15.75">
      <c r="A93" s="1146" t="s">
        <v>386</v>
      </c>
      <c r="B93" s="1144"/>
      <c r="C93" s="1144"/>
      <c r="D93" s="1144"/>
      <c r="E93" s="1144"/>
      <c r="F93" s="1144"/>
      <c r="G93" s="1144"/>
      <c r="H93" s="1144"/>
    </row>
    <row r="94" spans="1:8">
      <c r="A94" s="1144"/>
      <c r="B94" s="1144"/>
      <c r="C94" s="1144"/>
      <c r="D94" s="1144"/>
      <c r="E94" s="1144"/>
      <c r="F94" s="1144"/>
      <c r="G94" s="1144"/>
      <c r="H94" s="1144"/>
    </row>
    <row r="95" spans="1:8">
      <c r="A95" s="1145" t="s">
        <v>604</v>
      </c>
      <c r="B95" s="1144"/>
      <c r="C95" s="1144"/>
      <c r="D95" s="1144"/>
      <c r="E95" s="1144"/>
      <c r="F95" s="1144"/>
      <c r="G95" s="1144"/>
      <c r="H95" s="1144"/>
    </row>
    <row r="96" spans="1:8">
      <c r="A96" s="1145" t="s">
        <v>605</v>
      </c>
      <c r="B96" s="1144"/>
      <c r="C96" s="1144"/>
      <c r="D96" s="1144"/>
      <c r="E96" s="1144"/>
      <c r="F96" s="1144"/>
      <c r="G96" s="1144"/>
      <c r="H96" s="1144"/>
    </row>
    <row r="97" spans="1:8">
      <c r="A97" s="1145" t="s">
        <v>606</v>
      </c>
      <c r="B97" s="1144"/>
      <c r="C97" s="1144"/>
      <c r="D97" s="1144"/>
      <c r="E97" s="1144"/>
      <c r="F97" s="1144"/>
      <c r="G97" s="1144"/>
      <c r="H97" s="1144"/>
    </row>
    <row r="98" spans="1:8">
      <c r="A98" s="1145" t="s">
        <v>607</v>
      </c>
      <c r="B98" s="1144"/>
      <c r="C98" s="1144"/>
      <c r="D98" s="1144"/>
      <c r="E98" s="1144"/>
      <c r="F98" s="1144"/>
      <c r="G98" s="1144"/>
      <c r="H98" s="1144"/>
    </row>
    <row r="99" spans="1:8">
      <c r="A99" s="1145" t="s">
        <v>608</v>
      </c>
      <c r="B99" s="1144"/>
      <c r="C99" s="1144"/>
      <c r="D99" s="1144"/>
      <c r="E99" s="1144"/>
      <c r="F99" s="1144"/>
      <c r="G99" s="1144"/>
      <c r="H99" s="1144"/>
    </row>
    <row r="100" spans="1:8">
      <c r="A100" s="1145" t="s">
        <v>609</v>
      </c>
      <c r="B100" s="1144"/>
      <c r="C100" s="1144"/>
      <c r="D100" s="1144"/>
      <c r="E100" s="1144"/>
      <c r="F100" s="1144"/>
      <c r="G100" s="1144"/>
      <c r="H100" s="1144"/>
    </row>
    <row r="101" spans="1:8">
      <c r="A101" s="1145" t="s">
        <v>610</v>
      </c>
      <c r="B101" s="1144"/>
      <c r="C101" s="1144"/>
      <c r="D101" s="1144"/>
      <c r="E101" s="1144"/>
      <c r="F101" s="1144"/>
      <c r="G101" s="1144"/>
      <c r="H101" s="1144"/>
    </row>
    <row r="102" spans="1:8">
      <c r="A102" s="1145" t="s">
        <v>611</v>
      </c>
      <c r="B102" s="1144"/>
      <c r="C102" s="1144"/>
      <c r="D102" s="1144"/>
      <c r="E102" s="1144"/>
      <c r="F102" s="1144"/>
      <c r="G102" s="1144"/>
      <c r="H102" s="1144"/>
    </row>
    <row r="103" spans="1:8">
      <c r="A103" s="1145" t="s">
        <v>612</v>
      </c>
      <c r="B103" s="1144"/>
      <c r="C103" s="1144"/>
      <c r="D103" s="1144"/>
      <c r="E103" s="1144"/>
      <c r="F103" s="1144"/>
      <c r="G103" s="1144"/>
      <c r="H103" s="1144"/>
    </row>
    <row r="104" spans="1:8">
      <c r="A104" s="1144"/>
      <c r="B104" s="1144"/>
      <c r="C104" s="1144"/>
      <c r="D104" s="1144"/>
      <c r="E104" s="1144"/>
      <c r="F104" s="1144"/>
      <c r="G104" s="1144"/>
      <c r="H104" s="1144"/>
    </row>
    <row r="105" spans="1:8" ht="15.75">
      <c r="A105" s="1147" t="s">
        <v>387</v>
      </c>
      <c r="B105" s="1147"/>
      <c r="C105" s="1147"/>
      <c r="D105" s="1147"/>
      <c r="E105" s="1147"/>
      <c r="F105" s="1147"/>
      <c r="G105" s="1147"/>
      <c r="H105" s="1147"/>
    </row>
    <row r="106" spans="1:8">
      <c r="A106" s="1148" t="s">
        <v>388</v>
      </c>
      <c r="B106" s="1148"/>
      <c r="C106" s="1148"/>
      <c r="D106" s="1148"/>
      <c r="E106" s="1148"/>
      <c r="F106" s="1148"/>
      <c r="G106" s="1148"/>
      <c r="H106" s="1148"/>
    </row>
    <row r="107" spans="1:8">
      <c r="A107" s="1149"/>
      <c r="B107" s="1149"/>
      <c r="C107" s="1149"/>
      <c r="D107" s="1149"/>
      <c r="E107" s="1149"/>
      <c r="F107" s="1149"/>
      <c r="G107" s="1149"/>
      <c r="H107" s="1149"/>
    </row>
    <row r="108" spans="1:8">
      <c r="A108" s="1148" t="s">
        <v>602</v>
      </c>
      <c r="B108" s="1148"/>
      <c r="C108" s="1148"/>
      <c r="D108" s="1148"/>
      <c r="E108" s="1148"/>
      <c r="F108" s="1148"/>
      <c r="G108" s="1148"/>
      <c r="H108" s="1148"/>
    </row>
    <row r="109" spans="1:8">
      <c r="A109" s="1145" t="s">
        <v>603</v>
      </c>
      <c r="B109" s="1145"/>
      <c r="C109" s="1145"/>
      <c r="D109" s="1145"/>
      <c r="E109" s="1145"/>
      <c r="F109" s="1145"/>
      <c r="G109" s="1145"/>
      <c r="H109" s="1145"/>
    </row>
    <row r="110" spans="1:8">
      <c r="A110" s="1149"/>
      <c r="B110" s="1149"/>
      <c r="C110" s="1149"/>
      <c r="D110" s="1149"/>
      <c r="E110" s="1149"/>
      <c r="F110" s="1149"/>
      <c r="G110" s="1149"/>
      <c r="H110" s="1149"/>
    </row>
    <row r="111" spans="1:8">
      <c r="A111" s="1148" t="s">
        <v>595</v>
      </c>
      <c r="B111" s="1148"/>
      <c r="C111" s="1148"/>
      <c r="D111" s="1148"/>
      <c r="E111" s="1148"/>
      <c r="F111" s="1148"/>
      <c r="G111" s="1148"/>
      <c r="H111" s="1148"/>
    </row>
    <row r="112" spans="1:8">
      <c r="A112" s="1145" t="s">
        <v>596</v>
      </c>
      <c r="B112" s="1145"/>
      <c r="C112" s="1145"/>
      <c r="D112" s="1145"/>
      <c r="E112" s="1145"/>
      <c r="F112" s="1145"/>
      <c r="G112" s="1145"/>
      <c r="H112" s="1145"/>
    </row>
    <row r="113" spans="1:8">
      <c r="A113" s="1145" t="s">
        <v>597</v>
      </c>
      <c r="B113" s="1145"/>
      <c r="C113" s="1145"/>
      <c r="D113" s="1145"/>
      <c r="E113" s="1145"/>
      <c r="F113" s="1145"/>
      <c r="G113" s="1145"/>
      <c r="H113" s="1145"/>
    </row>
    <row r="114" spans="1:8">
      <c r="A114" s="1145" t="s">
        <v>598</v>
      </c>
      <c r="B114" s="1145"/>
      <c r="C114" s="1145"/>
      <c r="D114" s="1145"/>
      <c r="E114" s="1145"/>
      <c r="F114" s="1145"/>
      <c r="G114" s="1145"/>
      <c r="H114" s="1145"/>
    </row>
    <row r="115" spans="1:8">
      <c r="A115" s="1145" t="s">
        <v>599</v>
      </c>
      <c r="B115" s="1145"/>
      <c r="C115" s="1145"/>
      <c r="D115" s="1145"/>
      <c r="E115" s="1145"/>
      <c r="F115" s="1145"/>
      <c r="G115" s="1145"/>
      <c r="H115" s="1145"/>
    </row>
    <row r="116" spans="1:8">
      <c r="A116" s="1145" t="s">
        <v>600</v>
      </c>
      <c r="B116" s="1145"/>
      <c r="C116" s="1145"/>
      <c r="D116" s="1145"/>
      <c r="E116" s="1145"/>
      <c r="F116" s="1145"/>
      <c r="G116" s="1145"/>
      <c r="H116" s="1145"/>
    </row>
    <row r="117" spans="1:8">
      <c r="A117" s="1145" t="s">
        <v>601</v>
      </c>
      <c r="B117" s="1145"/>
      <c r="C117" s="1145"/>
      <c r="D117" s="1145"/>
      <c r="E117" s="1145"/>
      <c r="F117" s="1145"/>
      <c r="G117" s="1145"/>
      <c r="H117" s="1145"/>
    </row>
    <row r="118" spans="1:8">
      <c r="A118" s="1150"/>
      <c r="B118" s="1150"/>
      <c r="C118" s="1150"/>
      <c r="D118" s="1150"/>
      <c r="E118" s="1150"/>
      <c r="F118" s="1150"/>
      <c r="G118" s="1150"/>
      <c r="H118" s="1150"/>
    </row>
    <row r="119" spans="1:8">
      <c r="A119" s="1151"/>
      <c r="B119" s="1152" t="s">
        <v>389</v>
      </c>
      <c r="C119" s="1153"/>
      <c r="D119" s="1152" t="s">
        <v>390</v>
      </c>
      <c r="E119" s="1154"/>
      <c r="F119" s="1153"/>
      <c r="G119" s="1152" t="s">
        <v>391</v>
      </c>
      <c r="H119" s="1153"/>
    </row>
    <row r="120" spans="1:8">
      <c r="A120" s="1151" t="s">
        <v>392</v>
      </c>
      <c r="B120" s="1151" t="s">
        <v>118</v>
      </c>
      <c r="C120" s="1151" t="s">
        <v>393</v>
      </c>
      <c r="D120" s="1151" t="s">
        <v>118</v>
      </c>
      <c r="E120" s="1151" t="s">
        <v>394</v>
      </c>
      <c r="F120" s="1151" t="s">
        <v>395</v>
      </c>
      <c r="G120" s="1151" t="s">
        <v>118</v>
      </c>
      <c r="H120" s="1151" t="s">
        <v>396</v>
      </c>
    </row>
    <row r="121" spans="1:8">
      <c r="A121" s="1151" t="s">
        <v>397</v>
      </c>
      <c r="B121" s="1151">
        <v>1173</v>
      </c>
      <c r="C121" s="1155">
        <v>0.37</v>
      </c>
      <c r="D121" s="1151">
        <v>318</v>
      </c>
      <c r="E121" s="1155">
        <v>0.41</v>
      </c>
      <c r="F121" s="1155">
        <v>0.27</v>
      </c>
      <c r="G121" s="1151">
        <v>571</v>
      </c>
      <c r="H121" s="1155">
        <v>0.39</v>
      </c>
    </row>
    <row r="122" spans="1:8">
      <c r="A122" s="1151" t="s">
        <v>398</v>
      </c>
      <c r="B122" s="1151">
        <v>1390</v>
      </c>
      <c r="C122" s="1155">
        <v>0.44</v>
      </c>
      <c r="D122" s="1151">
        <v>359</v>
      </c>
      <c r="E122" s="1155">
        <v>0.47</v>
      </c>
      <c r="F122" s="1155">
        <v>0.26</v>
      </c>
      <c r="G122" s="1151">
        <v>653</v>
      </c>
      <c r="H122" s="1155">
        <v>0.45</v>
      </c>
    </row>
    <row r="123" spans="1:8">
      <c r="A123" s="1151" t="s">
        <v>399</v>
      </c>
      <c r="B123" s="1151">
        <v>53</v>
      </c>
      <c r="C123" s="1155">
        <v>0.02</v>
      </c>
      <c r="D123" s="1151">
        <v>5</v>
      </c>
      <c r="E123" s="1155">
        <v>0.01</v>
      </c>
      <c r="F123" s="1155">
        <v>0.09</v>
      </c>
      <c r="G123" s="1151">
        <v>8</v>
      </c>
      <c r="H123" s="1155">
        <v>0.01</v>
      </c>
    </row>
    <row r="124" spans="1:8">
      <c r="A124" s="1151" t="s">
        <v>400</v>
      </c>
      <c r="B124" s="1151">
        <v>564</v>
      </c>
      <c r="C124" s="1155">
        <v>0.18</v>
      </c>
      <c r="D124" s="1151">
        <v>90</v>
      </c>
      <c r="E124" s="1155">
        <v>0.12</v>
      </c>
      <c r="F124" s="1155">
        <v>0.16</v>
      </c>
      <c r="G124" s="1151">
        <v>219</v>
      </c>
      <c r="H124" s="1155">
        <v>0.15</v>
      </c>
    </row>
    <row r="125" spans="1:8">
      <c r="A125" s="1151" t="s">
        <v>173</v>
      </c>
      <c r="B125" s="1156">
        <v>3180</v>
      </c>
      <c r="C125" s="1151"/>
      <c r="D125" s="1151">
        <v>772</v>
      </c>
      <c r="E125" s="1151"/>
      <c r="F125" s="1151"/>
      <c r="G125" s="1151">
        <v>1451</v>
      </c>
      <c r="H125" s="1151"/>
    </row>
    <row r="126" spans="1:8">
      <c r="A126" s="1157"/>
      <c r="B126" s="1157"/>
      <c r="C126" s="1157"/>
      <c r="D126" s="1157"/>
      <c r="E126" s="1157"/>
      <c r="F126" s="1157"/>
      <c r="G126" s="1157"/>
      <c r="H126" s="1157"/>
    </row>
    <row r="127" spans="1:8">
      <c r="A127" s="1148" t="s">
        <v>591</v>
      </c>
      <c r="B127" s="1148"/>
      <c r="C127" s="1148"/>
      <c r="D127" s="1148"/>
      <c r="E127" s="1148"/>
      <c r="F127" s="1148"/>
      <c r="G127" s="1148"/>
      <c r="H127" s="1148"/>
    </row>
    <row r="128" spans="1:8">
      <c r="A128" s="1145" t="s">
        <v>592</v>
      </c>
      <c r="B128" s="1145"/>
      <c r="C128" s="1145"/>
      <c r="D128" s="1145"/>
      <c r="E128" s="1145"/>
      <c r="F128" s="1145"/>
      <c r="G128" s="1145"/>
      <c r="H128" s="1145"/>
    </row>
    <row r="129" spans="1:8">
      <c r="A129" s="1145" t="s">
        <v>593</v>
      </c>
      <c r="B129" s="1145"/>
      <c r="C129" s="1145"/>
      <c r="D129" s="1145"/>
      <c r="E129" s="1145"/>
      <c r="F129" s="1145"/>
      <c r="G129" s="1145"/>
      <c r="H129" s="1145"/>
    </row>
    <row r="130" spans="1:8">
      <c r="A130" s="1145" t="s">
        <v>594</v>
      </c>
      <c r="B130" s="1145"/>
      <c r="C130" s="1145"/>
      <c r="D130" s="1145"/>
      <c r="E130" s="1145"/>
      <c r="F130" s="1145"/>
      <c r="G130" s="1145"/>
      <c r="H130" s="1145"/>
    </row>
    <row r="131" spans="1:8">
      <c r="A131" s="1144"/>
      <c r="B131" s="1144"/>
      <c r="C131" s="1144"/>
      <c r="D131" s="1144"/>
      <c r="E131" s="1144"/>
      <c r="F131" s="1144"/>
      <c r="G131" s="1144"/>
      <c r="H131" s="1144"/>
    </row>
    <row r="132" spans="1:8" ht="15.75">
      <c r="A132" s="1146" t="s">
        <v>401</v>
      </c>
      <c r="B132" s="1144"/>
      <c r="C132" s="1144"/>
      <c r="D132" s="1144"/>
      <c r="E132" s="1144"/>
      <c r="F132" s="1144"/>
      <c r="G132" s="1144"/>
      <c r="H132" s="1144"/>
    </row>
    <row r="133" spans="1:8">
      <c r="A133" s="1144"/>
      <c r="B133" s="1144"/>
      <c r="C133" s="1144"/>
      <c r="D133" s="1144"/>
      <c r="E133" s="1144"/>
      <c r="F133" s="1144"/>
      <c r="G133" s="1144"/>
      <c r="H133" s="1144"/>
    </row>
    <row r="134" spans="1:8">
      <c r="A134" s="1145" t="s">
        <v>589</v>
      </c>
      <c r="B134" s="1144"/>
      <c r="C134" s="1144"/>
      <c r="D134" s="1144"/>
      <c r="E134" s="1144"/>
      <c r="F134" s="1144"/>
      <c r="G134" s="1144"/>
      <c r="H134" s="1144"/>
    </row>
    <row r="135" spans="1:8">
      <c r="A135" s="1145" t="s">
        <v>590</v>
      </c>
      <c r="B135" s="1144"/>
      <c r="C135" s="1144"/>
      <c r="D135" s="1144"/>
      <c r="E135" s="1144"/>
      <c r="F135" s="1144"/>
      <c r="G135" s="1144"/>
      <c r="H135" s="1144"/>
    </row>
    <row r="136" spans="1:8">
      <c r="A136" s="1144"/>
      <c r="B136" s="1144"/>
      <c r="C136" s="1144"/>
      <c r="D136" s="1144"/>
      <c r="E136" s="1144"/>
      <c r="F136" s="1144"/>
      <c r="G136" s="1144"/>
      <c r="H136" s="1144"/>
    </row>
    <row r="137" spans="1:8">
      <c r="A137" s="1145" t="s">
        <v>586</v>
      </c>
      <c r="B137" s="1144"/>
      <c r="C137" s="1144"/>
      <c r="D137" s="1144"/>
      <c r="E137" s="1144"/>
      <c r="F137" s="1144"/>
      <c r="G137" s="1144"/>
      <c r="H137" s="1144"/>
    </row>
    <row r="138" spans="1:8">
      <c r="A138" s="1145" t="s">
        <v>587</v>
      </c>
      <c r="B138" s="1144"/>
      <c r="C138" s="1144"/>
      <c r="D138" s="1144"/>
      <c r="E138" s="1144"/>
      <c r="F138" s="1144"/>
      <c r="G138" s="1144"/>
      <c r="H138" s="1144"/>
    </row>
    <row r="139" spans="1:8">
      <c r="A139" s="1145" t="s">
        <v>588</v>
      </c>
      <c r="B139" s="1144"/>
      <c r="C139" s="1144"/>
      <c r="D139" s="1144"/>
      <c r="E139" s="1144"/>
      <c r="F139" s="1144"/>
      <c r="G139" s="1144"/>
      <c r="H139" s="1144"/>
    </row>
    <row r="140" spans="1:8">
      <c r="A140" s="1144"/>
      <c r="B140" s="1144"/>
      <c r="C140" s="1144"/>
      <c r="D140" s="1144"/>
      <c r="E140" s="1144"/>
      <c r="F140" s="1144"/>
      <c r="G140" s="1144"/>
      <c r="H140" s="1144"/>
    </row>
    <row r="141" spans="1:8">
      <c r="A141" s="1145" t="s">
        <v>583</v>
      </c>
      <c r="B141" s="1144"/>
      <c r="C141" s="1144"/>
      <c r="D141" s="1144"/>
      <c r="E141" s="1144"/>
      <c r="F141" s="1144"/>
      <c r="G141" s="1144"/>
      <c r="H141" s="1144"/>
    </row>
    <row r="142" spans="1:8">
      <c r="A142" s="1145" t="s">
        <v>584</v>
      </c>
      <c r="B142" s="1144"/>
      <c r="C142" s="1144"/>
      <c r="D142" s="1144"/>
      <c r="E142" s="1144"/>
      <c r="F142" s="1144"/>
      <c r="G142" s="1144"/>
      <c r="H142" s="1144"/>
    </row>
    <row r="143" spans="1:8">
      <c r="A143" s="1145" t="s">
        <v>585</v>
      </c>
      <c r="B143" s="1144"/>
      <c r="C143" s="1144"/>
      <c r="D143" s="1144"/>
      <c r="E143" s="1144"/>
      <c r="F143" s="1144"/>
      <c r="G143" s="1144"/>
      <c r="H143" s="1144"/>
    </row>
    <row r="144" spans="1:8">
      <c r="A144" s="1144"/>
      <c r="B144" s="1144"/>
      <c r="C144" s="1144"/>
      <c r="D144" s="1144"/>
      <c r="E144" s="1144"/>
      <c r="F144" s="1144"/>
      <c r="G144" s="1144"/>
      <c r="H144" s="1144"/>
    </row>
    <row r="145" spans="1:8">
      <c r="A145" s="1145" t="s">
        <v>580</v>
      </c>
      <c r="B145" s="1144"/>
      <c r="C145" s="1144"/>
      <c r="D145" s="1144"/>
      <c r="E145" s="1144"/>
      <c r="F145" s="1144"/>
      <c r="G145" s="1144"/>
      <c r="H145" s="1144"/>
    </row>
    <row r="146" spans="1:8">
      <c r="A146" s="1145" t="s">
        <v>581</v>
      </c>
      <c r="B146" s="1144"/>
      <c r="C146" s="1144"/>
      <c r="D146" s="1144"/>
      <c r="E146" s="1144"/>
      <c r="F146" s="1144"/>
      <c r="G146" s="1144"/>
      <c r="H146" s="1144"/>
    </row>
    <row r="147" spans="1:8">
      <c r="A147" s="1145" t="s">
        <v>582</v>
      </c>
      <c r="B147" s="1144"/>
      <c r="C147" s="1144"/>
      <c r="D147" s="1144"/>
      <c r="E147" s="1144"/>
      <c r="F147" s="1144"/>
      <c r="G147" s="1144"/>
      <c r="H147" s="1144"/>
    </row>
    <row r="148" spans="1:8">
      <c r="A148" s="1144"/>
      <c r="B148" s="1144"/>
      <c r="C148" s="1144"/>
      <c r="D148" s="1144"/>
      <c r="E148" s="1144"/>
      <c r="F148" s="1144"/>
      <c r="G148" s="1144"/>
      <c r="H148" s="1144"/>
    </row>
    <row r="149" spans="1:8">
      <c r="A149" s="1145" t="s">
        <v>578</v>
      </c>
      <c r="B149" s="1144"/>
      <c r="C149" s="1144"/>
      <c r="D149" s="1144"/>
      <c r="E149" s="1144"/>
      <c r="F149" s="1144"/>
      <c r="G149" s="1144"/>
      <c r="H149" s="1144"/>
    </row>
    <row r="150" spans="1:8">
      <c r="A150" s="1145" t="s">
        <v>579</v>
      </c>
      <c r="B150" s="1144"/>
      <c r="C150" s="1144"/>
      <c r="D150" s="1144"/>
      <c r="E150" s="1144"/>
      <c r="F150" s="1144"/>
      <c r="G150" s="1144"/>
      <c r="H150" s="1144"/>
    </row>
    <row r="151" spans="1:8">
      <c r="A151" s="1144"/>
      <c r="B151" s="1144"/>
      <c r="C151" s="1144"/>
      <c r="D151" s="1144"/>
      <c r="E151" s="1144"/>
      <c r="F151" s="1144"/>
      <c r="G151" s="1144"/>
      <c r="H151" s="1144"/>
    </row>
    <row r="152" spans="1:8" ht="15.75">
      <c r="A152" s="1146" t="s">
        <v>402</v>
      </c>
      <c r="B152" s="1144"/>
      <c r="C152" s="1144"/>
      <c r="D152" s="1144"/>
      <c r="E152" s="1144"/>
      <c r="F152" s="1144"/>
      <c r="G152" s="1144"/>
      <c r="H152" s="1144"/>
    </row>
    <row r="153" spans="1:8">
      <c r="A153" s="1144"/>
      <c r="B153" s="1144"/>
      <c r="C153" s="1144"/>
      <c r="D153" s="1144"/>
      <c r="E153" s="1144"/>
      <c r="F153" s="1144"/>
      <c r="G153" s="1144"/>
      <c r="H153" s="1144"/>
    </row>
    <row r="154" spans="1:8">
      <c r="A154" s="1145" t="s">
        <v>576</v>
      </c>
      <c r="B154" s="1144"/>
      <c r="C154" s="1144"/>
      <c r="D154" s="1144"/>
      <c r="E154" s="1144"/>
      <c r="F154" s="1144"/>
      <c r="G154" s="1144"/>
      <c r="H154" s="1144"/>
    </row>
    <row r="155" spans="1:8">
      <c r="A155" s="1145" t="s">
        <v>577</v>
      </c>
      <c r="B155" s="1144"/>
      <c r="C155" s="1144"/>
      <c r="D155" s="1144"/>
      <c r="E155" s="1144"/>
      <c r="F155" s="1144"/>
      <c r="G155" s="1144"/>
      <c r="H155" s="1144"/>
    </row>
    <row r="156" spans="1:8">
      <c r="A156" s="1144"/>
      <c r="B156" s="1144"/>
      <c r="C156" s="1144"/>
      <c r="D156" s="1144"/>
      <c r="E156" s="1144"/>
      <c r="F156" s="1144"/>
      <c r="G156" s="1144"/>
      <c r="H156" s="1144"/>
    </row>
    <row r="157" spans="1:8">
      <c r="A157" s="1145" t="s">
        <v>574</v>
      </c>
      <c r="B157" s="1144"/>
      <c r="C157" s="1144"/>
      <c r="D157" s="1144"/>
      <c r="E157" s="1144"/>
      <c r="F157" s="1144"/>
      <c r="G157" s="1144"/>
      <c r="H157" s="1144"/>
    </row>
    <row r="158" spans="1:8">
      <c r="A158" s="1145" t="s">
        <v>575</v>
      </c>
      <c r="B158" s="1144"/>
      <c r="C158" s="1144"/>
      <c r="D158" s="1144"/>
      <c r="E158" s="1144"/>
      <c r="F158" s="1144"/>
      <c r="G158" s="1144"/>
      <c r="H158" s="1144"/>
    </row>
    <row r="159" spans="1:8">
      <c r="A159" s="1144"/>
      <c r="B159" s="1144"/>
      <c r="C159" s="1144"/>
      <c r="D159" s="1144"/>
      <c r="E159" s="1144"/>
      <c r="F159" s="1144"/>
      <c r="G159" s="1144"/>
      <c r="H159" s="1144"/>
    </row>
    <row r="160" spans="1:8">
      <c r="A160" s="1145" t="s">
        <v>572</v>
      </c>
      <c r="B160" s="1144"/>
      <c r="C160" s="1144"/>
      <c r="D160" s="1144"/>
      <c r="E160" s="1144"/>
      <c r="F160" s="1144"/>
      <c r="G160" s="1144"/>
      <c r="H160" s="1144"/>
    </row>
    <row r="161" spans="1:8">
      <c r="A161" s="1145" t="s">
        <v>573</v>
      </c>
      <c r="B161" s="1144"/>
      <c r="C161" s="1144"/>
      <c r="D161" s="1144"/>
      <c r="E161" s="1144"/>
      <c r="F161" s="1144"/>
      <c r="G161" s="1144"/>
      <c r="H161" s="1144"/>
    </row>
    <row r="162" spans="1:8">
      <c r="A162" s="1144"/>
      <c r="B162" s="1144"/>
      <c r="C162" s="1144"/>
      <c r="D162" s="1144"/>
      <c r="E162" s="1144"/>
      <c r="F162" s="1144"/>
      <c r="G162" s="1144"/>
      <c r="H162" s="1144"/>
    </row>
    <row r="163" spans="1:8">
      <c r="A163" s="1145" t="s">
        <v>569</v>
      </c>
      <c r="B163" s="1144"/>
      <c r="C163" s="1144"/>
      <c r="D163" s="1144"/>
      <c r="E163" s="1144"/>
      <c r="F163" s="1144"/>
      <c r="G163" s="1144"/>
      <c r="H163" s="1144"/>
    </row>
    <row r="164" spans="1:8">
      <c r="A164" s="1145" t="s">
        <v>570</v>
      </c>
      <c r="B164" s="1144"/>
      <c r="C164" s="1144"/>
      <c r="D164" s="1144"/>
      <c r="E164" s="1144"/>
      <c r="F164" s="1144"/>
      <c r="G164" s="1144"/>
      <c r="H164" s="1144"/>
    </row>
    <row r="165" spans="1:8">
      <c r="A165" s="1145" t="s">
        <v>571</v>
      </c>
      <c r="B165" s="1144"/>
      <c r="C165" s="1144"/>
      <c r="D165" s="1144"/>
      <c r="E165" s="1144"/>
      <c r="F165" s="1144"/>
      <c r="G165" s="1144"/>
      <c r="H165" s="1144"/>
    </row>
    <row r="166" spans="1:8">
      <c r="A166" s="1144"/>
      <c r="B166" s="1144"/>
      <c r="C166" s="1144"/>
      <c r="D166" s="1144"/>
      <c r="E166" s="1144"/>
      <c r="F166" s="1144"/>
      <c r="G166" s="1144"/>
      <c r="H166" s="1144"/>
    </row>
    <row r="167" spans="1:8">
      <c r="A167" s="1144"/>
      <c r="B167" s="1144"/>
      <c r="C167" s="1144"/>
      <c r="D167" s="1144"/>
      <c r="E167" s="1144"/>
      <c r="F167" s="1144"/>
      <c r="G167" s="1144"/>
      <c r="H167" s="1144"/>
    </row>
    <row r="168" spans="1:8">
      <c r="A168" s="1145" t="s">
        <v>403</v>
      </c>
      <c r="B168" s="1144"/>
      <c r="C168" s="1144"/>
      <c r="D168" s="1144"/>
      <c r="E168" s="1144"/>
      <c r="F168" s="1144"/>
      <c r="G168" s="1144"/>
      <c r="H168" s="1144"/>
    </row>
    <row r="169" spans="1:8">
      <c r="A169" s="1144"/>
      <c r="B169" s="1144"/>
      <c r="C169" s="1144"/>
      <c r="D169" s="1144"/>
      <c r="E169" s="1144"/>
      <c r="F169" s="1144"/>
      <c r="G169" s="1144"/>
      <c r="H169" s="1144"/>
    </row>
    <row r="170" spans="1:8" ht="15.75">
      <c r="A170" s="1146" t="s">
        <v>404</v>
      </c>
      <c r="B170" s="1144"/>
      <c r="C170" s="1144"/>
      <c r="D170" s="1144"/>
      <c r="E170" s="1144"/>
      <c r="F170" s="1144"/>
      <c r="G170" s="1144"/>
      <c r="H170" s="1144"/>
    </row>
    <row r="171" spans="1:8">
      <c r="A171" s="1144"/>
      <c r="B171" s="1144"/>
      <c r="C171" s="1144"/>
      <c r="D171" s="1144"/>
      <c r="E171" s="1144"/>
      <c r="F171" s="1144"/>
      <c r="G171" s="1144"/>
      <c r="H171" s="1144"/>
    </row>
    <row r="172" spans="1:8">
      <c r="A172" s="1144"/>
      <c r="B172" s="1144"/>
      <c r="C172" s="1144"/>
      <c r="D172" s="1144"/>
      <c r="E172" s="1144"/>
      <c r="F172" s="1144"/>
      <c r="G172" s="1144"/>
      <c r="H172" s="1144"/>
    </row>
    <row r="173" spans="1:8">
      <c r="A173" s="1144"/>
      <c r="B173" s="1144"/>
      <c r="C173" s="1144"/>
      <c r="D173" s="1144"/>
      <c r="E173" s="1144"/>
      <c r="F173" s="1144"/>
      <c r="G173" s="1144"/>
      <c r="H173" s="1144"/>
    </row>
    <row r="174" spans="1:8">
      <c r="A174" s="1144"/>
      <c r="B174" s="1144"/>
      <c r="C174" s="1144"/>
      <c r="D174" s="1144"/>
      <c r="E174" s="1144"/>
      <c r="F174" s="1144"/>
      <c r="G174" s="1144"/>
      <c r="H174" s="1144"/>
    </row>
    <row r="175" spans="1:8">
      <c r="A175" s="1144"/>
      <c r="B175" s="1144"/>
      <c r="C175" s="1144"/>
      <c r="D175" s="1144"/>
      <c r="E175" s="1144"/>
      <c r="F175" s="1144"/>
      <c r="G175" s="1144"/>
      <c r="H175" s="1144"/>
    </row>
    <row r="176" spans="1:8">
      <c r="A176" s="1144"/>
      <c r="B176" s="1144"/>
      <c r="C176" s="1144"/>
      <c r="D176" s="1144"/>
      <c r="E176" s="1144"/>
      <c r="F176" s="1144"/>
      <c r="G176" s="1144"/>
      <c r="H176" s="1144"/>
    </row>
    <row r="177" spans="1:8">
      <c r="A177" s="1144"/>
      <c r="B177" s="1144"/>
      <c r="C177" s="1144"/>
      <c r="D177" s="1144"/>
      <c r="E177" s="1144"/>
      <c r="F177" s="1144"/>
      <c r="G177" s="1144"/>
      <c r="H177" s="1144"/>
    </row>
    <row r="178" spans="1:8">
      <c r="A178" s="1144"/>
      <c r="B178" s="1144"/>
      <c r="C178" s="1144"/>
      <c r="D178" s="1144"/>
      <c r="E178" s="1144"/>
      <c r="F178" s="1144"/>
      <c r="G178" s="1144"/>
      <c r="H178" s="1144"/>
    </row>
    <row r="179" spans="1:8">
      <c r="A179" s="1144"/>
      <c r="B179" s="1144"/>
      <c r="C179" s="1144"/>
      <c r="D179" s="1144"/>
      <c r="E179" s="1144"/>
      <c r="F179" s="1144"/>
      <c r="G179" s="1144"/>
      <c r="H179" s="1144"/>
    </row>
    <row r="180" spans="1:8">
      <c r="A180" s="1144"/>
      <c r="B180" s="1144"/>
      <c r="C180" s="1144"/>
      <c r="D180" s="1144"/>
      <c r="E180" s="1144"/>
      <c r="F180" s="1144"/>
      <c r="G180" s="1144"/>
      <c r="H180" s="1144"/>
    </row>
    <row r="181" spans="1:8">
      <c r="A181" s="1144"/>
      <c r="B181" s="1144"/>
      <c r="C181" s="1144"/>
      <c r="D181" s="1144"/>
      <c r="E181" s="1144"/>
      <c r="F181" s="1144"/>
      <c r="G181" s="1144"/>
      <c r="H181" s="1144"/>
    </row>
    <row r="182" spans="1:8">
      <c r="A182" s="1144"/>
      <c r="B182" s="1144"/>
      <c r="C182" s="1144"/>
      <c r="D182" s="1144"/>
      <c r="E182" s="1144"/>
      <c r="F182" s="1144"/>
      <c r="G182" s="1144"/>
      <c r="H182" s="1144"/>
    </row>
    <row r="183" spans="1:8">
      <c r="A183" s="1144"/>
      <c r="B183" s="1144"/>
      <c r="C183" s="1144"/>
      <c r="D183" s="1144"/>
      <c r="E183" s="1144"/>
      <c r="F183" s="1144"/>
      <c r="G183" s="1144"/>
      <c r="H183" s="1144"/>
    </row>
    <row r="184" spans="1:8">
      <c r="A184" s="1144"/>
      <c r="B184" s="1144"/>
      <c r="C184" s="1144"/>
      <c r="D184" s="1144"/>
      <c r="E184" s="1144"/>
      <c r="F184" s="1144"/>
      <c r="G184" s="1144"/>
      <c r="H184" s="1144"/>
    </row>
    <row r="185" spans="1:8">
      <c r="A185" s="1144"/>
      <c r="B185" s="1144"/>
      <c r="C185" s="1144"/>
      <c r="D185" s="1144"/>
      <c r="E185" s="1144"/>
      <c r="F185" s="1144"/>
      <c r="G185" s="1144"/>
      <c r="H185" s="1144"/>
    </row>
    <row r="186" spans="1:8">
      <c r="A186" s="1144"/>
      <c r="B186" s="1144"/>
      <c r="C186" s="1144"/>
      <c r="D186" s="1144"/>
      <c r="E186" s="1144"/>
      <c r="F186" s="1144"/>
      <c r="G186" s="1144"/>
      <c r="H186" s="1144"/>
    </row>
    <row r="187" spans="1:8">
      <c r="A187" s="1144"/>
      <c r="B187" s="1144"/>
      <c r="C187" s="1144"/>
      <c r="D187" s="1144"/>
      <c r="E187" s="1144"/>
      <c r="F187" s="1144"/>
      <c r="G187" s="1144"/>
      <c r="H187" s="1144"/>
    </row>
    <row r="188" spans="1:8">
      <c r="A188" s="1144"/>
      <c r="B188" s="1144"/>
      <c r="C188" s="1144"/>
      <c r="D188" s="1144"/>
      <c r="E188" s="1144"/>
      <c r="F188" s="1144"/>
      <c r="G188" s="1144"/>
      <c r="H188" s="1144"/>
    </row>
    <row r="189" spans="1:8">
      <c r="A189" s="1144"/>
      <c r="B189" s="1144"/>
      <c r="C189" s="1144"/>
      <c r="D189" s="1144"/>
      <c r="E189" s="1144"/>
      <c r="F189" s="1144"/>
      <c r="G189" s="1144"/>
      <c r="H189" s="1144"/>
    </row>
    <row r="190" spans="1:8">
      <c r="A190" s="1144"/>
      <c r="B190" s="1144"/>
      <c r="C190" s="1144"/>
      <c r="D190" s="1144"/>
      <c r="E190" s="1144"/>
      <c r="F190" s="1144"/>
      <c r="G190" s="1144"/>
      <c r="H190" s="1144"/>
    </row>
    <row r="191" spans="1:8">
      <c r="A191" s="1144"/>
      <c r="B191" s="1144"/>
      <c r="C191" s="1144"/>
      <c r="D191" s="1144"/>
      <c r="E191" s="1144"/>
      <c r="F191" s="1144"/>
      <c r="G191" s="1144"/>
      <c r="H191" s="1144"/>
    </row>
    <row r="192" spans="1:8">
      <c r="A192" s="1144"/>
      <c r="B192" s="1144"/>
      <c r="C192" s="1144"/>
      <c r="D192" s="1144"/>
      <c r="E192" s="1144"/>
      <c r="F192" s="1144"/>
      <c r="G192" s="1144"/>
      <c r="H192" s="1144"/>
    </row>
    <row r="193" spans="1:8">
      <c r="A193" s="1144"/>
      <c r="B193" s="1144"/>
      <c r="C193" s="1144"/>
      <c r="D193" s="1144"/>
      <c r="E193" s="1144"/>
      <c r="F193" s="1144"/>
      <c r="G193" s="1144"/>
      <c r="H193" s="1144"/>
    </row>
    <row r="194" spans="1:8">
      <c r="A194" s="1144"/>
      <c r="B194" s="1144"/>
      <c r="C194" s="1144"/>
      <c r="D194" s="1144"/>
      <c r="E194" s="1144"/>
      <c r="F194" s="1144"/>
      <c r="G194" s="1144"/>
      <c r="H194" s="1144"/>
    </row>
    <row r="195" spans="1:8">
      <c r="A195" s="1144"/>
      <c r="B195" s="1144"/>
      <c r="C195" s="1144"/>
      <c r="D195" s="1144"/>
      <c r="E195" s="1144"/>
      <c r="F195" s="1144"/>
      <c r="G195" s="1144"/>
      <c r="H195" s="1144"/>
    </row>
    <row r="196" spans="1:8">
      <c r="A196" s="1144"/>
      <c r="B196" s="1144"/>
      <c r="C196" s="1144"/>
      <c r="D196" s="1144"/>
      <c r="E196" s="1144"/>
      <c r="F196" s="1144"/>
      <c r="G196" s="1144"/>
      <c r="H196" s="1144"/>
    </row>
    <row r="197" spans="1:8" ht="15.75">
      <c r="A197" s="1146" t="s">
        <v>405</v>
      </c>
      <c r="B197" s="1144"/>
      <c r="C197" s="1144"/>
      <c r="D197" s="1144"/>
      <c r="E197" s="1144"/>
      <c r="F197" s="1144"/>
      <c r="G197" s="1144"/>
      <c r="H197" s="1144"/>
    </row>
    <row r="198" spans="1:8">
      <c r="A198" s="1144"/>
      <c r="B198" s="1144"/>
      <c r="C198" s="1144"/>
      <c r="D198" s="1144"/>
      <c r="E198" s="1144"/>
      <c r="F198" s="1144"/>
      <c r="G198" s="1144"/>
      <c r="H198" s="1144"/>
    </row>
    <row r="199" spans="1:8">
      <c r="A199" s="1145" t="s">
        <v>564</v>
      </c>
      <c r="B199" s="1144"/>
      <c r="C199" s="1144"/>
      <c r="D199" s="1144"/>
      <c r="E199" s="1144"/>
      <c r="F199" s="1144"/>
      <c r="G199" s="1144"/>
      <c r="H199" s="1144"/>
    </row>
    <row r="200" spans="1:8">
      <c r="A200" s="1145" t="s">
        <v>565</v>
      </c>
      <c r="B200" s="1144"/>
      <c r="C200" s="1144"/>
      <c r="D200" s="1144"/>
      <c r="E200" s="1144"/>
      <c r="F200" s="1144"/>
      <c r="G200" s="1144"/>
      <c r="H200" s="1144"/>
    </row>
    <row r="201" spans="1:8">
      <c r="A201" s="1145" t="s">
        <v>566</v>
      </c>
      <c r="B201" s="1144"/>
      <c r="C201" s="1144"/>
      <c r="D201" s="1144"/>
      <c r="E201" s="1144"/>
      <c r="F201" s="1144"/>
      <c r="G201" s="1144"/>
      <c r="H201" s="1144"/>
    </row>
    <row r="202" spans="1:8">
      <c r="A202" s="1145" t="s">
        <v>567</v>
      </c>
      <c r="B202" s="1144"/>
      <c r="C202" s="1144"/>
      <c r="D202" s="1144"/>
      <c r="E202" s="1144"/>
      <c r="F202" s="1144"/>
      <c r="G202" s="1144"/>
      <c r="H202" s="1144"/>
    </row>
    <row r="203" spans="1:8">
      <c r="A203" s="1145" t="s">
        <v>568</v>
      </c>
      <c r="B203" s="1144"/>
      <c r="C203" s="1144"/>
      <c r="D203" s="1144"/>
      <c r="E203" s="1144"/>
      <c r="F203" s="1144"/>
      <c r="G203" s="1144"/>
      <c r="H203" s="1144"/>
    </row>
    <row r="204" spans="1:8">
      <c r="A204" s="1144"/>
      <c r="B204" s="1144"/>
      <c r="C204" s="1144"/>
      <c r="D204" s="1144"/>
      <c r="E204" s="1144"/>
      <c r="F204" s="1144"/>
      <c r="G204" s="1144"/>
      <c r="H204" s="1144"/>
    </row>
    <row r="205" spans="1:8">
      <c r="A205" s="1145" t="s">
        <v>561</v>
      </c>
      <c r="B205" s="1144"/>
      <c r="C205" s="1144"/>
      <c r="D205" s="1144"/>
      <c r="E205" s="1144"/>
      <c r="F205" s="1144"/>
      <c r="G205" s="1144"/>
      <c r="H205" s="1144"/>
    </row>
    <row r="206" spans="1:8">
      <c r="A206" s="1145" t="s">
        <v>562</v>
      </c>
      <c r="B206" s="1144"/>
      <c r="C206" s="1144"/>
      <c r="D206" s="1144"/>
      <c r="E206" s="1144"/>
      <c r="F206" s="1144"/>
      <c r="G206" s="1144"/>
      <c r="H206" s="1144"/>
    </row>
    <row r="207" spans="1:8">
      <c r="A207" s="1145" t="s">
        <v>563</v>
      </c>
      <c r="B207" s="1144"/>
      <c r="C207" s="1144"/>
      <c r="D207" s="1144"/>
      <c r="E207" s="1144"/>
      <c r="F207" s="1144"/>
      <c r="G207" s="1144"/>
      <c r="H207" s="1144"/>
    </row>
    <row r="208" spans="1:8" ht="15.75">
      <c r="A208" s="1146" t="s">
        <v>406</v>
      </c>
      <c r="B208" s="1144"/>
      <c r="C208" s="1144"/>
      <c r="D208" s="1144"/>
      <c r="E208" s="1144"/>
      <c r="F208" s="1144"/>
      <c r="G208" s="1144"/>
      <c r="H208" s="1144"/>
    </row>
    <row r="209" spans="1:8">
      <c r="A209" s="1144"/>
      <c r="B209" s="1144"/>
      <c r="C209" s="1144"/>
      <c r="D209" s="1144"/>
      <c r="E209" s="1144"/>
      <c r="F209" s="1144"/>
      <c r="G209" s="1144"/>
      <c r="H209" s="1144"/>
    </row>
    <row r="210" spans="1:8">
      <c r="A210" s="1145" t="s">
        <v>554</v>
      </c>
      <c r="B210" s="1144"/>
      <c r="C210" s="1144"/>
      <c r="D210" s="1144"/>
      <c r="E210" s="1144"/>
      <c r="F210" s="1144"/>
      <c r="G210" s="1144"/>
      <c r="H210" s="1144"/>
    </row>
    <row r="211" spans="1:8">
      <c r="A211" s="1145" t="s">
        <v>555</v>
      </c>
      <c r="B211" s="1144"/>
      <c r="C211" s="1144"/>
      <c r="D211" s="1144"/>
      <c r="E211" s="1144"/>
      <c r="F211" s="1144"/>
      <c r="G211" s="1144"/>
      <c r="H211" s="1144"/>
    </row>
    <row r="212" spans="1:8">
      <c r="A212" s="1145" t="s">
        <v>556</v>
      </c>
      <c r="B212" s="1144"/>
      <c r="C212" s="1144"/>
      <c r="D212" s="1144"/>
      <c r="E212" s="1144"/>
      <c r="F212" s="1144"/>
      <c r="G212" s="1144"/>
      <c r="H212" s="1144"/>
    </row>
    <row r="213" spans="1:8">
      <c r="A213" s="1145" t="s">
        <v>557</v>
      </c>
      <c r="B213" s="1144"/>
      <c r="C213" s="1144"/>
      <c r="D213" s="1144"/>
      <c r="E213" s="1144"/>
      <c r="F213" s="1144"/>
      <c r="G213" s="1144"/>
      <c r="H213" s="1144"/>
    </row>
    <row r="214" spans="1:8">
      <c r="A214" s="1145" t="s">
        <v>558</v>
      </c>
      <c r="B214" s="1144"/>
      <c r="C214" s="1144"/>
      <c r="D214" s="1144"/>
      <c r="E214" s="1144"/>
      <c r="F214" s="1144"/>
      <c r="G214" s="1144"/>
      <c r="H214" s="1144"/>
    </row>
    <row r="215" spans="1:8">
      <c r="A215" s="1145" t="s">
        <v>559</v>
      </c>
      <c r="B215" s="1144"/>
      <c r="C215" s="1144"/>
      <c r="D215" s="1144"/>
      <c r="E215" s="1144"/>
      <c r="F215" s="1144"/>
      <c r="G215" s="1144"/>
      <c r="H215" s="1144"/>
    </row>
    <row r="216" spans="1:8">
      <c r="A216" s="1145" t="s">
        <v>560</v>
      </c>
      <c r="B216" s="1144"/>
      <c r="C216" s="1144"/>
      <c r="D216" s="1144"/>
      <c r="E216" s="1144"/>
      <c r="F216" s="1144"/>
      <c r="G216" s="1144"/>
      <c r="H216" s="1144"/>
    </row>
    <row r="217" spans="1:8">
      <c r="A217" s="1144"/>
      <c r="B217" s="1144"/>
      <c r="C217" s="1144"/>
      <c r="D217" s="1144"/>
      <c r="E217" s="1144"/>
      <c r="F217" s="1144"/>
      <c r="G217" s="1144"/>
      <c r="H217" s="1144"/>
    </row>
    <row r="218" spans="1:8">
      <c r="A218" s="1145" t="s">
        <v>551</v>
      </c>
      <c r="B218" s="1144"/>
      <c r="C218" s="1144"/>
      <c r="D218" s="1144"/>
      <c r="E218" s="1144"/>
      <c r="F218" s="1144"/>
      <c r="G218" s="1144"/>
      <c r="H218" s="1144"/>
    </row>
    <row r="219" spans="1:8">
      <c r="A219" s="1145" t="s">
        <v>552</v>
      </c>
      <c r="B219" s="1144"/>
      <c r="C219" s="1144"/>
      <c r="D219" s="1144"/>
      <c r="E219" s="1144"/>
      <c r="F219" s="1144"/>
      <c r="G219" s="1144"/>
      <c r="H219" s="1144"/>
    </row>
    <row r="220" spans="1:8">
      <c r="A220" s="1145" t="s">
        <v>553</v>
      </c>
      <c r="B220" s="1144"/>
      <c r="C220" s="1144"/>
      <c r="D220" s="1144"/>
      <c r="E220" s="1144"/>
      <c r="F220" s="1144"/>
      <c r="G220" s="1144"/>
      <c r="H220" s="1144"/>
    </row>
    <row r="221" spans="1:8">
      <c r="A221" s="1144"/>
      <c r="B221" s="1144"/>
      <c r="C221" s="1144"/>
      <c r="D221" s="1144"/>
      <c r="E221" s="1144"/>
      <c r="F221" s="1144"/>
      <c r="G221" s="1144"/>
      <c r="H221" s="1144"/>
    </row>
    <row r="222" spans="1:8">
      <c r="A222" s="1145" t="s">
        <v>546</v>
      </c>
      <c r="B222" s="1144"/>
      <c r="C222" s="1144"/>
      <c r="D222" s="1144"/>
      <c r="E222" s="1144"/>
      <c r="F222" s="1144"/>
      <c r="G222" s="1144"/>
      <c r="H222" s="1144"/>
    </row>
    <row r="223" spans="1:8">
      <c r="A223" s="1145" t="s">
        <v>547</v>
      </c>
      <c r="B223" s="1144"/>
      <c r="C223" s="1144"/>
      <c r="D223" s="1144"/>
      <c r="E223" s="1144"/>
      <c r="F223" s="1144"/>
      <c r="G223" s="1144"/>
      <c r="H223" s="1144"/>
    </row>
    <row r="224" spans="1:8">
      <c r="A224" s="1145" t="s">
        <v>548</v>
      </c>
      <c r="B224" s="1144"/>
      <c r="C224" s="1144"/>
      <c r="D224" s="1144"/>
      <c r="E224" s="1144"/>
      <c r="F224" s="1144"/>
      <c r="G224" s="1144"/>
      <c r="H224" s="1144"/>
    </row>
    <row r="225" spans="1:8">
      <c r="A225" s="1145" t="s">
        <v>549</v>
      </c>
      <c r="B225" s="1144"/>
      <c r="C225" s="1144"/>
      <c r="D225" s="1144"/>
      <c r="E225" s="1144"/>
      <c r="F225" s="1144"/>
      <c r="G225" s="1144"/>
      <c r="H225" s="1144"/>
    </row>
    <row r="226" spans="1:8">
      <c r="A226" s="1145" t="s">
        <v>550</v>
      </c>
      <c r="B226" s="1144"/>
      <c r="C226" s="1144"/>
      <c r="D226" s="1144"/>
      <c r="E226" s="1144"/>
      <c r="F226" s="1144"/>
      <c r="G226" s="1144"/>
      <c r="H226" s="1144"/>
    </row>
    <row r="227" spans="1:8">
      <c r="A227" s="1144"/>
      <c r="B227" s="1144"/>
      <c r="C227" s="1144"/>
      <c r="D227" s="1144"/>
      <c r="E227" s="1144"/>
      <c r="F227" s="1144"/>
      <c r="G227" s="1144"/>
      <c r="H227" s="1144"/>
    </row>
    <row r="228" spans="1:8">
      <c r="A228" s="1145" t="s">
        <v>540</v>
      </c>
      <c r="B228" s="1144"/>
      <c r="C228" s="1144"/>
      <c r="D228" s="1144"/>
      <c r="E228" s="1144"/>
      <c r="F228" s="1144"/>
      <c r="G228" s="1144"/>
      <c r="H228" s="1144"/>
    </row>
    <row r="229" spans="1:8">
      <c r="A229" s="1145" t="s">
        <v>541</v>
      </c>
      <c r="B229" s="1144"/>
      <c r="C229" s="1144"/>
      <c r="D229" s="1144"/>
      <c r="E229" s="1144"/>
      <c r="F229" s="1144"/>
      <c r="G229" s="1144"/>
      <c r="H229" s="1144"/>
    </row>
    <row r="230" spans="1:8">
      <c r="A230" s="1145" t="s">
        <v>542</v>
      </c>
      <c r="B230" s="1144"/>
      <c r="C230" s="1144"/>
      <c r="D230" s="1144"/>
      <c r="E230" s="1144"/>
      <c r="F230" s="1144"/>
      <c r="G230" s="1144"/>
      <c r="H230" s="1144"/>
    </row>
    <row r="231" spans="1:8">
      <c r="A231" s="1145" t="s">
        <v>543</v>
      </c>
      <c r="B231" s="1144"/>
      <c r="C231" s="1144"/>
      <c r="D231" s="1144"/>
      <c r="E231" s="1144"/>
      <c r="F231" s="1144"/>
      <c r="G231" s="1144"/>
      <c r="H231" s="1144"/>
    </row>
    <row r="232" spans="1:8">
      <c r="A232" s="1145" t="s">
        <v>544</v>
      </c>
      <c r="B232" s="1144"/>
      <c r="C232" s="1144"/>
      <c r="D232" s="1144"/>
      <c r="E232" s="1144"/>
      <c r="F232" s="1144"/>
      <c r="G232" s="1144"/>
      <c r="H232" s="1144"/>
    </row>
    <row r="233" spans="1:8">
      <c r="A233" s="1145" t="s">
        <v>545</v>
      </c>
      <c r="B233" s="1144"/>
      <c r="C233" s="1144"/>
      <c r="D233" s="1144"/>
      <c r="E233" s="1144"/>
      <c r="F233" s="1144"/>
      <c r="G233" s="1144"/>
      <c r="H233" s="1144"/>
    </row>
    <row r="234" spans="1:8">
      <c r="A234" s="1144"/>
      <c r="B234" s="1144"/>
      <c r="C234" s="1144"/>
      <c r="D234" s="1144"/>
      <c r="E234" s="1144"/>
      <c r="F234" s="1144"/>
      <c r="G234" s="1144"/>
      <c r="H234" s="1144"/>
    </row>
    <row r="235" spans="1:8">
      <c r="A235" s="1145" t="s">
        <v>530</v>
      </c>
      <c r="B235" s="1144"/>
      <c r="C235" s="1144"/>
      <c r="D235" s="1144"/>
      <c r="E235" s="1144"/>
      <c r="F235" s="1144"/>
      <c r="G235" s="1144"/>
      <c r="H235" s="1144"/>
    </row>
    <row r="236" spans="1:8">
      <c r="A236" s="1145" t="s">
        <v>531</v>
      </c>
      <c r="B236" s="1144"/>
      <c r="C236" s="1144"/>
      <c r="D236" s="1144"/>
      <c r="E236" s="1144"/>
      <c r="F236" s="1144"/>
      <c r="G236" s="1144"/>
      <c r="H236" s="1144"/>
    </row>
    <row r="237" spans="1:8">
      <c r="A237" s="1145" t="s">
        <v>532</v>
      </c>
      <c r="B237" s="1144"/>
      <c r="C237" s="1144"/>
      <c r="D237" s="1144"/>
      <c r="E237" s="1144"/>
      <c r="F237" s="1144"/>
      <c r="G237" s="1144"/>
      <c r="H237" s="1144"/>
    </row>
    <row r="238" spans="1:8">
      <c r="A238" s="1145" t="s">
        <v>533</v>
      </c>
      <c r="B238" s="1144"/>
      <c r="C238" s="1144"/>
      <c r="D238" s="1144"/>
      <c r="E238" s="1144"/>
      <c r="F238" s="1144"/>
      <c r="G238" s="1144"/>
      <c r="H238" s="1144"/>
    </row>
    <row r="239" spans="1:8">
      <c r="A239" s="1145" t="s">
        <v>534</v>
      </c>
      <c r="B239" s="1144"/>
      <c r="C239" s="1144"/>
      <c r="D239" s="1144"/>
      <c r="E239" s="1144"/>
      <c r="F239" s="1144"/>
      <c r="G239" s="1144"/>
      <c r="H239" s="1144"/>
    </row>
    <row r="240" spans="1:8">
      <c r="A240" s="1145" t="s">
        <v>535</v>
      </c>
      <c r="B240" s="1144"/>
      <c r="C240" s="1144"/>
      <c r="D240" s="1144"/>
      <c r="E240" s="1144"/>
      <c r="F240" s="1144"/>
      <c r="G240" s="1144"/>
      <c r="H240" s="1144"/>
    </row>
    <row r="241" spans="1:8">
      <c r="A241" s="1145" t="s">
        <v>536</v>
      </c>
      <c r="B241" s="1144"/>
      <c r="C241" s="1144"/>
      <c r="D241" s="1144"/>
      <c r="E241" s="1144"/>
      <c r="F241" s="1144"/>
      <c r="G241" s="1144"/>
      <c r="H241" s="1144"/>
    </row>
    <row r="242" spans="1:8">
      <c r="A242" s="1145" t="s">
        <v>537</v>
      </c>
      <c r="B242" s="1144"/>
      <c r="C242" s="1144"/>
      <c r="D242" s="1144"/>
      <c r="E242" s="1144"/>
      <c r="F242" s="1144"/>
      <c r="G242" s="1144"/>
      <c r="H242" s="1144"/>
    </row>
    <row r="243" spans="1:8">
      <c r="A243" s="1145" t="s">
        <v>538</v>
      </c>
      <c r="B243" s="1144"/>
      <c r="C243" s="1144"/>
      <c r="D243" s="1144"/>
      <c r="E243" s="1144"/>
      <c r="F243" s="1144"/>
      <c r="G243" s="1144"/>
      <c r="H243" s="1144"/>
    </row>
    <row r="244" spans="1:8">
      <c r="A244" s="1145" t="s">
        <v>539</v>
      </c>
      <c r="B244" s="1144"/>
      <c r="C244" s="1144"/>
      <c r="D244" s="1144"/>
      <c r="E244" s="1144"/>
      <c r="F244" s="1144"/>
      <c r="G244" s="1144"/>
      <c r="H244" s="1144"/>
    </row>
    <row r="245" spans="1:8">
      <c r="A245" s="1144"/>
      <c r="B245" s="1144"/>
      <c r="C245" s="1144"/>
      <c r="D245" s="1144"/>
      <c r="E245" s="1144"/>
      <c r="F245" s="1144"/>
      <c r="G245" s="1144"/>
      <c r="H245" s="1144"/>
    </row>
    <row r="246" spans="1:8">
      <c r="A246" s="1145" t="s">
        <v>528</v>
      </c>
      <c r="B246" s="1144"/>
      <c r="C246" s="1144"/>
      <c r="D246" s="1144"/>
      <c r="E246" s="1144"/>
      <c r="F246" s="1144"/>
      <c r="G246" s="1144"/>
      <c r="H246" s="1144"/>
    </row>
    <row r="247" spans="1:8">
      <c r="A247" s="1145" t="s">
        <v>529</v>
      </c>
      <c r="B247" s="1144"/>
      <c r="C247" s="1144"/>
      <c r="D247" s="1144"/>
      <c r="E247" s="1144"/>
      <c r="F247" s="1144"/>
      <c r="G247" s="1144"/>
      <c r="H247" s="1144"/>
    </row>
    <row r="248" spans="1:8">
      <c r="A248" s="1144"/>
      <c r="B248" s="1144"/>
      <c r="C248" s="1144"/>
      <c r="D248" s="1144"/>
      <c r="E248" s="1144"/>
      <c r="F248" s="1144"/>
      <c r="G248" s="1144"/>
      <c r="H248" s="1144"/>
    </row>
    <row r="249" spans="1:8">
      <c r="A249" s="1145" t="s">
        <v>512</v>
      </c>
      <c r="B249" s="1144"/>
      <c r="C249" s="1144"/>
      <c r="D249" s="1144"/>
      <c r="E249" s="1144"/>
      <c r="F249" s="1144"/>
      <c r="G249" s="1144"/>
      <c r="H249" s="1144"/>
    </row>
    <row r="250" spans="1:8">
      <c r="A250" s="1145" t="s">
        <v>513</v>
      </c>
      <c r="B250" s="1144"/>
      <c r="C250" s="1144"/>
      <c r="D250" s="1144"/>
      <c r="E250" s="1144"/>
      <c r="F250" s="1144"/>
      <c r="G250" s="1144"/>
      <c r="H250" s="1144"/>
    </row>
    <row r="251" spans="1:8">
      <c r="A251" s="1145" t="s">
        <v>514</v>
      </c>
      <c r="B251" s="1144"/>
      <c r="C251" s="1144"/>
      <c r="D251" s="1144"/>
      <c r="E251" s="1144"/>
      <c r="F251" s="1144"/>
      <c r="G251" s="1144"/>
      <c r="H251" s="1144"/>
    </row>
    <row r="252" spans="1:8">
      <c r="A252" s="1145" t="s">
        <v>515</v>
      </c>
      <c r="B252" s="1144"/>
      <c r="C252" s="1144"/>
      <c r="D252" s="1144"/>
      <c r="E252" s="1144"/>
      <c r="F252" s="1144"/>
      <c r="G252" s="1144"/>
      <c r="H252" s="1144"/>
    </row>
    <row r="253" spans="1:8">
      <c r="A253" s="1145" t="s">
        <v>516</v>
      </c>
      <c r="B253" s="1144"/>
      <c r="C253" s="1144"/>
      <c r="D253" s="1144"/>
      <c r="E253" s="1144"/>
      <c r="F253" s="1144"/>
      <c r="G253" s="1144"/>
      <c r="H253" s="1144"/>
    </row>
    <row r="254" spans="1:8">
      <c r="A254" s="1145" t="s">
        <v>517</v>
      </c>
      <c r="B254" s="1144"/>
      <c r="C254" s="1144"/>
      <c r="D254" s="1144"/>
      <c r="E254" s="1144"/>
      <c r="F254" s="1144"/>
      <c r="G254" s="1144"/>
      <c r="H254" s="1144"/>
    </row>
    <row r="255" spans="1:8">
      <c r="A255" s="1145" t="s">
        <v>518</v>
      </c>
      <c r="B255" s="1144"/>
      <c r="C255" s="1144"/>
      <c r="D255" s="1144"/>
      <c r="E255" s="1144"/>
      <c r="F255" s="1144"/>
      <c r="G255" s="1144"/>
      <c r="H255" s="1144"/>
    </row>
    <row r="256" spans="1:8">
      <c r="A256" s="1145" t="s">
        <v>519</v>
      </c>
      <c r="B256" s="1144"/>
      <c r="C256" s="1144"/>
      <c r="D256" s="1144"/>
      <c r="E256" s="1144"/>
      <c r="F256" s="1144"/>
      <c r="G256" s="1144"/>
      <c r="H256" s="1144"/>
    </row>
    <row r="257" spans="1:8">
      <c r="A257" s="1145" t="s">
        <v>520</v>
      </c>
      <c r="B257" s="1144"/>
      <c r="C257" s="1144"/>
      <c r="D257" s="1144"/>
      <c r="E257" s="1144"/>
      <c r="F257" s="1144"/>
      <c r="G257" s="1144"/>
      <c r="H257" s="1144"/>
    </row>
    <row r="258" spans="1:8">
      <c r="A258" s="1145" t="s">
        <v>521</v>
      </c>
      <c r="B258" s="1144"/>
      <c r="C258" s="1144"/>
      <c r="D258" s="1144"/>
      <c r="E258" s="1144"/>
      <c r="F258" s="1144"/>
      <c r="G258" s="1144"/>
      <c r="H258" s="1144"/>
    </row>
    <row r="259" spans="1:8">
      <c r="A259" s="1145" t="s">
        <v>522</v>
      </c>
      <c r="B259" s="1144"/>
      <c r="C259" s="1144"/>
      <c r="D259" s="1144"/>
      <c r="E259" s="1144"/>
      <c r="F259" s="1144"/>
      <c r="G259" s="1144"/>
      <c r="H259" s="1144"/>
    </row>
    <row r="260" spans="1:8">
      <c r="A260" s="1145" t="s">
        <v>523</v>
      </c>
      <c r="B260" s="1144"/>
      <c r="C260" s="1144"/>
      <c r="D260" s="1144"/>
      <c r="E260" s="1144"/>
      <c r="F260" s="1144"/>
      <c r="G260" s="1144"/>
      <c r="H260" s="1144"/>
    </row>
    <row r="261" spans="1:8">
      <c r="A261" s="1145" t="s">
        <v>524</v>
      </c>
      <c r="B261" s="1144"/>
      <c r="C261" s="1144"/>
      <c r="D261" s="1144"/>
      <c r="E261" s="1144"/>
      <c r="F261" s="1144"/>
      <c r="G261" s="1144"/>
      <c r="H261" s="1144"/>
    </row>
    <row r="262" spans="1:8">
      <c r="A262" s="1145" t="s">
        <v>525</v>
      </c>
      <c r="B262" s="1144"/>
      <c r="C262" s="1144"/>
      <c r="D262" s="1144"/>
      <c r="E262" s="1144"/>
      <c r="F262" s="1144"/>
      <c r="G262" s="1144"/>
      <c r="H262" s="1144"/>
    </row>
    <row r="263" spans="1:8">
      <c r="A263" s="1145" t="s">
        <v>526</v>
      </c>
      <c r="B263" s="1144"/>
      <c r="C263" s="1144"/>
      <c r="D263" s="1144"/>
      <c r="E263" s="1144"/>
      <c r="F263" s="1144"/>
      <c r="G263" s="1144"/>
      <c r="H263" s="1144"/>
    </row>
    <row r="264" spans="1:8">
      <c r="A264" s="1145" t="s">
        <v>527</v>
      </c>
      <c r="B264" s="1144"/>
      <c r="C264" s="1144"/>
      <c r="D264" s="1144"/>
      <c r="E264" s="1144"/>
      <c r="F264" s="1144"/>
      <c r="G264" s="1144"/>
      <c r="H264" s="1144"/>
    </row>
    <row r="265" spans="1:8">
      <c r="A265" s="1144"/>
      <c r="B265" s="1144"/>
      <c r="C265" s="1144"/>
      <c r="D265" s="1144"/>
      <c r="E265" s="1144"/>
      <c r="F265" s="1144"/>
      <c r="G265" s="1144"/>
      <c r="H265" s="1144"/>
    </row>
    <row r="266" spans="1:8">
      <c r="A266" s="1145" t="s">
        <v>505</v>
      </c>
      <c r="B266" s="1144"/>
      <c r="C266" s="1144"/>
      <c r="D266" s="1144"/>
      <c r="E266" s="1144"/>
      <c r="F266" s="1144"/>
      <c r="G266" s="1144"/>
      <c r="H266" s="1144"/>
    </row>
    <row r="267" spans="1:8">
      <c r="A267" s="1145" t="s">
        <v>506</v>
      </c>
      <c r="B267" s="1144"/>
      <c r="C267" s="1144"/>
      <c r="D267" s="1144"/>
      <c r="E267" s="1144"/>
      <c r="F267" s="1144"/>
      <c r="G267" s="1144"/>
      <c r="H267" s="1144"/>
    </row>
    <row r="268" spans="1:8">
      <c r="A268" s="1145" t="s">
        <v>507</v>
      </c>
      <c r="B268" s="1144"/>
      <c r="C268" s="1144"/>
      <c r="D268" s="1144"/>
      <c r="E268" s="1144"/>
      <c r="F268" s="1144"/>
      <c r="G268" s="1144"/>
      <c r="H268" s="1144"/>
    </row>
    <row r="269" spans="1:8">
      <c r="A269" s="1145" t="s">
        <v>508</v>
      </c>
      <c r="B269" s="1144"/>
      <c r="C269" s="1144"/>
      <c r="D269" s="1144"/>
      <c r="E269" s="1144"/>
      <c r="F269" s="1144"/>
      <c r="G269" s="1144"/>
      <c r="H269" s="1144"/>
    </row>
    <row r="270" spans="1:8">
      <c r="A270" s="1145" t="s">
        <v>509</v>
      </c>
      <c r="B270" s="1144"/>
      <c r="C270" s="1144"/>
      <c r="D270" s="1144"/>
      <c r="E270" s="1144"/>
      <c r="F270" s="1144"/>
      <c r="G270" s="1144"/>
      <c r="H270" s="1144"/>
    </row>
    <row r="271" spans="1:8">
      <c r="A271" s="1145" t="s">
        <v>510</v>
      </c>
      <c r="B271" s="1144"/>
      <c r="C271" s="1144"/>
      <c r="D271" s="1144"/>
      <c r="E271" s="1144"/>
      <c r="F271" s="1144"/>
      <c r="G271" s="1144"/>
      <c r="H271" s="1144"/>
    </row>
    <row r="272" spans="1:8">
      <c r="A272" s="1145" t="s">
        <v>511</v>
      </c>
      <c r="B272" s="1144"/>
      <c r="C272" s="1144"/>
      <c r="D272" s="1144"/>
      <c r="E272" s="1144"/>
      <c r="F272" s="1144"/>
      <c r="G272" s="1144"/>
      <c r="H272" s="1144"/>
    </row>
    <row r="273" spans="1:8">
      <c r="A273" s="1144"/>
      <c r="B273" s="1144"/>
      <c r="C273" s="1144"/>
      <c r="D273" s="1144"/>
      <c r="E273" s="1144"/>
      <c r="F273" s="1144"/>
      <c r="G273" s="1144"/>
      <c r="H273" s="1144"/>
    </row>
    <row r="274" spans="1:8">
      <c r="A274" s="1145" t="s">
        <v>496</v>
      </c>
      <c r="B274" s="1144"/>
      <c r="C274" s="1144"/>
      <c r="D274" s="1144"/>
      <c r="E274" s="1144"/>
      <c r="F274" s="1144"/>
      <c r="G274" s="1144"/>
      <c r="H274" s="1144"/>
    </row>
    <row r="275" spans="1:8">
      <c r="A275" s="1145" t="s">
        <v>497</v>
      </c>
      <c r="B275" s="1144"/>
      <c r="C275" s="1144"/>
      <c r="D275" s="1144"/>
      <c r="E275" s="1144"/>
      <c r="F275" s="1144"/>
      <c r="G275" s="1144"/>
      <c r="H275" s="1144"/>
    </row>
    <row r="276" spans="1:8">
      <c r="A276" s="1145" t="s">
        <v>498</v>
      </c>
      <c r="B276" s="1144"/>
      <c r="C276" s="1144"/>
      <c r="D276" s="1144"/>
      <c r="E276" s="1144"/>
      <c r="F276" s="1144"/>
      <c r="G276" s="1144"/>
      <c r="H276" s="1144"/>
    </row>
    <row r="277" spans="1:8">
      <c r="A277" s="1145" t="s">
        <v>499</v>
      </c>
      <c r="B277" s="1144"/>
      <c r="C277" s="1144"/>
      <c r="D277" s="1144"/>
      <c r="E277" s="1144"/>
      <c r="F277" s="1144"/>
      <c r="G277" s="1144"/>
      <c r="H277" s="1144"/>
    </row>
    <row r="278" spans="1:8">
      <c r="A278" s="1145" t="s">
        <v>500</v>
      </c>
      <c r="B278" s="1144"/>
      <c r="C278" s="1144"/>
      <c r="D278" s="1144"/>
      <c r="E278" s="1144"/>
      <c r="F278" s="1144"/>
      <c r="G278" s="1144"/>
      <c r="H278" s="1144"/>
    </row>
    <row r="279" spans="1:8">
      <c r="A279" s="1145" t="s">
        <v>501</v>
      </c>
      <c r="B279" s="1144"/>
      <c r="C279" s="1144"/>
      <c r="D279" s="1144"/>
      <c r="E279" s="1144"/>
      <c r="F279" s="1144"/>
      <c r="G279" s="1144"/>
      <c r="H279" s="1144"/>
    </row>
    <row r="280" spans="1:8">
      <c r="A280" s="1145" t="s">
        <v>502</v>
      </c>
      <c r="B280" s="1144"/>
      <c r="C280" s="1144"/>
      <c r="D280" s="1144"/>
      <c r="E280" s="1144"/>
      <c r="F280" s="1144"/>
      <c r="G280" s="1144"/>
      <c r="H280" s="1144"/>
    </row>
    <row r="281" spans="1:8">
      <c r="A281" s="1145" t="s">
        <v>503</v>
      </c>
      <c r="B281" s="1144"/>
      <c r="C281" s="1144"/>
      <c r="D281" s="1144"/>
      <c r="E281" s="1144"/>
      <c r="F281" s="1144"/>
      <c r="G281" s="1144"/>
      <c r="H281" s="1144"/>
    </row>
    <row r="282" spans="1:8">
      <c r="A282" s="1145" t="s">
        <v>504</v>
      </c>
      <c r="B282" s="1144"/>
      <c r="C282" s="1144"/>
      <c r="D282" s="1144"/>
      <c r="E282" s="1144"/>
      <c r="F282" s="1144"/>
      <c r="G282" s="1144"/>
      <c r="H282" s="1144"/>
    </row>
    <row r="283" spans="1:8">
      <c r="A283" s="1144"/>
      <c r="B283" s="1144"/>
      <c r="C283" s="1144"/>
      <c r="D283" s="1144"/>
      <c r="E283" s="1144"/>
      <c r="F283" s="1144"/>
      <c r="G283" s="1144"/>
      <c r="H283" s="1144"/>
    </row>
    <row r="284" spans="1:8">
      <c r="A284" s="1145" t="s">
        <v>489</v>
      </c>
      <c r="B284" s="1144"/>
      <c r="C284" s="1144"/>
      <c r="D284" s="1144"/>
      <c r="E284" s="1144"/>
      <c r="F284" s="1144"/>
      <c r="G284" s="1144"/>
      <c r="H284" s="1144"/>
    </row>
    <row r="285" spans="1:8">
      <c r="A285" s="1145" t="s">
        <v>490</v>
      </c>
      <c r="B285" s="1144"/>
      <c r="C285" s="1144"/>
      <c r="D285" s="1144"/>
      <c r="E285" s="1144"/>
      <c r="F285" s="1144"/>
      <c r="G285" s="1144"/>
      <c r="H285" s="1144"/>
    </row>
    <row r="286" spans="1:8">
      <c r="A286" s="1145" t="s">
        <v>491</v>
      </c>
      <c r="B286" s="1144"/>
      <c r="C286" s="1144"/>
      <c r="D286" s="1144"/>
      <c r="E286" s="1144"/>
      <c r="F286" s="1144"/>
      <c r="G286" s="1144"/>
      <c r="H286" s="1144"/>
    </row>
    <row r="287" spans="1:8">
      <c r="A287" s="1145" t="s">
        <v>492</v>
      </c>
      <c r="B287" s="1144"/>
      <c r="C287" s="1144"/>
      <c r="D287" s="1144"/>
      <c r="E287" s="1144"/>
      <c r="F287" s="1144"/>
      <c r="G287" s="1144"/>
      <c r="H287" s="1144"/>
    </row>
    <row r="288" spans="1:8">
      <c r="A288" s="1145" t="s">
        <v>493</v>
      </c>
      <c r="B288" s="1144"/>
      <c r="C288" s="1144"/>
      <c r="D288" s="1144"/>
      <c r="E288" s="1144"/>
      <c r="F288" s="1144"/>
      <c r="G288" s="1144"/>
      <c r="H288" s="1144"/>
    </row>
    <row r="289" spans="1:8">
      <c r="A289" s="1145" t="s">
        <v>494</v>
      </c>
      <c r="B289" s="1144"/>
      <c r="C289" s="1144"/>
      <c r="D289" s="1144"/>
      <c r="E289" s="1144"/>
      <c r="F289" s="1144"/>
      <c r="G289" s="1144"/>
      <c r="H289" s="1144"/>
    </row>
    <row r="290" spans="1:8">
      <c r="A290" s="1145" t="s">
        <v>495</v>
      </c>
      <c r="B290" s="1144"/>
      <c r="C290" s="1144"/>
      <c r="D290" s="1144"/>
      <c r="E290" s="1144"/>
      <c r="F290" s="1144"/>
      <c r="G290" s="1144"/>
      <c r="H290" s="1144"/>
    </row>
    <row r="291" spans="1:8">
      <c r="A291" s="1144"/>
      <c r="B291" s="1144"/>
      <c r="C291" s="1144"/>
      <c r="D291" s="1144"/>
      <c r="E291" s="1144"/>
      <c r="F291" s="1144"/>
      <c r="G291" s="1144"/>
      <c r="H291" s="1144"/>
    </row>
    <row r="292" spans="1:8">
      <c r="A292" s="1145" t="s">
        <v>486</v>
      </c>
      <c r="B292" s="1144"/>
      <c r="C292" s="1144"/>
      <c r="D292" s="1144"/>
      <c r="E292" s="1144"/>
      <c r="F292" s="1144"/>
      <c r="G292" s="1144"/>
      <c r="H292" s="1144"/>
    </row>
    <row r="293" spans="1:8">
      <c r="A293" s="1145" t="s">
        <v>487</v>
      </c>
      <c r="B293" s="1144"/>
      <c r="C293" s="1144"/>
      <c r="D293" s="1144"/>
      <c r="E293" s="1144"/>
      <c r="F293" s="1144"/>
      <c r="G293" s="1144"/>
      <c r="H293" s="1144"/>
    </row>
    <row r="294" spans="1:8">
      <c r="A294" s="1145" t="s">
        <v>488</v>
      </c>
      <c r="B294" s="1144"/>
      <c r="C294" s="1144"/>
      <c r="D294" s="1144"/>
      <c r="E294" s="1144"/>
      <c r="F294" s="1144"/>
      <c r="G294" s="1144"/>
      <c r="H294" s="1144"/>
    </row>
    <row r="295" spans="1:8">
      <c r="A295" s="1144"/>
      <c r="B295" s="1144"/>
      <c r="C295" s="1144"/>
      <c r="D295" s="1144"/>
      <c r="E295" s="1144"/>
      <c r="F295" s="1144"/>
      <c r="G295" s="1144"/>
      <c r="H295" s="1144"/>
    </row>
    <row r="296" spans="1:8">
      <c r="A296" s="1145" t="s">
        <v>484</v>
      </c>
      <c r="B296" s="1144"/>
      <c r="C296" s="1144"/>
      <c r="D296" s="1144"/>
      <c r="E296" s="1144"/>
      <c r="F296" s="1144"/>
      <c r="G296" s="1144"/>
      <c r="H296" s="1144"/>
    </row>
    <row r="297" spans="1:8">
      <c r="A297" s="1145" t="s">
        <v>485</v>
      </c>
      <c r="B297" s="1144"/>
      <c r="C297" s="1144"/>
      <c r="D297" s="1144"/>
      <c r="E297" s="1144"/>
      <c r="F297" s="1144"/>
      <c r="G297" s="1144"/>
      <c r="H297" s="1144"/>
    </row>
    <row r="298" spans="1:8">
      <c r="A298" s="1144"/>
      <c r="B298" s="1144"/>
      <c r="C298" s="1144"/>
      <c r="D298" s="1144"/>
      <c r="E298" s="1144"/>
      <c r="F298" s="1144"/>
      <c r="G298" s="1144"/>
      <c r="H298" s="1144"/>
    </row>
    <row r="299" spans="1:8">
      <c r="A299" s="1145" t="s">
        <v>471</v>
      </c>
      <c r="B299" s="1144"/>
      <c r="C299" s="1144"/>
      <c r="D299" s="1144"/>
      <c r="E299" s="1144"/>
      <c r="F299" s="1144"/>
      <c r="G299" s="1144"/>
      <c r="H299" s="1144"/>
    </row>
    <row r="300" spans="1:8">
      <c r="A300" s="1145" t="s">
        <v>472</v>
      </c>
      <c r="B300" s="1144"/>
      <c r="C300" s="1144"/>
      <c r="D300" s="1144"/>
      <c r="E300" s="1144"/>
      <c r="F300" s="1144"/>
      <c r="G300" s="1144"/>
      <c r="H300" s="1144"/>
    </row>
    <row r="301" spans="1:8">
      <c r="A301" s="1145" t="s">
        <v>473</v>
      </c>
      <c r="B301" s="1144"/>
      <c r="C301" s="1144"/>
      <c r="D301" s="1144"/>
      <c r="E301" s="1144"/>
      <c r="F301" s="1144"/>
      <c r="G301" s="1144"/>
      <c r="H301" s="1144"/>
    </row>
    <row r="302" spans="1:8">
      <c r="A302" s="1145" t="s">
        <v>474</v>
      </c>
      <c r="B302" s="1144"/>
      <c r="C302" s="1144"/>
      <c r="D302" s="1144"/>
      <c r="E302" s="1144"/>
      <c r="F302" s="1144"/>
      <c r="G302" s="1144"/>
      <c r="H302" s="1144"/>
    </row>
    <row r="303" spans="1:8">
      <c r="A303" s="1145" t="s">
        <v>475</v>
      </c>
      <c r="B303" s="1144"/>
      <c r="C303" s="1144"/>
      <c r="D303" s="1144"/>
      <c r="E303" s="1144"/>
      <c r="F303" s="1144"/>
      <c r="G303" s="1144"/>
      <c r="H303" s="1144"/>
    </row>
    <row r="304" spans="1:8">
      <c r="A304" s="1145" t="s">
        <v>476</v>
      </c>
      <c r="B304" s="1144"/>
      <c r="C304" s="1144"/>
      <c r="D304" s="1144"/>
      <c r="E304" s="1144"/>
      <c r="F304" s="1144"/>
      <c r="G304" s="1144"/>
      <c r="H304" s="1144"/>
    </row>
    <row r="305" spans="1:8">
      <c r="A305" s="1145" t="s">
        <v>477</v>
      </c>
      <c r="B305" s="1144"/>
      <c r="C305" s="1144"/>
      <c r="D305" s="1144"/>
      <c r="E305" s="1144"/>
      <c r="F305" s="1144"/>
      <c r="G305" s="1144"/>
      <c r="H305" s="1144"/>
    </row>
    <row r="306" spans="1:8">
      <c r="A306" s="1145" t="s">
        <v>478</v>
      </c>
      <c r="B306" s="1144"/>
      <c r="C306" s="1144"/>
      <c r="D306" s="1144"/>
      <c r="E306" s="1144"/>
      <c r="F306" s="1144"/>
      <c r="G306" s="1144"/>
      <c r="H306" s="1144"/>
    </row>
    <row r="307" spans="1:8">
      <c r="A307" s="1145" t="s">
        <v>479</v>
      </c>
      <c r="B307" s="1144"/>
      <c r="C307" s="1144"/>
      <c r="D307" s="1144"/>
      <c r="E307" s="1144"/>
      <c r="F307" s="1144"/>
      <c r="G307" s="1144"/>
      <c r="H307" s="1144"/>
    </row>
    <row r="308" spans="1:8">
      <c r="A308" s="1145" t="s">
        <v>480</v>
      </c>
      <c r="B308" s="1144"/>
      <c r="C308" s="1144"/>
      <c r="D308" s="1144"/>
      <c r="E308" s="1144"/>
      <c r="F308" s="1144"/>
      <c r="G308" s="1144"/>
      <c r="H308" s="1144"/>
    </row>
    <row r="309" spans="1:8">
      <c r="A309" s="1145" t="s">
        <v>481</v>
      </c>
      <c r="B309" s="1144"/>
      <c r="C309" s="1144"/>
      <c r="D309" s="1144"/>
      <c r="E309" s="1144"/>
      <c r="F309" s="1144"/>
      <c r="G309" s="1144"/>
      <c r="H309" s="1144"/>
    </row>
    <row r="310" spans="1:8">
      <c r="A310" s="1145" t="s">
        <v>482</v>
      </c>
      <c r="B310" s="1144"/>
      <c r="C310" s="1144"/>
      <c r="D310" s="1144"/>
      <c r="E310" s="1144"/>
      <c r="F310" s="1144"/>
      <c r="G310" s="1144"/>
      <c r="H310" s="1144"/>
    </row>
    <row r="311" spans="1:8">
      <c r="A311" s="1145" t="s">
        <v>483</v>
      </c>
      <c r="B311" s="1144"/>
      <c r="C311" s="1144"/>
      <c r="D311" s="1144"/>
      <c r="E311" s="1144"/>
      <c r="F311" s="1144"/>
      <c r="G311" s="1144"/>
      <c r="H311" s="1144"/>
    </row>
    <row r="312" spans="1:8">
      <c r="A312" s="1144"/>
      <c r="B312" s="1144"/>
      <c r="C312" s="1144"/>
      <c r="D312" s="1144"/>
      <c r="E312" s="1144"/>
      <c r="F312" s="1144"/>
      <c r="G312" s="1144"/>
      <c r="H312" s="1144"/>
    </row>
    <row r="313" spans="1:8">
      <c r="A313" s="1145" t="s">
        <v>463</v>
      </c>
      <c r="B313" s="1144"/>
      <c r="C313" s="1144"/>
      <c r="D313" s="1144"/>
      <c r="E313" s="1144"/>
      <c r="F313" s="1144"/>
      <c r="G313" s="1144"/>
      <c r="H313" s="1144"/>
    </row>
    <row r="314" spans="1:8">
      <c r="A314" s="1145" t="s">
        <v>464</v>
      </c>
      <c r="B314" s="1144"/>
      <c r="C314" s="1144"/>
      <c r="D314" s="1144"/>
      <c r="E314" s="1144"/>
      <c r="F314" s="1144"/>
      <c r="G314" s="1144"/>
      <c r="H314" s="1144"/>
    </row>
    <row r="315" spans="1:8">
      <c r="A315" s="1145" t="s">
        <v>465</v>
      </c>
      <c r="B315" s="1144"/>
      <c r="C315" s="1144"/>
      <c r="D315" s="1144"/>
      <c r="E315" s="1144"/>
      <c r="F315" s="1144"/>
      <c r="G315" s="1144"/>
      <c r="H315" s="1144"/>
    </row>
    <row r="316" spans="1:8">
      <c r="A316" s="1145" t="s">
        <v>466</v>
      </c>
      <c r="B316" s="1144"/>
      <c r="C316" s="1144"/>
      <c r="D316" s="1144"/>
      <c r="E316" s="1144"/>
      <c r="F316" s="1144"/>
      <c r="G316" s="1144"/>
      <c r="H316" s="1144"/>
    </row>
    <row r="317" spans="1:8">
      <c r="A317" s="1145" t="s">
        <v>467</v>
      </c>
      <c r="B317" s="1144"/>
      <c r="C317" s="1144"/>
      <c r="D317" s="1144"/>
      <c r="E317" s="1144"/>
      <c r="F317" s="1144"/>
      <c r="G317" s="1144"/>
      <c r="H317" s="1144"/>
    </row>
    <row r="318" spans="1:8">
      <c r="A318" s="1145" t="s">
        <v>468</v>
      </c>
      <c r="B318" s="1144"/>
      <c r="C318" s="1144"/>
      <c r="D318" s="1144"/>
      <c r="E318" s="1144"/>
      <c r="F318" s="1144"/>
      <c r="G318" s="1144"/>
      <c r="H318" s="1144"/>
    </row>
    <row r="319" spans="1:8">
      <c r="A319" s="1145" t="s">
        <v>469</v>
      </c>
      <c r="B319" s="1144"/>
      <c r="C319" s="1144"/>
      <c r="D319" s="1144"/>
      <c r="E319" s="1144"/>
      <c r="F319" s="1144"/>
      <c r="G319" s="1144"/>
      <c r="H319" s="1144"/>
    </row>
    <row r="320" spans="1:8">
      <c r="A320" s="1145" t="s">
        <v>470</v>
      </c>
      <c r="B320" s="1144"/>
      <c r="C320" s="1144"/>
      <c r="D320" s="1144"/>
      <c r="E320" s="1144"/>
      <c r="F320" s="1144"/>
      <c r="G320" s="1144"/>
      <c r="H320" s="1144"/>
    </row>
    <row r="321" spans="1:8">
      <c r="A321" s="1144"/>
      <c r="B321" s="1144"/>
      <c r="C321" s="1144"/>
      <c r="D321" s="1144"/>
      <c r="E321" s="1144"/>
      <c r="F321" s="1144"/>
      <c r="G321" s="1144"/>
      <c r="H321" s="1144"/>
    </row>
    <row r="322" spans="1:8">
      <c r="A322" s="1145" t="s">
        <v>428</v>
      </c>
      <c r="B322" s="1144"/>
      <c r="C322" s="1144"/>
      <c r="D322" s="1144"/>
      <c r="E322" s="1144"/>
      <c r="F322" s="1144"/>
      <c r="G322" s="1144"/>
      <c r="H322" s="1144"/>
    </row>
    <row r="323" spans="1:8">
      <c r="A323" s="1145" t="s">
        <v>429</v>
      </c>
      <c r="B323" s="1144"/>
      <c r="C323" s="1144"/>
      <c r="D323" s="1144"/>
      <c r="E323" s="1144"/>
      <c r="F323" s="1144"/>
      <c r="G323" s="1144"/>
      <c r="H323" s="1144"/>
    </row>
    <row r="324" spans="1:8">
      <c r="A324" s="1145" t="s">
        <v>430</v>
      </c>
      <c r="B324" s="1144"/>
      <c r="C324" s="1144"/>
      <c r="D324" s="1144"/>
      <c r="E324" s="1144"/>
      <c r="F324" s="1144"/>
      <c r="G324" s="1144"/>
      <c r="H324" s="1144"/>
    </row>
    <row r="325" spans="1:8">
      <c r="A325" s="1145" t="s">
        <v>431</v>
      </c>
      <c r="B325" s="1144"/>
      <c r="C325" s="1144"/>
      <c r="D325" s="1144"/>
      <c r="E325" s="1144"/>
      <c r="F325" s="1144"/>
      <c r="G325" s="1144"/>
      <c r="H325" s="1144"/>
    </row>
    <row r="326" spans="1:8">
      <c r="A326" s="1145" t="s">
        <v>432</v>
      </c>
      <c r="B326" s="1144"/>
      <c r="C326" s="1144"/>
      <c r="D326" s="1144"/>
      <c r="E326" s="1144"/>
      <c r="F326" s="1144"/>
      <c r="G326" s="1144"/>
      <c r="H326" s="1144"/>
    </row>
    <row r="327" spans="1:8">
      <c r="A327" s="1145" t="s">
        <v>433</v>
      </c>
      <c r="B327" s="1144"/>
      <c r="C327" s="1144"/>
      <c r="D327" s="1144"/>
      <c r="E327" s="1144"/>
      <c r="F327" s="1144"/>
      <c r="G327" s="1144"/>
      <c r="H327" s="1144"/>
    </row>
    <row r="328" spans="1:8">
      <c r="A328" s="1145" t="s">
        <v>434</v>
      </c>
      <c r="B328" s="1144"/>
      <c r="C328" s="1144"/>
      <c r="D328" s="1144"/>
      <c r="E328" s="1144"/>
      <c r="F328" s="1144"/>
      <c r="G328" s="1144"/>
      <c r="H328" s="1144"/>
    </row>
    <row r="329" spans="1:8">
      <c r="A329" s="1145" t="s">
        <v>435</v>
      </c>
      <c r="B329" s="1144"/>
      <c r="C329" s="1144"/>
      <c r="D329" s="1144"/>
      <c r="E329" s="1144"/>
      <c r="F329" s="1144"/>
      <c r="G329" s="1144"/>
      <c r="H329" s="1144"/>
    </row>
    <row r="330" spans="1:8">
      <c r="A330" s="1145" t="s">
        <v>436</v>
      </c>
      <c r="B330" s="1144"/>
      <c r="C330" s="1144"/>
      <c r="D330" s="1144"/>
      <c r="E330" s="1144"/>
      <c r="F330" s="1144"/>
      <c r="G330" s="1144"/>
      <c r="H330" s="1144"/>
    </row>
    <row r="331" spans="1:8">
      <c r="A331" s="1145" t="s">
        <v>437</v>
      </c>
      <c r="B331" s="1144"/>
      <c r="C331" s="1144"/>
      <c r="D331" s="1144"/>
      <c r="E331" s="1144"/>
      <c r="F331" s="1144"/>
      <c r="G331" s="1144"/>
      <c r="H331" s="1144"/>
    </row>
    <row r="332" spans="1:8">
      <c r="A332" s="1145" t="s">
        <v>438</v>
      </c>
      <c r="B332" s="1144"/>
      <c r="C332" s="1144"/>
      <c r="D332" s="1144"/>
      <c r="E332" s="1144"/>
      <c r="F332" s="1144"/>
      <c r="G332" s="1144"/>
      <c r="H332" s="1144"/>
    </row>
    <row r="333" spans="1:8">
      <c r="A333" s="1145" t="s">
        <v>439</v>
      </c>
      <c r="B333" s="1144"/>
      <c r="C333" s="1144"/>
      <c r="D333" s="1144"/>
      <c r="E333" s="1144"/>
      <c r="F333" s="1144"/>
      <c r="G333" s="1144"/>
      <c r="H333" s="1144"/>
    </row>
    <row r="334" spans="1:8">
      <c r="A334" s="1145" t="s">
        <v>440</v>
      </c>
      <c r="B334" s="1144"/>
      <c r="C334" s="1144"/>
      <c r="D334" s="1144"/>
      <c r="E334" s="1144"/>
      <c r="F334" s="1144"/>
      <c r="G334" s="1144"/>
      <c r="H334" s="1144"/>
    </row>
    <row r="335" spans="1:8">
      <c r="A335" s="1145" t="s">
        <v>441</v>
      </c>
      <c r="B335" s="1144"/>
      <c r="C335" s="1144"/>
      <c r="D335" s="1144"/>
      <c r="E335" s="1144"/>
      <c r="F335" s="1144"/>
      <c r="G335" s="1144"/>
      <c r="H335" s="1144"/>
    </row>
    <row r="336" spans="1:8">
      <c r="A336" s="1145" t="s">
        <v>442</v>
      </c>
      <c r="B336" s="1144"/>
      <c r="C336" s="1144"/>
      <c r="D336" s="1144"/>
      <c r="E336" s="1144"/>
      <c r="F336" s="1144"/>
      <c r="G336" s="1144"/>
      <c r="H336" s="1144"/>
    </row>
    <row r="337" spans="1:8">
      <c r="A337" s="1145" t="s">
        <v>443</v>
      </c>
      <c r="B337" s="1144"/>
      <c r="C337" s="1144"/>
      <c r="D337" s="1144"/>
      <c r="E337" s="1144"/>
      <c r="F337" s="1144"/>
      <c r="G337" s="1144"/>
      <c r="H337" s="1144"/>
    </row>
    <row r="338" spans="1:8">
      <c r="A338" s="1145" t="s">
        <v>444</v>
      </c>
      <c r="B338" s="1144"/>
      <c r="C338" s="1144"/>
      <c r="D338" s="1144"/>
      <c r="E338" s="1144"/>
      <c r="F338" s="1144"/>
      <c r="G338" s="1144"/>
      <c r="H338" s="1144"/>
    </row>
    <row r="339" spans="1:8">
      <c r="A339" s="1145" t="s">
        <v>445</v>
      </c>
      <c r="B339" s="1144"/>
      <c r="C339" s="1144"/>
      <c r="D339" s="1144"/>
      <c r="E339" s="1144"/>
      <c r="F339" s="1144"/>
      <c r="G339" s="1144"/>
      <c r="H339" s="1144"/>
    </row>
    <row r="340" spans="1:8">
      <c r="A340" s="1145" t="s">
        <v>446</v>
      </c>
      <c r="B340" s="1144"/>
      <c r="C340" s="1144"/>
      <c r="D340" s="1144"/>
      <c r="E340" s="1144"/>
      <c r="F340" s="1144"/>
      <c r="G340" s="1144"/>
      <c r="H340" s="1144"/>
    </row>
    <row r="341" spans="1:8">
      <c r="A341" s="1145" t="s">
        <v>447</v>
      </c>
      <c r="B341" s="1144"/>
      <c r="C341" s="1144"/>
      <c r="D341" s="1144"/>
      <c r="E341" s="1144"/>
      <c r="F341" s="1144"/>
      <c r="G341" s="1144"/>
      <c r="H341" s="1144"/>
    </row>
    <row r="342" spans="1:8">
      <c r="A342" s="1145" t="s">
        <v>448</v>
      </c>
      <c r="B342" s="1144"/>
      <c r="C342" s="1144"/>
      <c r="D342" s="1144"/>
      <c r="E342" s="1144"/>
      <c r="F342" s="1144"/>
      <c r="G342" s="1144"/>
      <c r="H342" s="1144"/>
    </row>
    <row r="343" spans="1:8">
      <c r="A343" s="1145" t="s">
        <v>449</v>
      </c>
      <c r="B343" s="1144"/>
      <c r="C343" s="1144"/>
      <c r="D343" s="1144"/>
      <c r="E343" s="1144"/>
      <c r="F343" s="1144"/>
      <c r="G343" s="1144"/>
      <c r="H343" s="1144"/>
    </row>
    <row r="344" spans="1:8">
      <c r="A344" s="1145" t="s">
        <v>450</v>
      </c>
      <c r="B344" s="1144"/>
      <c r="C344" s="1144"/>
      <c r="D344" s="1144"/>
      <c r="E344" s="1144"/>
      <c r="F344" s="1144"/>
      <c r="G344" s="1144"/>
      <c r="H344" s="1144"/>
    </row>
    <row r="345" spans="1:8">
      <c r="A345" s="1145" t="s">
        <v>451</v>
      </c>
      <c r="B345" s="1144"/>
      <c r="C345" s="1144"/>
      <c r="D345" s="1144"/>
      <c r="E345" s="1144"/>
      <c r="F345" s="1144"/>
      <c r="G345" s="1144"/>
      <c r="H345" s="1144"/>
    </row>
    <row r="346" spans="1:8">
      <c r="A346" s="1145" t="s">
        <v>452</v>
      </c>
      <c r="B346" s="1144"/>
      <c r="C346" s="1144"/>
      <c r="D346" s="1144"/>
      <c r="E346" s="1144"/>
      <c r="F346" s="1144"/>
      <c r="G346" s="1144"/>
      <c r="H346" s="1144"/>
    </row>
    <row r="347" spans="1:8">
      <c r="A347" s="1145" t="s">
        <v>453</v>
      </c>
      <c r="B347" s="1144"/>
      <c r="C347" s="1144"/>
      <c r="D347" s="1144"/>
      <c r="E347" s="1144"/>
      <c r="F347" s="1144"/>
      <c r="G347" s="1144"/>
      <c r="H347" s="1144"/>
    </row>
    <row r="348" spans="1:8">
      <c r="A348" s="1145" t="s">
        <v>454</v>
      </c>
      <c r="B348" s="1144"/>
      <c r="C348" s="1144"/>
      <c r="D348" s="1144"/>
      <c r="E348" s="1144"/>
      <c r="F348" s="1144"/>
      <c r="G348" s="1144"/>
      <c r="H348" s="1144"/>
    </row>
    <row r="349" spans="1:8">
      <c r="A349" s="1145" t="s">
        <v>455</v>
      </c>
      <c r="B349" s="1144"/>
      <c r="C349" s="1144"/>
      <c r="D349" s="1144"/>
      <c r="E349" s="1144"/>
      <c r="F349" s="1144"/>
      <c r="G349" s="1144"/>
      <c r="H349" s="1144"/>
    </row>
    <row r="350" spans="1:8">
      <c r="A350" s="1145" t="s">
        <v>456</v>
      </c>
      <c r="B350" s="1144"/>
      <c r="C350" s="1144"/>
      <c r="D350" s="1144"/>
      <c r="E350" s="1144"/>
      <c r="F350" s="1144"/>
      <c r="G350" s="1144"/>
      <c r="H350" s="1144"/>
    </row>
    <row r="351" spans="1:8">
      <c r="A351" s="1145" t="s">
        <v>457</v>
      </c>
      <c r="B351" s="1144"/>
      <c r="C351" s="1144"/>
      <c r="D351" s="1144"/>
      <c r="E351" s="1144"/>
      <c r="F351" s="1144"/>
      <c r="G351" s="1144"/>
      <c r="H351" s="1144"/>
    </row>
    <row r="352" spans="1:8">
      <c r="A352" s="1145" t="s">
        <v>458</v>
      </c>
      <c r="B352" s="1144"/>
      <c r="C352" s="1144"/>
      <c r="D352" s="1144"/>
      <c r="E352" s="1144"/>
      <c r="F352" s="1144"/>
      <c r="G352" s="1144"/>
      <c r="H352" s="1144"/>
    </row>
    <row r="353" spans="1:8">
      <c r="A353" s="1145" t="s">
        <v>459</v>
      </c>
      <c r="B353" s="1144"/>
      <c r="C353" s="1144"/>
      <c r="D353" s="1144"/>
      <c r="E353" s="1144"/>
      <c r="F353" s="1144"/>
      <c r="G353" s="1144"/>
      <c r="H353" s="1144"/>
    </row>
    <row r="354" spans="1:8">
      <c r="A354" s="1145" t="s">
        <v>460</v>
      </c>
      <c r="B354" s="1144"/>
      <c r="C354" s="1144"/>
      <c r="D354" s="1144"/>
      <c r="E354" s="1144"/>
      <c r="F354" s="1144"/>
      <c r="G354" s="1144"/>
      <c r="H354" s="1144"/>
    </row>
    <row r="355" spans="1:8">
      <c r="A355" s="1145" t="s">
        <v>461</v>
      </c>
      <c r="B355" s="1144"/>
      <c r="C355" s="1144"/>
      <c r="D355" s="1144"/>
      <c r="E355" s="1144"/>
      <c r="F355" s="1144"/>
      <c r="G355" s="1144"/>
      <c r="H355" s="1144"/>
    </row>
    <row r="356" spans="1:8">
      <c r="A356" s="1145" t="s">
        <v>462</v>
      </c>
      <c r="B356" s="1144"/>
      <c r="C356" s="1144"/>
      <c r="D356" s="1144"/>
      <c r="E356" s="1144"/>
      <c r="F356" s="1144"/>
      <c r="G356" s="1144"/>
      <c r="H356" s="1144"/>
    </row>
    <row r="357" spans="1:8">
      <c r="A357" s="1144"/>
      <c r="B357" s="1144"/>
      <c r="C357" s="1144"/>
      <c r="D357" s="1144"/>
      <c r="E357" s="1144"/>
      <c r="F357" s="1144"/>
      <c r="G357" s="1144"/>
      <c r="H357" s="1144"/>
    </row>
    <row r="358" spans="1:8">
      <c r="A358" s="1145" t="s">
        <v>420</v>
      </c>
      <c r="B358" s="1144"/>
      <c r="C358" s="1144"/>
      <c r="D358" s="1144"/>
      <c r="E358" s="1144"/>
      <c r="F358" s="1144"/>
      <c r="G358" s="1144"/>
      <c r="H358" s="1144"/>
    </row>
    <row r="359" spans="1:8">
      <c r="A359" s="1145" t="s">
        <v>424</v>
      </c>
      <c r="B359" s="1144"/>
      <c r="C359" s="1144"/>
      <c r="D359" s="1144"/>
      <c r="E359" s="1144"/>
      <c r="F359" s="1144"/>
      <c r="G359" s="1144"/>
      <c r="H359" s="1144"/>
    </row>
    <row r="360" spans="1:8">
      <c r="A360" s="1145" t="s">
        <v>425</v>
      </c>
      <c r="B360" s="1144"/>
      <c r="C360" s="1144"/>
      <c r="D360" s="1144"/>
      <c r="E360" s="1144"/>
      <c r="F360" s="1144"/>
      <c r="G360" s="1144"/>
      <c r="H360" s="1144"/>
    </row>
    <row r="361" spans="1:8">
      <c r="A361" s="1145" t="s">
        <v>426</v>
      </c>
      <c r="B361" s="1144"/>
      <c r="C361" s="1144"/>
      <c r="D361" s="1144"/>
      <c r="E361" s="1144"/>
      <c r="F361" s="1144"/>
      <c r="G361" s="1144"/>
      <c r="H361" s="1144"/>
    </row>
    <row r="362" spans="1:8">
      <c r="A362" s="1145" t="s">
        <v>427</v>
      </c>
      <c r="B362" s="1144"/>
      <c r="C362" s="1144"/>
      <c r="D362" s="1144"/>
      <c r="E362" s="1144"/>
      <c r="F362" s="1144"/>
      <c r="G362" s="1144"/>
      <c r="H362" s="1144"/>
    </row>
    <row r="363" spans="1:8">
      <c r="A363" s="1144"/>
      <c r="B363" s="1144"/>
      <c r="C363" s="1144"/>
      <c r="D363" s="1144"/>
      <c r="E363" s="1144"/>
      <c r="F363" s="1144"/>
      <c r="G363" s="1144"/>
      <c r="H363" s="1144"/>
    </row>
    <row r="364" spans="1:8">
      <c r="A364" s="1145" t="s">
        <v>420</v>
      </c>
      <c r="B364" s="1144"/>
      <c r="C364" s="1144"/>
      <c r="D364" s="1144"/>
      <c r="E364" s="1144"/>
      <c r="F364" s="1144"/>
      <c r="G364" s="1144"/>
      <c r="H364" s="1144"/>
    </row>
    <row r="365" spans="1:8">
      <c r="A365" s="1145" t="s">
        <v>421</v>
      </c>
      <c r="B365" s="1144"/>
      <c r="C365" s="1144"/>
      <c r="D365" s="1144"/>
      <c r="E365" s="1144"/>
      <c r="F365" s="1144"/>
      <c r="G365" s="1144"/>
      <c r="H365" s="1144"/>
    </row>
    <row r="366" spans="1:8">
      <c r="A366" s="1145" t="s">
        <v>422</v>
      </c>
      <c r="B366" s="1144"/>
      <c r="C366" s="1144"/>
      <c r="D366" s="1144"/>
      <c r="E366" s="1144"/>
      <c r="F366" s="1144"/>
      <c r="G366" s="1144"/>
      <c r="H366" s="1144"/>
    </row>
    <row r="367" spans="1:8">
      <c r="A367" s="1145" t="s">
        <v>423</v>
      </c>
      <c r="B367" s="1144"/>
      <c r="C367" s="1144"/>
      <c r="D367" s="1144"/>
      <c r="E367" s="1144"/>
      <c r="F367" s="1144"/>
      <c r="G367" s="1144"/>
      <c r="H367" s="1144"/>
    </row>
    <row r="368" spans="1:8">
      <c r="A368" s="1144"/>
      <c r="B368" s="1144"/>
      <c r="C368" s="1144"/>
      <c r="D368" s="1144"/>
      <c r="E368" s="1144"/>
      <c r="F368" s="1144"/>
      <c r="G368" s="1144"/>
      <c r="H368" s="1144"/>
    </row>
    <row r="369" spans="1:8">
      <c r="A369" s="1145" t="s">
        <v>414</v>
      </c>
      <c r="B369" s="1144"/>
      <c r="C369" s="1144"/>
      <c r="D369" s="1144"/>
      <c r="E369" s="1144"/>
      <c r="F369" s="1144"/>
      <c r="G369" s="1144"/>
      <c r="H369" s="1144"/>
    </row>
    <row r="370" spans="1:8">
      <c r="A370" s="1145" t="s">
        <v>415</v>
      </c>
      <c r="B370" s="1144"/>
      <c r="C370" s="1144"/>
      <c r="D370" s="1144"/>
      <c r="E370" s="1144"/>
      <c r="F370" s="1144"/>
      <c r="G370" s="1144"/>
      <c r="H370" s="1144"/>
    </row>
    <row r="371" spans="1:8">
      <c r="A371" s="1145" t="s">
        <v>416</v>
      </c>
      <c r="B371" s="1144"/>
      <c r="C371" s="1144"/>
      <c r="D371" s="1144"/>
      <c r="E371" s="1144"/>
      <c r="F371" s="1144"/>
      <c r="G371" s="1144"/>
      <c r="H371" s="1144"/>
    </row>
    <row r="372" spans="1:8">
      <c r="A372" s="1145" t="s">
        <v>417</v>
      </c>
      <c r="B372" s="1144"/>
      <c r="C372" s="1144"/>
      <c r="D372" s="1144"/>
      <c r="E372" s="1144"/>
      <c r="F372" s="1144"/>
      <c r="G372" s="1144"/>
      <c r="H372" s="1144"/>
    </row>
    <row r="373" spans="1:8">
      <c r="A373" s="1145" t="s">
        <v>418</v>
      </c>
      <c r="B373" s="1144"/>
      <c r="C373" s="1144"/>
      <c r="D373" s="1144"/>
      <c r="E373" s="1144"/>
      <c r="F373" s="1144"/>
      <c r="G373" s="1144"/>
      <c r="H373" s="1144"/>
    </row>
    <row r="374" spans="1:8">
      <c r="A374" s="1145" t="s">
        <v>419</v>
      </c>
      <c r="B374" s="1144"/>
      <c r="C374" s="1144"/>
      <c r="D374" s="1144"/>
      <c r="E374" s="1144"/>
      <c r="F374" s="1144"/>
      <c r="G374" s="1144"/>
      <c r="H374" s="1144"/>
    </row>
    <row r="375" spans="1:8">
      <c r="A375" s="1144"/>
      <c r="B375" s="1144"/>
      <c r="C375" s="1144"/>
      <c r="D375" s="1144"/>
      <c r="E375" s="1144"/>
      <c r="F375" s="1144"/>
      <c r="G375" s="1144"/>
      <c r="H375" s="1144"/>
    </row>
    <row r="376" spans="1:8">
      <c r="A376" s="1145" t="s">
        <v>409</v>
      </c>
      <c r="B376" s="1144"/>
      <c r="C376" s="1144"/>
      <c r="D376" s="1144"/>
      <c r="E376" s="1144"/>
      <c r="F376" s="1144"/>
      <c r="G376" s="1144"/>
      <c r="H376" s="1144"/>
    </row>
    <row r="377" spans="1:8">
      <c r="A377" s="1145" t="s">
        <v>410</v>
      </c>
      <c r="B377" s="1144"/>
      <c r="C377" s="1144"/>
      <c r="D377" s="1144"/>
      <c r="E377" s="1144"/>
      <c r="F377" s="1144"/>
      <c r="G377" s="1144"/>
      <c r="H377" s="1144"/>
    </row>
    <row r="378" spans="1:8">
      <c r="A378" s="1145" t="s">
        <v>411</v>
      </c>
      <c r="B378" s="1144"/>
      <c r="C378" s="1144"/>
      <c r="D378" s="1144"/>
      <c r="E378" s="1144"/>
      <c r="F378" s="1144"/>
      <c r="G378" s="1144"/>
      <c r="H378" s="1144"/>
    </row>
    <row r="379" spans="1:8">
      <c r="A379" s="1145" t="s">
        <v>412</v>
      </c>
      <c r="B379" s="1144"/>
      <c r="C379" s="1144"/>
      <c r="D379" s="1144"/>
      <c r="E379" s="1144"/>
      <c r="F379" s="1144"/>
      <c r="G379" s="1144"/>
      <c r="H379" s="1144"/>
    </row>
    <row r="380" spans="1:8">
      <c r="A380" s="1145" t="s">
        <v>413</v>
      </c>
      <c r="B380" s="1144"/>
      <c r="C380" s="1144"/>
      <c r="D380" s="1144"/>
      <c r="E380" s="1144"/>
      <c r="F380" s="1144"/>
      <c r="G380" s="1144"/>
      <c r="H380" s="1144"/>
    </row>
    <row r="381" spans="1:8">
      <c r="A381" s="1144"/>
      <c r="B381" s="1144"/>
      <c r="C381" s="1144"/>
      <c r="D381" s="1144"/>
      <c r="E381" s="1144"/>
      <c r="F381" s="1144"/>
      <c r="G381" s="1144"/>
      <c r="H381" s="1144"/>
    </row>
    <row r="382" spans="1:8">
      <c r="A382" s="1145" t="s">
        <v>407</v>
      </c>
      <c r="B382" s="1144"/>
      <c r="C382" s="1144"/>
      <c r="D382" s="1144"/>
      <c r="E382" s="1144"/>
      <c r="F382" s="1144"/>
      <c r="G382" s="1144"/>
      <c r="H382" s="1144"/>
    </row>
    <row r="383" spans="1:8">
      <c r="A383" s="1145" t="s">
        <v>408</v>
      </c>
      <c r="B383" s="1144"/>
      <c r="C383" s="1144"/>
      <c r="D383" s="1144"/>
      <c r="E383" s="1144"/>
      <c r="F383" s="1144"/>
      <c r="G383" s="1144"/>
      <c r="H383" s="1144"/>
    </row>
    <row r="385" spans="1:1">
      <c r="A385" s="1140" t="s">
        <v>659</v>
      </c>
    </row>
  </sheetData>
  <mergeCells count="12">
    <mergeCell ref="A126:H126"/>
    <mergeCell ref="A127:H127"/>
    <mergeCell ref="B119:C119"/>
    <mergeCell ref="D119:F119"/>
    <mergeCell ref="G119:H119"/>
    <mergeCell ref="A105:H105"/>
    <mergeCell ref="A106:H106"/>
    <mergeCell ref="A107:H107"/>
    <mergeCell ref="A108:H108"/>
    <mergeCell ref="A110:H110"/>
    <mergeCell ref="A111:H111"/>
    <mergeCell ref="A118:H11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3333FF"/>
    <pageSetUpPr autoPageBreaks="0" fitToPage="1"/>
  </sheetPr>
  <dimension ref="A1:DZ253"/>
  <sheetViews>
    <sheetView showGridLines="0" zoomScaleNormal="100" workbookViewId="0">
      <pane xSplit="6" ySplit="8" topLeftCell="CM9" activePane="bottomRight" state="frozen"/>
      <selection pane="topRight" activeCell="G1" sqref="G1"/>
      <selection pane="bottomLeft" activeCell="A9" sqref="A9"/>
      <selection pane="bottomRight" activeCell="CM9" sqref="CM9"/>
    </sheetView>
  </sheetViews>
  <sheetFormatPr defaultRowHeight="12.75" outlineLevelRow="2" outlineLevelCol="2"/>
  <cols>
    <col min="1" max="4" width="2.140625" style="619" customWidth="1"/>
    <col min="5" max="5" width="30.5703125" style="619" customWidth="1"/>
    <col min="6" max="6" width="3.42578125" style="619" customWidth="1"/>
    <col min="7" max="10" width="8.5703125" style="1" hidden="1" customWidth="1" outlineLevel="2"/>
    <col min="11" max="11" width="9.140625" style="1" hidden="1" customWidth="1" outlineLevel="1"/>
    <col min="12" max="15" width="8.5703125" style="1" hidden="1" customWidth="1" outlineLevel="2"/>
    <col min="16" max="16" width="9.140625" style="1" hidden="1" customWidth="1" outlineLevel="1"/>
    <col min="17" max="20" width="8.5703125" style="1" hidden="1" customWidth="1" outlineLevel="2"/>
    <col min="21" max="21" width="9.140625" style="1" hidden="1" customWidth="1" outlineLevel="1"/>
    <col min="22" max="25" width="8.5703125" style="1" hidden="1" customWidth="1" outlineLevel="2"/>
    <col min="26" max="26" width="9.140625" style="1" hidden="1" customWidth="1" outlineLevel="1"/>
    <col min="27" max="30" width="8.5703125" style="1" hidden="1" customWidth="1" outlineLevel="2"/>
    <col min="31" max="31" width="9.140625" style="1" hidden="1" customWidth="1" outlineLevel="1"/>
    <col min="32" max="35" width="8.5703125" style="1" hidden="1" customWidth="1" outlineLevel="2"/>
    <col min="36" max="36" width="9.140625" style="1" hidden="1" customWidth="1" outlineLevel="1"/>
    <col min="37" max="40" width="8.5703125" style="1" hidden="1" customWidth="1" outlineLevel="2"/>
    <col min="41" max="41" width="9.140625" style="1" hidden="1" customWidth="1" outlineLevel="1"/>
    <col min="42" max="45" width="8.5703125" style="1" hidden="1" customWidth="1" outlineLevel="2"/>
    <col min="46" max="46" width="9.140625" style="1" hidden="1" customWidth="1" outlineLevel="1"/>
    <col min="47" max="50" width="8.5703125" style="1" hidden="1" customWidth="1" outlineLevel="2"/>
    <col min="51" max="51" width="9.140625" style="1" hidden="1" customWidth="1" outlineLevel="1"/>
    <col min="52" max="55" width="8.5703125" style="1" hidden="1" customWidth="1" outlineLevel="2"/>
    <col min="56" max="56" width="9.140625" style="1" hidden="1" customWidth="1" outlineLevel="1"/>
    <col min="57" max="60" width="8.5703125" style="1" hidden="1" customWidth="1" outlineLevel="2"/>
    <col min="61" max="61" width="9.140625" style="1" hidden="1" customWidth="1" outlineLevel="1"/>
    <col min="62" max="65" width="8.5703125" style="1" hidden="1" customWidth="1" outlineLevel="2"/>
    <col min="66" max="66" width="9.140625" style="1" hidden="1" customWidth="1" outlineLevel="1"/>
    <col min="67" max="70" width="8.5703125" style="1" hidden="1" customWidth="1" outlineLevel="2"/>
    <col min="71" max="71" width="9.140625" style="1" hidden="1" customWidth="1" outlineLevel="1"/>
    <col min="72" max="72" width="8.5703125" style="1" hidden="1" customWidth="1" outlineLevel="2" collapsed="1"/>
    <col min="73" max="75" width="8.5703125" style="1" hidden="1" customWidth="1" outlineLevel="2"/>
    <col min="76" max="76" width="9.140625" style="1" hidden="1" customWidth="1" outlineLevel="1"/>
    <col min="77" max="77" width="8.5703125" style="1" hidden="1" customWidth="1" outlineLevel="2" collapsed="1"/>
    <col min="78" max="80" width="8.5703125" style="1" hidden="1" customWidth="1" outlineLevel="2"/>
    <col min="81" max="81" width="9.140625" style="1" hidden="1" customWidth="1" outlineLevel="1"/>
    <col min="82" max="85" width="8.5703125" style="1" hidden="1" customWidth="1" outlineLevel="2"/>
    <col min="86" max="86" width="9.140625" style="1" hidden="1" customWidth="1" outlineLevel="1"/>
    <col min="87" max="90" width="8.5703125" style="1" hidden="1" customWidth="1" outlineLevel="2"/>
    <col min="91" max="91" width="9.7109375" style="1" customWidth="1" collapsed="1"/>
    <col min="92" max="95" width="8.5703125" style="1" hidden="1" customWidth="1" outlineLevel="1"/>
    <col min="96" max="96" width="9.140625" style="1" customWidth="1" collapsed="1"/>
    <col min="97" max="100" width="8.5703125" style="1" hidden="1" customWidth="1" outlineLevel="1"/>
    <col min="101" max="101" width="9.140625" style="4" customWidth="1" collapsed="1"/>
    <col min="102" max="105" width="8.5703125" style="1" customWidth="1" outlineLevel="1"/>
    <col min="106" max="106" width="9.140625" style="4" customWidth="1"/>
    <col min="107" max="110" width="8.5703125" style="1" customWidth="1" outlineLevel="1"/>
    <col min="111" max="111" width="9.140625" style="4" customWidth="1"/>
    <col min="112" max="115" width="8.5703125" style="1" hidden="1" customWidth="1" outlineLevel="1"/>
    <col min="116" max="116" width="9.140625" style="4" customWidth="1" collapsed="1"/>
    <col min="117" max="120" width="8.5703125" style="1" hidden="1" customWidth="1" outlineLevel="1"/>
    <col min="121" max="121" width="9.140625" style="4" customWidth="1" collapsed="1"/>
    <col min="122" max="122" width="2.140625" style="1" customWidth="1"/>
    <col min="123" max="123" width="10.7109375" style="1" customWidth="1"/>
    <col min="124" max="124" width="37.5703125" hidden="1" customWidth="1" outlineLevel="1"/>
    <col min="125" max="125" width="10.85546875" hidden="1" customWidth="1" outlineLevel="1"/>
    <col min="126" max="126" width="35.140625" hidden="1" customWidth="1" outlineLevel="1"/>
    <col min="127" max="127" width="9.85546875" hidden="1" customWidth="1" outlineLevel="1"/>
    <col min="128" max="128" width="15.140625" hidden="1" customWidth="1" outlineLevel="1"/>
    <col min="129" max="129" width="8.28515625" hidden="1" customWidth="1" outlineLevel="1"/>
    <col min="130" max="130" width="9.140625" style="1" collapsed="1"/>
    <col min="131" max="16384" width="9.140625" style="1"/>
  </cols>
  <sheetData>
    <row r="1" spans="1:129" s="114" customFormat="1" ht="12" customHeight="1">
      <c r="A1" s="619"/>
      <c r="B1" s="619"/>
      <c r="C1" s="619"/>
      <c r="D1" s="619"/>
      <c r="E1" s="619"/>
      <c r="F1" s="619"/>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4"/>
      <c r="CX1" s="1"/>
      <c r="CY1" s="1"/>
      <c r="CZ1" s="1"/>
      <c r="DA1" s="1"/>
      <c r="DB1" s="4"/>
      <c r="DC1" s="1"/>
      <c r="DD1" s="1"/>
      <c r="DE1" s="1"/>
      <c r="DF1" s="1"/>
      <c r="DG1" s="4"/>
      <c r="DH1" s="1"/>
      <c r="DI1" s="1"/>
      <c r="DJ1" s="1"/>
      <c r="DK1" s="1"/>
      <c r="DL1" s="4"/>
      <c r="DM1" s="1"/>
      <c r="DN1" s="1"/>
      <c r="DO1" s="1"/>
      <c r="DP1" s="1"/>
      <c r="DQ1" s="4"/>
      <c r="DR1" s="1"/>
      <c r="DS1" s="1"/>
      <c r="DT1"/>
      <c r="DU1"/>
      <c r="DV1"/>
      <c r="DW1"/>
      <c r="DX1"/>
      <c r="DY1"/>
    </row>
    <row r="2" spans="1:129" customFormat="1" ht="12" hidden="1" customHeight="1" outlineLevel="1"/>
    <row r="3" spans="1:129" s="114" customFormat="1" ht="12" customHeight="1" collapsed="1">
      <c r="A3" s="619"/>
      <c r="B3" s="619"/>
      <c r="C3" s="619"/>
      <c r="D3" s="619"/>
      <c r="E3" s="619"/>
      <c r="F3" s="619"/>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408"/>
      <c r="BU3" s="408"/>
      <c r="BV3" s="408"/>
      <c r="BW3" s="408"/>
      <c r="BX3" s="1"/>
      <c r="BY3" s="408"/>
      <c r="BZ3" s="408"/>
      <c r="CA3" s="408"/>
      <c r="CB3" s="408"/>
      <c r="CC3" s="1"/>
      <c r="CD3" s="1"/>
      <c r="CE3" s="425"/>
      <c r="CF3" s="425"/>
      <c r="CG3" s="427"/>
      <c r="CH3" s="1"/>
      <c r="CI3" s="427"/>
      <c r="CJ3" s="427"/>
      <c r="CK3" s="427"/>
      <c r="CL3" s="427"/>
      <c r="CM3" s="1"/>
      <c r="CN3" s="483"/>
      <c r="CO3" s="470"/>
      <c r="CP3" s="470"/>
      <c r="CQ3" s="470"/>
      <c r="CR3" s="1"/>
      <c r="CS3" s="1"/>
      <c r="CT3" s="1"/>
      <c r="CU3" s="1"/>
      <c r="CV3" s="1"/>
      <c r="CW3" s="4"/>
      <c r="CX3" s="1"/>
      <c r="CY3" s="1"/>
      <c r="CZ3" s="1"/>
      <c r="DA3" s="427"/>
      <c r="DB3" s="4"/>
      <c r="DC3" s="1"/>
      <c r="DD3" s="1"/>
      <c r="DE3" s="427"/>
      <c r="DF3" s="427"/>
      <c r="DG3" s="4"/>
      <c r="DH3" s="1"/>
      <c r="DI3" s="427"/>
      <c r="DJ3" s="427"/>
      <c r="DK3" s="427"/>
      <c r="DL3" s="4"/>
      <c r="DM3" s="1"/>
      <c r="DN3" s="427"/>
      <c r="DO3" s="427"/>
      <c r="DP3" s="427"/>
      <c r="DQ3" s="4"/>
      <c r="DR3" s="1"/>
      <c r="DS3" s="1"/>
      <c r="DT3"/>
      <c r="DU3"/>
      <c r="DV3"/>
      <c r="DW3"/>
      <c r="DX3"/>
      <c r="DY3"/>
    </row>
    <row r="4" spans="1:129">
      <c r="B4" s="672" t="s">
        <v>0</v>
      </c>
      <c r="BE4" s="114"/>
      <c r="BF4" s="114"/>
      <c r="BG4" s="114"/>
      <c r="BH4" s="114"/>
      <c r="BJ4" s="114"/>
      <c r="BK4" s="114"/>
      <c r="BL4" s="114"/>
      <c r="BM4" s="114"/>
      <c r="BO4" s="114"/>
      <c r="BP4" s="114"/>
      <c r="BQ4" s="114"/>
      <c r="BR4" s="114"/>
      <c r="BT4" s="464"/>
      <c r="BU4" s="464"/>
      <c r="BV4" s="464"/>
      <c r="BW4" s="464"/>
      <c r="BY4" s="464"/>
      <c r="BZ4" s="464"/>
      <c r="CA4" s="464"/>
      <c r="CB4" s="464"/>
      <c r="CD4" s="465"/>
      <c r="CE4" s="465"/>
      <c r="CF4" s="466"/>
      <c r="CG4" s="466"/>
      <c r="CI4" s="467"/>
      <c r="CJ4" s="114"/>
      <c r="CK4" s="468"/>
      <c r="CL4" s="468"/>
      <c r="CN4" s="467"/>
      <c r="CO4" s="467"/>
      <c r="CP4" s="467"/>
      <c r="CQ4" s="467"/>
      <c r="CY4" s="915"/>
      <c r="CZ4" s="921"/>
      <c r="DA4" s="921"/>
      <c r="DB4" s="921"/>
      <c r="DC4" s="915"/>
      <c r="DD4" s="915"/>
      <c r="DE4" s="915"/>
      <c r="DF4" s="915"/>
      <c r="DG4" s="920"/>
      <c r="DH4" s="915"/>
      <c r="DI4" s="915"/>
      <c r="DJ4" s="915"/>
      <c r="DK4" s="915"/>
      <c r="DL4" s="915"/>
      <c r="DM4" s="915"/>
      <c r="DN4" s="915"/>
      <c r="DO4" s="915"/>
      <c r="DP4" s="915"/>
      <c r="DQ4" s="915"/>
    </row>
    <row r="5" spans="1:129" s="619" customFormat="1">
      <c r="B5" s="672" t="s">
        <v>1</v>
      </c>
      <c r="BE5" s="782"/>
      <c r="BF5" s="782"/>
      <c r="BG5" s="782"/>
      <c r="BH5" s="782"/>
      <c r="BJ5" s="782"/>
      <c r="BK5" s="782"/>
      <c r="BL5" s="782"/>
      <c r="BM5" s="782"/>
      <c r="BO5" s="782"/>
      <c r="BP5" s="782"/>
      <c r="BQ5" s="782"/>
      <c r="BR5" s="782"/>
      <c r="BT5" s="782"/>
      <c r="BU5" s="782"/>
      <c r="BV5" s="782"/>
      <c r="BW5" s="782"/>
      <c r="BY5" s="782"/>
      <c r="BZ5" s="782"/>
      <c r="CA5" s="782"/>
      <c r="CB5" s="782"/>
      <c r="CD5" s="782"/>
      <c r="CE5" s="783"/>
      <c r="CF5" s="784"/>
      <c r="CG5" s="783"/>
      <c r="CH5" s="785"/>
      <c r="CI5" s="783"/>
      <c r="CJ5" s="783"/>
      <c r="CK5" s="784"/>
      <c r="CL5" s="783"/>
      <c r="CM5" s="786"/>
      <c r="CN5" s="783"/>
      <c r="CO5" s="787"/>
      <c r="CP5" s="787"/>
      <c r="CQ5" s="783"/>
      <c r="CR5" s="788"/>
      <c r="CS5" s="789"/>
      <c r="CT5" s="789"/>
      <c r="CU5" s="789"/>
      <c r="CV5" s="789"/>
      <c r="CW5" s="790"/>
      <c r="CX5" s="791"/>
      <c r="CY5" s="916"/>
      <c r="CZ5" s="916"/>
      <c r="DA5" s="916"/>
      <c r="DB5" s="916"/>
      <c r="DC5" s="916"/>
      <c r="DD5" s="916"/>
      <c r="DE5" s="916"/>
      <c r="DF5" s="916"/>
      <c r="DG5" s="950"/>
      <c r="DH5" s="916"/>
      <c r="DI5" s="916"/>
      <c r="DJ5" s="916"/>
      <c r="DK5" s="916"/>
      <c r="DL5" s="950"/>
      <c r="DM5" s="916"/>
      <c r="DN5" s="916"/>
      <c r="DO5" s="916"/>
      <c r="DP5" s="916"/>
      <c r="DQ5" s="950"/>
      <c r="DT5"/>
      <c r="DU5"/>
      <c r="DV5"/>
      <c r="DW5"/>
      <c r="DX5"/>
      <c r="DY5"/>
    </row>
    <row r="6" spans="1:129" s="619" customFormat="1">
      <c r="BE6" s="793"/>
      <c r="BF6" s="792"/>
      <c r="BG6" s="792"/>
      <c r="BH6" s="792"/>
      <c r="BJ6" s="793"/>
      <c r="BK6" s="794"/>
      <c r="BL6" s="792"/>
      <c r="BM6" s="792"/>
      <c r="BO6" s="793"/>
      <c r="BP6" s="794"/>
      <c r="BQ6" s="792"/>
      <c r="BR6" s="792"/>
      <c r="BT6" s="793"/>
      <c r="BU6" s="794"/>
      <c r="BV6" s="792"/>
      <c r="BW6" s="794"/>
      <c r="BY6" s="793"/>
      <c r="BZ6" s="794"/>
      <c r="CA6" s="792"/>
      <c r="CB6" s="794"/>
      <c r="CD6" s="793"/>
      <c r="CE6" s="794"/>
      <c r="CF6" s="792"/>
      <c r="CG6" s="794"/>
      <c r="CH6" s="795"/>
      <c r="CI6" s="796"/>
      <c r="CJ6" s="794"/>
      <c r="CK6" s="797"/>
      <c r="CL6" s="794"/>
      <c r="CM6" s="798"/>
      <c r="CN6" s="799"/>
      <c r="CO6" s="800"/>
      <c r="CP6" s="800"/>
      <c r="CQ6" s="801"/>
      <c r="CR6" s="795"/>
      <c r="CS6" s="1117" t="s">
        <v>306</v>
      </c>
      <c r="CT6" s="1118" t="s">
        <v>307</v>
      </c>
      <c r="CU6" s="1119" t="s">
        <v>356</v>
      </c>
      <c r="CV6" s="1120" t="s">
        <v>363</v>
      </c>
      <c r="CW6" s="1121"/>
      <c r="CX6" s="1117" t="s">
        <v>311</v>
      </c>
      <c r="CY6" s="1122" t="s">
        <v>346</v>
      </c>
      <c r="CZ6" s="1123" t="s">
        <v>335</v>
      </c>
      <c r="DA6" s="1120" t="s">
        <v>362</v>
      </c>
      <c r="DB6" s="802"/>
      <c r="DC6" s="796"/>
      <c r="DD6" s="794"/>
      <c r="DE6" s="797"/>
      <c r="DF6" s="794"/>
      <c r="DG6" s="951"/>
      <c r="DH6" s="796"/>
      <c r="DI6" s="794"/>
      <c r="DJ6" s="797"/>
      <c r="DK6" s="794"/>
      <c r="DL6" s="951"/>
      <c r="DM6" s="796"/>
      <c r="DN6" s="794"/>
      <c r="DO6" s="797"/>
      <c r="DP6" s="794"/>
      <c r="DQ6" s="951"/>
      <c r="DT6"/>
      <c r="DU6"/>
      <c r="DV6"/>
      <c r="DW6"/>
      <c r="DX6"/>
      <c r="DY6"/>
    </row>
    <row r="7" spans="1:129" s="9" customFormat="1" ht="11.25" customHeight="1">
      <c r="A7" s="673"/>
      <c r="B7" s="674"/>
      <c r="C7" s="675"/>
      <c r="D7" s="675"/>
      <c r="E7" s="675"/>
      <c r="F7" s="676"/>
      <c r="G7" s="23">
        <v>1998</v>
      </c>
      <c r="H7" s="24"/>
      <c r="I7" s="24"/>
      <c r="J7" s="25"/>
      <c r="K7" s="28"/>
      <c r="L7" s="23">
        <v>1999</v>
      </c>
      <c r="M7" s="24"/>
      <c r="N7" s="24"/>
      <c r="O7" s="24"/>
      <c r="P7" s="909"/>
      <c r="Q7" s="24">
        <v>2000</v>
      </c>
      <c r="R7" s="24"/>
      <c r="S7" s="24"/>
      <c r="T7" s="24"/>
      <c r="U7" s="909"/>
      <c r="V7" s="24">
        <v>2001</v>
      </c>
      <c r="W7" s="24"/>
      <c r="X7" s="24"/>
      <c r="Y7" s="24"/>
      <c r="Z7" s="909"/>
      <c r="AA7" s="24">
        <v>2002</v>
      </c>
      <c r="AB7" s="24"/>
      <c r="AC7" s="24"/>
      <c r="AD7" s="24"/>
      <c r="AE7" s="909"/>
      <c r="AF7" s="24">
        <v>2003</v>
      </c>
      <c r="AG7" s="24"/>
      <c r="AH7" s="24"/>
      <c r="AI7" s="24"/>
      <c r="AJ7" s="909"/>
      <c r="AK7" s="24">
        <v>2004</v>
      </c>
      <c r="AL7" s="24"/>
      <c r="AM7" s="24"/>
      <c r="AN7" s="24"/>
      <c r="AO7" s="909"/>
      <c r="AP7" s="24">
        <v>2005</v>
      </c>
      <c r="AQ7" s="24"/>
      <c r="AR7" s="24"/>
      <c r="AS7" s="24"/>
      <c r="AT7" s="909"/>
      <c r="AU7" s="24">
        <v>2006</v>
      </c>
      <c r="AV7" s="24"/>
      <c r="AW7" s="24"/>
      <c r="AX7" s="24"/>
      <c r="AY7" s="909"/>
      <c r="AZ7" s="24">
        <v>2007</v>
      </c>
      <c r="BA7" s="24"/>
      <c r="BB7" s="24"/>
      <c r="BC7" s="24"/>
      <c r="BD7" s="908"/>
      <c r="BE7" s="24">
        <v>2008</v>
      </c>
      <c r="BF7" s="24"/>
      <c r="BG7" s="24"/>
      <c r="BH7" s="24"/>
      <c r="BI7" s="908"/>
      <c r="BJ7" s="24">
        <v>2009</v>
      </c>
      <c r="BK7" s="24"/>
      <c r="BL7" s="24"/>
      <c r="BM7" s="24"/>
      <c r="BN7" s="908"/>
      <c r="BO7" s="24">
        <v>2010</v>
      </c>
      <c r="BP7" s="24"/>
      <c r="BQ7" s="24"/>
      <c r="BR7" s="24"/>
      <c r="BS7" s="853"/>
      <c r="BT7" s="24">
        <v>2011</v>
      </c>
      <c r="BU7" s="24"/>
      <c r="BV7" s="24"/>
      <c r="BW7" s="24"/>
      <c r="BX7" s="853"/>
      <c r="BY7" s="24">
        <v>2012</v>
      </c>
      <c r="BZ7" s="24"/>
      <c r="CA7" s="24"/>
      <c r="CB7" s="24"/>
      <c r="CC7" s="853"/>
      <c r="CD7" s="24">
        <v>2013</v>
      </c>
      <c r="CE7" s="24"/>
      <c r="CF7" s="24"/>
      <c r="CG7" s="24"/>
      <c r="CH7" s="842"/>
      <c r="CI7" s="24">
        <v>2014</v>
      </c>
      <c r="CJ7" s="24"/>
      <c r="CK7" s="24"/>
      <c r="CL7" s="24"/>
      <c r="CM7" s="936"/>
      <c r="CN7" s="929">
        <v>2015</v>
      </c>
      <c r="CO7" s="929"/>
      <c r="CP7" s="929"/>
      <c r="CQ7" s="929"/>
      <c r="CR7" s="936"/>
      <c r="CS7" s="24">
        <v>2016</v>
      </c>
      <c r="CT7" s="24"/>
      <c r="CU7" s="24"/>
      <c r="CV7" s="24"/>
      <c r="CW7" s="1114"/>
      <c r="CX7" s="24">
        <v>2017</v>
      </c>
      <c r="CY7" s="1115"/>
      <c r="CZ7" s="1115"/>
      <c r="DA7" s="1115"/>
      <c r="DB7" s="1114"/>
      <c r="DC7" s="26">
        <v>2018</v>
      </c>
      <c r="DD7" s="26"/>
      <c r="DE7" s="26"/>
      <c r="DF7" s="26"/>
      <c r="DG7" s="804"/>
      <c r="DH7" s="26">
        <v>2019</v>
      </c>
      <c r="DI7" s="26"/>
      <c r="DJ7" s="26"/>
      <c r="DK7" s="26"/>
      <c r="DL7" s="804"/>
      <c r="DM7" s="26">
        <v>2020</v>
      </c>
      <c r="DN7" s="26"/>
      <c r="DO7" s="26"/>
      <c r="DP7" s="26"/>
      <c r="DQ7" s="804"/>
      <c r="DR7" s="860"/>
      <c r="DS7" s="859"/>
      <c r="DT7"/>
      <c r="DU7"/>
      <c r="DV7"/>
      <c r="DW7"/>
      <c r="DX7"/>
      <c r="DY7"/>
    </row>
    <row r="8" spans="1:129">
      <c r="B8" s="677" t="s">
        <v>3</v>
      </c>
      <c r="C8" s="678"/>
      <c r="D8" s="678"/>
      <c r="E8" s="678"/>
      <c r="F8" s="679"/>
      <c r="G8" s="20">
        <v>35885</v>
      </c>
      <c r="H8" s="21">
        <v>35976</v>
      </c>
      <c r="I8" s="21">
        <v>36068</v>
      </c>
      <c r="J8" s="22">
        <v>36160</v>
      </c>
      <c r="K8" s="29">
        <v>1998</v>
      </c>
      <c r="L8" s="20">
        <v>36250</v>
      </c>
      <c r="M8" s="21">
        <v>36341</v>
      </c>
      <c r="N8" s="21">
        <v>36433</v>
      </c>
      <c r="O8" s="21">
        <v>36525</v>
      </c>
      <c r="P8" s="805">
        <v>1999</v>
      </c>
      <c r="Q8" s="21">
        <v>36616</v>
      </c>
      <c r="R8" s="21">
        <v>36707</v>
      </c>
      <c r="S8" s="21">
        <v>36799</v>
      </c>
      <c r="T8" s="21">
        <v>36891</v>
      </c>
      <c r="U8" s="805">
        <v>2000</v>
      </c>
      <c r="V8" s="21">
        <v>36981</v>
      </c>
      <c r="W8" s="21">
        <v>37072</v>
      </c>
      <c r="X8" s="21">
        <v>37164</v>
      </c>
      <c r="Y8" s="21">
        <v>37256</v>
      </c>
      <c r="Z8" s="805">
        <v>2001</v>
      </c>
      <c r="AA8" s="21">
        <v>37346</v>
      </c>
      <c r="AB8" s="21">
        <v>37437</v>
      </c>
      <c r="AC8" s="21">
        <v>37529</v>
      </c>
      <c r="AD8" s="21">
        <v>37621</v>
      </c>
      <c r="AE8" s="805">
        <v>2002</v>
      </c>
      <c r="AF8" s="21">
        <v>37711</v>
      </c>
      <c r="AG8" s="21">
        <v>37802</v>
      </c>
      <c r="AH8" s="21">
        <v>37894</v>
      </c>
      <c r="AI8" s="21">
        <v>37986</v>
      </c>
      <c r="AJ8" s="805">
        <v>2003</v>
      </c>
      <c r="AK8" s="21">
        <v>38077</v>
      </c>
      <c r="AL8" s="21">
        <v>38168</v>
      </c>
      <c r="AM8" s="21">
        <v>38260</v>
      </c>
      <c r="AN8" s="21">
        <v>38352</v>
      </c>
      <c r="AO8" s="805">
        <v>2004</v>
      </c>
      <c r="AP8" s="21">
        <v>38442</v>
      </c>
      <c r="AQ8" s="21">
        <v>38533</v>
      </c>
      <c r="AR8" s="21">
        <v>38625</v>
      </c>
      <c r="AS8" s="21">
        <v>38717</v>
      </c>
      <c r="AT8" s="805">
        <v>2005</v>
      </c>
      <c r="AU8" s="21">
        <v>38807</v>
      </c>
      <c r="AV8" s="21">
        <v>38898</v>
      </c>
      <c r="AW8" s="21">
        <v>38990</v>
      </c>
      <c r="AX8" s="21">
        <v>39082</v>
      </c>
      <c r="AY8" s="805">
        <v>2006</v>
      </c>
      <c r="AZ8" s="21">
        <v>39172</v>
      </c>
      <c r="BA8" s="21">
        <v>39263</v>
      </c>
      <c r="BB8" s="21">
        <v>39355</v>
      </c>
      <c r="BC8" s="21">
        <v>39447</v>
      </c>
      <c r="BD8" s="805">
        <v>2007</v>
      </c>
      <c r="BE8" s="21">
        <v>39538</v>
      </c>
      <c r="BF8" s="21">
        <v>39629</v>
      </c>
      <c r="BG8" s="21">
        <v>39721</v>
      </c>
      <c r="BH8" s="21">
        <v>39813</v>
      </c>
      <c r="BI8" s="805">
        <v>2008</v>
      </c>
      <c r="BJ8" s="21">
        <v>39903</v>
      </c>
      <c r="BK8" s="21">
        <v>39994</v>
      </c>
      <c r="BL8" s="21">
        <v>40086</v>
      </c>
      <c r="BM8" s="21">
        <v>40178</v>
      </c>
      <c r="BN8" s="805">
        <v>2009</v>
      </c>
      <c r="BO8" s="21">
        <v>40268</v>
      </c>
      <c r="BP8" s="21">
        <v>40359</v>
      </c>
      <c r="BQ8" s="21">
        <v>40451</v>
      </c>
      <c r="BR8" s="21">
        <v>40543</v>
      </c>
      <c r="BS8" s="805">
        <v>2010</v>
      </c>
      <c r="BT8" s="21">
        <v>40633</v>
      </c>
      <c r="BU8" s="21">
        <v>40724</v>
      </c>
      <c r="BV8" s="21">
        <v>40816</v>
      </c>
      <c r="BW8" s="21">
        <v>40908</v>
      </c>
      <c r="BX8" s="805">
        <v>2011</v>
      </c>
      <c r="BY8" s="21">
        <v>40999</v>
      </c>
      <c r="BZ8" s="21">
        <v>41090</v>
      </c>
      <c r="CA8" s="21">
        <v>41182</v>
      </c>
      <c r="CB8" s="21">
        <v>41274</v>
      </c>
      <c r="CC8" s="805">
        <v>2012</v>
      </c>
      <c r="CD8" s="21">
        <v>41364</v>
      </c>
      <c r="CE8" s="21">
        <v>41455</v>
      </c>
      <c r="CF8" s="21">
        <v>41547</v>
      </c>
      <c r="CG8" s="21">
        <v>41639</v>
      </c>
      <c r="CH8" s="805">
        <v>2013</v>
      </c>
      <c r="CI8" s="21">
        <v>41729</v>
      </c>
      <c r="CJ8" s="21">
        <v>41820</v>
      </c>
      <c r="CK8" s="21">
        <v>41912</v>
      </c>
      <c r="CL8" s="21">
        <v>42004</v>
      </c>
      <c r="CM8" s="805">
        <v>2014</v>
      </c>
      <c r="CN8" s="21">
        <v>42094</v>
      </c>
      <c r="CO8" s="21">
        <v>42185</v>
      </c>
      <c r="CP8" s="21">
        <v>42277</v>
      </c>
      <c r="CQ8" s="21">
        <v>42369</v>
      </c>
      <c r="CR8" s="805">
        <v>2015</v>
      </c>
      <c r="CS8" s="21">
        <v>42460</v>
      </c>
      <c r="CT8" s="21">
        <v>42551</v>
      </c>
      <c r="CU8" s="21">
        <v>42643</v>
      </c>
      <c r="CV8" s="21">
        <v>42735</v>
      </c>
      <c r="CW8" s="1116">
        <v>2016</v>
      </c>
      <c r="CX8" s="922">
        <v>42825</v>
      </c>
      <c r="CY8" s="922">
        <v>42916</v>
      </c>
      <c r="CZ8" s="922">
        <v>43008</v>
      </c>
      <c r="DA8" s="922">
        <v>43100</v>
      </c>
      <c r="DB8" s="1116">
        <v>2017</v>
      </c>
      <c r="DC8" s="474">
        <v>43190</v>
      </c>
      <c r="DD8" s="474">
        <v>43281</v>
      </c>
      <c r="DE8" s="474">
        <v>43373</v>
      </c>
      <c r="DF8" s="474">
        <v>43465</v>
      </c>
      <c r="DG8" s="832">
        <v>2018</v>
      </c>
      <c r="DH8" s="474">
        <v>43555</v>
      </c>
      <c r="DI8" s="474">
        <v>43646</v>
      </c>
      <c r="DJ8" s="474">
        <v>43738</v>
      </c>
      <c r="DK8" s="474">
        <v>43830</v>
      </c>
      <c r="DL8" s="832">
        <v>2019</v>
      </c>
      <c r="DM8" s="474">
        <v>43921</v>
      </c>
      <c r="DN8" s="474">
        <v>44012</v>
      </c>
      <c r="DO8" s="474">
        <v>44104</v>
      </c>
      <c r="DP8" s="474">
        <v>44196</v>
      </c>
      <c r="DQ8" s="832">
        <v>2020</v>
      </c>
      <c r="DR8" s="861"/>
      <c r="DS8" s="4"/>
    </row>
    <row r="9" spans="1:129" s="114" customFormat="1">
      <c r="A9" s="619"/>
      <c r="B9" s="623"/>
      <c r="C9" s="558"/>
      <c r="D9" s="558"/>
      <c r="E9" s="558"/>
      <c r="F9" s="621"/>
      <c r="G9" s="588"/>
      <c r="H9" s="589"/>
      <c r="I9" s="589"/>
      <c r="J9" s="590"/>
      <c r="K9" s="588"/>
      <c r="L9" s="588"/>
      <c r="M9" s="589"/>
      <c r="N9" s="589"/>
      <c r="O9" s="589"/>
      <c r="P9" s="739"/>
      <c r="Q9" s="589"/>
      <c r="R9" s="589"/>
      <c r="S9" s="589"/>
      <c r="T9" s="589"/>
      <c r="U9" s="739"/>
      <c r="V9" s="589"/>
      <c r="W9" s="589"/>
      <c r="X9" s="589"/>
      <c r="Y9" s="589"/>
      <c r="Z9" s="739"/>
      <c r="AA9" s="589"/>
      <c r="AB9" s="589"/>
      <c r="AC9" s="589"/>
      <c r="AD9" s="589"/>
      <c r="AE9" s="739"/>
      <c r="AF9" s="589"/>
      <c r="AG9" s="589"/>
      <c r="AH9" s="589"/>
      <c r="AI9" s="589"/>
      <c r="AJ9" s="739"/>
      <c r="AK9" s="589"/>
      <c r="AL9" s="589"/>
      <c r="AM9" s="589"/>
      <c r="AN9" s="589"/>
      <c r="AO9" s="739"/>
      <c r="AP9" s="589"/>
      <c r="AQ9" s="589"/>
      <c r="AR9" s="589"/>
      <c r="AS9" s="589"/>
      <c r="AT9" s="739"/>
      <c r="AU9" s="589"/>
      <c r="AV9" s="589"/>
      <c r="AW9" s="589"/>
      <c r="AX9" s="589"/>
      <c r="AY9" s="739"/>
      <c r="AZ9" s="589"/>
      <c r="BA9" s="589"/>
      <c r="BB9" s="589"/>
      <c r="BC9" s="589"/>
      <c r="BD9" s="739"/>
      <c r="BE9" s="589"/>
      <c r="BF9" s="589"/>
      <c r="BG9" s="589"/>
      <c r="BH9" s="589"/>
      <c r="BI9" s="739"/>
      <c r="BJ9" s="589"/>
      <c r="BK9" s="589"/>
      <c r="BL9" s="589"/>
      <c r="BM9" s="589"/>
      <c r="BN9" s="739"/>
      <c r="BO9" s="589"/>
      <c r="BP9" s="589"/>
      <c r="BQ9" s="589"/>
      <c r="BR9" s="589"/>
      <c r="BS9" s="739"/>
      <c r="BT9" s="589"/>
      <c r="BU9" s="589"/>
      <c r="BV9" s="589"/>
      <c r="BW9" s="589"/>
      <c r="BX9" s="739"/>
      <c r="BY9" s="589"/>
      <c r="BZ9" s="589"/>
      <c r="CA9" s="589"/>
      <c r="CB9" s="589"/>
      <c r="CC9" s="739"/>
      <c r="CD9" s="591"/>
      <c r="CE9" s="591"/>
      <c r="CF9" s="591"/>
      <c r="CG9" s="591"/>
      <c r="CH9" s="739"/>
      <c r="CI9" s="591"/>
      <c r="CJ9" s="591"/>
      <c r="CK9" s="591"/>
      <c r="CL9" s="592"/>
      <c r="CM9" s="739"/>
      <c r="CN9" s="591"/>
      <c r="CO9" s="593"/>
      <c r="CP9" s="593"/>
      <c r="CQ9" s="592"/>
      <c r="CR9" s="843"/>
      <c r="CS9" s="593"/>
      <c r="CT9" s="593"/>
      <c r="CU9" s="593"/>
      <c r="CV9" s="593"/>
      <c r="CW9" s="843"/>
      <c r="CX9" s="591"/>
      <c r="CY9" s="591"/>
      <c r="CZ9" s="591"/>
      <c r="DA9" s="591"/>
      <c r="DB9" s="843"/>
      <c r="DC9" s="591"/>
      <c r="DD9" s="591"/>
      <c r="DE9" s="591"/>
      <c r="DF9" s="591"/>
      <c r="DG9" s="843"/>
      <c r="DH9" s="591"/>
      <c r="DI9" s="591"/>
      <c r="DJ9" s="591"/>
      <c r="DK9" s="591"/>
      <c r="DL9" s="843"/>
      <c r="DM9" s="591"/>
      <c r="DN9" s="591"/>
      <c r="DO9" s="591"/>
      <c r="DP9" s="591"/>
      <c r="DQ9" s="843"/>
      <c r="DR9" s="111"/>
      <c r="DS9" s="112"/>
      <c r="DT9"/>
      <c r="DU9"/>
      <c r="DV9"/>
      <c r="DW9"/>
      <c r="DX9"/>
      <c r="DY9"/>
    </row>
    <row r="10" spans="1:129" s="60" customFormat="1">
      <c r="A10" s="681"/>
      <c r="B10" s="579" t="s">
        <v>5</v>
      </c>
      <c r="C10" s="580"/>
      <c r="D10" s="580"/>
      <c r="E10" s="580"/>
      <c r="F10" s="580"/>
      <c r="G10" s="62"/>
      <c r="H10" s="61"/>
      <c r="I10" s="61"/>
      <c r="J10" s="63"/>
      <c r="K10" s="35"/>
      <c r="L10" s="62"/>
      <c r="M10" s="61"/>
      <c r="N10" s="61"/>
      <c r="O10" s="61"/>
      <c r="P10" s="333"/>
      <c r="Q10" s="61"/>
      <c r="R10" s="61"/>
      <c r="S10" s="61"/>
      <c r="T10" s="61"/>
      <c r="U10" s="333"/>
      <c r="V10" s="61"/>
      <c r="W10" s="61"/>
      <c r="X10" s="61"/>
      <c r="Y10" s="61"/>
      <c r="Z10" s="333"/>
      <c r="AA10" s="61"/>
      <c r="AB10" s="61"/>
      <c r="AC10" s="61"/>
      <c r="AD10" s="61"/>
      <c r="AE10" s="333"/>
      <c r="AF10" s="61"/>
      <c r="AG10" s="61"/>
      <c r="AH10" s="61"/>
      <c r="AI10" s="61"/>
      <c r="AJ10" s="333"/>
      <c r="AK10" s="61">
        <v>61.052999999999997</v>
      </c>
      <c r="AL10" s="61">
        <v>66.293999999999997</v>
      </c>
      <c r="AM10" s="61">
        <v>76.099999999999994</v>
      </c>
      <c r="AN10" s="61">
        <v>86.984999999999999</v>
      </c>
      <c r="AO10" s="333">
        <f>SUM(AK10:AN10)</f>
        <v>290.43200000000002</v>
      </c>
      <c r="AP10" s="61">
        <v>89.713999999999999</v>
      </c>
      <c r="AQ10" s="61">
        <v>103.91200000000001</v>
      </c>
      <c r="AR10" s="61">
        <v>117.999</v>
      </c>
      <c r="AS10" s="61">
        <v>129.33300000000003</v>
      </c>
      <c r="AT10" s="333">
        <f>SUM(AP10:AS10)</f>
        <v>440.95800000000003</v>
      </c>
      <c r="AU10" s="61">
        <v>135.845</v>
      </c>
      <c r="AV10" s="61">
        <v>162.59700000000001</v>
      </c>
      <c r="AW10" s="61">
        <v>182.02</v>
      </c>
      <c r="AX10" s="61">
        <v>199.43899999999996</v>
      </c>
      <c r="AY10" s="333">
        <f>SUM(AU10:AX10)</f>
        <v>679.90099999999995</v>
      </c>
      <c r="AZ10" s="61">
        <v>214.18</v>
      </c>
      <c r="BA10" s="61">
        <v>243.059</v>
      </c>
      <c r="BB10" s="61">
        <v>260.673</v>
      </c>
      <c r="BC10" s="61">
        <v>283.50799999999992</v>
      </c>
      <c r="BD10" s="333">
        <f>SUM(AZ10:BC10)</f>
        <v>1001.42</v>
      </c>
      <c r="BE10" s="61">
        <v>292.38</v>
      </c>
      <c r="BF10" s="61">
        <v>314.16199999999998</v>
      </c>
      <c r="BG10" s="61">
        <v>339.00400000000002</v>
      </c>
      <c r="BH10" s="61">
        <v>338.46699999999998</v>
      </c>
      <c r="BI10" s="333">
        <f>SUM(BE10:BH10)</f>
        <v>1284.0129999999999</v>
      </c>
      <c r="BJ10" s="61">
        <v>331.34199999999998</v>
      </c>
      <c r="BK10" s="61">
        <v>332.548</v>
      </c>
      <c r="BL10" s="61">
        <v>364.19600000000003</v>
      </c>
      <c r="BM10" s="61">
        <v>378.54299999999989</v>
      </c>
      <c r="BN10" s="333">
        <f>SUM(BJ10:BM10)</f>
        <v>1406.6289999999999</v>
      </c>
      <c r="BO10" s="61">
        <v>398.68700000000001</v>
      </c>
      <c r="BP10" s="61">
        <v>470.77300000000002</v>
      </c>
      <c r="BQ10" s="61">
        <v>520.28200000000004</v>
      </c>
      <c r="BR10" s="61">
        <v>554.70799999999986</v>
      </c>
      <c r="BS10" s="333">
        <f>SUM(BO10:BR10)</f>
        <v>1944.45</v>
      </c>
      <c r="BT10" s="61">
        <v>569.976</v>
      </c>
      <c r="BU10" s="61">
        <v>612.68899999999996</v>
      </c>
      <c r="BV10" s="61">
        <v>655.76099999999997</v>
      </c>
      <c r="BW10" s="61">
        <v>679.99600000000009</v>
      </c>
      <c r="BX10" s="333">
        <f>SUM(BT10:BW10)</f>
        <v>2518.422</v>
      </c>
      <c r="BY10" s="61">
        <v>694.72400000000005</v>
      </c>
      <c r="BZ10" s="61">
        <v>736.88499999999999</v>
      </c>
      <c r="CA10" s="61">
        <v>788.43899999999996</v>
      </c>
      <c r="CB10" s="61">
        <v>815.399</v>
      </c>
      <c r="CC10" s="333">
        <f>SUM(BY10:CB10)</f>
        <v>3035.4469999999997</v>
      </c>
      <c r="CD10" s="61">
        <v>855.34100000000001</v>
      </c>
      <c r="CE10" s="61">
        <v>910.70699999999999</v>
      </c>
      <c r="CF10" s="61">
        <v>954.37900000000002</v>
      </c>
      <c r="CG10" s="441">
        <v>997.14599999999996</v>
      </c>
      <c r="CH10" s="333">
        <f>SUM(CD10:CG10)</f>
        <v>3717.5730000000003</v>
      </c>
      <c r="CI10" s="441">
        <v>1023.704</v>
      </c>
      <c r="CJ10" s="61">
        <v>1058.518</v>
      </c>
      <c r="CK10" s="61">
        <v>1082.2449999999999</v>
      </c>
      <c r="CL10" s="441">
        <v>1121.1469999999999</v>
      </c>
      <c r="CM10" s="333">
        <f>SUM(CI10:CL10)</f>
        <v>4285.6139999999996</v>
      </c>
      <c r="CN10" s="441">
        <v>1161.0999999999999</v>
      </c>
      <c r="CO10" s="61">
        <v>1250.0999999999999</v>
      </c>
      <c r="CP10" s="61">
        <v>1284</v>
      </c>
      <c r="CQ10" s="441">
        <v>1307.7</v>
      </c>
      <c r="CR10" s="352">
        <f>SUM(CN10:CQ10)</f>
        <v>5002.8999999999996</v>
      </c>
      <c r="CS10" s="441">
        <v>1285.7</v>
      </c>
      <c r="CT10" s="61">
        <v>1351.2</v>
      </c>
      <c r="CU10" s="61">
        <v>1375.4</v>
      </c>
      <c r="CV10" s="441">
        <v>1354</v>
      </c>
      <c r="CW10" s="355">
        <f>SUM(CS10:CV10)</f>
        <v>5366.3</v>
      </c>
      <c r="CX10" s="441">
        <v>1376</v>
      </c>
      <c r="CY10" s="441">
        <v>1406</v>
      </c>
      <c r="CZ10" s="61">
        <v>1427</v>
      </c>
      <c r="DA10" s="36">
        <v>1427</v>
      </c>
      <c r="DB10" s="355">
        <f>SUM(CX10:DA10)</f>
        <v>5636</v>
      </c>
      <c r="DC10" s="36">
        <f>(1+DC11)*CX10</f>
        <v>1444.8</v>
      </c>
      <c r="DD10" s="36">
        <f>(1+DD11)*CY10</f>
        <v>1476.3</v>
      </c>
      <c r="DE10" s="36">
        <f>(1+DE11)*CZ10</f>
        <v>1498.3500000000001</v>
      </c>
      <c r="DF10" s="36">
        <f>(1+DF11)*DA10</f>
        <v>1498.3500000000001</v>
      </c>
      <c r="DG10" s="355">
        <f>SUM(DC10:DF10)</f>
        <v>5917.8</v>
      </c>
      <c r="DH10" s="36">
        <f>(1+DH11)*DC10</f>
        <v>1502.5920000000001</v>
      </c>
      <c r="DI10" s="36">
        <f>(1+DI11)*DD10</f>
        <v>1535.3520000000001</v>
      </c>
      <c r="DJ10" s="36">
        <f>(1+DJ11)*DE10</f>
        <v>1558.2840000000001</v>
      </c>
      <c r="DK10" s="36">
        <f>(1+DK11)*DF10</f>
        <v>1558.2840000000001</v>
      </c>
      <c r="DL10" s="355">
        <f>SUM(DH10:DK10)</f>
        <v>6154.5120000000006</v>
      </c>
      <c r="DM10" s="36">
        <f>(1+DM11)*DH10</f>
        <v>1562.6956800000003</v>
      </c>
      <c r="DN10" s="36">
        <f>(1+DN11)*DI10</f>
        <v>1596.7660800000001</v>
      </c>
      <c r="DO10" s="36">
        <f>(1+DO11)*DJ10</f>
        <v>1620.6153600000002</v>
      </c>
      <c r="DP10" s="36">
        <f>(1+DP11)*DK10</f>
        <v>1620.6153600000002</v>
      </c>
      <c r="DQ10" s="355">
        <f>SUM(DM10:DP10)</f>
        <v>6400.6924799999997</v>
      </c>
      <c r="DR10" s="35"/>
      <c r="DS10" s="36"/>
      <c r="DT10"/>
      <c r="DU10"/>
      <c r="DV10"/>
      <c r="DW10"/>
      <c r="DX10"/>
      <c r="DY10"/>
    </row>
    <row r="11" spans="1:129" s="38" customFormat="1">
      <c r="A11" s="652"/>
      <c r="B11" s="653"/>
      <c r="C11" s="557" t="s">
        <v>216</v>
      </c>
      <c r="D11" s="654"/>
      <c r="E11" s="654"/>
      <c r="F11" s="654"/>
      <c r="G11" s="56"/>
      <c r="H11" s="57"/>
      <c r="I11" s="57"/>
      <c r="J11" s="58"/>
      <c r="K11" s="32"/>
      <c r="L11" s="67"/>
      <c r="M11" s="64"/>
      <c r="N11" s="64"/>
      <c r="O11" s="64"/>
      <c r="P11" s="336"/>
      <c r="Q11" s="64"/>
      <c r="R11" s="64"/>
      <c r="S11" s="64"/>
      <c r="T11" s="64"/>
      <c r="U11" s="336"/>
      <c r="V11" s="64"/>
      <c r="W11" s="64"/>
      <c r="X11" s="64"/>
      <c r="Y11" s="64"/>
      <c r="Z11" s="336"/>
      <c r="AA11" s="64"/>
      <c r="AB11" s="64"/>
      <c r="AC11" s="64"/>
      <c r="AD11" s="64"/>
      <c r="AE11" s="336"/>
      <c r="AF11" s="64"/>
      <c r="AG11" s="64"/>
      <c r="AH11" s="64"/>
      <c r="AI11" s="64"/>
      <c r="AJ11" s="336"/>
      <c r="AK11" s="64"/>
      <c r="AL11" s="64"/>
      <c r="AM11" s="64"/>
      <c r="AN11" s="64"/>
      <c r="AO11" s="336"/>
      <c r="AP11" s="64">
        <f t="shared" ref="AP11:BU11" si="0">AP10/AK10-1</f>
        <v>0.46944458093787378</v>
      </c>
      <c r="AQ11" s="64">
        <f t="shared" si="0"/>
        <v>0.56744200078438478</v>
      </c>
      <c r="AR11" s="64">
        <f t="shared" si="0"/>
        <v>0.55057818659658353</v>
      </c>
      <c r="AS11" s="64">
        <f t="shared" si="0"/>
        <v>0.48684255906190765</v>
      </c>
      <c r="AT11" s="336">
        <f t="shared" si="0"/>
        <v>0.51828310929925081</v>
      </c>
      <c r="AU11" s="64">
        <f t="shared" si="0"/>
        <v>0.51420068216777759</v>
      </c>
      <c r="AV11" s="64">
        <f t="shared" si="0"/>
        <v>0.56475671722226495</v>
      </c>
      <c r="AW11" s="64">
        <f t="shared" si="0"/>
        <v>0.54255544538513045</v>
      </c>
      <c r="AX11" s="64">
        <f t="shared" si="0"/>
        <v>0.54205809808788108</v>
      </c>
      <c r="AY11" s="336">
        <f t="shared" si="0"/>
        <v>0.54187246857977378</v>
      </c>
      <c r="AZ11" s="64">
        <f t="shared" si="0"/>
        <v>0.57664985829437976</v>
      </c>
      <c r="BA11" s="64">
        <f t="shared" si="0"/>
        <v>0.49485537863552209</v>
      </c>
      <c r="BB11" s="64">
        <f t="shared" si="0"/>
        <v>0.43211185584001743</v>
      </c>
      <c r="BC11" s="64">
        <f t="shared" si="0"/>
        <v>0.42152738431299785</v>
      </c>
      <c r="BD11" s="336">
        <f t="shared" si="0"/>
        <v>0.47289090617604623</v>
      </c>
      <c r="BE11" s="64">
        <f t="shared" si="0"/>
        <v>0.36511345597161249</v>
      </c>
      <c r="BF11" s="64">
        <f t="shared" si="0"/>
        <v>0.2925339115194252</v>
      </c>
      <c r="BG11" s="64">
        <f t="shared" si="0"/>
        <v>0.30049525650911302</v>
      </c>
      <c r="BH11" s="64">
        <f t="shared" si="0"/>
        <v>0.19385343623460383</v>
      </c>
      <c r="BI11" s="336">
        <f t="shared" si="0"/>
        <v>0.28219228695252729</v>
      </c>
      <c r="BJ11" s="64">
        <f t="shared" si="0"/>
        <v>0.13325808878856282</v>
      </c>
      <c r="BK11" s="64">
        <f t="shared" si="0"/>
        <v>5.8523946244294356E-2</v>
      </c>
      <c r="BL11" s="64">
        <f t="shared" si="0"/>
        <v>7.4311807530294649E-2</v>
      </c>
      <c r="BM11" s="64">
        <f t="shared" si="0"/>
        <v>0.11840445301905334</v>
      </c>
      <c r="BN11" s="336">
        <f t="shared" si="0"/>
        <v>9.5494360259592348E-2</v>
      </c>
      <c r="BO11" s="64">
        <f t="shared" si="0"/>
        <v>0.20324921078523106</v>
      </c>
      <c r="BP11" s="64">
        <f t="shared" si="0"/>
        <v>0.41565428148718397</v>
      </c>
      <c r="BQ11" s="64">
        <f t="shared" si="0"/>
        <v>0.42857692011993542</v>
      </c>
      <c r="BR11" s="64">
        <f t="shared" si="0"/>
        <v>0.4653764565716445</v>
      </c>
      <c r="BS11" s="336">
        <f t="shared" si="0"/>
        <v>0.38234744200496373</v>
      </c>
      <c r="BT11" s="64">
        <f t="shared" si="0"/>
        <v>0.42963276956610064</v>
      </c>
      <c r="BU11" s="64">
        <f t="shared" si="0"/>
        <v>0.30145314196013784</v>
      </c>
      <c r="BV11" s="64">
        <f t="shared" ref="BV11:DA11" si="1">BV10/BQ10-1</f>
        <v>0.26039532407425181</v>
      </c>
      <c r="BW11" s="64">
        <f t="shared" si="1"/>
        <v>0.22586297655703591</v>
      </c>
      <c r="BX11" s="336">
        <f t="shared" si="1"/>
        <v>0.295184756614981</v>
      </c>
      <c r="BY11" s="64">
        <f t="shared" si="1"/>
        <v>0.21886535573427657</v>
      </c>
      <c r="BZ11" s="64">
        <f t="shared" si="1"/>
        <v>0.20270643017909573</v>
      </c>
      <c r="CA11" s="64">
        <f t="shared" si="1"/>
        <v>0.20232676234176772</v>
      </c>
      <c r="CB11" s="64">
        <f t="shared" si="1"/>
        <v>0.19912323013664768</v>
      </c>
      <c r="CC11" s="336">
        <f t="shared" si="1"/>
        <v>0.2052972059488043</v>
      </c>
      <c r="CD11" s="64">
        <f t="shared" si="1"/>
        <v>0.23119540997576005</v>
      </c>
      <c r="CE11" s="64">
        <f t="shared" si="1"/>
        <v>0.23588755368883874</v>
      </c>
      <c r="CF11" s="64">
        <f t="shared" si="1"/>
        <v>0.21046650406689693</v>
      </c>
      <c r="CG11" s="64">
        <f t="shared" si="1"/>
        <v>0.2228933319761246</v>
      </c>
      <c r="CH11" s="336">
        <f t="shared" si="1"/>
        <v>0.22472011535698067</v>
      </c>
      <c r="CI11" s="64">
        <f t="shared" si="1"/>
        <v>0.19683728477881912</v>
      </c>
      <c r="CJ11" s="64">
        <f t="shared" si="1"/>
        <v>0.16230357293838749</v>
      </c>
      <c r="CK11" s="64">
        <f t="shared" si="1"/>
        <v>0.13397822039252727</v>
      </c>
      <c r="CL11" s="64">
        <f t="shared" si="1"/>
        <v>0.12435591177219774</v>
      </c>
      <c r="CM11" s="336">
        <f t="shared" si="1"/>
        <v>0.15279888249672546</v>
      </c>
      <c r="CN11" s="64">
        <f t="shared" si="1"/>
        <v>0.13421457765135236</v>
      </c>
      <c r="CO11" s="64">
        <f t="shared" si="1"/>
        <v>0.18099078145104741</v>
      </c>
      <c r="CP11" s="64">
        <f t="shared" si="1"/>
        <v>0.18642266769539262</v>
      </c>
      <c r="CQ11" s="64">
        <f t="shared" si="1"/>
        <v>0.16639477249638102</v>
      </c>
      <c r="CR11" s="336">
        <f t="shared" si="1"/>
        <v>0.16737064980653882</v>
      </c>
      <c r="CS11" s="64">
        <f t="shared" si="1"/>
        <v>0.10731203169408343</v>
      </c>
      <c r="CT11" s="64">
        <f t="shared" si="1"/>
        <v>8.0873530117590686E-2</v>
      </c>
      <c r="CU11" s="64">
        <f t="shared" si="1"/>
        <v>7.1183800623052962E-2</v>
      </c>
      <c r="CV11" s="64">
        <f t="shared" si="1"/>
        <v>3.5405674084270089E-2</v>
      </c>
      <c r="CW11" s="405">
        <f t="shared" si="1"/>
        <v>7.2637870035379581E-2</v>
      </c>
      <c r="CX11" s="64">
        <f t="shared" si="1"/>
        <v>7.0234113712374535E-2</v>
      </c>
      <c r="CY11" s="64">
        <f t="shared" si="1"/>
        <v>4.0556542332741197E-2</v>
      </c>
      <c r="CZ11" s="64">
        <f t="shared" si="1"/>
        <v>3.7516358877417444E-2</v>
      </c>
      <c r="DA11" s="64">
        <f t="shared" si="1"/>
        <v>5.3914327917282234E-2</v>
      </c>
      <c r="DB11" s="405">
        <f>DB10/CW10-1</f>
        <v>5.025809216778776E-2</v>
      </c>
      <c r="DC11" s="741">
        <v>0.05</v>
      </c>
      <c r="DD11" s="741">
        <v>0.05</v>
      </c>
      <c r="DE11" s="741">
        <v>0.05</v>
      </c>
      <c r="DF11" s="741">
        <v>0.05</v>
      </c>
      <c r="DG11" s="405">
        <f>DG10/DB10-1</f>
        <v>5.0000000000000044E-2</v>
      </c>
      <c r="DH11" s="741">
        <v>0.04</v>
      </c>
      <c r="DI11" s="741">
        <v>0.04</v>
      </c>
      <c r="DJ11" s="741">
        <v>0.04</v>
      </c>
      <c r="DK11" s="741">
        <v>0.04</v>
      </c>
      <c r="DL11" s="405">
        <f>DL10/DG10-1</f>
        <v>4.0000000000000036E-2</v>
      </c>
      <c r="DM11" s="741">
        <v>0.04</v>
      </c>
      <c r="DN11" s="741">
        <v>0.04</v>
      </c>
      <c r="DO11" s="741">
        <v>0.04</v>
      </c>
      <c r="DP11" s="741">
        <v>0.04</v>
      </c>
      <c r="DQ11" s="405">
        <f>DQ10/DL10-1</f>
        <v>3.9999999999999813E-2</v>
      </c>
      <c r="DR11" s="32"/>
      <c r="DS11" s="33"/>
      <c r="DT11"/>
      <c r="DU11"/>
      <c r="DV11"/>
      <c r="DW11"/>
      <c r="DX11"/>
      <c r="DY11"/>
    </row>
    <row r="12" spans="1:129" s="38" customFormat="1" hidden="1" outlineLevel="1">
      <c r="A12" s="652"/>
      <c r="B12" s="653"/>
      <c r="C12" s="557" t="s">
        <v>348</v>
      </c>
      <c r="D12" s="654"/>
      <c r="E12" s="654"/>
      <c r="F12" s="654"/>
      <c r="G12" s="32"/>
      <c r="H12" s="68"/>
      <c r="I12" s="68"/>
      <c r="J12" s="69"/>
      <c r="K12" s="32"/>
      <c r="L12" s="66"/>
      <c r="M12" s="68"/>
      <c r="N12" s="68"/>
      <c r="O12" s="68"/>
      <c r="P12" s="332"/>
      <c r="Q12" s="68"/>
      <c r="R12" s="68"/>
      <c r="S12" s="68"/>
      <c r="T12" s="68"/>
      <c r="U12" s="332"/>
      <c r="V12" s="68"/>
      <c r="W12" s="68"/>
      <c r="X12" s="68"/>
      <c r="Y12" s="68"/>
      <c r="Z12" s="332"/>
      <c r="AA12" s="68"/>
      <c r="AB12" s="68"/>
      <c r="AC12" s="68"/>
      <c r="AD12" s="68"/>
      <c r="AE12" s="332"/>
      <c r="AF12" s="68"/>
      <c r="AG12" s="68"/>
      <c r="AH12" s="68"/>
      <c r="AI12" s="68"/>
      <c r="AJ12" s="332"/>
      <c r="AK12" s="68"/>
      <c r="AL12" s="68">
        <f>AL10/AK10-1</f>
        <v>8.5843447496437575E-2</v>
      </c>
      <c r="AM12" s="68">
        <f>AM10/AL10-1</f>
        <v>0.14791685522068354</v>
      </c>
      <c r="AN12" s="68">
        <f>AN10/AM10-1</f>
        <v>0.1430354796320632</v>
      </c>
      <c r="AO12" s="332"/>
      <c r="AP12" s="68">
        <f>AP10/AN10-1</f>
        <v>3.1373225268724436E-2</v>
      </c>
      <c r="AQ12" s="68">
        <f>AQ10/AP10-1</f>
        <v>0.15825846579129244</v>
      </c>
      <c r="AR12" s="68">
        <f>AR10/AQ10-1</f>
        <v>0.13556663330510421</v>
      </c>
      <c r="AS12" s="68">
        <f>AS10/AR10-1</f>
        <v>9.6051661454758408E-2</v>
      </c>
      <c r="AT12" s="332"/>
      <c r="AU12" s="68">
        <f>AU10/AS10-1</f>
        <v>5.0350645233621538E-2</v>
      </c>
      <c r="AV12" s="68">
        <f>AV10/AU10-1</f>
        <v>0.19693032500276053</v>
      </c>
      <c r="AW12" s="68">
        <f>AW10/AV10-1</f>
        <v>0.11945484849043964</v>
      </c>
      <c r="AX12" s="68">
        <f>AX10/AW10-1</f>
        <v>9.5698274914844284E-2</v>
      </c>
      <c r="AY12" s="332"/>
      <c r="AZ12" s="68">
        <f>AZ10/AX10-1</f>
        <v>7.3912324069013824E-2</v>
      </c>
      <c r="BA12" s="68">
        <f>BA10/AZ10-1</f>
        <v>0.13483518535811001</v>
      </c>
      <c r="BB12" s="68">
        <f>BB10/BA10-1</f>
        <v>7.2468001596320164E-2</v>
      </c>
      <c r="BC12" s="68">
        <f>BC10/BB10-1</f>
        <v>8.760017339732129E-2</v>
      </c>
      <c r="BD12" s="332"/>
      <c r="BE12" s="68">
        <f>BE10/BC10-1</f>
        <v>3.129364956191738E-2</v>
      </c>
      <c r="BF12" s="68">
        <f>BF10/BE10-1</f>
        <v>7.449893973595989E-2</v>
      </c>
      <c r="BG12" s="68">
        <f>BG10/BF10-1</f>
        <v>7.9073853616923984E-2</v>
      </c>
      <c r="BH12" s="68">
        <f>BH10/BG10-1</f>
        <v>-1.5840521055799917E-3</v>
      </c>
      <c r="BI12" s="332"/>
      <c r="BJ12" s="68">
        <f>BJ10/BH10-1</f>
        <v>-2.1050796680326278E-2</v>
      </c>
      <c r="BK12" s="68">
        <f>BK10/BJ10-1</f>
        <v>3.6397438296382756E-3</v>
      </c>
      <c r="BL12" s="68">
        <f>BL10/BK10-1</f>
        <v>9.5168216317644383E-2</v>
      </c>
      <c r="BM12" s="68">
        <f>BM10/BL10-1</f>
        <v>3.9393623213873408E-2</v>
      </c>
      <c r="BN12" s="332"/>
      <c r="BO12" s="68">
        <f>BO10/BM10-1</f>
        <v>5.32145621501392E-2</v>
      </c>
      <c r="BP12" s="68">
        <f>BP10/BO10-1</f>
        <v>0.18080850391409808</v>
      </c>
      <c r="BQ12" s="68">
        <f>BQ10/BP10-1</f>
        <v>0.10516533446055742</v>
      </c>
      <c r="BR12" s="68">
        <f>BR10/BQ10-1</f>
        <v>6.616796275865755E-2</v>
      </c>
      <c r="BS12" s="332"/>
      <c r="BT12" s="68">
        <f>BT10/BR10-1</f>
        <v>2.752439121123218E-2</v>
      </c>
      <c r="BU12" s="68">
        <f>BU10/BT10-1</f>
        <v>7.4938243013740857E-2</v>
      </c>
      <c r="BV12" s="68">
        <f>BV10/BU10-1</f>
        <v>7.0299940100116087E-2</v>
      </c>
      <c r="BW12" s="68">
        <f>BW10/BV10-1</f>
        <v>3.6957062100368976E-2</v>
      </c>
      <c r="BX12" s="332"/>
      <c r="BY12" s="68">
        <f>BY10/BW10-1</f>
        <v>2.1658950935005361E-2</v>
      </c>
      <c r="BZ12" s="68">
        <f>BZ10/BY10-1</f>
        <v>6.0687409676360549E-2</v>
      </c>
      <c r="CA12" s="68">
        <f>CA10/BZ10-1</f>
        <v>6.9962070065206827E-2</v>
      </c>
      <c r="CB12" s="68">
        <f>CB10/CA10-1</f>
        <v>3.4194148183943174E-2</v>
      </c>
      <c r="CC12" s="332"/>
      <c r="CD12" s="68">
        <f>CD10/CB10-1</f>
        <v>4.8984607535697222E-2</v>
      </c>
      <c r="CE12" s="68">
        <f>CE10/CD10-1</f>
        <v>6.4729739367106243E-2</v>
      </c>
      <c r="CF12" s="68">
        <f>CF10/CE10-1</f>
        <v>4.7953952259069066E-2</v>
      </c>
      <c r="CG12" s="68">
        <f>CG10/CF10-1</f>
        <v>4.481133805333104E-2</v>
      </c>
      <c r="CH12" s="332"/>
      <c r="CI12" s="68">
        <f>CI10/CG10-1</f>
        <v>2.6634013474456042E-2</v>
      </c>
      <c r="CJ12" s="68">
        <f>CJ10/CI10-1</f>
        <v>3.4007877277025367E-2</v>
      </c>
      <c r="CK12" s="68">
        <f>CK10/CJ10-1</f>
        <v>2.2415301393079679E-2</v>
      </c>
      <c r="CL12" s="68">
        <f>CL10/CK10-1</f>
        <v>3.5945650014553188E-2</v>
      </c>
      <c r="CM12" s="332"/>
      <c r="CN12" s="68">
        <f>CN10/CL10-1</f>
        <v>3.5635826524086367E-2</v>
      </c>
      <c r="CO12" s="68">
        <f>CO10/CN10-1</f>
        <v>7.665145121005934E-2</v>
      </c>
      <c r="CP12" s="68">
        <f>CP10/CO10-1</f>
        <v>2.7117830573554214E-2</v>
      </c>
      <c r="CQ12" s="68">
        <f>CQ10/CP10-1</f>
        <v>1.84579439252337E-2</v>
      </c>
      <c r="CR12" s="336"/>
      <c r="CS12" s="68">
        <f>CS10/CQ10-1</f>
        <v>-1.6823430450409127E-2</v>
      </c>
      <c r="CT12" s="68">
        <f>CT10/CS10-1</f>
        <v>5.0945010500116572E-2</v>
      </c>
      <c r="CU12" s="68">
        <f>CU10/CT10-1</f>
        <v>1.7910005920663163E-2</v>
      </c>
      <c r="CV12" s="68">
        <f>CV10/CU10-1</f>
        <v>-1.5559110077068561E-2</v>
      </c>
      <c r="CW12" s="336"/>
      <c r="CX12" s="68">
        <f>CX10/CV10-1</f>
        <v>1.6248153618906969E-2</v>
      </c>
      <c r="CY12" s="68">
        <f>CY10/CX10-1</f>
        <v>2.1802325581395277E-2</v>
      </c>
      <c r="CZ12" s="68">
        <f>CZ10/CY10-1</f>
        <v>1.4935988620199181E-2</v>
      </c>
      <c r="DA12" s="68">
        <f>DA10/CZ10-1</f>
        <v>0</v>
      </c>
      <c r="DB12" s="336"/>
      <c r="DC12" s="68">
        <f>DC10/DA10-1</f>
        <v>1.2473721093202439E-2</v>
      </c>
      <c r="DD12" s="68">
        <f>DD10/DC10-1</f>
        <v>2.1802325581395277E-2</v>
      </c>
      <c r="DE12" s="68">
        <f>DE10/DD10-1</f>
        <v>1.4935988620199181E-2</v>
      </c>
      <c r="DF12" s="68">
        <f>DF10/DE10-1</f>
        <v>0</v>
      </c>
      <c r="DG12" s="336"/>
      <c r="DH12" s="68">
        <f>DH10/DF10-1</f>
        <v>2.8311142256480792E-3</v>
      </c>
      <c r="DI12" s="68">
        <f>DI10/DH10-1</f>
        <v>2.1802325581395277E-2</v>
      </c>
      <c r="DJ12" s="68">
        <f>DJ10/DI10-1</f>
        <v>1.4935988620199181E-2</v>
      </c>
      <c r="DK12" s="68">
        <f>DK10/DJ10-1</f>
        <v>0</v>
      </c>
      <c r="DL12" s="336"/>
      <c r="DM12" s="68">
        <f>DM10/DK10-1</f>
        <v>2.8311142256483013E-3</v>
      </c>
      <c r="DN12" s="68">
        <f>DN10/DM10-1</f>
        <v>2.1802325581395277E-2</v>
      </c>
      <c r="DO12" s="68">
        <f>DO10/DN10-1</f>
        <v>1.4935988620199181E-2</v>
      </c>
      <c r="DP12" s="68">
        <f>DP10/DO10-1</f>
        <v>0</v>
      </c>
      <c r="DQ12" s="336"/>
      <c r="DR12" s="32"/>
      <c r="DS12" s="33"/>
      <c r="DT12"/>
      <c r="DU12"/>
      <c r="DV12"/>
      <c r="DW12"/>
      <c r="DX12"/>
      <c r="DY12"/>
    </row>
    <row r="13" spans="1:129" s="60" customFormat="1" collapsed="1">
      <c r="A13" s="681"/>
      <c r="B13" s="579" t="s">
        <v>6</v>
      </c>
      <c r="C13" s="580"/>
      <c r="D13" s="580"/>
      <c r="E13" s="580"/>
      <c r="F13" s="580"/>
      <c r="G13" s="62"/>
      <c r="H13" s="61"/>
      <c r="I13" s="61"/>
      <c r="J13" s="63"/>
      <c r="K13" s="35"/>
      <c r="L13" s="62"/>
      <c r="M13" s="61"/>
      <c r="N13" s="61"/>
      <c r="O13" s="61"/>
      <c r="P13" s="333"/>
      <c r="Q13" s="61"/>
      <c r="R13" s="61"/>
      <c r="S13" s="61"/>
      <c r="T13" s="61"/>
      <c r="U13" s="333"/>
      <c r="V13" s="61"/>
      <c r="W13" s="61"/>
      <c r="X13" s="61"/>
      <c r="Y13" s="61"/>
      <c r="Z13" s="333"/>
      <c r="AA13" s="61"/>
      <c r="AB13" s="61"/>
      <c r="AC13" s="61"/>
      <c r="AD13" s="61"/>
      <c r="AE13" s="333"/>
      <c r="AF13" s="61"/>
      <c r="AG13" s="61"/>
      <c r="AH13" s="61"/>
      <c r="AI13" s="61"/>
      <c r="AJ13" s="333"/>
      <c r="AK13" s="61">
        <v>23.329000000000001</v>
      </c>
      <c r="AL13" s="61">
        <v>26.904</v>
      </c>
      <c r="AM13" s="61">
        <v>31.34</v>
      </c>
      <c r="AN13" s="61">
        <v>34.796999999999997</v>
      </c>
      <c r="AO13" s="333">
        <f>SUM(AK13:AN13)</f>
        <v>116.37</v>
      </c>
      <c r="AP13" s="61">
        <v>35.274999999999999</v>
      </c>
      <c r="AQ13" s="61">
        <v>39.735999999999997</v>
      </c>
      <c r="AR13" s="61">
        <v>47.000999999999998</v>
      </c>
      <c r="AS13" s="61">
        <v>54.09</v>
      </c>
      <c r="AT13" s="333">
        <f>SUM(AP13:AS13)</f>
        <v>176.102</v>
      </c>
      <c r="AU13" s="61">
        <v>62.505000000000003</v>
      </c>
      <c r="AV13" s="61">
        <v>73.391999999999996</v>
      </c>
      <c r="AW13" s="61">
        <v>87.411000000000001</v>
      </c>
      <c r="AX13" s="61">
        <v>107.55200000000002</v>
      </c>
      <c r="AY13" s="333">
        <f>SUM(AU13:AX13)</f>
        <v>330.86</v>
      </c>
      <c r="AZ13" s="61">
        <v>110.04</v>
      </c>
      <c r="BA13" s="61">
        <v>118.625</v>
      </c>
      <c r="BB13" s="61">
        <v>130.41399999999999</v>
      </c>
      <c r="BC13" s="61">
        <v>145.42500000000001</v>
      </c>
      <c r="BD13" s="333">
        <f>SUM(AZ13:BC13)</f>
        <v>504.50400000000002</v>
      </c>
      <c r="BE13" s="61">
        <v>159.65100000000001</v>
      </c>
      <c r="BF13" s="61">
        <v>164.501</v>
      </c>
      <c r="BG13" s="61">
        <v>174.18299999999999</v>
      </c>
      <c r="BH13" s="61">
        <v>189.88900000000001</v>
      </c>
      <c r="BI13" s="333">
        <f>SUM(BE13:BH13)</f>
        <v>688.22400000000005</v>
      </c>
      <c r="BJ13" s="61">
        <v>189.32599999999999</v>
      </c>
      <c r="BK13" s="61">
        <v>204.376</v>
      </c>
      <c r="BL13" s="61">
        <v>226.435</v>
      </c>
      <c r="BM13" s="61">
        <v>240.29</v>
      </c>
      <c r="BN13" s="333">
        <f>SUM(BJ13:BM13)</f>
        <v>860.42699999999991</v>
      </c>
      <c r="BO13" s="61">
        <v>252.42500000000001</v>
      </c>
      <c r="BP13" s="61">
        <v>282.21499999999997</v>
      </c>
      <c r="BQ13" s="61">
        <v>303.226</v>
      </c>
      <c r="BR13" s="61">
        <v>339.24700000000007</v>
      </c>
      <c r="BS13" s="333">
        <f>SUM(BO13:BR13)</f>
        <v>1177.1130000000001</v>
      </c>
      <c r="BT13" s="61">
        <v>348.96899999999999</v>
      </c>
      <c r="BU13" s="61">
        <v>386.43400000000003</v>
      </c>
      <c r="BV13" s="61">
        <v>429.798</v>
      </c>
      <c r="BW13" s="61">
        <v>456.9559999999999</v>
      </c>
      <c r="BX13" s="333">
        <f>SUM(BT13:BW13)</f>
        <v>1622.1569999999999</v>
      </c>
      <c r="BY13" s="61">
        <v>467.40899999999999</v>
      </c>
      <c r="BZ13" s="61">
        <v>484.29</v>
      </c>
      <c r="CA13" s="61">
        <v>483.10899999999998</v>
      </c>
      <c r="CB13" s="61">
        <v>500.09</v>
      </c>
      <c r="CC13" s="333">
        <f>SUM(BY13:CB13)</f>
        <v>1934.8979999999999</v>
      </c>
      <c r="CD13" s="61">
        <v>510.01900000000001</v>
      </c>
      <c r="CE13" s="61">
        <v>541.57399999999996</v>
      </c>
      <c r="CF13" s="61">
        <v>599.947</v>
      </c>
      <c r="CG13" s="441">
        <v>613.28599999999994</v>
      </c>
      <c r="CH13" s="333">
        <f>SUM(CD13:CG13)</f>
        <v>2264.826</v>
      </c>
      <c r="CI13" s="441">
        <v>615.91600000000005</v>
      </c>
      <c r="CJ13" s="61">
        <v>645.43899999999996</v>
      </c>
      <c r="CK13" s="61">
        <v>655.41499999999996</v>
      </c>
      <c r="CL13" s="441">
        <f>772.657</f>
        <v>772.65700000000004</v>
      </c>
      <c r="CM13" s="333">
        <f>SUM(CI13:CL13)</f>
        <v>2689.4270000000001</v>
      </c>
      <c r="CN13" s="441">
        <v>879.1</v>
      </c>
      <c r="CO13" s="61">
        <v>897.3</v>
      </c>
      <c r="CP13" s="61">
        <v>939.2</v>
      </c>
      <c r="CQ13" s="441">
        <v>951.9</v>
      </c>
      <c r="CR13" s="352">
        <f>SUM(CN13:CQ13)</f>
        <v>3667.5000000000005</v>
      </c>
      <c r="CS13" s="441">
        <v>914.1</v>
      </c>
      <c r="CT13" s="61">
        <v>958.8</v>
      </c>
      <c r="CU13" s="61">
        <v>992.8</v>
      </c>
      <c r="CV13" s="441">
        <v>1005</v>
      </c>
      <c r="CW13" s="355">
        <f>SUM(CS13:CV13)</f>
        <v>3870.7</v>
      </c>
      <c r="CX13" s="441">
        <v>1003</v>
      </c>
      <c r="CY13" s="441">
        <v>1050</v>
      </c>
      <c r="CZ13" s="61">
        <v>1085</v>
      </c>
      <c r="DA13" s="36">
        <v>1125</v>
      </c>
      <c r="DB13" s="355">
        <f>SUM(CX13:DA13)</f>
        <v>4263</v>
      </c>
      <c r="DC13" s="36">
        <f>(1+DC14)*CX13</f>
        <v>1098.2850000000001</v>
      </c>
      <c r="DD13" s="36">
        <f>(1+DD14)*CY13</f>
        <v>1149.75</v>
      </c>
      <c r="DE13" s="36">
        <f>(1+DE14)*CZ13</f>
        <v>1182.6500000000001</v>
      </c>
      <c r="DF13" s="36">
        <f>(1+DF14)*DA13</f>
        <v>1226.25</v>
      </c>
      <c r="DG13" s="355">
        <f>SUM(DC13:DF13)</f>
        <v>4656.9349999999995</v>
      </c>
      <c r="DH13" s="36">
        <f>(1+DH14)*DC13</f>
        <v>1191.6392250000001</v>
      </c>
      <c r="DI13" s="36">
        <f>(1+DI14)*DD13</f>
        <v>1247.47875</v>
      </c>
      <c r="DJ13" s="36">
        <f>(1+DJ14)*DE13</f>
        <v>1283.17525</v>
      </c>
      <c r="DK13" s="36">
        <f>(1+DK14)*DF13</f>
        <v>1324.3500000000001</v>
      </c>
      <c r="DL13" s="355">
        <f>SUM(DH13:DK13)</f>
        <v>5046.6432250000007</v>
      </c>
      <c r="DM13" s="36">
        <f>(1+DM14)*DH13</f>
        <v>1292.928559125</v>
      </c>
      <c r="DN13" s="36">
        <f>(1+DN14)*DI13</f>
        <v>1347.2770500000001</v>
      </c>
      <c r="DO13" s="36">
        <f>(1+DO14)*DJ13</f>
        <v>1392.2451462500001</v>
      </c>
      <c r="DP13" s="36">
        <f>(1+DP14)*DK13</f>
        <v>1430.2980000000002</v>
      </c>
      <c r="DQ13" s="355">
        <f>SUM(DM13:DP13)</f>
        <v>5462.7487553749997</v>
      </c>
      <c r="DR13" s="35"/>
      <c r="DS13" s="36"/>
      <c r="DT13"/>
      <c r="DU13"/>
      <c r="DV13"/>
      <c r="DW13"/>
      <c r="DX13"/>
      <c r="DY13"/>
    </row>
    <row r="14" spans="1:129" s="38" customFormat="1">
      <c r="A14" s="652"/>
      <c r="B14" s="653"/>
      <c r="C14" s="557" t="s">
        <v>216</v>
      </c>
      <c r="D14" s="654"/>
      <c r="E14" s="654"/>
      <c r="F14" s="654"/>
      <c r="G14" s="32"/>
      <c r="H14" s="33"/>
      <c r="I14" s="33"/>
      <c r="J14" s="34"/>
      <c r="K14" s="32"/>
      <c r="L14" s="67"/>
      <c r="M14" s="64"/>
      <c r="N14" s="64"/>
      <c r="O14" s="64"/>
      <c r="P14" s="336"/>
      <c r="Q14" s="64"/>
      <c r="R14" s="64"/>
      <c r="S14" s="64"/>
      <c r="T14" s="64"/>
      <c r="U14" s="336"/>
      <c r="V14" s="64"/>
      <c r="W14" s="64"/>
      <c r="X14" s="64"/>
      <c r="Y14" s="64"/>
      <c r="Z14" s="336"/>
      <c r="AA14" s="64"/>
      <c r="AB14" s="64"/>
      <c r="AC14" s="64"/>
      <c r="AD14" s="64"/>
      <c r="AE14" s="336"/>
      <c r="AF14" s="64"/>
      <c r="AG14" s="64"/>
      <c r="AH14" s="64"/>
      <c r="AI14" s="64"/>
      <c r="AJ14" s="336"/>
      <c r="AK14" s="64"/>
      <c r="AL14" s="64"/>
      <c r="AM14" s="64"/>
      <c r="AN14" s="64"/>
      <c r="AO14" s="336"/>
      <c r="AP14" s="64">
        <f t="shared" ref="AP14:BU14" si="2">AP13/AK13-1</f>
        <v>0.51206652664066166</v>
      </c>
      <c r="AQ14" s="64">
        <f t="shared" si="2"/>
        <v>0.47695509961344018</v>
      </c>
      <c r="AR14" s="64">
        <f t="shared" si="2"/>
        <v>0.49971282705807263</v>
      </c>
      <c r="AS14" s="64">
        <f t="shared" si="2"/>
        <v>0.55444434865074599</v>
      </c>
      <c r="AT14" s="336">
        <f t="shared" si="2"/>
        <v>0.51329380424508031</v>
      </c>
      <c r="AU14" s="64">
        <f t="shared" si="2"/>
        <v>0.77193479801559195</v>
      </c>
      <c r="AV14" s="64">
        <f t="shared" si="2"/>
        <v>0.84699013489027575</v>
      </c>
      <c r="AW14" s="64">
        <f t="shared" si="2"/>
        <v>0.85976894108636004</v>
      </c>
      <c r="AX14" s="64">
        <f t="shared" si="2"/>
        <v>0.98838972083564447</v>
      </c>
      <c r="AY14" s="336">
        <f t="shared" si="2"/>
        <v>0.87879751507648973</v>
      </c>
      <c r="AZ14" s="64">
        <f t="shared" si="2"/>
        <v>0.76049916006719465</v>
      </c>
      <c r="BA14" s="64">
        <f t="shared" si="2"/>
        <v>0.61632057989971667</v>
      </c>
      <c r="BB14" s="64">
        <f t="shared" si="2"/>
        <v>0.49196325405269348</v>
      </c>
      <c r="BC14" s="64">
        <f t="shared" si="2"/>
        <v>0.35213664088069008</v>
      </c>
      <c r="BD14" s="336">
        <f t="shared" si="2"/>
        <v>0.52482621048177469</v>
      </c>
      <c r="BE14" s="64">
        <f t="shared" si="2"/>
        <v>0.450845147219193</v>
      </c>
      <c r="BF14" s="64">
        <f t="shared" si="2"/>
        <v>0.38673129610115908</v>
      </c>
      <c r="BG14" s="64">
        <f t="shared" si="2"/>
        <v>0.33561580811876035</v>
      </c>
      <c r="BH14" s="64">
        <f t="shared" si="2"/>
        <v>0.30575210589651025</v>
      </c>
      <c r="BI14" s="336">
        <f t="shared" si="2"/>
        <v>0.36415964987393568</v>
      </c>
      <c r="BJ14" s="64">
        <f t="shared" si="2"/>
        <v>0.18587418807273348</v>
      </c>
      <c r="BK14" s="64">
        <f t="shared" si="2"/>
        <v>0.24239974225080707</v>
      </c>
      <c r="BL14" s="64">
        <f t="shared" si="2"/>
        <v>0.29998335084365291</v>
      </c>
      <c r="BM14" s="64">
        <f t="shared" si="2"/>
        <v>0.26542348424605944</v>
      </c>
      <c r="BN14" s="336">
        <f t="shared" si="2"/>
        <v>0.25021359324870951</v>
      </c>
      <c r="BO14" s="64">
        <f t="shared" si="2"/>
        <v>0.33328227501769447</v>
      </c>
      <c r="BP14" s="64">
        <f t="shared" si="2"/>
        <v>0.3808617450189844</v>
      </c>
      <c r="BQ14" s="64">
        <f t="shared" si="2"/>
        <v>0.33913043478260874</v>
      </c>
      <c r="BR14" s="64">
        <f t="shared" si="2"/>
        <v>0.41182321361688001</v>
      </c>
      <c r="BS14" s="336">
        <f t="shared" si="2"/>
        <v>0.36805679040755357</v>
      </c>
      <c r="BT14" s="64">
        <f t="shared" si="2"/>
        <v>0.38246607903337626</v>
      </c>
      <c r="BU14" s="64">
        <f t="shared" si="2"/>
        <v>0.36928937157840669</v>
      </c>
      <c r="BV14" s="64">
        <f t="shared" ref="BV14:DA14" si="3">BV13/BQ13-1</f>
        <v>0.4174180314352991</v>
      </c>
      <c r="BW14" s="64">
        <f t="shared" si="3"/>
        <v>0.3469713807343906</v>
      </c>
      <c r="BX14" s="336">
        <f t="shared" si="3"/>
        <v>0.37808094889785426</v>
      </c>
      <c r="BY14" s="68">
        <f t="shared" si="3"/>
        <v>0.33939977476509364</v>
      </c>
      <c r="BZ14" s="64">
        <f t="shared" si="3"/>
        <v>0.25322823561073826</v>
      </c>
      <c r="CA14" s="64">
        <f t="shared" si="3"/>
        <v>0.12403733847063036</v>
      </c>
      <c r="CB14" s="64">
        <f t="shared" si="3"/>
        <v>9.439420863277892E-2</v>
      </c>
      <c r="CC14" s="336">
        <f t="shared" si="3"/>
        <v>0.19279329929223876</v>
      </c>
      <c r="CD14" s="64">
        <f t="shared" si="3"/>
        <v>9.1162129954707849E-2</v>
      </c>
      <c r="CE14" s="64">
        <f t="shared" si="3"/>
        <v>0.11828449895723625</v>
      </c>
      <c r="CF14" s="64">
        <f t="shared" si="3"/>
        <v>0.24184604302548696</v>
      </c>
      <c r="CG14" s="64">
        <f t="shared" si="3"/>
        <v>0.22635125677378065</v>
      </c>
      <c r="CH14" s="336">
        <f t="shared" si="3"/>
        <v>0.17051441471333373</v>
      </c>
      <c r="CI14" s="64">
        <f t="shared" si="3"/>
        <v>0.20763344110709614</v>
      </c>
      <c r="CJ14" s="64">
        <f t="shared" si="3"/>
        <v>0.19178357897535703</v>
      </c>
      <c r="CK14" s="64">
        <f t="shared" si="3"/>
        <v>9.2454833510293266E-2</v>
      </c>
      <c r="CL14" s="64">
        <f t="shared" si="3"/>
        <v>0.25986407646677101</v>
      </c>
      <c r="CM14" s="336">
        <f t="shared" si="3"/>
        <v>0.18747621230063594</v>
      </c>
      <c r="CN14" s="64">
        <f t="shared" si="3"/>
        <v>0.42730502211340493</v>
      </c>
      <c r="CO14" s="64">
        <f t="shared" si="3"/>
        <v>0.39021658127259129</v>
      </c>
      <c r="CP14" s="64">
        <f t="shared" si="3"/>
        <v>0.43298520784541106</v>
      </c>
      <c r="CQ14" s="64">
        <f t="shared" si="3"/>
        <v>0.23198262618471066</v>
      </c>
      <c r="CR14" s="336">
        <f t="shared" si="3"/>
        <v>0.3636733772658638</v>
      </c>
      <c r="CS14" s="64">
        <f t="shared" si="3"/>
        <v>3.9813445569332195E-2</v>
      </c>
      <c r="CT14" s="64">
        <f t="shared" si="3"/>
        <v>6.8538950183884895E-2</v>
      </c>
      <c r="CU14" s="64">
        <f t="shared" si="3"/>
        <v>5.7069846678023728E-2</v>
      </c>
      <c r="CV14" s="64">
        <f t="shared" si="3"/>
        <v>5.5783170501103152E-2</v>
      </c>
      <c r="CW14" s="405">
        <f t="shared" si="3"/>
        <v>5.5405589638718222E-2</v>
      </c>
      <c r="CX14" s="64">
        <f t="shared" si="3"/>
        <v>9.725412974510439E-2</v>
      </c>
      <c r="CY14" s="64">
        <f t="shared" si="3"/>
        <v>9.5118898623279158E-2</v>
      </c>
      <c r="CZ14" s="64">
        <f t="shared" si="3"/>
        <v>9.2868654311039522E-2</v>
      </c>
      <c r="DA14" s="64">
        <f t="shared" si="3"/>
        <v>0.11940298507462677</v>
      </c>
      <c r="DB14" s="405">
        <f>DB13/CW13-1</f>
        <v>0.10135117678972794</v>
      </c>
      <c r="DC14" s="741">
        <v>9.5000000000000001E-2</v>
      </c>
      <c r="DD14" s="741">
        <v>9.5000000000000001E-2</v>
      </c>
      <c r="DE14" s="741">
        <v>0.09</v>
      </c>
      <c r="DF14" s="741">
        <v>0.09</v>
      </c>
      <c r="DG14" s="405">
        <f>DG13/DB13-1</f>
        <v>9.2407928688716723E-2</v>
      </c>
      <c r="DH14" s="741">
        <v>8.5000000000000006E-2</v>
      </c>
      <c r="DI14" s="741">
        <v>8.5000000000000006E-2</v>
      </c>
      <c r="DJ14" s="741">
        <v>8.5000000000000006E-2</v>
      </c>
      <c r="DK14" s="741">
        <v>0.08</v>
      </c>
      <c r="DL14" s="405">
        <f>DL13/DG13-1</f>
        <v>8.3683415164695463E-2</v>
      </c>
      <c r="DM14" s="741">
        <v>8.5000000000000006E-2</v>
      </c>
      <c r="DN14" s="741">
        <v>0.08</v>
      </c>
      <c r="DO14" s="741">
        <v>8.5000000000000006E-2</v>
      </c>
      <c r="DP14" s="741">
        <v>0.08</v>
      </c>
      <c r="DQ14" s="405">
        <f>DQ13/DL13-1</f>
        <v>8.2451941186113764E-2</v>
      </c>
      <c r="DR14" s="32"/>
      <c r="DS14" s="33"/>
      <c r="DT14"/>
      <c r="DU14"/>
      <c r="DV14"/>
      <c r="DW14"/>
      <c r="DX14"/>
      <c r="DY14"/>
    </row>
    <row r="15" spans="1:129" s="38" customFormat="1" hidden="1" outlineLevel="1">
      <c r="A15" s="652"/>
      <c r="B15" s="653"/>
      <c r="C15" s="557" t="s">
        <v>348</v>
      </c>
      <c r="D15" s="654"/>
      <c r="E15" s="654"/>
      <c r="F15" s="654"/>
      <c r="G15" s="32"/>
      <c r="H15" s="68"/>
      <c r="I15" s="68"/>
      <c r="J15" s="69"/>
      <c r="K15" s="32"/>
      <c r="L15" s="66"/>
      <c r="M15" s="68"/>
      <c r="N15" s="68"/>
      <c r="O15" s="68"/>
      <c r="P15" s="332"/>
      <c r="Q15" s="68"/>
      <c r="R15" s="68"/>
      <c r="S15" s="68"/>
      <c r="T15" s="68"/>
      <c r="U15" s="332"/>
      <c r="V15" s="68"/>
      <c r="W15" s="68"/>
      <c r="X15" s="68"/>
      <c r="Y15" s="68"/>
      <c r="Z15" s="332"/>
      <c r="AA15" s="68"/>
      <c r="AB15" s="68"/>
      <c r="AC15" s="68"/>
      <c r="AD15" s="68"/>
      <c r="AE15" s="332"/>
      <c r="AF15" s="68"/>
      <c r="AG15" s="68"/>
      <c r="AH15" s="68"/>
      <c r="AI15" s="68"/>
      <c r="AJ15" s="332"/>
      <c r="AK15" s="68"/>
      <c r="AL15" s="68">
        <f>AL13/AK13-1</f>
        <v>0.15324274508122926</v>
      </c>
      <c r="AM15" s="68">
        <f>AM13/AL13-1</f>
        <v>0.16488254534641689</v>
      </c>
      <c r="AN15" s="68">
        <f>AN13/AM13-1</f>
        <v>0.11030631780472233</v>
      </c>
      <c r="AO15" s="332"/>
      <c r="AP15" s="68">
        <f>AP13/AN13-1</f>
        <v>1.3736816392217799E-2</v>
      </c>
      <c r="AQ15" s="68">
        <f>AQ13/AP13-1</f>
        <v>0.12646350106307569</v>
      </c>
      <c r="AR15" s="68">
        <f>AR13/AQ13-1</f>
        <v>0.18283168914837944</v>
      </c>
      <c r="AS15" s="68">
        <f>AS13/AR13-1</f>
        <v>0.15082657815791167</v>
      </c>
      <c r="AT15" s="332"/>
      <c r="AU15" s="68">
        <f>AU13/AS13-1</f>
        <v>0.15557404326123137</v>
      </c>
      <c r="AV15" s="68">
        <f>AV13/AU13-1</f>
        <v>0.1741780657547396</v>
      </c>
      <c r="AW15" s="68">
        <f>AW13/AV13-1</f>
        <v>0.19101536952256382</v>
      </c>
      <c r="AX15" s="68">
        <f>AX13/AW13-1</f>
        <v>0.23041722437679479</v>
      </c>
      <c r="AY15" s="332"/>
      <c r="AZ15" s="68">
        <f>AZ13/AX13-1</f>
        <v>2.3132996132103401E-2</v>
      </c>
      <c r="BA15" s="68">
        <f>BA13/AZ13-1</f>
        <v>7.8017084696473837E-2</v>
      </c>
      <c r="BB15" s="68">
        <f>BB13/BA13-1</f>
        <v>9.9380400421496207E-2</v>
      </c>
      <c r="BC15" s="68">
        <f>BC13/BB13-1</f>
        <v>0.11510267302590238</v>
      </c>
      <c r="BD15" s="332"/>
      <c r="BE15" s="68">
        <f>BE13/BC13-1</f>
        <v>9.7823620422898383E-2</v>
      </c>
      <c r="BF15" s="68">
        <f>BF13/BE13-1</f>
        <v>3.0378763678273302E-2</v>
      </c>
      <c r="BG15" s="68">
        <f>BG13/BF13-1</f>
        <v>5.8856785065136252E-2</v>
      </c>
      <c r="BH15" s="68">
        <f>BH13/BG13-1</f>
        <v>9.0169534340320379E-2</v>
      </c>
      <c r="BI15" s="332"/>
      <c r="BJ15" s="68">
        <f>BJ13/BH13-1</f>
        <v>-2.9648900146929114E-3</v>
      </c>
      <c r="BK15" s="68">
        <f>BK13/BJ13-1</f>
        <v>7.9492515555179999E-2</v>
      </c>
      <c r="BL15" s="68">
        <f>BL13/BK13-1</f>
        <v>0.10793341683955071</v>
      </c>
      <c r="BM15" s="68">
        <f>BM13/BL13-1</f>
        <v>6.1187537262348934E-2</v>
      </c>
      <c r="BN15" s="332"/>
      <c r="BO15" s="68">
        <f>BO13/BM13-1</f>
        <v>5.0501477381497351E-2</v>
      </c>
      <c r="BP15" s="68">
        <f>BP13/BO13-1</f>
        <v>0.11801525205506569</v>
      </c>
      <c r="BQ15" s="68">
        <f>BQ13/BP13-1</f>
        <v>7.4450330421841571E-2</v>
      </c>
      <c r="BR15" s="68">
        <f>BR13/BQ13-1</f>
        <v>0.11879258374941482</v>
      </c>
      <c r="BS15" s="332"/>
      <c r="BT15" s="68">
        <f>BT13/BR13-1</f>
        <v>2.8657585770839322E-2</v>
      </c>
      <c r="BU15" s="68">
        <f>BU13/BT13-1</f>
        <v>0.10735910639627022</v>
      </c>
      <c r="BV15" s="68">
        <f>BV13/BU13-1</f>
        <v>0.11221579881687416</v>
      </c>
      <c r="BW15" s="68">
        <f>BW13/BV13-1</f>
        <v>6.318782311690585E-2</v>
      </c>
      <c r="BX15" s="332"/>
      <c r="BY15" s="68">
        <f>BY13/BW13-1</f>
        <v>2.2875287773877817E-2</v>
      </c>
      <c r="BZ15" s="68">
        <f>BZ13/BY13-1</f>
        <v>3.6116120998953782E-2</v>
      </c>
      <c r="CA15" s="68">
        <f>CA13/BZ13-1</f>
        <v>-2.4386214871255918E-3</v>
      </c>
      <c r="CB15" s="68">
        <f>CB13/CA13-1</f>
        <v>3.5149417626249901E-2</v>
      </c>
      <c r="CC15" s="332"/>
      <c r="CD15" s="68">
        <f>CD13/CB13-1</f>
        <v>1.9854426203283371E-2</v>
      </c>
      <c r="CE15" s="68">
        <f>CE13/CD13-1</f>
        <v>6.1870244049731404E-2</v>
      </c>
      <c r="CF15" s="68">
        <f>CF13/CE13-1</f>
        <v>0.10778397781281979</v>
      </c>
      <c r="CG15" s="68">
        <f>CG13/CF13-1</f>
        <v>2.2233630637372936E-2</v>
      </c>
      <c r="CH15" s="332"/>
      <c r="CI15" s="68">
        <f>CI13/CG13-1</f>
        <v>4.2883744288964021E-3</v>
      </c>
      <c r="CJ15" s="68">
        <f>CJ13/CI13-1</f>
        <v>4.7933484436189167E-2</v>
      </c>
      <c r="CK15" s="68">
        <f>CK13/CJ13-1</f>
        <v>1.5456146901566159E-2</v>
      </c>
      <c r="CL15" s="68">
        <f>CL13/CK13-1</f>
        <v>0.1788820823447741</v>
      </c>
      <c r="CM15" s="332"/>
      <c r="CN15" s="68">
        <f>CN13/CL13-1</f>
        <v>0.13776229297087839</v>
      </c>
      <c r="CO15" s="68">
        <f>CO13/CN13-1</f>
        <v>2.0702991696052608E-2</v>
      </c>
      <c r="CP15" s="68">
        <f>CP13/CO13-1</f>
        <v>4.6695642483004729E-2</v>
      </c>
      <c r="CQ15" s="68">
        <f>CQ13/CP13-1</f>
        <v>1.3522146507666033E-2</v>
      </c>
      <c r="CR15" s="336"/>
      <c r="CS15" s="68">
        <f>CS13/CQ13-1</f>
        <v>-3.971005357705637E-2</v>
      </c>
      <c r="CT15" s="68">
        <f>CT13/CS13-1</f>
        <v>4.8900557925828592E-2</v>
      </c>
      <c r="CU15" s="68">
        <f>CU13/CT13-1</f>
        <v>3.5460992907801359E-2</v>
      </c>
      <c r="CV15" s="68">
        <f>CV13/CU13-1</f>
        <v>1.2288477034649414E-2</v>
      </c>
      <c r="CW15" s="336"/>
      <c r="CX15" s="68">
        <f>CX13/CV13-1</f>
        <v>-1.9900497512437276E-3</v>
      </c>
      <c r="CY15" s="68">
        <f>CY13/CX13-1</f>
        <v>4.6859421734795514E-2</v>
      </c>
      <c r="CZ15" s="68">
        <f>CZ13/CY13-1</f>
        <v>3.3333333333333437E-2</v>
      </c>
      <c r="DA15" s="68">
        <f>DA13/CZ13-1</f>
        <v>3.6866359447004671E-2</v>
      </c>
      <c r="DB15" s="336"/>
      <c r="DC15" s="68">
        <f>DC13/DA13-1</f>
        <v>-2.3746666666666583E-2</v>
      </c>
      <c r="DD15" s="68">
        <f>DD13/DC13-1</f>
        <v>4.6859421734795514E-2</v>
      </c>
      <c r="DE15" s="68">
        <f>DE13/DD13-1</f>
        <v>2.8614916286149317E-2</v>
      </c>
      <c r="DF15" s="68">
        <f>DF13/DE13-1</f>
        <v>3.6866359447004449E-2</v>
      </c>
      <c r="DG15" s="336"/>
      <c r="DH15" s="68">
        <f>DH13/DF13-1</f>
        <v>-2.8224892966360771E-2</v>
      </c>
      <c r="DI15" s="68">
        <f>DI13/DH13-1</f>
        <v>4.6859421734795514E-2</v>
      </c>
      <c r="DJ15" s="68">
        <f>DJ13/DI13-1</f>
        <v>2.8614916286149095E-2</v>
      </c>
      <c r="DK15" s="68">
        <f>DK13/DJ13-1</f>
        <v>3.2088173458769687E-2</v>
      </c>
      <c r="DL15" s="336"/>
      <c r="DM15" s="68">
        <f>DM13/DK13-1</f>
        <v>-2.372593413750157E-2</v>
      </c>
      <c r="DN15" s="68">
        <f>DN13/DM13-1</f>
        <v>4.2035184768275835E-2</v>
      </c>
      <c r="DO15" s="68">
        <f>DO13/DN13-1</f>
        <v>3.3377022380066457E-2</v>
      </c>
      <c r="DP15" s="68">
        <f>DP13/DO13-1</f>
        <v>2.733200676080294E-2</v>
      </c>
      <c r="DQ15" s="336"/>
      <c r="DR15" s="32"/>
      <c r="DS15" s="33"/>
      <c r="DT15"/>
      <c r="DU15"/>
      <c r="DV15"/>
      <c r="DW15"/>
      <c r="DX15"/>
      <c r="DY15"/>
    </row>
    <row r="16" spans="1:129" s="60" customFormat="1" collapsed="1">
      <c r="A16" s="681"/>
      <c r="B16" s="577" t="s">
        <v>336</v>
      </c>
      <c r="C16" s="580"/>
      <c r="D16" s="580"/>
      <c r="E16" s="580"/>
      <c r="F16" s="580"/>
      <c r="G16" s="62"/>
      <c r="H16" s="61"/>
      <c r="I16" s="61"/>
      <c r="J16" s="63"/>
      <c r="K16" s="35"/>
      <c r="L16" s="62"/>
      <c r="M16" s="61"/>
      <c r="N16" s="61"/>
      <c r="O16" s="61"/>
      <c r="P16" s="333"/>
      <c r="Q16" s="61"/>
      <c r="R16" s="61"/>
      <c r="S16" s="61"/>
      <c r="T16" s="61"/>
      <c r="U16" s="333"/>
      <c r="V16" s="61"/>
      <c r="W16" s="61"/>
      <c r="X16" s="61"/>
      <c r="Y16" s="61"/>
      <c r="Z16" s="333"/>
      <c r="AA16" s="61"/>
      <c r="AB16" s="61"/>
      <c r="AC16" s="61"/>
      <c r="AD16" s="61"/>
      <c r="AE16" s="333"/>
      <c r="AF16" s="61"/>
      <c r="AG16" s="61"/>
      <c r="AH16" s="61"/>
      <c r="AI16" s="61"/>
      <c r="AJ16" s="333"/>
      <c r="AK16" s="61">
        <v>19.814</v>
      </c>
      <c r="AL16" s="61">
        <v>26.587</v>
      </c>
      <c r="AM16" s="61">
        <v>27.334</v>
      </c>
      <c r="AN16" s="61">
        <v>31.593000000000004</v>
      </c>
      <c r="AO16" s="333">
        <f>SUM(AK16:AN16)</f>
        <v>105.328</v>
      </c>
      <c r="AP16" s="61">
        <v>35.936</v>
      </c>
      <c r="AQ16" s="61">
        <v>37.993000000000002</v>
      </c>
      <c r="AR16" s="61">
        <v>38.482999999999997</v>
      </c>
      <c r="AS16" s="61">
        <v>40.123999999999995</v>
      </c>
      <c r="AT16" s="333">
        <f>SUM(AP16:AS16)</f>
        <v>152.536</v>
      </c>
      <c r="AU16" s="61">
        <v>44.994999999999997</v>
      </c>
      <c r="AV16" s="61">
        <v>52.241999999999997</v>
      </c>
      <c r="AW16" s="61">
        <v>55.293999999999997</v>
      </c>
      <c r="AX16" s="61">
        <v>57.171999999999997</v>
      </c>
      <c r="AY16" s="333">
        <f>SUM(AU16:AX16)</f>
        <v>209.703</v>
      </c>
      <c r="AZ16" s="61">
        <v>69.783000000000001</v>
      </c>
      <c r="BA16" s="61">
        <v>77.213999999999999</v>
      </c>
      <c r="BB16" s="61">
        <v>86.451999999999998</v>
      </c>
      <c r="BC16" s="61">
        <v>86.666999999999973</v>
      </c>
      <c r="BD16" s="333">
        <f>SUM(AZ16:BC16)</f>
        <v>320.11599999999999</v>
      </c>
      <c r="BE16" s="61">
        <v>97.486000000000004</v>
      </c>
      <c r="BF16" s="61">
        <v>106.871</v>
      </c>
      <c r="BG16" s="61">
        <v>115.395</v>
      </c>
      <c r="BH16" s="61">
        <v>123.48399999999998</v>
      </c>
      <c r="BI16" s="333">
        <f>SUM(BE16:BH16)</f>
        <v>443.23599999999999</v>
      </c>
      <c r="BJ16" s="61">
        <v>123.09</v>
      </c>
      <c r="BK16" s="61">
        <v>132.441</v>
      </c>
      <c r="BL16" s="61">
        <v>146.642</v>
      </c>
      <c r="BM16" s="61">
        <v>162.74400000000003</v>
      </c>
      <c r="BN16" s="333">
        <f>SUM(BJ16:BM16)</f>
        <v>564.91700000000003</v>
      </c>
      <c r="BO16" s="61">
        <v>173.131</v>
      </c>
      <c r="BP16" s="61">
        <v>203.11699999999999</v>
      </c>
      <c r="BQ16" s="61">
        <v>230.22399999999999</v>
      </c>
      <c r="BR16" s="61">
        <v>243.17099999999999</v>
      </c>
      <c r="BS16" s="333">
        <f>SUM(BO16:BR16)</f>
        <v>849.64300000000003</v>
      </c>
      <c r="BT16" s="61">
        <v>274.33499999999998</v>
      </c>
      <c r="BU16" s="61">
        <v>294.37599999999998</v>
      </c>
      <c r="BV16" s="61">
        <v>310.05599999999998</v>
      </c>
      <c r="BW16" s="61">
        <v>318.70499999999998</v>
      </c>
      <c r="BX16" s="333">
        <f>SUM(BT16:BW16)</f>
        <v>1197.472</v>
      </c>
      <c r="BY16" s="61">
        <v>334.79399999999998</v>
      </c>
      <c r="BZ16" s="61">
        <v>358.61099999999999</v>
      </c>
      <c r="CA16" s="61">
        <v>396.55700000000002</v>
      </c>
      <c r="CB16" s="61">
        <v>408.70600000000002</v>
      </c>
      <c r="CC16" s="333">
        <f>SUM(BY16:CB16)</f>
        <v>1498.6680000000001</v>
      </c>
      <c r="CD16" s="61">
        <v>425.846</v>
      </c>
      <c r="CE16" s="61">
        <v>461.59399999999999</v>
      </c>
      <c r="CF16" s="61">
        <v>490.62200000000001</v>
      </c>
      <c r="CG16" s="441">
        <v>490.24299999999999</v>
      </c>
      <c r="CH16" s="333">
        <f>SUM(CD16:CG16)</f>
        <v>1868.3050000000001</v>
      </c>
      <c r="CI16" s="441">
        <v>511.93099999999998</v>
      </c>
      <c r="CJ16" s="61">
        <v>514.30899999999997</v>
      </c>
      <c r="CK16" s="61">
        <v>533.048</v>
      </c>
      <c r="CL16" s="441">
        <v>534.27200000000005</v>
      </c>
      <c r="CM16" s="333">
        <f>SUM(CI16:CL16)</f>
        <v>2093.56</v>
      </c>
      <c r="CN16" s="441">
        <v>548.9</v>
      </c>
      <c r="CO16" s="61">
        <v>578.29999999999995</v>
      </c>
      <c r="CP16" s="61">
        <v>606.20000000000005</v>
      </c>
      <c r="CQ16" s="441">
        <v>610.5</v>
      </c>
      <c r="CR16" s="352">
        <f>SUM(CN16:CQ16)</f>
        <v>2343.8999999999996</v>
      </c>
      <c r="CS16" s="441">
        <v>632.5</v>
      </c>
      <c r="CT16" s="61">
        <v>660.4</v>
      </c>
      <c r="CU16" s="61">
        <v>678.7</v>
      </c>
      <c r="CV16" s="441">
        <v>688</v>
      </c>
      <c r="CW16" s="355">
        <f>SUM(CS16:CV16)</f>
        <v>2659.6000000000004</v>
      </c>
      <c r="CX16" s="441">
        <v>737</v>
      </c>
      <c r="CY16" s="441">
        <v>747</v>
      </c>
      <c r="CZ16" s="61">
        <v>774</v>
      </c>
      <c r="DA16" s="36">
        <v>782</v>
      </c>
      <c r="DB16" s="355">
        <f>SUM(CX16:DA16)</f>
        <v>3040</v>
      </c>
      <c r="DC16" s="36">
        <f>(1+DC17)*CX16</f>
        <v>825.44</v>
      </c>
      <c r="DD16" s="36">
        <f>(1+DD17)*CY16</f>
        <v>836.6400000000001</v>
      </c>
      <c r="DE16" s="36">
        <f>(1+DE17)*CZ16</f>
        <v>866.88000000000011</v>
      </c>
      <c r="DF16" s="36">
        <f>(1+DF17)*DA16</f>
        <v>875.84</v>
      </c>
      <c r="DG16" s="355">
        <f>SUM(DC16:DF16)</f>
        <v>3404.8</v>
      </c>
      <c r="DH16" s="36">
        <f>(1+DH17)*DC16</f>
        <v>916.23840000000018</v>
      </c>
      <c r="DI16" s="36">
        <f>(1+DI17)*DD16</f>
        <v>928.6704000000002</v>
      </c>
      <c r="DJ16" s="36">
        <f>(1+DJ17)*DE16</f>
        <v>962.23680000000024</v>
      </c>
      <c r="DK16" s="36">
        <f>(1+DK17)*DF16</f>
        <v>972.18240000000014</v>
      </c>
      <c r="DL16" s="355">
        <f>SUM(DH16:DK16)</f>
        <v>3779.3280000000009</v>
      </c>
      <c r="DM16" s="36">
        <f>(1+DM17)*DH16</f>
        <v>1017.0246240000002</v>
      </c>
      <c r="DN16" s="36">
        <f>(1+DN17)*DI16</f>
        <v>1030.8241440000004</v>
      </c>
      <c r="DO16" s="36">
        <f>(1+DO17)*DJ16</f>
        <v>1068.0828480000005</v>
      </c>
      <c r="DP16" s="36">
        <f>(1+DP17)*DK16</f>
        <v>1079.1224640000003</v>
      </c>
      <c r="DQ16" s="355">
        <f>SUM(DM16:DP16)</f>
        <v>4195.0540800000017</v>
      </c>
      <c r="DR16" s="35"/>
      <c r="DS16" s="36"/>
      <c r="DT16"/>
      <c r="DU16"/>
      <c r="DV16"/>
      <c r="DW16"/>
      <c r="DX16"/>
      <c r="DY16"/>
    </row>
    <row r="17" spans="1:129" s="38" customFormat="1">
      <c r="A17" s="652"/>
      <c r="B17" s="653"/>
      <c r="C17" s="557" t="s">
        <v>216</v>
      </c>
      <c r="D17" s="654"/>
      <c r="E17" s="654"/>
      <c r="F17" s="654"/>
      <c r="G17" s="32"/>
      <c r="H17" s="33"/>
      <c r="I17" s="33"/>
      <c r="J17" s="34"/>
      <c r="K17" s="32"/>
      <c r="L17" s="67"/>
      <c r="M17" s="64"/>
      <c r="N17" s="64"/>
      <c r="O17" s="64"/>
      <c r="P17" s="336"/>
      <c r="Q17" s="64"/>
      <c r="R17" s="64"/>
      <c r="S17" s="64"/>
      <c r="T17" s="64"/>
      <c r="U17" s="336"/>
      <c r="V17" s="64"/>
      <c r="W17" s="64"/>
      <c r="X17" s="64"/>
      <c r="Y17" s="64"/>
      <c r="Z17" s="336"/>
      <c r="AA17" s="64"/>
      <c r="AB17" s="64"/>
      <c r="AC17" s="64"/>
      <c r="AD17" s="64"/>
      <c r="AE17" s="336"/>
      <c r="AF17" s="64"/>
      <c r="AG17" s="64"/>
      <c r="AH17" s="64"/>
      <c r="AI17" s="64"/>
      <c r="AJ17" s="336"/>
      <c r="AK17" s="64"/>
      <c r="AL17" s="64"/>
      <c r="AM17" s="64"/>
      <c r="AN17" s="64"/>
      <c r="AO17" s="336"/>
      <c r="AP17" s="64">
        <f t="shared" ref="AP17:BU17" si="4">AP16/AK16-1</f>
        <v>0.81366710406783072</v>
      </c>
      <c r="AQ17" s="64">
        <f t="shared" si="4"/>
        <v>0.4290066573889495</v>
      </c>
      <c r="AR17" s="64">
        <f t="shared" si="4"/>
        <v>0.40788029560254624</v>
      </c>
      <c r="AS17" s="64">
        <f t="shared" si="4"/>
        <v>0.27002817079732822</v>
      </c>
      <c r="AT17" s="336">
        <f t="shared" si="4"/>
        <v>0.44819990885614458</v>
      </c>
      <c r="AU17" s="64">
        <f t="shared" si="4"/>
        <v>0.25208704363312551</v>
      </c>
      <c r="AV17" s="64">
        <f t="shared" si="4"/>
        <v>0.37504277103676986</v>
      </c>
      <c r="AW17" s="64">
        <f t="shared" si="4"/>
        <v>0.43684224202894795</v>
      </c>
      <c r="AX17" s="64">
        <f t="shared" si="4"/>
        <v>0.42488286312431467</v>
      </c>
      <c r="AY17" s="336">
        <f t="shared" si="4"/>
        <v>0.37477710179891965</v>
      </c>
      <c r="AZ17" s="64">
        <f t="shared" si="4"/>
        <v>0.55090565618402065</v>
      </c>
      <c r="BA17" s="64">
        <f t="shared" si="4"/>
        <v>0.47800620190651211</v>
      </c>
      <c r="BB17" s="64">
        <f t="shared" si="4"/>
        <v>0.56349694361051839</v>
      </c>
      <c r="BC17" s="64">
        <f t="shared" si="4"/>
        <v>0.51589939131043128</v>
      </c>
      <c r="BD17" s="336">
        <f t="shared" si="4"/>
        <v>0.52652084138042832</v>
      </c>
      <c r="BE17" s="64">
        <f t="shared" si="4"/>
        <v>0.39698780505280662</v>
      </c>
      <c r="BF17" s="64">
        <f t="shared" si="4"/>
        <v>0.38408837775532922</v>
      </c>
      <c r="BG17" s="64">
        <f t="shared" si="4"/>
        <v>0.33478693378984858</v>
      </c>
      <c r="BH17" s="64">
        <f t="shared" si="4"/>
        <v>0.4248099045772904</v>
      </c>
      <c r="BI17" s="336">
        <f t="shared" si="4"/>
        <v>0.38461057866523385</v>
      </c>
      <c r="BJ17" s="64">
        <f t="shared" si="4"/>
        <v>0.26264284102332636</v>
      </c>
      <c r="BK17" s="64">
        <f t="shared" si="4"/>
        <v>0.23926041676413634</v>
      </c>
      <c r="BL17" s="64">
        <f t="shared" si="4"/>
        <v>0.27078296286667536</v>
      </c>
      <c r="BM17" s="64">
        <f t="shared" si="4"/>
        <v>0.3179359269217068</v>
      </c>
      <c r="BN17" s="336">
        <f t="shared" si="4"/>
        <v>0.27452869351767473</v>
      </c>
      <c r="BO17" s="64">
        <f t="shared" si="4"/>
        <v>0.40653993013242329</v>
      </c>
      <c r="BP17" s="64">
        <f t="shared" si="4"/>
        <v>0.53364139503628016</v>
      </c>
      <c r="BQ17" s="64">
        <f t="shared" si="4"/>
        <v>0.56997313184490106</v>
      </c>
      <c r="BR17" s="64">
        <f t="shared" si="4"/>
        <v>0.49419333431647217</v>
      </c>
      <c r="BS17" s="336">
        <f t="shared" si="4"/>
        <v>0.50401386398355852</v>
      </c>
      <c r="BT17" s="64">
        <f t="shared" si="4"/>
        <v>0.58455158232783266</v>
      </c>
      <c r="BU17" s="64">
        <f t="shared" si="4"/>
        <v>0.44929277214610286</v>
      </c>
      <c r="BV17" s="64">
        <f t="shared" ref="BV17:DA17" si="5">BV16/BQ16-1</f>
        <v>0.34675794009312666</v>
      </c>
      <c r="BW17" s="64">
        <f t="shared" si="5"/>
        <v>0.31062092108022754</v>
      </c>
      <c r="BX17" s="336">
        <f t="shared" si="5"/>
        <v>0.40938252889743088</v>
      </c>
      <c r="BY17" s="68">
        <f t="shared" si="5"/>
        <v>0.22038383727923883</v>
      </c>
      <c r="BZ17" s="64">
        <f t="shared" si="5"/>
        <v>0.21820732668424059</v>
      </c>
      <c r="CA17" s="64">
        <f t="shared" si="5"/>
        <v>0.27898508656500765</v>
      </c>
      <c r="CB17" s="64">
        <f t="shared" si="5"/>
        <v>0.28239594609435059</v>
      </c>
      <c r="CC17" s="336">
        <f t="shared" si="5"/>
        <v>0.2515265492637826</v>
      </c>
      <c r="CD17" s="64">
        <f t="shared" si="5"/>
        <v>0.27196425264490998</v>
      </c>
      <c r="CE17" s="64">
        <f t="shared" si="5"/>
        <v>0.28717189377905306</v>
      </c>
      <c r="CF17" s="64">
        <f t="shared" si="5"/>
        <v>0.23720423545669345</v>
      </c>
      <c r="CG17" s="64">
        <f t="shared" si="5"/>
        <v>0.19950037435222367</v>
      </c>
      <c r="CH17" s="336">
        <f t="shared" si="5"/>
        <v>0.24664368626006561</v>
      </c>
      <c r="CI17" s="64">
        <f t="shared" si="5"/>
        <v>0.20215054268444455</v>
      </c>
      <c r="CJ17" s="64">
        <f t="shared" si="5"/>
        <v>0.11420209101504786</v>
      </c>
      <c r="CK17" s="64">
        <f t="shared" si="5"/>
        <v>8.6473904553811209E-2</v>
      </c>
      <c r="CL17" s="64">
        <f t="shared" si="5"/>
        <v>8.9810563332877846E-2</v>
      </c>
      <c r="CM17" s="336">
        <f t="shared" si="5"/>
        <v>0.12056650279263814</v>
      </c>
      <c r="CN17" s="64">
        <f t="shared" si="5"/>
        <v>7.2214810199030754E-2</v>
      </c>
      <c r="CO17" s="64">
        <f t="shared" si="5"/>
        <v>0.12442131092397757</v>
      </c>
      <c r="CP17" s="64">
        <f t="shared" si="5"/>
        <v>0.13723341987963567</v>
      </c>
      <c r="CQ17" s="64">
        <f t="shared" si="5"/>
        <v>0.14267638955438411</v>
      </c>
      <c r="CR17" s="336">
        <f t="shared" si="5"/>
        <v>0.11957622423049719</v>
      </c>
      <c r="CS17" s="64">
        <f t="shared" si="5"/>
        <v>0.15230460921843703</v>
      </c>
      <c r="CT17" s="64">
        <f t="shared" si="5"/>
        <v>0.14196783676292579</v>
      </c>
      <c r="CU17" s="64">
        <f t="shared" si="5"/>
        <v>0.11959749257670738</v>
      </c>
      <c r="CV17" s="64">
        <f t="shared" si="5"/>
        <v>0.12694512694512694</v>
      </c>
      <c r="CW17" s="405">
        <f t="shared" si="5"/>
        <v>0.13469004650369065</v>
      </c>
      <c r="CX17" s="64">
        <f t="shared" si="5"/>
        <v>0.16521739130434776</v>
      </c>
      <c r="CY17" s="64">
        <f t="shared" si="5"/>
        <v>0.13113264688067838</v>
      </c>
      <c r="CZ17" s="64">
        <f t="shared" si="5"/>
        <v>0.14041550022101057</v>
      </c>
      <c r="DA17" s="64">
        <f t="shared" si="5"/>
        <v>0.13662790697674421</v>
      </c>
      <c r="DB17" s="405">
        <f>DB16/CW16-1</f>
        <v>0.14302902692134145</v>
      </c>
      <c r="DC17" s="741">
        <v>0.12</v>
      </c>
      <c r="DD17" s="741">
        <v>0.12</v>
      </c>
      <c r="DE17" s="741">
        <v>0.12</v>
      </c>
      <c r="DF17" s="741">
        <v>0.12</v>
      </c>
      <c r="DG17" s="405">
        <f>DG16/DB16-1</f>
        <v>0.12000000000000011</v>
      </c>
      <c r="DH17" s="741">
        <v>0.11</v>
      </c>
      <c r="DI17" s="741">
        <v>0.11</v>
      </c>
      <c r="DJ17" s="741">
        <v>0.11</v>
      </c>
      <c r="DK17" s="741">
        <v>0.11</v>
      </c>
      <c r="DL17" s="405">
        <f>DL16/DG16-1</f>
        <v>0.1100000000000001</v>
      </c>
      <c r="DM17" s="741">
        <v>0.11</v>
      </c>
      <c r="DN17" s="741">
        <v>0.11</v>
      </c>
      <c r="DO17" s="741">
        <v>0.11</v>
      </c>
      <c r="DP17" s="741">
        <v>0.11</v>
      </c>
      <c r="DQ17" s="405">
        <f>DQ16/DL16-1</f>
        <v>0.1100000000000001</v>
      </c>
      <c r="DR17" s="32"/>
      <c r="DS17" s="33"/>
      <c r="DT17"/>
      <c r="DU17"/>
      <c r="DV17"/>
      <c r="DW17"/>
      <c r="DX17"/>
      <c r="DY17"/>
    </row>
    <row r="18" spans="1:129" s="38" customFormat="1" hidden="1" outlineLevel="1">
      <c r="A18" s="652"/>
      <c r="B18" s="653"/>
      <c r="C18" s="557" t="s">
        <v>348</v>
      </c>
      <c r="D18" s="654"/>
      <c r="E18" s="654"/>
      <c r="F18" s="654"/>
      <c r="G18" s="32"/>
      <c r="H18" s="68"/>
      <c r="I18" s="68"/>
      <c r="J18" s="69"/>
      <c r="K18" s="32"/>
      <c r="L18" s="66"/>
      <c r="M18" s="68"/>
      <c r="N18" s="68"/>
      <c r="O18" s="68"/>
      <c r="P18" s="332"/>
      <c r="Q18" s="68"/>
      <c r="R18" s="68"/>
      <c r="S18" s="68"/>
      <c r="T18" s="68"/>
      <c r="U18" s="332"/>
      <c r="V18" s="68"/>
      <c r="W18" s="68"/>
      <c r="X18" s="68"/>
      <c r="Y18" s="68"/>
      <c r="Z18" s="332"/>
      <c r="AA18" s="68"/>
      <c r="AB18" s="68"/>
      <c r="AC18" s="68"/>
      <c r="AD18" s="68"/>
      <c r="AE18" s="332"/>
      <c r="AF18" s="68"/>
      <c r="AG18" s="68"/>
      <c r="AH18" s="68"/>
      <c r="AI18" s="68"/>
      <c r="AJ18" s="332"/>
      <c r="AK18" s="68"/>
      <c r="AL18" s="68">
        <f>AL16/AK16-1</f>
        <v>0.34182900979105679</v>
      </c>
      <c r="AM18" s="68">
        <f>AM16/AL16-1</f>
        <v>2.8096438108850208E-2</v>
      </c>
      <c r="AN18" s="68">
        <f>AN16/AM16-1</f>
        <v>0.15581327284700386</v>
      </c>
      <c r="AO18" s="332"/>
      <c r="AP18" s="68">
        <f>AP16/AN16-1</f>
        <v>0.13746716044693441</v>
      </c>
      <c r="AQ18" s="68">
        <f>AQ16/AP16-1</f>
        <v>5.7240650044523722E-2</v>
      </c>
      <c r="AR18" s="68">
        <f>AR16/AQ16-1</f>
        <v>1.289711262601001E-2</v>
      </c>
      <c r="AS18" s="68">
        <f>AS16/AR16-1</f>
        <v>4.26422056492477E-2</v>
      </c>
      <c r="AT18" s="332"/>
      <c r="AU18" s="68">
        <f>AU16/AS16-1</f>
        <v>0.1213986641411624</v>
      </c>
      <c r="AV18" s="68">
        <f>AV16/AU16-1</f>
        <v>0.16106234026002886</v>
      </c>
      <c r="AW18" s="68">
        <f>AW16/AV16-1</f>
        <v>5.8420428008115977E-2</v>
      </c>
      <c r="AX18" s="68">
        <f>AX16/AW16-1</f>
        <v>3.3963902050855532E-2</v>
      </c>
      <c r="AY18" s="332"/>
      <c r="AZ18" s="68">
        <f>AZ16/AX16-1</f>
        <v>0.22058000419785917</v>
      </c>
      <c r="BA18" s="68">
        <f>BA16/AZ16-1</f>
        <v>0.10648725334250453</v>
      </c>
      <c r="BB18" s="68">
        <f>BB16/BA16-1</f>
        <v>0.11964151578729254</v>
      </c>
      <c r="BC18" s="68">
        <f>BC16/BB16-1</f>
        <v>2.4869291630034152E-3</v>
      </c>
      <c r="BD18" s="332"/>
      <c r="BE18" s="68">
        <f>BE16/BC16-1</f>
        <v>0.12483413525332643</v>
      </c>
      <c r="BF18" s="68">
        <f>BF16/BE16-1</f>
        <v>9.6270233674578876E-2</v>
      </c>
      <c r="BG18" s="68">
        <f>BG16/BF16-1</f>
        <v>7.9759710304946996E-2</v>
      </c>
      <c r="BH18" s="68">
        <f>BH16/BG16-1</f>
        <v>7.0098357814463164E-2</v>
      </c>
      <c r="BI18" s="332"/>
      <c r="BJ18" s="68">
        <f>BJ16/BH16-1</f>
        <v>-3.1906967704316003E-3</v>
      </c>
      <c r="BK18" s="68">
        <f>BK16/BJ16-1</f>
        <v>7.5968803314647726E-2</v>
      </c>
      <c r="BL18" s="68">
        <f>BL16/BK16-1</f>
        <v>0.10722510400857743</v>
      </c>
      <c r="BM18" s="68">
        <f>BM16/BL16-1</f>
        <v>0.10980483081245507</v>
      </c>
      <c r="BN18" s="332"/>
      <c r="BO18" s="68">
        <f>BO16/BM16-1</f>
        <v>6.382416556063486E-2</v>
      </c>
      <c r="BP18" s="68">
        <f>BP16/BO16-1</f>
        <v>0.17319832958857728</v>
      </c>
      <c r="BQ18" s="68">
        <f>BQ16/BP16-1</f>
        <v>0.13345510223171875</v>
      </c>
      <c r="BR18" s="68">
        <f>BR16/BQ16-1</f>
        <v>5.6236534853012721E-2</v>
      </c>
      <c r="BS18" s="332"/>
      <c r="BT18" s="68">
        <f>BT16/BR16-1</f>
        <v>0.12815672921524346</v>
      </c>
      <c r="BU18" s="68">
        <f>BU16/BT16-1</f>
        <v>7.3053019118960449E-2</v>
      </c>
      <c r="BV18" s="68">
        <f>BV16/BU16-1</f>
        <v>5.3265211837921544E-2</v>
      </c>
      <c r="BW18" s="68">
        <f>BW16/BV16-1</f>
        <v>2.7894960910287203E-2</v>
      </c>
      <c r="BX18" s="332"/>
      <c r="BY18" s="68">
        <f>BY16/BW16-1</f>
        <v>5.0482421047677306E-2</v>
      </c>
      <c r="BZ18" s="68">
        <f>BZ16/BY16-1</f>
        <v>7.1139267728812294E-2</v>
      </c>
      <c r="CA18" s="68">
        <f>CA16/BZ16-1</f>
        <v>0.10581382054649757</v>
      </c>
      <c r="CB18" s="68">
        <f>CB16/CA16-1</f>
        <v>3.0636201100976646E-2</v>
      </c>
      <c r="CC18" s="332"/>
      <c r="CD18" s="68">
        <f>CD16/CB16-1</f>
        <v>4.1937236057214777E-2</v>
      </c>
      <c r="CE18" s="68">
        <f>CE16/CD16-1</f>
        <v>8.3945839575809034E-2</v>
      </c>
      <c r="CF18" s="68">
        <f>CF16/CE16-1</f>
        <v>6.2886432665935965E-2</v>
      </c>
      <c r="CG18" s="68">
        <f>CG16/CF16-1</f>
        <v>-7.7248879993152553E-4</v>
      </c>
      <c r="CH18" s="332"/>
      <c r="CI18" s="68">
        <f>CI16/CG16-1</f>
        <v>4.423928541559996E-2</v>
      </c>
      <c r="CJ18" s="68">
        <f>CJ16/CI16-1</f>
        <v>4.6451572575210154E-3</v>
      </c>
      <c r="CK18" s="68">
        <f>CK16/CJ16-1</f>
        <v>3.6435294735266188E-2</v>
      </c>
      <c r="CL18" s="68">
        <f>CL16/CK16-1</f>
        <v>2.2962284822380941E-3</v>
      </c>
      <c r="CM18" s="332"/>
      <c r="CN18" s="68">
        <f>CN16/CL16-1</f>
        <v>2.7379312410158008E-2</v>
      </c>
      <c r="CO18" s="68">
        <f>CO16/CN16-1</f>
        <v>5.3561668792129646E-2</v>
      </c>
      <c r="CP18" s="68">
        <f>CP16/CO16-1</f>
        <v>4.8244855611274673E-2</v>
      </c>
      <c r="CQ18" s="68">
        <f>CQ16/CP16-1</f>
        <v>7.0933685252392298E-3</v>
      </c>
      <c r="CR18" s="336"/>
      <c r="CS18" s="68">
        <f>CS16/CQ16-1</f>
        <v>3.6036036036036112E-2</v>
      </c>
      <c r="CT18" s="68">
        <f>CT16/CS16-1</f>
        <v>4.4110671936758772E-2</v>
      </c>
      <c r="CU18" s="68">
        <f>CU16/CT16-1</f>
        <v>2.7710478497880109E-2</v>
      </c>
      <c r="CV18" s="68">
        <f>CV16/CU16-1</f>
        <v>1.3702666863120605E-2</v>
      </c>
      <c r="CW18" s="336"/>
      <c r="CX18" s="68">
        <f>CX16/CV16-1</f>
        <v>7.1220930232558155E-2</v>
      </c>
      <c r="CY18" s="68">
        <f>CY16/CX16-1</f>
        <v>1.3568521031207537E-2</v>
      </c>
      <c r="CZ18" s="68">
        <f>CZ16/CY16-1</f>
        <v>3.6144578313253017E-2</v>
      </c>
      <c r="DA18" s="68">
        <f>DA16/CZ16-1</f>
        <v>1.0335917312661591E-2</v>
      </c>
      <c r="DB18" s="336"/>
      <c r="DC18" s="68">
        <f>DC16/DA16-1</f>
        <v>5.55498721227623E-2</v>
      </c>
      <c r="DD18" s="68">
        <f>DD16/DC16-1</f>
        <v>1.3568521031207759E-2</v>
      </c>
      <c r="DE18" s="68">
        <f>DE16/DD16-1</f>
        <v>3.6144578313253017E-2</v>
      </c>
      <c r="DF18" s="68">
        <f>DF16/DE16-1</f>
        <v>1.0335917312661369E-2</v>
      </c>
      <c r="DG18" s="336"/>
      <c r="DH18" s="68">
        <f>DH16/DF16-1</f>
        <v>4.6125319693094857E-2</v>
      </c>
      <c r="DI18" s="68">
        <f>DI16/DH16-1</f>
        <v>1.3568521031207537E-2</v>
      </c>
      <c r="DJ18" s="68">
        <f>DJ16/DI16-1</f>
        <v>3.6144578313253017E-2</v>
      </c>
      <c r="DK18" s="68">
        <f>DK16/DJ16-1</f>
        <v>1.0335917312661369E-2</v>
      </c>
      <c r="DL18" s="336"/>
      <c r="DM18" s="68">
        <f>DM16/DK16-1</f>
        <v>4.6125319693094635E-2</v>
      </c>
      <c r="DN18" s="68">
        <f>DN16/DM16-1</f>
        <v>1.3568521031207759E-2</v>
      </c>
      <c r="DO18" s="68">
        <f>DO16/DN16-1</f>
        <v>3.6144578313253017E-2</v>
      </c>
      <c r="DP18" s="68">
        <f>DP16/DO16-1</f>
        <v>1.0335917312661369E-2</v>
      </c>
      <c r="DQ18" s="336"/>
      <c r="DR18" s="32"/>
      <c r="DS18" s="33"/>
      <c r="DT18"/>
      <c r="DU18"/>
      <c r="DV18"/>
      <c r="DW18"/>
      <c r="DX18"/>
      <c r="DY18"/>
    </row>
    <row r="19" spans="1:129" s="60" customFormat="1" collapsed="1">
      <c r="A19" s="581"/>
      <c r="B19" s="577" t="s">
        <v>337</v>
      </c>
      <c r="C19" s="580"/>
      <c r="D19" s="580"/>
      <c r="E19" s="580"/>
      <c r="F19" s="580"/>
      <c r="G19" s="62"/>
      <c r="H19" s="61"/>
      <c r="I19" s="61"/>
      <c r="J19" s="63"/>
      <c r="K19" s="35"/>
      <c r="L19" s="62"/>
      <c r="M19" s="61"/>
      <c r="N19" s="61"/>
      <c r="O19" s="61"/>
      <c r="P19" s="333"/>
      <c r="Q19" s="61"/>
      <c r="R19" s="61"/>
      <c r="S19" s="61"/>
      <c r="T19" s="61"/>
      <c r="U19" s="333"/>
      <c r="V19" s="61"/>
      <c r="W19" s="61"/>
      <c r="X19" s="61"/>
      <c r="Y19" s="61"/>
      <c r="Z19" s="333"/>
      <c r="AA19" s="61"/>
      <c r="AB19" s="61"/>
      <c r="AC19" s="61"/>
      <c r="AD19" s="61"/>
      <c r="AE19" s="333"/>
      <c r="AF19" s="61"/>
      <c r="AG19" s="61"/>
      <c r="AH19" s="61"/>
      <c r="AI19" s="61"/>
      <c r="AJ19" s="333"/>
      <c r="AK19" s="61">
        <v>15.548</v>
      </c>
      <c r="AL19" s="61">
        <v>18.934000000000001</v>
      </c>
      <c r="AM19" s="61">
        <v>20.655000000000001</v>
      </c>
      <c r="AN19" s="61">
        <v>19.406000000000006</v>
      </c>
      <c r="AO19" s="333">
        <f>SUM(AK19:AN19)</f>
        <v>74.543000000000006</v>
      </c>
      <c r="AP19" s="61">
        <v>20.756</v>
      </c>
      <c r="AQ19" s="61">
        <v>30.07</v>
      </c>
      <c r="AR19" s="61">
        <v>32.052999999999997</v>
      </c>
      <c r="AS19" s="61">
        <v>33.354999999999997</v>
      </c>
      <c r="AT19" s="333">
        <f>SUM(AP19:AS19)</f>
        <v>116.23399999999998</v>
      </c>
      <c r="AU19" s="61">
        <v>42.134</v>
      </c>
      <c r="AV19" s="61">
        <v>48.604999999999997</v>
      </c>
      <c r="AW19" s="61">
        <v>52.796999999999997</v>
      </c>
      <c r="AX19" s="61">
        <v>60.266999999999996</v>
      </c>
      <c r="AY19" s="333">
        <f>SUM(AU19:AX19)</f>
        <v>203.803</v>
      </c>
      <c r="AZ19" s="61">
        <v>66.266999999999996</v>
      </c>
      <c r="BA19" s="61">
        <v>77.616</v>
      </c>
      <c r="BB19" s="61">
        <v>81.298000000000002</v>
      </c>
      <c r="BC19" s="61">
        <v>84.355999999999995</v>
      </c>
      <c r="BD19" s="333">
        <f>SUM(AZ19:BC19)</f>
        <v>309.53699999999998</v>
      </c>
      <c r="BE19" s="61">
        <v>93.588999999999999</v>
      </c>
      <c r="BF19" s="61">
        <v>99.893000000000001</v>
      </c>
      <c r="BG19" s="61">
        <v>106.14400000000001</v>
      </c>
      <c r="BH19" s="61">
        <v>101.205</v>
      </c>
      <c r="BI19" s="333">
        <f>SUM(BE19:BH19)</f>
        <v>400.83099999999996</v>
      </c>
      <c r="BJ19" s="61">
        <v>102.104</v>
      </c>
      <c r="BK19" s="61">
        <v>107.227</v>
      </c>
      <c r="BL19" s="61">
        <v>116.215</v>
      </c>
      <c r="BM19" s="61">
        <v>121.14399999999995</v>
      </c>
      <c r="BN19" s="333">
        <f>SUM(BJ19:BM19)</f>
        <v>446.69</v>
      </c>
      <c r="BO19" s="61">
        <v>135.477</v>
      </c>
      <c r="BP19" s="61">
        <v>149.04900000000001</v>
      </c>
      <c r="BQ19" s="61">
        <v>163.18100000000001</v>
      </c>
      <c r="BR19" s="61">
        <v>173.476</v>
      </c>
      <c r="BS19" s="333">
        <f>SUM(BO19:BR19)</f>
        <v>621.18299999999999</v>
      </c>
      <c r="BT19" s="61">
        <v>177.97300000000001</v>
      </c>
      <c r="BU19" s="61">
        <v>191.74299999999999</v>
      </c>
      <c r="BV19" s="61">
        <v>205.339</v>
      </c>
      <c r="BW19" s="61">
        <v>208.05</v>
      </c>
      <c r="BX19" s="333">
        <f>SUM(BT19:BW19)</f>
        <v>783.10500000000002</v>
      </c>
      <c r="BY19" s="61">
        <v>214.422</v>
      </c>
      <c r="BZ19" s="61">
        <v>215.434</v>
      </c>
      <c r="CA19" s="61">
        <v>223.583</v>
      </c>
      <c r="CB19" s="61">
        <v>224.02</v>
      </c>
      <c r="CC19" s="333">
        <f>SUM(BY19:CB19)</f>
        <v>877.45899999999995</v>
      </c>
      <c r="CD19" s="61">
        <v>229.53200000000001</v>
      </c>
      <c r="CE19" s="61">
        <v>247.36500000000001</v>
      </c>
      <c r="CF19" s="61">
        <v>260.77499999999998</v>
      </c>
      <c r="CG19" s="441">
        <v>254.81299999999999</v>
      </c>
      <c r="CH19" s="333">
        <f>SUM(CD19:CG19)</f>
        <v>992.48500000000001</v>
      </c>
      <c r="CI19" s="441">
        <v>270.79700000000003</v>
      </c>
      <c r="CJ19" s="61">
        <v>298.82799999999997</v>
      </c>
      <c r="CK19" s="61">
        <v>310.30099999999999</v>
      </c>
      <c r="CL19" s="441">
        <v>314.154</v>
      </c>
      <c r="CM19" s="333">
        <f>SUM(CI19:CL19)</f>
        <v>1194.08</v>
      </c>
      <c r="CN19" s="441">
        <v>322.3</v>
      </c>
      <c r="CO19" s="61">
        <v>359.4</v>
      </c>
      <c r="CP19" s="61">
        <v>357.6</v>
      </c>
      <c r="CQ19" s="441">
        <v>362.4</v>
      </c>
      <c r="CR19" s="352">
        <f>SUM(CN19:CQ19)</f>
        <v>1401.7000000000003</v>
      </c>
      <c r="CS19" s="441">
        <v>369.7</v>
      </c>
      <c r="CT19" s="61">
        <v>399.5</v>
      </c>
      <c r="CU19" s="61">
        <v>406.3</v>
      </c>
      <c r="CV19" s="441">
        <v>415</v>
      </c>
      <c r="CW19" s="355">
        <f>SUM(CS19:CV19)</f>
        <v>1590.5</v>
      </c>
      <c r="CX19" s="441">
        <v>430</v>
      </c>
      <c r="CY19" s="441">
        <v>467</v>
      </c>
      <c r="CZ19" s="61">
        <v>480</v>
      </c>
      <c r="DA19" s="36">
        <v>494</v>
      </c>
      <c r="DB19" s="355">
        <f>SUM(CX19:DA19)</f>
        <v>1871</v>
      </c>
      <c r="DC19" s="36">
        <f>(1+DC20)*CX19</f>
        <v>503.09999999999997</v>
      </c>
      <c r="DD19" s="36">
        <f>(1+DD20)*CY19</f>
        <v>546.39</v>
      </c>
      <c r="DE19" s="36">
        <f>(1+DE20)*CZ19</f>
        <v>552</v>
      </c>
      <c r="DF19" s="36">
        <f>(1+DF20)*DA19</f>
        <v>568.09999999999991</v>
      </c>
      <c r="DG19" s="355">
        <f>SUM(DC19:DF19)</f>
        <v>2169.59</v>
      </c>
      <c r="DH19" s="36">
        <f>(1+DH20)*DC19</f>
        <v>568.50299999999993</v>
      </c>
      <c r="DI19" s="36">
        <f>(1+DI20)*DD19</f>
        <v>617.4206999999999</v>
      </c>
      <c r="DJ19" s="36">
        <f>(1+DJ20)*DE19</f>
        <v>623.76</v>
      </c>
      <c r="DK19" s="36">
        <f>(1+DK20)*DF19</f>
        <v>641.95299999999986</v>
      </c>
      <c r="DL19" s="355">
        <f>SUM(DH19:DK19)</f>
        <v>2451.6366999999996</v>
      </c>
      <c r="DM19" s="36">
        <f>(1+DM20)*DH19</f>
        <v>642.40838999999983</v>
      </c>
      <c r="DN19" s="36">
        <f>(1+DN20)*DI19</f>
        <v>691.51118399999996</v>
      </c>
      <c r="DO19" s="36">
        <f>(1+DO20)*DJ19</f>
        <v>698.61120000000005</v>
      </c>
      <c r="DP19" s="36">
        <f>(1+DP20)*DK19</f>
        <v>718.98735999999997</v>
      </c>
      <c r="DQ19" s="355">
        <f>SUM(DM19:DP19)</f>
        <v>2751.5181339999999</v>
      </c>
      <c r="DR19" s="35"/>
      <c r="DS19" s="36"/>
      <c r="DT19"/>
      <c r="DU19"/>
      <c r="DV19"/>
      <c r="DW19"/>
      <c r="DX19"/>
      <c r="DY19"/>
    </row>
    <row r="20" spans="1:129">
      <c r="A20" s="621"/>
      <c r="B20" s="623"/>
      <c r="C20" s="557" t="s">
        <v>216</v>
      </c>
      <c r="D20" s="558"/>
      <c r="E20" s="558"/>
      <c r="F20" s="558"/>
      <c r="G20" s="3"/>
      <c r="H20" s="4"/>
      <c r="I20" s="4"/>
      <c r="J20" s="5"/>
      <c r="K20" s="3"/>
      <c r="L20" s="67"/>
      <c r="M20" s="64"/>
      <c r="N20" s="64"/>
      <c r="O20" s="64"/>
      <c r="P20" s="336"/>
      <c r="Q20" s="64"/>
      <c r="R20" s="64"/>
      <c r="S20" s="64"/>
      <c r="T20" s="64"/>
      <c r="U20" s="336"/>
      <c r="V20" s="64"/>
      <c r="W20" s="64"/>
      <c r="X20" s="64"/>
      <c r="Y20" s="64"/>
      <c r="Z20" s="336"/>
      <c r="AA20" s="64"/>
      <c r="AB20" s="64"/>
      <c r="AC20" s="64"/>
      <c r="AD20" s="64"/>
      <c r="AE20" s="336"/>
      <c r="AF20" s="64"/>
      <c r="AG20" s="64"/>
      <c r="AH20" s="64"/>
      <c r="AI20" s="64"/>
      <c r="AJ20" s="336"/>
      <c r="AK20" s="64"/>
      <c r="AL20" s="64"/>
      <c r="AM20" s="64"/>
      <c r="AN20" s="64"/>
      <c r="AO20" s="336"/>
      <c r="AP20" s="64">
        <f t="shared" ref="AP20:BU20" si="6">AP19/AK19-1</f>
        <v>0.33496269616670959</v>
      </c>
      <c r="AQ20" s="64">
        <f t="shared" si="6"/>
        <v>0.5881483046371605</v>
      </c>
      <c r="AR20" s="64">
        <f t="shared" si="6"/>
        <v>0.55182764463810186</v>
      </c>
      <c r="AS20" s="64">
        <f t="shared" si="6"/>
        <v>0.71879830980109172</v>
      </c>
      <c r="AT20" s="336">
        <f t="shared" si="6"/>
        <v>0.55928792777323122</v>
      </c>
      <c r="AU20" s="64">
        <f t="shared" si="6"/>
        <v>1.0299672383888998</v>
      </c>
      <c r="AV20" s="64">
        <f t="shared" si="6"/>
        <v>0.61639507815098082</v>
      </c>
      <c r="AW20" s="64">
        <f t="shared" si="6"/>
        <v>0.64717811125323688</v>
      </c>
      <c r="AX20" s="64">
        <f t="shared" si="6"/>
        <v>0.80683555688802278</v>
      </c>
      <c r="AY20" s="336">
        <f t="shared" si="6"/>
        <v>0.75338541218576349</v>
      </c>
      <c r="AZ20" s="64">
        <f t="shared" si="6"/>
        <v>0.57276783595196257</v>
      </c>
      <c r="BA20" s="64">
        <f t="shared" si="6"/>
        <v>0.59687274971710735</v>
      </c>
      <c r="BB20" s="64">
        <f t="shared" si="6"/>
        <v>0.53982233839043903</v>
      </c>
      <c r="BC20" s="64">
        <f t="shared" si="6"/>
        <v>0.39970464765128511</v>
      </c>
      <c r="BD20" s="336">
        <f t="shared" si="6"/>
        <v>0.51880492436323311</v>
      </c>
      <c r="BE20" s="64">
        <f t="shared" si="6"/>
        <v>0.41230174898516614</v>
      </c>
      <c r="BF20" s="64">
        <f t="shared" si="6"/>
        <v>0.28701556380127813</v>
      </c>
      <c r="BG20" s="64">
        <f t="shared" si="6"/>
        <v>0.30561637432655164</v>
      </c>
      <c r="BH20" s="64">
        <f t="shared" si="6"/>
        <v>0.19973682962681982</v>
      </c>
      <c r="BI20" s="336">
        <f t="shared" si="6"/>
        <v>0.29493727728833696</v>
      </c>
      <c r="BJ20" s="64">
        <f t="shared" si="6"/>
        <v>9.098291465877395E-2</v>
      </c>
      <c r="BK20" s="64">
        <f t="shared" si="6"/>
        <v>7.3418557856906874E-2</v>
      </c>
      <c r="BL20" s="64">
        <f t="shared" si="6"/>
        <v>9.4880539644256912E-2</v>
      </c>
      <c r="BM20" s="64">
        <f t="shared" si="6"/>
        <v>0.1970159577095989</v>
      </c>
      <c r="BN20" s="336">
        <f t="shared" si="6"/>
        <v>0.11440981361222069</v>
      </c>
      <c r="BO20" s="64">
        <f t="shared" si="6"/>
        <v>0.32685301261458899</v>
      </c>
      <c r="BP20" s="64">
        <f t="shared" si="6"/>
        <v>0.39003236125229646</v>
      </c>
      <c r="BQ20" s="64">
        <f t="shared" si="6"/>
        <v>0.40413027578195582</v>
      </c>
      <c r="BR20" s="64">
        <f t="shared" si="6"/>
        <v>0.43198177375685187</v>
      </c>
      <c r="BS20" s="336">
        <f t="shared" si="6"/>
        <v>0.39063556381383058</v>
      </c>
      <c r="BT20" s="64">
        <f t="shared" si="6"/>
        <v>0.31367686027886665</v>
      </c>
      <c r="BU20" s="64">
        <f t="shared" si="6"/>
        <v>0.28644271347006689</v>
      </c>
      <c r="BV20" s="64">
        <f t="shared" ref="BV20:DA20" si="7">BV19/BQ19-1</f>
        <v>0.2583511560782199</v>
      </c>
      <c r="BW20" s="64">
        <f t="shared" si="7"/>
        <v>0.19930134427817103</v>
      </c>
      <c r="BX20" s="336">
        <f t="shared" si="7"/>
        <v>0.26066714639647248</v>
      </c>
      <c r="BY20" s="70">
        <f t="shared" si="7"/>
        <v>0.20480072820034478</v>
      </c>
      <c r="BZ20" s="64">
        <f t="shared" si="7"/>
        <v>0.12355600986737447</v>
      </c>
      <c r="CA20" s="64">
        <f t="shared" si="7"/>
        <v>8.8848197371176552E-2</v>
      </c>
      <c r="CB20" s="64">
        <f t="shared" si="7"/>
        <v>7.676039413602509E-2</v>
      </c>
      <c r="CC20" s="336">
        <f t="shared" si="7"/>
        <v>0.12048703558271234</v>
      </c>
      <c r="CD20" s="64">
        <f t="shared" si="7"/>
        <v>7.0468515357565931E-2</v>
      </c>
      <c r="CE20" s="64">
        <f t="shared" si="7"/>
        <v>0.14821708736782502</v>
      </c>
      <c r="CF20" s="64">
        <f t="shared" si="7"/>
        <v>0.16634538404082599</v>
      </c>
      <c r="CG20" s="64">
        <f t="shared" si="7"/>
        <v>0.13745647710025888</v>
      </c>
      <c r="CH20" s="336">
        <f t="shared" si="7"/>
        <v>0.13108988568126834</v>
      </c>
      <c r="CI20" s="64">
        <f t="shared" si="7"/>
        <v>0.17977885436453311</v>
      </c>
      <c r="CJ20" s="64">
        <f t="shared" si="7"/>
        <v>0.20804479210882687</v>
      </c>
      <c r="CK20" s="64">
        <f t="shared" si="7"/>
        <v>0.18991851212731281</v>
      </c>
      <c r="CL20" s="64">
        <f t="shared" si="7"/>
        <v>0.2328805830157803</v>
      </c>
      <c r="CM20" s="336">
        <f t="shared" si="7"/>
        <v>0.20312145775502888</v>
      </c>
      <c r="CN20" s="64">
        <f t="shared" si="7"/>
        <v>0.19019043785566292</v>
      </c>
      <c r="CO20" s="64">
        <f t="shared" si="7"/>
        <v>0.20269854230527273</v>
      </c>
      <c r="CP20" s="64">
        <f t="shared" si="7"/>
        <v>0.15242941530965104</v>
      </c>
      <c r="CQ20" s="64">
        <f t="shared" si="7"/>
        <v>0.15357436161882387</v>
      </c>
      <c r="CR20" s="336">
        <f t="shared" si="7"/>
        <v>0.17387444727321477</v>
      </c>
      <c r="CS20" s="64">
        <f t="shared" si="7"/>
        <v>0.14706794911573051</v>
      </c>
      <c r="CT20" s="64">
        <f t="shared" si="7"/>
        <v>0.11157484696716757</v>
      </c>
      <c r="CU20" s="64">
        <f t="shared" si="7"/>
        <v>0.13618568232662187</v>
      </c>
      <c r="CV20" s="64">
        <f t="shared" si="7"/>
        <v>0.14514348785871967</v>
      </c>
      <c r="CW20" s="405">
        <f t="shared" si="7"/>
        <v>0.13469358635942053</v>
      </c>
      <c r="CX20" s="64">
        <f t="shared" si="7"/>
        <v>0.16310522044901266</v>
      </c>
      <c r="CY20" s="64">
        <f t="shared" si="7"/>
        <v>0.16896120150187732</v>
      </c>
      <c r="CZ20" s="64">
        <f t="shared" si="7"/>
        <v>0.18139305931577643</v>
      </c>
      <c r="DA20" s="64">
        <f t="shared" si="7"/>
        <v>0.19036144578313263</v>
      </c>
      <c r="DB20" s="405">
        <f>DB19/CW19-1</f>
        <v>0.17635963533480048</v>
      </c>
      <c r="DC20" s="741">
        <v>0.17</v>
      </c>
      <c r="DD20" s="741">
        <v>0.17</v>
      </c>
      <c r="DE20" s="741">
        <v>0.15</v>
      </c>
      <c r="DF20" s="741">
        <v>0.15</v>
      </c>
      <c r="DG20" s="405">
        <f>DG19/DB19-1</f>
        <v>0.15958845537145927</v>
      </c>
      <c r="DH20" s="741">
        <v>0.13</v>
      </c>
      <c r="DI20" s="741">
        <v>0.13</v>
      </c>
      <c r="DJ20" s="741">
        <v>0.13</v>
      </c>
      <c r="DK20" s="741">
        <v>0.13</v>
      </c>
      <c r="DL20" s="405">
        <f>DL19/DG19-1</f>
        <v>0.12999999999999967</v>
      </c>
      <c r="DM20" s="741">
        <v>0.13</v>
      </c>
      <c r="DN20" s="741">
        <v>0.12</v>
      </c>
      <c r="DO20" s="741">
        <v>0.12</v>
      </c>
      <c r="DP20" s="741">
        <v>0.12</v>
      </c>
      <c r="DQ20" s="405">
        <f>DQ19/DL19-1</f>
        <v>0.12231887130748231</v>
      </c>
      <c r="DR20" s="3"/>
      <c r="DS20" s="4"/>
    </row>
    <row r="21" spans="1:129" hidden="1" outlineLevel="1">
      <c r="A21" s="621"/>
      <c r="B21" s="623"/>
      <c r="C21" s="557" t="s">
        <v>348</v>
      </c>
      <c r="D21" s="558"/>
      <c r="E21" s="558"/>
      <c r="F21" s="558"/>
      <c r="G21" s="3"/>
      <c r="H21" s="68"/>
      <c r="I21" s="68"/>
      <c r="J21" s="69"/>
      <c r="K21" s="3"/>
      <c r="L21" s="66"/>
      <c r="M21" s="68"/>
      <c r="N21" s="68"/>
      <c r="O21" s="68"/>
      <c r="P21" s="330"/>
      <c r="Q21" s="68"/>
      <c r="R21" s="68"/>
      <c r="S21" s="68"/>
      <c r="T21" s="68"/>
      <c r="U21" s="330"/>
      <c r="V21" s="68"/>
      <c r="W21" s="68"/>
      <c r="X21" s="68"/>
      <c r="Y21" s="68"/>
      <c r="Z21" s="330"/>
      <c r="AA21" s="68"/>
      <c r="AB21" s="68"/>
      <c r="AC21" s="68"/>
      <c r="AD21" s="68"/>
      <c r="AE21" s="330"/>
      <c r="AF21" s="68"/>
      <c r="AG21" s="68"/>
      <c r="AH21" s="68"/>
      <c r="AI21" s="68"/>
      <c r="AJ21" s="330"/>
      <c r="AK21" s="68"/>
      <c r="AL21" s="68">
        <f>AL19/AK19-1</f>
        <v>0.21777720607152062</v>
      </c>
      <c r="AM21" s="68">
        <f>AM19/AL19-1</f>
        <v>9.0894686806802572E-2</v>
      </c>
      <c r="AN21" s="68">
        <f>AN19/AM19-1</f>
        <v>-6.0469619946743935E-2</v>
      </c>
      <c r="AO21" s="330"/>
      <c r="AP21" s="68">
        <f>AP19/AN19-1</f>
        <v>6.9566113573121369E-2</v>
      </c>
      <c r="AQ21" s="68">
        <f>AQ19/AP19-1</f>
        <v>0.44873771439583732</v>
      </c>
      <c r="AR21" s="68">
        <f>AR19/AQ19-1</f>
        <v>6.5946125706684233E-2</v>
      </c>
      <c r="AS21" s="68">
        <f>AS19/AR19-1</f>
        <v>4.0620222756060365E-2</v>
      </c>
      <c r="AT21" s="330"/>
      <c r="AU21" s="68">
        <f>AU19/AS19-1</f>
        <v>0.26319892070154416</v>
      </c>
      <c r="AV21" s="68">
        <f>AV19/AU19-1</f>
        <v>0.15358143067356522</v>
      </c>
      <c r="AW21" s="68">
        <f>AW19/AV19-1</f>
        <v>8.6246270959777771E-2</v>
      </c>
      <c r="AX21" s="68">
        <f>AX19/AW19-1</f>
        <v>0.14148531166543554</v>
      </c>
      <c r="AY21" s="330"/>
      <c r="AZ21" s="68">
        <f>AZ19/AX19-1</f>
        <v>9.9556971476927769E-2</v>
      </c>
      <c r="BA21" s="68">
        <f>BA19/AZ19-1</f>
        <v>0.17126171397528189</v>
      </c>
      <c r="BB21" s="68">
        <f>BB19/BA19-1</f>
        <v>4.7438672438672391E-2</v>
      </c>
      <c r="BC21" s="68">
        <f>BC19/BB19-1</f>
        <v>3.7614701468670741E-2</v>
      </c>
      <c r="BD21" s="330"/>
      <c r="BE21" s="68">
        <f>BE19/BC19-1</f>
        <v>0.10945279529612595</v>
      </c>
      <c r="BF21" s="68">
        <f>BF19/BE19-1</f>
        <v>6.7358343395057085E-2</v>
      </c>
      <c r="BG21" s="68">
        <f>BG19/BF19-1</f>
        <v>6.2576957344358419E-2</v>
      </c>
      <c r="BH21" s="68">
        <f>BH19/BG19-1</f>
        <v>-4.6531127524871985E-2</v>
      </c>
      <c r="BI21" s="330"/>
      <c r="BJ21" s="68">
        <f>BJ19/BH19-1</f>
        <v>8.8829603280471403E-3</v>
      </c>
      <c r="BK21" s="68">
        <f>BK19/BJ19-1</f>
        <v>5.0174332053592563E-2</v>
      </c>
      <c r="BL21" s="68">
        <f>BL19/BK19-1</f>
        <v>8.3822171654527322E-2</v>
      </c>
      <c r="BM21" s="68">
        <f>BM19/BL19-1</f>
        <v>4.2412769435958841E-2</v>
      </c>
      <c r="BN21" s="330"/>
      <c r="BO21" s="68">
        <f>BO19/BM19-1</f>
        <v>0.11831374232318614</v>
      </c>
      <c r="BP21" s="68">
        <f>BP19/BO19-1</f>
        <v>0.1001793662392878</v>
      </c>
      <c r="BQ21" s="68">
        <f>BQ19/BP19-1</f>
        <v>9.4814456990654161E-2</v>
      </c>
      <c r="BR21" s="68">
        <f>BR19/BQ19-1</f>
        <v>6.3089452816197822E-2</v>
      </c>
      <c r="BS21" s="330"/>
      <c r="BT21" s="68">
        <f>BT19/BR19-1</f>
        <v>2.5922894233208149E-2</v>
      </c>
      <c r="BU21" s="68">
        <f>BU19/BT19-1</f>
        <v>7.7371286655840921E-2</v>
      </c>
      <c r="BV21" s="68">
        <f>BV19/BU19-1</f>
        <v>7.0907412526141744E-2</v>
      </c>
      <c r="BW21" s="68">
        <f>BW19/BV19-1</f>
        <v>1.3202557721621488E-2</v>
      </c>
      <c r="BX21" s="330"/>
      <c r="BY21" s="68">
        <f>BY19/BW19-1</f>
        <v>3.0627253064167137E-2</v>
      </c>
      <c r="BZ21" s="68">
        <f>BZ19/BY19-1</f>
        <v>4.7196649597522899E-3</v>
      </c>
      <c r="CA21" s="68">
        <f>CA19/BZ19-1</f>
        <v>3.7825969902615109E-2</v>
      </c>
      <c r="CB21" s="68">
        <f>CB19/CA19-1</f>
        <v>1.9545314268079039E-3</v>
      </c>
      <c r="CC21" s="330"/>
      <c r="CD21" s="68">
        <f>CD19/CB19-1</f>
        <v>2.4604945986965499E-2</v>
      </c>
      <c r="CE21" s="68">
        <f>CE19/CD19-1</f>
        <v>7.7692870710837747E-2</v>
      </c>
      <c r="CF21" s="68">
        <f>CF19/CE19-1</f>
        <v>5.4211388029834273E-2</v>
      </c>
      <c r="CG21" s="68">
        <f>CG19/CF19-1</f>
        <v>-2.2862621033457931E-2</v>
      </c>
      <c r="CH21" s="330"/>
      <c r="CI21" s="68">
        <f>CI19/CG19-1</f>
        <v>6.2728353733914721E-2</v>
      </c>
      <c r="CJ21" s="68">
        <f>CJ19/CI19-1</f>
        <v>0.10351296358526851</v>
      </c>
      <c r="CK21" s="68">
        <f>CK19/CJ19-1</f>
        <v>3.8393323249494848E-2</v>
      </c>
      <c r="CL21" s="68">
        <f>CL19/CK19-1</f>
        <v>1.2416975775134453E-2</v>
      </c>
      <c r="CM21" s="330"/>
      <c r="CN21" s="68">
        <f>CN19/CL19-1</f>
        <v>2.5929957918727764E-2</v>
      </c>
      <c r="CO21" s="68">
        <f>CO19/CN19-1</f>
        <v>0.11511014582686929</v>
      </c>
      <c r="CP21" s="68">
        <f>CP19/CO19-1</f>
        <v>-5.008347245408884E-3</v>
      </c>
      <c r="CQ21" s="68">
        <f>CQ19/CP19-1</f>
        <v>1.3422818791946289E-2</v>
      </c>
      <c r="CR21" s="336"/>
      <c r="CS21" s="68">
        <f>CS19/CQ19-1</f>
        <v>2.0143487858719666E-2</v>
      </c>
      <c r="CT21" s="68">
        <f>CT19/CS19-1</f>
        <v>8.0605896672978128E-2</v>
      </c>
      <c r="CU21" s="68">
        <f>CU19/CT19-1</f>
        <v>1.7021276595744705E-2</v>
      </c>
      <c r="CV21" s="68">
        <f>CV19/CU19-1</f>
        <v>2.1412749200098391E-2</v>
      </c>
      <c r="CW21" s="740"/>
      <c r="CX21" s="68">
        <f>CX19/CV19-1</f>
        <v>3.6144578313253017E-2</v>
      </c>
      <c r="CY21" s="68">
        <f>CY19/CX19-1</f>
        <v>8.6046511627906996E-2</v>
      </c>
      <c r="CZ21" s="68">
        <f>CZ19/CY19-1</f>
        <v>2.7837259100642386E-2</v>
      </c>
      <c r="DA21" s="68">
        <f>DA19/CZ19-1</f>
        <v>2.9166666666666563E-2</v>
      </c>
      <c r="DB21" s="336"/>
      <c r="DC21" s="68">
        <f>DC19/DA19-1</f>
        <v>1.8421052631578894E-2</v>
      </c>
      <c r="DD21" s="68">
        <f>DD19/DC19-1</f>
        <v>8.6046511627906996E-2</v>
      </c>
      <c r="DE21" s="68">
        <f>DE19/DD19-1</f>
        <v>1.0267391423708361E-2</v>
      </c>
      <c r="DF21" s="68">
        <f>DF19/DE19-1</f>
        <v>2.9166666666666563E-2</v>
      </c>
      <c r="DG21" s="336"/>
      <c r="DH21" s="68">
        <f>DH19/DF19-1</f>
        <v>7.0938215102978042E-4</v>
      </c>
      <c r="DI21" s="68">
        <f>DI19/DH19-1</f>
        <v>8.6046511627906996E-2</v>
      </c>
      <c r="DJ21" s="68">
        <f>DJ19/DI19-1</f>
        <v>1.0267391423708583E-2</v>
      </c>
      <c r="DK21" s="68">
        <f>DK19/DJ19-1</f>
        <v>2.9166666666666563E-2</v>
      </c>
      <c r="DL21" s="336"/>
      <c r="DM21" s="68">
        <f>DM19/DK19-1</f>
        <v>7.0938215102978042E-4</v>
      </c>
      <c r="DN21" s="68">
        <f>DN19/DM19-1</f>
        <v>7.6435480551554136E-2</v>
      </c>
      <c r="DO21" s="68">
        <f>DO19/DN19-1</f>
        <v>1.0267391423708583E-2</v>
      </c>
      <c r="DP21" s="68">
        <f>DP19/DO19-1</f>
        <v>2.9166666666666563E-2</v>
      </c>
      <c r="DQ21" s="336"/>
      <c r="DR21" s="3"/>
      <c r="DS21" s="4"/>
    </row>
    <row r="22" spans="1:129" s="19" customFormat="1" collapsed="1">
      <c r="A22" s="629"/>
      <c r="B22" s="984" t="s">
        <v>4</v>
      </c>
      <c r="C22" s="970"/>
      <c r="D22" s="970"/>
      <c r="E22" s="970"/>
      <c r="F22" s="971"/>
      <c r="G22" s="972">
        <v>10.238</v>
      </c>
      <c r="H22" s="973">
        <v>12.667999999999999</v>
      </c>
      <c r="I22" s="973">
        <v>16.2</v>
      </c>
      <c r="J22" s="974">
        <v>19.5</v>
      </c>
      <c r="K22" s="975">
        <f>SUM(G22:J22)</f>
        <v>58.605999999999995</v>
      </c>
      <c r="L22" s="972">
        <v>20.425999999999998</v>
      </c>
      <c r="M22" s="973">
        <v>21.498000000000001</v>
      </c>
      <c r="N22" s="973">
        <v>22.876000000000001</v>
      </c>
      <c r="O22" s="973">
        <v>24.103999999999999</v>
      </c>
      <c r="P22" s="982">
        <f>SUM(L22:O22)</f>
        <v>88.903999999999996</v>
      </c>
      <c r="Q22" s="973">
        <v>27.07</v>
      </c>
      <c r="R22" s="973">
        <v>31.800999999999998</v>
      </c>
      <c r="S22" s="973">
        <v>37.106999999999999</v>
      </c>
      <c r="T22" s="973">
        <v>41.052999999999997</v>
      </c>
      <c r="U22" s="982">
        <f>SUM(Q22:T22)</f>
        <v>137.03100000000001</v>
      </c>
      <c r="V22" s="973">
        <v>43.404000000000003</v>
      </c>
      <c r="W22" s="973">
        <v>45.411000000000001</v>
      </c>
      <c r="X22" s="973">
        <v>45.502000000000002</v>
      </c>
      <c r="Y22" s="973">
        <v>43.460999999999999</v>
      </c>
      <c r="Z22" s="982">
        <f>SUM(V22:Y22)</f>
        <v>177.77800000000002</v>
      </c>
      <c r="AA22" s="973">
        <v>46.484000000000002</v>
      </c>
      <c r="AB22" s="973">
        <v>54.357999999999997</v>
      </c>
      <c r="AC22" s="973">
        <v>61.232999999999997</v>
      </c>
      <c r="AD22" s="973">
        <v>67.010999999999996</v>
      </c>
      <c r="AE22" s="982">
        <f>SUM(AA22:AD22)</f>
        <v>229.08599999999998</v>
      </c>
      <c r="AF22" s="973">
        <v>74.516000000000005</v>
      </c>
      <c r="AG22" s="973">
        <v>87.445999999999998</v>
      </c>
      <c r="AH22" s="973">
        <v>98.111000000000004</v>
      </c>
      <c r="AI22" s="973">
        <v>108.158</v>
      </c>
      <c r="AJ22" s="1061">
        <f>SUM(AF22:AI22)</f>
        <v>368.23099999999999</v>
      </c>
      <c r="AK22" s="977">
        <f>+AK10+AK13+AK16+AK19</f>
        <v>119.744</v>
      </c>
      <c r="AL22" s="969">
        <f t="shared" ref="AL22:AN22" si="8">+AL10+AL13+AL16+AL19</f>
        <v>138.71899999999999</v>
      </c>
      <c r="AM22" s="969">
        <f t="shared" si="8"/>
        <v>155.429</v>
      </c>
      <c r="AN22" s="1062">
        <f t="shared" si="8"/>
        <v>172.78100000000001</v>
      </c>
      <c r="AO22" s="1061">
        <f>SUM(AK22:AN22)</f>
        <v>586.673</v>
      </c>
      <c r="AP22" s="977">
        <f>+AP10+AP13+AP16+AP19</f>
        <v>181.68100000000001</v>
      </c>
      <c r="AQ22" s="969">
        <f t="shared" ref="AQ22:AS22" si="9">+AQ10+AQ13+AQ16+AQ19</f>
        <v>211.71099999999998</v>
      </c>
      <c r="AR22" s="969">
        <f t="shared" si="9"/>
        <v>235.536</v>
      </c>
      <c r="AS22" s="1063">
        <f t="shared" si="9"/>
        <v>256.90200000000004</v>
      </c>
      <c r="AT22" s="734">
        <f>SUM(AP22:AS22)</f>
        <v>885.83</v>
      </c>
      <c r="AU22" s="17">
        <f>+AU10+AU13+AU16+AU19</f>
        <v>285.47899999999998</v>
      </c>
      <c r="AV22" s="18">
        <f t="shared" ref="AV22:AX22" si="10">+AV10+AV13+AV16+AV19</f>
        <v>336.83600000000001</v>
      </c>
      <c r="AW22" s="18">
        <f t="shared" si="10"/>
        <v>377.52200000000005</v>
      </c>
      <c r="AX22" s="1063">
        <f t="shared" si="10"/>
        <v>424.43</v>
      </c>
      <c r="AY22" s="734">
        <f>SUM(AU22:AX22)</f>
        <v>1424.2670000000001</v>
      </c>
      <c r="AZ22" s="17">
        <f>+AZ10+AZ13+AZ16+AZ19</f>
        <v>460.27000000000004</v>
      </c>
      <c r="BA22" s="18">
        <f t="shared" ref="BA22:BC22" si="11">+BA10+BA13+BA16+BA19</f>
        <v>516.51400000000001</v>
      </c>
      <c r="BB22" s="18">
        <f t="shared" si="11"/>
        <v>558.83699999999999</v>
      </c>
      <c r="BC22" s="1063">
        <f t="shared" si="11"/>
        <v>599.9559999999999</v>
      </c>
      <c r="BD22" s="734">
        <f>SUM(AZ22:BC22)</f>
        <v>2135.5770000000002</v>
      </c>
      <c r="BE22" s="17">
        <f>+BE10+BE13+BE16+BE19</f>
        <v>643.10599999999999</v>
      </c>
      <c r="BF22" s="18">
        <f t="shared" ref="BF22:BH22" si="12">+BF10+BF13+BF16+BF19</f>
        <v>685.42700000000002</v>
      </c>
      <c r="BG22" s="18">
        <f t="shared" si="12"/>
        <v>734.726</v>
      </c>
      <c r="BH22" s="1063">
        <f t="shared" si="12"/>
        <v>753.04499999999996</v>
      </c>
      <c r="BI22" s="734">
        <f>SUM(BE22:BH22)</f>
        <v>2816.3040000000001</v>
      </c>
      <c r="BJ22" s="17">
        <f>+BJ10+BJ13+BJ16+BJ19</f>
        <v>745.86200000000008</v>
      </c>
      <c r="BK22" s="18">
        <f t="shared" ref="BK22:BM22" si="13">+BK10+BK13+BK16+BK19</f>
        <v>776.59199999999998</v>
      </c>
      <c r="BL22" s="18">
        <f t="shared" si="13"/>
        <v>853.48800000000017</v>
      </c>
      <c r="BM22" s="1063">
        <f t="shared" si="13"/>
        <v>902.72099999999978</v>
      </c>
      <c r="BN22" s="734">
        <f>SUM(BJ22:BM22)</f>
        <v>3278.6630000000005</v>
      </c>
      <c r="BO22" s="17">
        <f>+BO10+BO13+BO16+BO19</f>
        <v>959.72</v>
      </c>
      <c r="BP22" s="18">
        <f t="shared" ref="BP22:BR22" si="14">+BP10+BP13+BP16+BP19</f>
        <v>1105.154</v>
      </c>
      <c r="BQ22" s="18">
        <f t="shared" si="14"/>
        <v>1216.913</v>
      </c>
      <c r="BR22" s="1063">
        <f t="shared" si="14"/>
        <v>1310.6019999999999</v>
      </c>
      <c r="BS22" s="734">
        <f>SUM(BO22:BR22)</f>
        <v>4592.3889999999992</v>
      </c>
      <c r="BT22" s="17">
        <f>+BT10+BT13+BT16+BT19</f>
        <v>1371.2529999999999</v>
      </c>
      <c r="BU22" s="18">
        <f t="shared" ref="BU22:BW22" si="15">+BU10+BU13+BU16+BU19</f>
        <v>1485.242</v>
      </c>
      <c r="BV22" s="18">
        <f t="shared" si="15"/>
        <v>1600.954</v>
      </c>
      <c r="BW22" s="1063">
        <f t="shared" si="15"/>
        <v>1663.7069999999999</v>
      </c>
      <c r="BX22" s="734">
        <f>SUM(BT22:BW22)</f>
        <v>6121.155999999999</v>
      </c>
      <c r="BY22" s="17">
        <f>+BY10+BY13+BY16+BY19</f>
        <v>1711.3490000000002</v>
      </c>
      <c r="BZ22" s="18">
        <f t="shared" ref="BZ22:CB22" si="16">+BZ10+BZ13+BZ16+BZ19</f>
        <v>1795.22</v>
      </c>
      <c r="CA22" s="18">
        <f t="shared" si="16"/>
        <v>1891.6880000000001</v>
      </c>
      <c r="CB22" s="1063">
        <f t="shared" si="16"/>
        <v>1948.2150000000001</v>
      </c>
      <c r="CC22" s="734">
        <f>SUM(BY22:CB22)</f>
        <v>7346.4720000000007</v>
      </c>
      <c r="CD22" s="17">
        <f>+CD10+CD13+CD16+CD19</f>
        <v>2020.7380000000001</v>
      </c>
      <c r="CE22" s="18">
        <f t="shared" ref="CE22:CG22" si="17">+CE10+CE13+CE16+CE19</f>
        <v>2161.2399999999998</v>
      </c>
      <c r="CF22" s="18">
        <f t="shared" si="17"/>
        <v>2305.723</v>
      </c>
      <c r="CG22" s="1063">
        <f t="shared" si="17"/>
        <v>2355.4879999999998</v>
      </c>
      <c r="CH22" s="734">
        <f>SUM(CD22:CG22)</f>
        <v>8843.1890000000003</v>
      </c>
      <c r="CI22" s="17">
        <f>+CI10+CI13+CI16+CI19</f>
        <v>2422.348</v>
      </c>
      <c r="CJ22" s="18">
        <f t="shared" ref="CJ22:CL22" si="18">+CJ10+CJ13+CJ16+CJ19</f>
        <v>2517.0939999999996</v>
      </c>
      <c r="CK22" s="18">
        <f t="shared" si="18"/>
        <v>2581.0089999999996</v>
      </c>
      <c r="CL22" s="1063">
        <f t="shared" si="18"/>
        <v>2742.23</v>
      </c>
      <c r="CM22" s="734">
        <f>SUM(CI22:CL22)</f>
        <v>10262.680999999999</v>
      </c>
      <c r="CN22" s="18">
        <f>+CN10+CN13+CN16+CN19</f>
        <v>2911.4</v>
      </c>
      <c r="CO22" s="18">
        <f t="shared" ref="CO22" si="19">+CO10+CO13+CO16+CO19</f>
        <v>3085.1</v>
      </c>
      <c r="CP22" s="18">
        <f>+CP10+CP13+CP16+CP19</f>
        <v>3186.9999999999995</v>
      </c>
      <c r="CQ22" s="18">
        <f>+CQ10+CQ13+CQ16+CQ19</f>
        <v>3232.5</v>
      </c>
      <c r="CR22" s="734">
        <f>SUM(CN22:CQ22)</f>
        <v>12416</v>
      </c>
      <c r="CS22" s="18">
        <f>CS19+CS16+CS13+CS10</f>
        <v>3202</v>
      </c>
      <c r="CT22" s="18">
        <f>CT19+CT16+CT13+CT10</f>
        <v>3369.9</v>
      </c>
      <c r="CU22" s="969">
        <f>CU19+CU16+CU13+CU10</f>
        <v>3453.2000000000003</v>
      </c>
      <c r="CV22" s="18">
        <f>CV19+CV16+CV13+CV10</f>
        <v>3462</v>
      </c>
      <c r="CW22" s="734">
        <f>SUM(CS22:CV22)</f>
        <v>13487.1</v>
      </c>
      <c r="CX22" s="1096">
        <f t="shared" ref="CX22:DE22" si="20">CX19+CX16+CX13+CX10</f>
        <v>3546</v>
      </c>
      <c r="CY22" s="1096">
        <f t="shared" si="20"/>
        <v>3670</v>
      </c>
      <c r="CZ22" s="1097">
        <f>CZ19+CZ16+CZ13+CZ10</f>
        <v>3766</v>
      </c>
      <c r="DA22" s="1096">
        <f>DA19+DA16+DA13+DA10</f>
        <v>3828</v>
      </c>
      <c r="DB22" s="734">
        <f>SUM(CX22:DA22)</f>
        <v>14810</v>
      </c>
      <c r="DC22" s="18">
        <f t="shared" si="20"/>
        <v>3871.625</v>
      </c>
      <c r="DD22" s="18">
        <f t="shared" si="20"/>
        <v>4009.08</v>
      </c>
      <c r="DE22" s="18">
        <f t="shared" si="20"/>
        <v>4099.88</v>
      </c>
      <c r="DF22" s="18">
        <f>DF19+DF16+DF13+DF10</f>
        <v>4168.54</v>
      </c>
      <c r="DG22" s="734">
        <f>SUM(DC22:DF22)</f>
        <v>16149.125</v>
      </c>
      <c r="DH22" s="18">
        <f>DH19+DH16+DH13+DH10</f>
        <v>4178.9726250000003</v>
      </c>
      <c r="DI22" s="18">
        <f>DI19+DI16+DI13+DI10</f>
        <v>4328.9218499999997</v>
      </c>
      <c r="DJ22" s="18">
        <f>DJ19+DJ16+DJ13+DJ10</f>
        <v>4427.4560500000007</v>
      </c>
      <c r="DK22" s="18">
        <f>DK19+DK16+DK13+DK10</f>
        <v>4496.769400000001</v>
      </c>
      <c r="DL22" s="734">
        <f>SUM(DH22:DK22)</f>
        <v>17432.119925000003</v>
      </c>
      <c r="DM22" s="18">
        <f>DM19+DM16+DM13+DM10</f>
        <v>4515.057253125</v>
      </c>
      <c r="DN22" s="18">
        <f>DN19+DN16+DN13+DN10</f>
        <v>4666.378458000001</v>
      </c>
      <c r="DO22" s="18">
        <f>DO19+DO16+DO13+DO10</f>
        <v>4779.5545542500004</v>
      </c>
      <c r="DP22" s="18">
        <f>DP19+DP16+DP13+DP10</f>
        <v>4849.0231840000006</v>
      </c>
      <c r="DQ22" s="734">
        <f>SUM(DM22:DP22)</f>
        <v>18810.013449375001</v>
      </c>
      <c r="DR22" s="31"/>
      <c r="DS22" s="27"/>
      <c r="DT22"/>
      <c r="DU22"/>
      <c r="DV22"/>
      <c r="DW22"/>
      <c r="DX22"/>
      <c r="DY22"/>
    </row>
    <row r="23" spans="1:129" s="75" customFormat="1">
      <c r="A23" s="680"/>
      <c r="B23" s="639"/>
      <c r="C23" s="557" t="s">
        <v>216</v>
      </c>
      <c r="D23" s="640"/>
      <c r="E23" s="640"/>
      <c r="F23" s="640"/>
      <c r="G23" s="67"/>
      <c r="H23" s="64"/>
      <c r="I23" s="64"/>
      <c r="J23" s="76"/>
      <c r="K23" s="66"/>
      <c r="L23" s="67">
        <f t="shared" ref="L23" si="21">L22/G22-1</f>
        <v>0.99511623363938262</v>
      </c>
      <c r="M23" s="64">
        <f t="shared" ref="M23" si="22">M22/H22-1</f>
        <v>0.697031891379855</v>
      </c>
      <c r="N23" s="64">
        <f t="shared" ref="N23" si="23">N22/I22-1</f>
        <v>0.41209876543209889</v>
      </c>
      <c r="O23" s="64">
        <f t="shared" ref="O23" si="24">O22/J22-1</f>
        <v>0.23610256410256403</v>
      </c>
      <c r="P23" s="336">
        <f t="shared" ref="P23" si="25">P22/K22-1</f>
        <v>0.51697778384465765</v>
      </c>
      <c r="Q23" s="64">
        <f t="shared" ref="Q23" si="26">Q22/L22-1</f>
        <v>0.32527171252325471</v>
      </c>
      <c r="R23" s="64">
        <f t="shared" ref="R23" si="27">R22/M22-1</f>
        <v>0.47925388408224001</v>
      </c>
      <c r="S23" s="64">
        <f t="shared" ref="S23" si="28">S22/N22-1</f>
        <v>0.62209302325581373</v>
      </c>
      <c r="T23" s="64">
        <f t="shared" ref="T23" si="29">T22/O22-1</f>
        <v>0.70316130102887486</v>
      </c>
      <c r="U23" s="336">
        <f t="shared" ref="U23" si="30">U22/P22-1</f>
        <v>0.54133672275713152</v>
      </c>
      <c r="V23" s="64">
        <f t="shared" ref="V23" si="31">V22/Q22-1</f>
        <v>0.60339859623199121</v>
      </c>
      <c r="W23" s="64">
        <f t="shared" ref="W23" si="32">W22/R22-1</f>
        <v>0.42797396308292202</v>
      </c>
      <c r="X23" s="64">
        <f t="shared" ref="X23" si="33">X22/S22-1</f>
        <v>0.22623763710351152</v>
      </c>
      <c r="Y23" s="64">
        <f t="shared" ref="Y23" si="34">Y22/T22-1</f>
        <v>5.8655883857452684E-2</v>
      </c>
      <c r="Z23" s="336">
        <f t="shared" ref="Z23" si="35">Z22/U22-1</f>
        <v>0.29735607271347364</v>
      </c>
      <c r="AA23" s="64">
        <f>AA22/V22-1</f>
        <v>7.0961201732559154E-2</v>
      </c>
      <c r="AB23" s="64">
        <f>AB22/W22-1</f>
        <v>0.19702274779238493</v>
      </c>
      <c r="AC23" s="64">
        <f>AC22/X22-1</f>
        <v>0.34572106720583706</v>
      </c>
      <c r="AD23" s="64">
        <f>AD22/Y22-1</f>
        <v>0.54186512045281976</v>
      </c>
      <c r="AE23" s="336">
        <f t="shared" ref="AE23" si="36">AE22/Z22-1</f>
        <v>0.28860713924107562</v>
      </c>
      <c r="AF23" s="64">
        <f t="shared" ref="AF23" si="37">AF22/AA22-1</f>
        <v>0.60304620944841236</v>
      </c>
      <c r="AG23" s="64">
        <f t="shared" ref="AG23" si="38">AG22/AB22-1</f>
        <v>0.60870525037712953</v>
      </c>
      <c r="AH23" s="64">
        <f t="shared" ref="AH23" si="39">AH22/AC22-1</f>
        <v>0.60225695295020665</v>
      </c>
      <c r="AI23" s="64">
        <f t="shared" ref="AI23" si="40">AI22/AD22-1</f>
        <v>0.61403351688528751</v>
      </c>
      <c r="AJ23" s="336">
        <f t="shared" ref="AJ23" si="41">AJ22/AE22-1</f>
        <v>0.6073919837964783</v>
      </c>
      <c r="AK23" s="64">
        <f t="shared" ref="AK23" si="42">AK22/AF22-1</f>
        <v>0.60695689516345475</v>
      </c>
      <c r="AL23" s="64">
        <f t="shared" ref="AL23" si="43">AL22/AG22-1</f>
        <v>0.5863389977814879</v>
      </c>
      <c r="AM23" s="64">
        <f t="shared" ref="AM23" si="44">AM22/AH22-1</f>
        <v>0.58421583716402847</v>
      </c>
      <c r="AN23" s="64">
        <f t="shared" ref="AN23" si="45">AN22/AI22-1</f>
        <v>0.59748700974500268</v>
      </c>
      <c r="AO23" s="336">
        <f t="shared" ref="AO23" si="46">AO22/AJ22-1</f>
        <v>0.59322001678294334</v>
      </c>
      <c r="AP23" s="64">
        <f t="shared" ref="AP23" si="47">AP22/AK22-1</f>
        <v>0.51724512292891522</v>
      </c>
      <c r="AQ23" s="64">
        <f t="shared" ref="AQ23" si="48">AQ22/AL22-1</f>
        <v>0.52618603075281678</v>
      </c>
      <c r="AR23" s="64">
        <f t="shared" ref="AR23" si="49">AR22/AM22-1</f>
        <v>0.51539288035051367</v>
      </c>
      <c r="AS23" s="64">
        <f t="shared" ref="AS23" si="50">AS22/AN22-1</f>
        <v>0.48686487518882315</v>
      </c>
      <c r="AT23" s="336">
        <f t="shared" ref="AT23" si="51">AT22/AO22-1</f>
        <v>0.50992119971432137</v>
      </c>
      <c r="AU23" s="64">
        <f t="shared" ref="AU23" si="52">AU22/AP22-1</f>
        <v>0.57132006098601384</v>
      </c>
      <c r="AV23" s="64">
        <f t="shared" ref="AV23" si="53">AV22/AQ22-1</f>
        <v>0.5910179442730894</v>
      </c>
      <c r="AW23" s="64">
        <f t="shared" ref="AW23" si="54">AW22/AR22-1</f>
        <v>0.60282080021737672</v>
      </c>
      <c r="AX23" s="64">
        <f t="shared" ref="AX23" si="55">AX22/AS22-1</f>
        <v>0.65210858615347456</v>
      </c>
      <c r="AY23" s="336">
        <f t="shared" ref="AY23" si="56">AY22/AT22-1</f>
        <v>0.60783333145185869</v>
      </c>
      <c r="AZ23" s="64">
        <f t="shared" ref="AZ23" si="57">AZ22/AU22-1</f>
        <v>0.61227270657386379</v>
      </c>
      <c r="BA23" s="64">
        <f t="shared" ref="BA23" si="58">BA22/AV22-1</f>
        <v>0.53342873089574749</v>
      </c>
      <c r="BB23" s="64">
        <f t="shared" ref="BB23" si="59">BB22/AW22-1</f>
        <v>0.48027664612923204</v>
      </c>
      <c r="BC23" s="64">
        <f t="shared" ref="BC23" si="60">BC22/AX22-1</f>
        <v>0.41355700586669153</v>
      </c>
      <c r="BD23" s="336">
        <f t="shared" ref="BD23" si="61">BD22/AY22-1</f>
        <v>0.49942180784923051</v>
      </c>
      <c r="BE23" s="64">
        <f t="shared" ref="BE23" si="62">BE22/AZ22-1</f>
        <v>0.39723640471896915</v>
      </c>
      <c r="BF23" s="64">
        <f t="shared" ref="BF23" si="63">BF22/BA22-1</f>
        <v>0.32702501771491188</v>
      </c>
      <c r="BG23" s="64">
        <f t="shared" ref="BG23" si="64">BG22/BB22-1</f>
        <v>0.31474114992385971</v>
      </c>
      <c r="BH23" s="64">
        <f t="shared" ref="BH23" si="65">BH22/BC22-1</f>
        <v>0.25516704558334302</v>
      </c>
      <c r="BI23" s="336">
        <f t="shared" ref="BI23" si="66">BI22/BD22-1</f>
        <v>0.31875554007184004</v>
      </c>
      <c r="BJ23" s="64">
        <f t="shared" ref="BJ23" si="67">BJ22/BE22-1</f>
        <v>0.15978081373832631</v>
      </c>
      <c r="BK23" s="64">
        <f t="shared" ref="BK23" si="68">BK22/BF22-1</f>
        <v>0.13300468175312607</v>
      </c>
      <c r="BL23" s="64">
        <f t="shared" ref="BL23" si="69">BL22/BG22-1</f>
        <v>0.16164121046485369</v>
      </c>
      <c r="BM23" s="64">
        <f t="shared" ref="BM23" si="70">BM22/BH22-1</f>
        <v>0.1987610302173175</v>
      </c>
      <c r="BN23" s="336">
        <f t="shared" ref="BN23" si="71">BN22/BI22-1</f>
        <v>0.16417226265346363</v>
      </c>
      <c r="BO23" s="64">
        <f t="shared" ref="BO23" si="72">BO22/BJ22-1</f>
        <v>0.28672596271160078</v>
      </c>
      <c r="BP23" s="64">
        <f t="shared" ref="BP23" si="73">BP22/BK22-1</f>
        <v>0.42308187568246902</v>
      </c>
      <c r="BQ23" s="64">
        <f t="shared" ref="BQ23" si="74">BQ22/BL22-1</f>
        <v>0.42581149354179537</v>
      </c>
      <c r="BR23" s="64">
        <f t="shared" ref="BR23" si="75">BR22/BM22-1</f>
        <v>0.45183506310366117</v>
      </c>
      <c r="BS23" s="336">
        <f t="shared" ref="BS23" si="76">BS22/BN22-1</f>
        <v>0.4006895493681415</v>
      </c>
      <c r="BT23" s="64">
        <f t="shared" ref="BT23" si="77">BT22/BO22-1</f>
        <v>0.42880527653899048</v>
      </c>
      <c r="BU23" s="64">
        <f t="shared" ref="BU23" si="78">BU22/BP22-1</f>
        <v>0.34392310935851467</v>
      </c>
      <c r="BV23" s="64">
        <f t="shared" ref="BV23" si="79">BV22/BQ22-1</f>
        <v>0.31558624158012938</v>
      </c>
      <c r="BW23" s="64">
        <f t="shared" ref="BW23" si="80">BW22/BR22-1</f>
        <v>0.26942199081032991</v>
      </c>
      <c r="BX23" s="336">
        <f t="shared" ref="BX23" si="81">BX22/BS22-1</f>
        <v>0.3328914427762979</v>
      </c>
      <c r="BY23" s="64">
        <f t="shared" ref="BY23" si="82">BY22/BT22-1</f>
        <v>0.2480184181912457</v>
      </c>
      <c r="BZ23" s="64">
        <f t="shared" ref="BZ23" si="83">BZ22/BU22-1</f>
        <v>0.20870538269184413</v>
      </c>
      <c r="CA23" s="64">
        <f t="shared" ref="CA23" si="84">CA22/BV22-1</f>
        <v>0.18160047071933372</v>
      </c>
      <c r="CB23" s="64">
        <f t="shared" ref="CB23" si="85">CB22/BW22-1</f>
        <v>0.17100847685319609</v>
      </c>
      <c r="CC23" s="336">
        <f t="shared" ref="CC23" si="86">CC22/BX22-1</f>
        <v>0.20017722142680272</v>
      </c>
      <c r="CD23" s="64">
        <f t="shared" ref="CD23" si="87">CD22/BY22-1</f>
        <v>0.18078661921092642</v>
      </c>
      <c r="CE23" s="64">
        <f t="shared" ref="CE23" si="88">CE22/BZ22-1</f>
        <v>0.20388587471173425</v>
      </c>
      <c r="CF23" s="64">
        <f t="shared" ref="CF23" si="89">CF22/CA22-1</f>
        <v>0.21887065943221073</v>
      </c>
      <c r="CG23" s="64">
        <f t="shared" ref="CG23" si="90">CG22/CB22-1</f>
        <v>0.20904930923948317</v>
      </c>
      <c r="CH23" s="336">
        <f t="shared" ref="CH23" si="91">CH22/CC22-1</f>
        <v>0.20373275771009536</v>
      </c>
      <c r="CI23" s="64">
        <f t="shared" ref="CI23" si="92">CI22/CD22-1</f>
        <v>0.19874422117068113</v>
      </c>
      <c r="CJ23" s="64">
        <f t="shared" ref="CJ23" si="93">CJ22/CE22-1</f>
        <v>0.16465269937628402</v>
      </c>
      <c r="CK23" s="64">
        <f t="shared" ref="CK23" si="94">CK22/CF22-1</f>
        <v>0.11939248556743354</v>
      </c>
      <c r="CL23" s="64">
        <f t="shared" ref="CL23" si="95">CL22/CG22-1</f>
        <v>0.16418763330570996</v>
      </c>
      <c r="CM23" s="336">
        <f t="shared" ref="CM23" si="96">CM22/CH22-1</f>
        <v>0.16051811173548347</v>
      </c>
      <c r="CN23" s="64">
        <f t="shared" ref="CN23" si="97">CN22/CI22-1</f>
        <v>0.20189171828325247</v>
      </c>
      <c r="CO23" s="64">
        <f t="shared" ref="CO23" si="98">CO22/CJ22-1</f>
        <v>0.22565943107408803</v>
      </c>
      <c r="CP23" s="64">
        <f t="shared" ref="CP23" si="99">CP22/CK22-1</f>
        <v>0.23478841026900721</v>
      </c>
      <c r="CQ23" s="64">
        <f t="shared" ref="CQ23" si="100">CQ22/CL22-1</f>
        <v>0.17878514931278566</v>
      </c>
      <c r="CR23" s="405">
        <f t="shared" ref="CR23" si="101">CR22/CM22-1</f>
        <v>0.20982031888158681</v>
      </c>
      <c r="CS23" s="64">
        <f t="shared" ref="CS23" si="102">CS22/CN22-1</f>
        <v>9.9814522222985369E-2</v>
      </c>
      <c r="CT23" s="64">
        <f t="shared" ref="CT23" si="103">CT22/CO22-1</f>
        <v>9.2314673754497534E-2</v>
      </c>
      <c r="CU23" s="64">
        <f t="shared" ref="CU23" si="104">CU22/CP22-1</f>
        <v>8.3526827737684606E-2</v>
      </c>
      <c r="CV23" s="64">
        <f t="shared" ref="CV23" si="105">CV22/CQ22-1</f>
        <v>7.0997679814385206E-2</v>
      </c>
      <c r="CW23" s="405">
        <f t="shared" ref="CW23" si="106">CW22/CR22-1</f>
        <v>8.6267719072165017E-2</v>
      </c>
      <c r="CX23" s="64">
        <f t="shared" ref="CX23" si="107">CX22/CS22-1</f>
        <v>0.10743285446595885</v>
      </c>
      <c r="CY23" s="64">
        <f t="shared" ref="CY23" si="108">CY22/CT22-1</f>
        <v>8.9053087628713001E-2</v>
      </c>
      <c r="CZ23" s="64">
        <f t="shared" ref="CZ23" si="109">CZ22/CU22-1</f>
        <v>9.0582647978686426E-2</v>
      </c>
      <c r="DA23" s="64">
        <f t="shared" ref="DA23" si="110">DA22/CV22-1</f>
        <v>0.10571923743500866</v>
      </c>
      <c r="DB23" s="405">
        <f t="shared" ref="DB23" si="111">DB22/CW22-1</f>
        <v>9.8086319520134024E-2</v>
      </c>
      <c r="DC23" s="64">
        <f>DC22/CX22-1</f>
        <v>9.182882120699376E-2</v>
      </c>
      <c r="DD23" s="64">
        <f>DD22/CY22-1</f>
        <v>9.2392370572207172E-2</v>
      </c>
      <c r="DE23" s="64">
        <f>DE22/CZ22-1</f>
        <v>8.8656399362719185E-2</v>
      </c>
      <c r="DF23" s="64">
        <f>DF22/DA22-1</f>
        <v>8.8960292580982259E-2</v>
      </c>
      <c r="DG23" s="405">
        <f t="shared" ref="DG23" si="112">DG22/DB22-1</f>
        <v>9.0420324105334293E-2</v>
      </c>
      <c r="DH23" s="64">
        <f t="shared" ref="DH23" si="113">DH22/DC22-1</f>
        <v>7.9384657605011011E-2</v>
      </c>
      <c r="DI23" s="64">
        <f t="shared" ref="DI23" si="114">DI22/DD22-1</f>
        <v>7.9779363345206411E-2</v>
      </c>
      <c r="DJ23" s="64">
        <f t="shared" ref="DJ23" si="115">DJ22/DE22-1</f>
        <v>7.9898936066421511E-2</v>
      </c>
      <c r="DK23" s="64">
        <f t="shared" ref="DK23" si="116">DK22/DF22-1</f>
        <v>7.8739654651269086E-2</v>
      </c>
      <c r="DL23" s="405">
        <f t="shared" ref="DL23" si="117">DL22/DG22-1</f>
        <v>7.9446714605280633E-2</v>
      </c>
      <c r="DM23" s="64">
        <f t="shared" ref="DM23" si="118">DM22/DH22-1</f>
        <v>8.0422787676193375E-2</v>
      </c>
      <c r="DN23" s="64">
        <f t="shared" ref="DN23" si="119">DN22/DI22-1</f>
        <v>7.79539616775482E-2</v>
      </c>
      <c r="DO23" s="64">
        <f t="shared" ref="DO23" si="120">DO22/DJ22-1</f>
        <v>7.9526143291698936E-2</v>
      </c>
      <c r="DP23" s="64">
        <f t="shared" ref="DP23" si="121">DP22/DK22-1</f>
        <v>7.8334856130269692E-2</v>
      </c>
      <c r="DQ23" s="405">
        <f t="shared" ref="DQ23" si="122">DQ22/DL22-1</f>
        <v>7.9043371104791094E-2</v>
      </c>
      <c r="DR23" s="66"/>
      <c r="DS23" s="68"/>
      <c r="DT23"/>
      <c r="DU23"/>
      <c r="DV23"/>
      <c r="DW23"/>
      <c r="DX23"/>
      <c r="DY23"/>
    </row>
    <row r="24" spans="1:129" s="75" customFormat="1">
      <c r="A24" s="680"/>
      <c r="B24" s="639"/>
      <c r="C24" s="557" t="s">
        <v>348</v>
      </c>
      <c r="D24" s="640"/>
      <c r="E24" s="640"/>
      <c r="F24" s="640"/>
      <c r="G24" s="67"/>
      <c r="H24" s="64"/>
      <c r="I24" s="64"/>
      <c r="J24" s="76"/>
      <c r="K24" s="66"/>
      <c r="L24" s="66">
        <f>L22/J22-1</f>
        <v>4.7487179487179398E-2</v>
      </c>
      <c r="M24" s="68">
        <f>M22/L22-1</f>
        <v>5.2482130617840239E-2</v>
      </c>
      <c r="N24" s="68">
        <f>N22/M22-1</f>
        <v>6.4098985952181664E-2</v>
      </c>
      <c r="O24" s="68">
        <f>O22/N22-1</f>
        <v>5.3680713411435432E-2</v>
      </c>
      <c r="P24" s="336"/>
      <c r="Q24" s="68">
        <f>Q22/O22-1</f>
        <v>0.12305011616329242</v>
      </c>
      <c r="R24" s="68">
        <f>R22/Q22-1</f>
        <v>0.17476911710380483</v>
      </c>
      <c r="S24" s="68">
        <f>S22/R22-1</f>
        <v>0.16685009905348891</v>
      </c>
      <c r="T24" s="68">
        <f>T22/S22-1</f>
        <v>0.10634112162125731</v>
      </c>
      <c r="U24" s="336"/>
      <c r="V24" s="68">
        <f>V22/T22-1</f>
        <v>5.7267434779431525E-2</v>
      </c>
      <c r="W24" s="68">
        <f>W22/V22-1</f>
        <v>4.6239977882222894E-2</v>
      </c>
      <c r="X24" s="68">
        <f>X22/W22-1</f>
        <v>2.0039197551253718E-3</v>
      </c>
      <c r="Y24" s="68">
        <f>Y22/X22-1</f>
        <v>-4.485517120126592E-2</v>
      </c>
      <c r="Z24" s="336"/>
      <c r="AA24" s="68">
        <f>AA22/Y22-1</f>
        <v>6.9556613975748416E-2</v>
      </c>
      <c r="AB24" s="68">
        <f>AB22/AA22-1</f>
        <v>0.16939161862146102</v>
      </c>
      <c r="AC24" s="68">
        <f>AC22/AB22-1</f>
        <v>0.12647632363221595</v>
      </c>
      <c r="AD24" s="68">
        <f>AD22/AC22-1</f>
        <v>9.4360883837146581E-2</v>
      </c>
      <c r="AE24" s="336"/>
      <c r="AF24" s="68">
        <f>AF22/AD22-1</f>
        <v>0.11199653788184039</v>
      </c>
      <c r="AG24" s="68">
        <f>AG22/AF22-1</f>
        <v>0.17351978098663356</v>
      </c>
      <c r="AH24" s="68">
        <f>AH22/AG22-1</f>
        <v>0.12196098163438007</v>
      </c>
      <c r="AI24" s="68">
        <f>AI22/AH22-1</f>
        <v>0.10240441948405365</v>
      </c>
      <c r="AJ24" s="336"/>
      <c r="AK24" s="68">
        <f>AK22/AI22-1</f>
        <v>0.10712106362913509</v>
      </c>
      <c r="AL24" s="68">
        <f>AL22/AK22-1</f>
        <v>0.15846305451630149</v>
      </c>
      <c r="AM24" s="68">
        <f>AM22/AL22-1</f>
        <v>0.12045934587187057</v>
      </c>
      <c r="AN24" s="68">
        <f>AN22/AM22-1</f>
        <v>0.1116393980531305</v>
      </c>
      <c r="AO24" s="336"/>
      <c r="AP24" s="68">
        <f>AP22/AN22-1</f>
        <v>5.1510293377165395E-2</v>
      </c>
      <c r="AQ24" s="68">
        <f>AQ22/AP22-1</f>
        <v>0.16528971108701507</v>
      </c>
      <c r="AR24" s="68">
        <f>AR22/AQ22-1</f>
        <v>0.11253548469375718</v>
      </c>
      <c r="AS24" s="68">
        <f>AS22/AR22-1</f>
        <v>9.0712247809252355E-2</v>
      </c>
      <c r="AT24" s="336"/>
      <c r="AU24" s="68">
        <f>AU22/AS22-1</f>
        <v>0.11123696973943353</v>
      </c>
      <c r="AV24" s="68">
        <f>AV22/AU22-1</f>
        <v>0.17989764571124334</v>
      </c>
      <c r="AW24" s="68">
        <f>AW22/AV22-1</f>
        <v>0.12078875179612636</v>
      </c>
      <c r="AX24" s="68">
        <f>AX22/AW22-1</f>
        <v>0.12425236145178276</v>
      </c>
      <c r="AY24" s="336"/>
      <c r="AZ24" s="68">
        <f>AZ22/AX22-1</f>
        <v>8.4442664279150925E-2</v>
      </c>
      <c r="BA24" s="68">
        <f>BA22/AZ22-1</f>
        <v>0.12219784039802728</v>
      </c>
      <c r="BB24" s="68">
        <f>BB22/BA22-1</f>
        <v>8.1939695729447815E-2</v>
      </c>
      <c r="BC24" s="68">
        <f>BC22/BB22-1</f>
        <v>7.3579594765557532E-2</v>
      </c>
      <c r="BD24" s="336"/>
      <c r="BE24" s="68">
        <f>BE22/BC22-1</f>
        <v>7.1921940942335949E-2</v>
      </c>
      <c r="BF24" s="68">
        <f>BF22/BE22-1</f>
        <v>6.5807191971463563E-2</v>
      </c>
      <c r="BG24" s="68">
        <f>BG22/BF22-1</f>
        <v>7.1924508372153362E-2</v>
      </c>
      <c r="BH24" s="68">
        <f>BH22/BG22-1</f>
        <v>2.493310431371687E-2</v>
      </c>
      <c r="BI24" s="336"/>
      <c r="BJ24" s="68">
        <f>BJ22/BH22-1</f>
        <v>-9.5386065905754824E-3</v>
      </c>
      <c r="BK24" s="68">
        <f>BK22/BJ22-1</f>
        <v>4.1200651058774795E-2</v>
      </c>
      <c r="BL24" s="68">
        <f>BL22/BK22-1</f>
        <v>9.9017244576302899E-2</v>
      </c>
      <c r="BM24" s="68">
        <f>BM22/BL22-1</f>
        <v>5.7684466565434578E-2</v>
      </c>
      <c r="BN24" s="336"/>
      <c r="BO24" s="68">
        <f>BO22/BM22-1</f>
        <v>6.3141324949790967E-2</v>
      </c>
      <c r="BP24" s="68">
        <f>BP22/BO22-1</f>
        <v>0.15153794856833236</v>
      </c>
      <c r="BQ24" s="68">
        <f>BQ22/BP22-1</f>
        <v>0.10112527303887053</v>
      </c>
      <c r="BR24" s="68">
        <f>BR22/BQ22-1</f>
        <v>7.698906988420684E-2</v>
      </c>
      <c r="BS24" s="336"/>
      <c r="BT24" s="68">
        <f>BT22/BR22-1</f>
        <v>4.6277206962907158E-2</v>
      </c>
      <c r="BU24" s="68">
        <f>BU22/BT22-1</f>
        <v>8.3127621234010185E-2</v>
      </c>
      <c r="BV24" s="68">
        <f>BV22/BU22-1</f>
        <v>7.7907842627666035E-2</v>
      </c>
      <c r="BW24" s="68">
        <f>BW22/BV22-1</f>
        <v>3.9197253637518692E-2</v>
      </c>
      <c r="BX24" s="336"/>
      <c r="BY24" s="68">
        <f>BY22/BW22-1</f>
        <v>2.8636051900965853E-2</v>
      </c>
      <c r="BZ24" s="68">
        <f>BZ22/BY22-1</f>
        <v>4.9008705997432456E-2</v>
      </c>
      <c r="CA24" s="68">
        <f>CA22/BZ22-1</f>
        <v>5.3736032352580843E-2</v>
      </c>
      <c r="CB24" s="68">
        <f>CB22/CA22-1</f>
        <v>2.988177754471133E-2</v>
      </c>
      <c r="CC24" s="336"/>
      <c r="CD24" s="68">
        <f>CD22/CB22-1</f>
        <v>3.7225357570904505E-2</v>
      </c>
      <c r="CE24" s="68">
        <f>CE22/CD22-1</f>
        <v>6.953004298429577E-2</v>
      </c>
      <c r="CF24" s="68">
        <f>CF22/CE22-1</f>
        <v>6.6851899835279838E-2</v>
      </c>
      <c r="CG24" s="68">
        <f>CG22/CF22-1</f>
        <v>2.1583251760944444E-2</v>
      </c>
      <c r="CH24" s="336"/>
      <c r="CI24" s="68">
        <f>CI22/CG22-1</f>
        <v>2.8384776318113314E-2</v>
      </c>
      <c r="CJ24" s="68">
        <f>CJ22/CI22-1</f>
        <v>3.9113290080533325E-2</v>
      </c>
      <c r="CK24" s="68">
        <f>CK22/CJ22-1</f>
        <v>2.5392377082460893E-2</v>
      </c>
      <c r="CL24" s="68">
        <f>CL22/CK22-1</f>
        <v>6.2464330810160007E-2</v>
      </c>
      <c r="CM24" s="336"/>
      <c r="CN24" s="68">
        <f>CN22/CL22-1</f>
        <v>6.1690667814151334E-2</v>
      </c>
      <c r="CO24" s="68">
        <f>CO22/CN22-1</f>
        <v>5.9662018272995665E-2</v>
      </c>
      <c r="CP24" s="68">
        <f>CP22/CO22-1</f>
        <v>3.3029723509772735E-2</v>
      </c>
      <c r="CQ24" s="76">
        <f>CQ22/CP22-1</f>
        <v>1.4276749294007018E-2</v>
      </c>
      <c r="CR24" s="405"/>
      <c r="CS24" s="64">
        <f>CS22/CQ22-1</f>
        <v>-9.4354215003866759E-3</v>
      </c>
      <c r="CT24" s="64">
        <f>CT22/CS22-1</f>
        <v>5.2435977514053711E-2</v>
      </c>
      <c r="CU24" s="64">
        <f>CU22/CT22-1</f>
        <v>2.4718834386777022E-2</v>
      </c>
      <c r="CV24" s="64">
        <f>CV22/CU22-1</f>
        <v>2.5483609405767549E-3</v>
      </c>
      <c r="CW24" s="336"/>
      <c r="CX24" s="68">
        <f>CX22/CV22-1</f>
        <v>2.4263431542461023E-2</v>
      </c>
      <c r="CY24" s="68">
        <f>CY22/CX22-1</f>
        <v>3.4968979131415612E-2</v>
      </c>
      <c r="CZ24" s="68">
        <f>CZ22/CY22-1</f>
        <v>2.6158038147138907E-2</v>
      </c>
      <c r="DA24" s="68">
        <f>DA22/CZ22-1</f>
        <v>1.6463090812533165E-2</v>
      </c>
      <c r="DB24" s="336"/>
      <c r="DC24" s="68">
        <f>DC22/DA22-1</f>
        <v>1.1396290491118011E-2</v>
      </c>
      <c r="DD24" s="68">
        <f>DD22/DC22-1</f>
        <v>3.5503180189196959E-2</v>
      </c>
      <c r="DE24" s="68">
        <f>DE22/DD22-1</f>
        <v>2.2648587705907719E-2</v>
      </c>
      <c r="DF24" s="68">
        <f>DF22/DE22-1</f>
        <v>1.674683161458379E-2</v>
      </c>
      <c r="DG24" s="336"/>
      <c r="DH24" s="68">
        <f>DH22/DF22-1</f>
        <v>2.5027047839292216E-3</v>
      </c>
      <c r="DI24" s="68">
        <f>DI22/DH22-1</f>
        <v>3.5881839498768997E-2</v>
      </c>
      <c r="DJ24" s="68">
        <f>DJ22/DI22-1</f>
        <v>2.2761833873254478E-2</v>
      </c>
      <c r="DK24" s="68">
        <f>DK22/DJ22-1</f>
        <v>1.5655344562934825E-2</v>
      </c>
      <c r="DL24" s="336"/>
      <c r="DM24" s="68">
        <f>DM22/DK22-1</f>
        <v>4.0668870244933153E-3</v>
      </c>
      <c r="DN24" s="68">
        <f>DN22/DM22-1</f>
        <v>3.3514792037303121E-2</v>
      </c>
      <c r="DO24" s="68">
        <f>DO22/DN22-1</f>
        <v>2.4253518498048798E-2</v>
      </c>
      <c r="DP24" s="68">
        <f>DP22/DO22-1</f>
        <v>1.45345406065569E-2</v>
      </c>
      <c r="DQ24" s="336"/>
      <c r="DR24" s="66"/>
      <c r="DS24" s="68"/>
      <c r="DT24"/>
      <c r="DU24"/>
      <c r="DV24"/>
      <c r="DW24"/>
      <c r="DX24"/>
      <c r="DY24"/>
    </row>
    <row r="25" spans="1:129">
      <c r="A25" s="621"/>
      <c r="B25" s="623"/>
      <c r="C25" s="558"/>
      <c r="D25" s="558"/>
      <c r="E25" s="558"/>
      <c r="F25" s="621"/>
      <c r="G25" s="67"/>
      <c r="H25" s="64"/>
      <c r="I25" s="64"/>
      <c r="J25" s="76"/>
      <c r="K25" s="14"/>
      <c r="L25" s="67"/>
      <c r="M25" s="64"/>
      <c r="N25" s="64"/>
      <c r="O25" s="64"/>
      <c r="P25" s="352"/>
      <c r="Q25" s="64"/>
      <c r="R25" s="64"/>
      <c r="S25" s="64"/>
      <c r="T25" s="64"/>
      <c r="U25" s="352"/>
      <c r="V25" s="64"/>
      <c r="W25" s="64"/>
      <c r="X25" s="64"/>
      <c r="Y25" s="64"/>
      <c r="Z25" s="352"/>
      <c r="AA25" s="64"/>
      <c r="AB25" s="64"/>
      <c r="AC25" s="64"/>
      <c r="AD25" s="64"/>
      <c r="AE25" s="352"/>
      <c r="AF25" s="64"/>
      <c r="AG25" s="64"/>
      <c r="AH25" s="64"/>
      <c r="AI25" s="64"/>
      <c r="AJ25" s="352"/>
      <c r="AK25" s="15"/>
      <c r="AL25" s="15"/>
      <c r="AM25" s="15"/>
      <c r="AN25" s="15"/>
      <c r="AO25" s="352"/>
      <c r="AP25" s="15"/>
      <c r="AQ25" s="15"/>
      <c r="AR25" s="15"/>
      <c r="AS25" s="15"/>
      <c r="AT25" s="352"/>
      <c r="AU25" s="15"/>
      <c r="AV25" s="15"/>
      <c r="AW25" s="15"/>
      <c r="AX25" s="15"/>
      <c r="AY25" s="352"/>
      <c r="AZ25" s="15"/>
      <c r="BA25" s="15"/>
      <c r="BB25" s="15"/>
      <c r="BC25" s="15"/>
      <c r="BD25" s="352"/>
      <c r="BE25" s="15"/>
      <c r="BF25" s="15"/>
      <c r="BG25" s="15"/>
      <c r="BH25" s="15"/>
      <c r="BI25" s="352"/>
      <c r="BJ25" s="15"/>
      <c r="BK25" s="15"/>
      <c r="BL25" s="15"/>
      <c r="BM25" s="15"/>
      <c r="BN25" s="352"/>
      <c r="BO25" s="15"/>
      <c r="BP25" s="15"/>
      <c r="BQ25" s="15"/>
      <c r="BR25" s="15"/>
      <c r="BS25" s="352"/>
      <c r="BT25" s="15"/>
      <c r="BU25" s="15"/>
      <c r="BV25" s="15"/>
      <c r="BW25" s="15"/>
      <c r="BX25" s="352"/>
      <c r="BY25" s="15"/>
      <c r="BZ25" s="15"/>
      <c r="CA25" s="15"/>
      <c r="CB25" s="15"/>
      <c r="CC25" s="352"/>
      <c r="CD25" s="15"/>
      <c r="CE25" s="15"/>
      <c r="CF25" s="15"/>
      <c r="CG25" s="15"/>
      <c r="CH25" s="352"/>
      <c r="CI25" s="15"/>
      <c r="CJ25" s="15"/>
      <c r="CK25" s="15"/>
      <c r="CL25" s="15"/>
      <c r="CM25" s="352"/>
      <c r="CN25" s="15"/>
      <c r="CO25" s="15"/>
      <c r="CP25" s="15"/>
      <c r="CQ25" s="15"/>
      <c r="CR25" s="352"/>
      <c r="CS25" s="15"/>
      <c r="CT25" s="15"/>
      <c r="CU25" s="15"/>
      <c r="CV25" s="15"/>
      <c r="CW25" s="352"/>
      <c r="CX25" s="15"/>
      <c r="CY25" s="15"/>
      <c r="CZ25" s="15"/>
      <c r="DA25" s="15"/>
      <c r="DB25" s="352"/>
      <c r="DC25" s="15"/>
      <c r="DD25" s="15"/>
      <c r="DE25" s="15"/>
      <c r="DF25" s="15"/>
      <c r="DG25" s="352"/>
      <c r="DH25" s="15"/>
      <c r="DI25" s="15"/>
      <c r="DJ25" s="15"/>
      <c r="DK25" s="15"/>
      <c r="DL25" s="352"/>
      <c r="DM25" s="15"/>
      <c r="DN25" s="15"/>
      <c r="DO25" s="15"/>
      <c r="DP25" s="15"/>
      <c r="DQ25" s="352"/>
      <c r="DR25" s="3"/>
      <c r="DS25" s="4"/>
    </row>
    <row r="26" spans="1:129" s="619" customFormat="1" ht="11.25" customHeight="1">
      <c r="B26" s="620" t="s">
        <v>321</v>
      </c>
      <c r="C26" s="558"/>
      <c r="D26" s="558"/>
      <c r="E26" s="558"/>
      <c r="F26" s="621"/>
      <c r="G26" s="577"/>
      <c r="H26" s="578"/>
      <c r="I26" s="578"/>
      <c r="J26" s="567"/>
      <c r="K26" s="577"/>
      <c r="L26" s="577"/>
      <c r="M26" s="578"/>
      <c r="N26" s="578"/>
      <c r="O26" s="578"/>
      <c r="P26" s="667"/>
      <c r="Q26" s="578"/>
      <c r="R26" s="578"/>
      <c r="S26" s="578"/>
      <c r="T26" s="578"/>
      <c r="U26" s="667"/>
      <c r="V26" s="578"/>
      <c r="W26" s="578"/>
      <c r="X26" s="578"/>
      <c r="Y26" s="578"/>
      <c r="Z26" s="667"/>
      <c r="AA26" s="578"/>
      <c r="AB26" s="578"/>
      <c r="AC26" s="578"/>
      <c r="AD26" s="578"/>
      <c r="AE26" s="667"/>
      <c r="AF26" s="578"/>
      <c r="AG26" s="578"/>
      <c r="AH26" s="578"/>
      <c r="AI26" s="578"/>
      <c r="AJ26" s="667"/>
      <c r="AK26" s="578"/>
      <c r="AL26" s="578"/>
      <c r="AM26" s="578"/>
      <c r="AN26" s="578"/>
      <c r="AO26" s="667"/>
      <c r="AP26" s="578"/>
      <c r="AQ26" s="578"/>
      <c r="AR26" s="578"/>
      <c r="AS26" s="578"/>
      <c r="AT26" s="667"/>
      <c r="AU26" s="578"/>
      <c r="AV26" s="578"/>
      <c r="AW26" s="578"/>
      <c r="AX26" s="578"/>
      <c r="AY26" s="667"/>
      <c r="AZ26" s="578"/>
      <c r="BA26" s="578"/>
      <c r="BB26" s="578"/>
      <c r="BC26" s="578"/>
      <c r="BD26" s="667"/>
      <c r="BE26" s="578"/>
      <c r="BF26" s="578"/>
      <c r="BG26" s="578"/>
      <c r="BH26" s="578"/>
      <c r="BI26" s="667"/>
      <c r="BJ26" s="578"/>
      <c r="BK26" s="578"/>
      <c r="BL26" s="578"/>
      <c r="BM26" s="578"/>
      <c r="BN26" s="667"/>
      <c r="BO26" s="578"/>
      <c r="BP26" s="578"/>
      <c r="BQ26" s="578"/>
      <c r="BR26" s="578"/>
      <c r="BS26" s="667"/>
      <c r="BT26" s="578"/>
      <c r="BU26" s="578"/>
      <c r="BV26" s="578"/>
      <c r="BW26" s="578"/>
      <c r="BX26" s="667"/>
      <c r="BY26" s="578"/>
      <c r="BZ26" s="578"/>
      <c r="CA26" s="578"/>
      <c r="CB26" s="578"/>
      <c r="CC26" s="667"/>
      <c r="CD26" s="578"/>
      <c r="CE26" s="578"/>
      <c r="CF26" s="578"/>
      <c r="CG26" s="578"/>
      <c r="CH26" s="667"/>
      <c r="CI26" s="578"/>
      <c r="CJ26" s="578"/>
      <c r="CK26" s="578"/>
      <c r="CL26" s="578"/>
      <c r="CM26" s="667"/>
      <c r="CN26" s="733">
        <f t="shared" ref="CN26:CX26" si="123">CN30-CN28</f>
        <v>1717.8</v>
      </c>
      <c r="CO26" s="733">
        <f t="shared" si="123"/>
        <v>1836.3</v>
      </c>
      <c r="CP26" s="733">
        <f t="shared" si="123"/>
        <v>1924.1999999999998</v>
      </c>
      <c r="CQ26" s="733">
        <f t="shared" si="123"/>
        <v>1922.3999999999999</v>
      </c>
      <c r="CR26" s="355">
        <f t="shared" si="123"/>
        <v>7400.7000000000007</v>
      </c>
      <c r="CS26" s="733">
        <f t="shared" si="123"/>
        <v>1902.8000000000002</v>
      </c>
      <c r="CT26" s="733">
        <f t="shared" si="123"/>
        <v>2024.8</v>
      </c>
      <c r="CU26" s="733">
        <f t="shared" si="123"/>
        <v>2063.7000000000003</v>
      </c>
      <c r="CV26" s="733">
        <f t="shared" si="123"/>
        <v>2064</v>
      </c>
      <c r="CW26" s="355">
        <f t="shared" si="123"/>
        <v>8055.3</v>
      </c>
      <c r="CX26" s="1094">
        <f t="shared" si="123"/>
        <v>2179</v>
      </c>
      <c r="CY26" s="1094">
        <f>CY30-CY28</f>
        <v>2248</v>
      </c>
      <c r="CZ26" s="1094">
        <f>CZ30-CZ28</f>
        <v>2324</v>
      </c>
      <c r="DA26" s="1094">
        <f>DA30-DA28</f>
        <v>2346</v>
      </c>
      <c r="DB26" s="355">
        <f>SUM(CX26:DA26)</f>
        <v>9097</v>
      </c>
      <c r="DC26" s="733">
        <f t="shared" ref="DC26:DF26" si="124">+DC22*(1-DC33)</f>
        <v>2319.1033749999997</v>
      </c>
      <c r="DD26" s="733">
        <f t="shared" si="124"/>
        <v>2397.4298399999998</v>
      </c>
      <c r="DE26" s="733">
        <f t="shared" si="124"/>
        <v>2447.6283600000002</v>
      </c>
      <c r="DF26" s="733">
        <f t="shared" si="124"/>
        <v>2480.2812999999996</v>
      </c>
      <c r="DG26" s="355">
        <f>SUM(DC26:DF26)</f>
        <v>9644.4428750000006</v>
      </c>
      <c r="DH26" s="733">
        <f t="shared" ref="DH26:DK26" si="125">+DH22*(1-DH33)</f>
        <v>2478.130766625</v>
      </c>
      <c r="DI26" s="733">
        <f t="shared" si="125"/>
        <v>2567.0506570499997</v>
      </c>
      <c r="DJ26" s="733">
        <f t="shared" si="125"/>
        <v>2625.4814376500003</v>
      </c>
      <c r="DK26" s="733">
        <f t="shared" si="125"/>
        <v>2666.5842542000005</v>
      </c>
      <c r="DL26" s="355">
        <f>SUM(DH26:DK26)</f>
        <v>10337.247115525</v>
      </c>
      <c r="DM26" s="733">
        <f t="shared" ref="DM26:DP26" si="126">+DM22*(1-DM33)</f>
        <v>2677.4289511031247</v>
      </c>
      <c r="DN26" s="733">
        <f t="shared" si="126"/>
        <v>2767.1624255940005</v>
      </c>
      <c r="DO26" s="733">
        <f t="shared" si="126"/>
        <v>2834.2758506702503</v>
      </c>
      <c r="DP26" s="733">
        <f t="shared" si="126"/>
        <v>2875.4707481120004</v>
      </c>
      <c r="DQ26" s="355">
        <f>SUM(DM26:DP26)</f>
        <v>11154.337975479377</v>
      </c>
      <c r="DR26" s="623"/>
      <c r="DS26" s="558"/>
      <c r="DT26"/>
      <c r="DU26"/>
      <c r="DV26"/>
      <c r="DW26"/>
      <c r="DX26"/>
      <c r="DY26"/>
    </row>
    <row r="27" spans="1:129" s="619" customFormat="1" ht="11.25" customHeight="1">
      <c r="B27" s="623"/>
      <c r="C27" s="558" t="s">
        <v>325</v>
      </c>
      <c r="D27" s="558"/>
      <c r="E27" s="558"/>
      <c r="F27" s="621"/>
      <c r="G27" s="577"/>
      <c r="H27" s="578"/>
      <c r="I27" s="578"/>
      <c r="J27" s="567"/>
      <c r="K27" s="577"/>
      <c r="L27" s="577"/>
      <c r="M27" s="578"/>
      <c r="N27" s="578"/>
      <c r="O27" s="578"/>
      <c r="P27" s="667"/>
      <c r="Q27" s="578"/>
      <c r="R27" s="578"/>
      <c r="S27" s="578"/>
      <c r="T27" s="578"/>
      <c r="U27" s="667"/>
      <c r="V27" s="578"/>
      <c r="W27" s="578"/>
      <c r="X27" s="578"/>
      <c r="Y27" s="578"/>
      <c r="Z27" s="667"/>
      <c r="AA27" s="578"/>
      <c r="AB27" s="578"/>
      <c r="AC27" s="578"/>
      <c r="AD27" s="578"/>
      <c r="AE27" s="667"/>
      <c r="AF27" s="578"/>
      <c r="AG27" s="578"/>
      <c r="AH27" s="578"/>
      <c r="AI27" s="578"/>
      <c r="AJ27" s="667"/>
      <c r="AK27" s="578"/>
      <c r="AL27" s="578"/>
      <c r="AM27" s="578"/>
      <c r="AN27" s="578"/>
      <c r="AO27" s="667"/>
      <c r="AP27" s="578"/>
      <c r="AQ27" s="578"/>
      <c r="AR27" s="578"/>
      <c r="AS27" s="578"/>
      <c r="AT27" s="667"/>
      <c r="AU27" s="578"/>
      <c r="AV27" s="578"/>
      <c r="AW27" s="578"/>
      <c r="AX27" s="578"/>
      <c r="AY27" s="667"/>
      <c r="AZ27" s="578"/>
      <c r="BA27" s="578"/>
      <c r="BB27" s="578"/>
      <c r="BC27" s="578"/>
      <c r="BD27" s="667"/>
      <c r="BE27" s="578"/>
      <c r="BF27" s="578"/>
      <c r="BG27" s="578"/>
      <c r="BH27" s="578"/>
      <c r="BI27" s="667"/>
      <c r="BJ27" s="578"/>
      <c r="BK27" s="578"/>
      <c r="BL27" s="578"/>
      <c r="BM27" s="578"/>
      <c r="BN27" s="667"/>
      <c r="BO27" s="578"/>
      <c r="BP27" s="578"/>
      <c r="BQ27" s="578"/>
      <c r="BR27" s="578"/>
      <c r="BS27" s="667"/>
      <c r="BT27" s="578"/>
      <c r="BU27" s="578"/>
      <c r="BV27" s="578"/>
      <c r="BW27" s="578"/>
      <c r="BX27" s="667"/>
      <c r="BY27" s="578"/>
      <c r="BZ27" s="578"/>
      <c r="CA27" s="578"/>
      <c r="CB27" s="578"/>
      <c r="CC27" s="667"/>
      <c r="CD27" s="578"/>
      <c r="CE27" s="578"/>
      <c r="CF27" s="578"/>
      <c r="CG27" s="578"/>
      <c r="CH27" s="667"/>
      <c r="CI27" s="578"/>
      <c r="CJ27" s="578"/>
      <c r="CK27" s="578"/>
      <c r="CL27" s="578"/>
      <c r="CM27" s="667"/>
      <c r="CN27" s="557">
        <f t="shared" ref="CN27:DL27" si="127">CN26/CN22</f>
        <v>0.59002541732499825</v>
      </c>
      <c r="CO27" s="557">
        <f t="shared" si="127"/>
        <v>0.59521571423940878</v>
      </c>
      <c r="CP27" s="557">
        <f t="shared" si="127"/>
        <v>0.60376529651710076</v>
      </c>
      <c r="CQ27" s="557">
        <f t="shared" si="127"/>
        <v>0.59470997679814386</v>
      </c>
      <c r="CR27" s="735">
        <f t="shared" si="127"/>
        <v>0.59606153350515467</v>
      </c>
      <c r="CS27" s="557">
        <f t="shared" si="127"/>
        <v>0.59425359150530921</v>
      </c>
      <c r="CT27" s="557">
        <f t="shared" si="127"/>
        <v>0.60084868987210305</v>
      </c>
      <c r="CU27" s="557">
        <f t="shared" si="127"/>
        <v>0.59761959921232488</v>
      </c>
      <c r="CV27" s="557">
        <f t="shared" si="127"/>
        <v>0.59618717504332752</v>
      </c>
      <c r="CW27" s="735">
        <f t="shared" si="127"/>
        <v>0.59725960362123809</v>
      </c>
      <c r="CX27" s="557">
        <f t="shared" si="127"/>
        <v>0.61449520586576423</v>
      </c>
      <c r="CY27" s="557">
        <f t="shared" si="127"/>
        <v>0.61253405994550414</v>
      </c>
      <c r="CZ27" s="557">
        <f t="shared" si="127"/>
        <v>0.61710037174721188</v>
      </c>
      <c r="DA27" s="557">
        <f t="shared" si="127"/>
        <v>0.61285266457680254</v>
      </c>
      <c r="DB27" s="735">
        <f t="shared" si="127"/>
        <v>0.61424713031735312</v>
      </c>
      <c r="DC27" s="557">
        <f t="shared" si="127"/>
        <v>0.59899999999999987</v>
      </c>
      <c r="DD27" s="557">
        <f t="shared" si="127"/>
        <v>0.59799999999999998</v>
      </c>
      <c r="DE27" s="557">
        <f t="shared" si="127"/>
        <v>0.59699999999999998</v>
      </c>
      <c r="DF27" s="557">
        <f t="shared" si="127"/>
        <v>0.59499999999999997</v>
      </c>
      <c r="DG27" s="735">
        <f t="shared" si="127"/>
        <v>0.59721148204624097</v>
      </c>
      <c r="DH27" s="557">
        <f t="shared" si="127"/>
        <v>0.59299999999999997</v>
      </c>
      <c r="DI27" s="557">
        <f t="shared" si="127"/>
        <v>0.59299999999999997</v>
      </c>
      <c r="DJ27" s="557">
        <f t="shared" si="127"/>
        <v>0.59299999999999997</v>
      </c>
      <c r="DK27" s="557">
        <f t="shared" si="127"/>
        <v>0.59299999999999997</v>
      </c>
      <c r="DL27" s="735">
        <f t="shared" si="127"/>
        <v>0.59299999999999997</v>
      </c>
      <c r="DM27" s="557">
        <f t="shared" ref="DM27:DQ27" si="128">DM26/DM22</f>
        <v>0.59299999999999997</v>
      </c>
      <c r="DN27" s="557">
        <f t="shared" si="128"/>
        <v>0.59299999999999997</v>
      </c>
      <c r="DO27" s="557">
        <f t="shared" si="128"/>
        <v>0.59299999999999997</v>
      </c>
      <c r="DP27" s="557">
        <f t="shared" si="128"/>
        <v>0.59299999999999997</v>
      </c>
      <c r="DQ27" s="735">
        <f t="shared" si="128"/>
        <v>0.59300000000000008</v>
      </c>
      <c r="DR27" s="623"/>
      <c r="DS27" s="558"/>
      <c r="DT27"/>
      <c r="DU27"/>
      <c r="DV27"/>
      <c r="DW27"/>
      <c r="DX27"/>
      <c r="DY27"/>
    </row>
    <row r="28" spans="1:129" s="619" customFormat="1" ht="11.25" hidden="1" customHeight="1" outlineLevel="1">
      <c r="A28" s="621"/>
      <c r="B28" s="572"/>
      <c r="C28" s="607" t="s">
        <v>320</v>
      </c>
      <c r="D28" s="607"/>
      <c r="E28" s="607"/>
      <c r="F28" s="608"/>
      <c r="G28" s="613"/>
      <c r="H28" s="614"/>
      <c r="I28" s="614"/>
      <c r="J28" s="615"/>
      <c r="K28" s="609">
        <f>SUM(G28:J28)</f>
        <v>0</v>
      </c>
      <c r="L28" s="613"/>
      <c r="M28" s="614"/>
      <c r="N28" s="614"/>
      <c r="O28" s="614"/>
      <c r="P28" s="758">
        <f>SUM(L28:O28)</f>
        <v>0</v>
      </c>
      <c r="Q28" s="614"/>
      <c r="R28" s="614"/>
      <c r="S28" s="614"/>
      <c r="T28" s="614"/>
      <c r="U28" s="758">
        <f>SUM(Q28:T28)</f>
        <v>0</v>
      </c>
      <c r="V28" s="614"/>
      <c r="W28" s="614"/>
      <c r="X28" s="614"/>
      <c r="Y28" s="614"/>
      <c r="Z28" s="758">
        <f>SUM(V28:Y28)</f>
        <v>0</v>
      </c>
      <c r="AA28" s="614"/>
      <c r="AB28" s="614"/>
      <c r="AC28" s="614"/>
      <c r="AD28" s="614"/>
      <c r="AE28" s="758">
        <f>SUM(AA28:AD28)</f>
        <v>0</v>
      </c>
      <c r="AF28" s="614"/>
      <c r="AG28" s="614"/>
      <c r="AH28" s="614"/>
      <c r="AI28" s="614"/>
      <c r="AJ28" s="758">
        <f>SUM(AF28:AI28)</f>
        <v>0</v>
      </c>
      <c r="AK28" s="614"/>
      <c r="AL28" s="614"/>
      <c r="AM28" s="614"/>
      <c r="AN28" s="614"/>
      <c r="AO28" s="758">
        <f>SUM(AK28:AN28)</f>
        <v>0</v>
      </c>
      <c r="AP28" s="614"/>
      <c r="AQ28" s="614"/>
      <c r="AR28" s="614"/>
      <c r="AS28" s="614"/>
      <c r="AT28" s="758">
        <f>SUM(AP28:AS28)</f>
        <v>0</v>
      </c>
      <c r="AU28" s="614">
        <v>3.1470000000000002</v>
      </c>
      <c r="AV28" s="614">
        <v>3.3319999999999999</v>
      </c>
      <c r="AW28" s="614">
        <v>3.4409999999999998</v>
      </c>
      <c r="AX28" s="614">
        <v>3.48</v>
      </c>
      <c r="AY28" s="758">
        <f>SUM(AU28:AX28)</f>
        <v>13.4</v>
      </c>
      <c r="AZ28" s="614">
        <v>3.2679999999999998</v>
      </c>
      <c r="BA28" s="614">
        <v>4.8280000000000003</v>
      </c>
      <c r="BB28" s="614">
        <v>4.3150000000000004</v>
      </c>
      <c r="BC28" s="614">
        <v>6.774</v>
      </c>
      <c r="BD28" s="758">
        <f>SUM(AZ28:BC28)</f>
        <v>19.185000000000002</v>
      </c>
      <c r="BE28" s="614">
        <v>5.9459999999999997</v>
      </c>
      <c r="BF28" s="614">
        <v>6.8170000000000002</v>
      </c>
      <c r="BG28" s="614">
        <v>4.6340000000000003</v>
      </c>
      <c r="BH28" s="614">
        <v>4.0490000000000004</v>
      </c>
      <c r="BI28" s="758">
        <f>SUM(BE28:BH28)</f>
        <v>21.445999999999998</v>
      </c>
      <c r="BJ28" s="614">
        <v>4.4480000000000004</v>
      </c>
      <c r="BK28" s="614">
        <v>4.1399999999999997</v>
      </c>
      <c r="BL28" s="614">
        <v>3.0720000000000001</v>
      </c>
      <c r="BM28" s="614">
        <v>3.4159999999999999</v>
      </c>
      <c r="BN28" s="758">
        <f>SUM(BJ28:BM28)</f>
        <v>15.076000000000001</v>
      </c>
      <c r="BO28" s="614">
        <v>3.6669999999999998</v>
      </c>
      <c r="BP28" s="614">
        <v>3.3719999999999999</v>
      </c>
      <c r="BQ28" s="614">
        <v>2.85</v>
      </c>
      <c r="BR28" s="614">
        <v>3.258</v>
      </c>
      <c r="BS28" s="758">
        <f>SUM(BO28:BR28)</f>
        <v>13.146999999999998</v>
      </c>
      <c r="BT28" s="614">
        <v>3.4870000000000001</v>
      </c>
      <c r="BU28" s="614">
        <v>3.6619999999999999</v>
      </c>
      <c r="BV28" s="614">
        <v>3.99</v>
      </c>
      <c r="BW28" s="614">
        <v>4.1180000000000003</v>
      </c>
      <c r="BX28" s="758">
        <f>SUM(BT28:BW28)</f>
        <v>15.257</v>
      </c>
      <c r="BY28" s="614">
        <v>4.6070000000000002</v>
      </c>
      <c r="BZ28" s="614">
        <v>4.157</v>
      </c>
      <c r="CA28" s="614">
        <v>3.8889999999999998</v>
      </c>
      <c r="CB28" s="614">
        <f>4.12</f>
        <v>4.12</v>
      </c>
      <c r="CC28" s="758">
        <f>SUM(BY28:CB28)</f>
        <v>16.773</v>
      </c>
      <c r="CD28" s="614">
        <v>4.5469999999999997</v>
      </c>
      <c r="CE28" s="614">
        <v>4.5679999999999996</v>
      </c>
      <c r="CF28" s="614">
        <v>4.4550000000000001</v>
      </c>
      <c r="CG28" s="757">
        <v>5.5369999999999999</v>
      </c>
      <c r="CH28" s="758">
        <f>SUM(CD28:CG28)</f>
        <v>19.106999999999999</v>
      </c>
      <c r="CI28" s="757">
        <f>6.337</f>
        <v>6.3369999999999997</v>
      </c>
      <c r="CJ28" s="614">
        <v>6.4850000000000003</v>
      </c>
      <c r="CK28" s="614">
        <v>6.8319999999999999</v>
      </c>
      <c r="CL28" s="757">
        <v>7.1079999999999997</v>
      </c>
      <c r="CM28" s="846">
        <f>SUM(CI28:CL28)</f>
        <v>26.762</v>
      </c>
      <c r="CN28" s="757">
        <v>9.4</v>
      </c>
      <c r="CO28" s="614">
        <v>8.5</v>
      </c>
      <c r="CP28" s="614">
        <v>10.4</v>
      </c>
      <c r="CQ28" s="757">
        <v>11.2</v>
      </c>
      <c r="CR28" s="758">
        <f>SUM(CN28:CQ28)</f>
        <v>39.5</v>
      </c>
      <c r="CS28" s="757">
        <v>12.6</v>
      </c>
      <c r="CT28" s="614">
        <v>12.9</v>
      </c>
      <c r="CU28" s="614">
        <v>13.7</v>
      </c>
      <c r="CV28" s="757">
        <v>14</v>
      </c>
      <c r="CW28" s="758">
        <f>SUM(CS28:CV28)</f>
        <v>53.2</v>
      </c>
      <c r="CX28" s="757">
        <v>15</v>
      </c>
      <c r="CY28" s="757">
        <v>13</v>
      </c>
      <c r="CZ28" s="1087">
        <v>13</v>
      </c>
      <c r="DA28" s="1087">
        <v>14</v>
      </c>
      <c r="DB28" s="758">
        <f>SUM(CX28:DA28)</f>
        <v>55</v>
      </c>
      <c r="DC28" s="610">
        <f>DC29*DC22</f>
        <v>19.358125000000001</v>
      </c>
      <c r="DD28" s="610">
        <f>DD29*DD22</f>
        <v>20.045400000000001</v>
      </c>
      <c r="DE28" s="610">
        <f>DE29*DE22</f>
        <v>20.499400000000001</v>
      </c>
      <c r="DF28" s="610">
        <f>DF29*DF22</f>
        <v>20.842700000000001</v>
      </c>
      <c r="DG28" s="758">
        <f>SUM(DC28:DF28)</f>
        <v>80.745625000000004</v>
      </c>
      <c r="DH28" s="610">
        <f>DH29*DH22</f>
        <v>20.894863125000001</v>
      </c>
      <c r="DI28" s="610">
        <f>DI29*DI22</f>
        <v>21.644609249999998</v>
      </c>
      <c r="DJ28" s="610">
        <f>DJ29*DJ22</f>
        <v>22.137280250000003</v>
      </c>
      <c r="DK28" s="610">
        <f>DK29*DK22</f>
        <v>22.483847000000004</v>
      </c>
      <c r="DL28" s="758">
        <f>SUM(DH28:DK28)</f>
        <v>87.160599625000003</v>
      </c>
      <c r="DM28" s="610">
        <f>DM29*DM22</f>
        <v>22.575286265625</v>
      </c>
      <c r="DN28" s="610">
        <f>DN29*DN22</f>
        <v>23.331892290000006</v>
      </c>
      <c r="DO28" s="610">
        <f>DO29*DO22</f>
        <v>23.897772771250004</v>
      </c>
      <c r="DP28" s="610">
        <f>DP29*DP22</f>
        <v>24.245115920000003</v>
      </c>
      <c r="DQ28" s="758">
        <f>SUM(DM28:DP28)</f>
        <v>94.050067246875017</v>
      </c>
      <c r="DR28" s="623"/>
      <c r="DS28" s="558"/>
      <c r="DT28"/>
      <c r="DU28"/>
      <c r="DV28"/>
      <c r="DW28"/>
      <c r="DX28"/>
      <c r="DY28"/>
    </row>
    <row r="29" spans="1:129" s="619" customFormat="1" hidden="1" outlineLevel="1">
      <c r="A29" s="621"/>
      <c r="B29" s="572"/>
      <c r="C29" s="607" t="s">
        <v>325</v>
      </c>
      <c r="D29" s="612"/>
      <c r="E29" s="612"/>
      <c r="F29" s="607"/>
      <c r="G29" s="572"/>
      <c r="H29" s="607"/>
      <c r="I29" s="607"/>
      <c r="J29" s="608"/>
      <c r="K29" s="617">
        <f>K28/K30</f>
        <v>0</v>
      </c>
      <c r="L29" s="572"/>
      <c r="M29" s="607"/>
      <c r="N29" s="607"/>
      <c r="O29" s="607"/>
      <c r="P29" s="759">
        <f>P28/P30</f>
        <v>0</v>
      </c>
      <c r="Q29" s="607"/>
      <c r="R29" s="607"/>
      <c r="S29" s="607"/>
      <c r="T29" s="607"/>
      <c r="U29" s="759">
        <f>U28/U30</f>
        <v>0</v>
      </c>
      <c r="V29" s="607"/>
      <c r="W29" s="607"/>
      <c r="X29" s="607"/>
      <c r="Y29" s="607"/>
      <c r="Z29" s="759">
        <f t="shared" ref="Z29:BE29" si="129">Z28/Z30</f>
        <v>0</v>
      </c>
      <c r="AA29" s="612">
        <f t="shared" si="129"/>
        <v>0</v>
      </c>
      <c r="AB29" s="612">
        <f t="shared" si="129"/>
        <v>0</v>
      </c>
      <c r="AC29" s="612">
        <f t="shared" si="129"/>
        <v>0</v>
      </c>
      <c r="AD29" s="612">
        <f t="shared" si="129"/>
        <v>0</v>
      </c>
      <c r="AE29" s="759">
        <f t="shared" si="129"/>
        <v>0</v>
      </c>
      <c r="AF29" s="612">
        <f t="shared" si="129"/>
        <v>0</v>
      </c>
      <c r="AG29" s="612">
        <f t="shared" si="129"/>
        <v>0</v>
      </c>
      <c r="AH29" s="612">
        <f t="shared" si="129"/>
        <v>0</v>
      </c>
      <c r="AI29" s="612">
        <f t="shared" si="129"/>
        <v>0</v>
      </c>
      <c r="AJ29" s="759">
        <f t="shared" si="129"/>
        <v>0</v>
      </c>
      <c r="AK29" s="612">
        <f t="shared" si="129"/>
        <v>0</v>
      </c>
      <c r="AL29" s="612">
        <f t="shared" si="129"/>
        <v>0</v>
      </c>
      <c r="AM29" s="612">
        <f t="shared" si="129"/>
        <v>0</v>
      </c>
      <c r="AN29" s="612">
        <f t="shared" si="129"/>
        <v>0</v>
      </c>
      <c r="AO29" s="759">
        <f t="shared" si="129"/>
        <v>0</v>
      </c>
      <c r="AP29" s="612">
        <f t="shared" si="129"/>
        <v>0</v>
      </c>
      <c r="AQ29" s="612">
        <f t="shared" si="129"/>
        <v>0</v>
      </c>
      <c r="AR29" s="612">
        <f t="shared" si="129"/>
        <v>0</v>
      </c>
      <c r="AS29" s="612">
        <f t="shared" si="129"/>
        <v>0</v>
      </c>
      <c r="AT29" s="759">
        <f t="shared" si="129"/>
        <v>0</v>
      </c>
      <c r="AU29" s="612">
        <f t="shared" si="129"/>
        <v>1.984387217191717E-2</v>
      </c>
      <c r="AV29" s="612">
        <f t="shared" si="129"/>
        <v>1.7693288020390822E-2</v>
      </c>
      <c r="AW29" s="612">
        <f t="shared" si="129"/>
        <v>1.6509377383928187E-2</v>
      </c>
      <c r="AX29" s="612">
        <f t="shared" si="129"/>
        <v>1.4962078869073211E-2</v>
      </c>
      <c r="AY29" s="759">
        <f t="shared" si="129"/>
        <v>1.7006737968050179E-2</v>
      </c>
      <c r="AZ29" s="612">
        <f t="shared" si="129"/>
        <v>1.2820261348167385E-2</v>
      </c>
      <c r="BA29" s="612">
        <f t="shared" si="129"/>
        <v>1.6515807694149683E-2</v>
      </c>
      <c r="BB29" s="612">
        <f t="shared" si="129"/>
        <v>1.3599717604936872E-2</v>
      </c>
      <c r="BC29" s="612">
        <f t="shared" si="129"/>
        <v>1.9835204413289058E-2</v>
      </c>
      <c r="BD29" s="759">
        <f t="shared" si="129"/>
        <v>1.5907498538599629E-2</v>
      </c>
      <c r="BE29" s="612">
        <f t="shared" si="129"/>
        <v>1.6234147406932138E-2</v>
      </c>
      <c r="BF29" s="612">
        <f t="shared" ref="BF29:CK29" si="130">BF28/BF30</f>
        <v>1.7898636531912714E-2</v>
      </c>
      <c r="BG29" s="612">
        <f t="shared" si="130"/>
        <v>1.1415592605730954E-2</v>
      </c>
      <c r="BH29" s="612">
        <f t="shared" si="130"/>
        <v>9.6462639488454991E-3</v>
      </c>
      <c r="BI29" s="759">
        <f t="shared" si="130"/>
        <v>1.3635415712963244E-2</v>
      </c>
      <c r="BJ29" s="612">
        <f t="shared" si="130"/>
        <v>1.0597844215502207E-2</v>
      </c>
      <c r="BK29" s="612">
        <f t="shared" si="130"/>
        <v>9.5536991738588636E-3</v>
      </c>
      <c r="BL29" s="612">
        <f t="shared" si="130"/>
        <v>6.4592230008894049E-3</v>
      </c>
      <c r="BM29" s="612">
        <f t="shared" si="130"/>
        <v>6.5591901627508652E-3</v>
      </c>
      <c r="BN29" s="759">
        <f t="shared" si="130"/>
        <v>8.1516434948251983E-3</v>
      </c>
      <c r="BO29" s="612">
        <f t="shared" si="130"/>
        <v>6.596462698595441E-3</v>
      </c>
      <c r="BP29" s="612">
        <f t="shared" si="130"/>
        <v>5.2603744974797934E-3</v>
      </c>
      <c r="BQ29" s="612">
        <f t="shared" si="130"/>
        <v>4.0736225081222316E-3</v>
      </c>
      <c r="BR29" s="612">
        <f t="shared" si="130"/>
        <v>4.2980226193664308E-3</v>
      </c>
      <c r="BS29" s="759">
        <f t="shared" si="130"/>
        <v>4.9525930574793866E-3</v>
      </c>
      <c r="BT29" s="612">
        <f t="shared" si="130"/>
        <v>4.4580759317596041E-3</v>
      </c>
      <c r="BU29" s="612">
        <f t="shared" si="130"/>
        <v>4.2538312941195599E-3</v>
      </c>
      <c r="BV29" s="612">
        <f t="shared" si="130"/>
        <v>4.3140451904342811E-3</v>
      </c>
      <c r="BW29" s="612">
        <f t="shared" si="130"/>
        <v>4.2423474459893961E-3</v>
      </c>
      <c r="BX29" s="759">
        <f t="shared" si="130"/>
        <v>4.311565349449588E-3</v>
      </c>
      <c r="BY29" s="612">
        <f t="shared" si="130"/>
        <v>4.6794376955267541E-3</v>
      </c>
      <c r="BZ29" s="612">
        <f t="shared" si="130"/>
        <v>4.0324419020864519E-3</v>
      </c>
      <c r="CA29" s="612">
        <f t="shared" si="130"/>
        <v>3.4976229834031542E-3</v>
      </c>
      <c r="CB29" s="612">
        <f t="shared" si="130"/>
        <v>3.5797013555946737E-3</v>
      </c>
      <c r="CC29" s="759">
        <f t="shared" si="130"/>
        <v>3.9205365008656594E-3</v>
      </c>
      <c r="CD29" s="612">
        <f t="shared" si="130"/>
        <v>3.7892771872512949E-3</v>
      </c>
      <c r="CE29" s="612">
        <f t="shared" si="130"/>
        <v>3.5911582664642579E-3</v>
      </c>
      <c r="CF29" s="612">
        <f t="shared" si="130"/>
        <v>3.2228054539562016E-3</v>
      </c>
      <c r="CG29" s="612">
        <f t="shared" si="130"/>
        <v>3.9237362302511061E-3</v>
      </c>
      <c r="CH29" s="759">
        <f t="shared" si="130"/>
        <v>3.6287365854779504E-3</v>
      </c>
      <c r="CI29" s="612">
        <f t="shared" si="130"/>
        <v>4.4239076710852225E-3</v>
      </c>
      <c r="CJ29" s="612">
        <f t="shared" si="130"/>
        <v>4.3248845252497232E-3</v>
      </c>
      <c r="CK29" s="612">
        <f t="shared" si="130"/>
        <v>4.3520691438807312E-3</v>
      </c>
      <c r="CL29" s="612">
        <f t="shared" ref="CL29:CU29" si="131">CL28/CL30</f>
        <v>4.3357749008164038E-3</v>
      </c>
      <c r="CM29" s="759">
        <f t="shared" si="131"/>
        <v>4.3578384261627927E-3</v>
      </c>
      <c r="CN29" s="612">
        <f t="shared" si="131"/>
        <v>5.4423344140805928E-3</v>
      </c>
      <c r="CO29" s="612">
        <f t="shared" si="131"/>
        <v>4.6075455333911535E-3</v>
      </c>
      <c r="CP29" s="612">
        <f t="shared" si="131"/>
        <v>5.3757882766463354E-3</v>
      </c>
      <c r="CQ29" s="612">
        <f t="shared" si="131"/>
        <v>5.7923045097227968E-3</v>
      </c>
      <c r="CR29" s="759">
        <f t="shared" si="131"/>
        <v>5.3089970699712365E-3</v>
      </c>
      <c r="CS29" s="612">
        <f t="shared" si="131"/>
        <v>6.5782604155789912E-3</v>
      </c>
      <c r="CT29" s="612">
        <f t="shared" si="131"/>
        <v>6.3306669283996666E-3</v>
      </c>
      <c r="CU29" s="612">
        <f t="shared" si="131"/>
        <v>6.5947819389621633E-3</v>
      </c>
      <c r="CV29" s="612">
        <f>CV28/CV22</f>
        <v>4.0439052570768342E-3</v>
      </c>
      <c r="CW29" s="759">
        <f>CW28/CW30</f>
        <v>6.5610162175494856E-3</v>
      </c>
      <c r="CX29" s="612">
        <f>CX28/CX22</f>
        <v>4.2301184433164128E-3</v>
      </c>
      <c r="CY29" s="612">
        <f>CY28/CY22</f>
        <v>3.5422343324250679E-3</v>
      </c>
      <c r="CZ29" s="612">
        <f>CZ28/CZ22</f>
        <v>3.4519383961763143E-3</v>
      </c>
      <c r="DA29" s="612">
        <f>DA28/DA22</f>
        <v>3.6572622779519333E-3</v>
      </c>
      <c r="DB29" s="759">
        <f>DB28/DB30</f>
        <v>6.0096153846153849E-3</v>
      </c>
      <c r="DC29" s="741">
        <v>5.0000000000000001E-3</v>
      </c>
      <c r="DD29" s="741">
        <v>5.0000000000000001E-3</v>
      </c>
      <c r="DE29" s="741">
        <v>5.0000000000000001E-3</v>
      </c>
      <c r="DF29" s="741">
        <v>5.0000000000000001E-3</v>
      </c>
      <c r="DG29" s="759">
        <f>DG28/DG30</f>
        <v>8.3027310987339731E-3</v>
      </c>
      <c r="DH29" s="741">
        <v>5.0000000000000001E-3</v>
      </c>
      <c r="DI29" s="741">
        <v>5.0000000000000001E-3</v>
      </c>
      <c r="DJ29" s="741">
        <v>5.0000000000000001E-3</v>
      </c>
      <c r="DK29" s="741">
        <v>5.0000000000000001E-3</v>
      </c>
      <c r="DL29" s="759">
        <f>DL28/DL30</f>
        <v>8.3612040133779261E-3</v>
      </c>
      <c r="DM29" s="741">
        <v>5.0000000000000001E-3</v>
      </c>
      <c r="DN29" s="741">
        <v>5.0000000000000001E-3</v>
      </c>
      <c r="DO29" s="741">
        <v>5.0000000000000001E-3</v>
      </c>
      <c r="DP29" s="741">
        <v>5.0000000000000001E-3</v>
      </c>
      <c r="DQ29" s="759">
        <f>DQ28/DQ30</f>
        <v>8.3612040133779261E-3</v>
      </c>
      <c r="DR29" s="623"/>
      <c r="DS29" s="558"/>
      <c r="DT29"/>
      <c r="DU29"/>
      <c r="DV29"/>
      <c r="DW29"/>
      <c r="DX29"/>
      <c r="DY29"/>
    </row>
    <row r="30" spans="1:129" s="619" customFormat="1" ht="11.25" hidden="1" customHeight="1" outlineLevel="1">
      <c r="A30" s="621"/>
      <c r="B30" s="572"/>
      <c r="C30" s="607" t="s">
        <v>319</v>
      </c>
      <c r="D30" s="607"/>
      <c r="E30" s="607"/>
      <c r="F30" s="608"/>
      <c r="G30" s="613">
        <v>5.9290000000000003</v>
      </c>
      <c r="H30" s="614">
        <v>7.3259999999999996</v>
      </c>
      <c r="I30" s="614">
        <v>8.9250000000000007</v>
      </c>
      <c r="J30" s="615">
        <v>9.7390000000000008</v>
      </c>
      <c r="K30" s="609">
        <f>SUM(G30:J30)</f>
        <v>31.919</v>
      </c>
      <c r="L30" s="613">
        <v>10.711</v>
      </c>
      <c r="M30" s="614">
        <v>11.148999999999999</v>
      </c>
      <c r="N30" s="614">
        <v>11.872999999999999</v>
      </c>
      <c r="O30" s="614">
        <v>12.428000000000001</v>
      </c>
      <c r="P30" s="758">
        <f>SUM(L30:O30)</f>
        <v>46.161000000000001</v>
      </c>
      <c r="Q30" s="614">
        <v>13.939</v>
      </c>
      <c r="R30" s="614">
        <v>16.376000000000001</v>
      </c>
      <c r="S30" s="614">
        <v>19.11</v>
      </c>
      <c r="T30" s="614">
        <v>21.012</v>
      </c>
      <c r="U30" s="758">
        <f>SUM(Q30:T30)</f>
        <v>70.436999999999998</v>
      </c>
      <c r="V30" s="614">
        <v>22.369</v>
      </c>
      <c r="W30" s="614">
        <v>23.381</v>
      </c>
      <c r="X30" s="614">
        <v>23.109000000000002</v>
      </c>
      <c r="Y30" s="614">
        <v>21.989000000000001</v>
      </c>
      <c r="Z30" s="758">
        <f>SUM(V30:Y30)</f>
        <v>90.848000000000013</v>
      </c>
      <c r="AA30" s="614">
        <v>24.189</v>
      </c>
      <c r="AB30" s="614">
        <v>29.347999999999999</v>
      </c>
      <c r="AC30" s="614">
        <v>32.97</v>
      </c>
      <c r="AD30" s="614">
        <v>36.194000000000003</v>
      </c>
      <c r="AE30" s="758">
        <f>SUM(AA30:AD30)</f>
        <v>122.70100000000001</v>
      </c>
      <c r="AF30" s="614">
        <v>40.959000000000003</v>
      </c>
      <c r="AG30" s="614">
        <v>47.198999999999998</v>
      </c>
      <c r="AH30" s="614">
        <v>52.968000000000004</v>
      </c>
      <c r="AI30" s="614">
        <v>58.597999999999999</v>
      </c>
      <c r="AJ30" s="758">
        <f>SUM(AF30:AI30)</f>
        <v>199.72399999999999</v>
      </c>
      <c r="AK30" s="614">
        <v>65.010000000000005</v>
      </c>
      <c r="AL30" s="614">
        <v>75.558000000000007</v>
      </c>
      <c r="AM30" s="614">
        <v>84.584999999999994</v>
      </c>
      <c r="AN30" s="614">
        <v>94.656999999999996</v>
      </c>
      <c r="AO30" s="758">
        <f>SUM(AK30:AN30)</f>
        <v>319.81</v>
      </c>
      <c r="AP30" s="614">
        <v>97.994</v>
      </c>
      <c r="AQ30" s="614">
        <v>117.768</v>
      </c>
      <c r="AR30" s="614">
        <v>128.17500000000001</v>
      </c>
      <c r="AS30" s="614">
        <v>135.97800000000001</v>
      </c>
      <c r="AT30" s="758">
        <f>SUM(AP30:AS30)</f>
        <v>479.91500000000002</v>
      </c>
      <c r="AU30" s="614">
        <v>158.58799999999999</v>
      </c>
      <c r="AV30" s="614">
        <v>188.32</v>
      </c>
      <c r="AW30" s="614">
        <v>208.42699999999999</v>
      </c>
      <c r="AX30" s="614">
        <v>232.58799999999999</v>
      </c>
      <c r="AY30" s="758">
        <f>SUM(AU30:AX30)</f>
        <v>787.923</v>
      </c>
      <c r="AZ30" s="614">
        <v>254.90899999999999</v>
      </c>
      <c r="BA30" s="614">
        <v>292.32600000000002</v>
      </c>
      <c r="BB30" s="614">
        <v>317.286</v>
      </c>
      <c r="BC30" s="614">
        <v>341.51400000000001</v>
      </c>
      <c r="BD30" s="758">
        <f>SUM(AZ30:BC30)</f>
        <v>1206.0349999999999</v>
      </c>
      <c r="BE30" s="614">
        <v>366.26499999999999</v>
      </c>
      <c r="BF30" s="614">
        <v>380.86700000000002</v>
      </c>
      <c r="BG30" s="614">
        <v>405.93599999999998</v>
      </c>
      <c r="BH30" s="614">
        <v>419.74799999999999</v>
      </c>
      <c r="BI30" s="758">
        <f>SUM(BE30:BH30)</f>
        <v>1572.816</v>
      </c>
      <c r="BJ30" s="614">
        <v>419.70800000000003</v>
      </c>
      <c r="BK30" s="614">
        <v>433.34</v>
      </c>
      <c r="BL30" s="614">
        <v>475.59899999999999</v>
      </c>
      <c r="BM30" s="614">
        <v>520.79600000000005</v>
      </c>
      <c r="BN30" s="758">
        <f>SUM(BJ30:BM30)</f>
        <v>1849.443</v>
      </c>
      <c r="BO30" s="614">
        <v>555.904</v>
      </c>
      <c r="BP30" s="614">
        <v>641.01900000000001</v>
      </c>
      <c r="BQ30" s="614">
        <v>699.62300000000005</v>
      </c>
      <c r="BR30" s="614">
        <v>758.02300000000002</v>
      </c>
      <c r="BS30" s="758">
        <f>SUM(BO30:BR30)</f>
        <v>2654.569</v>
      </c>
      <c r="BT30" s="614">
        <v>782.17600000000004</v>
      </c>
      <c r="BU30" s="614">
        <v>860.87099999999998</v>
      </c>
      <c r="BV30" s="614">
        <v>924.88599999999997</v>
      </c>
      <c r="BW30" s="614">
        <v>970.68899999999996</v>
      </c>
      <c r="BX30" s="758">
        <f>SUM(BT30:BW30)</f>
        <v>3538.6219999999998</v>
      </c>
      <c r="BY30" s="614">
        <v>984.52</v>
      </c>
      <c r="BZ30" s="614">
        <v>1030.8889999999999</v>
      </c>
      <c r="CA30" s="614">
        <v>1111.8979999999999</v>
      </c>
      <c r="CB30" s="614">
        <f>1150.934</f>
        <v>1150.934</v>
      </c>
      <c r="CC30" s="758">
        <f>SUM(BY30:CB30)</f>
        <v>4278.241</v>
      </c>
      <c r="CD30" s="614">
        <f>1199.965</f>
        <v>1199.9649999999999</v>
      </c>
      <c r="CE30" s="614">
        <f>1272.013</f>
        <v>1272.0129999999999</v>
      </c>
      <c r="CF30" s="614">
        <f>1382.336</f>
        <v>1382.336</v>
      </c>
      <c r="CG30" s="757">
        <f>1411.155</f>
        <v>1411.155</v>
      </c>
      <c r="CH30" s="758">
        <f>SUM(CD30:CG30)</f>
        <v>5265.4690000000001</v>
      </c>
      <c r="CI30" s="757">
        <f>1432.444</f>
        <v>1432.444</v>
      </c>
      <c r="CJ30" s="614">
        <v>1499.462</v>
      </c>
      <c r="CK30" s="614">
        <v>1569.828</v>
      </c>
      <c r="CL30" s="757">
        <v>1639.384</v>
      </c>
      <c r="CM30" s="758">
        <f>SUM(CI30:CL30)</f>
        <v>6141.1180000000004</v>
      </c>
      <c r="CN30" s="757">
        <v>1727.2</v>
      </c>
      <c r="CO30" s="614">
        <v>1844.8</v>
      </c>
      <c r="CP30" s="614">
        <v>1934.6</v>
      </c>
      <c r="CQ30" s="757">
        <v>1933.6</v>
      </c>
      <c r="CR30" s="758">
        <f>SUM(CN30:CQ30)</f>
        <v>7440.2000000000007</v>
      </c>
      <c r="CS30" s="757">
        <v>1915.4</v>
      </c>
      <c r="CT30" s="614">
        <v>2037.7</v>
      </c>
      <c r="CU30" s="614">
        <v>2077.4</v>
      </c>
      <c r="CV30" s="760">
        <v>2078</v>
      </c>
      <c r="CW30" s="758">
        <f>SUM(CS30:CV30)</f>
        <v>8108.5</v>
      </c>
      <c r="CX30" s="760">
        <v>2194</v>
      </c>
      <c r="CY30" s="760">
        <v>2261</v>
      </c>
      <c r="CZ30" s="757">
        <v>2337</v>
      </c>
      <c r="DA30" s="610">
        <v>2360</v>
      </c>
      <c r="DB30" s="758">
        <f>SUM(CX30:DA30)</f>
        <v>9152</v>
      </c>
      <c r="DC30" s="610">
        <f>DC26+DC28</f>
        <v>2338.4614999999999</v>
      </c>
      <c r="DD30" s="610">
        <f>DD26+DD28</f>
        <v>2417.4752399999998</v>
      </c>
      <c r="DE30" s="610">
        <f>DE26+DE28</f>
        <v>2468.1277600000003</v>
      </c>
      <c r="DF30" s="610">
        <f>DF26+DF28</f>
        <v>2501.1239999999998</v>
      </c>
      <c r="DG30" s="758">
        <f>SUM(DC30:DF30)</f>
        <v>9725.1885000000002</v>
      </c>
      <c r="DH30" s="610">
        <f>DH26+DH28</f>
        <v>2499.02562975</v>
      </c>
      <c r="DI30" s="610">
        <f>DI26+DI28</f>
        <v>2588.6952662999997</v>
      </c>
      <c r="DJ30" s="610">
        <f>DJ26+DJ28</f>
        <v>2647.6187179000003</v>
      </c>
      <c r="DK30" s="610">
        <f>DK26+DK28</f>
        <v>2689.0681012000005</v>
      </c>
      <c r="DL30" s="758">
        <f>SUM(DH30:DK30)</f>
        <v>10424.407715150001</v>
      </c>
      <c r="DM30" s="610">
        <f>DM26+DM28</f>
        <v>2700.0042373687497</v>
      </c>
      <c r="DN30" s="610">
        <f>DN26+DN28</f>
        <v>2790.4943178840003</v>
      </c>
      <c r="DO30" s="610">
        <f>DO26+DO28</f>
        <v>2858.1736234415002</v>
      </c>
      <c r="DP30" s="610">
        <f>DP26+DP28</f>
        <v>2899.7158640320004</v>
      </c>
      <c r="DQ30" s="758">
        <f>SUM(DM30:DP30)</f>
        <v>11248.388042726252</v>
      </c>
      <c r="DR30" s="623"/>
      <c r="DS30" s="558"/>
      <c r="DT30"/>
      <c r="DU30"/>
      <c r="DV30"/>
      <c r="DW30"/>
      <c r="DX30"/>
      <c r="DY30"/>
    </row>
    <row r="31" spans="1:129" s="627" customFormat="1" ht="11.25" customHeight="1" collapsed="1">
      <c r="A31" s="629"/>
      <c r="B31" s="634"/>
      <c r="C31" s="628"/>
      <c r="D31" s="628"/>
      <c r="E31" s="628"/>
      <c r="F31" s="629"/>
      <c r="G31" s="630"/>
      <c r="H31" s="631"/>
      <c r="I31" s="631"/>
      <c r="J31" s="632"/>
      <c r="K31" s="634"/>
      <c r="L31" s="630"/>
      <c r="M31" s="631"/>
      <c r="N31" s="631"/>
      <c r="O31" s="631"/>
      <c r="P31" s="633"/>
      <c r="Q31" s="631"/>
      <c r="R31" s="631"/>
      <c r="S31" s="631"/>
      <c r="T31" s="631"/>
      <c r="U31" s="633"/>
      <c r="V31" s="631"/>
      <c r="W31" s="631"/>
      <c r="X31" s="631"/>
      <c r="Y31" s="631"/>
      <c r="Z31" s="633"/>
      <c r="AA31" s="631"/>
      <c r="AB31" s="631"/>
      <c r="AC31" s="631"/>
      <c r="AD31" s="631"/>
      <c r="AE31" s="633"/>
      <c r="AF31" s="631"/>
      <c r="AG31" s="631"/>
      <c r="AH31" s="631"/>
      <c r="AI31" s="631"/>
      <c r="AJ31" s="633"/>
      <c r="AK31" s="631"/>
      <c r="AL31" s="631"/>
      <c r="AM31" s="631"/>
      <c r="AN31" s="631"/>
      <c r="AO31" s="633"/>
      <c r="AP31" s="631"/>
      <c r="AQ31" s="631"/>
      <c r="AR31" s="631"/>
      <c r="AS31" s="631"/>
      <c r="AT31" s="633"/>
      <c r="AU31" s="631"/>
      <c r="AV31" s="631"/>
      <c r="AW31" s="631"/>
      <c r="AX31" s="631"/>
      <c r="AY31" s="633"/>
      <c r="AZ31" s="631"/>
      <c r="BA31" s="631"/>
      <c r="BB31" s="631"/>
      <c r="BC31" s="631"/>
      <c r="BD31" s="633"/>
      <c r="BE31" s="631"/>
      <c r="BF31" s="631"/>
      <c r="BG31" s="631"/>
      <c r="BH31" s="631"/>
      <c r="BI31" s="633"/>
      <c r="BJ31" s="631"/>
      <c r="BK31" s="631"/>
      <c r="BL31" s="631"/>
      <c r="BM31" s="631"/>
      <c r="BN31" s="633"/>
      <c r="BO31" s="631"/>
      <c r="BP31" s="631"/>
      <c r="BQ31" s="631"/>
      <c r="BR31" s="631"/>
      <c r="BS31" s="633"/>
      <c r="BT31" s="631"/>
      <c r="BU31" s="631"/>
      <c r="BV31" s="631"/>
      <c r="BW31" s="631"/>
      <c r="BX31" s="633"/>
      <c r="BY31" s="631"/>
      <c r="BZ31" s="631"/>
      <c r="CA31" s="631"/>
      <c r="CB31" s="583"/>
      <c r="CC31" s="633"/>
      <c r="CD31" s="583"/>
      <c r="CE31" s="583"/>
      <c r="CF31" s="583"/>
      <c r="CG31" s="583"/>
      <c r="CH31" s="633"/>
      <c r="CI31" s="583"/>
      <c r="CJ31" s="583"/>
      <c r="CK31" s="583"/>
      <c r="CL31" s="583"/>
      <c r="CM31" s="633"/>
      <c r="CN31" s="583"/>
      <c r="CO31" s="583"/>
      <c r="CP31" s="583"/>
      <c r="CQ31" s="583"/>
      <c r="CR31" s="736"/>
      <c r="CS31" s="583"/>
      <c r="CT31" s="583"/>
      <c r="CU31" s="583"/>
      <c r="CV31" s="583"/>
      <c r="CW31" s="736"/>
      <c r="CX31" s="1131"/>
      <c r="CY31" s="1131"/>
      <c r="CZ31" s="1131"/>
      <c r="DA31" s="1131"/>
      <c r="DB31" s="736"/>
      <c r="DC31" s="583"/>
      <c r="DD31" s="583"/>
      <c r="DE31" s="583"/>
      <c r="DF31" s="583"/>
      <c r="DG31" s="736"/>
      <c r="DH31" s="583"/>
      <c r="DI31" s="583"/>
      <c r="DJ31" s="583"/>
      <c r="DK31" s="583"/>
      <c r="DL31" s="736"/>
      <c r="DM31" s="583"/>
      <c r="DN31" s="583"/>
      <c r="DO31" s="583"/>
      <c r="DP31" s="583"/>
      <c r="DQ31" s="736"/>
      <c r="DR31" s="634"/>
      <c r="DS31" s="628"/>
      <c r="DT31"/>
      <c r="DU31"/>
      <c r="DV31"/>
      <c r="DW31"/>
      <c r="DX31"/>
      <c r="DY31"/>
    </row>
    <row r="32" spans="1:129" s="627" customFormat="1" ht="11.25" customHeight="1">
      <c r="A32" s="629"/>
      <c r="B32" s="978" t="s">
        <v>322</v>
      </c>
      <c r="C32" s="979"/>
      <c r="D32" s="979"/>
      <c r="E32" s="979"/>
      <c r="F32" s="980"/>
      <c r="G32" s="975">
        <f>G22-G30</f>
        <v>4.3089999999999993</v>
      </c>
      <c r="H32" s="976">
        <f>H22-H30</f>
        <v>5.3419999999999996</v>
      </c>
      <c r="I32" s="976">
        <f>I22-I30</f>
        <v>7.2749999999999986</v>
      </c>
      <c r="J32" s="981">
        <f>J22-J30</f>
        <v>9.7609999999999992</v>
      </c>
      <c r="K32" s="975">
        <f>SUM(G32:J32)</f>
        <v>26.686999999999998</v>
      </c>
      <c r="L32" s="975">
        <f>L22-L30</f>
        <v>9.7149999999999981</v>
      </c>
      <c r="M32" s="976">
        <f>M22-M30</f>
        <v>10.349000000000002</v>
      </c>
      <c r="N32" s="976">
        <f>N22-N30</f>
        <v>11.003000000000002</v>
      </c>
      <c r="O32" s="976">
        <f>O22-O30</f>
        <v>11.675999999999998</v>
      </c>
      <c r="P32" s="982">
        <f>SUM(L32:O32)</f>
        <v>42.742999999999995</v>
      </c>
      <c r="Q32" s="976">
        <f>Q22-Q30</f>
        <v>13.131</v>
      </c>
      <c r="R32" s="976">
        <f>R22-R30</f>
        <v>15.424999999999997</v>
      </c>
      <c r="S32" s="976">
        <f>S22-S30</f>
        <v>17.997</v>
      </c>
      <c r="T32" s="976">
        <f>T22-T30</f>
        <v>20.040999999999997</v>
      </c>
      <c r="U32" s="982">
        <f>SUM(Q32:T32)</f>
        <v>66.593999999999994</v>
      </c>
      <c r="V32" s="976">
        <f>V22-V30</f>
        <v>21.035000000000004</v>
      </c>
      <c r="W32" s="976">
        <f>W22-W30</f>
        <v>22.03</v>
      </c>
      <c r="X32" s="976">
        <f>X22-X30</f>
        <v>22.393000000000001</v>
      </c>
      <c r="Y32" s="976">
        <f>Y22-Y30</f>
        <v>21.471999999999998</v>
      </c>
      <c r="Z32" s="982">
        <f>SUM(V32:Y32)</f>
        <v>86.929999999999993</v>
      </c>
      <c r="AA32" s="976">
        <f>AA22-AA30</f>
        <v>22.295000000000002</v>
      </c>
      <c r="AB32" s="976">
        <f>AB22-AB30</f>
        <v>25.009999999999998</v>
      </c>
      <c r="AC32" s="976">
        <f>AC22-AC30</f>
        <v>28.262999999999998</v>
      </c>
      <c r="AD32" s="976">
        <f>AD22-AD30</f>
        <v>30.816999999999993</v>
      </c>
      <c r="AE32" s="982">
        <f>SUM(AA32:AD32)</f>
        <v>106.38499999999999</v>
      </c>
      <c r="AF32" s="976">
        <f>AF22-AF30</f>
        <v>33.557000000000002</v>
      </c>
      <c r="AG32" s="976">
        <f>AG22-AG30</f>
        <v>40.247</v>
      </c>
      <c r="AH32" s="976">
        <f>AH22-AH30</f>
        <v>45.143000000000001</v>
      </c>
      <c r="AI32" s="976">
        <f>AI22-AI30</f>
        <v>49.56</v>
      </c>
      <c r="AJ32" s="982">
        <f>SUM(AF32:AI32)</f>
        <v>168.50700000000001</v>
      </c>
      <c r="AK32" s="976">
        <f>AK22-AK30</f>
        <v>54.733999999999995</v>
      </c>
      <c r="AL32" s="976">
        <f>AL22-AL30</f>
        <v>63.160999999999987</v>
      </c>
      <c r="AM32" s="976">
        <f>AM22-AM30</f>
        <v>70.844000000000008</v>
      </c>
      <c r="AN32" s="976">
        <f>AN22-AN30</f>
        <v>78.124000000000009</v>
      </c>
      <c r="AO32" s="982">
        <f>SUM(AK32:AN32)</f>
        <v>266.863</v>
      </c>
      <c r="AP32" s="976">
        <f>AP22-AP30</f>
        <v>83.687000000000012</v>
      </c>
      <c r="AQ32" s="976">
        <f>AQ22-AQ30</f>
        <v>93.942999999999984</v>
      </c>
      <c r="AR32" s="976">
        <f>AR22-AR30</f>
        <v>107.36099999999999</v>
      </c>
      <c r="AS32" s="976">
        <f>AS22-AS30</f>
        <v>120.92400000000004</v>
      </c>
      <c r="AT32" s="982">
        <f>SUM(AP32:AS32)</f>
        <v>405.91500000000002</v>
      </c>
      <c r="AU32" s="976">
        <f>AU22-AU30</f>
        <v>126.89099999999999</v>
      </c>
      <c r="AV32" s="976">
        <f>AV22-AV30</f>
        <v>148.51600000000002</v>
      </c>
      <c r="AW32" s="976">
        <f>AW22-AW30</f>
        <v>169.09500000000006</v>
      </c>
      <c r="AX32" s="976">
        <f>AX22-AX30</f>
        <v>191.84200000000001</v>
      </c>
      <c r="AY32" s="982">
        <f>SUM(AU32:AX32)</f>
        <v>636.34400000000005</v>
      </c>
      <c r="AZ32" s="976">
        <f>AZ22-AZ30</f>
        <v>205.36100000000005</v>
      </c>
      <c r="BA32" s="976">
        <f>BA22-BA30</f>
        <v>224.18799999999999</v>
      </c>
      <c r="BB32" s="976">
        <f>BB22-BB30</f>
        <v>241.55099999999999</v>
      </c>
      <c r="BC32" s="976">
        <f>BC22-BC30</f>
        <v>258.44199999999989</v>
      </c>
      <c r="BD32" s="982">
        <f>SUM(AZ32:BC32)</f>
        <v>929.54199999999992</v>
      </c>
      <c r="BE32" s="976">
        <f>BE22-BE30</f>
        <v>276.84100000000001</v>
      </c>
      <c r="BF32" s="976">
        <f>BF22-BF30</f>
        <v>304.56</v>
      </c>
      <c r="BG32" s="976">
        <f>BG22-BG30</f>
        <v>328.79</v>
      </c>
      <c r="BH32" s="976">
        <f>BH22-BH30</f>
        <v>333.29699999999997</v>
      </c>
      <c r="BI32" s="982">
        <f>SUM(BE32:BH32)</f>
        <v>1243.4880000000001</v>
      </c>
      <c r="BJ32" s="976">
        <f>BJ22-BJ30</f>
        <v>326.15400000000005</v>
      </c>
      <c r="BK32" s="976">
        <f>BK22-BK30</f>
        <v>343.25200000000001</v>
      </c>
      <c r="BL32" s="976">
        <f>BL22-BL30</f>
        <v>377.88900000000018</v>
      </c>
      <c r="BM32" s="976">
        <f>BM22-BM30</f>
        <v>381.92499999999973</v>
      </c>
      <c r="BN32" s="982">
        <f>SUM(BJ32:BM32)</f>
        <v>1429.22</v>
      </c>
      <c r="BO32" s="976">
        <f>BO22-BO30</f>
        <v>403.81600000000003</v>
      </c>
      <c r="BP32" s="976">
        <f>BP22-BP30</f>
        <v>464.13499999999999</v>
      </c>
      <c r="BQ32" s="976">
        <f>BQ22-BQ30</f>
        <v>517.29</v>
      </c>
      <c r="BR32" s="976">
        <f>BR22-BR30</f>
        <v>552.57899999999984</v>
      </c>
      <c r="BS32" s="982">
        <f>SUM(BO32:BR32)</f>
        <v>1937.8199999999997</v>
      </c>
      <c r="BT32" s="976">
        <f>BT22-BT30</f>
        <v>589.07699999999988</v>
      </c>
      <c r="BU32" s="976">
        <f>BU22-BU30</f>
        <v>624.37099999999998</v>
      </c>
      <c r="BV32" s="976">
        <f>BV22-BV30</f>
        <v>676.06799999999998</v>
      </c>
      <c r="BW32" s="976">
        <f>BW22-BW30</f>
        <v>693.01799999999992</v>
      </c>
      <c r="BX32" s="982">
        <f>SUM(BT32:BW32)</f>
        <v>2582.5339999999997</v>
      </c>
      <c r="BY32" s="976">
        <f>BY22-BY30</f>
        <v>726.82900000000018</v>
      </c>
      <c r="BZ32" s="976">
        <f>BZ22-BZ30</f>
        <v>764.33100000000013</v>
      </c>
      <c r="CA32" s="976">
        <f>CA22-CA30</f>
        <v>779.79000000000019</v>
      </c>
      <c r="CB32" s="976">
        <f>CB22-CB30</f>
        <v>797.28100000000018</v>
      </c>
      <c r="CC32" s="982">
        <f>SUM(BY32:CB32)</f>
        <v>3068.2310000000007</v>
      </c>
      <c r="CD32" s="976">
        <f>CD22-CD30</f>
        <v>820.77300000000014</v>
      </c>
      <c r="CE32" s="976">
        <f>CE22-CE30</f>
        <v>889.22699999999986</v>
      </c>
      <c r="CF32" s="976">
        <f>CF22-CF30</f>
        <v>923.38699999999994</v>
      </c>
      <c r="CG32" s="976">
        <f>CG22-CG30</f>
        <v>944.33299999999986</v>
      </c>
      <c r="CH32" s="982">
        <f>SUM(CD32:CG32)</f>
        <v>3577.7199999999993</v>
      </c>
      <c r="CI32" s="976">
        <f>CI22-CI30</f>
        <v>989.904</v>
      </c>
      <c r="CJ32" s="976">
        <f>CJ22-CJ30</f>
        <v>1017.6319999999996</v>
      </c>
      <c r="CK32" s="976">
        <f>CK22-CK30</f>
        <v>1011.1809999999996</v>
      </c>
      <c r="CL32" s="976">
        <f>CL22-CL30</f>
        <v>1102.846</v>
      </c>
      <c r="CM32" s="982">
        <f>SUM(CI32:CL32)</f>
        <v>4121.5629999999992</v>
      </c>
      <c r="CN32" s="976">
        <f t="shared" ref="CN32:DK32" si="132">CN22-CN26</f>
        <v>1193.6000000000001</v>
      </c>
      <c r="CO32" s="976">
        <f t="shared" si="132"/>
        <v>1248.8</v>
      </c>
      <c r="CP32" s="976">
        <f t="shared" si="132"/>
        <v>1262.7999999999997</v>
      </c>
      <c r="CQ32" s="976">
        <f t="shared" si="132"/>
        <v>1310.1000000000001</v>
      </c>
      <c r="CR32" s="982">
        <f t="shared" si="132"/>
        <v>5015.2999999999993</v>
      </c>
      <c r="CS32" s="976">
        <f t="shared" si="132"/>
        <v>1299.1999999999998</v>
      </c>
      <c r="CT32" s="976">
        <f t="shared" si="132"/>
        <v>1345.1000000000001</v>
      </c>
      <c r="CU32" s="976">
        <f t="shared" si="132"/>
        <v>1389.5</v>
      </c>
      <c r="CV32" s="976">
        <f t="shared" si="132"/>
        <v>1398</v>
      </c>
      <c r="CW32" s="982">
        <f t="shared" si="132"/>
        <v>5431.8</v>
      </c>
      <c r="CX32" s="1095">
        <f t="shared" si="132"/>
        <v>1367</v>
      </c>
      <c r="CY32" s="1095">
        <f t="shared" si="132"/>
        <v>1422</v>
      </c>
      <c r="CZ32" s="1095">
        <f>CZ22-CZ26</f>
        <v>1442</v>
      </c>
      <c r="DA32" s="1095">
        <f t="shared" si="132"/>
        <v>1482</v>
      </c>
      <c r="DB32" s="983">
        <f>SUM(CX32:DA32)</f>
        <v>5713</v>
      </c>
      <c r="DC32" s="976">
        <f t="shared" si="132"/>
        <v>1552.5216250000003</v>
      </c>
      <c r="DD32" s="976">
        <f t="shared" si="132"/>
        <v>1611.6501600000001</v>
      </c>
      <c r="DE32" s="976">
        <f t="shared" si="132"/>
        <v>1652.25164</v>
      </c>
      <c r="DF32" s="976">
        <f t="shared" si="132"/>
        <v>1688.2587000000003</v>
      </c>
      <c r="DG32" s="983">
        <f>SUM(DC32:DF32)</f>
        <v>6504.6821250000012</v>
      </c>
      <c r="DH32" s="976">
        <f t="shared" si="132"/>
        <v>1700.8418583750004</v>
      </c>
      <c r="DI32" s="976">
        <f t="shared" si="132"/>
        <v>1761.87119295</v>
      </c>
      <c r="DJ32" s="976">
        <f t="shared" si="132"/>
        <v>1801.9746123500004</v>
      </c>
      <c r="DK32" s="976">
        <f t="shared" si="132"/>
        <v>1830.1851458000006</v>
      </c>
      <c r="DL32" s="983">
        <f>SUM(DH32:DK32)</f>
        <v>7094.8728094750004</v>
      </c>
      <c r="DM32" s="976">
        <f t="shared" ref="DM32:DP32" si="133">DM22-DM26</f>
        <v>1837.6283020218752</v>
      </c>
      <c r="DN32" s="976">
        <f t="shared" si="133"/>
        <v>1899.2160324060005</v>
      </c>
      <c r="DO32" s="976">
        <f t="shared" si="133"/>
        <v>1945.2787035797501</v>
      </c>
      <c r="DP32" s="976">
        <f t="shared" si="133"/>
        <v>1973.5524358880002</v>
      </c>
      <c r="DQ32" s="983">
        <f>SUM(DM32:DP32)</f>
        <v>7655.6754738956261</v>
      </c>
      <c r="DR32" s="634"/>
      <c r="DS32" s="628"/>
      <c r="DT32"/>
      <c r="DU32"/>
      <c r="DV32"/>
      <c r="DW32"/>
      <c r="DX32"/>
      <c r="DY32"/>
    </row>
    <row r="33" spans="1:129" s="619" customFormat="1">
      <c r="A33" s="621"/>
      <c r="B33" s="620"/>
      <c r="C33" s="636" t="s">
        <v>347</v>
      </c>
      <c r="D33" s="636"/>
      <c r="E33" s="636"/>
      <c r="F33" s="636"/>
      <c r="G33" s="1024">
        <f t="shared" ref="G33:AL33" si="134">G32/G22</f>
        <v>0.42088298495799958</v>
      </c>
      <c r="H33" s="1025">
        <f t="shared" si="134"/>
        <v>0.42169245342595518</v>
      </c>
      <c r="I33" s="1025">
        <f t="shared" si="134"/>
        <v>0.44907407407407401</v>
      </c>
      <c r="J33" s="1026">
        <f t="shared" si="134"/>
        <v>0.50056410256410255</v>
      </c>
      <c r="K33" s="1024">
        <f t="shared" si="134"/>
        <v>0.45536293212299084</v>
      </c>
      <c r="L33" s="1024">
        <f t="shared" si="134"/>
        <v>0.47561930872417502</v>
      </c>
      <c r="M33" s="1025">
        <f t="shared" si="134"/>
        <v>0.48139361801097785</v>
      </c>
      <c r="N33" s="1025">
        <f t="shared" si="134"/>
        <v>0.48098443783878309</v>
      </c>
      <c r="O33" s="1025">
        <f t="shared" si="134"/>
        <v>0.48440092930633916</v>
      </c>
      <c r="P33" s="1027">
        <f t="shared" si="134"/>
        <v>0.48077701790695576</v>
      </c>
      <c r="Q33" s="1025">
        <f t="shared" si="134"/>
        <v>0.48507572958995199</v>
      </c>
      <c r="R33" s="1025">
        <f t="shared" si="134"/>
        <v>0.48504764001132034</v>
      </c>
      <c r="S33" s="1025">
        <f t="shared" si="134"/>
        <v>0.48500282965478214</v>
      </c>
      <c r="T33" s="1025">
        <f t="shared" si="134"/>
        <v>0.48817382408106591</v>
      </c>
      <c r="U33" s="1027">
        <f t="shared" si="134"/>
        <v>0.48597762550079904</v>
      </c>
      <c r="V33" s="1025">
        <f t="shared" si="134"/>
        <v>0.48463275274168283</v>
      </c>
      <c r="W33" s="1025">
        <f t="shared" si="134"/>
        <v>0.4851247495100306</v>
      </c>
      <c r="X33" s="1025">
        <f t="shared" si="134"/>
        <v>0.49213221396861673</v>
      </c>
      <c r="Y33" s="1025">
        <f t="shared" si="134"/>
        <v>0.4940521386990635</v>
      </c>
      <c r="Z33" s="1027">
        <f t="shared" si="134"/>
        <v>0.48898063877420145</v>
      </c>
      <c r="AA33" s="1025">
        <f t="shared" si="134"/>
        <v>0.47962739867481285</v>
      </c>
      <c r="AB33" s="1025">
        <f t="shared" si="134"/>
        <v>0.46009786967879612</v>
      </c>
      <c r="AC33" s="1025">
        <f t="shared" si="134"/>
        <v>0.46156484248689433</v>
      </c>
      <c r="AD33" s="1025">
        <f t="shared" si="134"/>
        <v>0.45987972123979637</v>
      </c>
      <c r="AE33" s="1027">
        <f t="shared" si="134"/>
        <v>0.46438891944509919</v>
      </c>
      <c r="AF33" s="1025">
        <f t="shared" si="134"/>
        <v>0.45033281442911588</v>
      </c>
      <c r="AG33" s="1025">
        <f t="shared" si="134"/>
        <v>0.46024975413397984</v>
      </c>
      <c r="AH33" s="1025">
        <f t="shared" si="134"/>
        <v>0.46012169889207122</v>
      </c>
      <c r="AI33" s="1025">
        <f t="shared" si="134"/>
        <v>0.45821853214741398</v>
      </c>
      <c r="AJ33" s="1027">
        <f t="shared" si="134"/>
        <v>0.45761220538194775</v>
      </c>
      <c r="AK33" s="1025">
        <f t="shared" si="134"/>
        <v>0.45709179583110632</v>
      </c>
      <c r="AL33" s="1025">
        <f t="shared" si="134"/>
        <v>0.4553161427057576</v>
      </c>
      <c r="AM33" s="1025">
        <f t="shared" ref="AM33:BR33" si="135">AM32/AM22</f>
        <v>0.45579653732572434</v>
      </c>
      <c r="AN33" s="1025">
        <f t="shared" si="135"/>
        <v>0.45215619773007454</v>
      </c>
      <c r="AO33" s="1027">
        <f t="shared" si="135"/>
        <v>0.45487520305178525</v>
      </c>
      <c r="AP33" s="1025">
        <f t="shared" si="135"/>
        <v>0.46062604234895232</v>
      </c>
      <c r="AQ33" s="1025">
        <f t="shared" si="135"/>
        <v>0.44373225765312141</v>
      </c>
      <c r="AR33" s="1025">
        <f t="shared" si="135"/>
        <v>0.45581567148970853</v>
      </c>
      <c r="AS33" s="1025">
        <f t="shared" si="135"/>
        <v>0.47070088983347741</v>
      </c>
      <c r="AT33" s="1027">
        <f t="shared" si="135"/>
        <v>0.4582312633349514</v>
      </c>
      <c r="AU33" s="1025">
        <f t="shared" si="135"/>
        <v>0.44448453301293617</v>
      </c>
      <c r="AV33" s="1025">
        <f t="shared" si="135"/>
        <v>0.44091486658195683</v>
      </c>
      <c r="AW33" s="1025">
        <f t="shared" si="135"/>
        <v>0.44790767160589323</v>
      </c>
      <c r="AX33" s="1025">
        <f t="shared" si="135"/>
        <v>0.45199915180359546</v>
      </c>
      <c r="AY33" s="1027">
        <f t="shared" si="135"/>
        <v>0.44678701395173798</v>
      </c>
      <c r="AZ33" s="1025">
        <f t="shared" si="135"/>
        <v>0.44617507115388799</v>
      </c>
      <c r="BA33" s="1025">
        <f t="shared" si="135"/>
        <v>0.43404051003457794</v>
      </c>
      <c r="BB33" s="1025">
        <f t="shared" si="135"/>
        <v>0.43223873866619422</v>
      </c>
      <c r="BC33" s="1025">
        <f t="shared" si="135"/>
        <v>0.43076825633879806</v>
      </c>
      <c r="BD33" s="1027">
        <f t="shared" si="135"/>
        <v>0.43526503610031381</v>
      </c>
      <c r="BE33" s="1025">
        <f t="shared" si="135"/>
        <v>0.43047491393331738</v>
      </c>
      <c r="BF33" s="1025">
        <f t="shared" si="135"/>
        <v>0.44433615833633633</v>
      </c>
      <c r="BG33" s="1025">
        <f t="shared" si="135"/>
        <v>0.44750015652093439</v>
      </c>
      <c r="BH33" s="1025">
        <f t="shared" si="135"/>
        <v>0.4425990478656654</v>
      </c>
      <c r="BI33" s="1027">
        <f t="shared" si="135"/>
        <v>0.44153188008112759</v>
      </c>
      <c r="BJ33" s="1025">
        <f t="shared" si="135"/>
        <v>0.43728464514883453</v>
      </c>
      <c r="BK33" s="1025">
        <f t="shared" si="135"/>
        <v>0.44199785730473662</v>
      </c>
      <c r="BL33" s="1025">
        <f t="shared" si="135"/>
        <v>0.44275842191102877</v>
      </c>
      <c r="BM33" s="1025">
        <f t="shared" si="135"/>
        <v>0.42308199321828099</v>
      </c>
      <c r="BN33" s="1027">
        <f t="shared" si="135"/>
        <v>0.43591549360211762</v>
      </c>
      <c r="BO33" s="1025">
        <f t="shared" si="135"/>
        <v>0.42076438961363732</v>
      </c>
      <c r="BP33" s="1025">
        <f t="shared" si="135"/>
        <v>0.41997314401431834</v>
      </c>
      <c r="BQ33" s="1025">
        <f t="shared" si="135"/>
        <v>0.42508379810224722</v>
      </c>
      <c r="BR33" s="1025">
        <f t="shared" si="135"/>
        <v>0.42162227739618885</v>
      </c>
      <c r="BS33" s="1027">
        <f t="shared" ref="BS33:CX33" si="136">BS32/BS22</f>
        <v>0.42196338332837224</v>
      </c>
      <c r="BT33" s="1025">
        <f t="shared" si="136"/>
        <v>0.42959030900935125</v>
      </c>
      <c r="BU33" s="1025">
        <f t="shared" si="136"/>
        <v>0.42038334493638074</v>
      </c>
      <c r="BV33" s="1025">
        <f t="shared" si="136"/>
        <v>0.42229070916466055</v>
      </c>
      <c r="BW33" s="1025">
        <f t="shared" si="136"/>
        <v>0.41655051039636182</v>
      </c>
      <c r="BX33" s="1027">
        <f t="shared" si="136"/>
        <v>0.42190298695213779</v>
      </c>
      <c r="BY33" s="1025">
        <f t="shared" si="136"/>
        <v>0.424711148924036</v>
      </c>
      <c r="BZ33" s="1025">
        <f t="shared" si="136"/>
        <v>0.42575895990463569</v>
      </c>
      <c r="CA33" s="1025">
        <f t="shared" si="136"/>
        <v>0.41221913973128771</v>
      </c>
      <c r="CB33" s="1025">
        <f t="shared" si="136"/>
        <v>0.40923666022487259</v>
      </c>
      <c r="CC33" s="1027">
        <f t="shared" si="136"/>
        <v>0.41764686505304865</v>
      </c>
      <c r="CD33" s="1025">
        <f t="shared" si="136"/>
        <v>0.40617487274451219</v>
      </c>
      <c r="CE33" s="1025">
        <f t="shared" si="136"/>
        <v>0.41144296792582036</v>
      </c>
      <c r="CF33" s="1025">
        <f t="shared" si="136"/>
        <v>0.4004761196379617</v>
      </c>
      <c r="CG33" s="1025">
        <f t="shared" si="136"/>
        <v>0.40090758263255849</v>
      </c>
      <c r="CH33" s="1027">
        <f t="shared" si="136"/>
        <v>0.40457350849337259</v>
      </c>
      <c r="CI33" s="1025">
        <f t="shared" si="136"/>
        <v>0.40865474324911205</v>
      </c>
      <c r="CJ33" s="1025">
        <f t="shared" si="136"/>
        <v>0.40428843738056652</v>
      </c>
      <c r="CK33" s="1025">
        <f t="shared" si="136"/>
        <v>0.39177740178356596</v>
      </c>
      <c r="CL33" s="1025">
        <f t="shared" si="136"/>
        <v>0.40217122560835522</v>
      </c>
      <c r="CM33" s="1027">
        <f t="shared" si="136"/>
        <v>0.40160685107526967</v>
      </c>
      <c r="CN33" s="1025">
        <f t="shared" si="136"/>
        <v>0.40997458267500175</v>
      </c>
      <c r="CO33" s="1025">
        <f t="shared" si="136"/>
        <v>0.40478428576059122</v>
      </c>
      <c r="CP33" s="1025">
        <f t="shared" si="136"/>
        <v>0.39623470348289924</v>
      </c>
      <c r="CQ33" s="1025">
        <f t="shared" si="136"/>
        <v>0.4052900232018562</v>
      </c>
      <c r="CR33" s="1027">
        <f t="shared" si="136"/>
        <v>0.40393846649484533</v>
      </c>
      <c r="CS33" s="1025">
        <f t="shared" si="136"/>
        <v>0.40574640849469074</v>
      </c>
      <c r="CT33" s="1025">
        <f t="shared" si="136"/>
        <v>0.39915131012789701</v>
      </c>
      <c r="CU33" s="1025">
        <f t="shared" si="136"/>
        <v>0.40238040078767517</v>
      </c>
      <c r="CV33" s="1025">
        <f t="shared" si="136"/>
        <v>0.40381282495667242</v>
      </c>
      <c r="CW33" s="1027">
        <f t="shared" si="136"/>
        <v>0.40274039637876191</v>
      </c>
      <c r="CX33" s="1028">
        <f t="shared" si="136"/>
        <v>0.38550479413423577</v>
      </c>
      <c r="CY33" s="1028">
        <f t="shared" ref="CY33:DA33" si="137">CY32/CY22</f>
        <v>0.38746594005449592</v>
      </c>
      <c r="CZ33" s="1028">
        <f t="shared" si="137"/>
        <v>0.38289962825278812</v>
      </c>
      <c r="DA33" s="1028">
        <f t="shared" si="137"/>
        <v>0.38714733542319751</v>
      </c>
      <c r="DB33" s="1027">
        <f>DB32/DB22</f>
        <v>0.38575286968264688</v>
      </c>
      <c r="DC33" s="1029">
        <v>0.40100000000000002</v>
      </c>
      <c r="DD33" s="1029">
        <v>0.40200000000000002</v>
      </c>
      <c r="DE33" s="1029">
        <v>0.40300000000000002</v>
      </c>
      <c r="DF33" s="1029">
        <v>0.40500000000000003</v>
      </c>
      <c r="DG33" s="1027">
        <f>DG32/DG22</f>
        <v>0.4027885179537592</v>
      </c>
      <c r="DH33" s="1029">
        <v>0.40699999999999997</v>
      </c>
      <c r="DI33" s="1029">
        <v>0.40699999999999997</v>
      </c>
      <c r="DJ33" s="1029">
        <v>0.40699999999999997</v>
      </c>
      <c r="DK33" s="1029">
        <v>0.40699999999999997</v>
      </c>
      <c r="DL33" s="1027">
        <f>DL32/DL22</f>
        <v>0.40699999999999997</v>
      </c>
      <c r="DM33" s="1029">
        <v>0.40699999999999997</v>
      </c>
      <c r="DN33" s="1029">
        <v>0.40699999999999997</v>
      </c>
      <c r="DO33" s="1029">
        <v>0.40699999999999997</v>
      </c>
      <c r="DP33" s="1029">
        <v>0.40699999999999997</v>
      </c>
      <c r="DQ33" s="1027">
        <f>DQ32/DQ22</f>
        <v>0.40700000000000003</v>
      </c>
      <c r="DR33" s="623"/>
      <c r="DS33" s="558"/>
      <c r="DT33"/>
      <c r="DU33"/>
      <c r="DV33"/>
      <c r="DW33"/>
      <c r="DX33"/>
      <c r="DY33"/>
    </row>
    <row r="34" spans="1:129" s="619" customFormat="1" hidden="1" outlineLevel="1">
      <c r="A34" s="621"/>
      <c r="B34" s="572"/>
      <c r="C34" s="607" t="s">
        <v>323</v>
      </c>
      <c r="D34" s="607"/>
      <c r="E34" s="607"/>
      <c r="F34" s="607"/>
      <c r="G34" s="617"/>
      <c r="H34" s="612"/>
      <c r="I34" s="612"/>
      <c r="J34" s="618"/>
      <c r="K34" s="617"/>
      <c r="L34" s="617"/>
      <c r="M34" s="612"/>
      <c r="N34" s="612"/>
      <c r="O34" s="612"/>
      <c r="P34" s="759"/>
      <c r="Q34" s="612"/>
      <c r="R34" s="612"/>
      <c r="S34" s="612"/>
      <c r="T34" s="612"/>
      <c r="U34" s="759"/>
      <c r="V34" s="612"/>
      <c r="W34" s="612"/>
      <c r="X34" s="612"/>
      <c r="Y34" s="612"/>
      <c r="Z34" s="759"/>
      <c r="AA34" s="612"/>
      <c r="AB34" s="612"/>
      <c r="AC34" s="612"/>
      <c r="AD34" s="612"/>
      <c r="AE34" s="759"/>
      <c r="AF34" s="612"/>
      <c r="AG34" s="612"/>
      <c r="AH34" s="612"/>
      <c r="AI34" s="612"/>
      <c r="AJ34" s="759"/>
      <c r="AK34" s="612"/>
      <c r="AL34" s="612"/>
      <c r="AM34" s="612"/>
      <c r="AN34" s="612"/>
      <c r="AO34" s="759"/>
      <c r="AP34" s="612"/>
      <c r="AQ34" s="612"/>
      <c r="AR34" s="612"/>
      <c r="AS34" s="612"/>
      <c r="AT34" s="759"/>
      <c r="AU34" s="612"/>
      <c r="AV34" s="612"/>
      <c r="AW34" s="612"/>
      <c r="AX34" s="612"/>
      <c r="AY34" s="759"/>
      <c r="AZ34" s="612"/>
      <c r="BA34" s="612"/>
      <c r="BB34" s="612"/>
      <c r="BC34" s="612"/>
      <c r="BD34" s="759"/>
      <c r="BE34" s="612"/>
      <c r="BF34" s="612"/>
      <c r="BG34" s="612"/>
      <c r="BH34" s="612"/>
      <c r="BI34" s="759"/>
      <c r="BJ34" s="612"/>
      <c r="BK34" s="612"/>
      <c r="BL34" s="612"/>
      <c r="BM34" s="612"/>
      <c r="BN34" s="759"/>
      <c r="BO34" s="612"/>
      <c r="BP34" s="612"/>
      <c r="BQ34" s="612"/>
      <c r="BR34" s="612"/>
      <c r="BS34" s="759"/>
      <c r="BT34" s="612"/>
      <c r="BU34" s="612"/>
      <c r="BV34" s="612"/>
      <c r="BW34" s="612"/>
      <c r="BX34" s="759"/>
      <c r="BY34" s="612"/>
      <c r="BZ34" s="612"/>
      <c r="CA34" s="612"/>
      <c r="CB34" s="612"/>
      <c r="CC34" s="759"/>
      <c r="CD34" s="612"/>
      <c r="CE34" s="612"/>
      <c r="CF34" s="612"/>
      <c r="CG34" s="612"/>
      <c r="CH34" s="759"/>
      <c r="CI34" s="612"/>
      <c r="CJ34" s="612"/>
      <c r="CK34" s="612"/>
      <c r="CL34" s="612"/>
      <c r="CM34" s="759"/>
      <c r="CN34" s="761">
        <f t="shared" ref="CN34:DA34" si="138">CN22-CN30</f>
        <v>1184.2</v>
      </c>
      <c r="CO34" s="761">
        <f t="shared" si="138"/>
        <v>1240.3</v>
      </c>
      <c r="CP34" s="761">
        <f t="shared" si="138"/>
        <v>1252.3999999999996</v>
      </c>
      <c r="CQ34" s="761">
        <f t="shared" si="138"/>
        <v>1298.9000000000001</v>
      </c>
      <c r="CR34" s="914">
        <f t="shared" si="138"/>
        <v>4975.7999999999993</v>
      </c>
      <c r="CS34" s="761">
        <f t="shared" si="138"/>
        <v>1286.5999999999999</v>
      </c>
      <c r="CT34" s="761">
        <f t="shared" si="138"/>
        <v>1332.2</v>
      </c>
      <c r="CU34" s="761">
        <f t="shared" si="138"/>
        <v>1375.8000000000002</v>
      </c>
      <c r="CV34" s="761">
        <f t="shared" si="138"/>
        <v>1384</v>
      </c>
      <c r="CW34" s="914">
        <f t="shared" si="138"/>
        <v>5378.6</v>
      </c>
      <c r="CX34" s="761">
        <f t="shared" si="138"/>
        <v>1352</v>
      </c>
      <c r="CY34" s="761">
        <f t="shared" si="138"/>
        <v>1409</v>
      </c>
      <c r="CZ34" s="761">
        <f t="shared" ref="CZ34" si="139">CZ22-CZ30</f>
        <v>1429</v>
      </c>
      <c r="DA34" s="761">
        <f t="shared" si="138"/>
        <v>1468</v>
      </c>
      <c r="DB34" s="914">
        <f>SUM(CX34:DA34)</f>
        <v>5658</v>
      </c>
      <c r="DC34" s="761">
        <f>DC22-DC30</f>
        <v>1533.1635000000001</v>
      </c>
      <c r="DD34" s="761">
        <f>DD22-DD30</f>
        <v>1591.6047600000002</v>
      </c>
      <c r="DE34" s="761">
        <f>DE22-DE30</f>
        <v>1631.7522399999998</v>
      </c>
      <c r="DF34" s="761">
        <f>DF22-DF30</f>
        <v>1667.4160000000002</v>
      </c>
      <c r="DG34" s="914">
        <f>SUM(DC34:DF34)</f>
        <v>6423.9365000000007</v>
      </c>
      <c r="DH34" s="761">
        <f>DH22-DH30</f>
        <v>1679.9469952500003</v>
      </c>
      <c r="DI34" s="761">
        <f>DI22-DI30</f>
        <v>1740.2265837</v>
      </c>
      <c r="DJ34" s="761">
        <f>DJ22-DJ30</f>
        <v>1779.8373321000004</v>
      </c>
      <c r="DK34" s="761">
        <f>DK22-DK30</f>
        <v>1807.7012988000006</v>
      </c>
      <c r="DL34" s="914">
        <f>SUM(DH34:DK34)</f>
        <v>7007.7122098500013</v>
      </c>
      <c r="DM34" s="761">
        <f>DM22-DM30</f>
        <v>1815.0530157562503</v>
      </c>
      <c r="DN34" s="761">
        <f>DN22-DN30</f>
        <v>1875.8841401160007</v>
      </c>
      <c r="DO34" s="761">
        <f>DO22-DO30</f>
        <v>1921.3809308085001</v>
      </c>
      <c r="DP34" s="761">
        <f>DP22-DP30</f>
        <v>1949.3073199680002</v>
      </c>
      <c r="DQ34" s="914">
        <f>SUM(DM34:DP34)</f>
        <v>7561.6254066487509</v>
      </c>
      <c r="DR34" s="623"/>
      <c r="DS34" s="558"/>
      <c r="DT34"/>
      <c r="DU34"/>
      <c r="DV34"/>
      <c r="DW34"/>
      <c r="DX34"/>
      <c r="DY34"/>
    </row>
    <row r="35" spans="1:129" s="619" customFormat="1" hidden="1" outlineLevel="1">
      <c r="A35" s="621"/>
      <c r="B35" s="572"/>
      <c r="C35" s="607" t="s">
        <v>325</v>
      </c>
      <c r="D35" s="607"/>
      <c r="E35" s="607"/>
      <c r="F35" s="607"/>
      <c r="G35" s="617"/>
      <c r="H35" s="612"/>
      <c r="I35" s="612"/>
      <c r="J35" s="618"/>
      <c r="K35" s="617"/>
      <c r="L35" s="617"/>
      <c r="M35" s="612"/>
      <c r="N35" s="612"/>
      <c r="O35" s="612"/>
      <c r="P35" s="759"/>
      <c r="Q35" s="612"/>
      <c r="R35" s="612"/>
      <c r="S35" s="612"/>
      <c r="T35" s="612"/>
      <c r="U35" s="759"/>
      <c r="V35" s="612"/>
      <c r="W35" s="612"/>
      <c r="X35" s="612"/>
      <c r="Y35" s="612"/>
      <c r="Z35" s="759"/>
      <c r="AA35" s="612"/>
      <c r="AB35" s="612"/>
      <c r="AC35" s="612"/>
      <c r="AD35" s="612"/>
      <c r="AE35" s="759"/>
      <c r="AF35" s="612"/>
      <c r="AG35" s="612"/>
      <c r="AH35" s="612"/>
      <c r="AI35" s="612"/>
      <c r="AJ35" s="759"/>
      <c r="AK35" s="612"/>
      <c r="AL35" s="612"/>
      <c r="AM35" s="612"/>
      <c r="AN35" s="612"/>
      <c r="AO35" s="759"/>
      <c r="AP35" s="612"/>
      <c r="AQ35" s="612"/>
      <c r="AR35" s="612"/>
      <c r="AS35" s="612"/>
      <c r="AT35" s="759"/>
      <c r="AU35" s="612"/>
      <c r="AV35" s="612"/>
      <c r="AW35" s="612"/>
      <c r="AX35" s="612"/>
      <c r="AY35" s="759"/>
      <c r="AZ35" s="612"/>
      <c r="BA35" s="612"/>
      <c r="BB35" s="612"/>
      <c r="BC35" s="612"/>
      <c r="BD35" s="759"/>
      <c r="BE35" s="612"/>
      <c r="BF35" s="612"/>
      <c r="BG35" s="612"/>
      <c r="BH35" s="612"/>
      <c r="BI35" s="759"/>
      <c r="BJ35" s="612"/>
      <c r="BK35" s="612"/>
      <c r="BL35" s="612"/>
      <c r="BM35" s="612"/>
      <c r="BN35" s="759"/>
      <c r="BO35" s="612"/>
      <c r="BP35" s="612"/>
      <c r="BQ35" s="612"/>
      <c r="BR35" s="612"/>
      <c r="BS35" s="759"/>
      <c r="BT35" s="612"/>
      <c r="BU35" s="612"/>
      <c r="BV35" s="612"/>
      <c r="BW35" s="612"/>
      <c r="BX35" s="759"/>
      <c r="BY35" s="612"/>
      <c r="BZ35" s="612"/>
      <c r="CA35" s="612"/>
      <c r="CB35" s="612"/>
      <c r="CC35" s="759"/>
      <c r="CD35" s="612"/>
      <c r="CE35" s="612"/>
      <c r="CF35" s="612"/>
      <c r="CG35" s="612"/>
      <c r="CH35" s="759"/>
      <c r="CI35" s="612"/>
      <c r="CJ35" s="612"/>
      <c r="CK35" s="612"/>
      <c r="CL35" s="612"/>
      <c r="CM35" s="759"/>
      <c r="CN35" s="612">
        <f t="shared" ref="CN35:DL35" si="140">CN34/CN22</f>
        <v>0.40674589544549017</v>
      </c>
      <c r="CO35" s="612">
        <f t="shared" si="140"/>
        <v>0.40202910764642963</v>
      </c>
      <c r="CP35" s="612">
        <f t="shared" si="140"/>
        <v>0.39297144650141191</v>
      </c>
      <c r="CQ35" s="612">
        <f t="shared" si="140"/>
        <v>0.40182521268368138</v>
      </c>
      <c r="CR35" s="759">
        <f t="shared" si="140"/>
        <v>0.40075708762886592</v>
      </c>
      <c r="CS35" s="612">
        <f t="shared" si="140"/>
        <v>0.40181136789506555</v>
      </c>
      <c r="CT35" s="612">
        <f t="shared" si="140"/>
        <v>0.39532330336211757</v>
      </c>
      <c r="CU35" s="612">
        <f t="shared" si="140"/>
        <v>0.39841306614154987</v>
      </c>
      <c r="CV35" s="612">
        <f t="shared" si="140"/>
        <v>0.3997689196995956</v>
      </c>
      <c r="CW35" s="759">
        <f t="shared" si="140"/>
        <v>0.39879588643963493</v>
      </c>
      <c r="CX35" s="612">
        <f t="shared" si="140"/>
        <v>0.38127467569091933</v>
      </c>
      <c r="CY35" s="612">
        <f t="shared" si="140"/>
        <v>0.38392370572207085</v>
      </c>
      <c r="CZ35" s="612">
        <f t="shared" ref="CZ35" si="141">CZ34/CZ22</f>
        <v>0.37944768985661181</v>
      </c>
      <c r="DA35" s="612">
        <f t="shared" si="140"/>
        <v>0.38349007314524558</v>
      </c>
      <c r="DB35" s="759">
        <f t="shared" si="140"/>
        <v>0.38203916272788657</v>
      </c>
      <c r="DC35" s="612">
        <f t="shared" si="140"/>
        <v>0.39600000000000002</v>
      </c>
      <c r="DD35" s="612">
        <f t="shared" si="140"/>
        <v>0.39700000000000008</v>
      </c>
      <c r="DE35" s="612">
        <f t="shared" si="140"/>
        <v>0.39799999999999996</v>
      </c>
      <c r="DF35" s="612">
        <f t="shared" si="140"/>
        <v>0.4</v>
      </c>
      <c r="DG35" s="759">
        <f t="shared" si="140"/>
        <v>0.39778851795375914</v>
      </c>
      <c r="DH35" s="612">
        <f t="shared" si="140"/>
        <v>0.40200000000000002</v>
      </c>
      <c r="DI35" s="612">
        <f t="shared" si="140"/>
        <v>0.40200000000000002</v>
      </c>
      <c r="DJ35" s="612">
        <f t="shared" si="140"/>
        <v>0.40200000000000002</v>
      </c>
      <c r="DK35" s="612">
        <f t="shared" si="140"/>
        <v>0.40200000000000002</v>
      </c>
      <c r="DL35" s="759">
        <f t="shared" si="140"/>
        <v>0.40200000000000002</v>
      </c>
      <c r="DM35" s="612">
        <f t="shared" ref="DM35:DQ35" si="142">DM34/DM22</f>
        <v>0.40200000000000008</v>
      </c>
      <c r="DN35" s="612">
        <f t="shared" si="142"/>
        <v>0.40200000000000008</v>
      </c>
      <c r="DO35" s="612">
        <f t="shared" si="142"/>
        <v>0.40199999999999997</v>
      </c>
      <c r="DP35" s="612">
        <f t="shared" si="142"/>
        <v>0.40200000000000002</v>
      </c>
      <c r="DQ35" s="759">
        <f t="shared" si="142"/>
        <v>0.40200000000000002</v>
      </c>
      <c r="DR35" s="623"/>
      <c r="DS35" s="558"/>
      <c r="DT35"/>
      <c r="DU35"/>
      <c r="DV35"/>
      <c r="DW35"/>
      <c r="DX35"/>
      <c r="DY35"/>
    </row>
    <row r="36" spans="1:129" s="627" customFormat="1" ht="11.25" customHeight="1" collapsed="1">
      <c r="A36" s="629"/>
      <c r="B36" s="634"/>
      <c r="C36" s="628"/>
      <c r="D36" s="628"/>
      <c r="E36" s="628"/>
      <c r="F36" s="629"/>
      <c r="G36" s="582"/>
      <c r="H36" s="583"/>
      <c r="I36" s="583"/>
      <c r="J36" s="584"/>
      <c r="K36" s="582"/>
      <c r="L36" s="582"/>
      <c r="M36" s="583"/>
      <c r="N36" s="583"/>
      <c r="O36" s="583"/>
      <c r="P36" s="736"/>
      <c r="Q36" s="583"/>
      <c r="R36" s="583"/>
      <c r="S36" s="583"/>
      <c r="T36" s="583"/>
      <c r="U36" s="736"/>
      <c r="V36" s="583"/>
      <c r="W36" s="583"/>
      <c r="X36" s="583"/>
      <c r="Y36" s="583"/>
      <c r="Z36" s="736"/>
      <c r="AA36" s="583"/>
      <c r="AB36" s="583"/>
      <c r="AC36" s="583"/>
      <c r="AD36" s="583"/>
      <c r="AE36" s="736"/>
      <c r="AF36" s="583"/>
      <c r="AG36" s="583"/>
      <c r="AH36" s="583"/>
      <c r="AI36" s="583"/>
      <c r="AJ36" s="736"/>
      <c r="AK36" s="583"/>
      <c r="AL36" s="583"/>
      <c r="AM36" s="583"/>
      <c r="AN36" s="583"/>
      <c r="AO36" s="736"/>
      <c r="AP36" s="583"/>
      <c r="AQ36" s="583"/>
      <c r="AR36" s="583"/>
      <c r="AS36" s="583"/>
      <c r="AT36" s="736"/>
      <c r="AU36" s="583"/>
      <c r="AV36" s="583"/>
      <c r="AW36" s="583"/>
      <c r="AX36" s="583"/>
      <c r="AY36" s="736"/>
      <c r="AZ36" s="583"/>
      <c r="BA36" s="583"/>
      <c r="BB36" s="583"/>
      <c r="BC36" s="583"/>
      <c r="BD36" s="736"/>
      <c r="BE36" s="583"/>
      <c r="BF36" s="583"/>
      <c r="BG36" s="583"/>
      <c r="BH36" s="583"/>
      <c r="BI36" s="736"/>
      <c r="BJ36" s="583"/>
      <c r="BK36" s="583"/>
      <c r="BL36" s="583"/>
      <c r="BM36" s="583"/>
      <c r="BN36" s="736"/>
      <c r="BO36" s="583"/>
      <c r="BP36" s="583"/>
      <c r="BQ36" s="583"/>
      <c r="BR36" s="583"/>
      <c r="BS36" s="736"/>
      <c r="BT36" s="583"/>
      <c r="BU36" s="583"/>
      <c r="BV36" s="583"/>
      <c r="BW36" s="583"/>
      <c r="BX36" s="736"/>
      <c r="BY36" s="583"/>
      <c r="BZ36" s="583"/>
      <c r="CA36" s="583"/>
      <c r="CB36" s="583"/>
      <c r="CC36" s="736"/>
      <c r="CD36" s="583"/>
      <c r="CE36" s="583"/>
      <c r="CF36" s="583"/>
      <c r="CG36" s="583"/>
      <c r="CH36" s="736"/>
      <c r="CI36" s="583"/>
      <c r="CJ36" s="583"/>
      <c r="CK36" s="583"/>
      <c r="CL36" s="583"/>
      <c r="CM36" s="736"/>
      <c r="CN36" s="583"/>
      <c r="CO36" s="583"/>
      <c r="CP36" s="583"/>
      <c r="CQ36" s="583"/>
      <c r="CR36" s="737"/>
      <c r="CS36" s="583"/>
      <c r="CT36" s="583"/>
      <c r="CU36" s="583"/>
      <c r="CV36" s="583"/>
      <c r="CW36" s="737"/>
      <c r="CX36" s="583"/>
      <c r="CY36" s="583"/>
      <c r="CZ36" s="583"/>
      <c r="DA36" s="583"/>
      <c r="DB36" s="737"/>
      <c r="DC36" s="583"/>
      <c r="DD36" s="583"/>
      <c r="DE36" s="583"/>
      <c r="DF36" s="583"/>
      <c r="DG36" s="737"/>
      <c r="DH36" s="583"/>
      <c r="DI36" s="583"/>
      <c r="DJ36" s="583"/>
      <c r="DK36" s="583"/>
      <c r="DL36" s="737"/>
      <c r="DM36" s="583"/>
      <c r="DN36" s="583"/>
      <c r="DO36" s="583"/>
      <c r="DP36" s="583"/>
      <c r="DQ36" s="737"/>
      <c r="DR36" s="634"/>
      <c r="DS36" s="628"/>
      <c r="DT36"/>
      <c r="DU36"/>
      <c r="DV36"/>
      <c r="DW36"/>
      <c r="DX36"/>
      <c r="DY36"/>
    </row>
    <row r="37" spans="1:129" s="635" customFormat="1" ht="11.25" customHeight="1">
      <c r="A37" s="637"/>
      <c r="B37" s="620" t="s">
        <v>324</v>
      </c>
      <c r="C37" s="636"/>
      <c r="D37" s="636"/>
      <c r="E37" s="636"/>
      <c r="F37" s="637"/>
      <c r="G37" s="630">
        <v>2.7050000000000001</v>
      </c>
      <c r="H37" s="631">
        <v>3.2250000000000001</v>
      </c>
      <c r="I37" s="631">
        <v>4.2539999999999996</v>
      </c>
      <c r="J37" s="632">
        <v>5.3629999999999995</v>
      </c>
      <c r="K37" s="586">
        <f>SUM(G37:J37)</f>
        <v>15.546999999999999</v>
      </c>
      <c r="L37" s="630">
        <v>5.0140000000000002</v>
      </c>
      <c r="M37" s="631">
        <v>5.7759999999999998</v>
      </c>
      <c r="N37" s="631">
        <v>6.0190000000000001</v>
      </c>
      <c r="O37" s="631">
        <v>6.2520000000000024</v>
      </c>
      <c r="P37" s="737">
        <f>SUM(L37:O37)</f>
        <v>23.061</v>
      </c>
      <c r="Q37" s="631">
        <v>7.0369999999999999</v>
      </c>
      <c r="R37" s="631">
        <v>8.3580000000000005</v>
      </c>
      <c r="S37" s="631">
        <v>9.673</v>
      </c>
      <c r="T37" s="631">
        <v>10.891000000000005</v>
      </c>
      <c r="U37" s="737">
        <f>SUM(Q37:T37)</f>
        <v>35.959000000000003</v>
      </c>
      <c r="V37" s="631">
        <v>11.208</v>
      </c>
      <c r="W37" s="631">
        <v>11.657</v>
      </c>
      <c r="X37" s="631">
        <v>11.441000000000001</v>
      </c>
      <c r="Y37" s="631">
        <v>10.635999999999999</v>
      </c>
      <c r="Z37" s="737">
        <f>SUM(V37:Y37)</f>
        <v>44.942000000000007</v>
      </c>
      <c r="AA37" s="631">
        <f>11.222-AA55-AA49</f>
        <v>7.2481538461538459</v>
      </c>
      <c r="AB37" s="631">
        <f>12.561-AB55-AB49</f>
        <v>8.2994615384615393</v>
      </c>
      <c r="AC37" s="631">
        <f>14.15-AC55-AC49</f>
        <v>9.9084615384615375</v>
      </c>
      <c r="AD37" s="631">
        <f>15.412-AD55-AD49</f>
        <v>10.101230769230771</v>
      </c>
      <c r="AE37" s="737">
        <f>SUM(AA37:AD37)</f>
        <v>35.557307692307688</v>
      </c>
      <c r="AF37" s="631">
        <f>16.411-AF55-AF49</f>
        <v>11.223307692307694</v>
      </c>
      <c r="AG37" s="631">
        <f>20.352-AG55-AG49</f>
        <v>14.519692307692308</v>
      </c>
      <c r="AH37" s="631">
        <f>22.861-AH55-AH49</f>
        <v>16.530230769230769</v>
      </c>
      <c r="AI37" s="631">
        <f>24.635-AI55-AI49</f>
        <v>18.898076923076925</v>
      </c>
      <c r="AJ37" s="737">
        <f>SUM(AF37:AI37)</f>
        <v>61.171307692307693</v>
      </c>
      <c r="AK37" s="631">
        <f>27.182-AK55-AK49</f>
        <v>21.912769230769229</v>
      </c>
      <c r="AL37" s="631">
        <f>31.543-AL55-AL49</f>
        <v>24.695307692307694</v>
      </c>
      <c r="AM37" s="631">
        <f>35.889-AM55-AM49</f>
        <v>28.832076923076926</v>
      </c>
      <c r="AN37" s="631">
        <f>38.182-AN55-AN49</f>
        <v>33.981999999999999</v>
      </c>
      <c r="AO37" s="737">
        <f>SUM(AK37:AN37)</f>
        <v>109.42215384615385</v>
      </c>
      <c r="AP37" s="631">
        <f>41.41-AP55-AP49</f>
        <v>33.526923076923076</v>
      </c>
      <c r="AQ37" s="631">
        <f>46.126-AQ55-AQ49</f>
        <v>39.347538461538463</v>
      </c>
      <c r="AR37" s="631">
        <f>54.759-AR55-AR49</f>
        <v>47.866692307692304</v>
      </c>
      <c r="AS37" s="631">
        <f>64.604-AS55-AS49</f>
        <v>58.480923076923077</v>
      </c>
      <c r="AT37" s="737">
        <f>SUM(AP37:AS37)</f>
        <v>179.22207692307691</v>
      </c>
      <c r="AU37" s="631">
        <f>66.705-AU55-AU49</f>
        <v>59.102999999999994</v>
      </c>
      <c r="AV37" s="631">
        <f>80.044-AV55-AV49</f>
        <v>73.274999999999991</v>
      </c>
      <c r="AW37" s="631">
        <f>91.47-AW55-AW49</f>
        <v>84</v>
      </c>
      <c r="AX37" s="631">
        <f>105.019-AX55-AX49</f>
        <v>96.926000000000002</v>
      </c>
      <c r="AY37" s="737">
        <f>SUM(AU37:AX37)</f>
        <v>313.30399999999997</v>
      </c>
      <c r="AZ37" s="631">
        <f>109.499-AZ55-AZ49</f>
        <v>102.06099999999999</v>
      </c>
      <c r="BA37" s="631">
        <f>120.464-BA55-BA49</f>
        <v>110.952</v>
      </c>
      <c r="BB37" s="631">
        <f>126.551-BB55-BB49</f>
        <v>117.396</v>
      </c>
      <c r="BC37" s="631">
        <f>137.588-BC55-BC49</f>
        <v>121.85499999999999</v>
      </c>
      <c r="BD37" s="737">
        <f>SUM(AZ37:BC37)</f>
        <v>452.26400000000001</v>
      </c>
      <c r="BE37" s="631">
        <f>148.853-BE55-BE49</f>
        <v>134.952</v>
      </c>
      <c r="BF37" s="631">
        <f>167.105-BF55-BF49</f>
        <v>150.726</v>
      </c>
      <c r="BG37" s="631">
        <f>166.685-BG55-BG49</f>
        <v>156.51599999999999</v>
      </c>
      <c r="BH37" s="631">
        <f>169.378-BH55-BH49</f>
        <v>157.77799999999999</v>
      </c>
      <c r="BI37" s="737">
        <f>SUM(BE37:BH37)</f>
        <v>599.97199999999998</v>
      </c>
      <c r="BJ37" s="631">
        <f>166.872-BJ55-BJ49</f>
        <v>154.16400000000002</v>
      </c>
      <c r="BK37" s="631">
        <f>170.003-BK55-BK49</f>
        <v>160.35</v>
      </c>
      <c r="BL37" s="631">
        <f>193.806-BL55-BL49</f>
        <v>183.21700000000001</v>
      </c>
      <c r="BM37" s="631">
        <f>190.678-BM55-BM49</f>
        <v>177.86699999999999</v>
      </c>
      <c r="BN37" s="737">
        <f>SUM(BJ37:BM37)</f>
        <v>675.59799999999996</v>
      </c>
      <c r="BO37" s="631">
        <f>194.993-BO55-BO49</f>
        <v>181.048</v>
      </c>
      <c r="BP37" s="631">
        <f>234.547-BP55-BP49</f>
        <v>220.55699999999999</v>
      </c>
      <c r="BQ37" s="631">
        <f>262.632-BQ55-BQ49</f>
        <v>248.523</v>
      </c>
      <c r="BR37" s="631">
        <f>279.921-BR55-BR49</f>
        <v>264.98099999999999</v>
      </c>
      <c r="BS37" s="737">
        <f>SUM(BO37:BR37)</f>
        <v>915.10900000000004</v>
      </c>
      <c r="BT37" s="631">
        <f>296.33-BT55-BT49</f>
        <v>280.26499999999999</v>
      </c>
      <c r="BU37" s="631">
        <f>326.718-BU55-BU49</f>
        <v>303.03900000000004</v>
      </c>
      <c r="BV37" s="631">
        <f>353.161-BV55-BV49</f>
        <v>328.661</v>
      </c>
      <c r="BW37" s="631">
        <f>352.456-BW55-BW49</f>
        <v>326.46800000000002</v>
      </c>
      <c r="BX37" s="737">
        <f>SUM(BT37:BW37)</f>
        <v>1238.4330000000002</v>
      </c>
      <c r="BY37" s="631">
        <f>374.178-BY55-BY49</f>
        <v>336.47899999999998</v>
      </c>
      <c r="BZ37" s="631">
        <f>396.771-BZ55-BZ49</f>
        <v>369.27199999999999</v>
      </c>
      <c r="CA37" s="631">
        <f>384.951-CA55-CA49</f>
        <v>359.81200000000001</v>
      </c>
      <c r="CB37" s="631">
        <f>401.746-CB55-CB49</f>
        <v>368.85699999999997</v>
      </c>
      <c r="CC37" s="737">
        <f>SUM(BY37:CB37)</f>
        <v>1434.42</v>
      </c>
      <c r="CD37" s="631">
        <f>413.204-CD55-CD49</f>
        <v>377.45699999999999</v>
      </c>
      <c r="CE37" s="631">
        <f>420.526-CE55-CE49</f>
        <v>384.37700000000001</v>
      </c>
      <c r="CF37" s="631">
        <f>443.376-CF55-CF49</f>
        <v>411.23299999999995</v>
      </c>
      <c r="CG37" s="638">
        <f>450.503-CG55-CG49</f>
        <v>411.74</v>
      </c>
      <c r="CH37" s="737">
        <f>SUM(CD37:CG37)</f>
        <v>1584.807</v>
      </c>
      <c r="CI37" s="638">
        <f>485.395-CI55-CI49</f>
        <v>441.59499999999997</v>
      </c>
      <c r="CJ37" s="631">
        <f>482.985-CJ55-CJ49</f>
        <v>441.88499999999999</v>
      </c>
      <c r="CK37" s="631">
        <f>506.019-CK55-CK49</f>
        <v>459.81900000000002</v>
      </c>
      <c r="CL37" s="638">
        <f>562.622-CL55-CL49</f>
        <v>510.52199999999993</v>
      </c>
      <c r="CM37" s="737">
        <f>SUM(CI37:CL37)</f>
        <v>1853.8209999999999</v>
      </c>
      <c r="CN37" s="587">
        <f>CN41-CN39</f>
        <v>574.4</v>
      </c>
      <c r="CO37" s="587">
        <f>CO41-CO39</f>
        <v>571.1</v>
      </c>
      <c r="CP37" s="587">
        <f>CP41-CP39</f>
        <v>591.1</v>
      </c>
      <c r="CQ37" s="587">
        <f>CQ41-CQ39</f>
        <v>619.90000000000009</v>
      </c>
      <c r="CR37" s="737">
        <f>SUM(CN37:CQ37)</f>
        <v>2356.5</v>
      </c>
      <c r="CS37" s="587">
        <f>CS41-CS39</f>
        <v>605.30000000000007</v>
      </c>
      <c r="CT37" s="587">
        <f>CT41-CT39</f>
        <v>604.6</v>
      </c>
      <c r="CU37" s="587">
        <f>CU41-CU39</f>
        <v>664.5</v>
      </c>
      <c r="CV37" s="587">
        <f>CV41-CV39</f>
        <v>692</v>
      </c>
      <c r="CW37" s="737">
        <f>SUM(CS37:CV37)</f>
        <v>2566.4</v>
      </c>
      <c r="CX37" s="1094">
        <f>CX41-CX39</f>
        <v>647</v>
      </c>
      <c r="CY37" s="1094">
        <f>CY41-CY39</f>
        <v>667</v>
      </c>
      <c r="CZ37" s="1094">
        <f>CZ41-CZ39</f>
        <v>635</v>
      </c>
      <c r="DA37" s="1094">
        <f>DA41-DA39</f>
        <v>654</v>
      </c>
      <c r="DB37" s="737">
        <f>SUM(CX37:DA37)</f>
        <v>2603</v>
      </c>
      <c r="DC37" s="587">
        <f>DC38*DC$22</f>
        <v>658.1762500000001</v>
      </c>
      <c r="DD37" s="587">
        <f>DD38*DD$22</f>
        <v>669.51636000000008</v>
      </c>
      <c r="DE37" s="587">
        <f>DE38*DE$22</f>
        <v>676.48020000000008</v>
      </c>
      <c r="DF37" s="587">
        <f>DF38*DF$22</f>
        <v>671.13494000000003</v>
      </c>
      <c r="DG37" s="737">
        <f>SUM(DC37:DF37)</f>
        <v>2675.3077499999999</v>
      </c>
      <c r="DH37" s="587">
        <f>DH38*DH$22</f>
        <v>676.99356525000007</v>
      </c>
      <c r="DI37" s="587">
        <f>DI38*DI$22</f>
        <v>696.95641784999998</v>
      </c>
      <c r="DJ37" s="587">
        <f>DJ38*DJ$22</f>
        <v>708.39296800000011</v>
      </c>
      <c r="DK37" s="587">
        <f>DK38*DK$22</f>
        <v>719.48310400000014</v>
      </c>
      <c r="DL37" s="737">
        <f>SUM(DH37:DK37)</f>
        <v>2801.8260551000003</v>
      </c>
      <c r="DM37" s="587">
        <f>DM38*DM$22</f>
        <v>731.43927500625</v>
      </c>
      <c r="DN37" s="587">
        <f>DN38*DN$22</f>
        <v>751.28693173800013</v>
      </c>
      <c r="DO37" s="587">
        <f>DO38*DO$22</f>
        <v>764.72872868000013</v>
      </c>
      <c r="DP37" s="587">
        <f>DP38*DP$22</f>
        <v>775.84370944000011</v>
      </c>
      <c r="DQ37" s="737">
        <f>SUM(DM37:DP37)</f>
        <v>3023.2986448642505</v>
      </c>
      <c r="DR37" s="620"/>
      <c r="DS37" s="636"/>
      <c r="DT37"/>
      <c r="DU37"/>
      <c r="DV37"/>
      <c r="DW37"/>
      <c r="DX37"/>
      <c r="DY37"/>
    </row>
    <row r="38" spans="1:129" s="619" customFormat="1">
      <c r="A38" s="621"/>
      <c r="B38" s="623"/>
      <c r="C38" s="558" t="s">
        <v>325</v>
      </c>
      <c r="D38" s="558"/>
      <c r="E38" s="558"/>
      <c r="F38" s="558"/>
      <c r="G38" s="639">
        <f t="shared" ref="G38:AL38" si="143">G37/G$22</f>
        <v>0.2642117601093964</v>
      </c>
      <c r="H38" s="640">
        <f t="shared" si="143"/>
        <v>0.25457846542469215</v>
      </c>
      <c r="I38" s="640">
        <f t="shared" si="143"/>
        <v>0.2625925925925926</v>
      </c>
      <c r="J38" s="641">
        <f t="shared" si="143"/>
        <v>0.27502564102564098</v>
      </c>
      <c r="K38" s="626">
        <f t="shared" si="143"/>
        <v>0.26528000546019181</v>
      </c>
      <c r="L38" s="639">
        <f t="shared" si="143"/>
        <v>0.24547145794575545</v>
      </c>
      <c r="M38" s="640">
        <f t="shared" si="143"/>
        <v>0.26867615592148103</v>
      </c>
      <c r="N38" s="640">
        <f t="shared" si="143"/>
        <v>0.26311418080083931</v>
      </c>
      <c r="O38" s="640">
        <f t="shared" si="143"/>
        <v>0.25937603717225366</v>
      </c>
      <c r="P38" s="735">
        <f t="shared" si="143"/>
        <v>0.25939215333393323</v>
      </c>
      <c r="Q38" s="640">
        <f t="shared" si="143"/>
        <v>0.25995567048393053</v>
      </c>
      <c r="R38" s="640">
        <f t="shared" si="143"/>
        <v>0.26282192383887304</v>
      </c>
      <c r="S38" s="640">
        <f t="shared" si="143"/>
        <v>0.26067857816584472</v>
      </c>
      <c r="T38" s="640">
        <f t="shared" si="143"/>
        <v>0.26529120892504826</v>
      </c>
      <c r="U38" s="735">
        <f t="shared" si="143"/>
        <v>0.26241507396136643</v>
      </c>
      <c r="V38" s="640">
        <f t="shared" si="143"/>
        <v>0.25822504838263755</v>
      </c>
      <c r="W38" s="640">
        <f t="shared" si="143"/>
        <v>0.25669991852194401</v>
      </c>
      <c r="X38" s="640">
        <f t="shared" si="143"/>
        <v>0.25143949716495978</v>
      </c>
      <c r="Y38" s="640">
        <f t="shared" si="143"/>
        <v>0.24472515588688709</v>
      </c>
      <c r="Z38" s="735">
        <f t="shared" si="143"/>
        <v>0.25279843400195751</v>
      </c>
      <c r="AA38" s="640">
        <f t="shared" si="143"/>
        <v>0.15592792888206364</v>
      </c>
      <c r="AB38" s="640">
        <f t="shared" si="143"/>
        <v>0.15268151032895874</v>
      </c>
      <c r="AC38" s="640">
        <f t="shared" si="143"/>
        <v>0.1618157127441337</v>
      </c>
      <c r="AD38" s="640">
        <f t="shared" si="143"/>
        <v>0.15073989000657759</v>
      </c>
      <c r="AE38" s="735">
        <f t="shared" si="143"/>
        <v>0.15521379609538641</v>
      </c>
      <c r="AF38" s="640">
        <f t="shared" si="143"/>
        <v>0.15061607832287957</v>
      </c>
      <c r="AG38" s="640">
        <f t="shared" si="143"/>
        <v>0.16604181217771319</v>
      </c>
      <c r="AH38" s="640">
        <f t="shared" si="143"/>
        <v>0.16848498913710766</v>
      </c>
      <c r="AI38" s="640">
        <f t="shared" si="143"/>
        <v>0.17472657522399568</v>
      </c>
      <c r="AJ38" s="735">
        <f t="shared" si="143"/>
        <v>0.16612210186624074</v>
      </c>
      <c r="AK38" s="640">
        <f t="shared" si="143"/>
        <v>0.182996803437076</v>
      </c>
      <c r="AL38" s="640">
        <f t="shared" si="143"/>
        <v>0.1780239743099914</v>
      </c>
      <c r="AM38" s="640">
        <f t="shared" ref="AM38:BR38" si="144">AM37/AM$22</f>
        <v>0.18549998342057741</v>
      </c>
      <c r="AN38" s="640">
        <f t="shared" si="144"/>
        <v>0.19667671792616084</v>
      </c>
      <c r="AO38" s="735">
        <f t="shared" si="144"/>
        <v>0.18651302147218954</v>
      </c>
      <c r="AP38" s="640">
        <f t="shared" si="144"/>
        <v>0.18453731032371615</v>
      </c>
      <c r="AQ38" s="640">
        <f t="shared" si="144"/>
        <v>0.18585495539456365</v>
      </c>
      <c r="AR38" s="640">
        <f t="shared" si="144"/>
        <v>0.20322452749342904</v>
      </c>
      <c r="AS38" s="640">
        <f t="shared" si="144"/>
        <v>0.22763903386086159</v>
      </c>
      <c r="AT38" s="735">
        <f t="shared" si="144"/>
        <v>0.20232107393413737</v>
      </c>
      <c r="AU38" s="640">
        <f t="shared" si="144"/>
        <v>0.20703099002028169</v>
      </c>
      <c r="AV38" s="640">
        <f t="shared" si="144"/>
        <v>0.21753909914617198</v>
      </c>
      <c r="AW38" s="640">
        <f t="shared" si="144"/>
        <v>0.22250358919480187</v>
      </c>
      <c r="AX38" s="640">
        <f t="shared" si="144"/>
        <v>0.22836745753127724</v>
      </c>
      <c r="AY38" s="735">
        <f t="shared" si="144"/>
        <v>0.21997560850598938</v>
      </c>
      <c r="AZ38" s="640">
        <f t="shared" si="144"/>
        <v>0.22174158646012121</v>
      </c>
      <c r="BA38" s="640">
        <f t="shared" si="144"/>
        <v>0.21480927912892969</v>
      </c>
      <c r="BB38" s="640">
        <f t="shared" si="144"/>
        <v>0.21007198879100705</v>
      </c>
      <c r="BC38" s="640">
        <f t="shared" si="144"/>
        <v>0.20310656114781753</v>
      </c>
      <c r="BD38" s="735">
        <f t="shared" si="144"/>
        <v>0.21177602118771646</v>
      </c>
      <c r="BE38" s="640">
        <f t="shared" si="144"/>
        <v>0.20984410035048653</v>
      </c>
      <c r="BF38" s="640">
        <f t="shared" si="144"/>
        <v>0.21990087930589253</v>
      </c>
      <c r="BG38" s="640">
        <f t="shared" si="144"/>
        <v>0.21302635268113554</v>
      </c>
      <c r="BH38" s="640">
        <f t="shared" si="144"/>
        <v>0.2095200154041259</v>
      </c>
      <c r="BI38" s="735">
        <f t="shared" si="144"/>
        <v>0.21303524051380815</v>
      </c>
      <c r="BJ38" s="640">
        <f t="shared" si="144"/>
        <v>0.20669239081760432</v>
      </c>
      <c r="BK38" s="640">
        <f t="shared" si="144"/>
        <v>0.20647907781692318</v>
      </c>
      <c r="BL38" s="640">
        <f t="shared" si="144"/>
        <v>0.21466851320698122</v>
      </c>
      <c r="BM38" s="640">
        <f t="shared" si="144"/>
        <v>0.19703429963410626</v>
      </c>
      <c r="BN38" s="735">
        <f t="shared" si="144"/>
        <v>0.20605899416926957</v>
      </c>
      <c r="BO38" s="640">
        <f t="shared" si="144"/>
        <v>0.18864668861751344</v>
      </c>
      <c r="BP38" s="640">
        <f t="shared" si="144"/>
        <v>0.19957128146846501</v>
      </c>
      <c r="BQ38" s="640">
        <f t="shared" si="144"/>
        <v>0.20422413105949233</v>
      </c>
      <c r="BR38" s="640">
        <f t="shared" si="144"/>
        <v>0.20218266109772456</v>
      </c>
      <c r="BS38" s="735">
        <f t="shared" ref="BS38:CY38" si="145">BS37/BS$22</f>
        <v>0.19926643844848513</v>
      </c>
      <c r="BT38" s="640">
        <f t="shared" si="145"/>
        <v>0.20438606150724922</v>
      </c>
      <c r="BU38" s="640">
        <f t="shared" si="145"/>
        <v>0.20403341677652534</v>
      </c>
      <c r="BV38" s="640">
        <f t="shared" si="145"/>
        <v>0.20529072040795676</v>
      </c>
      <c r="BW38" s="640">
        <f t="shared" si="145"/>
        <v>0.19622926392688139</v>
      </c>
      <c r="BX38" s="735">
        <f t="shared" si="145"/>
        <v>0.20232011731117464</v>
      </c>
      <c r="BY38" s="640">
        <f t="shared" si="145"/>
        <v>0.19661623666475977</v>
      </c>
      <c r="BZ38" s="640">
        <f t="shared" si="145"/>
        <v>0.20569735185659696</v>
      </c>
      <c r="CA38" s="640">
        <f t="shared" si="145"/>
        <v>0.19020684172019911</v>
      </c>
      <c r="CB38" s="640">
        <f t="shared" si="145"/>
        <v>0.18933074634986383</v>
      </c>
      <c r="CC38" s="735">
        <f t="shared" si="145"/>
        <v>0.19525290506790197</v>
      </c>
      <c r="CD38" s="640">
        <f t="shared" si="145"/>
        <v>0.18679165730540029</v>
      </c>
      <c r="CE38" s="640">
        <f t="shared" si="145"/>
        <v>0.17785021561696066</v>
      </c>
      <c r="CF38" s="640">
        <f t="shared" si="145"/>
        <v>0.17835316731454731</v>
      </c>
      <c r="CG38" s="640">
        <f t="shared" si="145"/>
        <v>0.17480029615943704</v>
      </c>
      <c r="CH38" s="735">
        <f t="shared" si="145"/>
        <v>0.1792121597762979</v>
      </c>
      <c r="CI38" s="640">
        <f t="shared" si="145"/>
        <v>0.18230039614456717</v>
      </c>
      <c r="CJ38" s="640">
        <f t="shared" si="145"/>
        <v>0.17555363446895511</v>
      </c>
      <c r="CK38" s="640">
        <f t="shared" si="145"/>
        <v>0.17815474490790234</v>
      </c>
      <c r="CL38" s="640">
        <f t="shared" si="145"/>
        <v>0.18617037958158139</v>
      </c>
      <c r="CM38" s="735">
        <f t="shared" si="145"/>
        <v>0.18063710642472469</v>
      </c>
      <c r="CN38" s="640">
        <f t="shared" si="145"/>
        <v>0.19729339836504772</v>
      </c>
      <c r="CO38" s="640">
        <f t="shared" si="145"/>
        <v>0.18511555541149396</v>
      </c>
      <c r="CP38" s="640">
        <f t="shared" si="145"/>
        <v>0.18547223093818641</v>
      </c>
      <c r="CQ38" s="640">
        <f t="shared" si="145"/>
        <v>0.19177107501933491</v>
      </c>
      <c r="CR38" s="735">
        <f t="shared" si="145"/>
        <v>0.18979542525773196</v>
      </c>
      <c r="CS38" s="640">
        <f t="shared" si="145"/>
        <v>0.18903810118675829</v>
      </c>
      <c r="CT38" s="640">
        <f t="shared" si="145"/>
        <v>0.17941185198373838</v>
      </c>
      <c r="CU38" s="640">
        <f t="shared" si="145"/>
        <v>0.19243020966060465</v>
      </c>
      <c r="CV38" s="640">
        <f t="shared" si="145"/>
        <v>0.1998844598497978</v>
      </c>
      <c r="CW38" s="735">
        <f t="shared" si="145"/>
        <v>0.19028553210104471</v>
      </c>
      <c r="CX38" s="640">
        <f t="shared" si="145"/>
        <v>0.18245910885504793</v>
      </c>
      <c r="CY38" s="640">
        <f t="shared" si="145"/>
        <v>0.18174386920980926</v>
      </c>
      <c r="CZ38" s="640">
        <f t="shared" ref="CZ38:DA38" si="146">CZ37/CZ$22</f>
        <v>0.16861391396707381</v>
      </c>
      <c r="DA38" s="640">
        <f t="shared" si="146"/>
        <v>0.17084639498432602</v>
      </c>
      <c r="DB38" s="735">
        <f>DB37/DB$22</f>
        <v>0.17575962187711006</v>
      </c>
      <c r="DC38" s="741">
        <v>0.17</v>
      </c>
      <c r="DD38" s="741">
        <v>0.16700000000000001</v>
      </c>
      <c r="DE38" s="741">
        <v>0.16500000000000001</v>
      </c>
      <c r="DF38" s="741">
        <f>DE38-0.4%</f>
        <v>0.161</v>
      </c>
      <c r="DG38" s="735">
        <f>DG37/DG$22</f>
        <v>0.16566270618377157</v>
      </c>
      <c r="DH38" s="741">
        <v>0.16200000000000001</v>
      </c>
      <c r="DI38" s="741">
        <v>0.161</v>
      </c>
      <c r="DJ38" s="741">
        <v>0.16</v>
      </c>
      <c r="DK38" s="741">
        <v>0.16</v>
      </c>
      <c r="DL38" s="735">
        <f>DL37/DL$22</f>
        <v>0.16072778681850422</v>
      </c>
      <c r="DM38" s="741">
        <v>0.16200000000000001</v>
      </c>
      <c r="DN38" s="741">
        <v>0.161</v>
      </c>
      <c r="DO38" s="741">
        <v>0.16</v>
      </c>
      <c r="DP38" s="741">
        <v>0.16</v>
      </c>
      <c r="DQ38" s="735">
        <f>DQ37/DQ$22</f>
        <v>0.16072814902557689</v>
      </c>
      <c r="DR38" s="623"/>
      <c r="DS38" s="558"/>
      <c r="DT38"/>
      <c r="DU38"/>
      <c r="DV38"/>
      <c r="DW38"/>
      <c r="DX38"/>
      <c r="DY38"/>
    </row>
    <row r="39" spans="1:129" s="619" customFormat="1" ht="11.25" hidden="1" customHeight="1" outlineLevel="1">
      <c r="A39" s="621"/>
      <c r="B39" s="572"/>
      <c r="C39" s="607" t="s">
        <v>320</v>
      </c>
      <c r="D39" s="607"/>
      <c r="E39" s="607"/>
      <c r="F39" s="608"/>
      <c r="G39" s="613"/>
      <c r="H39" s="614"/>
      <c r="I39" s="614"/>
      <c r="J39" s="615"/>
      <c r="K39" s="609">
        <f>SUM(G39:J39)</f>
        <v>0</v>
      </c>
      <c r="L39" s="613"/>
      <c r="M39" s="614"/>
      <c r="N39" s="614"/>
      <c r="O39" s="614"/>
      <c r="P39" s="758">
        <f>SUM(L39:O39)</f>
        <v>0</v>
      </c>
      <c r="Q39" s="614"/>
      <c r="R39" s="614"/>
      <c r="S39" s="614"/>
      <c r="T39" s="614"/>
      <c r="U39" s="758">
        <f>SUM(Q39:T39)</f>
        <v>0</v>
      </c>
      <c r="V39" s="614"/>
      <c r="W39" s="614"/>
      <c r="X39" s="614"/>
      <c r="Y39" s="614"/>
      <c r="Z39" s="758">
        <f>SUM(V39:Y39)</f>
        <v>0</v>
      </c>
      <c r="AA39" s="614"/>
      <c r="AB39" s="614"/>
      <c r="AC39" s="614"/>
      <c r="AD39" s="614"/>
      <c r="AE39" s="758">
        <f>SUM(AA39:AD39)</f>
        <v>0</v>
      </c>
      <c r="AF39" s="614"/>
      <c r="AG39" s="614"/>
      <c r="AH39" s="614"/>
      <c r="AI39" s="614"/>
      <c r="AJ39" s="758">
        <f>SUM(AF39:AI39)</f>
        <v>0</v>
      </c>
      <c r="AK39" s="614"/>
      <c r="AL39" s="614"/>
      <c r="AM39" s="614"/>
      <c r="AN39" s="614"/>
      <c r="AO39" s="758">
        <f>SUM(AK39:AN39)</f>
        <v>0</v>
      </c>
      <c r="AP39" s="614"/>
      <c r="AQ39" s="614"/>
      <c r="AR39" s="614"/>
      <c r="AS39" s="614"/>
      <c r="AT39" s="758">
        <f>SUM(AP39:AS39)</f>
        <v>0</v>
      </c>
      <c r="AU39" s="614">
        <v>4.4550000000000001</v>
      </c>
      <c r="AV39" s="614">
        <v>3.4369999999999998</v>
      </c>
      <c r="AW39" s="614">
        <v>4.0289999999999999</v>
      </c>
      <c r="AX39" s="614">
        <v>4.6130000000000004</v>
      </c>
      <c r="AY39" s="758">
        <f>SUM(AU39:AX39)</f>
        <v>16.533999999999999</v>
      </c>
      <c r="AZ39" s="614">
        <v>4.17</v>
      </c>
      <c r="BA39" s="614">
        <v>4.6840000000000002</v>
      </c>
      <c r="BB39" s="614">
        <v>4.84</v>
      </c>
      <c r="BC39" s="614">
        <v>8.9589999999999996</v>
      </c>
      <c r="BD39" s="758">
        <f>SUM(AZ39:BC39)</f>
        <v>22.652999999999999</v>
      </c>
      <c r="BE39" s="614">
        <v>7.9550000000000001</v>
      </c>
      <c r="BF39" s="614">
        <v>9.5619999999999994</v>
      </c>
      <c r="BG39" s="614">
        <v>5.5350000000000001</v>
      </c>
      <c r="BH39" s="614">
        <v>7.5510000000000002</v>
      </c>
      <c r="BI39" s="758">
        <f>SUM(BE39:BH39)</f>
        <v>30.603000000000002</v>
      </c>
      <c r="BJ39" s="614">
        <v>8.26</v>
      </c>
      <c r="BK39" s="614">
        <v>5.5129999999999999</v>
      </c>
      <c r="BL39" s="614">
        <v>7.5170000000000003</v>
      </c>
      <c r="BM39" s="614">
        <v>9.3949999999999996</v>
      </c>
      <c r="BN39" s="758">
        <f>SUM(BJ39:BM39)</f>
        <v>30.684999999999999</v>
      </c>
      <c r="BO39" s="614">
        <v>10.278</v>
      </c>
      <c r="BP39" s="614">
        <v>10.618</v>
      </c>
      <c r="BQ39" s="614">
        <v>11.259</v>
      </c>
      <c r="BR39" s="614">
        <v>11.682</v>
      </c>
      <c r="BS39" s="758">
        <f>SUM(BO39:BR39)</f>
        <v>43.837000000000003</v>
      </c>
      <c r="BT39" s="614">
        <v>12.577999999999999</v>
      </c>
      <c r="BU39" s="614">
        <v>20.016999999999999</v>
      </c>
      <c r="BV39" s="614">
        <v>20.51</v>
      </c>
      <c r="BW39" s="614">
        <v>21.87</v>
      </c>
      <c r="BX39" s="758">
        <f>SUM(BT39:BW39)</f>
        <v>74.975000000000009</v>
      </c>
      <c r="BY39" s="614">
        <v>26.771999999999998</v>
      </c>
      <c r="BZ39" s="614">
        <v>22.114000000000001</v>
      </c>
      <c r="CA39" s="614">
        <v>18.372</v>
      </c>
      <c r="CB39" s="614">
        <f>23.324</f>
        <v>23.324000000000002</v>
      </c>
      <c r="CC39" s="758">
        <f>SUM(BY39:CB39)</f>
        <v>90.581999999999994</v>
      </c>
      <c r="CD39" s="614">
        <v>24.545999999999999</v>
      </c>
      <c r="CE39" s="614">
        <v>25.669</v>
      </c>
      <c r="CF39" s="614">
        <v>22.568000000000001</v>
      </c>
      <c r="CG39" s="757">
        <v>26.91</v>
      </c>
      <c r="CH39" s="758">
        <f>SUM(CD39:CG39)</f>
        <v>99.692999999999998</v>
      </c>
      <c r="CI39" s="757">
        <f>35.8-CI28</f>
        <v>29.462999999999997</v>
      </c>
      <c r="CJ39" s="614">
        <f>33.5-CJ28</f>
        <v>27.015000000000001</v>
      </c>
      <c r="CK39" s="614">
        <f>31.3-CK28</f>
        <v>24.468</v>
      </c>
      <c r="CL39" s="757">
        <f>34.2-CL28</f>
        <v>27.092000000000002</v>
      </c>
      <c r="CM39" s="758">
        <f>SUM(CI39:CL39)</f>
        <v>108.038</v>
      </c>
      <c r="CN39" s="757">
        <v>36.4</v>
      </c>
      <c r="CO39" s="614">
        <v>40.9</v>
      </c>
      <c r="CP39" s="614">
        <v>36</v>
      </c>
      <c r="CQ39" s="757">
        <f>50-CQ28</f>
        <v>38.799999999999997</v>
      </c>
      <c r="CR39" s="758">
        <f>SUM(CN39:CQ39)</f>
        <v>152.1</v>
      </c>
      <c r="CS39" s="757">
        <v>40.9</v>
      </c>
      <c r="CT39" s="614">
        <v>49.3</v>
      </c>
      <c r="CU39" s="614">
        <v>36</v>
      </c>
      <c r="CV39" s="757">
        <v>38</v>
      </c>
      <c r="CW39" s="758">
        <f>SUM(CS39:CV39)</f>
        <v>164.2</v>
      </c>
      <c r="CX39" s="757">
        <v>39</v>
      </c>
      <c r="CY39" s="757">
        <v>42</v>
      </c>
      <c r="CZ39" s="757">
        <v>39</v>
      </c>
      <c r="DA39" s="1087">
        <v>46</v>
      </c>
      <c r="DB39" s="758">
        <f>SUM(CX39:DA39)</f>
        <v>166</v>
      </c>
      <c r="DC39" s="610">
        <f>DC40*DC22</f>
        <v>38.716250000000002</v>
      </c>
      <c r="DD39" s="610">
        <f>DD40*DD22</f>
        <v>40.090800000000002</v>
      </c>
      <c r="DE39" s="610">
        <f>DE40*DE22</f>
        <v>40.998800000000003</v>
      </c>
      <c r="DF39" s="610">
        <f>DF40*DF22</f>
        <v>41.685400000000001</v>
      </c>
      <c r="DG39" s="758">
        <f>SUM(DC39:DF39)</f>
        <v>161.49125000000001</v>
      </c>
      <c r="DH39" s="610">
        <f>DH40*DH22</f>
        <v>41.789726250000001</v>
      </c>
      <c r="DI39" s="610">
        <f>DI40*DI22</f>
        <v>43.289218499999997</v>
      </c>
      <c r="DJ39" s="610">
        <f>DJ40*DJ22</f>
        <v>44.274560500000007</v>
      </c>
      <c r="DK39" s="610">
        <f>DK40*DK22</f>
        <v>44.967694000000009</v>
      </c>
      <c r="DL39" s="758">
        <f>SUM(DH39:DK39)</f>
        <v>174.32119925000001</v>
      </c>
      <c r="DM39" s="610">
        <f>DM40*DM22</f>
        <v>45.150572531249999</v>
      </c>
      <c r="DN39" s="610">
        <f>DN40*DN22</f>
        <v>46.663784580000012</v>
      </c>
      <c r="DO39" s="610">
        <f>DO40*DO22</f>
        <v>47.795545542500008</v>
      </c>
      <c r="DP39" s="610">
        <f>DP40*DP22</f>
        <v>48.490231840000007</v>
      </c>
      <c r="DQ39" s="758">
        <f>SUM(DM39:DP39)</f>
        <v>188.10013449375003</v>
      </c>
      <c r="DR39" s="623"/>
      <c r="DS39" s="558"/>
      <c r="DT39"/>
      <c r="DU39"/>
      <c r="DV39"/>
      <c r="DW39"/>
      <c r="DX39"/>
      <c r="DY39"/>
    </row>
    <row r="40" spans="1:129" s="619" customFormat="1" hidden="1" outlineLevel="1">
      <c r="A40" s="621"/>
      <c r="B40" s="572"/>
      <c r="C40" s="607" t="s">
        <v>325</v>
      </c>
      <c r="D40" s="612"/>
      <c r="E40" s="612"/>
      <c r="F40" s="607"/>
      <c r="G40" s="572"/>
      <c r="H40" s="607"/>
      <c r="I40" s="607"/>
      <c r="J40" s="608"/>
      <c r="K40" s="617">
        <f>K39/K37</f>
        <v>0</v>
      </c>
      <c r="L40" s="572"/>
      <c r="M40" s="607"/>
      <c r="N40" s="607"/>
      <c r="O40" s="607"/>
      <c r="P40" s="759">
        <f>P39/P37</f>
        <v>0</v>
      </c>
      <c r="Q40" s="607"/>
      <c r="R40" s="607"/>
      <c r="S40" s="607"/>
      <c r="T40" s="607"/>
      <c r="U40" s="759">
        <f>U39/U37</f>
        <v>0</v>
      </c>
      <c r="V40" s="607"/>
      <c r="W40" s="607"/>
      <c r="X40" s="607"/>
      <c r="Y40" s="607"/>
      <c r="Z40" s="759">
        <f t="shared" ref="Z40:BE40" si="147">Z39/Z37</f>
        <v>0</v>
      </c>
      <c r="AA40" s="612">
        <f t="shared" si="147"/>
        <v>0</v>
      </c>
      <c r="AB40" s="612">
        <f t="shared" si="147"/>
        <v>0</v>
      </c>
      <c r="AC40" s="612">
        <f t="shared" si="147"/>
        <v>0</v>
      </c>
      <c r="AD40" s="612">
        <f t="shared" si="147"/>
        <v>0</v>
      </c>
      <c r="AE40" s="759">
        <f t="shared" si="147"/>
        <v>0</v>
      </c>
      <c r="AF40" s="612">
        <f t="shared" si="147"/>
        <v>0</v>
      </c>
      <c r="AG40" s="612">
        <f t="shared" si="147"/>
        <v>0</v>
      </c>
      <c r="AH40" s="612">
        <f t="shared" si="147"/>
        <v>0</v>
      </c>
      <c r="AI40" s="612">
        <f t="shared" si="147"/>
        <v>0</v>
      </c>
      <c r="AJ40" s="759">
        <f t="shared" si="147"/>
        <v>0</v>
      </c>
      <c r="AK40" s="612">
        <f t="shared" si="147"/>
        <v>0</v>
      </c>
      <c r="AL40" s="612">
        <f t="shared" si="147"/>
        <v>0</v>
      </c>
      <c r="AM40" s="612">
        <f t="shared" si="147"/>
        <v>0</v>
      </c>
      <c r="AN40" s="612">
        <f t="shared" si="147"/>
        <v>0</v>
      </c>
      <c r="AO40" s="759">
        <f t="shared" si="147"/>
        <v>0</v>
      </c>
      <c r="AP40" s="612">
        <f t="shared" si="147"/>
        <v>0</v>
      </c>
      <c r="AQ40" s="612">
        <f t="shared" si="147"/>
        <v>0</v>
      </c>
      <c r="AR40" s="612">
        <f t="shared" si="147"/>
        <v>0</v>
      </c>
      <c r="AS40" s="612">
        <f t="shared" si="147"/>
        <v>0</v>
      </c>
      <c r="AT40" s="759">
        <f t="shared" si="147"/>
        <v>0</v>
      </c>
      <c r="AU40" s="612">
        <f t="shared" si="147"/>
        <v>7.537688442211056E-2</v>
      </c>
      <c r="AV40" s="612">
        <f t="shared" si="147"/>
        <v>4.6905493005800068E-2</v>
      </c>
      <c r="AW40" s="612">
        <f t="shared" si="147"/>
        <v>4.7964285714285716E-2</v>
      </c>
      <c r="AX40" s="612">
        <f t="shared" si="147"/>
        <v>4.7593009099725567E-2</v>
      </c>
      <c r="AY40" s="759">
        <f t="shared" si="147"/>
        <v>5.2773025559839648E-2</v>
      </c>
      <c r="AZ40" s="612">
        <f t="shared" si="147"/>
        <v>4.0857918303759518E-2</v>
      </c>
      <c r="BA40" s="612">
        <f t="shared" si="147"/>
        <v>4.2216453962073693E-2</v>
      </c>
      <c r="BB40" s="612">
        <f t="shared" si="147"/>
        <v>4.1227980510409212E-2</v>
      </c>
      <c r="BC40" s="612">
        <f t="shared" si="147"/>
        <v>7.3521808707069883E-2</v>
      </c>
      <c r="BD40" s="759">
        <f t="shared" si="147"/>
        <v>5.0088001698123219E-2</v>
      </c>
      <c r="BE40" s="612">
        <f t="shared" si="147"/>
        <v>5.8946884818305768E-2</v>
      </c>
      <c r="BF40" s="612">
        <f t="shared" ref="BF40:CK40" si="148">BF39/BF37</f>
        <v>6.3439618911136766E-2</v>
      </c>
      <c r="BG40" s="612">
        <f t="shared" si="148"/>
        <v>3.5363796672544662E-2</v>
      </c>
      <c r="BH40" s="612">
        <f t="shared" si="148"/>
        <v>4.7858383298051699E-2</v>
      </c>
      <c r="BI40" s="759">
        <f t="shared" si="148"/>
        <v>5.1007380344416077E-2</v>
      </c>
      <c r="BJ40" s="612">
        <f t="shared" si="148"/>
        <v>5.357930515554863E-2</v>
      </c>
      <c r="BK40" s="612">
        <f t="shared" si="148"/>
        <v>3.4381041471780484E-2</v>
      </c>
      <c r="BL40" s="612">
        <f t="shared" si="148"/>
        <v>4.1027852218953477E-2</v>
      </c>
      <c r="BM40" s="612">
        <f t="shared" si="148"/>
        <v>5.2820365778924704E-2</v>
      </c>
      <c r="BN40" s="759">
        <f t="shared" si="148"/>
        <v>4.5419021370696776E-2</v>
      </c>
      <c r="BO40" s="612">
        <f t="shared" si="148"/>
        <v>5.6769475498210424E-2</v>
      </c>
      <c r="BP40" s="612">
        <f t="shared" si="148"/>
        <v>4.8141750205162391E-2</v>
      </c>
      <c r="BQ40" s="612">
        <f t="shared" si="148"/>
        <v>4.5303653987759686E-2</v>
      </c>
      <c r="BR40" s="612">
        <f t="shared" si="148"/>
        <v>4.4086179763832126E-2</v>
      </c>
      <c r="BS40" s="759">
        <f t="shared" si="148"/>
        <v>4.7903583070432049E-2</v>
      </c>
      <c r="BT40" s="612">
        <f t="shared" si="148"/>
        <v>4.4878953847251706E-2</v>
      </c>
      <c r="BU40" s="612">
        <f t="shared" si="148"/>
        <v>6.605420424433818E-2</v>
      </c>
      <c r="BV40" s="612">
        <f t="shared" si="148"/>
        <v>6.2404727059188654E-2</v>
      </c>
      <c r="BW40" s="612">
        <f t="shared" si="148"/>
        <v>6.6989720278863477E-2</v>
      </c>
      <c r="BX40" s="759">
        <f t="shared" si="148"/>
        <v>6.0540214932903111E-2</v>
      </c>
      <c r="BY40" s="612">
        <f t="shared" si="148"/>
        <v>7.9565143738539401E-2</v>
      </c>
      <c r="BZ40" s="612">
        <f t="shared" si="148"/>
        <v>5.9885396130765399E-2</v>
      </c>
      <c r="CA40" s="612">
        <f t="shared" si="148"/>
        <v>5.1059997998955005E-2</v>
      </c>
      <c r="CB40" s="612">
        <f t="shared" si="148"/>
        <v>6.3233177084886558E-2</v>
      </c>
      <c r="CC40" s="759">
        <f t="shared" si="148"/>
        <v>6.3148868532229049E-2</v>
      </c>
      <c r="CD40" s="612">
        <f t="shared" si="148"/>
        <v>6.5029923938355896E-2</v>
      </c>
      <c r="CE40" s="612">
        <f t="shared" si="148"/>
        <v>6.6780790734096998E-2</v>
      </c>
      <c r="CF40" s="612">
        <f t="shared" si="148"/>
        <v>5.4878864293478401E-2</v>
      </c>
      <c r="CG40" s="612">
        <f t="shared" si="148"/>
        <v>6.5356778549570116E-2</v>
      </c>
      <c r="CH40" s="759">
        <f t="shared" si="148"/>
        <v>6.2905451578646479E-2</v>
      </c>
      <c r="CI40" s="612">
        <f t="shared" si="148"/>
        <v>6.671950542918284E-2</v>
      </c>
      <c r="CJ40" s="612">
        <f t="shared" si="148"/>
        <v>6.1135815879697207E-2</v>
      </c>
      <c r="CK40" s="612">
        <f t="shared" si="148"/>
        <v>5.3212242208347194E-2</v>
      </c>
      <c r="CL40" s="612">
        <f t="shared" ref="CL40:CU40" si="149">CL39/CL37</f>
        <v>5.3067252733476726E-2</v>
      </c>
      <c r="CM40" s="759">
        <f t="shared" si="149"/>
        <v>5.8278550086550966E-2</v>
      </c>
      <c r="CN40" s="612">
        <f t="shared" si="149"/>
        <v>6.3370473537604458E-2</v>
      </c>
      <c r="CO40" s="612">
        <f t="shared" si="149"/>
        <v>7.161617930309927E-2</v>
      </c>
      <c r="CP40" s="612">
        <f t="shared" si="149"/>
        <v>6.090340043985789E-2</v>
      </c>
      <c r="CQ40" s="612">
        <f t="shared" si="149"/>
        <v>6.2590740442006756E-2</v>
      </c>
      <c r="CR40" s="759">
        <f t="shared" si="149"/>
        <v>6.4544875875238703E-2</v>
      </c>
      <c r="CS40" s="612">
        <f t="shared" si="149"/>
        <v>6.7569800099124389E-2</v>
      </c>
      <c r="CT40" s="612">
        <f t="shared" si="149"/>
        <v>8.1541515051273564E-2</v>
      </c>
      <c r="CU40" s="612">
        <f t="shared" si="149"/>
        <v>5.4176072234762979E-2</v>
      </c>
      <c r="CV40" s="612">
        <f>CV39/CV22</f>
        <v>1.097631426920855E-2</v>
      </c>
      <c r="CW40" s="759">
        <f>CW39/CW37</f>
        <v>6.3980673316708217E-2</v>
      </c>
      <c r="CX40" s="612">
        <f>CX39/CX22</f>
        <v>1.0998307952622674E-2</v>
      </c>
      <c r="CY40" s="612">
        <f>CY39/CY22</f>
        <v>1.1444141689373298E-2</v>
      </c>
      <c r="CZ40" s="612">
        <f>CZ39/CZ22</f>
        <v>1.0355815188528943E-2</v>
      </c>
      <c r="DA40" s="612">
        <f>DA39/DA22</f>
        <v>1.2016718913270637E-2</v>
      </c>
      <c r="DB40" s="759">
        <f>DB39/DB37</f>
        <v>6.377257011140991E-2</v>
      </c>
      <c r="DC40" s="741">
        <v>0.01</v>
      </c>
      <c r="DD40" s="741">
        <v>0.01</v>
      </c>
      <c r="DE40" s="741">
        <v>0.01</v>
      </c>
      <c r="DF40" s="741">
        <v>0.01</v>
      </c>
      <c r="DG40" s="759">
        <f>DG39/DG37</f>
        <v>6.0363616111081056E-2</v>
      </c>
      <c r="DH40" s="741">
        <v>0.01</v>
      </c>
      <c r="DI40" s="741">
        <v>0.01</v>
      </c>
      <c r="DJ40" s="741">
        <v>0.01</v>
      </c>
      <c r="DK40" s="741">
        <v>0.01</v>
      </c>
      <c r="DL40" s="759">
        <f>DL39/DL37</f>
        <v>6.2216995567120702E-2</v>
      </c>
      <c r="DM40" s="741">
        <v>0.01</v>
      </c>
      <c r="DN40" s="741">
        <v>0.01</v>
      </c>
      <c r="DO40" s="741">
        <v>0.01</v>
      </c>
      <c r="DP40" s="741">
        <v>0.01</v>
      </c>
      <c r="DQ40" s="759">
        <f>DQ39/DQ37</f>
        <v>6.2216855358725551E-2</v>
      </c>
      <c r="DR40" s="623"/>
      <c r="DS40" s="558"/>
      <c r="DT40"/>
      <c r="DU40"/>
      <c r="DV40"/>
      <c r="DW40"/>
      <c r="DX40"/>
      <c r="DY40"/>
    </row>
    <row r="41" spans="1:129" s="619" customFormat="1" ht="11.25" hidden="1" customHeight="1" outlineLevel="1">
      <c r="A41" s="621"/>
      <c r="B41" s="572"/>
      <c r="C41" s="607" t="s">
        <v>326</v>
      </c>
      <c r="D41" s="607"/>
      <c r="E41" s="607"/>
      <c r="F41" s="607"/>
      <c r="G41" s="613"/>
      <c r="H41" s="614"/>
      <c r="I41" s="614"/>
      <c r="J41" s="615"/>
      <c r="K41" s="609"/>
      <c r="L41" s="613"/>
      <c r="M41" s="614"/>
      <c r="N41" s="614"/>
      <c r="O41" s="614"/>
      <c r="P41" s="758"/>
      <c r="Q41" s="614"/>
      <c r="R41" s="614"/>
      <c r="S41" s="614"/>
      <c r="T41" s="614"/>
      <c r="U41" s="758"/>
      <c r="V41" s="614"/>
      <c r="W41" s="614"/>
      <c r="X41" s="614"/>
      <c r="Y41" s="614"/>
      <c r="Z41" s="758"/>
      <c r="AA41" s="614"/>
      <c r="AB41" s="614"/>
      <c r="AC41" s="614"/>
      <c r="AD41" s="614"/>
      <c r="AE41" s="758"/>
      <c r="AF41" s="614"/>
      <c r="AG41" s="614"/>
      <c r="AH41" s="614"/>
      <c r="AI41" s="614"/>
      <c r="AJ41" s="758"/>
      <c r="AK41" s="614"/>
      <c r="AL41" s="614"/>
      <c r="AM41" s="614"/>
      <c r="AN41" s="614"/>
      <c r="AO41" s="758"/>
      <c r="AP41" s="614"/>
      <c r="AQ41" s="614"/>
      <c r="AR41" s="614"/>
      <c r="AS41" s="614"/>
      <c r="AT41" s="758"/>
      <c r="AU41" s="614"/>
      <c r="AV41" s="614"/>
      <c r="AW41" s="614"/>
      <c r="AX41" s="614"/>
      <c r="AY41" s="758"/>
      <c r="AZ41" s="614"/>
      <c r="BA41" s="614"/>
      <c r="BB41" s="614"/>
      <c r="BC41" s="614"/>
      <c r="BD41" s="758"/>
      <c r="BE41" s="614"/>
      <c r="BF41" s="614"/>
      <c r="BG41" s="614"/>
      <c r="BH41" s="614"/>
      <c r="BI41" s="758"/>
      <c r="BJ41" s="614"/>
      <c r="BK41" s="614"/>
      <c r="BL41" s="614"/>
      <c r="BM41" s="614"/>
      <c r="BN41" s="758"/>
      <c r="BO41" s="614"/>
      <c r="BP41" s="614"/>
      <c r="BQ41" s="614"/>
      <c r="BR41" s="614"/>
      <c r="BS41" s="758"/>
      <c r="BT41" s="614"/>
      <c r="BU41" s="614"/>
      <c r="BV41" s="614"/>
      <c r="BW41" s="614"/>
      <c r="BX41" s="758"/>
      <c r="BY41" s="614"/>
      <c r="BZ41" s="614"/>
      <c r="CA41" s="614"/>
      <c r="CB41" s="614"/>
      <c r="CC41" s="758"/>
      <c r="CD41" s="614"/>
      <c r="CE41" s="614"/>
      <c r="CF41" s="614"/>
      <c r="CG41" s="757"/>
      <c r="CH41" s="758"/>
      <c r="CI41" s="757"/>
      <c r="CJ41" s="614"/>
      <c r="CK41" s="614"/>
      <c r="CL41" s="757"/>
      <c r="CM41" s="758"/>
      <c r="CN41" s="757">
        <v>610.79999999999995</v>
      </c>
      <c r="CO41" s="614">
        <v>612</v>
      </c>
      <c r="CP41" s="614">
        <v>627.1</v>
      </c>
      <c r="CQ41" s="757">
        <v>658.7</v>
      </c>
      <c r="CR41" s="758">
        <f>SUM(CN41:CQ41)</f>
        <v>2508.6000000000004</v>
      </c>
      <c r="CS41" s="757">
        <v>646.20000000000005</v>
      </c>
      <c r="CT41" s="614">
        <v>653.9</v>
      </c>
      <c r="CU41" s="757">
        <v>700.5</v>
      </c>
      <c r="CV41" s="757">
        <v>730</v>
      </c>
      <c r="CW41" s="758">
        <f>SUM(CS41:CV41)</f>
        <v>2730.6</v>
      </c>
      <c r="CX41" s="757">
        <v>686</v>
      </c>
      <c r="CY41" s="757">
        <v>709</v>
      </c>
      <c r="CZ41" s="757">
        <v>674</v>
      </c>
      <c r="DA41" s="610">
        <v>700</v>
      </c>
      <c r="DB41" s="758">
        <f>SUM(CX41:DA41)</f>
        <v>2769</v>
      </c>
      <c r="DC41" s="610">
        <f t="shared" ref="DC41:DK41" si="150">DC37+DC39</f>
        <v>696.89250000000015</v>
      </c>
      <c r="DD41" s="610">
        <f t="shared" si="150"/>
        <v>709.60716000000002</v>
      </c>
      <c r="DE41" s="610">
        <f t="shared" si="150"/>
        <v>717.47900000000004</v>
      </c>
      <c r="DF41" s="610">
        <f t="shared" si="150"/>
        <v>712.82033999999999</v>
      </c>
      <c r="DG41" s="758">
        <f>SUM(DC41:DF41)</f>
        <v>2836.799</v>
      </c>
      <c r="DH41" s="610">
        <f t="shared" si="150"/>
        <v>718.78329150000013</v>
      </c>
      <c r="DI41" s="610">
        <f t="shared" si="150"/>
        <v>740.24563634999993</v>
      </c>
      <c r="DJ41" s="610">
        <f t="shared" si="150"/>
        <v>752.66752850000012</v>
      </c>
      <c r="DK41" s="610">
        <f t="shared" si="150"/>
        <v>764.45079800000019</v>
      </c>
      <c r="DL41" s="758">
        <f>SUM(DH41:DK41)</f>
        <v>2976.1472543500004</v>
      </c>
      <c r="DM41" s="610">
        <f t="shared" ref="DM41:DP41" si="151">DM37+DM39</f>
        <v>776.58984753749996</v>
      </c>
      <c r="DN41" s="610">
        <f t="shared" si="151"/>
        <v>797.9507163180001</v>
      </c>
      <c r="DO41" s="610">
        <f t="shared" si="151"/>
        <v>812.52427422250014</v>
      </c>
      <c r="DP41" s="610">
        <f t="shared" si="151"/>
        <v>824.33394128000009</v>
      </c>
      <c r="DQ41" s="758">
        <f>SUM(DM41:DP41)</f>
        <v>3211.3987793580004</v>
      </c>
      <c r="DR41" s="623"/>
      <c r="DS41" s="558"/>
      <c r="DT41"/>
      <c r="DU41"/>
      <c r="DV41"/>
      <c r="DW41"/>
      <c r="DX41"/>
      <c r="DY41"/>
    </row>
    <row r="42" spans="1:129" s="619" customFormat="1" ht="11.25" customHeight="1" collapsed="1">
      <c r="A42" s="621"/>
      <c r="B42" s="623"/>
      <c r="C42" s="558"/>
      <c r="D42" s="558"/>
      <c r="E42" s="558"/>
      <c r="F42" s="558"/>
      <c r="G42" s="624"/>
      <c r="H42" s="552"/>
      <c r="I42" s="552"/>
      <c r="J42" s="625"/>
      <c r="K42" s="577"/>
      <c r="L42" s="624"/>
      <c r="M42" s="552"/>
      <c r="N42" s="552"/>
      <c r="O42" s="552"/>
      <c r="P42" s="667"/>
      <c r="Q42" s="552"/>
      <c r="R42" s="552"/>
      <c r="S42" s="552"/>
      <c r="T42" s="552"/>
      <c r="U42" s="667"/>
      <c r="V42" s="552"/>
      <c r="W42" s="552"/>
      <c r="X42" s="552"/>
      <c r="Y42" s="552"/>
      <c r="Z42" s="667"/>
      <c r="AA42" s="552"/>
      <c r="AB42" s="552"/>
      <c r="AC42" s="552"/>
      <c r="AD42" s="552"/>
      <c r="AE42" s="667"/>
      <c r="AF42" s="552"/>
      <c r="AG42" s="552"/>
      <c r="AH42" s="552"/>
      <c r="AI42" s="552"/>
      <c r="AJ42" s="667"/>
      <c r="AK42" s="552"/>
      <c r="AL42" s="552"/>
      <c r="AM42" s="552"/>
      <c r="AN42" s="552"/>
      <c r="AO42" s="667"/>
      <c r="AP42" s="552"/>
      <c r="AQ42" s="552"/>
      <c r="AR42" s="552"/>
      <c r="AS42" s="552"/>
      <c r="AT42" s="667"/>
      <c r="AU42" s="552"/>
      <c r="AV42" s="552"/>
      <c r="AW42" s="552"/>
      <c r="AX42" s="552"/>
      <c r="AY42" s="667"/>
      <c r="AZ42" s="552"/>
      <c r="BA42" s="552"/>
      <c r="BB42" s="552"/>
      <c r="BC42" s="552"/>
      <c r="BD42" s="667"/>
      <c r="BE42" s="552"/>
      <c r="BF42" s="552"/>
      <c r="BG42" s="552"/>
      <c r="BH42" s="552"/>
      <c r="BI42" s="667"/>
      <c r="BJ42" s="552"/>
      <c r="BK42" s="552"/>
      <c r="BL42" s="552"/>
      <c r="BM42" s="552"/>
      <c r="BN42" s="667"/>
      <c r="BO42" s="552"/>
      <c r="BP42" s="552"/>
      <c r="BQ42" s="552"/>
      <c r="BR42" s="552"/>
      <c r="BS42" s="667"/>
      <c r="BT42" s="552"/>
      <c r="BU42" s="552"/>
      <c r="BV42" s="552"/>
      <c r="BW42" s="552"/>
      <c r="BX42" s="667"/>
      <c r="BY42" s="552"/>
      <c r="BZ42" s="552"/>
      <c r="CA42" s="552"/>
      <c r="CB42" s="552"/>
      <c r="CC42" s="667"/>
      <c r="CD42" s="552"/>
      <c r="CE42" s="552"/>
      <c r="CF42" s="552"/>
      <c r="CG42" s="543"/>
      <c r="CH42" s="667"/>
      <c r="CI42" s="543"/>
      <c r="CJ42" s="552"/>
      <c r="CK42" s="552"/>
      <c r="CL42" s="543"/>
      <c r="CM42" s="667"/>
      <c r="CN42" s="543"/>
      <c r="CO42" s="552"/>
      <c r="CP42" s="552"/>
      <c r="CQ42" s="543"/>
      <c r="CR42" s="667"/>
      <c r="CS42" s="1058"/>
      <c r="CT42" s="552"/>
      <c r="CU42" s="543"/>
      <c r="CV42" s="543"/>
      <c r="CW42" s="667"/>
      <c r="CX42" s="1058"/>
      <c r="CY42" s="578"/>
      <c r="CZ42" s="578"/>
      <c r="DA42" s="578"/>
      <c r="DB42" s="667"/>
      <c r="DC42" s="578"/>
      <c r="DD42" s="578"/>
      <c r="DE42" s="578"/>
      <c r="DF42" s="578"/>
      <c r="DG42" s="667"/>
      <c r="DH42" s="578"/>
      <c r="DI42" s="578"/>
      <c r="DJ42" s="578"/>
      <c r="DK42" s="578"/>
      <c r="DL42" s="667"/>
      <c r="DM42" s="578"/>
      <c r="DN42" s="578"/>
      <c r="DO42" s="578"/>
      <c r="DP42" s="578"/>
      <c r="DQ42" s="667"/>
      <c r="DR42" s="623"/>
      <c r="DS42" s="558"/>
      <c r="DT42"/>
      <c r="DU42"/>
      <c r="DV42"/>
      <c r="DW42"/>
      <c r="DX42"/>
      <c r="DY42"/>
    </row>
    <row r="43" spans="1:129" s="619" customFormat="1" ht="11.25" customHeight="1">
      <c r="A43" s="621"/>
      <c r="B43" s="620" t="s">
        <v>11</v>
      </c>
      <c r="C43" s="636"/>
      <c r="D43" s="636"/>
      <c r="E43" s="636"/>
      <c r="F43" s="637"/>
      <c r="G43" s="630">
        <v>0.48</v>
      </c>
      <c r="H43" s="631">
        <v>0.53500000000000003</v>
      </c>
      <c r="I43" s="631">
        <v>0.58599999999999997</v>
      </c>
      <c r="J43" s="632">
        <v>0.621</v>
      </c>
      <c r="K43" s="586">
        <f>SUM(G43:J43)</f>
        <v>2.222</v>
      </c>
      <c r="L43" s="630">
        <v>0.63100000000000001</v>
      </c>
      <c r="M43" s="631">
        <v>0.71</v>
      </c>
      <c r="N43" s="631">
        <v>0.80800000000000005</v>
      </c>
      <c r="O43" s="631">
        <v>0.8879999999999999</v>
      </c>
      <c r="P43" s="737">
        <f>SUM(L43:O43)</f>
        <v>3.0369999999999999</v>
      </c>
      <c r="Q43" s="631">
        <v>0.97099999999999997</v>
      </c>
      <c r="R43" s="631">
        <v>1.026</v>
      </c>
      <c r="S43" s="631">
        <v>1.2450000000000001</v>
      </c>
      <c r="T43" s="631">
        <v>1.2649999999999999</v>
      </c>
      <c r="U43" s="737">
        <f>SUM(Q43:T43)</f>
        <v>4.5069999999999997</v>
      </c>
      <c r="V43" s="631">
        <v>1.4379999999999999</v>
      </c>
      <c r="W43" s="631">
        <v>1.4990000000000001</v>
      </c>
      <c r="X43" s="631">
        <v>1.629</v>
      </c>
      <c r="Y43" s="631">
        <v>1.802</v>
      </c>
      <c r="Z43" s="737">
        <f>SUM(V43:Y43)</f>
        <v>6.3680000000000003</v>
      </c>
      <c r="AA43" s="631">
        <v>1.927</v>
      </c>
      <c r="AB43" s="631">
        <v>1.7470000000000001</v>
      </c>
      <c r="AC43" s="631">
        <v>2.0049999999999999</v>
      </c>
      <c r="AD43" s="631">
        <v>2.1629999999999998</v>
      </c>
      <c r="AE43" s="737">
        <f>SUM(AA43:AD43)</f>
        <v>7.8420000000000005</v>
      </c>
      <c r="AF43" s="631">
        <v>2.6219999999999999</v>
      </c>
      <c r="AG43" s="631">
        <v>2.7669999999999999</v>
      </c>
      <c r="AH43" s="631">
        <v>3.008</v>
      </c>
      <c r="AI43" s="631">
        <v>3.5390000000000001</v>
      </c>
      <c r="AJ43" s="737">
        <f>SUM(AF43:AI43)</f>
        <v>11.935999999999998</v>
      </c>
      <c r="AK43" s="631">
        <v>3.8650000000000002</v>
      </c>
      <c r="AL43" s="631">
        <v>3.8279999999999998</v>
      </c>
      <c r="AM43" s="631">
        <v>4.0830000000000002</v>
      </c>
      <c r="AN43" s="631">
        <v>4.6710000000000003</v>
      </c>
      <c r="AO43" s="737">
        <f>SUM(AK43:AN43)</f>
        <v>16.446999999999999</v>
      </c>
      <c r="AP43" s="631">
        <v>5.09</v>
      </c>
      <c r="AQ43" s="631">
        <v>5.4489999999999998</v>
      </c>
      <c r="AR43" s="631">
        <v>5.5810000000000004</v>
      </c>
      <c r="AS43" s="631">
        <v>5.28</v>
      </c>
      <c r="AT43" s="737">
        <f>SUM(AP43:AS43)</f>
        <v>21.400000000000002</v>
      </c>
      <c r="AU43" s="631">
        <v>7.03</v>
      </c>
      <c r="AV43" s="631">
        <v>7.8010000000000002</v>
      </c>
      <c r="AW43" s="631">
        <v>8.8610000000000007</v>
      </c>
      <c r="AX43" s="631">
        <v>10.471</v>
      </c>
      <c r="AY43" s="737">
        <f>SUM(AU43:AX43)</f>
        <v>34.162999999999997</v>
      </c>
      <c r="AZ43" s="631">
        <v>12.26</v>
      </c>
      <c r="BA43" s="631">
        <v>13.053000000000001</v>
      </c>
      <c r="BB43" s="631">
        <v>13.87</v>
      </c>
      <c r="BC43" s="631">
        <v>14.734999999999999</v>
      </c>
      <c r="BD43" s="737">
        <f>SUM(AZ43:BC43)</f>
        <v>53.917999999999999</v>
      </c>
      <c r="BE43" s="631">
        <v>16.292999999999999</v>
      </c>
      <c r="BF43" s="631">
        <v>17.777000000000001</v>
      </c>
      <c r="BG43" s="631">
        <v>19.474</v>
      </c>
      <c r="BH43" s="631">
        <v>21.253</v>
      </c>
      <c r="BI43" s="737">
        <f>SUM(BE43:BH43)</f>
        <v>74.796999999999997</v>
      </c>
      <c r="BJ43" s="631">
        <v>21.152000000000001</v>
      </c>
      <c r="BK43" s="631">
        <v>21.579000000000001</v>
      </c>
      <c r="BL43" s="631">
        <v>22.300999999999998</v>
      </c>
      <c r="BM43" s="631">
        <v>24.338999999999999</v>
      </c>
      <c r="BN43" s="737">
        <f>SUM(BJ43:BM43)</f>
        <v>89.370999999999995</v>
      </c>
      <c r="BO43" s="631">
        <v>25.806000000000001</v>
      </c>
      <c r="BP43" s="631">
        <v>23.672999999999998</v>
      </c>
      <c r="BQ43" s="631">
        <v>26.359000000000002</v>
      </c>
      <c r="BR43" s="631">
        <v>28.036999999999999</v>
      </c>
      <c r="BS43" s="737">
        <f>SUM(BO43:BR43)</f>
        <v>103.875</v>
      </c>
      <c r="BT43" s="631">
        <v>27.382000000000001</v>
      </c>
      <c r="BU43" s="631">
        <v>27.695</v>
      </c>
      <c r="BV43" s="631">
        <v>29.905000000000001</v>
      </c>
      <c r="BW43" s="631">
        <v>32.418999999999997</v>
      </c>
      <c r="BX43" s="737">
        <f>SUM(BT43:BW43)</f>
        <v>117.401</v>
      </c>
      <c r="BY43" s="631">
        <v>34.752000000000002</v>
      </c>
      <c r="BZ43" s="631">
        <v>35.601999999999997</v>
      </c>
      <c r="CA43" s="631">
        <v>39.453000000000003</v>
      </c>
      <c r="CB43" s="631">
        <f>39.282</f>
        <v>39.281999999999996</v>
      </c>
      <c r="CC43" s="737">
        <f>SUM(BY43:CB43)</f>
        <v>149.089</v>
      </c>
      <c r="CD43" s="631">
        <f>41.662</f>
        <v>41.661999999999999</v>
      </c>
      <c r="CE43" s="631">
        <f>41.898</f>
        <v>41.898000000000003</v>
      </c>
      <c r="CF43" s="631">
        <f>42.652</f>
        <v>42.652000000000001</v>
      </c>
      <c r="CG43" s="638">
        <f>45.989</f>
        <v>45.988999999999997</v>
      </c>
      <c r="CH43" s="737">
        <f>SUM(CD43:CG43)</f>
        <v>172.20099999999999</v>
      </c>
      <c r="CI43" s="638">
        <f>44.473</f>
        <v>44.472999999999999</v>
      </c>
      <c r="CJ43" s="631">
        <v>46.725999999999999</v>
      </c>
      <c r="CK43" s="631">
        <v>47.649000000000001</v>
      </c>
      <c r="CL43" s="638">
        <v>60.816000000000003</v>
      </c>
      <c r="CM43" s="737">
        <f>SUM(CI43:CL43)</f>
        <v>199.66400000000002</v>
      </c>
      <c r="CN43" s="638">
        <v>73.099999999999994</v>
      </c>
      <c r="CO43" s="631">
        <v>82.8</v>
      </c>
      <c r="CP43" s="631">
        <v>82.5</v>
      </c>
      <c r="CQ43" s="638">
        <v>86.8</v>
      </c>
      <c r="CR43" s="737">
        <f>SUM(CN43:CQ43)</f>
        <v>325.2</v>
      </c>
      <c r="CS43" s="638">
        <v>86.4</v>
      </c>
      <c r="CT43" s="631">
        <v>87.4</v>
      </c>
      <c r="CU43" s="638">
        <v>91.9</v>
      </c>
      <c r="CV43" s="638">
        <v>93</v>
      </c>
      <c r="CW43" s="737">
        <f>SUM(CS43:CV43)</f>
        <v>358.70000000000005</v>
      </c>
      <c r="CX43" s="1091">
        <v>96</v>
      </c>
      <c r="CY43" s="1091">
        <v>94</v>
      </c>
      <c r="CZ43" s="1091">
        <v>107</v>
      </c>
      <c r="DA43" s="1092">
        <v>111</v>
      </c>
      <c r="DB43" s="737">
        <f>SUM(CX43:DA43)</f>
        <v>408</v>
      </c>
      <c r="DC43" s="587">
        <f>DC44*DC$22</f>
        <v>106.46968750000001</v>
      </c>
      <c r="DD43" s="587">
        <f>DD44*DD$22</f>
        <v>110.2497</v>
      </c>
      <c r="DE43" s="587">
        <f>DE44*DE$22</f>
        <v>112.7467</v>
      </c>
      <c r="DF43" s="587">
        <f>DF44*DF$22</f>
        <v>114.63485</v>
      </c>
      <c r="DG43" s="737">
        <f>SUM(DC43:DF43)</f>
        <v>444.10093749999999</v>
      </c>
      <c r="DH43" s="587">
        <f>DH44*DH$22</f>
        <v>104.47431562500002</v>
      </c>
      <c r="DI43" s="587">
        <f>DI44*DI$22</f>
        <v>108.22304625</v>
      </c>
      <c r="DJ43" s="587">
        <f>DJ44*DJ$22</f>
        <v>110.68640125000002</v>
      </c>
      <c r="DK43" s="587">
        <f>DK44*DK$22</f>
        <v>112.41923500000003</v>
      </c>
      <c r="DL43" s="737">
        <f>SUM(DH43:DK43)</f>
        <v>435.80299812500004</v>
      </c>
      <c r="DM43" s="587">
        <f>DM44*DM$22</f>
        <v>112.87643132812501</v>
      </c>
      <c r="DN43" s="587">
        <f>DN44*DN$22</f>
        <v>116.65946145000004</v>
      </c>
      <c r="DO43" s="587">
        <f>DO44*DO$22</f>
        <v>119.48886385625002</v>
      </c>
      <c r="DP43" s="587">
        <f>DP44*DP$22</f>
        <v>121.22557960000002</v>
      </c>
      <c r="DQ43" s="737">
        <f>SUM(DM43:DP43)</f>
        <v>470.25033623437508</v>
      </c>
      <c r="DR43" s="623"/>
      <c r="DS43" s="558"/>
      <c r="DT43"/>
      <c r="DU43"/>
      <c r="DV43"/>
      <c r="DW43"/>
      <c r="DX43"/>
      <c r="DY43"/>
    </row>
    <row r="44" spans="1:129" s="619" customFormat="1">
      <c r="A44" s="621"/>
      <c r="B44" s="623"/>
      <c r="C44" s="558" t="s">
        <v>325</v>
      </c>
      <c r="D44" s="558"/>
      <c r="E44" s="558"/>
      <c r="F44" s="558"/>
      <c r="G44" s="639">
        <f t="shared" ref="G44:AL44" si="152">G43/G$22</f>
        <v>4.6884157061926154E-2</v>
      </c>
      <c r="H44" s="640">
        <f t="shared" si="152"/>
        <v>4.2232396589832653E-2</v>
      </c>
      <c r="I44" s="640">
        <f t="shared" si="152"/>
        <v>3.6172839506172838E-2</v>
      </c>
      <c r="J44" s="641">
        <f t="shared" si="152"/>
        <v>3.1846153846153843E-2</v>
      </c>
      <c r="K44" s="626">
        <f t="shared" si="152"/>
        <v>3.7914206736511621E-2</v>
      </c>
      <c r="L44" s="639">
        <f t="shared" si="152"/>
        <v>3.0892000391657695E-2</v>
      </c>
      <c r="M44" s="640">
        <f t="shared" si="152"/>
        <v>3.302632803051446E-2</v>
      </c>
      <c r="N44" s="640">
        <f t="shared" si="152"/>
        <v>3.5320860290260533E-2</v>
      </c>
      <c r="O44" s="640">
        <f t="shared" si="152"/>
        <v>3.684035844673083E-2</v>
      </c>
      <c r="P44" s="735">
        <f t="shared" si="152"/>
        <v>3.4160442724736798E-2</v>
      </c>
      <c r="Q44" s="640">
        <f t="shared" si="152"/>
        <v>3.5869966752862949E-2</v>
      </c>
      <c r="R44" s="640">
        <f t="shared" si="152"/>
        <v>3.2263136379359139E-2</v>
      </c>
      <c r="S44" s="640">
        <f t="shared" si="152"/>
        <v>3.3551620987953758E-2</v>
      </c>
      <c r="T44" s="640">
        <f t="shared" si="152"/>
        <v>3.08138260297664E-2</v>
      </c>
      <c r="U44" s="735">
        <f t="shared" si="152"/>
        <v>3.2890367872963046E-2</v>
      </c>
      <c r="V44" s="640">
        <f t="shared" si="152"/>
        <v>3.3130587042668871E-2</v>
      </c>
      <c r="W44" s="640">
        <f t="shared" si="152"/>
        <v>3.3009623219043847E-2</v>
      </c>
      <c r="X44" s="640">
        <f t="shared" si="152"/>
        <v>3.5800624148389082E-2</v>
      </c>
      <c r="Y44" s="640">
        <f t="shared" si="152"/>
        <v>4.1462460596856952E-2</v>
      </c>
      <c r="Z44" s="735">
        <f t="shared" si="152"/>
        <v>3.5819955225055967E-2</v>
      </c>
      <c r="AA44" s="640">
        <f t="shared" si="152"/>
        <v>4.1455124343860256E-2</v>
      </c>
      <c r="AB44" s="640">
        <f t="shared" si="152"/>
        <v>3.2138783619706394E-2</v>
      </c>
      <c r="AC44" s="640">
        <f t="shared" si="152"/>
        <v>3.274378194764261E-2</v>
      </c>
      <c r="AD44" s="640">
        <f t="shared" si="152"/>
        <v>3.2278282670009401E-2</v>
      </c>
      <c r="AE44" s="735">
        <f t="shared" si="152"/>
        <v>3.4231685917079181E-2</v>
      </c>
      <c r="AF44" s="640">
        <f t="shared" si="152"/>
        <v>3.5187073917011105E-2</v>
      </c>
      <c r="AG44" s="640">
        <f t="shared" si="152"/>
        <v>3.1642385014751959E-2</v>
      </c>
      <c r="AH44" s="640">
        <f t="shared" si="152"/>
        <v>3.0659151369367348E-2</v>
      </c>
      <c r="AI44" s="640">
        <f t="shared" si="152"/>
        <v>3.2720649420292534E-2</v>
      </c>
      <c r="AJ44" s="735">
        <f t="shared" si="152"/>
        <v>3.2414435503800597E-2</v>
      </c>
      <c r="AK44" s="640">
        <f t="shared" si="152"/>
        <v>3.2277191341528594E-2</v>
      </c>
      <c r="AL44" s="640">
        <f t="shared" si="152"/>
        <v>2.7595354637792949E-2</v>
      </c>
      <c r="AM44" s="640">
        <f t="shared" ref="AM44:BR44" si="153">AM43/AM$22</f>
        <v>2.626922903705229E-2</v>
      </c>
      <c r="AN44" s="640">
        <f t="shared" si="153"/>
        <v>2.7034222512892041E-2</v>
      </c>
      <c r="AO44" s="735">
        <f t="shared" si="153"/>
        <v>2.8034356447288352E-2</v>
      </c>
      <c r="AP44" s="640">
        <f t="shared" si="153"/>
        <v>2.801613817625398E-2</v>
      </c>
      <c r="AQ44" s="640">
        <f t="shared" si="153"/>
        <v>2.5737916310442067E-2</v>
      </c>
      <c r="AR44" s="640">
        <f t="shared" si="153"/>
        <v>2.3694891651382381E-2</v>
      </c>
      <c r="AS44" s="640">
        <f t="shared" si="153"/>
        <v>2.0552584253917833E-2</v>
      </c>
      <c r="AT44" s="735">
        <f t="shared" si="153"/>
        <v>2.4158134179244325E-2</v>
      </c>
      <c r="AU44" s="640">
        <f t="shared" si="153"/>
        <v>2.4625278917188308E-2</v>
      </c>
      <c r="AV44" s="640">
        <f t="shared" si="153"/>
        <v>2.3159638518448145E-2</v>
      </c>
      <c r="AW44" s="640">
        <f t="shared" si="153"/>
        <v>2.3471479807799279E-2</v>
      </c>
      <c r="AX44" s="640">
        <f t="shared" si="153"/>
        <v>2.4670734867940532E-2</v>
      </c>
      <c r="AY44" s="735">
        <f t="shared" si="153"/>
        <v>2.3986373341515318E-2</v>
      </c>
      <c r="AZ44" s="640">
        <f t="shared" si="153"/>
        <v>2.6636539422512869E-2</v>
      </c>
      <c r="BA44" s="640">
        <f t="shared" si="153"/>
        <v>2.5271338240589802E-2</v>
      </c>
      <c r="BB44" s="640">
        <f t="shared" si="153"/>
        <v>2.4819401721790074E-2</v>
      </c>
      <c r="BC44" s="640">
        <f t="shared" si="153"/>
        <v>2.4560134409856726E-2</v>
      </c>
      <c r="BD44" s="735">
        <f t="shared" si="153"/>
        <v>2.5247509221161302E-2</v>
      </c>
      <c r="BE44" s="640">
        <f t="shared" si="153"/>
        <v>2.533485926114824E-2</v>
      </c>
      <c r="BF44" s="640">
        <f t="shared" si="153"/>
        <v>2.5935657626559794E-2</v>
      </c>
      <c r="BG44" s="640">
        <f t="shared" si="153"/>
        <v>2.6505118915078545E-2</v>
      </c>
      <c r="BH44" s="640">
        <f t="shared" si="153"/>
        <v>2.8222748972504964E-2</v>
      </c>
      <c r="BI44" s="735">
        <f t="shared" si="153"/>
        <v>2.6558567541004094E-2</v>
      </c>
      <c r="BJ44" s="640">
        <f t="shared" si="153"/>
        <v>2.8359133459004478E-2</v>
      </c>
      <c r="BK44" s="640">
        <f t="shared" si="153"/>
        <v>2.7786791519871439E-2</v>
      </c>
      <c r="BL44" s="640">
        <f t="shared" si="153"/>
        <v>2.6129248448718664E-2</v>
      </c>
      <c r="BM44" s="640">
        <f t="shared" si="153"/>
        <v>2.6961818767924979E-2</v>
      </c>
      <c r="BN44" s="735">
        <f t="shared" si="153"/>
        <v>2.7258367206388696E-2</v>
      </c>
      <c r="BO44" s="640">
        <f t="shared" si="153"/>
        <v>2.6889092652023508E-2</v>
      </c>
      <c r="BP44" s="640">
        <f t="shared" si="153"/>
        <v>2.1420544105165432E-2</v>
      </c>
      <c r="BQ44" s="640">
        <f t="shared" si="153"/>
        <v>2.1660545988086248E-2</v>
      </c>
      <c r="BR44" s="640">
        <f t="shared" si="153"/>
        <v>2.1392459343111028E-2</v>
      </c>
      <c r="BS44" s="735">
        <f t="shared" ref="BS44:CX44" si="154">BS43/BS$22</f>
        <v>2.2618946260867714E-2</v>
      </c>
      <c r="BT44" s="640">
        <f t="shared" si="154"/>
        <v>1.9968598063231223E-2</v>
      </c>
      <c r="BU44" s="640">
        <f t="shared" si="154"/>
        <v>1.8646792913208757E-2</v>
      </c>
      <c r="BV44" s="640">
        <f t="shared" si="154"/>
        <v>1.8679487355664187E-2</v>
      </c>
      <c r="BW44" s="640">
        <f t="shared" si="154"/>
        <v>1.9486003244561692E-2</v>
      </c>
      <c r="BX44" s="735">
        <f t="shared" si="154"/>
        <v>1.9179547131293502E-2</v>
      </c>
      <c r="BY44" s="640">
        <f t="shared" si="154"/>
        <v>2.0306787218737965E-2</v>
      </c>
      <c r="BZ44" s="640">
        <f t="shared" si="154"/>
        <v>1.9831552678780315E-2</v>
      </c>
      <c r="CA44" s="640">
        <f t="shared" si="154"/>
        <v>2.0855976249783262E-2</v>
      </c>
      <c r="CB44" s="640">
        <f t="shared" si="154"/>
        <v>2.0163072350844229E-2</v>
      </c>
      <c r="CC44" s="735">
        <f t="shared" si="154"/>
        <v>2.0293958787292728E-2</v>
      </c>
      <c r="CD44" s="640">
        <f t="shared" si="154"/>
        <v>2.0617220045349768E-2</v>
      </c>
      <c r="CE44" s="640">
        <f t="shared" si="154"/>
        <v>1.9386093168736469E-2</v>
      </c>
      <c r="CF44" s="640">
        <f t="shared" si="154"/>
        <v>1.8498319182312879E-2</v>
      </c>
      <c r="CG44" s="640">
        <f t="shared" si="154"/>
        <v>1.9524192014563437E-2</v>
      </c>
      <c r="CH44" s="735">
        <f t="shared" si="154"/>
        <v>1.9472726411252771E-2</v>
      </c>
      <c r="CI44" s="640">
        <f t="shared" si="154"/>
        <v>1.8359459499625981E-2</v>
      </c>
      <c r="CJ44" s="640">
        <f t="shared" si="154"/>
        <v>1.8563470414692501E-2</v>
      </c>
      <c r="CK44" s="640">
        <f t="shared" si="154"/>
        <v>1.8461384675528061E-2</v>
      </c>
      <c r="CL44" s="640">
        <f t="shared" si="154"/>
        <v>2.217757080915897E-2</v>
      </c>
      <c r="CM44" s="735">
        <f t="shared" si="154"/>
        <v>1.9455345050674384E-2</v>
      </c>
      <c r="CN44" s="640">
        <f t="shared" si="154"/>
        <v>2.5108195369925118E-2</v>
      </c>
      <c r="CO44" s="640">
        <f t="shared" si="154"/>
        <v>2.6838676217950795E-2</v>
      </c>
      <c r="CP44" s="640">
        <f t="shared" si="154"/>
        <v>2.5886413555067465E-2</v>
      </c>
      <c r="CQ44" s="640">
        <f t="shared" si="154"/>
        <v>2.6852281515854601E-2</v>
      </c>
      <c r="CR44" s="735">
        <f t="shared" si="154"/>
        <v>2.6192010309278351E-2</v>
      </c>
      <c r="CS44" s="640">
        <f t="shared" si="154"/>
        <v>2.6983135540287324E-2</v>
      </c>
      <c r="CT44" s="640">
        <f t="shared" si="154"/>
        <v>2.5935487699931748E-2</v>
      </c>
      <c r="CU44" s="640">
        <f t="shared" si="154"/>
        <v>2.6612996640796943E-2</v>
      </c>
      <c r="CV44" s="640">
        <f t="shared" si="154"/>
        <v>2.6863084922010397E-2</v>
      </c>
      <c r="CW44" s="735">
        <f t="shared" si="154"/>
        <v>2.659578411964025E-2</v>
      </c>
      <c r="CX44" s="640">
        <f t="shared" si="154"/>
        <v>2.7072758037225041E-2</v>
      </c>
      <c r="CY44" s="640">
        <f>CY43/CY$22</f>
        <v>2.561307901907357E-2</v>
      </c>
      <c r="CZ44" s="640">
        <f>CZ43/CZ$22</f>
        <v>2.8412108337758896E-2</v>
      </c>
      <c r="DA44" s="640">
        <f>DA43/DA$22</f>
        <v>2.8996865203761754E-2</v>
      </c>
      <c r="DB44" s="735">
        <f>DB43/DB$22</f>
        <v>2.7548953409858204E-2</v>
      </c>
      <c r="DC44" s="741">
        <v>2.75E-2</v>
      </c>
      <c r="DD44" s="741">
        <v>2.75E-2</v>
      </c>
      <c r="DE44" s="741">
        <v>2.75E-2</v>
      </c>
      <c r="DF44" s="741">
        <v>2.75E-2</v>
      </c>
      <c r="DG44" s="735">
        <f>DG43/DG$22</f>
        <v>2.75E-2</v>
      </c>
      <c r="DH44" s="741">
        <v>2.5000000000000001E-2</v>
      </c>
      <c r="DI44" s="741">
        <v>2.5000000000000001E-2</v>
      </c>
      <c r="DJ44" s="741">
        <v>2.5000000000000001E-2</v>
      </c>
      <c r="DK44" s="741">
        <v>2.5000000000000001E-2</v>
      </c>
      <c r="DL44" s="735">
        <f>DL43/DL$22</f>
        <v>2.4999999999999998E-2</v>
      </c>
      <c r="DM44" s="741">
        <v>2.5000000000000001E-2</v>
      </c>
      <c r="DN44" s="741">
        <v>2.5000000000000001E-2</v>
      </c>
      <c r="DO44" s="741">
        <v>2.5000000000000001E-2</v>
      </c>
      <c r="DP44" s="741">
        <v>2.5000000000000001E-2</v>
      </c>
      <c r="DQ44" s="735">
        <f>DQ43/DQ$22</f>
        <v>2.5000000000000001E-2</v>
      </c>
      <c r="DR44" s="623"/>
      <c r="DS44" s="558"/>
      <c r="DT44"/>
      <c r="DU44"/>
      <c r="DV44"/>
      <c r="DW44"/>
      <c r="DX44"/>
      <c r="DY44"/>
    </row>
    <row r="45" spans="1:129" s="619" customFormat="1">
      <c r="A45" s="113"/>
      <c r="B45" s="111"/>
      <c r="C45" s="112"/>
      <c r="D45" s="112"/>
      <c r="E45" s="112"/>
      <c r="F45" s="112"/>
      <c r="G45" s="67"/>
      <c r="H45" s="64"/>
      <c r="I45" s="64"/>
      <c r="J45" s="76"/>
      <c r="K45" s="344"/>
      <c r="L45" s="67"/>
      <c r="M45" s="64"/>
      <c r="N45" s="64"/>
      <c r="O45" s="64"/>
      <c r="P45" s="1003"/>
      <c r="Q45" s="64"/>
      <c r="R45" s="64"/>
      <c r="S45" s="64"/>
      <c r="T45" s="64"/>
      <c r="U45" s="1003"/>
      <c r="V45" s="64"/>
      <c r="W45" s="64"/>
      <c r="X45" s="64"/>
      <c r="Y45" s="64"/>
      <c r="Z45" s="1003"/>
      <c r="AA45" s="64"/>
      <c r="AB45" s="64"/>
      <c r="AC45" s="64"/>
      <c r="AD45" s="64"/>
      <c r="AE45" s="1003"/>
      <c r="AF45" s="64"/>
      <c r="AG45" s="64"/>
      <c r="AH45" s="64"/>
      <c r="AI45" s="64"/>
      <c r="AJ45" s="1003"/>
      <c r="AK45" s="64"/>
      <c r="AL45" s="64"/>
      <c r="AM45" s="64"/>
      <c r="AN45" s="64"/>
      <c r="AO45" s="1003"/>
      <c r="AP45" s="64"/>
      <c r="AQ45" s="64"/>
      <c r="AR45" s="64"/>
      <c r="AS45" s="64"/>
      <c r="AT45" s="1003"/>
      <c r="AU45" s="64"/>
      <c r="AV45" s="64"/>
      <c r="AW45" s="64"/>
      <c r="AX45" s="64"/>
      <c r="AY45" s="1003"/>
      <c r="AZ45" s="64"/>
      <c r="BA45" s="64"/>
      <c r="BB45" s="64"/>
      <c r="BC45" s="64"/>
      <c r="BD45" s="1003"/>
      <c r="BE45" s="64"/>
      <c r="BF45" s="64"/>
      <c r="BG45" s="64"/>
      <c r="BH45" s="64"/>
      <c r="BI45" s="1003"/>
      <c r="BJ45" s="64"/>
      <c r="BK45" s="64"/>
      <c r="BL45" s="64"/>
      <c r="BM45" s="64"/>
      <c r="BN45" s="1003"/>
      <c r="BO45" s="64"/>
      <c r="BP45" s="64"/>
      <c r="BQ45" s="64"/>
      <c r="BR45" s="64"/>
      <c r="BS45" s="1003"/>
      <c r="BT45" s="64"/>
      <c r="BU45" s="64"/>
      <c r="BV45" s="64"/>
      <c r="BW45" s="64"/>
      <c r="BX45" s="1003"/>
      <c r="BY45" s="64"/>
      <c r="BZ45" s="64"/>
      <c r="CA45" s="64"/>
      <c r="CB45" s="64"/>
      <c r="CC45" s="1003"/>
      <c r="CD45" s="64"/>
      <c r="CE45" s="64"/>
      <c r="CF45" s="64"/>
      <c r="CG45" s="64"/>
      <c r="CH45" s="1003"/>
      <c r="CI45" s="64"/>
      <c r="CJ45" s="64"/>
      <c r="CK45" s="64"/>
      <c r="CL45" s="64"/>
      <c r="CM45" s="1003"/>
      <c r="CN45" s="64"/>
      <c r="CO45" s="64"/>
      <c r="CP45" s="64"/>
      <c r="CQ45" s="64"/>
      <c r="CR45" s="1003"/>
      <c r="CS45" s="64"/>
      <c r="CT45" s="64"/>
      <c r="CU45" s="64"/>
      <c r="CV45" s="64"/>
      <c r="CW45" s="1003"/>
      <c r="CX45" s="64"/>
      <c r="CY45" s="64"/>
      <c r="CZ45" s="309"/>
      <c r="DA45" s="309"/>
      <c r="DB45" s="1003"/>
      <c r="DC45" s="309"/>
      <c r="DD45" s="309"/>
      <c r="DE45" s="309"/>
      <c r="DF45" s="309"/>
      <c r="DG45" s="1003"/>
      <c r="DH45" s="309"/>
      <c r="DI45" s="309"/>
      <c r="DJ45" s="309"/>
      <c r="DK45" s="309"/>
      <c r="DL45" s="1003"/>
      <c r="DM45" s="309"/>
      <c r="DN45" s="309"/>
      <c r="DO45" s="309"/>
      <c r="DP45" s="309"/>
      <c r="DQ45" s="1003"/>
      <c r="DR45" s="623"/>
      <c r="DS45" s="558"/>
      <c r="DT45"/>
      <c r="DU45"/>
      <c r="DV45"/>
      <c r="DW45"/>
      <c r="DX45"/>
      <c r="DY45"/>
    </row>
    <row r="46" spans="1:129" s="627" customFormat="1" ht="11.25" customHeight="1">
      <c r="A46" s="629"/>
      <c r="B46" s="634" t="s">
        <v>10</v>
      </c>
      <c r="C46" s="628"/>
      <c r="D46" s="628"/>
      <c r="E46" s="628"/>
      <c r="F46" s="629"/>
      <c r="G46" s="582">
        <f>SUM(G37,G43)</f>
        <v>3.1850000000000001</v>
      </c>
      <c r="H46" s="583">
        <f>SUM(H37,H43)</f>
        <v>3.7600000000000002</v>
      </c>
      <c r="I46" s="583">
        <f>SUM(I37,I43)</f>
        <v>4.84</v>
      </c>
      <c r="J46" s="584">
        <f>SUM(J37,J43)</f>
        <v>5.984</v>
      </c>
      <c r="K46" s="582">
        <f>SUM(G46:J46)</f>
        <v>17.768999999999998</v>
      </c>
      <c r="L46" s="582">
        <f>SUM(L37,L43)</f>
        <v>5.6450000000000005</v>
      </c>
      <c r="M46" s="583">
        <f>SUM(M37,M43)</f>
        <v>6.4859999999999998</v>
      </c>
      <c r="N46" s="583">
        <f>SUM(N37,N43)</f>
        <v>6.827</v>
      </c>
      <c r="O46" s="583">
        <f>SUM(O37,O43)</f>
        <v>7.1400000000000023</v>
      </c>
      <c r="P46" s="736">
        <f>SUM(L46:O46)</f>
        <v>26.097999999999999</v>
      </c>
      <c r="Q46" s="583">
        <f>SUM(Q37,Q43)</f>
        <v>8.0079999999999991</v>
      </c>
      <c r="R46" s="583">
        <f>SUM(R37,R43)</f>
        <v>9.3840000000000003</v>
      </c>
      <c r="S46" s="583">
        <f>SUM(S37,S43)</f>
        <v>10.917999999999999</v>
      </c>
      <c r="T46" s="583">
        <f>SUM(T37,T43)</f>
        <v>12.156000000000006</v>
      </c>
      <c r="U46" s="736">
        <f>SUM(Q46:T46)</f>
        <v>40.466000000000008</v>
      </c>
      <c r="V46" s="583">
        <f>SUM(V37,V43)</f>
        <v>12.646000000000001</v>
      </c>
      <c r="W46" s="583">
        <f>SUM(W37,W43)</f>
        <v>13.156000000000001</v>
      </c>
      <c r="X46" s="583">
        <f>SUM(X37,X43)</f>
        <v>13.07</v>
      </c>
      <c r="Y46" s="583">
        <f>SUM(Y37,Y43)</f>
        <v>12.437999999999999</v>
      </c>
      <c r="Z46" s="736">
        <f>SUM(V46:Y46)</f>
        <v>51.31</v>
      </c>
      <c r="AA46" s="583">
        <f>SUM(AA37,AA43)</f>
        <v>9.1751538461538455</v>
      </c>
      <c r="AB46" s="583">
        <f>SUM(AB37,AB43)</f>
        <v>10.046461538461539</v>
      </c>
      <c r="AC46" s="583">
        <f>SUM(AC37,AC43)</f>
        <v>11.913461538461537</v>
      </c>
      <c r="AD46" s="583">
        <f>SUM(AD37,AD43)</f>
        <v>12.264230769230771</v>
      </c>
      <c r="AE46" s="736">
        <f>SUM(AA46:AD46)</f>
        <v>43.399307692307687</v>
      </c>
      <c r="AF46" s="583">
        <f>SUM(AF37,AF43)</f>
        <v>13.845307692307694</v>
      </c>
      <c r="AG46" s="583">
        <f>SUM(AG37,AG43)</f>
        <v>17.286692307692309</v>
      </c>
      <c r="AH46" s="583">
        <f>SUM(AH37,AH43)</f>
        <v>19.538230769230768</v>
      </c>
      <c r="AI46" s="583">
        <f>SUM(AI37,AI43)</f>
        <v>22.437076923076926</v>
      </c>
      <c r="AJ46" s="736">
        <f>SUM(AF46:AI46)</f>
        <v>73.1073076923077</v>
      </c>
      <c r="AK46" s="583">
        <f>SUM(AK37,AK43)</f>
        <v>25.777769230769231</v>
      </c>
      <c r="AL46" s="583">
        <f>SUM(AL37,AL43)</f>
        <v>28.523307692307693</v>
      </c>
      <c r="AM46" s="583">
        <f>SUM(AM37,AM43)</f>
        <v>32.915076923076924</v>
      </c>
      <c r="AN46" s="583">
        <f>SUM(AN37,AN43)</f>
        <v>38.652999999999999</v>
      </c>
      <c r="AO46" s="736">
        <f>SUM(AK46:AN46)</f>
        <v>125.86915384615384</v>
      </c>
      <c r="AP46" s="583">
        <f>SUM(AP37,AP43)</f>
        <v>38.616923076923072</v>
      </c>
      <c r="AQ46" s="583">
        <f>SUM(AQ37,AQ43)</f>
        <v>44.796538461538461</v>
      </c>
      <c r="AR46" s="583">
        <f>SUM(AR37,AR43)</f>
        <v>53.447692307692307</v>
      </c>
      <c r="AS46" s="583">
        <f>SUM(AS37,AS43)</f>
        <v>63.760923076923078</v>
      </c>
      <c r="AT46" s="736">
        <f>SUM(AP46:AS46)</f>
        <v>200.62207692307692</v>
      </c>
      <c r="AU46" s="583">
        <f>SUM(AU37,AU43)</f>
        <v>66.132999999999996</v>
      </c>
      <c r="AV46" s="583">
        <f>SUM(AV37,AV43)</f>
        <v>81.075999999999993</v>
      </c>
      <c r="AW46" s="583">
        <f>SUM(AW37,AW43)</f>
        <v>92.861000000000004</v>
      </c>
      <c r="AX46" s="583">
        <f>SUM(AX37,AX43)</f>
        <v>107.39700000000001</v>
      </c>
      <c r="AY46" s="736">
        <f>SUM(AU46:AX46)</f>
        <v>347.46699999999998</v>
      </c>
      <c r="AZ46" s="583">
        <f>SUM(AZ37,AZ43)</f>
        <v>114.321</v>
      </c>
      <c r="BA46" s="583">
        <f>SUM(BA37,BA43)</f>
        <v>124.005</v>
      </c>
      <c r="BB46" s="583">
        <f>SUM(BB37,BB43)</f>
        <v>131.26599999999999</v>
      </c>
      <c r="BC46" s="583">
        <f>SUM(BC37,BC43)</f>
        <v>136.58999999999997</v>
      </c>
      <c r="BD46" s="736">
        <f>SUM(AZ46:BC46)</f>
        <v>506.18199999999996</v>
      </c>
      <c r="BE46" s="583">
        <f>SUM(BE37,BE43)</f>
        <v>151.245</v>
      </c>
      <c r="BF46" s="583">
        <f>SUM(BF37,BF43)</f>
        <v>168.50299999999999</v>
      </c>
      <c r="BG46" s="583">
        <f>SUM(BG37,BG43)</f>
        <v>175.98999999999998</v>
      </c>
      <c r="BH46" s="583">
        <f>SUM(BH37,BH43)</f>
        <v>179.03100000000001</v>
      </c>
      <c r="BI46" s="736">
        <f>SUM(BE46:BH46)</f>
        <v>674.76900000000001</v>
      </c>
      <c r="BJ46" s="583">
        <f>SUM(BJ37,BJ43)</f>
        <v>175.31600000000003</v>
      </c>
      <c r="BK46" s="583">
        <f>SUM(BK37,BK43)</f>
        <v>181.929</v>
      </c>
      <c r="BL46" s="583">
        <f>SUM(BL37,BL43)</f>
        <v>205.518</v>
      </c>
      <c r="BM46" s="583">
        <f>SUM(BM37,BM43)</f>
        <v>202.20599999999999</v>
      </c>
      <c r="BN46" s="736">
        <f>SUM(BJ46:BM46)</f>
        <v>764.96900000000005</v>
      </c>
      <c r="BO46" s="583">
        <f>SUM(BO37,BO43)</f>
        <v>206.85400000000001</v>
      </c>
      <c r="BP46" s="583">
        <f>SUM(BP37,BP43)</f>
        <v>244.23</v>
      </c>
      <c r="BQ46" s="583">
        <f>SUM(BQ37,BQ43)</f>
        <v>274.88200000000001</v>
      </c>
      <c r="BR46" s="583">
        <f>SUM(BR37,BR43)</f>
        <v>293.01799999999997</v>
      </c>
      <c r="BS46" s="736">
        <f>SUM(BO46:BR46)</f>
        <v>1018.9839999999999</v>
      </c>
      <c r="BT46" s="583">
        <f>SUM(BT37,BT43)</f>
        <v>307.64699999999999</v>
      </c>
      <c r="BU46" s="583">
        <f>SUM(BU37,BU43)</f>
        <v>330.73400000000004</v>
      </c>
      <c r="BV46" s="583">
        <f>SUM(BV37,BV43)</f>
        <v>358.56600000000003</v>
      </c>
      <c r="BW46" s="583">
        <f>SUM(BW37,BW43)</f>
        <v>358.887</v>
      </c>
      <c r="BX46" s="736">
        <f>SUM(BT46:BW46)</f>
        <v>1355.8340000000001</v>
      </c>
      <c r="BY46" s="583">
        <f>SUM(BY37,BY43)</f>
        <v>371.23099999999999</v>
      </c>
      <c r="BZ46" s="583">
        <f>SUM(BZ37,BZ43)</f>
        <v>404.87399999999997</v>
      </c>
      <c r="CA46" s="583">
        <f>SUM(CA37,CA43)</f>
        <v>399.26499999999999</v>
      </c>
      <c r="CB46" s="583">
        <f>SUM(CB37,CB43)</f>
        <v>408.13899999999995</v>
      </c>
      <c r="CC46" s="736">
        <f>SUM(BY46:CB46)</f>
        <v>1583.5089999999998</v>
      </c>
      <c r="CD46" s="583">
        <f>SUM(CD37,CD43)</f>
        <v>419.11899999999997</v>
      </c>
      <c r="CE46" s="583">
        <f>SUM(CE37,CE43)</f>
        <v>426.27500000000003</v>
      </c>
      <c r="CF46" s="583">
        <f>SUM(CF37,CF43)</f>
        <v>453.88499999999993</v>
      </c>
      <c r="CG46" s="583">
        <f>SUM(CG37,CG43)</f>
        <v>457.72899999999998</v>
      </c>
      <c r="CH46" s="736">
        <f>SUM(CD46:CG46)</f>
        <v>1757.008</v>
      </c>
      <c r="CI46" s="583">
        <f>SUM(CI37,CI43)</f>
        <v>486.06799999999998</v>
      </c>
      <c r="CJ46" s="583">
        <f>SUM(CJ37,CJ43)</f>
        <v>488.61099999999999</v>
      </c>
      <c r="CK46" s="583">
        <f>SUM(CK37,CK43)</f>
        <v>507.46800000000002</v>
      </c>
      <c r="CL46" s="583">
        <f>SUM(CL37,CL43)</f>
        <v>571.33799999999997</v>
      </c>
      <c r="CM46" s="736">
        <f>SUM(CI46:CL46)</f>
        <v>2053.4849999999997</v>
      </c>
      <c r="CN46" s="583">
        <f>SUM(CN37,CN43)</f>
        <v>647.5</v>
      </c>
      <c r="CO46" s="583">
        <f>SUM(CO37,CO43)</f>
        <v>653.9</v>
      </c>
      <c r="CP46" s="583">
        <f>SUM(CP37,CP43)</f>
        <v>673.6</v>
      </c>
      <c r="CQ46" s="583">
        <f>SUM(CQ37,CQ43)</f>
        <v>706.7</v>
      </c>
      <c r="CR46" s="737">
        <f>SUM(CN46:CQ46)</f>
        <v>2681.7</v>
      </c>
      <c r="CS46" s="583">
        <f>SUM(CS37,CS43)</f>
        <v>691.7</v>
      </c>
      <c r="CT46" s="583">
        <f>SUM(CT37,CT43)</f>
        <v>692</v>
      </c>
      <c r="CU46" s="583">
        <f>SUM(CU37,CU43)</f>
        <v>756.4</v>
      </c>
      <c r="CV46" s="583">
        <f>SUM(CV37,CV43)</f>
        <v>785</v>
      </c>
      <c r="CW46" s="737">
        <f>SUM(CS46:CV46)</f>
        <v>2925.1</v>
      </c>
      <c r="CX46" s="1093">
        <f>SUM(CX37,CX43)</f>
        <v>743</v>
      </c>
      <c r="CY46" s="1093">
        <f>SUM(CY37,CY43)</f>
        <v>761</v>
      </c>
      <c r="CZ46" s="1093">
        <f>SUM(CZ37,CZ43)</f>
        <v>742</v>
      </c>
      <c r="DA46" s="1093">
        <f>SUM(DA37,DA43)</f>
        <v>765</v>
      </c>
      <c r="DB46" s="737">
        <f>SUM(CX46:DA46)</f>
        <v>3011</v>
      </c>
      <c r="DC46" s="583">
        <f>SUM(DC37,DC43)</f>
        <v>764.64593750000006</v>
      </c>
      <c r="DD46" s="583">
        <f>SUM(DD37,DD43)</f>
        <v>779.76606000000004</v>
      </c>
      <c r="DE46" s="583">
        <f>SUM(DE37,DE43)</f>
        <v>789.22690000000011</v>
      </c>
      <c r="DF46" s="583">
        <f>SUM(DF37,DF43)</f>
        <v>785.76979000000006</v>
      </c>
      <c r="DG46" s="737">
        <f>SUM(DC46:DF46)</f>
        <v>3119.4086875000003</v>
      </c>
      <c r="DH46" s="583">
        <f>SUM(DH37,DH43)</f>
        <v>781.46788087500011</v>
      </c>
      <c r="DI46" s="583">
        <f>SUM(DI37,DI43)</f>
        <v>805.17946410000002</v>
      </c>
      <c r="DJ46" s="583">
        <f>SUM(DJ37,DJ43)</f>
        <v>819.07936925000013</v>
      </c>
      <c r="DK46" s="583">
        <f>SUM(DK37,DK43)</f>
        <v>831.90233900000021</v>
      </c>
      <c r="DL46" s="737">
        <f>SUM(DH46:DK46)</f>
        <v>3237.6290532250005</v>
      </c>
      <c r="DM46" s="583">
        <f>SUM(DM37,DM43)</f>
        <v>844.31570633437502</v>
      </c>
      <c r="DN46" s="583">
        <f>SUM(DN37,DN43)</f>
        <v>867.94639318800023</v>
      </c>
      <c r="DO46" s="583">
        <f>SUM(DO37,DO43)</f>
        <v>884.21759253625009</v>
      </c>
      <c r="DP46" s="583">
        <f>SUM(DP37,DP43)</f>
        <v>897.06928904000017</v>
      </c>
      <c r="DQ46" s="737">
        <f>SUM(DM46:DP46)</f>
        <v>3493.5489810986251</v>
      </c>
      <c r="DR46" s="634"/>
      <c r="DS46" s="628"/>
      <c r="DT46"/>
      <c r="DU46"/>
      <c r="DV46"/>
      <c r="DW46"/>
      <c r="DX46"/>
      <c r="DY46"/>
    </row>
    <row r="47" spans="1:129" s="651" customFormat="1">
      <c r="A47" s="665"/>
      <c r="B47" s="650"/>
      <c r="C47" s="645"/>
      <c r="D47" s="645"/>
      <c r="E47" s="645"/>
      <c r="F47" s="645"/>
      <c r="G47" s="646"/>
      <c r="H47" s="647"/>
      <c r="I47" s="647"/>
      <c r="J47" s="648"/>
      <c r="K47" s="646"/>
      <c r="L47" s="646"/>
      <c r="M47" s="647"/>
      <c r="N47" s="647"/>
      <c r="O47" s="647"/>
      <c r="P47" s="666"/>
      <c r="Q47" s="647"/>
      <c r="R47" s="647"/>
      <c r="S47" s="647"/>
      <c r="T47" s="647"/>
      <c r="U47" s="666"/>
      <c r="V47" s="647"/>
      <c r="W47" s="647"/>
      <c r="X47" s="647"/>
      <c r="Y47" s="647"/>
      <c r="Z47" s="666"/>
      <c r="AA47" s="647"/>
      <c r="AB47" s="647"/>
      <c r="AC47" s="647"/>
      <c r="AD47" s="647"/>
      <c r="AE47" s="666"/>
      <c r="AF47" s="647"/>
      <c r="AG47" s="647"/>
      <c r="AH47" s="647"/>
      <c r="AI47" s="647"/>
      <c r="AJ47" s="666"/>
      <c r="AK47" s="647"/>
      <c r="AL47" s="647"/>
      <c r="AM47" s="647"/>
      <c r="AN47" s="647"/>
      <c r="AO47" s="666"/>
      <c r="AP47" s="647"/>
      <c r="AQ47" s="647"/>
      <c r="AR47" s="647"/>
      <c r="AS47" s="647"/>
      <c r="AT47" s="666"/>
      <c r="AU47" s="647"/>
      <c r="AV47" s="647"/>
      <c r="AW47" s="647"/>
      <c r="AX47" s="647"/>
      <c r="AY47" s="666"/>
      <c r="AZ47" s="647"/>
      <c r="BA47" s="647"/>
      <c r="BB47" s="647"/>
      <c r="BC47" s="647"/>
      <c r="BD47" s="666"/>
      <c r="BE47" s="647"/>
      <c r="BF47" s="647"/>
      <c r="BG47" s="647"/>
      <c r="BH47" s="647"/>
      <c r="BI47" s="666"/>
      <c r="BJ47" s="647"/>
      <c r="BK47" s="647"/>
      <c r="BL47" s="647"/>
      <c r="BM47" s="647"/>
      <c r="BN47" s="666"/>
      <c r="BO47" s="647"/>
      <c r="BP47" s="647"/>
      <c r="BQ47" s="647"/>
      <c r="BR47" s="647"/>
      <c r="BS47" s="666"/>
      <c r="BT47" s="647"/>
      <c r="BU47" s="647"/>
      <c r="BV47" s="647"/>
      <c r="BW47" s="647"/>
      <c r="BX47" s="666"/>
      <c r="BY47" s="647"/>
      <c r="BZ47" s="647"/>
      <c r="CA47" s="647"/>
      <c r="CB47" s="647"/>
      <c r="CC47" s="666"/>
      <c r="CD47" s="649"/>
      <c r="CE47" s="649"/>
      <c r="CF47" s="649"/>
      <c r="CG47" s="649"/>
      <c r="CH47" s="666"/>
      <c r="CI47" s="649"/>
      <c r="CJ47" s="649"/>
      <c r="CK47" s="649"/>
      <c r="CL47" s="649"/>
      <c r="CM47" s="666"/>
      <c r="CN47" s="649"/>
      <c r="CO47" s="649"/>
      <c r="CP47" s="649"/>
      <c r="CQ47" s="649"/>
      <c r="CR47" s="666"/>
      <c r="CS47" s="649"/>
      <c r="CT47" s="649"/>
      <c r="CU47" s="649"/>
      <c r="CV47" s="649"/>
      <c r="CW47" s="666"/>
      <c r="CX47" s="649"/>
      <c r="CY47" s="649"/>
      <c r="CZ47" s="649"/>
      <c r="DA47" s="649"/>
      <c r="DB47" s="666"/>
      <c r="DC47" s="649"/>
      <c r="DD47" s="649"/>
      <c r="DE47" s="649"/>
      <c r="DF47" s="649"/>
      <c r="DG47" s="666"/>
      <c r="DH47" s="649"/>
      <c r="DI47" s="649"/>
      <c r="DJ47" s="649"/>
      <c r="DK47" s="649"/>
      <c r="DL47" s="666"/>
      <c r="DM47" s="649"/>
      <c r="DN47" s="649"/>
      <c r="DO47" s="649"/>
      <c r="DP47" s="649"/>
      <c r="DQ47" s="666"/>
      <c r="DR47" s="650"/>
      <c r="DS47" s="645"/>
      <c r="DT47"/>
      <c r="DU47"/>
      <c r="DV47"/>
      <c r="DW47"/>
      <c r="DX47"/>
      <c r="DY47"/>
    </row>
    <row r="48" spans="1:129" s="651" customFormat="1">
      <c r="A48" s="665"/>
      <c r="B48" s="620" t="s">
        <v>350</v>
      </c>
      <c r="C48" s="645"/>
      <c r="D48" s="645"/>
      <c r="E48" s="645"/>
      <c r="F48" s="645"/>
      <c r="G48" s="646"/>
      <c r="H48" s="647"/>
      <c r="I48" s="647"/>
      <c r="J48" s="648"/>
      <c r="K48" s="646"/>
      <c r="L48" s="646"/>
      <c r="M48" s="647"/>
      <c r="N48" s="647"/>
      <c r="O48" s="647"/>
      <c r="P48" s="666"/>
      <c r="Q48" s="647"/>
      <c r="R48" s="647"/>
      <c r="S48" s="647"/>
      <c r="T48" s="647"/>
      <c r="U48" s="666"/>
      <c r="V48" s="647"/>
      <c r="W48" s="647"/>
      <c r="X48" s="647"/>
      <c r="Y48" s="647"/>
      <c r="Z48" s="666"/>
      <c r="AA48" s="647"/>
      <c r="AB48" s="647"/>
      <c r="AC48" s="647"/>
      <c r="AD48" s="647"/>
      <c r="AE48" s="666"/>
      <c r="AF48" s="647"/>
      <c r="AG48" s="647"/>
      <c r="AH48" s="647"/>
      <c r="AI48" s="647"/>
      <c r="AJ48" s="666"/>
      <c r="AK48" s="647"/>
      <c r="AL48" s="647"/>
      <c r="AM48" s="647"/>
      <c r="AN48" s="647"/>
      <c r="AO48" s="666"/>
      <c r="AP48" s="647"/>
      <c r="AQ48" s="647"/>
      <c r="AR48" s="647"/>
      <c r="AS48" s="647"/>
      <c r="AT48" s="666"/>
      <c r="AU48" s="647"/>
      <c r="AV48" s="647"/>
      <c r="AW48" s="647"/>
      <c r="AX48" s="647"/>
      <c r="AY48" s="666"/>
      <c r="AZ48" s="647"/>
      <c r="BA48" s="647"/>
      <c r="BB48" s="647"/>
      <c r="BC48" s="647"/>
      <c r="BD48" s="666"/>
      <c r="BE48" s="647"/>
      <c r="BF48" s="647"/>
      <c r="BG48" s="647"/>
      <c r="BH48" s="647"/>
      <c r="BI48" s="666"/>
      <c r="BJ48" s="647"/>
      <c r="BK48" s="647"/>
      <c r="BL48" s="647"/>
      <c r="BM48" s="647"/>
      <c r="BN48" s="666"/>
      <c r="BO48" s="647"/>
      <c r="BP48" s="647"/>
      <c r="BQ48" s="647"/>
      <c r="BR48" s="647"/>
      <c r="BS48" s="666"/>
      <c r="BT48" s="647"/>
      <c r="BU48" s="647"/>
      <c r="BV48" s="647"/>
      <c r="BW48" s="647"/>
      <c r="BX48" s="666"/>
      <c r="BY48" s="647"/>
      <c r="BZ48" s="647"/>
      <c r="CA48" s="647"/>
      <c r="CB48" s="647"/>
      <c r="CC48" s="666"/>
      <c r="CD48" s="649"/>
      <c r="CE48" s="649"/>
      <c r="CF48" s="649"/>
      <c r="CG48" s="649"/>
      <c r="CH48" s="666"/>
      <c r="CI48" s="649"/>
      <c r="CJ48" s="649"/>
      <c r="CK48" s="649"/>
      <c r="CL48" s="649"/>
      <c r="CM48" s="666"/>
      <c r="CN48" s="649"/>
      <c r="CO48" s="649"/>
      <c r="CP48" s="649"/>
      <c r="CQ48" s="649"/>
      <c r="CR48" s="666"/>
      <c r="CS48" s="649"/>
      <c r="CT48" s="649"/>
      <c r="CU48" s="649"/>
      <c r="CV48" s="649"/>
      <c r="CW48" s="666"/>
      <c r="CX48" s="649"/>
      <c r="CY48" s="649"/>
      <c r="CZ48" s="649"/>
      <c r="DA48" s="649"/>
      <c r="DB48" s="666"/>
      <c r="DC48" s="649"/>
      <c r="DD48" s="649"/>
      <c r="DE48" s="649"/>
      <c r="DF48" s="649"/>
      <c r="DG48" s="666"/>
      <c r="DH48" s="649"/>
      <c r="DI48" s="649"/>
      <c r="DJ48" s="649"/>
      <c r="DK48" s="649"/>
      <c r="DL48" s="666"/>
      <c r="DM48" s="649"/>
      <c r="DN48" s="649"/>
      <c r="DO48" s="649"/>
      <c r="DP48" s="649"/>
      <c r="DQ48" s="666"/>
      <c r="DR48" s="650"/>
      <c r="DS48" s="645"/>
      <c r="DT48"/>
      <c r="DU48"/>
      <c r="DV48"/>
      <c r="DW48"/>
      <c r="DX48"/>
      <c r="DY48"/>
    </row>
    <row r="49" spans="1:129" s="652" customFormat="1" hidden="1" outlineLevel="1">
      <c r="B49" s="623"/>
      <c r="C49" s="654" t="s">
        <v>333</v>
      </c>
      <c r="D49" s="654"/>
      <c r="E49" s="654"/>
      <c r="F49" s="655"/>
      <c r="G49" s="656"/>
      <c r="H49" s="657"/>
      <c r="I49" s="657"/>
      <c r="J49" s="658"/>
      <c r="K49" s="579">
        <f>SUM(G49:J49)</f>
        <v>0</v>
      </c>
      <c r="L49" s="656"/>
      <c r="M49" s="657"/>
      <c r="N49" s="657"/>
      <c r="O49" s="657"/>
      <c r="P49" s="847">
        <f>SUM(L49:O49)</f>
        <v>0</v>
      </c>
      <c r="Q49" s="657"/>
      <c r="R49" s="657"/>
      <c r="S49" s="657"/>
      <c r="T49" s="657"/>
      <c r="U49" s="847">
        <f>SUM(Q49:T49)</f>
        <v>0</v>
      </c>
      <c r="V49" s="657"/>
      <c r="W49" s="657"/>
      <c r="X49" s="657"/>
      <c r="Y49" s="657"/>
      <c r="Z49" s="847">
        <f>SUM(V49:Y49)</f>
        <v>0</v>
      </c>
      <c r="AA49" s="657"/>
      <c r="AB49" s="657"/>
      <c r="AC49" s="657"/>
      <c r="AD49" s="657"/>
      <c r="AE49" s="847">
        <f>SUM(AA49:AD49)</f>
        <v>0</v>
      </c>
      <c r="AF49" s="657"/>
      <c r="AG49" s="657"/>
      <c r="AH49" s="657"/>
      <c r="AI49" s="657"/>
      <c r="AJ49" s="847">
        <f>SUM(AF49:AI49)</f>
        <v>0</v>
      </c>
      <c r="AK49" s="657"/>
      <c r="AL49" s="657"/>
      <c r="AM49" s="657"/>
      <c r="AN49" s="657"/>
      <c r="AO49" s="847">
        <f>SUM(AK49:AN49)</f>
        <v>0</v>
      </c>
      <c r="AP49" s="657"/>
      <c r="AQ49" s="657"/>
      <c r="AR49" s="657"/>
      <c r="AS49" s="657"/>
      <c r="AT49" s="847">
        <f>SUM(AP49:AS49)</f>
        <v>0</v>
      </c>
      <c r="AU49" s="657"/>
      <c r="AV49" s="657"/>
      <c r="AW49" s="657"/>
      <c r="AX49" s="657"/>
      <c r="AY49" s="847">
        <f>SUM(AU49:AX49)</f>
        <v>0</v>
      </c>
      <c r="AZ49" s="657"/>
      <c r="BA49" s="657"/>
      <c r="BB49" s="657"/>
      <c r="BC49" s="657"/>
      <c r="BD49" s="847">
        <f>SUM(AZ49:BC49)</f>
        <v>0</v>
      </c>
      <c r="BE49" s="657"/>
      <c r="BF49" s="657"/>
      <c r="BG49" s="657"/>
      <c r="BH49" s="657"/>
      <c r="BI49" s="847">
        <f>SUM(BE49:BH49)</f>
        <v>0</v>
      </c>
      <c r="BJ49" s="657"/>
      <c r="BK49" s="657"/>
      <c r="BL49" s="657"/>
      <c r="BM49" s="657"/>
      <c r="BN49" s="847">
        <f>SUM(BJ49:BM49)</f>
        <v>0</v>
      </c>
      <c r="BO49" s="657"/>
      <c r="BP49" s="657"/>
      <c r="BQ49" s="657"/>
      <c r="BR49" s="658"/>
      <c r="BS49" s="580">
        <f>SUM(BO49:BR49)</f>
        <v>0</v>
      </c>
      <c r="BT49" s="656"/>
      <c r="BU49" s="657"/>
      <c r="BV49" s="657"/>
      <c r="BW49" s="657"/>
      <c r="BX49" s="847">
        <f>SUM(BT49:BW49)</f>
        <v>0</v>
      </c>
      <c r="BY49" s="657">
        <v>6.32</v>
      </c>
      <c r="BZ49" s="657">
        <v>1.228</v>
      </c>
      <c r="CA49" s="657">
        <v>2.8780000000000001</v>
      </c>
      <c r="CB49" s="657">
        <v>5.4450000000000003</v>
      </c>
      <c r="CC49" s="847">
        <f>SUM(BY49:CB49)</f>
        <v>15.871</v>
      </c>
      <c r="CD49" s="657">
        <v>6.6539999999999999</v>
      </c>
      <c r="CE49" s="657">
        <v>5.9119999999999999</v>
      </c>
      <c r="CF49" s="657">
        <v>5.12</v>
      </c>
      <c r="CG49" s="543">
        <v>6.3159999999999998</v>
      </c>
      <c r="CH49" s="847">
        <f>SUM(CD49:CG49)</f>
        <v>24.001999999999999</v>
      </c>
      <c r="CI49" s="543">
        <v>8</v>
      </c>
      <c r="CJ49" s="657">
        <v>7.6</v>
      </c>
      <c r="CK49" s="657">
        <v>14.9</v>
      </c>
      <c r="CL49" s="543">
        <v>17.899999999999999</v>
      </c>
      <c r="CM49" s="847">
        <f>SUM(CI49:CL49)</f>
        <v>48.4</v>
      </c>
      <c r="CN49" s="543">
        <v>30.7</v>
      </c>
      <c r="CO49" s="657">
        <v>28</v>
      </c>
      <c r="CP49" s="657">
        <v>28.6</v>
      </c>
      <c r="CQ49" s="543">
        <v>29</v>
      </c>
      <c r="CR49" s="667">
        <f>SUM(CN49:CQ49)</f>
        <v>116.30000000000001</v>
      </c>
      <c r="CS49" s="543">
        <v>29.1</v>
      </c>
      <c r="CT49" s="657">
        <v>30.3</v>
      </c>
      <c r="CU49" s="543">
        <v>34.1</v>
      </c>
      <c r="CV49" s="543">
        <v>36</v>
      </c>
      <c r="CW49" s="667">
        <f>SUM(CS49:CV49)</f>
        <v>129.5</v>
      </c>
      <c r="CX49" s="1089">
        <v>34</v>
      </c>
      <c r="CY49" s="1089">
        <v>35</v>
      </c>
      <c r="CZ49" s="1089">
        <v>35</v>
      </c>
      <c r="DA49" s="1088">
        <v>34</v>
      </c>
      <c r="DB49" s="667">
        <f>SUM(CX49:DA49)</f>
        <v>138</v>
      </c>
      <c r="DC49" s="913">
        <v>0</v>
      </c>
      <c r="DD49" s="913">
        <v>0</v>
      </c>
      <c r="DE49" s="913">
        <v>0</v>
      </c>
      <c r="DF49" s="913">
        <v>0</v>
      </c>
      <c r="DG49" s="667">
        <f>SUM(DC49:DF49)</f>
        <v>0</v>
      </c>
      <c r="DH49" s="913">
        <v>0</v>
      </c>
      <c r="DI49" s="913">
        <v>0</v>
      </c>
      <c r="DJ49" s="913">
        <v>0</v>
      </c>
      <c r="DK49" s="913">
        <v>0</v>
      </c>
      <c r="DL49" s="667">
        <f>SUM(DH49:DK49)</f>
        <v>0</v>
      </c>
      <c r="DM49" s="913">
        <v>0</v>
      </c>
      <c r="DN49" s="913">
        <v>0</v>
      </c>
      <c r="DO49" s="913">
        <v>0</v>
      </c>
      <c r="DP49" s="913">
        <v>0</v>
      </c>
      <c r="DQ49" s="667">
        <f>SUM(DM49:DP49)</f>
        <v>0</v>
      </c>
      <c r="DR49" s="653"/>
      <c r="DS49" s="654"/>
      <c r="DT49"/>
      <c r="DU49"/>
      <c r="DV49"/>
      <c r="DW49"/>
      <c r="DX49"/>
      <c r="DY49"/>
    </row>
    <row r="50" spans="1:129" s="652" customFormat="1" hidden="1" outlineLevel="1">
      <c r="B50" s="623"/>
      <c r="C50" s="654" t="s">
        <v>334</v>
      </c>
      <c r="D50" s="654"/>
      <c r="E50" s="654"/>
      <c r="F50" s="655"/>
      <c r="G50" s="656"/>
      <c r="H50" s="657"/>
      <c r="I50" s="657"/>
      <c r="J50" s="658"/>
      <c r="K50" s="579"/>
      <c r="L50" s="656"/>
      <c r="M50" s="657"/>
      <c r="N50" s="657"/>
      <c r="O50" s="658"/>
      <c r="P50" s="580"/>
      <c r="Q50" s="656"/>
      <c r="R50" s="657"/>
      <c r="S50" s="657"/>
      <c r="T50" s="657"/>
      <c r="U50" s="847"/>
      <c r="V50" s="657"/>
      <c r="W50" s="657"/>
      <c r="X50" s="657"/>
      <c r="Y50" s="657"/>
      <c r="Z50" s="847"/>
      <c r="AA50" s="657"/>
      <c r="AB50" s="657"/>
      <c r="AC50" s="657"/>
      <c r="AD50" s="657"/>
      <c r="AE50" s="847"/>
      <c r="AF50" s="657"/>
      <c r="AG50" s="657"/>
      <c r="AH50" s="657"/>
      <c r="AI50" s="658"/>
      <c r="AJ50" s="580"/>
      <c r="AK50" s="656"/>
      <c r="AL50" s="657"/>
      <c r="AM50" s="657"/>
      <c r="AN50" s="657"/>
      <c r="AO50" s="847"/>
      <c r="AP50" s="657"/>
      <c r="AQ50" s="657"/>
      <c r="AR50" s="657"/>
      <c r="AS50" s="657"/>
      <c r="AT50" s="847"/>
      <c r="AU50" s="657"/>
      <c r="AV50" s="657"/>
      <c r="AW50" s="657"/>
      <c r="AX50" s="657"/>
      <c r="AY50" s="847"/>
      <c r="AZ50" s="657"/>
      <c r="BA50" s="657"/>
      <c r="BB50" s="657"/>
      <c r="BC50" s="658"/>
      <c r="BD50" s="580"/>
      <c r="BE50" s="656"/>
      <c r="BF50" s="657"/>
      <c r="BG50" s="657"/>
      <c r="BH50" s="657"/>
      <c r="BI50" s="847"/>
      <c r="BJ50" s="657"/>
      <c r="BK50" s="657"/>
      <c r="BL50" s="657"/>
      <c r="BM50" s="658"/>
      <c r="BN50" s="580"/>
      <c r="BO50" s="656"/>
      <c r="BP50" s="657"/>
      <c r="BQ50" s="657"/>
      <c r="BR50" s="658"/>
      <c r="BS50" s="580"/>
      <c r="BT50" s="656"/>
      <c r="BU50" s="657"/>
      <c r="BV50" s="657"/>
      <c r="BW50" s="657"/>
      <c r="BX50" s="847"/>
      <c r="BY50" s="657"/>
      <c r="BZ50" s="657"/>
      <c r="CA50" s="657"/>
      <c r="CB50" s="657"/>
      <c r="CC50" s="847"/>
      <c r="CD50" s="657"/>
      <c r="CE50" s="657"/>
      <c r="CF50" s="657"/>
      <c r="CG50" s="543"/>
      <c r="CH50" s="847"/>
      <c r="CI50" s="543"/>
      <c r="CJ50" s="657"/>
      <c r="CK50" s="657"/>
      <c r="CL50" s="543"/>
      <c r="CM50" s="847"/>
      <c r="CN50" s="543">
        <v>0</v>
      </c>
      <c r="CO50" s="543">
        <v>0</v>
      </c>
      <c r="CP50" s="543">
        <v>0</v>
      </c>
      <c r="CQ50" s="543">
        <v>0</v>
      </c>
      <c r="CR50" s="667">
        <f>SUM(CN50:CQ50)</f>
        <v>0</v>
      </c>
      <c r="CS50" s="543">
        <v>0</v>
      </c>
      <c r="CT50" s="543">
        <v>0</v>
      </c>
      <c r="CU50" s="543">
        <v>0</v>
      </c>
      <c r="CV50" s="543">
        <v>0</v>
      </c>
      <c r="CW50" s="667">
        <f>SUM(CS50:CV50)</f>
        <v>0</v>
      </c>
      <c r="CX50" s="1089">
        <v>11</v>
      </c>
      <c r="CY50" s="1089">
        <v>39</v>
      </c>
      <c r="CZ50" s="1089">
        <v>19</v>
      </c>
      <c r="DA50" s="1088">
        <v>3</v>
      </c>
      <c r="DB50" s="667">
        <f>SUM(CX50:DA50)</f>
        <v>72</v>
      </c>
      <c r="DC50" s="913">
        <v>0</v>
      </c>
      <c r="DD50" s="913">
        <v>0</v>
      </c>
      <c r="DE50" s="913">
        <v>0</v>
      </c>
      <c r="DF50" s="913">
        <v>0</v>
      </c>
      <c r="DG50" s="667">
        <f>SUM(DC50:DF50)</f>
        <v>0</v>
      </c>
      <c r="DH50" s="913">
        <v>0</v>
      </c>
      <c r="DI50" s="913">
        <v>0</v>
      </c>
      <c r="DJ50" s="913">
        <v>0</v>
      </c>
      <c r="DK50" s="913">
        <v>0</v>
      </c>
      <c r="DL50" s="667">
        <f>SUM(DH50:DK50)</f>
        <v>0</v>
      </c>
      <c r="DM50" s="913">
        <v>0</v>
      </c>
      <c r="DN50" s="913">
        <v>0</v>
      </c>
      <c r="DO50" s="913">
        <v>0</v>
      </c>
      <c r="DP50" s="913">
        <v>0</v>
      </c>
      <c r="DQ50" s="667">
        <f>SUM(DM50:DP50)</f>
        <v>0</v>
      </c>
      <c r="DR50" s="653"/>
      <c r="DS50" s="654"/>
      <c r="DT50"/>
      <c r="DU50"/>
      <c r="DV50"/>
      <c r="DW50"/>
      <c r="DX50"/>
      <c r="DY50"/>
    </row>
    <row r="51" spans="1:129" s="652" customFormat="1" hidden="1" outlineLevel="1">
      <c r="B51" s="653"/>
      <c r="C51" s="558" t="s">
        <v>270</v>
      </c>
      <c r="D51" s="654"/>
      <c r="E51" s="654"/>
      <c r="F51" s="655"/>
      <c r="G51" s="656"/>
      <c r="H51" s="657"/>
      <c r="I51" s="657"/>
      <c r="J51" s="658"/>
      <c r="K51" s="579"/>
      <c r="L51" s="656"/>
      <c r="M51" s="657"/>
      <c r="N51" s="657"/>
      <c r="O51" s="658"/>
      <c r="P51" s="580"/>
      <c r="Q51" s="656"/>
      <c r="R51" s="657"/>
      <c r="S51" s="657"/>
      <c r="T51" s="657"/>
      <c r="U51" s="847"/>
      <c r="V51" s="657"/>
      <c r="W51" s="657"/>
      <c r="X51" s="657"/>
      <c r="Y51" s="658"/>
      <c r="Z51" s="580"/>
      <c r="AA51" s="656"/>
      <c r="AB51" s="657"/>
      <c r="AC51" s="657"/>
      <c r="AD51" s="657"/>
      <c r="AE51" s="847"/>
      <c r="AF51" s="657"/>
      <c r="AG51" s="657"/>
      <c r="AH51" s="657"/>
      <c r="AI51" s="658"/>
      <c r="AJ51" s="580"/>
      <c r="AK51" s="656"/>
      <c r="AL51" s="657"/>
      <c r="AM51" s="657"/>
      <c r="AN51" s="658"/>
      <c r="AO51" s="580"/>
      <c r="AP51" s="656"/>
      <c r="AQ51" s="657"/>
      <c r="AR51" s="657"/>
      <c r="AS51" s="658"/>
      <c r="AT51" s="580"/>
      <c r="AU51" s="656"/>
      <c r="AV51" s="657"/>
      <c r="AW51" s="657"/>
      <c r="AX51" s="658"/>
      <c r="AY51" s="580"/>
      <c r="AZ51" s="656"/>
      <c r="BA51" s="657"/>
      <c r="BB51" s="657"/>
      <c r="BC51" s="658"/>
      <c r="BD51" s="580"/>
      <c r="BE51" s="656"/>
      <c r="BF51" s="657"/>
      <c r="BG51" s="657"/>
      <c r="BH51" s="658"/>
      <c r="BI51" s="580"/>
      <c r="BJ51" s="656"/>
      <c r="BK51" s="657"/>
      <c r="BL51" s="657"/>
      <c r="BM51" s="658"/>
      <c r="BN51" s="580"/>
      <c r="BO51" s="656"/>
      <c r="BP51" s="657"/>
      <c r="BQ51" s="657"/>
      <c r="BR51" s="658"/>
      <c r="BS51" s="580"/>
      <c r="BT51" s="656"/>
      <c r="BU51" s="657"/>
      <c r="BV51" s="657"/>
      <c r="BW51" s="658"/>
      <c r="BX51" s="580"/>
      <c r="BY51" s="656"/>
      <c r="BZ51" s="657"/>
      <c r="CA51" s="657"/>
      <c r="CB51" s="657"/>
      <c r="CC51" s="847"/>
      <c r="CD51" s="657">
        <v>1.2170000000000001</v>
      </c>
      <c r="CE51" s="657">
        <f>19.074+0.412</f>
        <v>19.486000000000001</v>
      </c>
      <c r="CF51" s="657">
        <v>9.1890000000000001</v>
      </c>
      <c r="CG51" s="543">
        <v>9.1159999999999997</v>
      </c>
      <c r="CH51" s="847">
        <f>SUM(CD51:CG51)</f>
        <v>39.007999999999996</v>
      </c>
      <c r="CI51" s="657">
        <v>1.2170000000000001</v>
      </c>
      <c r="CJ51" s="657">
        <f>0.537-0.752</f>
        <v>-0.21499999999999997</v>
      </c>
      <c r="CK51" s="657">
        <f>-11.222+0.247</f>
        <v>-10.975</v>
      </c>
      <c r="CL51" s="543">
        <v>7.1849999999999996</v>
      </c>
      <c r="CM51" s="847">
        <f>SUM(CI51:CL51)</f>
        <v>-2.7879999999999994</v>
      </c>
      <c r="CN51" s="657">
        <f>-43-SUM(CO51:CQ51)</f>
        <v>-5.7999999999999972</v>
      </c>
      <c r="CO51" s="657">
        <v>-10.4</v>
      </c>
      <c r="CP51" s="657">
        <f>-15.8</f>
        <v>-15.8</v>
      </c>
      <c r="CQ51" s="543">
        <v>-11</v>
      </c>
      <c r="CR51" s="667">
        <f>SUM(CN51:CQ51)</f>
        <v>-43</v>
      </c>
      <c r="CS51" s="657">
        <v>9</v>
      </c>
      <c r="CT51" s="657">
        <v>-20.2</v>
      </c>
      <c r="CU51" s="657">
        <v>6.9</v>
      </c>
      <c r="CV51" s="657">
        <v>-26</v>
      </c>
      <c r="CW51" s="667">
        <f>SUM(CS51:CV51)</f>
        <v>-30.299999999999997</v>
      </c>
      <c r="CX51" s="1090">
        <v>52</v>
      </c>
      <c r="CY51" s="1090">
        <v>5</v>
      </c>
      <c r="CZ51" s="1090">
        <v>-16</v>
      </c>
      <c r="DA51" s="1088">
        <v>26</v>
      </c>
      <c r="DB51" s="667">
        <f>SUM(CX51:DA51)</f>
        <v>67</v>
      </c>
      <c r="DC51" s="913">
        <v>0</v>
      </c>
      <c r="DD51" s="913">
        <v>0</v>
      </c>
      <c r="DE51" s="913">
        <v>0</v>
      </c>
      <c r="DF51" s="913">
        <v>0</v>
      </c>
      <c r="DG51" s="667">
        <f>SUM(DC51:DF51)</f>
        <v>0</v>
      </c>
      <c r="DH51" s="913">
        <v>0</v>
      </c>
      <c r="DI51" s="913">
        <v>0</v>
      </c>
      <c r="DJ51" s="913">
        <v>0</v>
      </c>
      <c r="DK51" s="913">
        <v>0</v>
      </c>
      <c r="DL51" s="667">
        <f>SUM(DH51:DK51)</f>
        <v>0</v>
      </c>
      <c r="DM51" s="913">
        <v>0</v>
      </c>
      <c r="DN51" s="913">
        <v>0</v>
      </c>
      <c r="DO51" s="913">
        <v>0</v>
      </c>
      <c r="DP51" s="913">
        <v>0</v>
      </c>
      <c r="DQ51" s="667">
        <f>SUM(DM51:DP51)</f>
        <v>0</v>
      </c>
      <c r="DR51" s="653"/>
      <c r="DS51" s="654"/>
      <c r="DT51"/>
      <c r="DU51"/>
      <c r="DV51"/>
      <c r="DW51"/>
      <c r="DX51"/>
      <c r="DY51"/>
    </row>
    <row r="52" spans="1:129" s="619" customFormat="1" ht="11.25" customHeight="1" collapsed="1">
      <c r="B52" s="623"/>
      <c r="C52" s="558"/>
      <c r="D52" s="558"/>
      <c r="E52" s="558"/>
      <c r="F52" s="621"/>
      <c r="G52" s="577"/>
      <c r="H52" s="578"/>
      <c r="I52" s="578"/>
      <c r="J52" s="567"/>
      <c r="K52" s="623"/>
      <c r="L52" s="577"/>
      <c r="M52" s="578"/>
      <c r="N52" s="578"/>
      <c r="O52" s="567"/>
      <c r="P52" s="558"/>
      <c r="Q52" s="577"/>
      <c r="R52" s="578"/>
      <c r="S52" s="578"/>
      <c r="T52" s="567"/>
      <c r="U52" s="558"/>
      <c r="V52" s="577"/>
      <c r="W52" s="578"/>
      <c r="X52" s="578"/>
      <c r="Y52" s="567"/>
      <c r="Z52" s="558"/>
      <c r="AA52" s="577"/>
      <c r="AB52" s="578"/>
      <c r="AC52" s="578"/>
      <c r="AD52" s="567"/>
      <c r="AE52" s="558"/>
      <c r="AF52" s="577"/>
      <c r="AG52" s="578"/>
      <c r="AH52" s="578"/>
      <c r="AI52" s="567"/>
      <c r="AJ52" s="558"/>
      <c r="AK52" s="577"/>
      <c r="AL52" s="578"/>
      <c r="AM52" s="578"/>
      <c r="AN52" s="567"/>
      <c r="AO52" s="558"/>
      <c r="AP52" s="577"/>
      <c r="AQ52" s="659"/>
      <c r="AR52" s="578"/>
      <c r="AS52" s="567"/>
      <c r="AT52" s="558"/>
      <c r="AU52" s="577"/>
      <c r="AV52" s="578"/>
      <c r="AW52" s="578"/>
      <c r="AX52" s="567"/>
      <c r="AY52" s="558"/>
      <c r="AZ52" s="577"/>
      <c r="BA52" s="578"/>
      <c r="BB52" s="578"/>
      <c r="BC52" s="567"/>
      <c r="BD52" s="558"/>
      <c r="BE52" s="577"/>
      <c r="BF52" s="578"/>
      <c r="BG52" s="578"/>
      <c r="BH52" s="567"/>
      <c r="BI52" s="558"/>
      <c r="BJ52" s="577"/>
      <c r="BK52" s="578"/>
      <c r="BL52" s="578"/>
      <c r="BM52" s="567"/>
      <c r="BN52" s="558"/>
      <c r="BO52" s="577"/>
      <c r="BP52" s="578"/>
      <c r="BQ52" s="578"/>
      <c r="BR52" s="567"/>
      <c r="BS52" s="558"/>
      <c r="BT52" s="577"/>
      <c r="BU52" s="578"/>
      <c r="BV52" s="578"/>
      <c r="BW52" s="567"/>
      <c r="BX52" s="558"/>
      <c r="BY52" s="577"/>
      <c r="BZ52" s="578"/>
      <c r="CA52" s="578"/>
      <c r="CB52" s="578"/>
      <c r="CC52" s="622"/>
      <c r="CD52" s="660"/>
      <c r="CE52" s="660"/>
      <c r="CF52" s="661"/>
      <c r="CG52" s="660"/>
      <c r="CH52" s="622"/>
      <c r="CI52" s="660"/>
      <c r="CJ52" s="660"/>
      <c r="CK52" s="660"/>
      <c r="CL52" s="660"/>
      <c r="CM52" s="622"/>
      <c r="CN52" s="660"/>
      <c r="CO52" s="660"/>
      <c r="CP52" s="660"/>
      <c r="CQ52" s="660"/>
      <c r="CR52" s="667"/>
      <c r="CS52" s="660"/>
      <c r="CT52" s="660"/>
      <c r="CU52" s="660"/>
      <c r="CV52" s="660"/>
      <c r="CW52" s="668"/>
      <c r="CX52" s="660"/>
      <c r="CY52" s="660"/>
      <c r="CZ52" s="660"/>
      <c r="DA52" s="660"/>
      <c r="DB52" s="1073"/>
      <c r="DC52" s="660"/>
      <c r="DD52" s="660"/>
      <c r="DE52" s="660"/>
      <c r="DF52" s="660"/>
      <c r="DG52" s="667"/>
      <c r="DH52" s="660"/>
      <c r="DI52" s="660"/>
      <c r="DJ52" s="660"/>
      <c r="DK52" s="660"/>
      <c r="DL52" s="667"/>
      <c r="DM52" s="660"/>
      <c r="DN52" s="660"/>
      <c r="DO52" s="660"/>
      <c r="DP52" s="660"/>
      <c r="DQ52" s="667"/>
      <c r="DR52" s="623"/>
      <c r="DS52" s="558"/>
      <c r="DT52"/>
      <c r="DU52"/>
      <c r="DV52"/>
      <c r="DW52"/>
      <c r="DX52"/>
      <c r="DY52"/>
    </row>
    <row r="53" spans="1:129" s="635" customFormat="1">
      <c r="B53" s="978" t="s">
        <v>327</v>
      </c>
      <c r="C53" s="992"/>
      <c r="D53" s="992"/>
      <c r="E53" s="992"/>
      <c r="F53" s="993"/>
      <c r="G53" s="994">
        <f>G32-G46</f>
        <v>1.1239999999999992</v>
      </c>
      <c r="H53" s="995">
        <f>H32-H46</f>
        <v>1.5819999999999994</v>
      </c>
      <c r="I53" s="995">
        <f>I32-I46</f>
        <v>2.4349999999999987</v>
      </c>
      <c r="J53" s="996">
        <f>J32-J46</f>
        <v>3.7769999999999992</v>
      </c>
      <c r="K53" s="995">
        <f>SUM(G53:J53)</f>
        <v>8.9179999999999957</v>
      </c>
      <c r="L53" s="994">
        <f>L32-L46</f>
        <v>4.0699999999999976</v>
      </c>
      <c r="M53" s="995">
        <f>M32-M46</f>
        <v>3.8630000000000022</v>
      </c>
      <c r="N53" s="995">
        <f>N32-N46</f>
        <v>4.1760000000000019</v>
      </c>
      <c r="O53" s="996">
        <f>O32-O46</f>
        <v>4.535999999999996</v>
      </c>
      <c r="P53" s="995">
        <f>SUM(L53:O53)</f>
        <v>16.644999999999996</v>
      </c>
      <c r="Q53" s="994">
        <f>Q32-Q46</f>
        <v>5.1230000000000011</v>
      </c>
      <c r="R53" s="995">
        <f>R32-R46</f>
        <v>6.0409999999999968</v>
      </c>
      <c r="S53" s="995">
        <f>S32-S46</f>
        <v>7.0790000000000006</v>
      </c>
      <c r="T53" s="996">
        <f>T32-T46</f>
        <v>7.8849999999999909</v>
      </c>
      <c r="U53" s="995">
        <f>SUM(Q53:T53)</f>
        <v>26.127999999999989</v>
      </c>
      <c r="V53" s="994">
        <f>V32-V46</f>
        <v>8.3890000000000029</v>
      </c>
      <c r="W53" s="995">
        <f>W32-W46</f>
        <v>8.8740000000000006</v>
      </c>
      <c r="X53" s="995">
        <f>X32-X46</f>
        <v>9.3230000000000004</v>
      </c>
      <c r="Y53" s="996">
        <f>Y32-Y46</f>
        <v>9.0339999999999989</v>
      </c>
      <c r="Z53" s="995">
        <f>SUM(V53:Y53)</f>
        <v>35.620000000000005</v>
      </c>
      <c r="AA53" s="994">
        <f>AA32-AA46</f>
        <v>13.119846153846156</v>
      </c>
      <c r="AB53" s="995">
        <f>AB32-AB46</f>
        <v>14.963538461538459</v>
      </c>
      <c r="AC53" s="995">
        <f>AC32-AC46</f>
        <v>16.349538461538462</v>
      </c>
      <c r="AD53" s="996">
        <f>AD32-AD46</f>
        <v>18.552769230769222</v>
      </c>
      <c r="AE53" s="995">
        <f>SUM(AA53:AD53)</f>
        <v>62.985692307692297</v>
      </c>
      <c r="AF53" s="994">
        <f>AF32-AF46</f>
        <v>19.71169230769231</v>
      </c>
      <c r="AG53" s="995">
        <f>AG32-AG46</f>
        <v>22.960307692307691</v>
      </c>
      <c r="AH53" s="995">
        <f>AH32-AH46</f>
        <v>25.604769230769232</v>
      </c>
      <c r="AI53" s="996">
        <f>AI32-AI46</f>
        <v>27.122923076923076</v>
      </c>
      <c r="AJ53" s="995">
        <f>SUM(AF53:AI53)</f>
        <v>95.399692307692305</v>
      </c>
      <c r="AK53" s="994">
        <f>AK32-AK46</f>
        <v>28.956230769230764</v>
      </c>
      <c r="AL53" s="995">
        <f>AL32-AL46</f>
        <v>34.637692307692291</v>
      </c>
      <c r="AM53" s="995">
        <f>AM32-AM46</f>
        <v>37.928923076923084</v>
      </c>
      <c r="AN53" s="996">
        <f>AN32-AN46</f>
        <v>39.471000000000011</v>
      </c>
      <c r="AO53" s="995">
        <f>SUM(AK53:AN53)</f>
        <v>140.99384615384614</v>
      </c>
      <c r="AP53" s="994">
        <f>AP32-AP46</f>
        <v>45.07007692307694</v>
      </c>
      <c r="AQ53" s="995">
        <f>AQ32-AQ46</f>
        <v>49.146461538461523</v>
      </c>
      <c r="AR53" s="995">
        <f>AR32-AR46</f>
        <v>53.913307692307683</v>
      </c>
      <c r="AS53" s="996">
        <f>AS32-AS46</f>
        <v>57.163076923076957</v>
      </c>
      <c r="AT53" s="995">
        <f>SUM(AP53:AS53)</f>
        <v>205.2929230769231</v>
      </c>
      <c r="AU53" s="994">
        <f>AU32-AU46</f>
        <v>60.757999999999996</v>
      </c>
      <c r="AV53" s="995">
        <f>AV32-AV46</f>
        <v>67.440000000000026</v>
      </c>
      <c r="AW53" s="995">
        <f>AW32-AW46</f>
        <v>76.234000000000052</v>
      </c>
      <c r="AX53" s="996">
        <f>AX32-AX46</f>
        <v>84.445000000000007</v>
      </c>
      <c r="AY53" s="995">
        <f>SUM(AU53:AX53)</f>
        <v>288.87700000000007</v>
      </c>
      <c r="AZ53" s="994">
        <f>AZ32-AZ46</f>
        <v>91.040000000000049</v>
      </c>
      <c r="BA53" s="995">
        <f>BA32-BA46</f>
        <v>100.18299999999999</v>
      </c>
      <c r="BB53" s="995">
        <f>BB32-BB46</f>
        <v>110.285</v>
      </c>
      <c r="BC53" s="996">
        <f>BC32-BC46</f>
        <v>121.85199999999992</v>
      </c>
      <c r="BD53" s="995">
        <f>SUM(AZ53:BC53)</f>
        <v>423.35999999999996</v>
      </c>
      <c r="BE53" s="994">
        <f>BE32-BE46</f>
        <v>125.596</v>
      </c>
      <c r="BF53" s="995">
        <f>BF32-BF46</f>
        <v>136.05700000000002</v>
      </c>
      <c r="BG53" s="995">
        <f>BG32-BG46</f>
        <v>152.80000000000004</v>
      </c>
      <c r="BH53" s="996">
        <f>BH32-BH46</f>
        <v>154.26599999999996</v>
      </c>
      <c r="BI53" s="995">
        <f>SUM(BE53:BH53)</f>
        <v>568.71900000000005</v>
      </c>
      <c r="BJ53" s="994">
        <f>BJ32-BJ46</f>
        <v>150.83800000000002</v>
      </c>
      <c r="BK53" s="995">
        <f>BK32-BK46</f>
        <v>161.32300000000001</v>
      </c>
      <c r="BL53" s="995">
        <f>BL32-BL46</f>
        <v>172.37100000000018</v>
      </c>
      <c r="BM53" s="996">
        <f>BM32-BM46</f>
        <v>179.71899999999974</v>
      </c>
      <c r="BN53" s="995">
        <f>SUM(BJ53:BM53)</f>
        <v>664.25099999999998</v>
      </c>
      <c r="BO53" s="994">
        <f>BO32-BO46</f>
        <v>196.96200000000002</v>
      </c>
      <c r="BP53" s="995">
        <f>BP32-BP46</f>
        <v>219.905</v>
      </c>
      <c r="BQ53" s="995">
        <f>BQ32-BQ46</f>
        <v>242.40799999999996</v>
      </c>
      <c r="BR53" s="996">
        <f>BR32-BR46</f>
        <v>259.56099999999986</v>
      </c>
      <c r="BS53" s="995">
        <f>SUM(BO53:BR53)</f>
        <v>918.83599999999979</v>
      </c>
      <c r="BT53" s="994">
        <f>BT32-BT46</f>
        <v>281.42999999999989</v>
      </c>
      <c r="BU53" s="995">
        <f>BU32-BU46</f>
        <v>293.63699999999994</v>
      </c>
      <c r="BV53" s="995">
        <f>BV32-BV46</f>
        <v>317.50199999999995</v>
      </c>
      <c r="BW53" s="996">
        <f>BW32-BW46</f>
        <v>334.13099999999991</v>
      </c>
      <c r="BX53" s="995">
        <f>SUM(BT53:BW53)</f>
        <v>1226.6999999999996</v>
      </c>
      <c r="BY53" s="994">
        <f>BY32-BY46</f>
        <v>355.59800000000018</v>
      </c>
      <c r="BZ53" s="995">
        <f>BZ32-BZ46</f>
        <v>359.45700000000016</v>
      </c>
      <c r="CA53" s="995">
        <f>CA32-CA46</f>
        <v>380.5250000000002</v>
      </c>
      <c r="CB53" s="995">
        <f>CB32-CB46</f>
        <v>389.14200000000022</v>
      </c>
      <c r="CC53" s="983">
        <f>SUM(BY53:CB53)</f>
        <v>1484.7220000000007</v>
      </c>
      <c r="CD53" s="995">
        <f>CD32-CD46</f>
        <v>401.65400000000017</v>
      </c>
      <c r="CE53" s="995">
        <f>CE32-CE46</f>
        <v>462.95199999999983</v>
      </c>
      <c r="CF53" s="995">
        <f>CF32-CF46</f>
        <v>469.50200000000001</v>
      </c>
      <c r="CG53" s="995">
        <f>CG32-CG46</f>
        <v>486.60399999999987</v>
      </c>
      <c r="CH53" s="983">
        <f>SUM(CD53:CG53)</f>
        <v>1820.7119999999998</v>
      </c>
      <c r="CI53" s="995">
        <f>CI32-CI46</f>
        <v>503.83600000000001</v>
      </c>
      <c r="CJ53" s="995">
        <f>CJ32-CJ46</f>
        <v>529.02099999999962</v>
      </c>
      <c r="CK53" s="995">
        <f>CK32-CK46</f>
        <v>503.71299999999957</v>
      </c>
      <c r="CL53" s="995">
        <f>CL32-CL46</f>
        <v>531.50800000000004</v>
      </c>
      <c r="CM53" s="983">
        <f>SUM(CI53:CL53)</f>
        <v>2068.0779999999991</v>
      </c>
      <c r="CN53" s="995">
        <f>CN32-CN43-CN37+CN49+CN50</f>
        <v>576.8000000000003</v>
      </c>
      <c r="CO53" s="995">
        <f>CO32-CO43-CO37+CO49+CO50</f>
        <v>622.9</v>
      </c>
      <c r="CP53" s="995">
        <f>CP32-CP43-CP37+CP49+CP50</f>
        <v>617.79999999999973</v>
      </c>
      <c r="CQ53" s="995">
        <f>CQ32-CQ43-CQ37+CQ49+CQ50</f>
        <v>632.40000000000009</v>
      </c>
      <c r="CR53" s="983">
        <f>SUM(CN53:CQ53)</f>
        <v>2449.9</v>
      </c>
      <c r="CS53" s="995">
        <f>CS32-CS43-CS37+CS49+CS50</f>
        <v>636.59999999999968</v>
      </c>
      <c r="CT53" s="995">
        <f>CT32-CT43-CT37+CT49+CT50</f>
        <v>683.4</v>
      </c>
      <c r="CU53" s="995">
        <f>CU32-CU43-CU37+CU49+CU50</f>
        <v>667.19999999999993</v>
      </c>
      <c r="CV53" s="995">
        <f>CV32-CV43-CV37+CV49+CV50</f>
        <v>649</v>
      </c>
      <c r="CW53" s="983">
        <f>SUM(CS53:CV53)</f>
        <v>2636.1999999999994</v>
      </c>
      <c r="CX53" s="995">
        <f>CX32-CX43-CX37+CX49+CX50</f>
        <v>669</v>
      </c>
      <c r="CY53" s="995">
        <f>CY32-CY43-CY37+CY49+CY50</f>
        <v>735</v>
      </c>
      <c r="CZ53" s="995">
        <f>CZ32-CZ43-CZ37+CZ49+CZ50</f>
        <v>754</v>
      </c>
      <c r="DA53" s="995">
        <f>DA32-DA43-DA37+DA49+DA50</f>
        <v>754</v>
      </c>
      <c r="DB53" s="983">
        <f>SUM(CX53:DA53)</f>
        <v>2912</v>
      </c>
      <c r="DC53" s="995">
        <f t="shared" ref="DC53:DK53" si="155">DC32-DC43-DC37+DC49+DC50</f>
        <v>787.87568750000025</v>
      </c>
      <c r="DD53" s="995">
        <f t="shared" si="155"/>
        <v>831.88409999999999</v>
      </c>
      <c r="DE53" s="995">
        <f t="shared" si="155"/>
        <v>863.02473999999995</v>
      </c>
      <c r="DF53" s="995">
        <f t="shared" si="155"/>
        <v>902.48891000000037</v>
      </c>
      <c r="DG53" s="983">
        <f>SUM(DC53:DF53)</f>
        <v>3385.2734375000005</v>
      </c>
      <c r="DH53" s="995">
        <f t="shared" si="155"/>
        <v>919.37397750000036</v>
      </c>
      <c r="DI53" s="995">
        <f t="shared" si="155"/>
        <v>956.69172885000012</v>
      </c>
      <c r="DJ53" s="995">
        <f t="shared" si="155"/>
        <v>982.89524310000024</v>
      </c>
      <c r="DK53" s="995">
        <f t="shared" si="155"/>
        <v>998.28280680000034</v>
      </c>
      <c r="DL53" s="983">
        <f>SUM(DH53:DK53)</f>
        <v>3857.2437562500013</v>
      </c>
      <c r="DM53" s="995">
        <f t="shared" ref="DM53:DP53" si="156">DM32-DM43-DM37+DM49+DM50</f>
        <v>993.31259568750033</v>
      </c>
      <c r="DN53" s="995">
        <f t="shared" si="156"/>
        <v>1031.2696392180005</v>
      </c>
      <c r="DO53" s="995">
        <f t="shared" si="156"/>
        <v>1061.0611110435</v>
      </c>
      <c r="DP53" s="995">
        <f t="shared" si="156"/>
        <v>1076.4831468480002</v>
      </c>
      <c r="DQ53" s="983">
        <f>SUM(DM53:DP53)</f>
        <v>4162.1264927970005</v>
      </c>
      <c r="DR53" s="620"/>
      <c r="DS53" s="636"/>
      <c r="DT53"/>
      <c r="DU53"/>
      <c r="DV53"/>
      <c r="DW53"/>
      <c r="DX53"/>
      <c r="DY53"/>
    </row>
    <row r="54" spans="1:129" s="662" customFormat="1" ht="11.25" customHeight="1">
      <c r="B54" s="623"/>
      <c r="C54" s="636" t="s">
        <v>349</v>
      </c>
      <c r="D54" s="997"/>
      <c r="E54" s="997"/>
      <c r="F54" s="998"/>
      <c r="G54" s="999"/>
      <c r="H54" s="1000"/>
      <c r="I54" s="1000"/>
      <c r="J54" s="1001"/>
      <c r="K54" s="999"/>
      <c r="L54" s="999"/>
      <c r="M54" s="1000"/>
      <c r="N54" s="1000"/>
      <c r="O54" s="1001"/>
      <c r="P54" s="1000"/>
      <c r="Q54" s="999"/>
      <c r="R54" s="1000"/>
      <c r="S54" s="1000"/>
      <c r="T54" s="1001"/>
      <c r="U54" s="1000"/>
      <c r="V54" s="999"/>
      <c r="W54" s="1000"/>
      <c r="X54" s="1000"/>
      <c r="Y54" s="1001"/>
      <c r="Z54" s="1000"/>
      <c r="AA54" s="999"/>
      <c r="AB54" s="1000"/>
      <c r="AC54" s="1000"/>
      <c r="AD54" s="1001"/>
      <c r="AE54" s="1000"/>
      <c r="AF54" s="999"/>
      <c r="AG54" s="1000"/>
      <c r="AH54" s="1000"/>
      <c r="AI54" s="1001"/>
      <c r="AJ54" s="1000"/>
      <c r="AK54" s="999"/>
      <c r="AL54" s="1000"/>
      <c r="AM54" s="1000"/>
      <c r="AN54" s="1001"/>
      <c r="AO54" s="1000"/>
      <c r="AP54" s="999"/>
      <c r="AQ54" s="1000"/>
      <c r="AR54" s="1000"/>
      <c r="AS54" s="1001"/>
      <c r="AT54" s="1000"/>
      <c r="AU54" s="999">
        <f t="shared" ref="AU54:CC54" si="157">AU53/AU22</f>
        <v>0.21282826407546615</v>
      </c>
      <c r="AV54" s="1000">
        <f t="shared" si="157"/>
        <v>0.2002161289173367</v>
      </c>
      <c r="AW54" s="1000">
        <f t="shared" si="157"/>
        <v>0.2019326026032921</v>
      </c>
      <c r="AX54" s="1001">
        <f t="shared" si="157"/>
        <v>0.19896095940437766</v>
      </c>
      <c r="AY54" s="1000">
        <f t="shared" si="157"/>
        <v>0.2028250321042333</v>
      </c>
      <c r="AZ54" s="999">
        <f t="shared" si="157"/>
        <v>0.19779694527125391</v>
      </c>
      <c r="BA54" s="1000">
        <f t="shared" si="157"/>
        <v>0.19395989266505842</v>
      </c>
      <c r="BB54" s="1000">
        <f t="shared" si="157"/>
        <v>0.19734734815339713</v>
      </c>
      <c r="BC54" s="1001">
        <f t="shared" si="157"/>
        <v>0.20310156078112385</v>
      </c>
      <c r="BD54" s="1000">
        <f t="shared" si="157"/>
        <v>0.19824150569143603</v>
      </c>
      <c r="BE54" s="999">
        <f t="shared" si="157"/>
        <v>0.19529595432168259</v>
      </c>
      <c r="BF54" s="1000">
        <f t="shared" si="157"/>
        <v>0.19849962140388402</v>
      </c>
      <c r="BG54" s="1000">
        <f t="shared" si="157"/>
        <v>0.20796868492472029</v>
      </c>
      <c r="BH54" s="1001">
        <f t="shared" si="157"/>
        <v>0.20485628348903448</v>
      </c>
      <c r="BI54" s="1000">
        <f t="shared" si="157"/>
        <v>0.20193807202631536</v>
      </c>
      <c r="BJ54" s="999">
        <f t="shared" si="157"/>
        <v>0.2022331208722257</v>
      </c>
      <c r="BK54" s="1000">
        <f t="shared" si="157"/>
        <v>0.20773198796794198</v>
      </c>
      <c r="BL54" s="1000">
        <f t="shared" si="157"/>
        <v>0.20196066025532888</v>
      </c>
      <c r="BM54" s="1001">
        <f t="shared" si="157"/>
        <v>0.19908587481624973</v>
      </c>
      <c r="BN54" s="1000">
        <f t="shared" si="157"/>
        <v>0.20259813222645934</v>
      </c>
      <c r="BO54" s="999">
        <f t="shared" si="157"/>
        <v>0.20522860834410037</v>
      </c>
      <c r="BP54" s="1000">
        <f t="shared" si="157"/>
        <v>0.19898131844068789</v>
      </c>
      <c r="BQ54" s="1000">
        <f t="shared" si="157"/>
        <v>0.19919912105466861</v>
      </c>
      <c r="BR54" s="1001">
        <f t="shared" si="157"/>
        <v>0.19804715695535327</v>
      </c>
      <c r="BS54" s="1000">
        <f t="shared" si="157"/>
        <v>0.20007799861901943</v>
      </c>
      <c r="BT54" s="999">
        <f t="shared" si="157"/>
        <v>0.20523564943887079</v>
      </c>
      <c r="BU54" s="1000">
        <f t="shared" si="157"/>
        <v>0.19770313524664665</v>
      </c>
      <c r="BV54" s="1000">
        <f t="shared" si="157"/>
        <v>0.1983205014010396</v>
      </c>
      <c r="BW54" s="1001">
        <f t="shared" si="157"/>
        <v>0.20083524322491877</v>
      </c>
      <c r="BX54" s="1000">
        <f t="shared" si="157"/>
        <v>0.20040332250966972</v>
      </c>
      <c r="BY54" s="999">
        <f t="shared" si="157"/>
        <v>0.20778812504053829</v>
      </c>
      <c r="BZ54" s="1000">
        <f t="shared" si="157"/>
        <v>0.20023005536925845</v>
      </c>
      <c r="CA54" s="1000">
        <f t="shared" si="157"/>
        <v>0.20115632176130535</v>
      </c>
      <c r="CB54" s="1000">
        <f t="shared" si="157"/>
        <v>0.19974284152416452</v>
      </c>
      <c r="CC54" s="1002">
        <f t="shared" si="157"/>
        <v>0.20210000119785396</v>
      </c>
      <c r="CD54" s="1000">
        <f>(CD53-CD51)/CD22</f>
        <v>0.19816374017809343</v>
      </c>
      <c r="CE54" s="1000">
        <f>(CE53-CE51)/CE22</f>
        <v>0.20519053876478313</v>
      </c>
      <c r="CF54" s="1000">
        <f>(CF53-CF51)/CF22</f>
        <v>0.19963933221813721</v>
      </c>
      <c r="CG54" s="1000">
        <f>(CG53-CG51)/CG22</f>
        <v>0.20271298346669561</v>
      </c>
      <c r="CH54" s="1002">
        <f>CH53/CH22</f>
        <v>0.205888622305822</v>
      </c>
      <c r="CI54" s="1000">
        <f>(CI53-CI51)/CI22</f>
        <v>0.20749248250044999</v>
      </c>
      <c r="CJ54" s="1000">
        <f>(CJ53-CJ51)/CJ22</f>
        <v>0.21025674845675202</v>
      </c>
      <c r="CK54" s="1000">
        <f>(CK53-CK51)/CK22</f>
        <v>0.19941348519125646</v>
      </c>
      <c r="CL54" s="1000">
        <f>(CL53-CL51)/CL22</f>
        <v>0.19120314488573173</v>
      </c>
      <c r="CM54" s="1002">
        <f t="shared" ref="CM54:DL54" si="158">CM53/CM22</f>
        <v>0.20151439959987058</v>
      </c>
      <c r="CN54" s="1000">
        <f t="shared" si="158"/>
        <v>0.19811774404066781</v>
      </c>
      <c r="CO54" s="1000">
        <f t="shared" si="158"/>
        <v>0.20190593497779649</v>
      </c>
      <c r="CP54" s="1000">
        <f t="shared" si="158"/>
        <v>0.19385001568873542</v>
      </c>
      <c r="CQ54" s="1000">
        <f t="shared" si="158"/>
        <v>0.19563805104408355</v>
      </c>
      <c r="CR54" s="1002">
        <f t="shared" si="158"/>
        <v>0.19731797680412372</v>
      </c>
      <c r="CS54" s="1000">
        <f t="shared" si="158"/>
        <v>0.19881324172392245</v>
      </c>
      <c r="CT54" s="1000">
        <f t="shared" si="158"/>
        <v>0.20279533517315051</v>
      </c>
      <c r="CU54" s="1000">
        <f t="shared" si="158"/>
        <v>0.19321209313100887</v>
      </c>
      <c r="CV54" s="1000">
        <f t="shared" si="158"/>
        <v>0.18746389370306182</v>
      </c>
      <c r="CW54" s="1002">
        <f t="shared" si="158"/>
        <v>0.19546084777305717</v>
      </c>
      <c r="CX54" s="1000">
        <f t="shared" si="158"/>
        <v>0.18866328257191201</v>
      </c>
      <c r="CY54" s="1000">
        <f t="shared" si="158"/>
        <v>0.20027247956403268</v>
      </c>
      <c r="CZ54" s="1000">
        <f t="shared" si="158"/>
        <v>0.20021242697822622</v>
      </c>
      <c r="DA54" s="1000">
        <f t="shared" si="158"/>
        <v>0.19696969696969696</v>
      </c>
      <c r="DB54" s="1002">
        <f t="shared" si="158"/>
        <v>0.19662390276839972</v>
      </c>
      <c r="DC54" s="1000">
        <f t="shared" si="158"/>
        <v>0.20350000000000007</v>
      </c>
      <c r="DD54" s="1000">
        <f t="shared" si="158"/>
        <v>0.20749999999999999</v>
      </c>
      <c r="DE54" s="1000">
        <f t="shared" si="158"/>
        <v>0.21049999999999999</v>
      </c>
      <c r="DF54" s="1000">
        <f t="shared" si="158"/>
        <v>0.21650000000000008</v>
      </c>
      <c r="DG54" s="1002">
        <f t="shared" si="158"/>
        <v>0.20962581176998757</v>
      </c>
      <c r="DH54" s="1000">
        <f t="shared" si="158"/>
        <v>0.22000000000000006</v>
      </c>
      <c r="DI54" s="1000">
        <f t="shared" si="158"/>
        <v>0.22100000000000003</v>
      </c>
      <c r="DJ54" s="1000">
        <f t="shared" si="158"/>
        <v>0.22200000000000003</v>
      </c>
      <c r="DK54" s="1000">
        <f t="shared" si="158"/>
        <v>0.22200000000000003</v>
      </c>
      <c r="DL54" s="1002">
        <f t="shared" si="158"/>
        <v>0.22127221318149581</v>
      </c>
      <c r="DM54" s="1000">
        <f t="shared" ref="DM54:DQ54" si="159">DM53/DM22</f>
        <v>0.22000000000000008</v>
      </c>
      <c r="DN54" s="1000">
        <f t="shared" si="159"/>
        <v>0.22100000000000006</v>
      </c>
      <c r="DO54" s="1000">
        <f t="shared" si="159"/>
        <v>0.22199999999999998</v>
      </c>
      <c r="DP54" s="1000">
        <f t="shared" si="159"/>
        <v>0.222</v>
      </c>
      <c r="DQ54" s="1002">
        <f t="shared" si="159"/>
        <v>0.22127185097442315</v>
      </c>
      <c r="DR54" s="663"/>
      <c r="DS54" s="664"/>
      <c r="DT54"/>
      <c r="DU54"/>
      <c r="DV54"/>
      <c r="DW54"/>
      <c r="DX54"/>
      <c r="DY54"/>
    </row>
    <row r="55" spans="1:129" s="38" customFormat="1" ht="11.25" hidden="1" customHeight="1" outlineLevel="1">
      <c r="A55" s="652"/>
      <c r="B55" s="762" t="s">
        <v>12</v>
      </c>
      <c r="C55" s="763"/>
      <c r="D55" s="763"/>
      <c r="E55" s="763"/>
      <c r="F55" s="764"/>
      <c r="G55" s="765"/>
      <c r="H55" s="616"/>
      <c r="I55" s="616"/>
      <c r="J55" s="766"/>
      <c r="K55" s="765">
        <f>SUM(G55:J55)</f>
        <v>0</v>
      </c>
      <c r="L55" s="765"/>
      <c r="M55" s="616"/>
      <c r="N55" s="616"/>
      <c r="O55" s="766"/>
      <c r="P55" s="616">
        <f>SUM(L55:O55)</f>
        <v>0</v>
      </c>
      <c r="Q55" s="765"/>
      <c r="R55" s="616"/>
      <c r="S55" s="616"/>
      <c r="T55" s="766"/>
      <c r="U55" s="616">
        <f>SUM(Q55:T55)</f>
        <v>0</v>
      </c>
      <c r="V55" s="765"/>
      <c r="W55" s="616"/>
      <c r="X55" s="616"/>
      <c r="Y55" s="766"/>
      <c r="Z55" s="616">
        <f>SUM(V55:Y55)</f>
        <v>0</v>
      </c>
      <c r="AA55" s="765">
        <f>2.583/(1-AA74)</f>
        <v>3.973846153846154</v>
      </c>
      <c r="AB55" s="616">
        <f>2.77/(1-AB74)</f>
        <v>4.2615384615384615</v>
      </c>
      <c r="AC55" s="616">
        <f>2.757/(1-AC74)</f>
        <v>4.2415384615384619</v>
      </c>
      <c r="AD55" s="766">
        <f>(11.562-2.583-2.77-2.757)/(1-AD74)</f>
        <v>5.31076923076923</v>
      </c>
      <c r="AE55" s="616">
        <f>SUM(AA55:AD55)</f>
        <v>17.787692307692311</v>
      </c>
      <c r="AF55" s="765">
        <f>3.372/(1-AF74)</f>
        <v>5.1876923076923074</v>
      </c>
      <c r="AG55" s="616">
        <f>3.791/(1-AG74)</f>
        <v>5.8323076923076922</v>
      </c>
      <c r="AH55" s="616">
        <f>4.115/(1-AH74)</f>
        <v>6.3307692307692305</v>
      </c>
      <c r="AI55" s="766">
        <f>(15.495-0.488-3.372-3.791-4.115)/(1-AI74)</f>
        <v>5.7369230769230759</v>
      </c>
      <c r="AJ55" s="616">
        <f>SUM(AF55:AI55)</f>
        <v>23.087692307692308</v>
      </c>
      <c r="AK55" s="765">
        <f>3.425/(1-AK74)</f>
        <v>5.2692307692307692</v>
      </c>
      <c r="AL55" s="616">
        <f>4.451/(1-AL74)</f>
        <v>6.8476923076923066</v>
      </c>
      <c r="AM55" s="616">
        <f>4.587/(1-AM74)</f>
        <v>7.0569230769230762</v>
      </c>
      <c r="AN55" s="766">
        <f>(15.193-4.587-4.451-3.425)/(1-AN74)</f>
        <v>4.2</v>
      </c>
      <c r="AO55" s="616">
        <f>SUM(AK55:AN55)</f>
        <v>23.373846153846152</v>
      </c>
      <c r="AP55" s="765">
        <f>5.124/(1-AP74)</f>
        <v>7.8830769230769224</v>
      </c>
      <c r="AQ55" s="616">
        <f>4.406/(1-AQ74)</f>
        <v>6.7784615384615376</v>
      </c>
      <c r="AR55" s="616">
        <f>4.48/(1-AR74)</f>
        <v>6.8923076923076927</v>
      </c>
      <c r="AS55" s="766">
        <f>(17.99-4.48-4.406-5.124)/(1-AS74)</f>
        <v>6.1230769230769218</v>
      </c>
      <c r="AT55" s="616">
        <f>SUM(AP55:AS55)</f>
        <v>27.676923076923075</v>
      </c>
      <c r="AU55" s="765">
        <f>SUM(AU28,AU39)</f>
        <v>7.6020000000000003</v>
      </c>
      <c r="AV55" s="616">
        <f>SUM(AV28,AV39)</f>
        <v>6.7690000000000001</v>
      </c>
      <c r="AW55" s="616">
        <f>SUM(AW28,AW39)</f>
        <v>7.47</v>
      </c>
      <c r="AX55" s="766">
        <f>SUM(AX28,AX39)</f>
        <v>8.093</v>
      </c>
      <c r="AY55" s="616">
        <f>SUM(AU55:AX55)</f>
        <v>29.934000000000001</v>
      </c>
      <c r="AZ55" s="765">
        <f>SUM(AZ28,AZ39)</f>
        <v>7.4379999999999997</v>
      </c>
      <c r="BA55" s="616">
        <f>SUM(BA28,BA39)</f>
        <v>9.5120000000000005</v>
      </c>
      <c r="BB55" s="616">
        <f>SUM(BB28,BB39)</f>
        <v>9.1550000000000011</v>
      </c>
      <c r="BC55" s="766">
        <f>SUM(BC28,BC39)</f>
        <v>15.733000000000001</v>
      </c>
      <c r="BD55" s="616">
        <f>SUM(AZ55:BC55)</f>
        <v>41.838000000000001</v>
      </c>
      <c r="BE55" s="765">
        <f>SUM(BE28,BE39)</f>
        <v>13.901</v>
      </c>
      <c r="BF55" s="616">
        <f>SUM(BF28,BF39)</f>
        <v>16.378999999999998</v>
      </c>
      <c r="BG55" s="616">
        <f>SUM(BG28,BG39)</f>
        <v>10.169</v>
      </c>
      <c r="BH55" s="766">
        <f>SUM(BH28,BH39)</f>
        <v>11.600000000000001</v>
      </c>
      <c r="BI55" s="616">
        <f>SUM(BE55:BH55)</f>
        <v>52.048999999999999</v>
      </c>
      <c r="BJ55" s="765">
        <f>SUM(BJ28,BJ39)</f>
        <v>12.708</v>
      </c>
      <c r="BK55" s="616">
        <f>SUM(BK28,BK39)</f>
        <v>9.6529999999999987</v>
      </c>
      <c r="BL55" s="616">
        <f>SUM(BL28,BL39)</f>
        <v>10.589</v>
      </c>
      <c r="BM55" s="766">
        <f>SUM(BM28,BM39)</f>
        <v>12.811</v>
      </c>
      <c r="BN55" s="616">
        <f>SUM(BJ55:BM55)</f>
        <v>45.760999999999996</v>
      </c>
      <c r="BO55" s="765">
        <f>SUM(BO28,BO39)</f>
        <v>13.945</v>
      </c>
      <c r="BP55" s="616">
        <f>SUM(BP28,BP39)</f>
        <v>13.99</v>
      </c>
      <c r="BQ55" s="616">
        <f>SUM(BQ28,BQ39)</f>
        <v>14.109</v>
      </c>
      <c r="BR55" s="766">
        <f>SUM(BR28,BR39)</f>
        <v>14.940000000000001</v>
      </c>
      <c r="BS55" s="616">
        <f>SUM(BO55:BR55)</f>
        <v>56.984000000000009</v>
      </c>
      <c r="BT55" s="765">
        <f>SUM(BT28,BT39)</f>
        <v>16.064999999999998</v>
      </c>
      <c r="BU55" s="616">
        <f>SUM(BU28,BU39)</f>
        <v>23.678999999999998</v>
      </c>
      <c r="BV55" s="616">
        <f>SUM(BV28,BV39)</f>
        <v>24.5</v>
      </c>
      <c r="BW55" s="766">
        <f>SUM(BW28,BW39)</f>
        <v>25.988</v>
      </c>
      <c r="BX55" s="616">
        <f>SUM(BT55:BW55)</f>
        <v>90.231999999999999</v>
      </c>
      <c r="BY55" s="765">
        <f>SUM(BY28,BY39)</f>
        <v>31.378999999999998</v>
      </c>
      <c r="BZ55" s="616">
        <f>SUM(BZ28,BZ39)</f>
        <v>26.271000000000001</v>
      </c>
      <c r="CA55" s="616">
        <f>SUM(CA28,CA39)</f>
        <v>22.260999999999999</v>
      </c>
      <c r="CB55" s="616">
        <f>SUM(CB28,CB39)</f>
        <v>27.444000000000003</v>
      </c>
      <c r="CC55" s="846">
        <f>SUM(BY55:CB55)</f>
        <v>107.355</v>
      </c>
      <c r="CD55" s="616">
        <f>SUM(CD28,CD39)</f>
        <v>29.093</v>
      </c>
      <c r="CE55" s="616">
        <f>SUM(CE28,CE39)</f>
        <v>30.237000000000002</v>
      </c>
      <c r="CF55" s="616">
        <f>SUM(CF28,CF39)</f>
        <v>27.023000000000003</v>
      </c>
      <c r="CG55" s="616">
        <f>SUM(CG28,CG39)</f>
        <v>32.447000000000003</v>
      </c>
      <c r="CH55" s="846">
        <f>SUM(CD55:CG55)</f>
        <v>118.80000000000001</v>
      </c>
      <c r="CI55" s="616">
        <f>SUM(CI28,CI39)</f>
        <v>35.799999999999997</v>
      </c>
      <c r="CJ55" s="616">
        <f>SUM(CJ28,CJ39)</f>
        <v>33.5</v>
      </c>
      <c r="CK55" s="616">
        <f>SUM(CK28,CK39)</f>
        <v>31.3</v>
      </c>
      <c r="CL55" s="616">
        <f>SUM(CL28,CL39)</f>
        <v>34.200000000000003</v>
      </c>
      <c r="CM55" s="846">
        <f>SUM(CI55:CL55)</f>
        <v>134.80000000000001</v>
      </c>
      <c r="CN55" s="616">
        <f>SUM(CN28,CN39)</f>
        <v>45.8</v>
      </c>
      <c r="CO55" s="616">
        <f>SUM(CO28,CO39)</f>
        <v>49.4</v>
      </c>
      <c r="CP55" s="616">
        <f>SUM(CP28,CP39)</f>
        <v>46.4</v>
      </c>
      <c r="CQ55" s="616">
        <f>SUM(CQ28,CQ39)</f>
        <v>50</v>
      </c>
      <c r="CR55" s="758">
        <f>SUM(CN55:CQ55)</f>
        <v>191.6</v>
      </c>
      <c r="CS55" s="616">
        <f>SUM(CS28,CS39)</f>
        <v>53.5</v>
      </c>
      <c r="CT55" s="616">
        <f>SUM(CT28,CT39)</f>
        <v>62.199999999999996</v>
      </c>
      <c r="CU55" s="616">
        <f>SUM(CU28,CU39)</f>
        <v>49.7</v>
      </c>
      <c r="CV55" s="616">
        <f>CV39+CV28</f>
        <v>52</v>
      </c>
      <c r="CW55" s="758">
        <f>SUM(CS55:CV55)</f>
        <v>217.39999999999998</v>
      </c>
      <c r="CX55" s="616">
        <f>CX39+CX28</f>
        <v>54</v>
      </c>
      <c r="CY55" s="616">
        <f>CY39+CY28</f>
        <v>55</v>
      </c>
      <c r="CZ55" s="616">
        <f>SUM(CZ28,CZ39)</f>
        <v>52</v>
      </c>
      <c r="DA55" s="616">
        <f>SUM(DA28,DA39)</f>
        <v>60</v>
      </c>
      <c r="DB55" s="758">
        <f>SUM(CX55:DA55)</f>
        <v>221</v>
      </c>
      <c r="DC55" s="616">
        <f>SUM(DC28,DC39)</f>
        <v>58.074375000000003</v>
      </c>
      <c r="DD55" s="616">
        <f>SUM(DD28,DD39)</f>
        <v>60.136200000000002</v>
      </c>
      <c r="DE55" s="616">
        <f>SUM(DE28,DE39)</f>
        <v>61.498200000000004</v>
      </c>
      <c r="DF55" s="616">
        <f>SUM(DF28,DF39)</f>
        <v>62.528100000000002</v>
      </c>
      <c r="DG55" s="758">
        <f>SUM(DC55:DF55)</f>
        <v>242.236875</v>
      </c>
      <c r="DH55" s="616">
        <f>SUM(DH28,DH39)</f>
        <v>62.684589375000002</v>
      </c>
      <c r="DI55" s="616">
        <f>SUM(DI28,DI39)</f>
        <v>64.933827749999992</v>
      </c>
      <c r="DJ55" s="616">
        <f>SUM(DJ28,DJ39)</f>
        <v>66.41184075000001</v>
      </c>
      <c r="DK55" s="616">
        <f>SUM(DK28,DK39)</f>
        <v>67.45154100000002</v>
      </c>
      <c r="DL55" s="758">
        <f>SUM(DH55:DK55)</f>
        <v>261.48179887500004</v>
      </c>
      <c r="DM55" s="616">
        <f>SUM(DM28,DM39)</f>
        <v>67.725858796875002</v>
      </c>
      <c r="DN55" s="616">
        <f>SUM(DN28,DN39)</f>
        <v>69.995676870000011</v>
      </c>
      <c r="DO55" s="616">
        <f>SUM(DO28,DO39)</f>
        <v>71.693318313750012</v>
      </c>
      <c r="DP55" s="616">
        <f>SUM(DP28,DP39)</f>
        <v>72.73534776000001</v>
      </c>
      <c r="DQ55" s="758">
        <f>SUM(DM55:DP55)</f>
        <v>282.15020174062505</v>
      </c>
      <c r="DR55" s="32"/>
      <c r="DS55" s="33"/>
      <c r="DT55"/>
      <c r="DU55"/>
      <c r="DV55"/>
      <c r="DW55"/>
      <c r="DX55"/>
      <c r="DY55"/>
    </row>
    <row r="56" spans="1:129" hidden="1" outlineLevel="1">
      <c r="B56" s="572" t="s">
        <v>332</v>
      </c>
      <c r="C56" s="607"/>
      <c r="D56" s="607"/>
      <c r="E56" s="607"/>
      <c r="F56" s="608"/>
      <c r="G56" s="609"/>
      <c r="H56" s="610"/>
      <c r="I56" s="610"/>
      <c r="J56" s="611"/>
      <c r="K56" s="572"/>
      <c r="L56" s="609"/>
      <c r="M56" s="610"/>
      <c r="N56" s="610"/>
      <c r="O56" s="611"/>
      <c r="P56" s="607"/>
      <c r="Q56" s="609"/>
      <c r="R56" s="610"/>
      <c r="S56" s="610"/>
      <c r="T56" s="611"/>
      <c r="U56" s="607"/>
      <c r="V56" s="609"/>
      <c r="W56" s="610"/>
      <c r="X56" s="610"/>
      <c r="Y56" s="611"/>
      <c r="Z56" s="607"/>
      <c r="AA56" s="609"/>
      <c r="AB56" s="610"/>
      <c r="AC56" s="610"/>
      <c r="AD56" s="611"/>
      <c r="AE56" s="607"/>
      <c r="AF56" s="609"/>
      <c r="AG56" s="610"/>
      <c r="AH56" s="610"/>
      <c r="AI56" s="611"/>
      <c r="AJ56" s="607"/>
      <c r="AK56" s="609"/>
      <c r="AL56" s="610"/>
      <c r="AM56" s="610"/>
      <c r="AN56" s="611"/>
      <c r="AO56" s="607"/>
      <c r="AP56" s="609"/>
      <c r="AQ56" s="610"/>
      <c r="AR56" s="610"/>
      <c r="AS56" s="611"/>
      <c r="AT56" s="607"/>
      <c r="AU56" s="609"/>
      <c r="AV56" s="610"/>
      <c r="AW56" s="610"/>
      <c r="AX56" s="611"/>
      <c r="AY56" s="607"/>
      <c r="AZ56" s="609"/>
      <c r="BA56" s="610"/>
      <c r="BB56" s="610"/>
      <c r="BC56" s="611"/>
      <c r="BD56" s="607"/>
      <c r="BE56" s="609"/>
      <c r="BF56" s="610"/>
      <c r="BG56" s="610"/>
      <c r="BH56" s="611"/>
      <c r="BI56" s="607"/>
      <c r="BJ56" s="609"/>
      <c r="BK56" s="610"/>
      <c r="BL56" s="610"/>
      <c r="BM56" s="611"/>
      <c r="BN56" s="607"/>
      <c r="BO56" s="609"/>
      <c r="BP56" s="610"/>
      <c r="BQ56" s="610"/>
      <c r="BR56" s="611"/>
      <c r="BS56" s="607"/>
      <c r="BT56" s="609"/>
      <c r="BU56" s="610"/>
      <c r="BV56" s="610"/>
      <c r="BW56" s="611"/>
      <c r="BX56" s="607"/>
      <c r="BY56" s="609"/>
      <c r="BZ56" s="610"/>
      <c r="CA56" s="610"/>
      <c r="CB56" s="610"/>
      <c r="CC56" s="848"/>
      <c r="CD56" s="851"/>
      <c r="CE56" s="610"/>
      <c r="CF56" s="610"/>
      <c r="CG56" s="610"/>
      <c r="CH56" s="848"/>
      <c r="CI56" s="610"/>
      <c r="CJ56" s="610"/>
      <c r="CK56" s="610"/>
      <c r="CL56" s="610"/>
      <c r="CM56" s="848"/>
      <c r="CN56" s="610">
        <f t="shared" ref="CN56:DA56" si="160">CN49+CN50</f>
        <v>30.7</v>
      </c>
      <c r="CO56" s="610">
        <f t="shared" si="160"/>
        <v>28</v>
      </c>
      <c r="CP56" s="610">
        <f t="shared" si="160"/>
        <v>28.6</v>
      </c>
      <c r="CQ56" s="610">
        <f t="shared" si="160"/>
        <v>29</v>
      </c>
      <c r="CR56" s="758">
        <f t="shared" si="160"/>
        <v>116.30000000000001</v>
      </c>
      <c r="CS56" s="610">
        <f t="shared" si="160"/>
        <v>29.1</v>
      </c>
      <c r="CT56" s="610">
        <f t="shared" si="160"/>
        <v>30.3</v>
      </c>
      <c r="CU56" s="610">
        <f t="shared" si="160"/>
        <v>34.1</v>
      </c>
      <c r="CV56" s="610">
        <f t="shared" si="160"/>
        <v>36</v>
      </c>
      <c r="CW56" s="758">
        <f t="shared" si="160"/>
        <v>129.5</v>
      </c>
      <c r="CX56" s="610">
        <f t="shared" si="160"/>
        <v>45</v>
      </c>
      <c r="CY56" s="610">
        <f>CY49+CY50</f>
        <v>74</v>
      </c>
      <c r="CZ56" s="610">
        <f>CZ49+CZ50</f>
        <v>54</v>
      </c>
      <c r="DA56" s="610">
        <f t="shared" si="160"/>
        <v>37</v>
      </c>
      <c r="DB56" s="758">
        <f>SUM(CX56:DA56)</f>
        <v>210</v>
      </c>
      <c r="DC56" s="610">
        <f>DC49+DC50</f>
        <v>0</v>
      </c>
      <c r="DD56" s="610">
        <f>DD49+DD50</f>
        <v>0</v>
      </c>
      <c r="DE56" s="610">
        <f>DE49+DE50</f>
        <v>0</v>
      </c>
      <c r="DF56" s="610">
        <f>DF49+DF50</f>
        <v>0</v>
      </c>
      <c r="DG56" s="758">
        <f>SUM(DC56:DF56)</f>
        <v>0</v>
      </c>
      <c r="DH56" s="610">
        <f>DH49+DH50</f>
        <v>0</v>
      </c>
      <c r="DI56" s="610">
        <f>DI49+DI50</f>
        <v>0</v>
      </c>
      <c r="DJ56" s="610">
        <f>DJ49+DJ50</f>
        <v>0</v>
      </c>
      <c r="DK56" s="610">
        <f>DK49+DK50</f>
        <v>0</v>
      </c>
      <c r="DL56" s="758">
        <f>SUM(DH56:DK56)</f>
        <v>0</v>
      </c>
      <c r="DM56" s="610">
        <f>DM49+DM50</f>
        <v>0</v>
      </c>
      <c r="DN56" s="610">
        <f>DN49+DN50</f>
        <v>0</v>
      </c>
      <c r="DO56" s="610">
        <f>DO49+DO50</f>
        <v>0</v>
      </c>
      <c r="DP56" s="610">
        <f>DP49+DP50</f>
        <v>0</v>
      </c>
      <c r="DQ56" s="758">
        <f>SUM(DM56:DP56)</f>
        <v>0</v>
      </c>
      <c r="DR56" s="3"/>
      <c r="DS56" s="4"/>
    </row>
    <row r="57" spans="1:129" hidden="1" outlineLevel="1">
      <c r="B57" s="572" t="s">
        <v>328</v>
      </c>
      <c r="C57" s="607"/>
      <c r="D57" s="607"/>
      <c r="E57" s="607"/>
      <c r="F57" s="608"/>
      <c r="G57" s="609"/>
      <c r="H57" s="610"/>
      <c r="I57" s="610"/>
      <c r="J57" s="611"/>
      <c r="K57" s="572"/>
      <c r="L57" s="609"/>
      <c r="M57" s="610"/>
      <c r="N57" s="610"/>
      <c r="O57" s="611"/>
      <c r="P57" s="607"/>
      <c r="Q57" s="609"/>
      <c r="R57" s="610"/>
      <c r="S57" s="610"/>
      <c r="T57" s="611"/>
      <c r="U57" s="607"/>
      <c r="V57" s="609"/>
      <c r="W57" s="610"/>
      <c r="X57" s="610"/>
      <c r="Y57" s="611"/>
      <c r="Z57" s="607"/>
      <c r="AA57" s="609"/>
      <c r="AB57" s="610"/>
      <c r="AC57" s="610"/>
      <c r="AD57" s="611"/>
      <c r="AE57" s="607"/>
      <c r="AF57" s="609"/>
      <c r="AG57" s="610"/>
      <c r="AH57" s="610"/>
      <c r="AI57" s="611"/>
      <c r="AJ57" s="607"/>
      <c r="AK57" s="609"/>
      <c r="AL57" s="610"/>
      <c r="AM57" s="610"/>
      <c r="AN57" s="611"/>
      <c r="AO57" s="607"/>
      <c r="AP57" s="609"/>
      <c r="AQ57" s="610"/>
      <c r="AR57" s="610"/>
      <c r="AS57" s="611"/>
      <c r="AT57" s="607"/>
      <c r="AU57" s="609"/>
      <c r="AV57" s="610"/>
      <c r="AW57" s="610"/>
      <c r="AX57" s="611"/>
      <c r="AY57" s="607"/>
      <c r="AZ57" s="609"/>
      <c r="BA57" s="610"/>
      <c r="BB57" s="610"/>
      <c r="BC57" s="611"/>
      <c r="BD57" s="607"/>
      <c r="BE57" s="609"/>
      <c r="BF57" s="610"/>
      <c r="BG57" s="610"/>
      <c r="BH57" s="611"/>
      <c r="BI57" s="607"/>
      <c r="BJ57" s="609"/>
      <c r="BK57" s="610"/>
      <c r="BL57" s="610"/>
      <c r="BM57" s="611"/>
      <c r="BN57" s="607"/>
      <c r="BO57" s="609"/>
      <c r="BP57" s="610"/>
      <c r="BQ57" s="610"/>
      <c r="BR57" s="611"/>
      <c r="BS57" s="607"/>
      <c r="BT57" s="609"/>
      <c r="BU57" s="610"/>
      <c r="BV57" s="610"/>
      <c r="BW57" s="611"/>
      <c r="BX57" s="607"/>
      <c r="BY57" s="609"/>
      <c r="BZ57" s="610"/>
      <c r="CA57" s="610"/>
      <c r="CB57" s="610"/>
      <c r="CC57" s="848"/>
      <c r="CD57" s="851"/>
      <c r="CE57" s="610"/>
      <c r="CF57" s="610"/>
      <c r="CG57" s="610"/>
      <c r="CH57" s="848"/>
      <c r="CI57" s="610"/>
      <c r="CJ57" s="610"/>
      <c r="CK57" s="610"/>
      <c r="CL57" s="610"/>
      <c r="CM57" s="848"/>
      <c r="CN57" s="610">
        <f t="shared" ref="CN57:DA57" si="161">CN53-CN56-CN55</f>
        <v>500.30000000000024</v>
      </c>
      <c r="CO57" s="610">
        <f t="shared" si="161"/>
        <v>545.5</v>
      </c>
      <c r="CP57" s="610">
        <f t="shared" si="161"/>
        <v>542.79999999999973</v>
      </c>
      <c r="CQ57" s="610">
        <f t="shared" si="161"/>
        <v>553.40000000000009</v>
      </c>
      <c r="CR57" s="758">
        <f t="shared" si="161"/>
        <v>2142</v>
      </c>
      <c r="CS57" s="610">
        <f t="shared" si="161"/>
        <v>553.99999999999966</v>
      </c>
      <c r="CT57" s="610">
        <f t="shared" si="161"/>
        <v>590.9</v>
      </c>
      <c r="CU57" s="610">
        <f t="shared" si="161"/>
        <v>583.39999999999986</v>
      </c>
      <c r="CV57" s="610">
        <f t="shared" si="161"/>
        <v>561</v>
      </c>
      <c r="CW57" s="758">
        <f t="shared" si="161"/>
        <v>2289.2999999999993</v>
      </c>
      <c r="CX57" s="610">
        <f t="shared" si="161"/>
        <v>570</v>
      </c>
      <c r="CY57" s="610">
        <f>CY53-CY56-CY55</f>
        <v>606</v>
      </c>
      <c r="CZ57" s="610">
        <f>CZ53-CZ56-CZ55</f>
        <v>648</v>
      </c>
      <c r="DA57" s="610">
        <f t="shared" si="161"/>
        <v>657</v>
      </c>
      <c r="DB57" s="758">
        <f>SUM(CX57:DA57)</f>
        <v>2481</v>
      </c>
      <c r="DC57" s="610">
        <f>DC53-DC56-DC55</f>
        <v>729.80131250000022</v>
      </c>
      <c r="DD57" s="610">
        <f>DD53-DD56-DD55</f>
        <v>771.74789999999996</v>
      </c>
      <c r="DE57" s="610">
        <f>DE53-DE56-DE55</f>
        <v>801.52653999999995</v>
      </c>
      <c r="DF57" s="610">
        <f>DF53-DF56-DF55</f>
        <v>839.96081000000038</v>
      </c>
      <c r="DG57" s="758">
        <f>SUM(DC57:DF57)</f>
        <v>3143.0365625000004</v>
      </c>
      <c r="DH57" s="610">
        <f>DH53-DH56-DH55</f>
        <v>856.68938812500039</v>
      </c>
      <c r="DI57" s="610">
        <f>DI53-DI56-DI55</f>
        <v>891.75790110000014</v>
      </c>
      <c r="DJ57" s="610">
        <f>DJ53-DJ56-DJ55</f>
        <v>916.48340235000023</v>
      </c>
      <c r="DK57" s="610">
        <f>DK53-DK56-DK55</f>
        <v>930.83126580000032</v>
      </c>
      <c r="DL57" s="758">
        <f>SUM(DH57:DK57)</f>
        <v>3595.7619573750012</v>
      </c>
      <c r="DM57" s="610">
        <f>DM53-DM56-DM55</f>
        <v>925.58673689062539</v>
      </c>
      <c r="DN57" s="610">
        <f>DN53-DN56-DN55</f>
        <v>961.27396234800051</v>
      </c>
      <c r="DO57" s="610">
        <f>DO53-DO56-DO55</f>
        <v>989.36779272974991</v>
      </c>
      <c r="DP57" s="610">
        <f>DP53-DP56-DP55</f>
        <v>1003.7477990880002</v>
      </c>
      <c r="DQ57" s="758">
        <f>SUM(DM57:DP57)</f>
        <v>3879.9762910563759</v>
      </c>
      <c r="DR57" s="3"/>
      <c r="DS57" s="4"/>
    </row>
    <row r="58" spans="1:129" s="670" customFormat="1" hidden="1" outlineLevel="1">
      <c r="A58" s="682"/>
      <c r="B58" s="767" t="s">
        <v>20</v>
      </c>
      <c r="C58" s="768"/>
      <c r="D58" s="768"/>
      <c r="E58" s="768"/>
      <c r="F58" s="769"/>
      <c r="G58" s="770"/>
      <c r="H58" s="771"/>
      <c r="I58" s="771"/>
      <c r="J58" s="772"/>
      <c r="K58" s="767"/>
      <c r="L58" s="770"/>
      <c r="M58" s="771"/>
      <c r="N58" s="771"/>
      <c r="O58" s="772"/>
      <c r="P58" s="768"/>
      <c r="Q58" s="770"/>
      <c r="R58" s="771"/>
      <c r="S58" s="771"/>
      <c r="T58" s="772"/>
      <c r="U58" s="768"/>
      <c r="V58" s="770"/>
      <c r="W58" s="771"/>
      <c r="X58" s="771"/>
      <c r="Y58" s="772"/>
      <c r="Z58" s="768"/>
      <c r="AA58" s="770"/>
      <c r="AB58" s="771"/>
      <c r="AC58" s="771"/>
      <c r="AD58" s="772"/>
      <c r="AE58" s="768"/>
      <c r="AF58" s="770"/>
      <c r="AG58" s="771"/>
      <c r="AH58" s="771"/>
      <c r="AI58" s="772"/>
      <c r="AJ58" s="768"/>
      <c r="AK58" s="770"/>
      <c r="AL58" s="771"/>
      <c r="AM58" s="771"/>
      <c r="AN58" s="772"/>
      <c r="AO58" s="768"/>
      <c r="AP58" s="770"/>
      <c r="AQ58" s="771"/>
      <c r="AR58" s="771"/>
      <c r="AS58" s="772"/>
      <c r="AT58" s="768"/>
      <c r="AU58" s="770"/>
      <c r="AV58" s="771"/>
      <c r="AW58" s="771"/>
      <c r="AX58" s="772"/>
      <c r="AY58" s="768"/>
      <c r="AZ58" s="770"/>
      <c r="BA58" s="771"/>
      <c r="BB58" s="771"/>
      <c r="BC58" s="772"/>
      <c r="BD58" s="768"/>
      <c r="BE58" s="770"/>
      <c r="BF58" s="771"/>
      <c r="BG58" s="771"/>
      <c r="BH58" s="772"/>
      <c r="BI58" s="768"/>
      <c r="BJ58" s="770"/>
      <c r="BK58" s="771"/>
      <c r="BL58" s="771"/>
      <c r="BM58" s="772"/>
      <c r="BN58" s="768"/>
      <c r="BO58" s="770"/>
      <c r="BP58" s="771"/>
      <c r="BQ58" s="771"/>
      <c r="BR58" s="772"/>
      <c r="BS58" s="768"/>
      <c r="BT58" s="770"/>
      <c r="BU58" s="771"/>
      <c r="BV58" s="771"/>
      <c r="BW58" s="772"/>
      <c r="BX58" s="768"/>
      <c r="BY58" s="770"/>
      <c r="BZ58" s="771"/>
      <c r="CA58" s="771"/>
      <c r="CB58" s="771"/>
      <c r="CC58" s="849"/>
      <c r="CD58" s="852"/>
      <c r="CE58" s="771"/>
      <c r="CF58" s="771"/>
      <c r="CG58" s="771"/>
      <c r="CH58" s="849"/>
      <c r="CI58" s="771"/>
      <c r="CJ58" s="771"/>
      <c r="CK58" s="771"/>
      <c r="CL58" s="771"/>
      <c r="CM58" s="849"/>
      <c r="CN58" s="771">
        <f t="shared" ref="CN58:DA58" si="162">(CN34-CN41-CN43)-CN57</f>
        <v>0</v>
      </c>
      <c r="CO58" s="771">
        <f t="shared" si="162"/>
        <v>0</v>
      </c>
      <c r="CP58" s="771">
        <f t="shared" si="162"/>
        <v>0</v>
      </c>
      <c r="CQ58" s="771">
        <f t="shared" si="162"/>
        <v>0</v>
      </c>
      <c r="CR58" s="773">
        <f t="shared" si="162"/>
        <v>0</v>
      </c>
      <c r="CS58" s="771">
        <f t="shared" si="162"/>
        <v>0</v>
      </c>
      <c r="CT58" s="771">
        <f t="shared" si="162"/>
        <v>0</v>
      </c>
      <c r="CU58" s="771">
        <f t="shared" si="162"/>
        <v>0</v>
      </c>
      <c r="CV58" s="771">
        <f t="shared" si="162"/>
        <v>0</v>
      </c>
      <c r="CW58" s="773">
        <f t="shared" si="162"/>
        <v>0</v>
      </c>
      <c r="CX58" s="771">
        <f t="shared" si="162"/>
        <v>0</v>
      </c>
      <c r="CY58" s="771">
        <f t="shared" si="162"/>
        <v>0</v>
      </c>
      <c r="CZ58" s="771">
        <f t="shared" si="162"/>
        <v>0</v>
      </c>
      <c r="DA58" s="771">
        <f t="shared" si="162"/>
        <v>0</v>
      </c>
      <c r="DB58" s="773"/>
      <c r="DC58" s="771">
        <f>(DC34-DC41-DC43)-DC57</f>
        <v>0</v>
      </c>
      <c r="DD58" s="771">
        <f>(DD34-DD41-DD43)-DD57</f>
        <v>0</v>
      </c>
      <c r="DE58" s="771">
        <f>(DE34-DE41-DE43)-DE57</f>
        <v>0</v>
      </c>
      <c r="DF58" s="771">
        <f>(DF34-DF41-DF43)-DF57</f>
        <v>0</v>
      </c>
      <c r="DG58" s="773"/>
      <c r="DH58" s="771">
        <f>(DH34-DH41-DH43)-DH57</f>
        <v>0</v>
      </c>
      <c r="DI58" s="771">
        <f>(DI34-DI41-DI43)-DI57</f>
        <v>0</v>
      </c>
      <c r="DJ58" s="771">
        <f>(DJ34-DJ41-DJ43)-DJ57</f>
        <v>0</v>
      </c>
      <c r="DK58" s="771">
        <f>(DK34-DK41-DK43)-DK57</f>
        <v>0</v>
      </c>
      <c r="DL58" s="773"/>
      <c r="DM58" s="771">
        <f>(DM34-DM41-DM43)-DM57</f>
        <v>0</v>
      </c>
      <c r="DN58" s="771">
        <f>(DN34-DN41-DN43)-DN57</f>
        <v>0</v>
      </c>
      <c r="DO58" s="771">
        <f>(DO34-DO41-DO43)-DO57</f>
        <v>0</v>
      </c>
      <c r="DP58" s="771">
        <f>(DP34-DP41-DP43)-DP57</f>
        <v>0</v>
      </c>
      <c r="DQ58" s="773"/>
      <c r="DR58" s="671"/>
      <c r="DS58" s="862"/>
      <c r="DT58"/>
      <c r="DU58"/>
      <c r="DV58"/>
      <c r="DW58"/>
      <c r="DX58"/>
      <c r="DY58"/>
    </row>
    <row r="59" spans="1:129" ht="11.25" customHeight="1" collapsed="1">
      <c r="B59" s="623"/>
      <c r="C59" s="558"/>
      <c r="D59" s="558"/>
      <c r="E59" s="558"/>
      <c r="F59" s="621"/>
      <c r="G59" s="14"/>
      <c r="H59" s="15"/>
      <c r="I59" s="15"/>
      <c r="J59" s="16"/>
      <c r="K59" s="3"/>
      <c r="L59" s="14"/>
      <c r="M59" s="15"/>
      <c r="N59" s="15"/>
      <c r="O59" s="16"/>
      <c r="P59" s="4"/>
      <c r="Q59" s="14"/>
      <c r="R59" s="15"/>
      <c r="S59" s="15"/>
      <c r="T59" s="16"/>
      <c r="U59" s="4"/>
      <c r="V59" s="14"/>
      <c r="W59" s="15"/>
      <c r="X59" s="15"/>
      <c r="Y59" s="16"/>
      <c r="Z59" s="4"/>
      <c r="AA59" s="14"/>
      <c r="AB59" s="15"/>
      <c r="AC59" s="15"/>
      <c r="AD59" s="16"/>
      <c r="AE59" s="4"/>
      <c r="AF59" s="14"/>
      <c r="AG59" s="15"/>
      <c r="AH59" s="15"/>
      <c r="AI59" s="16"/>
      <c r="AJ59" s="4"/>
      <c r="AK59" s="14"/>
      <c r="AL59" s="15"/>
      <c r="AM59" s="15"/>
      <c r="AN59" s="16"/>
      <c r="AO59" s="4"/>
      <c r="AP59" s="14"/>
      <c r="AQ59" s="15"/>
      <c r="AR59" s="15"/>
      <c r="AS59" s="16"/>
      <c r="AT59" s="4"/>
      <c r="AU59" s="14"/>
      <c r="AV59" s="110"/>
      <c r="AW59" s="110"/>
      <c r="AX59" s="16"/>
      <c r="AY59" s="4"/>
      <c r="AZ59" s="14"/>
      <c r="BA59" s="15"/>
      <c r="BB59" s="15"/>
      <c r="BC59" s="16"/>
      <c r="BD59" s="4"/>
      <c r="BE59" s="14"/>
      <c r="BF59" s="15"/>
      <c r="BG59" s="15"/>
      <c r="BH59" s="16"/>
      <c r="BI59" s="4"/>
      <c r="BJ59" s="14"/>
      <c r="BK59" s="15"/>
      <c r="BL59" s="15"/>
      <c r="BM59" s="16"/>
      <c r="BN59" s="4"/>
      <c r="BO59" s="14"/>
      <c r="BP59" s="15"/>
      <c r="BQ59" s="15"/>
      <c r="BR59" s="16"/>
      <c r="BS59" s="4"/>
      <c r="BT59" s="14"/>
      <c r="BU59" s="15"/>
      <c r="BV59" s="15"/>
      <c r="BW59" s="16"/>
      <c r="BX59" s="4"/>
      <c r="BY59" s="14"/>
      <c r="BZ59" s="15"/>
      <c r="CA59" s="15"/>
      <c r="CB59" s="15"/>
      <c r="CC59" s="330"/>
      <c r="CD59" s="70"/>
      <c r="CE59" s="15"/>
      <c r="CF59" s="15"/>
      <c r="CG59" s="15"/>
      <c r="CH59" s="330"/>
      <c r="CI59" s="15"/>
      <c r="CJ59" s="15"/>
      <c r="CK59" s="15"/>
      <c r="CL59" s="15"/>
      <c r="CM59" s="330"/>
      <c r="CN59" s="15"/>
      <c r="CO59" s="15"/>
      <c r="CP59" s="15"/>
      <c r="CQ59" s="15"/>
      <c r="CR59" s="352"/>
      <c r="CS59" s="15"/>
      <c r="CT59" s="15"/>
      <c r="CU59" s="15"/>
      <c r="CV59" s="15"/>
      <c r="CW59" s="352"/>
      <c r="CX59" s="15"/>
      <c r="CY59" s="15"/>
      <c r="CZ59" s="15"/>
      <c r="DA59" s="1074"/>
      <c r="DB59" s="1074"/>
      <c r="DC59" s="15"/>
      <c r="DD59" s="15"/>
      <c r="DE59" s="15"/>
      <c r="DF59" s="15"/>
      <c r="DG59" s="352"/>
      <c r="DH59" s="15"/>
      <c r="DI59" s="15"/>
      <c r="DJ59" s="15"/>
      <c r="DK59" s="15"/>
      <c r="DL59" s="352"/>
      <c r="DM59" s="15"/>
      <c r="DN59" s="15"/>
      <c r="DO59" s="15"/>
      <c r="DP59" s="15"/>
      <c r="DQ59" s="352"/>
      <c r="DR59" s="3"/>
      <c r="DS59" s="4"/>
    </row>
    <row r="60" spans="1:129" s="38" customFormat="1" hidden="1" outlineLevel="1">
      <c r="A60" s="655"/>
      <c r="B60" s="623"/>
      <c r="C60" s="558" t="s">
        <v>329</v>
      </c>
      <c r="D60" s="654"/>
      <c r="E60" s="654"/>
      <c r="F60" s="655"/>
      <c r="G60" s="62">
        <v>3.1E-2</v>
      </c>
      <c r="H60" s="61">
        <v>4.8000000000000001E-2</v>
      </c>
      <c r="I60" s="61">
        <v>0.254</v>
      </c>
      <c r="J60" s="63">
        <v>0.30399999999999999</v>
      </c>
      <c r="K60" s="35">
        <f>SUM(G60:J60)</f>
        <v>0.63700000000000001</v>
      </c>
      <c r="L60" s="62">
        <v>0.27600000000000002</v>
      </c>
      <c r="M60" s="61">
        <v>0.247</v>
      </c>
      <c r="N60" s="61">
        <v>0.33100000000000002</v>
      </c>
      <c r="O60" s="63">
        <v>0.40899999999999997</v>
      </c>
      <c r="P60" s="36">
        <f>SUM(L60:O60)</f>
        <v>1.2630000000000001</v>
      </c>
      <c r="Q60" s="62">
        <v>0.505</v>
      </c>
      <c r="R60" s="61">
        <v>0.54200000000000004</v>
      </c>
      <c r="S60" s="61">
        <v>0.73199999999999998</v>
      </c>
      <c r="T60" s="63">
        <v>0.87</v>
      </c>
      <c r="U60" s="36">
        <f>SUM(Q60:T60)</f>
        <v>2.649</v>
      </c>
      <c r="V60" s="62">
        <v>0.746</v>
      </c>
      <c r="W60" s="61">
        <v>0.61699999999999999</v>
      </c>
      <c r="X60" s="61">
        <v>0.64300000000000002</v>
      </c>
      <c r="Y60" s="63">
        <v>0.495</v>
      </c>
      <c r="Z60" s="36">
        <f>SUM(V60:Y60)</f>
        <v>2.5010000000000003</v>
      </c>
      <c r="AA60" s="62">
        <v>0.42899999999999999</v>
      </c>
      <c r="AB60" s="61">
        <v>0.40500000000000003</v>
      </c>
      <c r="AC60" s="61">
        <v>0.47099999999999997</v>
      </c>
      <c r="AD60" s="63">
        <v>0.503</v>
      </c>
      <c r="AE60" s="36">
        <f>SUM(AA60:AD60)</f>
        <v>1.8080000000000003</v>
      </c>
      <c r="AF60" s="62">
        <v>0.42099999999999999</v>
      </c>
      <c r="AG60" s="61">
        <v>0.32</v>
      </c>
      <c r="AH60" s="61">
        <v>0.59599999999999997</v>
      </c>
      <c r="AI60" s="63">
        <v>0.77</v>
      </c>
      <c r="AJ60" s="36">
        <f>SUM(AF60:AI60)</f>
        <v>2.1070000000000002</v>
      </c>
      <c r="AK60" s="62">
        <v>0.84</v>
      </c>
      <c r="AL60" s="61">
        <v>0.81499999999999995</v>
      </c>
      <c r="AM60" s="61">
        <v>1.2669999999999999</v>
      </c>
      <c r="AN60" s="63">
        <v>1.4670000000000001</v>
      </c>
      <c r="AO60" s="36">
        <f>SUM(AK60:AN60)</f>
        <v>4.3889999999999993</v>
      </c>
      <c r="AP60" s="62">
        <v>1.84</v>
      </c>
      <c r="AQ60" s="61">
        <v>2.0609999999999999</v>
      </c>
      <c r="AR60" s="61">
        <v>2.2210000000000001</v>
      </c>
      <c r="AS60" s="63">
        <v>2.86</v>
      </c>
      <c r="AT60" s="36">
        <f>SUM(AP60:AS60)</f>
        <v>8.9819999999999993</v>
      </c>
      <c r="AU60" s="62">
        <v>3.4369999999999998</v>
      </c>
      <c r="AV60" s="61">
        <v>3.8530000000000002</v>
      </c>
      <c r="AW60" s="61">
        <v>4.7869999999999999</v>
      </c>
      <c r="AX60" s="63">
        <v>5.5380000000000003</v>
      </c>
      <c r="AY60" s="36">
        <f>SUM(AU60:AX60)</f>
        <v>17.615000000000002</v>
      </c>
      <c r="AZ60" s="62">
        <v>6.6710000000000003</v>
      </c>
      <c r="BA60" s="61">
        <v>6.45</v>
      </c>
      <c r="BB60" s="61">
        <v>7.9169999999999998</v>
      </c>
      <c r="BC60" s="63">
        <v>8.5220000000000002</v>
      </c>
      <c r="BD60" s="36">
        <f>SUM(AZ60:BC60)</f>
        <v>29.560000000000002</v>
      </c>
      <c r="BE60" s="62">
        <v>6.22</v>
      </c>
      <c r="BF60" s="61">
        <v>4.3789999999999996</v>
      </c>
      <c r="BG60" s="61">
        <v>5.3440000000000003</v>
      </c>
      <c r="BH60" s="63">
        <v>5.76</v>
      </c>
      <c r="BI60" s="36">
        <f>SUM(BE60:BH60)</f>
        <v>21.703000000000003</v>
      </c>
      <c r="BJ60" s="62">
        <v>2.4700000000000002</v>
      </c>
      <c r="BK60" s="61">
        <v>2.6219999999999999</v>
      </c>
      <c r="BL60" s="61">
        <v>4.6639999999999997</v>
      </c>
      <c r="BM60" s="63">
        <v>6.1390000000000002</v>
      </c>
      <c r="BN60" s="36">
        <f>SUM(BJ60:BM60)</f>
        <v>15.895</v>
      </c>
      <c r="BO60" s="62">
        <v>6.0540000000000003</v>
      </c>
      <c r="BP60" s="61">
        <v>6.5469999999999997</v>
      </c>
      <c r="BQ60" s="61">
        <v>7.0529999999999999</v>
      </c>
      <c r="BR60" s="63">
        <v>6.1390000000000002</v>
      </c>
      <c r="BS60" s="36">
        <f>SUM(BO60:BR60)</f>
        <v>25.792999999999999</v>
      </c>
      <c r="BT60" s="62">
        <v>8.9369999999999994</v>
      </c>
      <c r="BU60" s="61">
        <v>9.4740000000000002</v>
      </c>
      <c r="BV60" s="61">
        <v>9.9700000000000006</v>
      </c>
      <c r="BW60" s="63">
        <v>10.868</v>
      </c>
      <c r="BX60" s="36">
        <f>SUM(BT60:BW60)</f>
        <v>39.249000000000002</v>
      </c>
      <c r="BY60" s="62">
        <v>11.071999999999999</v>
      </c>
      <c r="BZ60" s="61">
        <v>9.984</v>
      </c>
      <c r="CA60" s="61">
        <v>12.041</v>
      </c>
      <c r="CB60" s="61">
        <f>11.417</f>
        <v>11.417</v>
      </c>
      <c r="CC60" s="333">
        <f>SUM(BY60:CB60)</f>
        <v>44.513999999999996</v>
      </c>
      <c r="CD60" s="61">
        <v>13.247</v>
      </c>
      <c r="CE60" s="61">
        <v>13.08</v>
      </c>
      <c r="CF60" s="61">
        <v>10.696</v>
      </c>
      <c r="CG60" s="441">
        <f>11.873</f>
        <v>11.872999999999999</v>
      </c>
      <c r="CH60" s="333">
        <f>SUM(CD60:CG60)</f>
        <v>48.895999999999994</v>
      </c>
      <c r="CI60" s="441">
        <f>13.505</f>
        <v>13.505000000000001</v>
      </c>
      <c r="CJ60" s="61">
        <f>14.132</f>
        <v>14.132</v>
      </c>
      <c r="CK60" s="61">
        <v>17.201000000000001</v>
      </c>
      <c r="CL60" s="441">
        <v>17.606000000000002</v>
      </c>
      <c r="CM60" s="333">
        <f>SUM(CI60:CL60)</f>
        <v>62.444000000000003</v>
      </c>
      <c r="CN60" s="441">
        <v>18</v>
      </c>
      <c r="CO60" s="61">
        <f>17.6</f>
        <v>17.600000000000001</v>
      </c>
      <c r="CP60" s="61">
        <f>20.7</f>
        <v>20.7</v>
      </c>
      <c r="CQ60" s="441">
        <f>27.4</f>
        <v>27.4</v>
      </c>
      <c r="CR60" s="352">
        <f>SUM(CN60:CQ60)</f>
        <v>83.699999999999989</v>
      </c>
      <c r="CS60" s="441">
        <f>30.6</f>
        <v>30.6</v>
      </c>
      <c r="CT60" s="61">
        <f>27.6</f>
        <v>27.6</v>
      </c>
      <c r="CU60" s="61">
        <f>27.2</f>
        <v>27.2</v>
      </c>
      <c r="CV60" s="441">
        <v>29</v>
      </c>
      <c r="CW60" s="352">
        <f>SUM(CS60:CV60)</f>
        <v>114.4</v>
      </c>
      <c r="CX60" s="441">
        <v>32</v>
      </c>
      <c r="CY60" s="61">
        <v>31</v>
      </c>
      <c r="CZ60" s="441">
        <v>34</v>
      </c>
      <c r="DA60" s="441">
        <v>36</v>
      </c>
      <c r="DB60" s="352">
        <f>SUM(CX60:DA60)</f>
        <v>133</v>
      </c>
      <c r="DC60" s="442">
        <f>+BS!DC162</f>
        <v>33.6875</v>
      </c>
      <c r="DD60" s="442">
        <f>+BS!DD162</f>
        <v>32.55708096844301</v>
      </c>
      <c r="DE60" s="442">
        <f>+BS!DE162</f>
        <v>30.325400329073879</v>
      </c>
      <c r="DF60" s="442">
        <f>+BS!DF162</f>
        <v>34.99550921141806</v>
      </c>
      <c r="DG60" s="605">
        <f>SUM(DC60:DF60)</f>
        <v>131.56549050893497</v>
      </c>
      <c r="DH60" s="442">
        <f>+BS!DH162</f>
        <v>34.768617631639991</v>
      </c>
      <c r="DI60" s="442">
        <f>+BS!DI162</f>
        <v>36.277722973558312</v>
      </c>
      <c r="DJ60" s="442">
        <f>+BS!DJ162</f>
        <v>34.296878332078485</v>
      </c>
      <c r="DK60" s="442">
        <f>+BS!DK162</f>
        <v>37.544037232781051</v>
      </c>
      <c r="DL60" s="605">
        <f>SUM(DH60:DK60)</f>
        <v>142.88725617005784</v>
      </c>
      <c r="DM60" s="442">
        <f>+BS!DM162</f>
        <v>35.37840667836447</v>
      </c>
      <c r="DN60" s="442">
        <f>+BS!DN162</f>
        <v>38.653079165506526</v>
      </c>
      <c r="DO60" s="442">
        <f>+BS!DO162</f>
        <v>37.394167192213551</v>
      </c>
      <c r="DP60" s="442">
        <f>+BS!DP162</f>
        <v>40.214263304038838</v>
      </c>
      <c r="DQ60" s="605">
        <f>SUM(DM60:DP60)</f>
        <v>151.63991634012339</v>
      </c>
      <c r="DR60" s="32"/>
      <c r="DS60" s="33"/>
      <c r="DT60"/>
      <c r="DU60"/>
      <c r="DV60"/>
      <c r="DW60"/>
      <c r="DX60"/>
      <c r="DY60"/>
    </row>
    <row r="61" spans="1:129" s="38" customFormat="1" hidden="1" outlineLevel="1">
      <c r="A61" s="655"/>
      <c r="B61" s="623"/>
      <c r="C61" s="558" t="s">
        <v>276</v>
      </c>
      <c r="D61" s="654"/>
      <c r="E61" s="654"/>
      <c r="F61" s="655"/>
      <c r="G61" s="62"/>
      <c r="H61" s="61"/>
      <c r="I61" s="61"/>
      <c r="J61" s="63"/>
      <c r="K61" s="35"/>
      <c r="L61" s="62"/>
      <c r="M61" s="61"/>
      <c r="N61" s="61"/>
      <c r="O61" s="63"/>
      <c r="P61" s="36"/>
      <c r="Q61" s="62"/>
      <c r="R61" s="61"/>
      <c r="S61" s="61"/>
      <c r="T61" s="63"/>
      <c r="U61" s="36"/>
      <c r="V61" s="62"/>
      <c r="W61" s="61"/>
      <c r="X61" s="61"/>
      <c r="Y61" s="63"/>
      <c r="Z61" s="36"/>
      <c r="AA61" s="62"/>
      <c r="AB61" s="61"/>
      <c r="AC61" s="61"/>
      <c r="AD61" s="63"/>
      <c r="AE61" s="36"/>
      <c r="AF61" s="62"/>
      <c r="AG61" s="61"/>
      <c r="AH61" s="61"/>
      <c r="AI61" s="63"/>
      <c r="AJ61" s="36"/>
      <c r="AK61" s="62"/>
      <c r="AL61" s="61"/>
      <c r="AM61" s="61"/>
      <c r="AN61" s="63"/>
      <c r="AO61" s="36"/>
      <c r="AP61" s="62"/>
      <c r="AQ61" s="61"/>
      <c r="AR61" s="61"/>
      <c r="AS61" s="63"/>
      <c r="AT61" s="36"/>
      <c r="AU61" s="62"/>
      <c r="AV61" s="61"/>
      <c r="AW61" s="61"/>
      <c r="AX61" s="63"/>
      <c r="AY61" s="36"/>
      <c r="AZ61" s="62"/>
      <c r="BA61" s="61"/>
      <c r="BB61" s="61"/>
      <c r="BC61" s="63"/>
      <c r="BD61" s="36"/>
      <c r="BE61" s="62"/>
      <c r="BF61" s="61"/>
      <c r="BG61" s="61"/>
      <c r="BH61" s="63"/>
      <c r="BI61" s="36"/>
      <c r="BJ61" s="62"/>
      <c r="BK61" s="61"/>
      <c r="BL61" s="61"/>
      <c r="BM61" s="63"/>
      <c r="BN61" s="36"/>
      <c r="BO61" s="62"/>
      <c r="BP61" s="61"/>
      <c r="BQ61" s="61"/>
      <c r="BR61" s="63"/>
      <c r="BS61" s="36"/>
      <c r="BT61" s="62"/>
      <c r="BU61" s="61"/>
      <c r="BV61" s="61"/>
      <c r="BW61" s="63"/>
      <c r="BX61" s="36"/>
      <c r="BY61" s="62"/>
      <c r="BZ61" s="61"/>
      <c r="CA61" s="61"/>
      <c r="CB61" s="61"/>
      <c r="CC61" s="333"/>
      <c r="CD61" s="61"/>
      <c r="CE61" s="61"/>
      <c r="CF61" s="61"/>
      <c r="CG61" s="441"/>
      <c r="CH61" s="333"/>
      <c r="CI61" s="441"/>
      <c r="CJ61" s="61"/>
      <c r="CK61" s="61"/>
      <c r="CL61" s="441"/>
      <c r="CM61" s="333"/>
      <c r="CN61" s="441">
        <v>0</v>
      </c>
      <c r="CO61" s="61">
        <v>-4.0999999999999996</v>
      </c>
      <c r="CP61" s="61">
        <v>-4.3</v>
      </c>
      <c r="CQ61" s="441">
        <v>-4.3</v>
      </c>
      <c r="CR61" s="352">
        <f>SUM(CN61:CQ61)</f>
        <v>-12.7</v>
      </c>
      <c r="CS61" s="441">
        <v>-5.0999999999999996</v>
      </c>
      <c r="CT61" s="61">
        <v>-4.5999999999999996</v>
      </c>
      <c r="CU61" s="61">
        <v>-4.9000000000000004</v>
      </c>
      <c r="CV61" s="441">
        <v>-4</v>
      </c>
      <c r="CW61" s="352">
        <f>SUM(CS61:CV61)</f>
        <v>-18.600000000000001</v>
      </c>
      <c r="CX61" s="441">
        <v>-6</v>
      </c>
      <c r="CY61" s="61">
        <v>-6</v>
      </c>
      <c r="CZ61" s="1035">
        <v>-6</v>
      </c>
      <c r="DA61" s="441">
        <v>-5</v>
      </c>
      <c r="DB61" s="352">
        <f>SUM(CX61:DA61)</f>
        <v>-23</v>
      </c>
      <c r="DC61" s="15">
        <f>-BS!DC159</f>
        <v>-6.2425479452054802</v>
      </c>
      <c r="DD61" s="15">
        <f>-BS!DD159</f>
        <v>-6.2215328767123301</v>
      </c>
      <c r="DE61" s="15">
        <f>-BS!DE159</f>
        <v>-6.1985315068493163</v>
      </c>
      <c r="DF61" s="15">
        <f>-BS!DF159</f>
        <v>-6.1071616438356164</v>
      </c>
      <c r="DG61" s="352">
        <f>SUM(DC61:DF61)</f>
        <v>-24.769773972602746</v>
      </c>
      <c r="DH61" s="15">
        <f>-BS!DH159</f>
        <v>-5.8850136986301376</v>
      </c>
      <c r="DI61" s="15">
        <f>-BS!DI159</f>
        <v>-6.0620958904109585</v>
      </c>
      <c r="DJ61" s="15">
        <f>-BS!DJ159</f>
        <v>-6.235331506849314</v>
      </c>
      <c r="DK61" s="15">
        <f>-BS!DK159</f>
        <v>-6.3356493150684923</v>
      </c>
      <c r="DL61" s="352">
        <f>SUM(DH61:DK61)</f>
        <v>-24.518090410958905</v>
      </c>
      <c r="DM61" s="15">
        <f>-BS!DM159</f>
        <v>-5.5888958904109591</v>
      </c>
      <c r="DN61" s="15">
        <f>-BS!DN159</f>
        <v>-5.6881232876712327</v>
      </c>
      <c r="DO61" s="15">
        <f>-BS!DO159</f>
        <v>-5.8446465753424652</v>
      </c>
      <c r="DP61" s="15">
        <f>-BS!DP159</f>
        <v>-5.9323616438356161</v>
      </c>
      <c r="DQ61" s="352">
        <f>SUM(DM61:DP61)</f>
        <v>-23.054027397260274</v>
      </c>
      <c r="DR61" s="32"/>
      <c r="DS61" s="33"/>
      <c r="DT61"/>
      <c r="DU61"/>
      <c r="DV61"/>
      <c r="DW61"/>
      <c r="DX61"/>
      <c r="DY61"/>
    </row>
    <row r="62" spans="1:129" s="38" customFormat="1" hidden="1" outlineLevel="1">
      <c r="A62" s="655"/>
      <c r="B62" s="653"/>
      <c r="C62" s="654" t="s">
        <v>13</v>
      </c>
      <c r="D62" s="654"/>
      <c r="E62" s="654"/>
      <c r="F62" s="655"/>
      <c r="G62" s="62">
        <v>-1.7000000000000001E-2</v>
      </c>
      <c r="H62" s="61">
        <v>7.3999999999999996E-2</v>
      </c>
      <c r="I62" s="61">
        <v>2.5000000000000001E-2</v>
      </c>
      <c r="J62" s="63">
        <v>1.0000000000000148E-3</v>
      </c>
      <c r="K62" s="35">
        <f>SUM(G62:J62)</f>
        <v>8.3000000000000004E-2</v>
      </c>
      <c r="L62" s="62">
        <v>6.2E-2</v>
      </c>
      <c r="M62" s="61">
        <v>-2.9000000000000001E-2</v>
      </c>
      <c r="N62" s="61">
        <v>6.0999999999999999E-2</v>
      </c>
      <c r="O62" s="63">
        <v>-5.7000000000000002E-2</v>
      </c>
      <c r="P62" s="36">
        <f>SUM(L62:O62)</f>
        <v>3.6999999999999998E-2</v>
      </c>
      <c r="Q62" s="62">
        <v>-9.9000000000000005E-2</v>
      </c>
      <c r="R62" s="61">
        <v>-0.16600000000000001</v>
      </c>
      <c r="S62" s="61">
        <v>-0.16800000000000001</v>
      </c>
      <c r="T62" s="63">
        <v>-9.8000000000000004E-2</v>
      </c>
      <c r="U62" s="36">
        <f>SUM(Q62:T62)</f>
        <v>-0.53100000000000003</v>
      </c>
      <c r="V62" s="62">
        <v>-0.245</v>
      </c>
      <c r="W62" s="61">
        <v>-0.15</v>
      </c>
      <c r="X62" s="61">
        <v>-0.20899999999999999</v>
      </c>
      <c r="Y62" s="63">
        <v>-0.16300000000000001</v>
      </c>
      <c r="Z62" s="36">
        <f>SUM(V62:Y62)</f>
        <v>-0.76700000000000002</v>
      </c>
      <c r="AA62" s="62">
        <v>-0.159</v>
      </c>
      <c r="AB62" s="61">
        <v>4.5999999999999999E-2</v>
      </c>
      <c r="AC62" s="61">
        <v>2.4E-2</v>
      </c>
      <c r="AD62" s="63">
        <v>-0.14599999999999999</v>
      </c>
      <c r="AE62" s="36">
        <f>SUM(AA62:AD62)</f>
        <v>-0.23499999999999999</v>
      </c>
      <c r="AF62" s="62">
        <v>-0.19700000000000001</v>
      </c>
      <c r="AG62" s="61">
        <v>9.8000000000000004E-2</v>
      </c>
      <c r="AH62" s="61">
        <v>0</v>
      </c>
      <c r="AI62" s="63">
        <v>-7.9000000000000001E-2</v>
      </c>
      <c r="AJ62" s="36">
        <f>SUM(AF62:AI62)</f>
        <v>-0.17799999999999999</v>
      </c>
      <c r="AK62" s="62">
        <v>0.30099999999999999</v>
      </c>
      <c r="AL62" s="61">
        <v>-0.08</v>
      </c>
      <c r="AM62" s="61">
        <v>-0.252</v>
      </c>
      <c r="AN62" s="63">
        <v>0.11700000000000001</v>
      </c>
      <c r="AO62" s="36">
        <f>SUM(AK62:AN62)</f>
        <v>8.5999999999999979E-2</v>
      </c>
      <c r="AP62" s="62">
        <v>-0.124</v>
      </c>
      <c r="AQ62" s="61">
        <v>-0.59499999999999997</v>
      </c>
      <c r="AR62" s="61">
        <v>0.13</v>
      </c>
      <c r="AS62" s="63">
        <v>-0.73699999999999999</v>
      </c>
      <c r="AT62" s="36">
        <f>SUM(AP62:AS62)</f>
        <v>-1.3260000000000001</v>
      </c>
      <c r="AU62" s="62">
        <v>-4.1000000000000002E-2</v>
      </c>
      <c r="AV62" s="61">
        <v>1.508</v>
      </c>
      <c r="AW62" s="61">
        <v>-0.61099999999999999</v>
      </c>
      <c r="AX62" s="63">
        <v>0.39700000000000002</v>
      </c>
      <c r="AY62" s="36">
        <f>SUM(AU62:AX62)</f>
        <v>1.2530000000000001</v>
      </c>
      <c r="AZ62" s="62">
        <v>-1.7000000000000001E-2</v>
      </c>
      <c r="BA62" s="61">
        <v>0.52900000000000003</v>
      </c>
      <c r="BB62" s="61">
        <v>2.6440000000000001</v>
      </c>
      <c r="BC62" s="63">
        <v>0.11799999999999999</v>
      </c>
      <c r="BD62" s="36">
        <f>SUM(AZ62:BC62)</f>
        <v>3.274</v>
      </c>
      <c r="BE62" s="62">
        <v>3.9540000000000002</v>
      </c>
      <c r="BF62" s="61">
        <v>0</v>
      </c>
      <c r="BG62" s="61">
        <v>-14.776999999999999</v>
      </c>
      <c r="BH62" s="63">
        <v>-12.34</v>
      </c>
      <c r="BI62" s="36">
        <f>SUM(BE62:BH62)</f>
        <v>-23.162999999999997</v>
      </c>
      <c r="BJ62" s="62">
        <v>-5.1109999999999998</v>
      </c>
      <c r="BK62" s="61">
        <v>14.874000000000001</v>
      </c>
      <c r="BL62" s="61">
        <v>-2.7469999999999999</v>
      </c>
      <c r="BM62" s="63">
        <v>-4.45</v>
      </c>
      <c r="BN62" s="36">
        <f>SUM(BJ62:BM62)</f>
        <v>2.5660000000000016</v>
      </c>
      <c r="BO62" s="62">
        <v>-10.319000000000001</v>
      </c>
      <c r="BP62" s="61">
        <v>-4.4539999999999997</v>
      </c>
      <c r="BQ62" s="61">
        <v>7.9240000000000004</v>
      </c>
      <c r="BR62" s="63">
        <v>-2.2160000000000002</v>
      </c>
      <c r="BS62" s="36">
        <f>SUM(BO62:BR62)</f>
        <v>-9.0649999999999995</v>
      </c>
      <c r="BT62" s="62">
        <v>6.1980000000000004</v>
      </c>
      <c r="BU62" s="61">
        <v>-1.827</v>
      </c>
      <c r="BV62" s="61">
        <v>-15.007999999999999</v>
      </c>
      <c r="BW62" s="63">
        <v>4.069</v>
      </c>
      <c r="BX62" s="36">
        <f>SUM(BT62:BW62)</f>
        <v>-6.5679999999999987</v>
      </c>
      <c r="BY62" s="62">
        <v>-6.694</v>
      </c>
      <c r="BZ62" s="61">
        <v>-6.85</v>
      </c>
      <c r="CA62" s="61">
        <v>-3.044</v>
      </c>
      <c r="CB62" s="61">
        <f>-1.826</f>
        <v>-1.8260000000000001</v>
      </c>
      <c r="CC62" s="333">
        <f>SUM(BY62:CB62)</f>
        <v>-18.414000000000001</v>
      </c>
      <c r="CD62" s="61">
        <f>-1.971-CD51</f>
        <v>-3.1880000000000002</v>
      </c>
      <c r="CE62" s="61">
        <f>-19.486-CE51</f>
        <v>-38.972000000000001</v>
      </c>
      <c r="CF62" s="61">
        <f>-8.857-CF51</f>
        <v>-18.045999999999999</v>
      </c>
      <c r="CG62" s="441">
        <f>-8.575-CG51</f>
        <v>-17.690999999999999</v>
      </c>
      <c r="CH62" s="333">
        <f>SUM(CD62:CG62)</f>
        <v>-77.897000000000006</v>
      </c>
      <c r="CI62" s="441">
        <f>-1.217+0.864-CI51</f>
        <v>-1.5700000000000003</v>
      </c>
      <c r="CJ62" s="61">
        <f>0.537-0.752-CJ51</f>
        <v>0</v>
      </c>
      <c r="CK62" s="61">
        <f>-11.222+0.247-CK51</f>
        <v>0</v>
      </c>
      <c r="CL62" s="441">
        <f>-2.173-7.185-2.39-CL51</f>
        <v>-18.933</v>
      </c>
      <c r="CM62" s="333">
        <f>SUM(CI62:CL62)</f>
        <v>-20.503</v>
      </c>
      <c r="CN62" s="441">
        <f>+-5-2.2-0.5-CN51</f>
        <v>-1.900000000000003</v>
      </c>
      <c r="CO62" s="61">
        <v>0.2</v>
      </c>
      <c r="CP62" s="61">
        <v>-0.4</v>
      </c>
      <c r="CQ62" s="441">
        <f>-14.2-1.1-CQ51</f>
        <v>-4.2999999999999989</v>
      </c>
      <c r="CR62" s="352">
        <f>SUM(CN62:CQ62)</f>
        <v>-6.4000000000000021</v>
      </c>
      <c r="CS62" s="441">
        <v>0.5</v>
      </c>
      <c r="CT62" s="61">
        <f>0.9+0.2</f>
        <v>1.1000000000000001</v>
      </c>
      <c r="CU62" s="61">
        <f>0.4+0.3</f>
        <v>0.7</v>
      </c>
      <c r="CV62" s="441">
        <v>0</v>
      </c>
      <c r="CW62" s="352">
        <f>SUM(CS62:CV62)</f>
        <v>2.2999999999999998</v>
      </c>
      <c r="CX62" s="441">
        <v>1</v>
      </c>
      <c r="CY62" s="61">
        <v>-1</v>
      </c>
      <c r="CZ62" s="1035">
        <f>-2+1</f>
        <v>-1</v>
      </c>
      <c r="DA62" s="441">
        <f>-1+1</f>
        <v>0</v>
      </c>
      <c r="DB62" s="352">
        <f>SUM(CX62:DA62)</f>
        <v>-1</v>
      </c>
      <c r="DC62" s="36">
        <f>DC22*DC63</f>
        <v>0</v>
      </c>
      <c r="DD62" s="36">
        <f>DD22*DD63</f>
        <v>0</v>
      </c>
      <c r="DE62" s="36">
        <f>DE22*DE63</f>
        <v>0</v>
      </c>
      <c r="DF62" s="36">
        <f>DF22*DF63</f>
        <v>0</v>
      </c>
      <c r="DG62" s="352">
        <f>SUM(DC62:DF62)</f>
        <v>0</v>
      </c>
      <c r="DH62" s="36">
        <f>DH22*DH63</f>
        <v>0</v>
      </c>
      <c r="DI62" s="36">
        <f>DI22*DI63</f>
        <v>0</v>
      </c>
      <c r="DJ62" s="36">
        <f>DJ22*DJ63</f>
        <v>0</v>
      </c>
      <c r="DK62" s="36">
        <f>DK22*DK63</f>
        <v>0</v>
      </c>
      <c r="DL62" s="352">
        <f>SUM(DH62:DK62)</f>
        <v>0</v>
      </c>
      <c r="DM62" s="36">
        <f>DM22*DM63</f>
        <v>0</v>
      </c>
      <c r="DN62" s="36">
        <f>DN22*DN63</f>
        <v>0</v>
      </c>
      <c r="DO62" s="36">
        <f>DO22*DO63</f>
        <v>0</v>
      </c>
      <c r="DP62" s="36">
        <f>DP22*DP63</f>
        <v>0</v>
      </c>
      <c r="DQ62" s="352">
        <f>SUM(DM62:DP62)</f>
        <v>0</v>
      </c>
      <c r="DR62" s="32"/>
      <c r="DS62" s="33"/>
      <c r="DT62"/>
      <c r="DU62"/>
      <c r="DV62"/>
      <c r="DW62"/>
      <c r="DX62"/>
      <c r="DY62"/>
    </row>
    <row r="63" spans="1:129" hidden="1" outlineLevel="1">
      <c r="A63" s="621"/>
      <c r="B63" s="623"/>
      <c r="C63" s="558"/>
      <c r="D63" s="558" t="s">
        <v>325</v>
      </c>
      <c r="E63" s="557"/>
      <c r="F63" s="558"/>
      <c r="G63" s="65">
        <v>-1.5124555160142361E-2</v>
      </c>
      <c r="H63" s="70">
        <v>4.6776232616940597E-2</v>
      </c>
      <c r="I63" s="70">
        <v>1.0266940451745386E-2</v>
      </c>
      <c r="J63" s="71">
        <v>2.6476039184538389E-4</v>
      </c>
      <c r="K63" s="65">
        <v>9.307019511101149E-3</v>
      </c>
      <c r="L63" s="65">
        <v>1.5233415233415242E-2</v>
      </c>
      <c r="M63" s="70">
        <v>-7.5071188195702781E-3</v>
      </c>
      <c r="N63" s="70">
        <v>1.4607279693486583E-2</v>
      </c>
      <c r="O63" s="70">
        <v>-1.2566137566137578E-2</v>
      </c>
      <c r="P63" s="70">
        <v>2.2228897566836893E-3</v>
      </c>
      <c r="Q63" s="65">
        <v>-1.9324614483700955E-2</v>
      </c>
      <c r="R63" s="70">
        <v>-2.7478894222810808E-2</v>
      </c>
      <c r="S63" s="70">
        <v>-2.3732165560107359E-2</v>
      </c>
      <c r="T63" s="71">
        <v>-1.2428662016487015E-2</v>
      </c>
      <c r="U63" s="70">
        <v>-2.0323025107164737E-2</v>
      </c>
      <c r="V63" s="70">
        <v>-2.9204911193229217E-2</v>
      </c>
      <c r="W63" s="70">
        <v>-1.6903313049357674E-2</v>
      </c>
      <c r="X63" s="70">
        <v>-2.2417676713504236E-2</v>
      </c>
      <c r="Y63" s="71">
        <v>-1.8042948859862743E-2</v>
      </c>
      <c r="Z63" s="70">
        <v>-2.1532846715328464E-2</v>
      </c>
      <c r="AA63" s="70">
        <v>-1.7384649026897001E-2</v>
      </c>
      <c r="AB63" s="70">
        <v>4.2982620071014771E-3</v>
      </c>
      <c r="AC63" s="70">
        <v>1.9821605550049554E-3</v>
      </c>
      <c r="AD63" s="70">
        <v>-1.1025524845189554E-2</v>
      </c>
      <c r="AE63" s="70">
        <v>-5.1993451037656542E-3</v>
      </c>
      <c r="AF63" s="65">
        <v>-1.3563756540897823E-2</v>
      </c>
      <c r="AG63" s="70">
        <v>5.7216254086875293E-3</v>
      </c>
      <c r="AH63" s="70">
        <v>0</v>
      </c>
      <c r="AI63" s="70">
        <v>-3.6940054241092306E-3</v>
      </c>
      <c r="AJ63" s="70">
        <v>-2.4615554818010841E-3</v>
      </c>
      <c r="AK63" s="65">
        <v>1.2707392240469458E-2</v>
      </c>
      <c r="AL63" s="70">
        <v>-2.8787333573227795E-3</v>
      </c>
      <c r="AM63" s="70">
        <v>-8.1627364602228532E-3</v>
      </c>
      <c r="AN63" s="71">
        <v>3.3171727481500378E-3</v>
      </c>
      <c r="AO63" s="70">
        <v>7.311681686787959E-4</v>
      </c>
      <c r="AP63" s="70">
        <v>-3.3344986151074285E-3</v>
      </c>
      <c r="AQ63" s="70">
        <v>-1.4043617824773418E-2</v>
      </c>
      <c r="AR63" s="70">
        <v>2.7647221454243859E-3</v>
      </c>
      <c r="AS63" s="71">
        <v>-1.4439655172413784E-2</v>
      </c>
      <c r="AT63" s="70">
        <v>-7.4655436447166905E-3</v>
      </c>
      <c r="AU63" s="70">
        <v>-7.7131462111520825E-4</v>
      </c>
      <c r="AV63" s="70">
        <v>2.4855367473751864E-2</v>
      </c>
      <c r="AW63" s="70">
        <v>-8.8854633238322316E-3</v>
      </c>
      <c r="AX63" s="70">
        <v>5.1996018440905283E-3</v>
      </c>
      <c r="AY63" s="70">
        <v>4.8389027701077059E-3</v>
      </c>
      <c r="AZ63" s="65">
        <v>-2.0334441759766502E-4</v>
      </c>
      <c r="BA63" s="70">
        <v>5.8342799792656976E-3</v>
      </c>
      <c r="BB63" s="70">
        <v>2.6144566399683579E-2</v>
      </c>
      <c r="BC63" s="70">
        <v>1.1119592155975847E-3</v>
      </c>
      <c r="BD63" s="70">
        <v>8.5814186337878299E-3</v>
      </c>
      <c r="BE63" s="65">
        <v>3.5399973141143293E-2</v>
      </c>
      <c r="BF63" s="70">
        <v>0</v>
      </c>
      <c r="BG63" s="70">
        <v>-0.10360300355462695</v>
      </c>
      <c r="BH63" s="71">
        <v>-8.6495731288463981E-2</v>
      </c>
      <c r="BI63" s="70">
        <v>-4.4831323668879541E-2</v>
      </c>
      <c r="BJ63" s="70">
        <v>-3.7001375515818426E-2</v>
      </c>
      <c r="BK63" s="70">
        <v>9.8068174325838989E-2</v>
      </c>
      <c r="BL63" s="70">
        <v>-1.6979639267656457E-2</v>
      </c>
      <c r="BM63" s="71">
        <v>-2.6661394301052122E-2</v>
      </c>
      <c r="BN63" s="70">
        <v>4.1488140471147494E-3</v>
      </c>
      <c r="BO63" s="70">
        <v>-5.6382740401164914E-2</v>
      </c>
      <c r="BP63" s="70">
        <v>-2.1630284340625985E-2</v>
      </c>
      <c r="BQ63" s="70">
        <v>3.4708868632801732E-2</v>
      </c>
      <c r="BR63" s="70">
        <v>-9.0589115407099206E-3</v>
      </c>
      <c r="BS63" s="70">
        <v>-1.0518047182114796E-2</v>
      </c>
      <c r="BT63" s="65">
        <v>2.3356508959357876E-2</v>
      </c>
      <c r="BU63" s="70">
        <v>-6.7677194230213594E-3</v>
      </c>
      <c r="BV63" s="70">
        <v>-5.1221493368645954E-2</v>
      </c>
      <c r="BW63" s="70">
        <v>1.3204908110844644E-2</v>
      </c>
      <c r="BX63" s="70">
        <v>-5.7793092282404784E-3</v>
      </c>
      <c r="BY63" s="65">
        <v>-2.1057002381259446E-2</v>
      </c>
      <c r="BZ63" s="70">
        <v>-2.0635140590074638E-2</v>
      </c>
      <c r="CA63" s="70">
        <v>-8.5653345939344771E-3</v>
      </c>
      <c r="CB63" s="70">
        <v>-5.1255708723856328E-3</v>
      </c>
      <c r="CC63" s="337">
        <v>-1.3524828570924918E-2</v>
      </c>
      <c r="CD63" s="70">
        <v>-8.712596370115901E-3</v>
      </c>
      <c r="CE63" s="70">
        <v>-9.1311448138836931E-2</v>
      </c>
      <c r="CF63" s="70">
        <v>-4.1261297926874718E-2</v>
      </c>
      <c r="CG63" s="70">
        <v>-3.9502859273715454E-2</v>
      </c>
      <c r="CH63" s="337">
        <v>-4.6425016836421508E-2</v>
      </c>
      <c r="CI63" s="70">
        <v>-3.4127763914128468E-3</v>
      </c>
      <c r="CJ63" s="70">
        <v>0</v>
      </c>
      <c r="CK63" s="70">
        <v>0</v>
      </c>
      <c r="CL63" s="70">
        <v>-3.9492457364082363E-2</v>
      </c>
      <c r="CM63" s="337">
        <v>-1.0877627093106294E-2</v>
      </c>
      <c r="CN63" s="70">
        <f t="shared" ref="CN63:CY63" si="163">CN62/CN22</f>
        <v>-6.5260699319914925E-4</v>
      </c>
      <c r="CO63" s="70">
        <f t="shared" si="163"/>
        <v>6.4827720333214485E-5</v>
      </c>
      <c r="CP63" s="70">
        <f t="shared" si="163"/>
        <v>-1.255098839033574E-4</v>
      </c>
      <c r="CQ63" s="70">
        <f t="shared" si="163"/>
        <v>-1.3302397525135341E-3</v>
      </c>
      <c r="CR63" s="337">
        <f t="shared" si="163"/>
        <v>-5.1546391752577332E-4</v>
      </c>
      <c r="CS63" s="70">
        <f t="shared" si="163"/>
        <v>1.5615240474703309E-4</v>
      </c>
      <c r="CT63" s="70">
        <f t="shared" si="163"/>
        <v>3.2641918157808839E-4</v>
      </c>
      <c r="CU63" s="70">
        <f t="shared" si="163"/>
        <v>2.0271052936406809E-4</v>
      </c>
      <c r="CV63" s="70">
        <f t="shared" si="163"/>
        <v>0</v>
      </c>
      <c r="CW63" s="337">
        <f t="shared" si="163"/>
        <v>1.7053332443594247E-4</v>
      </c>
      <c r="CX63" s="70">
        <f t="shared" si="163"/>
        <v>2.8200789622109422E-4</v>
      </c>
      <c r="CY63" s="70">
        <f t="shared" si="163"/>
        <v>-2.7247956403269756E-4</v>
      </c>
      <c r="CZ63" s="70">
        <f>CZ62/CZ22</f>
        <v>-2.6553372278279339E-4</v>
      </c>
      <c r="DA63" s="70">
        <f>DA62/DA22</f>
        <v>0</v>
      </c>
      <c r="DB63" s="337">
        <f>DB62/DB22</f>
        <v>-6.7521944632005395E-5</v>
      </c>
      <c r="DC63" s="741">
        <v>0</v>
      </c>
      <c r="DD63" s="741">
        <v>0</v>
      </c>
      <c r="DE63" s="741">
        <v>0</v>
      </c>
      <c r="DF63" s="741">
        <v>0</v>
      </c>
      <c r="DG63" s="337">
        <f>DG62/DG22</f>
        <v>0</v>
      </c>
      <c r="DH63" s="741">
        <v>0</v>
      </c>
      <c r="DI63" s="741">
        <v>0</v>
      </c>
      <c r="DJ63" s="741">
        <v>0</v>
      </c>
      <c r="DK63" s="741">
        <v>0</v>
      </c>
      <c r="DL63" s="337">
        <f>DL62/DL22</f>
        <v>0</v>
      </c>
      <c r="DM63" s="741">
        <v>0</v>
      </c>
      <c r="DN63" s="741">
        <v>0</v>
      </c>
      <c r="DO63" s="741">
        <v>0</v>
      </c>
      <c r="DP63" s="741">
        <v>0</v>
      </c>
      <c r="DQ63" s="337">
        <f>DQ62/DQ22</f>
        <v>0</v>
      </c>
      <c r="DR63" s="3"/>
      <c r="DS63" s="4"/>
    </row>
    <row r="64" spans="1:129" s="19" customFormat="1" collapsed="1">
      <c r="A64" s="627"/>
      <c r="B64" s="634" t="s">
        <v>266</v>
      </c>
      <c r="C64" s="628"/>
      <c r="D64" s="628"/>
      <c r="E64" s="628"/>
      <c r="F64" s="629"/>
      <c r="G64" s="39">
        <f>SUM(G60,G62)</f>
        <v>1.3999999999999999E-2</v>
      </c>
      <c r="H64" s="40">
        <f>SUM(H60,H62)</f>
        <v>0.122</v>
      </c>
      <c r="I64" s="40">
        <f>SUM(I60,I62)</f>
        <v>0.27900000000000003</v>
      </c>
      <c r="J64" s="41">
        <f>SUM(J60,J62)</f>
        <v>0.30499999999999999</v>
      </c>
      <c r="K64" s="39">
        <f>SUM(G64:J64)</f>
        <v>0.72</v>
      </c>
      <c r="L64" s="39">
        <f>SUM(L60,L62)</f>
        <v>0.33800000000000002</v>
      </c>
      <c r="M64" s="40">
        <f>SUM(M60,M62)</f>
        <v>0.218</v>
      </c>
      <c r="N64" s="40">
        <f>SUM(N60,N62)</f>
        <v>0.39200000000000002</v>
      </c>
      <c r="O64" s="41">
        <f>SUM(O60,O62)</f>
        <v>0.35199999999999998</v>
      </c>
      <c r="P64" s="40">
        <f>SUM(L64:O64)</f>
        <v>1.3</v>
      </c>
      <c r="Q64" s="39">
        <f>SUM(Q60,Q62)</f>
        <v>0.40600000000000003</v>
      </c>
      <c r="R64" s="40">
        <f>SUM(R60,R62)</f>
        <v>0.376</v>
      </c>
      <c r="S64" s="40">
        <f>SUM(S60,S62)</f>
        <v>0.56399999999999995</v>
      </c>
      <c r="T64" s="41">
        <f>SUM(T60,T62)</f>
        <v>0.77200000000000002</v>
      </c>
      <c r="U64" s="40">
        <f>SUM(Q64:T64)</f>
        <v>2.1180000000000003</v>
      </c>
      <c r="V64" s="39">
        <f>SUM(V60,V62)</f>
        <v>0.501</v>
      </c>
      <c r="W64" s="40">
        <f>SUM(W60,W62)</f>
        <v>0.46699999999999997</v>
      </c>
      <c r="X64" s="40">
        <f>SUM(X60,X62)</f>
        <v>0.43400000000000005</v>
      </c>
      <c r="Y64" s="41">
        <f>SUM(Y60,Y62)</f>
        <v>0.33199999999999996</v>
      </c>
      <c r="Z64" s="40">
        <f>SUM(V64:Y64)</f>
        <v>1.734</v>
      </c>
      <c r="AA64" s="39">
        <f>SUM(AA60,AA62)</f>
        <v>0.27</v>
      </c>
      <c r="AB64" s="40">
        <f>SUM(AB60,AB62)</f>
        <v>0.45100000000000001</v>
      </c>
      <c r="AC64" s="40">
        <f>SUM(AC60,AC62)</f>
        <v>0.495</v>
      </c>
      <c r="AD64" s="41">
        <f>SUM(AD60,AD62)</f>
        <v>0.35699999999999998</v>
      </c>
      <c r="AE64" s="40">
        <f>SUM(AA64:AD64)</f>
        <v>1.5730000000000002</v>
      </c>
      <c r="AF64" s="39">
        <f>SUM(AF60,AF62)</f>
        <v>0.22399999999999998</v>
      </c>
      <c r="AG64" s="40">
        <f>SUM(AG60,AG62)</f>
        <v>0.41800000000000004</v>
      </c>
      <c r="AH64" s="40">
        <f>SUM(AH60,AH62)</f>
        <v>0.59599999999999997</v>
      </c>
      <c r="AI64" s="41">
        <f>SUM(AI60,AI62)</f>
        <v>0.69100000000000006</v>
      </c>
      <c r="AJ64" s="40">
        <f>SUM(AF64:AI64)</f>
        <v>1.929</v>
      </c>
      <c r="AK64" s="39">
        <f>SUM(AK60,AK62)</f>
        <v>1.141</v>
      </c>
      <c r="AL64" s="40">
        <f>SUM(AL60,AL62)</f>
        <v>0.73499999999999999</v>
      </c>
      <c r="AM64" s="40">
        <f>SUM(AM60,AM62)</f>
        <v>1.0149999999999999</v>
      </c>
      <c r="AN64" s="41">
        <f>SUM(AN60,AN62)</f>
        <v>1.5840000000000001</v>
      </c>
      <c r="AO64" s="40">
        <f>SUM(AK64:AN64)</f>
        <v>4.4749999999999996</v>
      </c>
      <c r="AP64" s="39">
        <f>SUM(AP60,AP62)</f>
        <v>1.7160000000000002</v>
      </c>
      <c r="AQ64" s="40">
        <f>SUM(AQ60,AQ62)</f>
        <v>1.466</v>
      </c>
      <c r="AR64" s="40">
        <f>SUM(AR60,AR62)</f>
        <v>2.351</v>
      </c>
      <c r="AS64" s="41">
        <f>SUM(AS60,AS62)</f>
        <v>2.1229999999999998</v>
      </c>
      <c r="AT64" s="40">
        <f>SUM(AP64:AS64)</f>
        <v>7.6560000000000006</v>
      </c>
      <c r="AU64" s="39">
        <f>SUM(AU60,AU62)</f>
        <v>3.3959999999999999</v>
      </c>
      <c r="AV64" s="40">
        <f>SUM(AV60,AV62)</f>
        <v>5.3610000000000007</v>
      </c>
      <c r="AW64" s="40">
        <f>SUM(AW60,AW62)</f>
        <v>4.1760000000000002</v>
      </c>
      <c r="AX64" s="41">
        <f>SUM(AX60,AX62)</f>
        <v>5.9350000000000005</v>
      </c>
      <c r="AY64" s="40">
        <f>SUM(AU64:AX64)</f>
        <v>18.868000000000002</v>
      </c>
      <c r="AZ64" s="39">
        <f>SUM(AZ60,AZ62)</f>
        <v>6.6539999999999999</v>
      </c>
      <c r="BA64" s="40">
        <f>SUM(BA60,BA62)</f>
        <v>6.9790000000000001</v>
      </c>
      <c r="BB64" s="40">
        <f>SUM(BB60,BB62)</f>
        <v>10.561</v>
      </c>
      <c r="BC64" s="41">
        <f>SUM(BC60,BC62)</f>
        <v>8.64</v>
      </c>
      <c r="BD64" s="40">
        <f>SUM(AZ64:BC64)</f>
        <v>32.834000000000003</v>
      </c>
      <c r="BE64" s="39">
        <f>SUM(BE60,BE62)</f>
        <v>10.173999999999999</v>
      </c>
      <c r="BF64" s="40">
        <f>SUM(BF60,BF62)</f>
        <v>4.3789999999999996</v>
      </c>
      <c r="BG64" s="40">
        <f>SUM(BG60,BG62)</f>
        <v>-9.4329999999999998</v>
      </c>
      <c r="BH64" s="41">
        <f>SUM(BH60,BH62)</f>
        <v>-6.58</v>
      </c>
      <c r="BI64" s="40">
        <f>SUM(BE64:BH64)</f>
        <v>-1.4600000000000009</v>
      </c>
      <c r="BJ64" s="39">
        <f>SUM(BJ60,BJ62)</f>
        <v>-2.6409999999999996</v>
      </c>
      <c r="BK64" s="40">
        <f>SUM(BK60,BK62)</f>
        <v>17.496000000000002</v>
      </c>
      <c r="BL64" s="40">
        <f>SUM(BL60,BL62)</f>
        <v>1.9169999999999998</v>
      </c>
      <c r="BM64" s="41">
        <f>SUM(BM60,BM62)</f>
        <v>1.6890000000000001</v>
      </c>
      <c r="BN64" s="40">
        <f>SUM(BJ64:BM64)</f>
        <v>18.461000000000002</v>
      </c>
      <c r="BO64" s="39">
        <f>SUM(BO60,BO62)</f>
        <v>-4.2650000000000006</v>
      </c>
      <c r="BP64" s="40">
        <f>SUM(BP60,BP62)</f>
        <v>2.093</v>
      </c>
      <c r="BQ64" s="40">
        <f>SUM(BQ60,BQ62)</f>
        <v>14.977</v>
      </c>
      <c r="BR64" s="41">
        <f>SUM(BR60,BR62)</f>
        <v>3.923</v>
      </c>
      <c r="BS64" s="40">
        <f>SUM(BO64:BR64)</f>
        <v>16.728000000000002</v>
      </c>
      <c r="BT64" s="39">
        <f>SUM(BT60,BT62)</f>
        <v>15.135</v>
      </c>
      <c r="BU64" s="40">
        <f>SUM(BU60,BU62)</f>
        <v>7.6470000000000002</v>
      </c>
      <c r="BV64" s="40">
        <f>SUM(BV60,BV62)</f>
        <v>-5.0379999999999985</v>
      </c>
      <c r="BW64" s="41">
        <f>SUM(BW60,BW62)</f>
        <v>14.937000000000001</v>
      </c>
      <c r="BX64" s="40">
        <f>SUM(BT64:BW64)</f>
        <v>32.680999999999997</v>
      </c>
      <c r="BY64" s="39">
        <f>SUM(BY60,BY62)</f>
        <v>4.3779999999999992</v>
      </c>
      <c r="BZ64" s="40">
        <f>SUM(BZ60,BZ62)</f>
        <v>3.1340000000000003</v>
      </c>
      <c r="CA64" s="40">
        <f>SUM(CA60,CA62)</f>
        <v>8.9969999999999999</v>
      </c>
      <c r="CB64" s="40">
        <f>SUM(CB60,CB62)</f>
        <v>9.5909999999999993</v>
      </c>
      <c r="CC64" s="334">
        <f>SUM(BY64:CB64)</f>
        <v>26.1</v>
      </c>
      <c r="CD64" s="40">
        <f>SUM(CD60,CD62)</f>
        <v>10.058999999999999</v>
      </c>
      <c r="CE64" s="40">
        <f>SUM(CE60,CE62)</f>
        <v>-25.892000000000003</v>
      </c>
      <c r="CF64" s="40">
        <f>SUM(CF60,CF62)</f>
        <v>-7.35</v>
      </c>
      <c r="CG64" s="40">
        <f>SUM(CG60,CG62)</f>
        <v>-5.8179999999999996</v>
      </c>
      <c r="CH64" s="334">
        <f>SUM(CD64:CG64)</f>
        <v>-29.001000000000005</v>
      </c>
      <c r="CI64" s="40">
        <f>SUM(CI60,CI62)</f>
        <v>11.935</v>
      </c>
      <c r="CJ64" s="40">
        <f>SUM(CJ60,CJ62)</f>
        <v>14.132</v>
      </c>
      <c r="CK64" s="40">
        <f>SUM(CK60,CK62)</f>
        <v>17.201000000000001</v>
      </c>
      <c r="CL64" s="40">
        <f>SUM(CL60,CL62)</f>
        <v>-1.3269999999999982</v>
      </c>
      <c r="CM64" s="334">
        <f>SUM(CI64:CL64)</f>
        <v>41.941000000000003</v>
      </c>
      <c r="CN64" s="40">
        <f t="shared" ref="CN64:CX64" si="164">CN60+CN61+CN62</f>
        <v>16.099999999999998</v>
      </c>
      <c r="CO64" s="40">
        <f t="shared" si="164"/>
        <v>13.700000000000001</v>
      </c>
      <c r="CP64" s="40">
        <f t="shared" si="164"/>
        <v>15.999999999999998</v>
      </c>
      <c r="CQ64" s="40">
        <f t="shared" si="164"/>
        <v>18.799999999999997</v>
      </c>
      <c r="CR64" s="355">
        <f t="shared" si="164"/>
        <v>64.59999999999998</v>
      </c>
      <c r="CS64" s="40">
        <f t="shared" si="164"/>
        <v>26</v>
      </c>
      <c r="CT64" s="40">
        <f t="shared" si="164"/>
        <v>24.1</v>
      </c>
      <c r="CU64" s="40">
        <f t="shared" si="164"/>
        <v>22.999999999999996</v>
      </c>
      <c r="CV64" s="40">
        <f t="shared" si="164"/>
        <v>25</v>
      </c>
      <c r="CW64" s="355">
        <f t="shared" si="164"/>
        <v>98.100000000000009</v>
      </c>
      <c r="CX64" s="40">
        <f t="shared" si="164"/>
        <v>27</v>
      </c>
      <c r="CY64" s="40">
        <f>CY60+CY61+CY62</f>
        <v>24</v>
      </c>
      <c r="CZ64" s="40">
        <f>CZ60+CZ61+CZ62</f>
        <v>27</v>
      </c>
      <c r="DA64" s="77">
        <f>DA60+DA61+DA62</f>
        <v>31</v>
      </c>
      <c r="DB64" s="355">
        <f>SUM(CX64:DA64)</f>
        <v>109</v>
      </c>
      <c r="DC64" s="77">
        <f>DC60+DC61+DC62</f>
        <v>27.44495205479452</v>
      </c>
      <c r="DD64" s="77">
        <f>DD60+DD61+DD62</f>
        <v>26.335548091730679</v>
      </c>
      <c r="DE64" s="77">
        <f>DE60+DE61+DE62</f>
        <v>24.126868822224562</v>
      </c>
      <c r="DF64" s="77">
        <f>DF60+DF61+DF62</f>
        <v>28.888347567582443</v>
      </c>
      <c r="DG64" s="355">
        <f>SUM(DC64:DF64)</f>
        <v>106.79571653633221</v>
      </c>
      <c r="DH64" s="77">
        <f>DH60+DH61+DH62</f>
        <v>28.883603933009852</v>
      </c>
      <c r="DI64" s="77">
        <f>DI60+DI61+DI62</f>
        <v>30.215627083147353</v>
      </c>
      <c r="DJ64" s="77">
        <f>DJ60+DJ61+DJ62</f>
        <v>28.061546825229172</v>
      </c>
      <c r="DK64" s="77">
        <f>DK60+DK61+DK62</f>
        <v>31.208387917712557</v>
      </c>
      <c r="DL64" s="355">
        <f>SUM(DH64:DK64)</f>
        <v>118.36916575909893</v>
      </c>
      <c r="DM64" s="77">
        <f>DM60+DM61+DM62</f>
        <v>29.78951078795351</v>
      </c>
      <c r="DN64" s="77">
        <f>DN60+DN61+DN62</f>
        <v>32.964955877835294</v>
      </c>
      <c r="DO64" s="77">
        <f>DO60+DO61+DO62</f>
        <v>31.549520616871085</v>
      </c>
      <c r="DP64" s="77">
        <f>DP60+DP61+DP62</f>
        <v>34.281901660203218</v>
      </c>
      <c r="DQ64" s="355">
        <f>SUM(DM64:DP64)</f>
        <v>128.58588894286311</v>
      </c>
      <c r="DR64" s="27"/>
      <c r="DS64" s="27"/>
      <c r="DT64"/>
      <c r="DU64"/>
      <c r="DV64"/>
      <c r="DW64"/>
      <c r="DX64"/>
      <c r="DY64"/>
    </row>
    <row r="65" spans="1:129">
      <c r="B65" s="623"/>
      <c r="C65" s="558"/>
      <c r="D65" s="558"/>
      <c r="E65" s="558"/>
      <c r="CM65" s="330"/>
      <c r="CR65" s="330"/>
      <c r="CW65" s="330"/>
      <c r="DB65" s="330"/>
      <c r="DG65" s="330"/>
      <c r="DL65" s="330"/>
      <c r="DQ65" s="330"/>
    </row>
    <row r="66" spans="1:129" s="19" customFormat="1">
      <c r="A66" s="627"/>
      <c r="B66" s="620" t="s">
        <v>317</v>
      </c>
      <c r="C66" s="628"/>
      <c r="D66" s="628"/>
      <c r="E66" s="628"/>
      <c r="F66" s="629"/>
      <c r="G66" s="78">
        <f>G53+G64</f>
        <v>1.1379999999999992</v>
      </c>
      <c r="H66" s="77">
        <f>H53+H64</f>
        <v>1.7039999999999993</v>
      </c>
      <c r="I66" s="77">
        <f>I53+I64</f>
        <v>2.7139999999999986</v>
      </c>
      <c r="J66" s="79">
        <f>J53+J64</f>
        <v>4.081999999999999</v>
      </c>
      <c r="K66" s="78">
        <f>SUM(G66:J66)</f>
        <v>9.6379999999999963</v>
      </c>
      <c r="L66" s="78">
        <f>L53+L64</f>
        <v>4.4079999999999977</v>
      </c>
      <c r="M66" s="77">
        <f>M53+M64</f>
        <v>4.0810000000000022</v>
      </c>
      <c r="N66" s="77">
        <f>N53+N64</f>
        <v>4.5680000000000023</v>
      </c>
      <c r="O66" s="79">
        <f>O53+O64</f>
        <v>4.8879999999999963</v>
      </c>
      <c r="P66" s="77">
        <f>SUM(L66:O66)</f>
        <v>17.945</v>
      </c>
      <c r="Q66" s="78">
        <f>Q53+Q64</f>
        <v>5.5290000000000008</v>
      </c>
      <c r="R66" s="77">
        <f>R53+R64</f>
        <v>6.4169999999999972</v>
      </c>
      <c r="S66" s="77">
        <f>S53+S64</f>
        <v>7.6430000000000007</v>
      </c>
      <c r="T66" s="79">
        <f>T53+T64</f>
        <v>8.6569999999999911</v>
      </c>
      <c r="U66" s="77">
        <f>SUM(Q66:T66)</f>
        <v>28.245999999999988</v>
      </c>
      <c r="V66" s="78">
        <f>V53+V64</f>
        <v>8.8900000000000023</v>
      </c>
      <c r="W66" s="77">
        <f>W53+W64</f>
        <v>9.3410000000000011</v>
      </c>
      <c r="X66" s="77">
        <f>X53+X64</f>
        <v>9.7569999999999997</v>
      </c>
      <c r="Y66" s="79">
        <f>Y53+Y64</f>
        <v>9.3659999999999997</v>
      </c>
      <c r="Z66" s="77">
        <f>SUM(V66:Y66)</f>
        <v>37.353999999999999</v>
      </c>
      <c r="AA66" s="78">
        <f>AA53+AA64</f>
        <v>13.389846153846156</v>
      </c>
      <c r="AB66" s="77">
        <f>AB53+AB64</f>
        <v>15.414538461538459</v>
      </c>
      <c r="AC66" s="77">
        <f>AC53+AC64</f>
        <v>16.844538461538463</v>
      </c>
      <c r="AD66" s="79">
        <f>AD53+AD64</f>
        <v>18.909769230769221</v>
      </c>
      <c r="AE66" s="77">
        <f>SUM(AA66:AD66)</f>
        <v>64.558692307692297</v>
      </c>
      <c r="AF66" s="78">
        <f>AF53+AF64</f>
        <v>19.93569230769231</v>
      </c>
      <c r="AG66" s="77">
        <f>AG53+AG64</f>
        <v>23.37830769230769</v>
      </c>
      <c r="AH66" s="77">
        <f>AH53+AH64</f>
        <v>26.200769230769232</v>
      </c>
      <c r="AI66" s="79">
        <f>AI53+AI64</f>
        <v>27.813923076923075</v>
      </c>
      <c r="AJ66" s="77">
        <f>SUM(AF66:AI66)</f>
        <v>97.328692307692307</v>
      </c>
      <c r="AK66" s="78">
        <f>AK53+AK64</f>
        <v>30.097230769230762</v>
      </c>
      <c r="AL66" s="77">
        <f>AL53+AL64</f>
        <v>35.37269230769229</v>
      </c>
      <c r="AM66" s="77">
        <f>AM53+AM64</f>
        <v>38.943923076923085</v>
      </c>
      <c r="AN66" s="79">
        <f>AN53+AN64</f>
        <v>41.055000000000014</v>
      </c>
      <c r="AO66" s="77">
        <f>SUM(AK66:AN66)</f>
        <v>145.46884615384616</v>
      </c>
      <c r="AP66" s="78">
        <f>AP53+AP64</f>
        <v>46.786076923076941</v>
      </c>
      <c r="AQ66" s="77">
        <f>AQ53+AQ64</f>
        <v>50.612461538461524</v>
      </c>
      <c r="AR66" s="77">
        <f>AR53+AR64</f>
        <v>56.264307692307682</v>
      </c>
      <c r="AS66" s="79">
        <f>AS53+AS64</f>
        <v>59.286076923076955</v>
      </c>
      <c r="AT66" s="77">
        <f>SUM(AP66:AS66)</f>
        <v>212.94892307692311</v>
      </c>
      <c r="AU66" s="78">
        <f>AU53+AU64</f>
        <v>64.153999999999996</v>
      </c>
      <c r="AV66" s="77">
        <f>AV53+AV64</f>
        <v>72.80100000000003</v>
      </c>
      <c r="AW66" s="77">
        <f>AW53+AW64</f>
        <v>80.410000000000053</v>
      </c>
      <c r="AX66" s="79">
        <f>AX53+AX64</f>
        <v>90.38000000000001</v>
      </c>
      <c r="AY66" s="77">
        <f>SUM(AU66:AX66)</f>
        <v>307.74500000000012</v>
      </c>
      <c r="AZ66" s="78">
        <f>AZ53+AZ64</f>
        <v>97.694000000000045</v>
      </c>
      <c r="BA66" s="77">
        <f>BA53+BA64</f>
        <v>107.16199999999999</v>
      </c>
      <c r="BB66" s="77">
        <f>BB53+BB64</f>
        <v>120.846</v>
      </c>
      <c r="BC66" s="79">
        <f>BC53+BC64</f>
        <v>130.4919999999999</v>
      </c>
      <c r="BD66" s="77">
        <f>SUM(AZ66:BC66)</f>
        <v>456.19399999999996</v>
      </c>
      <c r="BE66" s="78">
        <f>BE53+BE64</f>
        <v>135.77000000000001</v>
      </c>
      <c r="BF66" s="77">
        <f>BF53+BF64</f>
        <v>140.43600000000001</v>
      </c>
      <c r="BG66" s="77">
        <f>BG53+BG64</f>
        <v>143.36700000000005</v>
      </c>
      <c r="BH66" s="79">
        <f>BH53+BH64</f>
        <v>147.68599999999995</v>
      </c>
      <c r="BI66" s="77">
        <f>SUM(BE66:BH66)</f>
        <v>567.25900000000001</v>
      </c>
      <c r="BJ66" s="78">
        <f>BJ53+BJ64</f>
        <v>148.19700000000003</v>
      </c>
      <c r="BK66" s="77">
        <f>BK53+BK64</f>
        <v>178.81900000000002</v>
      </c>
      <c r="BL66" s="77">
        <f>BL53+BL64</f>
        <v>174.28800000000018</v>
      </c>
      <c r="BM66" s="79">
        <f>BM53+BM64</f>
        <v>181.40799999999973</v>
      </c>
      <c r="BN66" s="77">
        <f>SUM(BJ66:BM66)</f>
        <v>682.71199999999999</v>
      </c>
      <c r="BO66" s="78">
        <f>BO53+BO64</f>
        <v>192.697</v>
      </c>
      <c r="BP66" s="77">
        <f>BP53+BP64</f>
        <v>221.99799999999999</v>
      </c>
      <c r="BQ66" s="77">
        <f>BQ53+BQ64</f>
        <v>257.38499999999993</v>
      </c>
      <c r="BR66" s="79">
        <f>BR53+BR64</f>
        <v>263.48399999999987</v>
      </c>
      <c r="BS66" s="77">
        <f>SUM(BO66:BR66)</f>
        <v>935.56399999999985</v>
      </c>
      <c r="BT66" s="78">
        <f>BT53+BT64</f>
        <v>296.56499999999988</v>
      </c>
      <c r="BU66" s="77">
        <f>BU53+BU64</f>
        <v>301.28399999999993</v>
      </c>
      <c r="BV66" s="77">
        <f>BV53+BV64</f>
        <v>312.46399999999994</v>
      </c>
      <c r="BW66" s="79">
        <f>BW53+BW64</f>
        <v>349.06799999999993</v>
      </c>
      <c r="BX66" s="77">
        <f>SUM(BT66:BW66)</f>
        <v>1259.3809999999996</v>
      </c>
      <c r="BY66" s="78">
        <f>BY53+BY64</f>
        <v>359.97600000000017</v>
      </c>
      <c r="BZ66" s="77">
        <f>BZ53+BZ64</f>
        <v>362.59100000000018</v>
      </c>
      <c r="CA66" s="77">
        <f>CA53+CA64</f>
        <v>389.52200000000022</v>
      </c>
      <c r="CB66" s="77">
        <f>CB53+CB64</f>
        <v>398.73300000000023</v>
      </c>
      <c r="CC66" s="819">
        <f>SUM(BY66:CB66)</f>
        <v>1510.8220000000008</v>
      </c>
      <c r="CD66" s="77">
        <f>CD53+CD64</f>
        <v>411.71300000000019</v>
      </c>
      <c r="CE66" s="77">
        <f>CE53+CE64</f>
        <v>437.05999999999983</v>
      </c>
      <c r="CF66" s="77">
        <f>CF53+CF64</f>
        <v>462.15199999999999</v>
      </c>
      <c r="CG66" s="77">
        <f>CG53+CG64</f>
        <v>480.78599999999989</v>
      </c>
      <c r="CH66" s="819">
        <f>SUM(CD66:CG66)</f>
        <v>1791.7109999999998</v>
      </c>
      <c r="CI66" s="77">
        <f>CI53+CI64</f>
        <v>515.77099999999996</v>
      </c>
      <c r="CJ66" s="77">
        <f>CJ53+CJ64</f>
        <v>543.15299999999957</v>
      </c>
      <c r="CK66" s="77">
        <f>CK53+CK64</f>
        <v>520.91399999999953</v>
      </c>
      <c r="CL66" s="77">
        <f>CL53+CL64</f>
        <v>530.18100000000004</v>
      </c>
      <c r="CM66" s="819">
        <f>SUM(CI66:CL66)</f>
        <v>2110.0189999999993</v>
      </c>
      <c r="CN66" s="77">
        <f t="shared" ref="CN66:CX66" si="165">CN53+CN64</f>
        <v>592.90000000000032</v>
      </c>
      <c r="CO66" s="77">
        <f t="shared" si="165"/>
        <v>636.6</v>
      </c>
      <c r="CP66" s="77">
        <f t="shared" si="165"/>
        <v>633.79999999999973</v>
      </c>
      <c r="CQ66" s="77">
        <f t="shared" si="165"/>
        <v>651.20000000000005</v>
      </c>
      <c r="CR66" s="606">
        <f t="shared" si="165"/>
        <v>2514.5</v>
      </c>
      <c r="CS66" s="77">
        <f t="shared" si="165"/>
        <v>662.59999999999968</v>
      </c>
      <c r="CT66" s="77">
        <f t="shared" si="165"/>
        <v>707.5</v>
      </c>
      <c r="CU66" s="77">
        <f t="shared" si="165"/>
        <v>690.19999999999993</v>
      </c>
      <c r="CV66" s="77">
        <f t="shared" si="165"/>
        <v>674</v>
      </c>
      <c r="CW66" s="606">
        <f t="shared" si="165"/>
        <v>2734.2999999999993</v>
      </c>
      <c r="CX66" s="77">
        <f t="shared" si="165"/>
        <v>696</v>
      </c>
      <c r="CY66" s="77">
        <f>CY53+CY64</f>
        <v>759</v>
      </c>
      <c r="CZ66" s="77">
        <f>CZ53+CZ64</f>
        <v>781</v>
      </c>
      <c r="DA66" s="77">
        <f>DA53+DA64</f>
        <v>785</v>
      </c>
      <c r="DB66" s="606">
        <f>SUM(CX66:DA66)</f>
        <v>3021</v>
      </c>
      <c r="DC66" s="77">
        <f>DC53+DC64</f>
        <v>815.32063955479475</v>
      </c>
      <c r="DD66" s="77">
        <f>DD53+DD64</f>
        <v>858.21964809173062</v>
      </c>
      <c r="DE66" s="77">
        <f>DE53+DE64</f>
        <v>887.15160882222449</v>
      </c>
      <c r="DF66" s="77">
        <f>DF53+DF64</f>
        <v>931.37725756758277</v>
      </c>
      <c r="DG66" s="606">
        <f>SUM(DC66:DF66)</f>
        <v>3492.0691540363332</v>
      </c>
      <c r="DH66" s="77">
        <f>DH53+DH64</f>
        <v>948.25758143301027</v>
      </c>
      <c r="DI66" s="77">
        <f>DI53+DI64</f>
        <v>986.90735593314753</v>
      </c>
      <c r="DJ66" s="77">
        <f>DJ53+DJ64</f>
        <v>1010.9567899252294</v>
      </c>
      <c r="DK66" s="77">
        <f>DK53+DK64</f>
        <v>1029.4911947177129</v>
      </c>
      <c r="DL66" s="606">
        <f>SUM(DH66:DK66)</f>
        <v>3975.6129220091002</v>
      </c>
      <c r="DM66" s="77">
        <f>DM53+DM64</f>
        <v>1023.1021064754539</v>
      </c>
      <c r="DN66" s="77">
        <f>DN53+DN64</f>
        <v>1064.2345950958359</v>
      </c>
      <c r="DO66" s="77">
        <f>DO53+DO64</f>
        <v>1092.6106316603712</v>
      </c>
      <c r="DP66" s="77">
        <f>DP53+DP64</f>
        <v>1110.7650485082033</v>
      </c>
      <c r="DQ66" s="606">
        <f>SUM(DM66:DP66)</f>
        <v>4290.7123817398642</v>
      </c>
      <c r="DR66" s="27"/>
      <c r="DS66" s="27"/>
      <c r="DT66"/>
      <c r="DU66"/>
      <c r="DV66"/>
      <c r="DW66"/>
      <c r="DX66"/>
      <c r="DY66"/>
    </row>
    <row r="67" spans="1:129" s="38" customFormat="1">
      <c r="A67" s="652"/>
      <c r="B67" s="623" t="s">
        <v>330</v>
      </c>
      <c r="C67" s="558"/>
      <c r="D67" s="558"/>
      <c r="E67" s="558"/>
      <c r="F67" s="621"/>
      <c r="G67" s="14">
        <v>1.1379999999999992</v>
      </c>
      <c r="H67" s="15">
        <v>1.7039999999999993</v>
      </c>
      <c r="I67" s="15">
        <v>2.7139999999999986</v>
      </c>
      <c r="J67" s="16">
        <v>4.081999999999999</v>
      </c>
      <c r="K67" s="15">
        <f>SUM(G67:J67)</f>
        <v>9.6379999999999963</v>
      </c>
      <c r="L67" s="14">
        <v>4.4079999999999977</v>
      </c>
      <c r="M67" s="15">
        <v>4.0810000000000022</v>
      </c>
      <c r="N67" s="15">
        <v>4.5680000000000023</v>
      </c>
      <c r="O67" s="16">
        <v>4.8879999999999963</v>
      </c>
      <c r="P67" s="15">
        <f>SUM(L67:O67)</f>
        <v>17.945</v>
      </c>
      <c r="Q67" s="14">
        <v>5.5290000000000008</v>
      </c>
      <c r="R67" s="15">
        <v>6.4169999999999972</v>
      </c>
      <c r="S67" s="15">
        <v>7.6430000000000007</v>
      </c>
      <c r="T67" s="16">
        <v>8.6569999999999911</v>
      </c>
      <c r="U67" s="15">
        <f>SUM(Q67:T67)</f>
        <v>28.245999999999988</v>
      </c>
      <c r="V67" s="14">
        <v>8.8900000000000023</v>
      </c>
      <c r="W67" s="15">
        <v>9.3410000000000011</v>
      </c>
      <c r="X67" s="15">
        <v>9.7569999999999997</v>
      </c>
      <c r="Y67" s="16">
        <v>9.3659999999999997</v>
      </c>
      <c r="Z67" s="15">
        <f>SUM(V67:Y67)</f>
        <v>37.353999999999999</v>
      </c>
      <c r="AA67" s="14">
        <v>9.4160000000000021</v>
      </c>
      <c r="AB67" s="15">
        <v>11.152999999999999</v>
      </c>
      <c r="AC67" s="15">
        <v>12.603</v>
      </c>
      <c r="AD67" s="16">
        <v>13.598999999999991</v>
      </c>
      <c r="AE67" s="15">
        <f>SUM(AA67:AD67)</f>
        <v>46.770999999999994</v>
      </c>
      <c r="AF67" s="14">
        <v>14.748000000000003</v>
      </c>
      <c r="AG67" s="15">
        <v>17.545999999999999</v>
      </c>
      <c r="AH67" s="15">
        <v>19.87</v>
      </c>
      <c r="AI67" s="16">
        <v>22.076999999999998</v>
      </c>
      <c r="AJ67" s="15">
        <f>SUM(AF67:AI67)</f>
        <v>74.241</v>
      </c>
      <c r="AK67" s="14">
        <v>24.827999999999996</v>
      </c>
      <c r="AL67" s="15">
        <v>28.524999999999984</v>
      </c>
      <c r="AM67" s="15">
        <v>31.887000000000008</v>
      </c>
      <c r="AN67" s="16">
        <v>36.855000000000011</v>
      </c>
      <c r="AO67" s="15">
        <f>SUM(AK67:AN67)</f>
        <v>122.095</v>
      </c>
      <c r="AP67" s="14">
        <v>38.90300000000002</v>
      </c>
      <c r="AQ67" s="15">
        <v>43.833999999999989</v>
      </c>
      <c r="AR67" s="15">
        <v>49.371999999999986</v>
      </c>
      <c r="AS67" s="16">
        <v>53.163000000000032</v>
      </c>
      <c r="AT67" s="15">
        <f>SUM(AP67:AS67)</f>
        <v>185.27200000000002</v>
      </c>
      <c r="AU67" s="14">
        <v>56.551999999999992</v>
      </c>
      <c r="AV67" s="15">
        <v>66.032000000000025</v>
      </c>
      <c r="AW67" s="15">
        <v>72.940000000000055</v>
      </c>
      <c r="AX67" s="16">
        <v>82.287000000000006</v>
      </c>
      <c r="AY67" s="15">
        <f>SUM(AU67:AX67)</f>
        <v>277.81100000000004</v>
      </c>
      <c r="AZ67" s="14">
        <v>90.256000000000043</v>
      </c>
      <c r="BA67" s="15">
        <v>97.649999999999991</v>
      </c>
      <c r="BB67" s="15">
        <v>111.691</v>
      </c>
      <c r="BC67" s="16">
        <v>114.75899999999992</v>
      </c>
      <c r="BD67" s="15">
        <f>SUM(AZ67:BC67)</f>
        <v>414.35599999999994</v>
      </c>
      <c r="BE67" s="14">
        <v>121.869</v>
      </c>
      <c r="BF67" s="15">
        <v>124.05700000000003</v>
      </c>
      <c r="BG67" s="15">
        <v>133.19800000000004</v>
      </c>
      <c r="BH67" s="16">
        <v>136.08599999999996</v>
      </c>
      <c r="BI67" s="15">
        <f>SUM(BE67:BH67)</f>
        <v>515.21</v>
      </c>
      <c r="BJ67" s="14">
        <v>135.48900000000003</v>
      </c>
      <c r="BK67" s="15">
        <v>169.16600000000003</v>
      </c>
      <c r="BL67" s="15">
        <v>163.69900000000018</v>
      </c>
      <c r="BM67" s="16">
        <v>168.59699999999972</v>
      </c>
      <c r="BN67" s="15">
        <f>SUM(BJ67:BM67)</f>
        <v>636.95100000000002</v>
      </c>
      <c r="BO67" s="14">
        <v>178.75200000000001</v>
      </c>
      <c r="BP67" s="15">
        <v>208.00799999999998</v>
      </c>
      <c r="BQ67" s="15">
        <v>243.27599999999995</v>
      </c>
      <c r="BR67" s="16">
        <v>248.54399999999987</v>
      </c>
      <c r="BS67" s="15">
        <f>SUM(BO67:BR67)</f>
        <v>878.57999999999981</v>
      </c>
      <c r="BT67" s="14">
        <v>280.49999999999989</v>
      </c>
      <c r="BU67" s="15">
        <v>277.60499999999996</v>
      </c>
      <c r="BV67" s="15">
        <v>287.96399999999994</v>
      </c>
      <c r="BW67" s="16">
        <v>323.07999999999993</v>
      </c>
      <c r="BX67" s="15">
        <f>SUM(BT67:BW67)</f>
        <v>1169.1489999999997</v>
      </c>
      <c r="BY67" s="14">
        <v>322.27700000000016</v>
      </c>
      <c r="BZ67" s="15">
        <v>335.09200000000016</v>
      </c>
      <c r="CA67" s="15">
        <v>364.38300000000021</v>
      </c>
      <c r="CB67" s="15">
        <v>365.84400000000022</v>
      </c>
      <c r="CC67" s="352">
        <f>SUM(BY67:CB67)</f>
        <v>1387.5960000000009</v>
      </c>
      <c r="CD67" s="15">
        <v>377.18300000000016</v>
      </c>
      <c r="CE67" s="15">
        <v>420.39699999999982</v>
      </c>
      <c r="CF67" s="15">
        <v>439.19799999999998</v>
      </c>
      <c r="CG67" s="15">
        <v>451.1389999999999</v>
      </c>
      <c r="CH67" s="352">
        <f>SUM(CD67:CG67)</f>
        <v>1687.9169999999997</v>
      </c>
      <c r="CI67" s="15">
        <v>473.18799999999999</v>
      </c>
      <c r="CJ67" s="15">
        <v>501.83799999999962</v>
      </c>
      <c r="CK67" s="15">
        <v>463.73899999999958</v>
      </c>
      <c r="CL67" s="15">
        <v>485.26600000000008</v>
      </c>
      <c r="CM67" s="352">
        <f>SUM(CI67:CL67)</f>
        <v>1924.0309999999993</v>
      </c>
      <c r="CN67" s="15">
        <f t="shared" ref="CN67:CY67" si="166">CN57+CN60+CN61+CN62+CN51</f>
        <v>510.60000000000019</v>
      </c>
      <c r="CO67" s="15">
        <f t="shared" si="166"/>
        <v>548.80000000000007</v>
      </c>
      <c r="CP67" s="15">
        <f t="shared" si="166"/>
        <v>542.99999999999989</v>
      </c>
      <c r="CQ67" s="15">
        <f t="shared" si="166"/>
        <v>561.20000000000016</v>
      </c>
      <c r="CR67" s="352">
        <f t="shared" si="166"/>
        <v>2163.6</v>
      </c>
      <c r="CS67" s="15">
        <f t="shared" si="166"/>
        <v>588.99999999999966</v>
      </c>
      <c r="CT67" s="15">
        <f t="shared" si="166"/>
        <v>594.79999999999995</v>
      </c>
      <c r="CU67" s="15">
        <f t="shared" si="166"/>
        <v>613.29999999999995</v>
      </c>
      <c r="CV67" s="15">
        <f t="shared" si="166"/>
        <v>560</v>
      </c>
      <c r="CW67" s="352">
        <f t="shared" si="166"/>
        <v>2357.0999999999995</v>
      </c>
      <c r="CX67" s="15">
        <f t="shared" si="166"/>
        <v>649</v>
      </c>
      <c r="CY67" s="15">
        <f t="shared" si="166"/>
        <v>635</v>
      </c>
      <c r="CZ67" s="15">
        <f>CZ57+CZ60+CZ61+CZ62+CZ51</f>
        <v>659</v>
      </c>
      <c r="DA67" s="15">
        <f>DA57+DA60+DA61+DA62+DA51</f>
        <v>714</v>
      </c>
      <c r="DB67" s="352">
        <f>SUM(CX67:DA67)</f>
        <v>2657</v>
      </c>
      <c r="DC67" s="15">
        <f>DC57+DC60+DC61+DC62+DC51</f>
        <v>757.24626455479472</v>
      </c>
      <c r="DD67" s="15">
        <f>DD57+DD60+DD61+DD62+DD51</f>
        <v>798.08344809173059</v>
      </c>
      <c r="DE67" s="15">
        <f>DE57+DE60+DE61+DE62+DE51</f>
        <v>825.65340882222449</v>
      </c>
      <c r="DF67" s="15">
        <f>DF57+DF60+DF61+DF62+DF51</f>
        <v>868.84915756758278</v>
      </c>
      <c r="DG67" s="352">
        <f>SUM(DC67:DF67)</f>
        <v>3249.8322790363327</v>
      </c>
      <c r="DH67" s="15">
        <f>DH57+DH60+DH61+DH62+DH51</f>
        <v>885.5729920580103</v>
      </c>
      <c r="DI67" s="15">
        <f>DI57+DI60+DI61+DI62+DI51</f>
        <v>921.97352818314744</v>
      </c>
      <c r="DJ67" s="15">
        <f>DJ57+DJ60+DJ61+DJ62+DJ51</f>
        <v>944.54494917522936</v>
      </c>
      <c r="DK67" s="15">
        <f>DK57+DK60+DK61+DK62+DK51</f>
        <v>962.03965371771289</v>
      </c>
      <c r="DL67" s="352">
        <f>SUM(DH67:DK67)</f>
        <v>3714.1311231341001</v>
      </c>
      <c r="DM67" s="15">
        <f>DM57+DM60+DM61+DM62+DM51</f>
        <v>955.37624767857892</v>
      </c>
      <c r="DN67" s="15">
        <f>DN57+DN60+DN61+DN62+DN51</f>
        <v>994.23891822583573</v>
      </c>
      <c r="DO67" s="15">
        <f>DO57+DO60+DO61+DO62+DO51</f>
        <v>1020.9173133466209</v>
      </c>
      <c r="DP67" s="15">
        <f>DP57+DP60+DP61+DP62+DP51</f>
        <v>1038.0297007482036</v>
      </c>
      <c r="DQ67" s="352">
        <f>SUM(DM67:DP67)</f>
        <v>4008.5621799992391</v>
      </c>
      <c r="DR67" s="33"/>
      <c r="DS67" s="33"/>
      <c r="DT67"/>
      <c r="DU67"/>
      <c r="DV67"/>
      <c r="DW67"/>
      <c r="DX67"/>
      <c r="DY67"/>
    </row>
    <row r="68" spans="1:129" s="38" customFormat="1">
      <c r="A68" s="652"/>
      <c r="B68" s="653"/>
      <c r="C68" s="654"/>
      <c r="D68" s="654"/>
      <c r="E68" s="654"/>
      <c r="F68" s="655"/>
      <c r="G68" s="35"/>
      <c r="H68" s="36"/>
      <c r="I68" s="36"/>
      <c r="J68" s="37"/>
      <c r="K68" s="35"/>
      <c r="L68" s="35"/>
      <c r="M68" s="36"/>
      <c r="N68" s="36"/>
      <c r="O68" s="37"/>
      <c r="P68" s="36"/>
      <c r="Q68" s="35"/>
      <c r="R68" s="36"/>
      <c r="S68" s="36"/>
      <c r="T68" s="37"/>
      <c r="U68" s="36"/>
      <c r="V68" s="35"/>
      <c r="W68" s="36"/>
      <c r="X68" s="36"/>
      <c r="Y68" s="37"/>
      <c r="Z68" s="36"/>
      <c r="AA68" s="35"/>
      <c r="AB68" s="36"/>
      <c r="AC68" s="36"/>
      <c r="AD68" s="109"/>
      <c r="AE68" s="36"/>
      <c r="AF68" s="35"/>
      <c r="AG68" s="36"/>
      <c r="AH68" s="36"/>
      <c r="AI68" s="37"/>
      <c r="AJ68" s="36"/>
      <c r="AK68" s="35"/>
      <c r="AL68" s="36"/>
      <c r="AM68" s="36"/>
      <c r="AN68" s="37"/>
      <c r="AO68" s="36"/>
      <c r="AP68" s="35"/>
      <c r="AQ68" s="36"/>
      <c r="AR68" s="36"/>
      <c r="AS68" s="37"/>
      <c r="AT68" s="36"/>
      <c r="AU68" s="35"/>
      <c r="AV68" s="36"/>
      <c r="AW68" s="36"/>
      <c r="AX68" s="37"/>
      <c r="AY68" s="36"/>
      <c r="AZ68" s="35"/>
      <c r="BA68" s="36"/>
      <c r="BB68" s="36"/>
      <c r="BC68" s="37"/>
      <c r="BD68" s="36"/>
      <c r="BE68" s="35"/>
      <c r="BF68" s="36"/>
      <c r="BG68" s="36"/>
      <c r="BH68" s="37"/>
      <c r="BI68" s="36"/>
      <c r="BJ68" s="35"/>
      <c r="BK68" s="36"/>
      <c r="BL68" s="36"/>
      <c r="BM68" s="37"/>
      <c r="BN68" s="36"/>
      <c r="BO68" s="35"/>
      <c r="BP68" s="36"/>
      <c r="BQ68" s="36"/>
      <c r="BR68" s="37"/>
      <c r="BS68" s="36"/>
      <c r="BT68" s="35"/>
      <c r="BU68" s="36"/>
      <c r="BV68" s="36"/>
      <c r="BW68" s="37"/>
      <c r="BX68" s="36"/>
      <c r="BY68" s="35"/>
      <c r="BZ68" s="36"/>
      <c r="CA68" s="36"/>
      <c r="CB68" s="36"/>
      <c r="CC68" s="364"/>
      <c r="CD68" s="36"/>
      <c r="CE68" s="36"/>
      <c r="CF68" s="36"/>
      <c r="CG68" s="36"/>
      <c r="CH68" s="364"/>
      <c r="CI68" s="36"/>
      <c r="CJ68" s="36"/>
      <c r="CK68" s="36"/>
      <c r="CL68" s="36"/>
      <c r="CM68" s="850"/>
      <c r="CN68" s="36"/>
      <c r="CO68" s="36"/>
      <c r="CP68" s="36"/>
      <c r="CQ68" s="36"/>
      <c r="CR68" s="333"/>
      <c r="CS68" s="1072"/>
      <c r="CT68" s="1072"/>
      <c r="CU68" s="1072"/>
      <c r="CV68" s="1072"/>
      <c r="CW68" s="333"/>
      <c r="CX68" s="1072"/>
      <c r="CY68" s="1072"/>
      <c r="CZ68" s="1072"/>
      <c r="DA68" s="36"/>
      <c r="DB68" s="333"/>
      <c r="DC68" s="36"/>
      <c r="DD68" s="36"/>
      <c r="DE68" s="36"/>
      <c r="DF68" s="36"/>
      <c r="DG68" s="333"/>
      <c r="DH68" s="36"/>
      <c r="DI68" s="36"/>
      <c r="DJ68" s="36"/>
      <c r="DK68" s="36"/>
      <c r="DL68" s="333"/>
      <c r="DM68" s="36"/>
      <c r="DN68" s="36"/>
      <c r="DO68" s="36"/>
      <c r="DP68" s="36"/>
      <c r="DQ68" s="333"/>
      <c r="DR68" s="32"/>
      <c r="DS68" s="33"/>
      <c r="DT68"/>
      <c r="DU68"/>
      <c r="DV68"/>
      <c r="DW68"/>
      <c r="DX68"/>
      <c r="DY68"/>
    </row>
    <row r="69" spans="1:129" s="38" customFormat="1" hidden="1" outlineLevel="1">
      <c r="A69" s="652"/>
      <c r="B69" s="653"/>
      <c r="C69" s="654" t="s">
        <v>263</v>
      </c>
      <c r="D69" s="654"/>
      <c r="E69" s="654"/>
      <c r="F69" s="655"/>
      <c r="G69" s="62">
        <v>0.42599999999999999</v>
      </c>
      <c r="H69" s="61">
        <v>0.63800000000000001</v>
      </c>
      <c r="I69" s="61">
        <v>1.014</v>
      </c>
      <c r="J69" s="63">
        <v>1.5269999999999999</v>
      </c>
      <c r="K69" s="35">
        <f>SUM(G69:J69)</f>
        <v>3.6050000000000004</v>
      </c>
      <c r="L69" s="62">
        <v>1.649</v>
      </c>
      <c r="M69" s="61">
        <v>1.526</v>
      </c>
      <c r="N69" s="61">
        <v>1.708</v>
      </c>
      <c r="O69" s="63">
        <v>1.8280000000000001</v>
      </c>
      <c r="P69" s="36">
        <f>SUM(L69:O69)</f>
        <v>6.7110000000000003</v>
      </c>
      <c r="Q69" s="62">
        <v>2.0680000000000001</v>
      </c>
      <c r="R69" s="61">
        <v>2.4</v>
      </c>
      <c r="S69" s="61">
        <v>2.8580000000000001</v>
      </c>
      <c r="T69" s="63">
        <v>3.2370000000000001</v>
      </c>
      <c r="U69" s="36">
        <f>SUM(Q69:T69)</f>
        <v>10.563000000000001</v>
      </c>
      <c r="V69" s="62">
        <v>3.3250000000000002</v>
      </c>
      <c r="W69" s="61">
        <v>3.4940000000000002</v>
      </c>
      <c r="X69" s="61">
        <v>3.649</v>
      </c>
      <c r="Y69" s="63">
        <v>2.7710000000000008</v>
      </c>
      <c r="Z69" s="36">
        <f>SUM(V69:Y69)</f>
        <v>13.239000000000001</v>
      </c>
      <c r="AA69" s="62">
        <v>2.3069999999999999</v>
      </c>
      <c r="AB69" s="61">
        <v>2.5059999999999998</v>
      </c>
      <c r="AC69" s="61">
        <v>2.9359999999999999</v>
      </c>
      <c r="AD69" s="63">
        <v>2.78</v>
      </c>
      <c r="AE69" s="36">
        <f>SUM(AA69:AD69)</f>
        <v>10.529</v>
      </c>
      <c r="AF69" s="62">
        <v>2.56</v>
      </c>
      <c r="AG69" s="61">
        <v>4.0439999999999996</v>
      </c>
      <c r="AH69" s="61">
        <v>3.91</v>
      </c>
      <c r="AI69" s="63">
        <v>4.3520000000000003</v>
      </c>
      <c r="AJ69" s="36">
        <f>SUM(AF69:AI69)</f>
        <v>14.866</v>
      </c>
      <c r="AK69" s="62">
        <v>5.04</v>
      </c>
      <c r="AL69" s="61">
        <v>4.7240000000000002</v>
      </c>
      <c r="AM69" s="61">
        <v>5.835</v>
      </c>
      <c r="AN69" s="63">
        <v>6.2530000000000001</v>
      </c>
      <c r="AO69" s="36">
        <f>SUM(AK69:AN69)</f>
        <v>21.852</v>
      </c>
      <c r="AP69" s="62">
        <v>6.9249999999999998</v>
      </c>
      <c r="AQ69" s="61">
        <v>7.8019999999999996</v>
      </c>
      <c r="AR69" s="61">
        <v>8.7889999999999997</v>
      </c>
      <c r="AS69" s="63">
        <v>-4.51</v>
      </c>
      <c r="AT69" s="36">
        <f>SUM(AP69:AS69)</f>
        <v>19.006</v>
      </c>
      <c r="AU69" s="62">
        <v>9.3879999999999999</v>
      </c>
      <c r="AV69" s="61">
        <v>10.961</v>
      </c>
      <c r="AW69" s="61">
        <v>11.913</v>
      </c>
      <c r="AX69" s="63">
        <v>12.754</v>
      </c>
      <c r="AY69" s="36">
        <f>SUM(AU69:AX69)</f>
        <v>45.015999999999998</v>
      </c>
      <c r="AZ69" s="62">
        <v>14.81</v>
      </c>
      <c r="BA69" s="61">
        <v>15.372999999999999</v>
      </c>
      <c r="BB69" s="61">
        <v>15.537000000000001</v>
      </c>
      <c r="BC69" s="63">
        <v>18.503</v>
      </c>
      <c r="BD69" s="36">
        <f>SUM(AZ69:BC69)</f>
        <v>64.222999999999999</v>
      </c>
      <c r="BE69" s="62">
        <v>19.995999999999999</v>
      </c>
      <c r="BF69" s="61">
        <v>20.201000000000001</v>
      </c>
      <c r="BG69" s="61">
        <v>20.37</v>
      </c>
      <c r="BH69" s="63">
        <v>23.797999999999998</v>
      </c>
      <c r="BI69" s="36">
        <f>SUM(BE69:BH69)</f>
        <v>84.365000000000009</v>
      </c>
      <c r="BJ69" s="62">
        <v>22.356999999999999</v>
      </c>
      <c r="BK69" s="61">
        <v>27.911000000000001</v>
      </c>
      <c r="BL69" s="61">
        <v>27.126999999999999</v>
      </c>
      <c r="BM69" s="63">
        <v>24.593</v>
      </c>
      <c r="BN69" s="36">
        <f>SUM(BJ69:BM69)</f>
        <v>101.988</v>
      </c>
      <c r="BO69" s="62">
        <v>27.251999999999999</v>
      </c>
      <c r="BP69" s="61">
        <v>35.832999999999998</v>
      </c>
      <c r="BQ69" s="61">
        <v>39.576999999999998</v>
      </c>
      <c r="BR69" s="63">
        <v>42.378</v>
      </c>
      <c r="BS69" s="36">
        <f>SUM(BO69:BR69)</f>
        <v>145.04</v>
      </c>
      <c r="BT69" s="62">
        <v>72.173000000000002</v>
      </c>
      <c r="BU69" s="61">
        <v>69.56</v>
      </c>
      <c r="BV69" s="61">
        <v>60.844999999999999</v>
      </c>
      <c r="BW69" s="63">
        <v>82.953000000000003</v>
      </c>
      <c r="BX69" s="36">
        <f>SUM(BT69:BW69)</f>
        <v>285.53100000000001</v>
      </c>
      <c r="BY69" s="62">
        <v>78.626000000000005</v>
      </c>
      <c r="BZ69" s="61">
        <v>83.16</v>
      </c>
      <c r="CA69" s="61">
        <v>87.481999999999999</v>
      </c>
      <c r="CB69" s="61">
        <f>87.065</f>
        <v>87.064999999999998</v>
      </c>
      <c r="CC69" s="333">
        <f>SUM(BY69:CB69)</f>
        <v>336.33299999999997</v>
      </c>
      <c r="CD69" s="61">
        <v>92.974000000000004</v>
      </c>
      <c r="CE69" s="61">
        <v>119.98699999999999</v>
      </c>
      <c r="CF69" s="61">
        <v>119.571</v>
      </c>
      <c r="CG69" s="441">
        <f>126.807</f>
        <v>126.807</v>
      </c>
      <c r="CH69" s="333">
        <f>SUM(CD69:CG69)</f>
        <v>459.33900000000006</v>
      </c>
      <c r="CI69" s="441">
        <f>124.31</f>
        <v>124.31</v>
      </c>
      <c r="CJ69" s="61">
        <v>129.93</v>
      </c>
      <c r="CK69" s="61">
        <v>108.11499999999999</v>
      </c>
      <c r="CL69" s="441">
        <v>122.4</v>
      </c>
      <c r="CM69" s="333">
        <f>SUM(CI69:CL69)</f>
        <v>484.755</v>
      </c>
      <c r="CN69" s="441">
        <v>127.7</v>
      </c>
      <c r="CO69" s="61">
        <v>128.69999999999999</v>
      </c>
      <c r="CP69" s="61">
        <v>145.80000000000001</v>
      </c>
      <c r="CQ69" s="441">
        <v>137.80000000000001</v>
      </c>
      <c r="CR69" s="352">
        <f>SUM(CN69:CQ69)</f>
        <v>540</v>
      </c>
      <c r="CS69" s="441">
        <v>147.9</v>
      </c>
      <c r="CT69" s="61">
        <v>342.4</v>
      </c>
      <c r="CU69" s="61">
        <v>168.9</v>
      </c>
      <c r="CV69" s="441">
        <v>144</v>
      </c>
      <c r="CW69" s="352">
        <f>SUM(CS69:CV69)</f>
        <v>803.19999999999993</v>
      </c>
      <c r="CX69" s="441">
        <v>92</v>
      </c>
      <c r="CY69" s="441">
        <v>165</v>
      </c>
      <c r="CZ69" s="1035">
        <v>164</v>
      </c>
      <c r="DA69" s="1035">
        <v>732</v>
      </c>
      <c r="DB69" s="352">
        <f>SUM(CX69:DA69)</f>
        <v>1153</v>
      </c>
      <c r="DC69" s="36">
        <f>DC72*DC66</f>
        <v>195.67695349315073</v>
      </c>
      <c r="DD69" s="36">
        <f>DD72*DD66</f>
        <v>205.97271554201535</v>
      </c>
      <c r="DE69" s="36">
        <f>DE72*DE66</f>
        <v>212.91638611733387</v>
      </c>
      <c r="DF69" s="36">
        <f>DF72*DF66</f>
        <v>223.53054181621985</v>
      </c>
      <c r="DG69" s="352">
        <f>SUM(DC69:DF69)</f>
        <v>838.09659696871984</v>
      </c>
      <c r="DH69" s="36">
        <f>DH72*DH66</f>
        <v>237.06439535825257</v>
      </c>
      <c r="DI69" s="36">
        <f>DI72*DI66</f>
        <v>246.72683898328688</v>
      </c>
      <c r="DJ69" s="36">
        <f>DJ72*DJ66</f>
        <v>252.73919748130734</v>
      </c>
      <c r="DK69" s="36">
        <f>DK72*DK66</f>
        <v>257.37279867942823</v>
      </c>
      <c r="DL69" s="352">
        <f>SUM(DH69:DK69)</f>
        <v>993.90323050227505</v>
      </c>
      <c r="DM69" s="36">
        <f>DM72*DM66</f>
        <v>255.77552661886347</v>
      </c>
      <c r="DN69" s="36">
        <f>DN72*DN66</f>
        <v>266.05864877395896</v>
      </c>
      <c r="DO69" s="36">
        <f>DO72*DO66</f>
        <v>273.15265791509279</v>
      </c>
      <c r="DP69" s="36">
        <f>DP72*DP66</f>
        <v>277.69126212705083</v>
      </c>
      <c r="DQ69" s="352">
        <f>SUM(DM69:DP69)</f>
        <v>1072.6780954349661</v>
      </c>
      <c r="DR69" s="32"/>
      <c r="DS69" s="863"/>
      <c r="DT69"/>
      <c r="DU69"/>
      <c r="DV69"/>
      <c r="DW69"/>
      <c r="DX69"/>
      <c r="DY69"/>
    </row>
    <row r="70" spans="1:129" s="38" customFormat="1" hidden="1" outlineLevel="1">
      <c r="A70" s="652"/>
      <c r="B70" s="653"/>
      <c r="C70" s="654" t="s">
        <v>318</v>
      </c>
      <c r="D70" s="654"/>
      <c r="E70" s="654"/>
      <c r="F70" s="655"/>
      <c r="G70" s="250">
        <v>0</v>
      </c>
      <c r="H70" s="251">
        <v>0</v>
      </c>
      <c r="I70" s="251">
        <v>0</v>
      </c>
      <c r="J70" s="252">
        <v>0</v>
      </c>
      <c r="K70" s="129">
        <f>SUM(G70:J70)</f>
        <v>0</v>
      </c>
      <c r="L70" s="250">
        <v>0</v>
      </c>
      <c r="M70" s="251">
        <v>0</v>
      </c>
      <c r="N70" s="251">
        <v>0</v>
      </c>
      <c r="O70" s="252">
        <v>0</v>
      </c>
      <c r="P70" s="130">
        <f>SUM(L70:O70)</f>
        <v>0</v>
      </c>
      <c r="Q70" s="250">
        <v>0</v>
      </c>
      <c r="R70" s="251">
        <v>0</v>
      </c>
      <c r="S70" s="251">
        <v>0</v>
      </c>
      <c r="T70" s="252">
        <v>0</v>
      </c>
      <c r="U70" s="130">
        <f>SUM(Q70:T70)</f>
        <v>0</v>
      </c>
      <c r="V70" s="250">
        <v>0</v>
      </c>
      <c r="W70" s="251">
        <v>0</v>
      </c>
      <c r="X70" s="251">
        <v>0</v>
      </c>
      <c r="Y70" s="252">
        <v>1.9550000000000001</v>
      </c>
      <c r="Z70" s="130">
        <f>SUM(V70:Y70)</f>
        <v>1.9550000000000001</v>
      </c>
      <c r="AA70" s="250">
        <v>0</v>
      </c>
      <c r="AB70" s="251">
        <v>0</v>
      </c>
      <c r="AC70" s="251">
        <v>0</v>
      </c>
      <c r="AD70" s="252">
        <v>1.68</v>
      </c>
      <c r="AE70" s="130">
        <f>SUM(AA70:AD70)</f>
        <v>1.68</v>
      </c>
      <c r="AF70" s="250">
        <v>2.0099999999999998</v>
      </c>
      <c r="AG70" s="251">
        <v>0</v>
      </c>
      <c r="AH70" s="251">
        <v>0</v>
      </c>
      <c r="AI70" s="252">
        <v>0</v>
      </c>
      <c r="AJ70" s="130">
        <f>SUM(AF70:AI70)</f>
        <v>2.0099999999999998</v>
      </c>
      <c r="AK70" s="250">
        <v>0</v>
      </c>
      <c r="AL70" s="251">
        <v>0</v>
      </c>
      <c r="AM70" s="251">
        <v>0</v>
      </c>
      <c r="AN70" s="252">
        <v>0</v>
      </c>
      <c r="AO70" s="130">
        <f>SUM(AK70:AN70)</f>
        <v>0</v>
      </c>
      <c r="AP70" s="250">
        <v>0</v>
      </c>
      <c r="AQ70" s="251">
        <v>0</v>
      </c>
      <c r="AR70" s="251">
        <v>0</v>
      </c>
      <c r="AS70" s="252">
        <v>-12.411</v>
      </c>
      <c r="AT70" s="130">
        <f>SUM(AP70:AS70)</f>
        <v>-12.411</v>
      </c>
      <c r="AU70" s="259">
        <v>-0.99855999999999412</v>
      </c>
      <c r="AV70" s="260">
        <v>-0.13787000000002969</v>
      </c>
      <c r="AW70" s="260">
        <v>0.88732999999994799</v>
      </c>
      <c r="AX70" s="261">
        <v>-1.843</v>
      </c>
      <c r="AY70" s="260">
        <f>SUM(AU70:AX70)</f>
        <v>-2.0921000000000758</v>
      </c>
      <c r="AZ70" s="259">
        <v>-0.93468000000002593</v>
      </c>
      <c r="BA70" s="260">
        <v>-0.55989999999998474</v>
      </c>
      <c r="BB70" s="260">
        <v>-1.7572399999999817</v>
      </c>
      <c r="BC70" s="261">
        <v>-3.1984399999999162</v>
      </c>
      <c r="BD70" s="260">
        <f>SUM(AZ70:BC70)</f>
        <v>-6.4502599999999086</v>
      </c>
      <c r="BE70" s="259">
        <v>-2.1342399999999948</v>
      </c>
      <c r="BF70" s="260">
        <v>-3.4955200000000346</v>
      </c>
      <c r="BG70" s="260">
        <v>-1.8757800000000238</v>
      </c>
      <c r="BH70" s="261">
        <v>-1.8842999999999464</v>
      </c>
      <c r="BI70" s="260">
        <f>SUM(BE70:BH70)</f>
        <v>-9.3898399999999995</v>
      </c>
      <c r="BJ70" s="259">
        <v>-3.6628700000000283</v>
      </c>
      <c r="BK70" s="260">
        <v>-1.2720000000000269</v>
      </c>
      <c r="BL70" s="260">
        <v>-1.9216400000001688</v>
      </c>
      <c r="BM70" s="261">
        <v>-4.5074999999997303</v>
      </c>
      <c r="BN70" s="260">
        <f>SUM(BJ70:BM70)</f>
        <v>-11.364009999999954</v>
      </c>
      <c r="BO70" s="259">
        <v>-2.9130799999999866</v>
      </c>
      <c r="BP70" s="260">
        <v>-4.1576699999999587</v>
      </c>
      <c r="BQ70" s="260">
        <v>-4.1708899999999201</v>
      </c>
      <c r="BR70" s="261">
        <v>-2.8627999999998544</v>
      </c>
      <c r="BS70" s="260">
        <f>SUM(BO70:BR70)</f>
        <v>-14.10443999999972</v>
      </c>
      <c r="BT70" s="259">
        <v>-3.0118699999998739</v>
      </c>
      <c r="BU70" s="260">
        <v>-7.4605599999999548</v>
      </c>
      <c r="BV70" s="260">
        <v>-4.1813999999999112</v>
      </c>
      <c r="BW70" s="261">
        <v>-6.7003199999998913</v>
      </c>
      <c r="BX70" s="260">
        <f>SUM(BT70:BW70)</f>
        <v>-21.354149999999631</v>
      </c>
      <c r="BY70" s="259">
        <v>-9.2469600000001293</v>
      </c>
      <c r="BZ70" s="260">
        <v>-5.9108600000001914</v>
      </c>
      <c r="CA70" s="260">
        <v>-4.9706400000001629</v>
      </c>
      <c r="CB70" s="260">
        <v>-10.928770000000263</v>
      </c>
      <c r="CC70" s="605">
        <f>SUM(BY70:CB70)</f>
        <v>-31.057230000000747</v>
      </c>
      <c r="CD70" s="260">
        <v>-7.459480000000184</v>
      </c>
      <c r="CE70" s="260">
        <v>36.084360000000132</v>
      </c>
      <c r="CF70" s="260">
        <v>16.463500000000074</v>
      </c>
      <c r="CG70" s="260">
        <v>6.4260400000001567</v>
      </c>
      <c r="CH70" s="605">
        <f>SUM(CD70:CG70)</f>
        <v>51.514420000000179</v>
      </c>
      <c r="CI70" s="260">
        <v>-11.464859999999959</v>
      </c>
      <c r="CJ70" s="260">
        <v>-9.1960799999996041</v>
      </c>
      <c r="CK70" s="260">
        <v>-8.7978199999995965</v>
      </c>
      <c r="CL70" s="260">
        <v>2.7762399999998806</v>
      </c>
      <c r="CM70" s="605">
        <f>SUM(CI70:CL70)</f>
        <v>-26.682519999999279</v>
      </c>
      <c r="CN70" s="442">
        <f>-((45.8+30.7)-(0.09*CN86))</f>
        <v>-21.249000000000002</v>
      </c>
      <c r="CO70" s="251">
        <f>-12.2-10.5+1.3</f>
        <v>-21.4</v>
      </c>
      <c r="CP70" s="251">
        <f>-11.2-10.5+0.7</f>
        <v>-21</v>
      </c>
      <c r="CQ70" s="442">
        <f>-12-11-2</f>
        <v>-25</v>
      </c>
      <c r="CR70" s="605">
        <f>SUM(CN70:CQ70)</f>
        <v>-88.649000000000001</v>
      </c>
      <c r="CS70" s="442">
        <f>-12-11-1</f>
        <v>-24</v>
      </c>
      <c r="CT70" s="251">
        <f>190-14.8-10.7+0.2</f>
        <v>164.7</v>
      </c>
      <c r="CU70" s="251">
        <f>23.7-10.1-11.8-2.1</f>
        <v>-0.30000000000000115</v>
      </c>
      <c r="CV70" s="442">
        <f>24-12-12-2</f>
        <v>-2</v>
      </c>
      <c r="CW70" s="605">
        <f>SUM(CS70:CV70)</f>
        <v>138.39999999999998</v>
      </c>
      <c r="CX70" s="442">
        <f>-21-12-4-55-5</f>
        <v>-97</v>
      </c>
      <c r="CY70" s="251">
        <f>-20-12-14</f>
        <v>-46</v>
      </c>
      <c r="CZ70" s="251">
        <f>-19-11-6+1</f>
        <v>-35</v>
      </c>
      <c r="DA70" s="251">
        <f>617-41-13-1-6</f>
        <v>556</v>
      </c>
      <c r="DB70" s="605">
        <f>SUM(CX70:DA70)</f>
        <v>378</v>
      </c>
      <c r="DC70" s="251">
        <v>0</v>
      </c>
      <c r="DD70" s="251">
        <v>0</v>
      </c>
      <c r="DE70" s="251">
        <v>0</v>
      </c>
      <c r="DF70" s="251">
        <v>0</v>
      </c>
      <c r="DG70" s="605">
        <f>SUM(DC70:DF70)</f>
        <v>0</v>
      </c>
      <c r="DH70" s="251">
        <v>0</v>
      </c>
      <c r="DI70" s="251">
        <v>0</v>
      </c>
      <c r="DJ70" s="251">
        <v>0</v>
      </c>
      <c r="DK70" s="251">
        <v>0</v>
      </c>
      <c r="DL70" s="605">
        <f>SUM(DH70:DK70)</f>
        <v>0</v>
      </c>
      <c r="DM70" s="251">
        <v>0</v>
      </c>
      <c r="DN70" s="251">
        <v>0</v>
      </c>
      <c r="DO70" s="251">
        <v>0</v>
      </c>
      <c r="DP70" s="251">
        <v>0</v>
      </c>
      <c r="DQ70" s="605">
        <f>SUM(DM70:DP70)</f>
        <v>0</v>
      </c>
      <c r="DR70" s="32"/>
      <c r="DS70" s="863"/>
      <c r="DT70"/>
      <c r="DU70"/>
      <c r="DV70"/>
      <c r="DW70"/>
      <c r="DX70"/>
      <c r="DY70"/>
    </row>
    <row r="71" spans="1:129" s="38" customFormat="1" collapsed="1">
      <c r="A71" s="652"/>
      <c r="B71" s="623" t="s">
        <v>355</v>
      </c>
      <c r="C71" s="654"/>
      <c r="D71" s="654"/>
      <c r="E71" s="654"/>
      <c r="F71" s="655"/>
      <c r="G71" s="259">
        <f>G69-G70</f>
        <v>0.42599999999999999</v>
      </c>
      <c r="H71" s="260">
        <f>H69-H70</f>
        <v>0.63800000000000001</v>
      </c>
      <c r="I71" s="260">
        <f>I69-I70</f>
        <v>1.014</v>
      </c>
      <c r="J71" s="261">
        <f>J69-J70</f>
        <v>1.5269999999999999</v>
      </c>
      <c r="K71" s="260">
        <f>SUM(G71:J71)</f>
        <v>3.6050000000000004</v>
      </c>
      <c r="L71" s="259">
        <f>L69-L70</f>
        <v>1.649</v>
      </c>
      <c r="M71" s="260">
        <f>M69-M70</f>
        <v>1.526</v>
      </c>
      <c r="N71" s="260">
        <f>N69-N70</f>
        <v>1.708</v>
      </c>
      <c r="O71" s="261">
        <f>O69-O70</f>
        <v>1.8280000000000001</v>
      </c>
      <c r="P71" s="260">
        <f>SUM(L71:O71)</f>
        <v>6.7110000000000003</v>
      </c>
      <c r="Q71" s="259">
        <f>Q69-Q70</f>
        <v>2.0680000000000001</v>
      </c>
      <c r="R71" s="260">
        <f>R69-R70</f>
        <v>2.4</v>
      </c>
      <c r="S71" s="260">
        <f>S69-S70</f>
        <v>2.8580000000000001</v>
      </c>
      <c r="T71" s="261">
        <f>T69-T70</f>
        <v>3.2370000000000001</v>
      </c>
      <c r="U71" s="260">
        <f>SUM(Q71:T71)</f>
        <v>10.563000000000001</v>
      </c>
      <c r="V71" s="259">
        <f>V69-V70</f>
        <v>3.3250000000000002</v>
      </c>
      <c r="W71" s="260">
        <f>W69-W70</f>
        <v>3.4940000000000002</v>
      </c>
      <c r="X71" s="260">
        <f>X69-X70</f>
        <v>3.649</v>
      </c>
      <c r="Y71" s="261">
        <f>Y69-Y70</f>
        <v>0.81600000000000072</v>
      </c>
      <c r="Z71" s="260">
        <f>SUM(V71:Y71)</f>
        <v>11.284000000000001</v>
      </c>
      <c r="AA71" s="259">
        <f>AA69-AA70</f>
        <v>2.3069999999999999</v>
      </c>
      <c r="AB71" s="260">
        <f>AB69-AB70</f>
        <v>2.5059999999999998</v>
      </c>
      <c r="AC71" s="260">
        <f>AC69-AC70</f>
        <v>2.9359999999999999</v>
      </c>
      <c r="AD71" s="261">
        <f>AD69-AD70</f>
        <v>1.0999999999999999</v>
      </c>
      <c r="AE71" s="260">
        <f>SUM(AA71:AD71)</f>
        <v>8.8490000000000002</v>
      </c>
      <c r="AF71" s="259">
        <f>AF69-AF70</f>
        <v>0.55000000000000027</v>
      </c>
      <c r="AG71" s="260">
        <f>AG69-AG70</f>
        <v>4.0439999999999996</v>
      </c>
      <c r="AH71" s="260">
        <f>AH69-AH70</f>
        <v>3.91</v>
      </c>
      <c r="AI71" s="261">
        <f>AI69-AI70</f>
        <v>4.3520000000000003</v>
      </c>
      <c r="AJ71" s="260">
        <f>SUM(AF71:AI71)</f>
        <v>12.856</v>
      </c>
      <c r="AK71" s="259">
        <f>AK69-AK70</f>
        <v>5.04</v>
      </c>
      <c r="AL71" s="260">
        <f>AL69-AL70</f>
        <v>4.7240000000000002</v>
      </c>
      <c r="AM71" s="260">
        <f>AM69-AM70</f>
        <v>5.835</v>
      </c>
      <c r="AN71" s="261">
        <f>AN69-AN70</f>
        <v>6.2530000000000001</v>
      </c>
      <c r="AO71" s="260">
        <f>SUM(AK71:AN71)</f>
        <v>21.852</v>
      </c>
      <c r="AP71" s="259">
        <f>AP69-AP70</f>
        <v>6.9249999999999998</v>
      </c>
      <c r="AQ71" s="260">
        <f>AQ69-AQ70</f>
        <v>7.8019999999999996</v>
      </c>
      <c r="AR71" s="260">
        <f>AR69-AR70</f>
        <v>8.7889999999999997</v>
      </c>
      <c r="AS71" s="261">
        <f>AS69-AS70</f>
        <v>7.9009999999999998</v>
      </c>
      <c r="AT71" s="260">
        <f>SUM(AP71:AS71)</f>
        <v>31.416999999999998</v>
      </c>
      <c r="AU71" s="259">
        <f>AU69-AU70</f>
        <v>10.386559999999994</v>
      </c>
      <c r="AV71" s="260">
        <f>AV69-AV70</f>
        <v>11.09887000000003</v>
      </c>
      <c r="AW71" s="260">
        <f>AW69-AW70</f>
        <v>11.025670000000051</v>
      </c>
      <c r="AX71" s="261">
        <f>AX69-AX70</f>
        <v>14.597</v>
      </c>
      <c r="AY71" s="260">
        <f>SUM(AU71:AX71)</f>
        <v>47.108100000000071</v>
      </c>
      <c r="AZ71" s="259">
        <f>AZ69-AZ70</f>
        <v>15.744680000000027</v>
      </c>
      <c r="BA71" s="260">
        <f>BA69-BA70</f>
        <v>15.932899999999984</v>
      </c>
      <c r="BB71" s="260">
        <f>BB69-BB70</f>
        <v>17.294239999999981</v>
      </c>
      <c r="BC71" s="261">
        <f>BC69-BC70</f>
        <v>21.701439999999916</v>
      </c>
      <c r="BD71" s="260">
        <f>SUM(AZ71:BC71)</f>
        <v>70.673259999999914</v>
      </c>
      <c r="BE71" s="259">
        <f>BE69-BE70</f>
        <v>22.130239999999993</v>
      </c>
      <c r="BF71" s="260">
        <f>BF69-BF70</f>
        <v>23.696520000000035</v>
      </c>
      <c r="BG71" s="260">
        <f>BG69-BG70</f>
        <v>22.245780000000025</v>
      </c>
      <c r="BH71" s="261">
        <f>BH69-BH70</f>
        <v>25.682299999999945</v>
      </c>
      <c r="BI71" s="260">
        <f>SUM(BE71:BH71)</f>
        <v>93.754840000000002</v>
      </c>
      <c r="BJ71" s="259">
        <f>BJ69-BJ70</f>
        <v>26.019870000000026</v>
      </c>
      <c r="BK71" s="260">
        <f>BK69-BK70</f>
        <v>29.183000000000028</v>
      </c>
      <c r="BL71" s="260">
        <f>BL69-BL70</f>
        <v>29.048640000000169</v>
      </c>
      <c r="BM71" s="261">
        <f>BM69-BM70</f>
        <v>29.10049999999973</v>
      </c>
      <c r="BN71" s="260">
        <f>SUM(BJ71:BM71)</f>
        <v>113.35200999999995</v>
      </c>
      <c r="BO71" s="259">
        <f>BO69-BO70</f>
        <v>30.165079999999985</v>
      </c>
      <c r="BP71" s="260">
        <f>BP69-BP70</f>
        <v>39.990669999999959</v>
      </c>
      <c r="BQ71" s="260">
        <f>BQ69-BQ70</f>
        <v>43.74788999999992</v>
      </c>
      <c r="BR71" s="261">
        <f>BR69-BR70</f>
        <v>45.240799999999851</v>
      </c>
      <c r="BS71" s="260">
        <f>SUM(BO71:BR71)</f>
        <v>159.14443999999969</v>
      </c>
      <c r="BT71" s="259">
        <f>BT69-BT70</f>
        <v>75.184869999999876</v>
      </c>
      <c r="BU71" s="260">
        <f>BU69-BU70</f>
        <v>77.020559999999961</v>
      </c>
      <c r="BV71" s="260">
        <f>BV69-BV70</f>
        <v>65.02639999999991</v>
      </c>
      <c r="BW71" s="261">
        <f>BW69-BW70</f>
        <v>89.653319999999894</v>
      </c>
      <c r="BX71" s="260">
        <f>SUM(BT71:BW71)</f>
        <v>306.88514999999961</v>
      </c>
      <c r="BY71" s="259">
        <f>BY69-BY70</f>
        <v>87.872960000000134</v>
      </c>
      <c r="BZ71" s="260">
        <f>BZ69-BZ70</f>
        <v>89.070860000000181</v>
      </c>
      <c r="CA71" s="260">
        <f>CA69-CA70</f>
        <v>92.452640000000159</v>
      </c>
      <c r="CB71" s="260">
        <f>CB69-CB70</f>
        <v>97.993770000000268</v>
      </c>
      <c r="CC71" s="605">
        <f>SUM(BY71:CB71)</f>
        <v>367.39023000000071</v>
      </c>
      <c r="CD71" s="260">
        <f>CD69-CD70</f>
        <v>100.43348000000019</v>
      </c>
      <c r="CE71" s="260">
        <f>CE69-CE70</f>
        <v>83.902639999999863</v>
      </c>
      <c r="CF71" s="260">
        <f>CF69-CF70</f>
        <v>103.10749999999993</v>
      </c>
      <c r="CG71" s="260">
        <f>CG69-CG70</f>
        <v>120.38095999999985</v>
      </c>
      <c r="CH71" s="605">
        <f>SUM(CD71:CG71)</f>
        <v>407.82457999999986</v>
      </c>
      <c r="CI71" s="260">
        <f>CI69-CI70</f>
        <v>135.77485999999996</v>
      </c>
      <c r="CJ71" s="260">
        <f>CJ69-CJ70</f>
        <v>139.1260799999996</v>
      </c>
      <c r="CK71" s="260">
        <f>CK69-CK70</f>
        <v>116.91281999999958</v>
      </c>
      <c r="CL71" s="260">
        <f>CL69-CL70</f>
        <v>119.62376000000012</v>
      </c>
      <c r="CM71" s="605">
        <f>SUM(CI71:CL71)</f>
        <v>511.43751999999921</v>
      </c>
      <c r="CN71" s="260">
        <f>CN69-CN70</f>
        <v>148.94900000000001</v>
      </c>
      <c r="CO71" s="260">
        <f>CO69-CO70</f>
        <v>150.1</v>
      </c>
      <c r="CP71" s="260">
        <f>CP69-CP70</f>
        <v>166.8</v>
      </c>
      <c r="CQ71" s="260">
        <f>CQ69-CQ70</f>
        <v>162.80000000000001</v>
      </c>
      <c r="CR71" s="605">
        <f>SUM(CN71:CQ71)</f>
        <v>628.649</v>
      </c>
      <c r="CS71" s="260">
        <f>CS69-CS70</f>
        <v>171.9</v>
      </c>
      <c r="CT71" s="260">
        <f>CT69-CT70</f>
        <v>177.7</v>
      </c>
      <c r="CU71" s="260">
        <f>CU69-CU70</f>
        <v>169.20000000000002</v>
      </c>
      <c r="CV71" s="260">
        <f>CV69-CV70</f>
        <v>146</v>
      </c>
      <c r="CW71" s="605">
        <f>SUM(CS71:CV71)</f>
        <v>664.80000000000007</v>
      </c>
      <c r="CX71" s="260">
        <f>CX69-CX70</f>
        <v>189</v>
      </c>
      <c r="CY71" s="260">
        <f>CY69-CY70</f>
        <v>211</v>
      </c>
      <c r="CZ71" s="260">
        <f>CZ69-CZ70</f>
        <v>199</v>
      </c>
      <c r="DA71" s="260">
        <f>DA69-DA70</f>
        <v>176</v>
      </c>
      <c r="DB71" s="605">
        <f>SUM(CX71:DA71)</f>
        <v>775</v>
      </c>
      <c r="DC71" s="260">
        <f>DC69-DC70</f>
        <v>195.67695349315073</v>
      </c>
      <c r="DD71" s="260">
        <f>DD69-DD70</f>
        <v>205.97271554201535</v>
      </c>
      <c r="DE71" s="260">
        <f>DE69-DE70</f>
        <v>212.91638611733387</v>
      </c>
      <c r="DF71" s="260">
        <f>DF69-DF70</f>
        <v>223.53054181621985</v>
      </c>
      <c r="DG71" s="605">
        <f>SUM(DC71:DF71)</f>
        <v>838.09659696871984</v>
      </c>
      <c r="DH71" s="260">
        <f>DH69-DH70</f>
        <v>237.06439535825257</v>
      </c>
      <c r="DI71" s="260">
        <f>DI69-DI70</f>
        <v>246.72683898328688</v>
      </c>
      <c r="DJ71" s="260">
        <f>DJ69-DJ70</f>
        <v>252.73919748130734</v>
      </c>
      <c r="DK71" s="260">
        <f>DK69-DK70</f>
        <v>257.37279867942823</v>
      </c>
      <c r="DL71" s="605">
        <f>SUM(DH71:DK71)</f>
        <v>993.90323050227505</v>
      </c>
      <c r="DM71" s="260">
        <f>DM69-DM70</f>
        <v>255.77552661886347</v>
      </c>
      <c r="DN71" s="260">
        <f>DN69-DN70</f>
        <v>266.05864877395896</v>
      </c>
      <c r="DO71" s="260">
        <f>DO69-DO70</f>
        <v>273.15265791509279</v>
      </c>
      <c r="DP71" s="260">
        <f>DP69-DP70</f>
        <v>277.69126212705083</v>
      </c>
      <c r="DQ71" s="605">
        <f>SUM(DM71:DP71)</f>
        <v>1072.6780954349661</v>
      </c>
      <c r="DR71" s="32"/>
      <c r="DS71" s="863"/>
      <c r="DT71"/>
      <c r="DU71"/>
      <c r="DV71"/>
      <c r="DW71"/>
      <c r="DX71"/>
      <c r="DY71"/>
    </row>
    <row r="72" spans="1:129" s="43" customFormat="1">
      <c r="A72" s="665"/>
      <c r="B72" s="650"/>
      <c r="C72" s="645" t="s">
        <v>18</v>
      </c>
      <c r="D72" s="645"/>
      <c r="E72" s="645"/>
      <c r="F72" s="665"/>
      <c r="G72" s="89">
        <f t="shared" ref="G72:AL72" si="167">G71/G66</f>
        <v>0.37434094903339216</v>
      </c>
      <c r="H72" s="90">
        <f t="shared" si="167"/>
        <v>0.37441314553990629</v>
      </c>
      <c r="I72" s="90">
        <f t="shared" si="167"/>
        <v>0.37361827560795891</v>
      </c>
      <c r="J72" s="91">
        <f t="shared" si="167"/>
        <v>0.37408133268005889</v>
      </c>
      <c r="K72" s="89">
        <f t="shared" si="167"/>
        <v>0.37404025731479579</v>
      </c>
      <c r="L72" s="89">
        <f t="shared" si="167"/>
        <v>0.37409255898366628</v>
      </c>
      <c r="M72" s="90">
        <f t="shared" si="167"/>
        <v>0.37392795883361901</v>
      </c>
      <c r="N72" s="90">
        <f t="shared" si="167"/>
        <v>0.37390542907180369</v>
      </c>
      <c r="O72" s="91">
        <f t="shared" si="167"/>
        <v>0.37397708674304447</v>
      </c>
      <c r="P72" s="90">
        <f t="shared" si="167"/>
        <v>0.37397603789356365</v>
      </c>
      <c r="Q72" s="89">
        <f t="shared" si="167"/>
        <v>0.37402785313799958</v>
      </c>
      <c r="R72" s="90">
        <f t="shared" si="167"/>
        <v>0.37400654511453968</v>
      </c>
      <c r="S72" s="90">
        <f t="shared" si="167"/>
        <v>0.37393693575821013</v>
      </c>
      <c r="T72" s="91">
        <f t="shared" si="167"/>
        <v>0.37391706133764624</v>
      </c>
      <c r="U72" s="90">
        <f t="shared" si="167"/>
        <v>0.37396445514409138</v>
      </c>
      <c r="V72" s="89">
        <f t="shared" si="167"/>
        <v>0.37401574803149601</v>
      </c>
      <c r="W72" s="90">
        <f t="shared" si="167"/>
        <v>0.37404988759233487</v>
      </c>
      <c r="X72" s="90">
        <f t="shared" si="167"/>
        <v>0.37398790611868404</v>
      </c>
      <c r="Y72" s="91">
        <f t="shared" si="167"/>
        <v>8.7123638693145503E-2</v>
      </c>
      <c r="Z72" s="90">
        <f t="shared" si="167"/>
        <v>0.30208277560636076</v>
      </c>
      <c r="AA72" s="89">
        <f t="shared" si="167"/>
        <v>0.17229473539076678</v>
      </c>
      <c r="AB72" s="90">
        <f t="shared" si="167"/>
        <v>0.16257379397072694</v>
      </c>
      <c r="AC72" s="90">
        <f t="shared" si="167"/>
        <v>0.17429981870407663</v>
      </c>
      <c r="AD72" s="91">
        <f t="shared" si="167"/>
        <v>5.8170990167882311E-2</v>
      </c>
      <c r="AE72" s="90">
        <f t="shared" si="167"/>
        <v>0.13706907131614288</v>
      </c>
      <c r="AF72" s="89">
        <f t="shared" si="167"/>
        <v>2.7588708308252698E-2</v>
      </c>
      <c r="AG72" s="90">
        <f t="shared" si="167"/>
        <v>0.17298086983989103</v>
      </c>
      <c r="AH72" s="90">
        <f t="shared" si="167"/>
        <v>0.14923225976923754</v>
      </c>
      <c r="AI72" s="91">
        <f t="shared" si="167"/>
        <v>0.15646839850545247</v>
      </c>
      <c r="AJ72" s="90">
        <f t="shared" si="167"/>
        <v>0.13208848999385903</v>
      </c>
      <c r="AK72" s="89">
        <f t="shared" si="167"/>
        <v>0.1674572667048336</v>
      </c>
      <c r="AL72" s="90">
        <f t="shared" si="167"/>
        <v>0.13354934814992014</v>
      </c>
      <c r="AM72" s="90">
        <f t="shared" ref="AM72:BR72" si="168">AM71/AM66</f>
        <v>0.14983082183257582</v>
      </c>
      <c r="AN72" s="91">
        <f t="shared" si="168"/>
        <v>0.15230787967360854</v>
      </c>
      <c r="AO72" s="90">
        <f t="shared" si="168"/>
        <v>0.15021773099712071</v>
      </c>
      <c r="AP72" s="89">
        <f t="shared" si="168"/>
        <v>0.14801411991404406</v>
      </c>
      <c r="AQ72" s="90">
        <f t="shared" si="168"/>
        <v>0.15415175952410629</v>
      </c>
      <c r="AR72" s="90">
        <f t="shared" si="168"/>
        <v>0.15620915568826257</v>
      </c>
      <c r="AS72" s="91">
        <f t="shared" si="168"/>
        <v>0.13326906434121896</v>
      </c>
      <c r="AT72" s="90">
        <f t="shared" si="168"/>
        <v>0.14753303067257728</v>
      </c>
      <c r="AU72" s="89">
        <f t="shared" si="168"/>
        <v>0.16190042709729704</v>
      </c>
      <c r="AV72" s="90">
        <f t="shared" si="168"/>
        <v>0.15245491133363587</v>
      </c>
      <c r="AW72" s="90">
        <f t="shared" si="168"/>
        <v>0.13711814450938992</v>
      </c>
      <c r="AX72" s="91">
        <f t="shared" si="168"/>
        <v>0.16150697056870986</v>
      </c>
      <c r="AY72" s="90">
        <f t="shared" si="168"/>
        <v>0.15307511088726072</v>
      </c>
      <c r="AZ72" s="89">
        <f t="shared" si="168"/>
        <v>0.16116322394415236</v>
      </c>
      <c r="BA72" s="90">
        <f t="shared" si="168"/>
        <v>0.14868050241690137</v>
      </c>
      <c r="BB72" s="90">
        <f t="shared" si="168"/>
        <v>0.14310974297866691</v>
      </c>
      <c r="BC72" s="91">
        <f t="shared" si="168"/>
        <v>0.16630475431444022</v>
      </c>
      <c r="BD72" s="90">
        <f t="shared" si="168"/>
        <v>0.15491931064415559</v>
      </c>
      <c r="BE72" s="89">
        <f t="shared" si="168"/>
        <v>0.16299801134271188</v>
      </c>
      <c r="BF72" s="90">
        <f t="shared" si="168"/>
        <v>0.16873536699991479</v>
      </c>
      <c r="BG72" s="90">
        <f t="shared" si="168"/>
        <v>0.1551666701542197</v>
      </c>
      <c r="BH72" s="91">
        <f t="shared" si="168"/>
        <v>0.17389799981040827</v>
      </c>
      <c r="BI72" s="90">
        <f t="shared" si="168"/>
        <v>0.16527695461861336</v>
      </c>
      <c r="BJ72" s="89">
        <f t="shared" si="168"/>
        <v>0.1755762262393977</v>
      </c>
      <c r="BK72" s="90">
        <f t="shared" si="168"/>
        <v>0.1631985415420063</v>
      </c>
      <c r="BL72" s="90">
        <f t="shared" si="168"/>
        <v>0.16667033874965653</v>
      </c>
      <c r="BM72" s="91">
        <f t="shared" si="168"/>
        <v>0.16041464544011164</v>
      </c>
      <c r="BN72" s="90">
        <f t="shared" si="168"/>
        <v>0.1660319578387372</v>
      </c>
      <c r="BO72" s="89">
        <f t="shared" si="168"/>
        <v>0.15654151336035321</v>
      </c>
      <c r="BP72" s="90">
        <f t="shared" si="168"/>
        <v>0.18013977603401815</v>
      </c>
      <c r="BQ72" s="90">
        <f t="shared" si="168"/>
        <v>0.16997062765895421</v>
      </c>
      <c r="BR72" s="91">
        <f t="shared" si="168"/>
        <v>0.17170226655128917</v>
      </c>
      <c r="BS72" s="90">
        <f t="shared" ref="BS72:CX72" si="169">BS71/BS66</f>
        <v>0.17010534821775924</v>
      </c>
      <c r="BT72" s="89">
        <f t="shared" si="169"/>
        <v>0.25351902618312988</v>
      </c>
      <c r="BU72" s="90">
        <f t="shared" si="169"/>
        <v>0.25564105627912526</v>
      </c>
      <c r="BV72" s="90">
        <f t="shared" si="169"/>
        <v>0.20810845409391138</v>
      </c>
      <c r="BW72" s="91">
        <f t="shared" si="169"/>
        <v>0.25683626112963637</v>
      </c>
      <c r="BX72" s="90">
        <f t="shared" si="169"/>
        <v>0.2436793551752803</v>
      </c>
      <c r="BY72" s="89">
        <f t="shared" si="169"/>
        <v>0.24410782941084988</v>
      </c>
      <c r="BZ72" s="90">
        <f t="shared" si="169"/>
        <v>0.24565105035701421</v>
      </c>
      <c r="CA72" s="90">
        <f t="shared" si="169"/>
        <v>0.23734895589979541</v>
      </c>
      <c r="CB72" s="90">
        <f t="shared" si="169"/>
        <v>0.24576287891897639</v>
      </c>
      <c r="CC72" s="738">
        <f t="shared" si="169"/>
        <v>0.24317241210413967</v>
      </c>
      <c r="CD72" s="90">
        <f t="shared" si="169"/>
        <v>0.24394051195857341</v>
      </c>
      <c r="CE72" s="90">
        <f t="shared" si="169"/>
        <v>0.19197053036196379</v>
      </c>
      <c r="CF72" s="90">
        <f t="shared" si="169"/>
        <v>0.22310300507192424</v>
      </c>
      <c r="CG72" s="90">
        <f t="shared" si="169"/>
        <v>0.2503836634178197</v>
      </c>
      <c r="CH72" s="738">
        <f t="shared" si="169"/>
        <v>0.22761738918832328</v>
      </c>
      <c r="CI72" s="90">
        <f t="shared" si="169"/>
        <v>0.26324640198847932</v>
      </c>
      <c r="CJ72" s="90">
        <f t="shared" si="169"/>
        <v>0.25614528503018436</v>
      </c>
      <c r="CK72" s="90">
        <f t="shared" si="169"/>
        <v>0.22443785346525472</v>
      </c>
      <c r="CL72" s="90">
        <f t="shared" si="169"/>
        <v>0.22562815340421499</v>
      </c>
      <c r="CM72" s="738">
        <f t="shared" si="169"/>
        <v>0.24238526762081258</v>
      </c>
      <c r="CN72" s="90">
        <f t="shared" si="169"/>
        <v>0.25122111654579177</v>
      </c>
      <c r="CO72" s="90">
        <f t="shared" si="169"/>
        <v>0.23578385171222116</v>
      </c>
      <c r="CP72" s="90">
        <f t="shared" si="169"/>
        <v>0.26317450299779122</v>
      </c>
      <c r="CQ72" s="90">
        <f t="shared" si="169"/>
        <v>0.25</v>
      </c>
      <c r="CR72" s="738">
        <f t="shared" si="169"/>
        <v>0.25000954464108172</v>
      </c>
      <c r="CS72" s="90">
        <f t="shared" si="169"/>
        <v>0.25943253848475717</v>
      </c>
      <c r="CT72" s="90">
        <f t="shared" si="169"/>
        <v>0.2511660777385159</v>
      </c>
      <c r="CU72" s="90">
        <f t="shared" si="169"/>
        <v>0.24514633439582734</v>
      </c>
      <c r="CV72" s="90">
        <f t="shared" si="169"/>
        <v>0.21661721068249259</v>
      </c>
      <c r="CW72" s="738">
        <f t="shared" si="169"/>
        <v>0.24313352594814039</v>
      </c>
      <c r="CX72" s="90">
        <f t="shared" si="169"/>
        <v>0.27155172413793105</v>
      </c>
      <c r="CY72" s="90">
        <f>CY71/CY66</f>
        <v>0.27799736495388672</v>
      </c>
      <c r="CZ72" s="373">
        <f>CZ71/CZ66</f>
        <v>0.25480153649167736</v>
      </c>
      <c r="DA72" s="373">
        <f>DA71/DA66</f>
        <v>0.22420382165605096</v>
      </c>
      <c r="DB72" s="738">
        <f>DB71/DB66</f>
        <v>0.25653757034094671</v>
      </c>
      <c r="DC72" s="309">
        <v>0.24</v>
      </c>
      <c r="DD72" s="309">
        <v>0.24</v>
      </c>
      <c r="DE72" s="309">
        <v>0.24</v>
      </c>
      <c r="DF72" s="309">
        <v>0.24</v>
      </c>
      <c r="DG72" s="738">
        <f>DG71/DG66</f>
        <v>0.23999999999999996</v>
      </c>
      <c r="DH72" s="741">
        <v>0.25</v>
      </c>
      <c r="DI72" s="741">
        <v>0.25</v>
      </c>
      <c r="DJ72" s="741">
        <v>0.25</v>
      </c>
      <c r="DK72" s="741">
        <v>0.25</v>
      </c>
      <c r="DL72" s="738">
        <f>DL71/DL66</f>
        <v>0.25</v>
      </c>
      <c r="DM72" s="741">
        <v>0.25</v>
      </c>
      <c r="DN72" s="741">
        <v>0.25</v>
      </c>
      <c r="DO72" s="741">
        <v>0.25</v>
      </c>
      <c r="DP72" s="741">
        <v>0.25</v>
      </c>
      <c r="DQ72" s="738">
        <f>DQ71/DQ66</f>
        <v>0.25</v>
      </c>
      <c r="DR72" s="42"/>
      <c r="DS72" s="864"/>
      <c r="DT72"/>
      <c r="DU72"/>
      <c r="DV72"/>
      <c r="DW72"/>
      <c r="DX72"/>
      <c r="DY72"/>
    </row>
    <row r="73" spans="1:129" s="43" customFormat="1" hidden="1" outlineLevel="1">
      <c r="A73" s="665"/>
      <c r="B73" s="650"/>
      <c r="C73" s="645" t="s">
        <v>358</v>
      </c>
      <c r="D73" s="645"/>
      <c r="E73" s="645"/>
      <c r="F73" s="665"/>
      <c r="G73" s="89"/>
      <c r="H73" s="90"/>
      <c r="I73" s="90"/>
      <c r="J73" s="91"/>
      <c r="K73" s="89"/>
      <c r="L73" s="89"/>
      <c r="M73" s="90"/>
      <c r="N73" s="90"/>
      <c r="O73" s="91"/>
      <c r="P73" s="90"/>
      <c r="Q73" s="89"/>
      <c r="R73" s="90"/>
      <c r="S73" s="90"/>
      <c r="T73" s="91"/>
      <c r="U73" s="90"/>
      <c r="V73" s="89"/>
      <c r="W73" s="90"/>
      <c r="X73" s="90"/>
      <c r="Y73" s="91"/>
      <c r="Z73" s="90"/>
      <c r="AA73" s="89"/>
      <c r="AB73" s="90"/>
      <c r="AC73" s="90"/>
      <c r="AD73" s="91"/>
      <c r="AE73" s="90"/>
      <c r="AF73" s="89"/>
      <c r="AG73" s="90"/>
      <c r="AH73" s="90"/>
      <c r="AI73" s="91"/>
      <c r="AJ73" s="90"/>
      <c r="AK73" s="89"/>
      <c r="AL73" s="90"/>
      <c r="AM73" s="90"/>
      <c r="AN73" s="91"/>
      <c r="AO73" s="90"/>
      <c r="AP73" s="89"/>
      <c r="AQ73" s="90"/>
      <c r="AR73" s="90"/>
      <c r="AS73" s="91"/>
      <c r="AT73" s="90"/>
      <c r="AU73" s="89"/>
      <c r="AV73" s="90"/>
      <c r="AW73" s="90"/>
      <c r="AX73" s="91"/>
      <c r="AY73" s="90"/>
      <c r="AZ73" s="89"/>
      <c r="BA73" s="90"/>
      <c r="BB73" s="90"/>
      <c r="BC73" s="91"/>
      <c r="BD73" s="90"/>
      <c r="BE73" s="89"/>
      <c r="BF73" s="90"/>
      <c r="BG73" s="90"/>
      <c r="BH73" s="91"/>
      <c r="BI73" s="90"/>
      <c r="BJ73" s="89"/>
      <c r="BK73" s="90"/>
      <c r="BL73" s="90"/>
      <c r="BM73" s="91"/>
      <c r="BN73" s="90"/>
      <c r="BO73" s="89"/>
      <c r="BP73" s="90"/>
      <c r="BQ73" s="90"/>
      <c r="BR73" s="91"/>
      <c r="BS73" s="90"/>
      <c r="BT73" s="89"/>
      <c r="BU73" s="90"/>
      <c r="BV73" s="90"/>
      <c r="BW73" s="91"/>
      <c r="BX73" s="90"/>
      <c r="BY73" s="89"/>
      <c r="BZ73" s="90"/>
      <c r="CA73" s="90"/>
      <c r="CB73" s="90"/>
      <c r="CC73" s="738"/>
      <c r="CD73" s="90"/>
      <c r="CE73" s="90"/>
      <c r="CF73" s="90"/>
      <c r="CG73" s="90"/>
      <c r="CH73" s="738"/>
      <c r="CI73" s="90"/>
      <c r="CJ73" s="90"/>
      <c r="CK73" s="90"/>
      <c r="CL73" s="90"/>
      <c r="CM73" s="738">
        <f t="shared" ref="CM73:CW73" si="170">+CM69/CM67</f>
        <v>0.25194760375482522</v>
      </c>
      <c r="CN73" s="90">
        <f t="shared" si="170"/>
        <v>0.25009792401096742</v>
      </c>
      <c r="CO73" s="90">
        <f t="shared" si="170"/>
        <v>0.23451166180758012</v>
      </c>
      <c r="CP73" s="90">
        <f t="shared" si="170"/>
        <v>0.26850828729281778</v>
      </c>
      <c r="CQ73" s="90">
        <f t="shared" si="170"/>
        <v>0.2455452601568068</v>
      </c>
      <c r="CR73" s="738">
        <f t="shared" si="170"/>
        <v>0.24958402662229617</v>
      </c>
      <c r="CS73" s="90">
        <f t="shared" si="170"/>
        <v>0.25110356536502565</v>
      </c>
      <c r="CT73" s="90">
        <f t="shared" si="170"/>
        <v>0.57565568258238065</v>
      </c>
      <c r="CU73" s="90">
        <f t="shared" si="170"/>
        <v>0.27539540192401762</v>
      </c>
      <c r="CV73" s="90">
        <f t="shared" si="170"/>
        <v>0.25714285714285712</v>
      </c>
      <c r="CW73" s="738">
        <f t="shared" si="170"/>
        <v>0.34075771074625605</v>
      </c>
      <c r="CX73" s="90">
        <f>+CX69/CX67</f>
        <v>0.14175654853620956</v>
      </c>
      <c r="CY73" s="90">
        <f t="shared" ref="CY73:DL73" si="171">+CY69/CY67</f>
        <v>0.25984251968503935</v>
      </c>
      <c r="CZ73" s="90">
        <f>+CZ69/CZ67</f>
        <v>0.2488619119878604</v>
      </c>
      <c r="DA73" s="90">
        <f>+DA69/DA67</f>
        <v>1.0252100840336134</v>
      </c>
      <c r="DB73" s="751">
        <f t="shared" si="171"/>
        <v>0.43394806172374861</v>
      </c>
      <c r="DC73" s="122">
        <f t="shared" si="171"/>
        <v>0.25840596732186516</v>
      </c>
      <c r="DD73" s="122">
        <f t="shared" si="171"/>
        <v>0.25808418409692557</v>
      </c>
      <c r="DE73" s="122">
        <f t="shared" si="171"/>
        <v>0.25787622729136939</v>
      </c>
      <c r="DF73" s="122">
        <f t="shared" si="171"/>
        <v>0.25727197853539119</v>
      </c>
      <c r="DG73" s="751">
        <f t="shared" si="171"/>
        <v>0.25788918473578559</v>
      </c>
      <c r="DH73" s="122">
        <f t="shared" si="171"/>
        <v>0.26769605383665929</v>
      </c>
      <c r="DI73" s="122">
        <f t="shared" si="171"/>
        <v>0.26760729179447251</v>
      </c>
      <c r="DJ73" s="122">
        <f t="shared" si="171"/>
        <v>0.26757773433863324</v>
      </c>
      <c r="DK73" s="122">
        <f t="shared" si="171"/>
        <v>0.26752826422989423</v>
      </c>
      <c r="DL73" s="751">
        <f t="shared" si="171"/>
        <v>0.26760046900648687</v>
      </c>
      <c r="DM73" s="122">
        <f t="shared" ref="DM73:DQ73" si="172">+DM69/DM67</f>
        <v>0.26772230023549326</v>
      </c>
      <c r="DN73" s="122">
        <f t="shared" si="172"/>
        <v>0.26760031607767465</v>
      </c>
      <c r="DO73" s="122">
        <f t="shared" si="172"/>
        <v>0.26755610306938959</v>
      </c>
      <c r="DP73" s="122">
        <f t="shared" si="172"/>
        <v>0.26751764610096723</v>
      </c>
      <c r="DQ73" s="751">
        <f t="shared" si="172"/>
        <v>0.26759672103556337</v>
      </c>
      <c r="DR73" s="42"/>
      <c r="DS73" s="864"/>
      <c r="DT73"/>
      <c r="DU73"/>
      <c r="DV73"/>
      <c r="DW73"/>
      <c r="DX73"/>
      <c r="DY73"/>
    </row>
    <row r="74" spans="1:129" s="43" customFormat="1" hidden="1" outlineLevel="1">
      <c r="A74" s="665"/>
      <c r="B74" s="1071"/>
      <c r="C74" s="774" t="s">
        <v>19</v>
      </c>
      <c r="D74" s="774"/>
      <c r="E74" s="774"/>
      <c r="F74" s="775"/>
      <c r="G74" s="776">
        <v>0.35</v>
      </c>
      <c r="H74" s="777">
        <v>0.35</v>
      </c>
      <c r="I74" s="777">
        <v>0.35</v>
      </c>
      <c r="J74" s="778">
        <v>0.35</v>
      </c>
      <c r="K74" s="779">
        <f>AVERAGE(G74:J74)</f>
        <v>0.35</v>
      </c>
      <c r="L74" s="776">
        <v>0.35</v>
      </c>
      <c r="M74" s="777">
        <v>0.35</v>
      </c>
      <c r="N74" s="777">
        <v>0.35</v>
      </c>
      <c r="O74" s="778">
        <v>0.35</v>
      </c>
      <c r="P74" s="780">
        <f>AVERAGE(L74:O74)</f>
        <v>0.35</v>
      </c>
      <c r="Q74" s="776">
        <v>0.35</v>
      </c>
      <c r="R74" s="777">
        <v>0.35</v>
      </c>
      <c r="S74" s="777">
        <v>0.35</v>
      </c>
      <c r="T74" s="778">
        <v>0.35</v>
      </c>
      <c r="U74" s="780">
        <f>AVERAGE(Q74:T74)</f>
        <v>0.35</v>
      </c>
      <c r="V74" s="776">
        <v>0.35</v>
      </c>
      <c r="W74" s="777">
        <v>0.35</v>
      </c>
      <c r="X74" s="777">
        <v>0.35</v>
      </c>
      <c r="Y74" s="778">
        <v>0.35</v>
      </c>
      <c r="Z74" s="780">
        <f>AVERAGE(V74:Y74)</f>
        <v>0.35</v>
      </c>
      <c r="AA74" s="776">
        <v>0.35</v>
      </c>
      <c r="AB74" s="777">
        <v>0.35</v>
      </c>
      <c r="AC74" s="777">
        <v>0.35</v>
      </c>
      <c r="AD74" s="778">
        <v>0.35</v>
      </c>
      <c r="AE74" s="780">
        <f>AVERAGE(AA74:AD74)</f>
        <v>0.35</v>
      </c>
      <c r="AF74" s="776">
        <v>0.35</v>
      </c>
      <c r="AG74" s="777">
        <v>0.35</v>
      </c>
      <c r="AH74" s="777">
        <v>0.35</v>
      </c>
      <c r="AI74" s="778">
        <v>0.35</v>
      </c>
      <c r="AJ74" s="780">
        <f>AVERAGE(AF74:AI74)</f>
        <v>0.35</v>
      </c>
      <c r="AK74" s="776">
        <v>0.35</v>
      </c>
      <c r="AL74" s="777">
        <v>0.35</v>
      </c>
      <c r="AM74" s="777">
        <v>0.35</v>
      </c>
      <c r="AN74" s="778">
        <v>0.35</v>
      </c>
      <c r="AO74" s="780">
        <f>AVERAGE(AK74:AN74)</f>
        <v>0.35</v>
      </c>
      <c r="AP74" s="776">
        <v>0.35</v>
      </c>
      <c r="AQ74" s="777">
        <v>0.35</v>
      </c>
      <c r="AR74" s="777">
        <v>0.35</v>
      </c>
      <c r="AS74" s="778">
        <v>0.35</v>
      </c>
      <c r="AT74" s="780">
        <f>AVERAGE(AP74:AS74)</f>
        <v>0.35</v>
      </c>
      <c r="AU74" s="776">
        <v>0.35</v>
      </c>
      <c r="AV74" s="777">
        <v>0.35</v>
      </c>
      <c r="AW74" s="777">
        <v>0.35</v>
      </c>
      <c r="AX74" s="778">
        <v>0.35</v>
      </c>
      <c r="AY74" s="780">
        <f>AVERAGE(AU74:AX74)</f>
        <v>0.35</v>
      </c>
      <c r="AZ74" s="776">
        <v>0.35</v>
      </c>
      <c r="BA74" s="777">
        <v>0.35</v>
      </c>
      <c r="BB74" s="777">
        <v>0.35</v>
      </c>
      <c r="BC74" s="778">
        <v>0.35</v>
      </c>
      <c r="BD74" s="780">
        <f>AVERAGE(AZ74:BC74)</f>
        <v>0.35</v>
      </c>
      <c r="BE74" s="776">
        <v>0.35</v>
      </c>
      <c r="BF74" s="777">
        <v>0.35</v>
      </c>
      <c r="BG74" s="777">
        <v>0.35</v>
      </c>
      <c r="BH74" s="778">
        <v>0.35</v>
      </c>
      <c r="BI74" s="780">
        <f>AVERAGE(BE74:BH74)</f>
        <v>0.35</v>
      </c>
      <c r="BJ74" s="776">
        <v>0.35</v>
      </c>
      <c r="BK74" s="777">
        <v>0.35</v>
      </c>
      <c r="BL74" s="777">
        <v>0.35</v>
      </c>
      <c r="BM74" s="778">
        <v>0.35</v>
      </c>
      <c r="BN74" s="780">
        <f>AVERAGE(BJ74:BM74)</f>
        <v>0.35</v>
      </c>
      <c r="BO74" s="776">
        <v>0.35</v>
      </c>
      <c r="BP74" s="777">
        <v>0.35</v>
      </c>
      <c r="BQ74" s="777">
        <v>0.35</v>
      </c>
      <c r="BR74" s="778">
        <v>0.35</v>
      </c>
      <c r="BS74" s="780">
        <f>AVERAGE(BO74:BR74)</f>
        <v>0.35</v>
      </c>
      <c r="BT74" s="776">
        <v>0.35</v>
      </c>
      <c r="BU74" s="777">
        <v>0.35</v>
      </c>
      <c r="BV74" s="777">
        <v>0.35</v>
      </c>
      <c r="BW74" s="778">
        <v>0.35</v>
      </c>
      <c r="BX74" s="780">
        <f>AVERAGE(BT74:BW74)</f>
        <v>0.35</v>
      </c>
      <c r="BY74" s="776">
        <v>0.35</v>
      </c>
      <c r="BZ74" s="777">
        <v>0.35</v>
      </c>
      <c r="CA74" s="777">
        <v>0.35</v>
      </c>
      <c r="CB74" s="777">
        <f>CA74</f>
        <v>0.35</v>
      </c>
      <c r="CC74" s="844">
        <f>AVERAGE(BY74:CB74)</f>
        <v>0.35</v>
      </c>
      <c r="CD74" s="777">
        <f>CB74</f>
        <v>0.35</v>
      </c>
      <c r="CE74" s="777">
        <f>CD74</f>
        <v>0.35</v>
      </c>
      <c r="CF74" s="777">
        <f>CE74</f>
        <v>0.35</v>
      </c>
      <c r="CG74" s="777">
        <f>CF74</f>
        <v>0.35</v>
      </c>
      <c r="CH74" s="844">
        <f>AVERAGE(CD74:CG74)</f>
        <v>0.35</v>
      </c>
      <c r="CI74" s="777">
        <f>CG74</f>
        <v>0.35</v>
      </c>
      <c r="CJ74" s="777">
        <f>CI74</f>
        <v>0.35</v>
      </c>
      <c r="CK74" s="777">
        <f>CJ74</f>
        <v>0.35</v>
      </c>
      <c r="CL74" s="777">
        <f>CK74</f>
        <v>0.35</v>
      </c>
      <c r="CM74" s="844">
        <f>AVERAGE(CI74:CL74)</f>
        <v>0.35</v>
      </c>
      <c r="CN74" s="777">
        <f>CL74</f>
        <v>0.35</v>
      </c>
      <c r="CO74" s="777">
        <f>CN74</f>
        <v>0.35</v>
      </c>
      <c r="CP74" s="777">
        <f>CO74</f>
        <v>0.35</v>
      </c>
      <c r="CQ74" s="777">
        <f>CP74</f>
        <v>0.35</v>
      </c>
      <c r="CR74" s="844">
        <f>AVERAGE(CN74:CQ74)</f>
        <v>0.35</v>
      </c>
      <c r="CS74" s="777">
        <f>CQ74</f>
        <v>0.35</v>
      </c>
      <c r="CT74" s="777">
        <f>CS74</f>
        <v>0.35</v>
      </c>
      <c r="CU74" s="777">
        <f>CT74</f>
        <v>0.35</v>
      </c>
      <c r="CV74" s="777">
        <f>CU74</f>
        <v>0.35</v>
      </c>
      <c r="CW74" s="781">
        <f>AVERAGE(CS74:CV74)</f>
        <v>0.35</v>
      </c>
      <c r="CX74" s="777">
        <f>CW74</f>
        <v>0.35</v>
      </c>
      <c r="CY74" s="777">
        <f>CX74</f>
        <v>0.35</v>
      </c>
      <c r="CZ74" s="777">
        <f>CY74</f>
        <v>0.35</v>
      </c>
      <c r="DA74" s="777">
        <f>CZ74</f>
        <v>0.35</v>
      </c>
      <c r="DB74" s="781">
        <f>AVERAGE(CX74:DA74)</f>
        <v>0.35</v>
      </c>
      <c r="DC74" s="777">
        <v>0.25</v>
      </c>
      <c r="DD74" s="777">
        <f>DC74</f>
        <v>0.25</v>
      </c>
      <c r="DE74" s="777">
        <f>DD74</f>
        <v>0.25</v>
      </c>
      <c r="DF74" s="777">
        <f>DE74</f>
        <v>0.25</v>
      </c>
      <c r="DG74" s="781">
        <f>AVERAGE(DC74:DF74)</f>
        <v>0.25</v>
      </c>
      <c r="DH74" s="777">
        <f>DF74</f>
        <v>0.25</v>
      </c>
      <c r="DI74" s="777">
        <f>DH74</f>
        <v>0.25</v>
      </c>
      <c r="DJ74" s="777">
        <f>DI74</f>
        <v>0.25</v>
      </c>
      <c r="DK74" s="777">
        <f>DJ74</f>
        <v>0.25</v>
      </c>
      <c r="DL74" s="781">
        <f>AVERAGE(DH74:DK74)</f>
        <v>0.25</v>
      </c>
      <c r="DM74" s="777">
        <f>DK74</f>
        <v>0.25</v>
      </c>
      <c r="DN74" s="777">
        <f>DM74</f>
        <v>0.25</v>
      </c>
      <c r="DO74" s="777">
        <f>DN74</f>
        <v>0.25</v>
      </c>
      <c r="DP74" s="777">
        <f>DO74</f>
        <v>0.25</v>
      </c>
      <c r="DQ74" s="781">
        <f>AVERAGE(DM74:DP74)</f>
        <v>0.25</v>
      </c>
      <c r="DR74" s="42"/>
      <c r="DS74" s="864"/>
      <c r="DT74"/>
      <c r="DU74"/>
      <c r="DV74"/>
      <c r="DW74"/>
      <c r="DX74"/>
      <c r="DY74"/>
    </row>
    <row r="75" spans="1:129" s="211" customFormat="1" collapsed="1">
      <c r="A75" s="683"/>
      <c r="B75" s="994" t="s">
        <v>331</v>
      </c>
      <c r="C75" s="995"/>
      <c r="D75" s="995"/>
      <c r="E75" s="995"/>
      <c r="F75" s="996"/>
      <c r="G75" s="994">
        <f>+G66-G71</f>
        <v>0.7119999999999993</v>
      </c>
      <c r="H75" s="995">
        <f>+H66-H71</f>
        <v>1.0659999999999994</v>
      </c>
      <c r="I75" s="995">
        <f>+I66-I71</f>
        <v>1.6999999999999986</v>
      </c>
      <c r="J75" s="996">
        <f>+J66-J71</f>
        <v>2.5549999999999988</v>
      </c>
      <c r="K75" s="994">
        <f>SUM(G75:J75)</f>
        <v>6.0329999999999959</v>
      </c>
      <c r="L75" s="994">
        <f>+L66-L71</f>
        <v>2.7589999999999977</v>
      </c>
      <c r="M75" s="995">
        <f>+M66-M71</f>
        <v>2.5550000000000024</v>
      </c>
      <c r="N75" s="995">
        <f>+N66-N71</f>
        <v>2.8600000000000021</v>
      </c>
      <c r="O75" s="996">
        <f>+O66-O71</f>
        <v>3.0599999999999961</v>
      </c>
      <c r="P75" s="995">
        <f>SUM(L75:O75)</f>
        <v>11.233999999999998</v>
      </c>
      <c r="Q75" s="994">
        <f>+Q66-Q71</f>
        <v>3.4610000000000007</v>
      </c>
      <c r="R75" s="995">
        <f>+R66-R71</f>
        <v>4.0169999999999977</v>
      </c>
      <c r="S75" s="995">
        <f>+S66-S71</f>
        <v>4.7850000000000001</v>
      </c>
      <c r="T75" s="996">
        <f>+T66-T71</f>
        <v>5.419999999999991</v>
      </c>
      <c r="U75" s="995">
        <f>SUM(Q75:T75)</f>
        <v>17.682999999999989</v>
      </c>
      <c r="V75" s="994">
        <f>+V66-V71</f>
        <v>5.5650000000000022</v>
      </c>
      <c r="W75" s="995">
        <f>+W66-W71</f>
        <v>5.8470000000000013</v>
      </c>
      <c r="X75" s="995">
        <f>+X66-X71</f>
        <v>6.1079999999999997</v>
      </c>
      <c r="Y75" s="996">
        <f>+Y66-Y71</f>
        <v>8.5499999999999989</v>
      </c>
      <c r="Z75" s="995">
        <f>SUM(V75:Y75)</f>
        <v>26.07</v>
      </c>
      <c r="AA75" s="994">
        <f>+AA66-AA71</f>
        <v>11.082846153846155</v>
      </c>
      <c r="AB75" s="995">
        <f>+AB66-AB71</f>
        <v>12.908538461538459</v>
      </c>
      <c r="AC75" s="995">
        <f>+AC66-AC71</f>
        <v>13.908538461538463</v>
      </c>
      <c r="AD75" s="996">
        <f>+AD66-AD71</f>
        <v>17.80976923076922</v>
      </c>
      <c r="AE75" s="995">
        <f>SUM(AA75:AD75)</f>
        <v>55.709692307692293</v>
      </c>
      <c r="AF75" s="994">
        <f>+AF66-AF71</f>
        <v>19.38569230769231</v>
      </c>
      <c r="AG75" s="995">
        <f>+AG66-AG71</f>
        <v>19.334307692307689</v>
      </c>
      <c r="AH75" s="995">
        <f>+AH66-AH71</f>
        <v>22.290769230769232</v>
      </c>
      <c r="AI75" s="996">
        <f>+AI66-AI71</f>
        <v>23.461923076923075</v>
      </c>
      <c r="AJ75" s="995">
        <f>SUM(AF75:AI75)</f>
        <v>84.472692307692299</v>
      </c>
      <c r="AK75" s="994">
        <f>+AK66-AK71</f>
        <v>25.057230769230763</v>
      </c>
      <c r="AL75" s="995">
        <f>+AL66-AL71</f>
        <v>30.64869230769229</v>
      </c>
      <c r="AM75" s="995">
        <f>+AM66-AM71</f>
        <v>33.108923076923084</v>
      </c>
      <c r="AN75" s="996">
        <f>+AN66-AN71</f>
        <v>34.802000000000014</v>
      </c>
      <c r="AO75" s="995">
        <f>SUM(AK75:AN75)</f>
        <v>123.61684615384615</v>
      </c>
      <c r="AP75" s="994">
        <f>+AP66-AP71</f>
        <v>39.861076923076944</v>
      </c>
      <c r="AQ75" s="995">
        <f>+AQ66-AQ71</f>
        <v>42.810461538461524</v>
      </c>
      <c r="AR75" s="995">
        <f>+AR66-AR71</f>
        <v>47.47530769230768</v>
      </c>
      <c r="AS75" s="996">
        <f>+AS66-AS71</f>
        <v>51.385076923076952</v>
      </c>
      <c r="AT75" s="995">
        <f>SUM(AP75:AS75)</f>
        <v>181.53192307692308</v>
      </c>
      <c r="AU75" s="994">
        <f>+AU66-AU71</f>
        <v>53.767440000000001</v>
      </c>
      <c r="AV75" s="995">
        <f>+AV66-AV71</f>
        <v>61.702129999999997</v>
      </c>
      <c r="AW75" s="995">
        <f>+AW66-AW71</f>
        <v>69.384330000000006</v>
      </c>
      <c r="AX75" s="996">
        <f>+AX66-AX71</f>
        <v>75.783000000000015</v>
      </c>
      <c r="AY75" s="995">
        <f>SUM(AU75:AX75)</f>
        <v>260.63690000000003</v>
      </c>
      <c r="AZ75" s="994">
        <f>+AZ66-AZ71</f>
        <v>81.949320000000014</v>
      </c>
      <c r="BA75" s="995">
        <f>+BA66-BA71</f>
        <v>91.229100000000003</v>
      </c>
      <c r="BB75" s="995">
        <f>+BB66-BB71</f>
        <v>103.55176000000003</v>
      </c>
      <c r="BC75" s="996">
        <f>+BC66-BC71</f>
        <v>108.79055999999999</v>
      </c>
      <c r="BD75" s="995">
        <f>SUM(AZ75:BC75)</f>
        <v>385.52073999999999</v>
      </c>
      <c r="BE75" s="994">
        <f>+BE66-BE71</f>
        <v>113.63976000000002</v>
      </c>
      <c r="BF75" s="995">
        <f>+BF66-BF71</f>
        <v>116.73947999999997</v>
      </c>
      <c r="BG75" s="995">
        <f>+BG66-BG71</f>
        <v>121.12122000000002</v>
      </c>
      <c r="BH75" s="996">
        <f>+BH66-BH71</f>
        <v>122.00370000000001</v>
      </c>
      <c r="BI75" s="995">
        <f>SUM(BE75:BH75)</f>
        <v>473.50415999999996</v>
      </c>
      <c r="BJ75" s="994">
        <f>+BJ66-BJ71</f>
        <v>122.17713000000001</v>
      </c>
      <c r="BK75" s="995">
        <f>+BK66-BK71</f>
        <v>149.636</v>
      </c>
      <c r="BL75" s="995">
        <f>+BL66-BL71</f>
        <v>145.23936</v>
      </c>
      <c r="BM75" s="996">
        <f>+BM66-BM71</f>
        <v>152.3075</v>
      </c>
      <c r="BN75" s="995">
        <f>SUM(BJ75:BM75)</f>
        <v>569.35999000000004</v>
      </c>
      <c r="BO75" s="994">
        <f>+BO66-BO71</f>
        <v>162.53192000000001</v>
      </c>
      <c r="BP75" s="995">
        <f>+BP66-BP71</f>
        <v>182.00733000000002</v>
      </c>
      <c r="BQ75" s="995">
        <f>+BQ66-BQ71</f>
        <v>213.63711000000001</v>
      </c>
      <c r="BR75" s="996">
        <f>+BR66-BR71</f>
        <v>218.2432</v>
      </c>
      <c r="BS75" s="995">
        <f>SUM(BO75:BR75)</f>
        <v>776.41956000000005</v>
      </c>
      <c r="BT75" s="994">
        <f>+BT66-BT71</f>
        <v>221.38013000000001</v>
      </c>
      <c r="BU75" s="995">
        <f>+BU66-BU71</f>
        <v>224.26343999999997</v>
      </c>
      <c r="BV75" s="995">
        <f>+BV66-BV71</f>
        <v>247.43760000000003</v>
      </c>
      <c r="BW75" s="996">
        <f>+BW66-BW71</f>
        <v>259.41468000000003</v>
      </c>
      <c r="BX75" s="995">
        <f>SUM(BT75:BW75)</f>
        <v>952.49585000000002</v>
      </c>
      <c r="BY75" s="994">
        <f>+BY66-BY71</f>
        <v>272.10304000000002</v>
      </c>
      <c r="BZ75" s="995">
        <f>+BZ66-BZ71</f>
        <v>273.52013999999997</v>
      </c>
      <c r="CA75" s="995">
        <f>+CA66-CA71</f>
        <v>297.06936000000007</v>
      </c>
      <c r="CB75" s="995">
        <f>+CB66-CB71</f>
        <v>300.73922999999996</v>
      </c>
      <c r="CC75" s="983">
        <f>SUM(BY75:CB75)</f>
        <v>1143.4317700000001</v>
      </c>
      <c r="CD75" s="995">
        <f>+CD66-CD71</f>
        <v>311.27951999999999</v>
      </c>
      <c r="CE75" s="995">
        <f>+CE66-CE71</f>
        <v>353.15735999999998</v>
      </c>
      <c r="CF75" s="995">
        <f>+CF66-CF71</f>
        <v>359.04450000000008</v>
      </c>
      <c r="CG75" s="995">
        <f>+CG66-CG71</f>
        <v>360.40504000000004</v>
      </c>
      <c r="CH75" s="983">
        <f>SUM(CD75:CG75)</f>
        <v>1383.88642</v>
      </c>
      <c r="CI75" s="995">
        <f>+CI66-CI71</f>
        <v>379.99613999999997</v>
      </c>
      <c r="CJ75" s="995">
        <f>+CJ66-CJ71</f>
        <v>404.02691999999996</v>
      </c>
      <c r="CK75" s="995">
        <f>+CK66-CK71</f>
        <v>404.00117999999998</v>
      </c>
      <c r="CL75" s="995">
        <f>+CL66-CL71</f>
        <v>410.55723999999992</v>
      </c>
      <c r="CM75" s="983">
        <f>SUM(CI75:CL75)</f>
        <v>1598.5814799999998</v>
      </c>
      <c r="CN75" s="995">
        <f>+CN66-CN71</f>
        <v>443.95100000000031</v>
      </c>
      <c r="CO75" s="995">
        <f>+CO66-CO71</f>
        <v>486.5</v>
      </c>
      <c r="CP75" s="995">
        <f>+CP66-CP71</f>
        <v>466.99999999999972</v>
      </c>
      <c r="CQ75" s="995">
        <f>+CQ66-CQ71</f>
        <v>488.40000000000003</v>
      </c>
      <c r="CR75" s="983">
        <f>SUM(CN75:CQ75)</f>
        <v>1885.8510000000001</v>
      </c>
      <c r="CS75" s="995">
        <f>+CS66-CS71</f>
        <v>490.6999999999997</v>
      </c>
      <c r="CT75" s="995">
        <f>+CT66-CT71</f>
        <v>529.79999999999995</v>
      </c>
      <c r="CU75" s="995">
        <f>+CU66-CU71</f>
        <v>520.99999999999989</v>
      </c>
      <c r="CV75" s="995">
        <f>+CV66-CV71</f>
        <v>528</v>
      </c>
      <c r="CW75" s="983">
        <f>SUM(CS75:CV75)</f>
        <v>2069.4999999999995</v>
      </c>
      <c r="CX75" s="995">
        <f>+CX66-CX71</f>
        <v>507</v>
      </c>
      <c r="CY75" s="995">
        <f>+CY66-CY71</f>
        <v>548</v>
      </c>
      <c r="CZ75" s="995">
        <f>+CZ66-CZ71</f>
        <v>582</v>
      </c>
      <c r="DA75" s="995">
        <f>+DA66-DA71</f>
        <v>609</v>
      </c>
      <c r="DB75" s="983">
        <f>SUM(CX75:DA75)</f>
        <v>2246</v>
      </c>
      <c r="DC75" s="995">
        <f>+DC66-DC71</f>
        <v>619.64368606164408</v>
      </c>
      <c r="DD75" s="995">
        <f>+DD66-DD71</f>
        <v>652.24693254971521</v>
      </c>
      <c r="DE75" s="995">
        <f>+DE66-DE71</f>
        <v>674.23522270489059</v>
      </c>
      <c r="DF75" s="995">
        <f>+DF66-DF71</f>
        <v>707.84671575136292</v>
      </c>
      <c r="DG75" s="983">
        <f>SUM(DC75:DF75)</f>
        <v>2653.9725570676128</v>
      </c>
      <c r="DH75" s="995">
        <f>+DH66-DH71</f>
        <v>711.1931860747577</v>
      </c>
      <c r="DI75" s="995">
        <f>+DI66-DI71</f>
        <v>740.1805169498607</v>
      </c>
      <c r="DJ75" s="995">
        <f>+DJ66-DJ71</f>
        <v>758.21759244392206</v>
      </c>
      <c r="DK75" s="995">
        <f>+DK66-DK71</f>
        <v>772.11839603828469</v>
      </c>
      <c r="DL75" s="983">
        <f>SUM(DH75:DK75)</f>
        <v>2981.709691506825</v>
      </c>
      <c r="DM75" s="995">
        <f>+DM66-DM71</f>
        <v>767.32657985659034</v>
      </c>
      <c r="DN75" s="995">
        <f>+DN66-DN71</f>
        <v>798.17594632187684</v>
      </c>
      <c r="DO75" s="995">
        <f>+DO66-DO71</f>
        <v>819.45797374527842</v>
      </c>
      <c r="DP75" s="995">
        <f>+DP66-DP71</f>
        <v>833.07378638115256</v>
      </c>
      <c r="DQ75" s="983">
        <f>SUM(DM75:DP75)</f>
        <v>3218.0342863048982</v>
      </c>
      <c r="DR75" s="195"/>
      <c r="DS75" s="194"/>
      <c r="DT75"/>
      <c r="DU75"/>
      <c r="DV75"/>
      <c r="DW75"/>
      <c r="DX75"/>
      <c r="DY75"/>
    </row>
    <row r="76" spans="1:129" s="60" customFormat="1">
      <c r="A76" s="681"/>
      <c r="B76" s="259" t="s">
        <v>14</v>
      </c>
      <c r="C76" s="260"/>
      <c r="D76" s="260"/>
      <c r="E76" s="260"/>
      <c r="F76" s="260"/>
      <c r="G76" s="259">
        <f>+G67-G69</f>
        <v>0.7119999999999993</v>
      </c>
      <c r="H76" s="260">
        <f>+H67-H69</f>
        <v>1.0659999999999994</v>
      </c>
      <c r="I76" s="260">
        <f>+I67-I69</f>
        <v>1.6999999999999986</v>
      </c>
      <c r="J76" s="261">
        <f>+J67-J69</f>
        <v>2.5549999999999988</v>
      </c>
      <c r="K76" s="259">
        <f>SUM(G76:J76)</f>
        <v>6.0329999999999959</v>
      </c>
      <c r="L76" s="259">
        <f>+L67-L69</f>
        <v>2.7589999999999977</v>
      </c>
      <c r="M76" s="260">
        <f>+M67-M69</f>
        <v>2.5550000000000024</v>
      </c>
      <c r="N76" s="260">
        <f>+N67-N69</f>
        <v>2.8600000000000021</v>
      </c>
      <c r="O76" s="261">
        <f>+O67-O69</f>
        <v>3.0599999999999961</v>
      </c>
      <c r="P76" s="260">
        <f>SUM(L76:O76)</f>
        <v>11.233999999999998</v>
      </c>
      <c r="Q76" s="259">
        <f>+Q67-Q69</f>
        <v>3.4610000000000007</v>
      </c>
      <c r="R76" s="260">
        <f>+R67-R69</f>
        <v>4.0169999999999977</v>
      </c>
      <c r="S76" s="260">
        <f>+S67-S69</f>
        <v>4.7850000000000001</v>
      </c>
      <c r="T76" s="261">
        <f>+T67-T69</f>
        <v>5.419999999999991</v>
      </c>
      <c r="U76" s="260">
        <f>SUM(Q76:T76)</f>
        <v>17.682999999999989</v>
      </c>
      <c r="V76" s="259">
        <f>+V67-V69</f>
        <v>5.5650000000000022</v>
      </c>
      <c r="W76" s="260">
        <f>+W67-W69</f>
        <v>5.8470000000000013</v>
      </c>
      <c r="X76" s="260">
        <f>+X67-X69</f>
        <v>6.1079999999999997</v>
      </c>
      <c r="Y76" s="261">
        <f>+Y67-Y69</f>
        <v>6.5949999999999989</v>
      </c>
      <c r="Z76" s="260">
        <f>SUM(V76:Y76)</f>
        <v>24.115000000000002</v>
      </c>
      <c r="AA76" s="259">
        <f>+AA67-AA69</f>
        <v>7.1090000000000018</v>
      </c>
      <c r="AB76" s="260">
        <f>+AB67-AB69</f>
        <v>8.6469999999999985</v>
      </c>
      <c r="AC76" s="260">
        <f>+AC67-AC69</f>
        <v>9.6669999999999998</v>
      </c>
      <c r="AD76" s="261">
        <f>+AD67-AD69</f>
        <v>10.818999999999992</v>
      </c>
      <c r="AE76" s="260">
        <f>SUM(AA76:AD76)</f>
        <v>36.24199999999999</v>
      </c>
      <c r="AF76" s="259">
        <f>+AF67-AF69</f>
        <v>12.188000000000002</v>
      </c>
      <c r="AG76" s="260">
        <f>+AG67-AG69</f>
        <v>13.501999999999999</v>
      </c>
      <c r="AH76" s="260">
        <f>+AH67-AH69</f>
        <v>15.96</v>
      </c>
      <c r="AI76" s="261">
        <f>+AI67-AI69</f>
        <v>17.724999999999998</v>
      </c>
      <c r="AJ76" s="260">
        <f>SUM(AF76:AI76)</f>
        <v>59.375</v>
      </c>
      <c r="AK76" s="259">
        <f>+AK67-AK69</f>
        <v>19.787999999999997</v>
      </c>
      <c r="AL76" s="260">
        <f>+AL67-AL69</f>
        <v>23.800999999999984</v>
      </c>
      <c r="AM76" s="260">
        <f>+AM67-AM69</f>
        <v>26.052000000000007</v>
      </c>
      <c r="AN76" s="261">
        <f>+AN67-AN69</f>
        <v>30.602000000000011</v>
      </c>
      <c r="AO76" s="260">
        <f>SUM(AK76:AN76)</f>
        <v>100.24299999999999</v>
      </c>
      <c r="AP76" s="259">
        <f>+AP67-AP69</f>
        <v>31.978000000000019</v>
      </c>
      <c r="AQ76" s="260">
        <f>+AQ67-AQ69</f>
        <v>36.031999999999989</v>
      </c>
      <c r="AR76" s="260">
        <f>+AR67-AR69</f>
        <v>40.582999999999984</v>
      </c>
      <c r="AS76" s="261">
        <f>+AS67-AS69</f>
        <v>57.67300000000003</v>
      </c>
      <c r="AT76" s="260">
        <f>SUM(AP76:AS76)</f>
        <v>166.26600000000002</v>
      </c>
      <c r="AU76" s="259">
        <f>+AU67-AU69</f>
        <v>47.163999999999994</v>
      </c>
      <c r="AV76" s="260">
        <f>+AV67-AV69</f>
        <v>55.071000000000026</v>
      </c>
      <c r="AW76" s="260">
        <f>+AW67-AW69</f>
        <v>61.027000000000058</v>
      </c>
      <c r="AX76" s="261">
        <f>+AX67-AX69</f>
        <v>69.533000000000001</v>
      </c>
      <c r="AY76" s="260">
        <f>SUM(AU76:AX76)</f>
        <v>232.79500000000007</v>
      </c>
      <c r="AZ76" s="259">
        <f>+AZ67-AZ69</f>
        <v>75.446000000000041</v>
      </c>
      <c r="BA76" s="260">
        <f>+BA67-BA69</f>
        <v>82.276999999999987</v>
      </c>
      <c r="BB76" s="260">
        <f>+BB67-BB69</f>
        <v>96.153999999999996</v>
      </c>
      <c r="BC76" s="261">
        <f>+BC67-BC69</f>
        <v>96.255999999999915</v>
      </c>
      <c r="BD76" s="260">
        <f>SUM(AZ76:BC76)</f>
        <v>350.13299999999992</v>
      </c>
      <c r="BE76" s="259">
        <f>+BE67-BE69</f>
        <v>101.873</v>
      </c>
      <c r="BF76" s="260">
        <f>+BF67-BF69</f>
        <v>103.85600000000002</v>
      </c>
      <c r="BG76" s="260">
        <f>+BG67-BG69</f>
        <v>112.82800000000003</v>
      </c>
      <c r="BH76" s="261">
        <f>+BH67-BH69</f>
        <v>112.28799999999995</v>
      </c>
      <c r="BI76" s="260">
        <f>SUM(BE76:BH76)</f>
        <v>430.84500000000003</v>
      </c>
      <c r="BJ76" s="259">
        <f>+BJ67-BJ69</f>
        <v>113.13200000000003</v>
      </c>
      <c r="BK76" s="260">
        <f>+BK67-BK69</f>
        <v>141.25500000000002</v>
      </c>
      <c r="BL76" s="260">
        <f>+BL67-BL69</f>
        <v>136.57200000000017</v>
      </c>
      <c r="BM76" s="261">
        <f>+BM67-BM69</f>
        <v>144.00399999999973</v>
      </c>
      <c r="BN76" s="260">
        <f>SUM(BJ76:BM76)</f>
        <v>534.96299999999997</v>
      </c>
      <c r="BO76" s="259">
        <f>+BO67-BO69</f>
        <v>151.5</v>
      </c>
      <c r="BP76" s="260">
        <f>+BP67-BP69</f>
        <v>172.17499999999998</v>
      </c>
      <c r="BQ76" s="260">
        <f>+BQ67-BQ69</f>
        <v>203.69899999999996</v>
      </c>
      <c r="BR76" s="261">
        <f>+BR67-BR69</f>
        <v>206.16599999999988</v>
      </c>
      <c r="BS76" s="260">
        <f>SUM(BO76:BR76)</f>
        <v>733.53999999999974</v>
      </c>
      <c r="BT76" s="259">
        <f>+BT67-BT69</f>
        <v>208.32699999999988</v>
      </c>
      <c r="BU76" s="260">
        <f>+BU67-BU69</f>
        <v>208.04499999999996</v>
      </c>
      <c r="BV76" s="260">
        <f>+BV67-BV69</f>
        <v>227.11899999999994</v>
      </c>
      <c r="BW76" s="261">
        <f>+BW67-BW69</f>
        <v>240.12699999999992</v>
      </c>
      <c r="BX76" s="260">
        <f>SUM(BT76:BW76)</f>
        <v>883.61799999999971</v>
      </c>
      <c r="BY76" s="259">
        <f>+BY67-BY69</f>
        <v>243.65100000000015</v>
      </c>
      <c r="BZ76" s="260">
        <f>+BZ67-BZ69</f>
        <v>251.93200000000016</v>
      </c>
      <c r="CA76" s="260">
        <f>+CA67-CA69</f>
        <v>276.90100000000018</v>
      </c>
      <c r="CB76" s="260">
        <f>+CB67-CB69</f>
        <v>278.77900000000022</v>
      </c>
      <c r="CC76" s="605">
        <f>SUM(BY76:CB76)</f>
        <v>1051.2630000000008</v>
      </c>
      <c r="CD76" s="260">
        <f>+CD67-CD69</f>
        <v>284.20900000000017</v>
      </c>
      <c r="CE76" s="260">
        <f>+CE67-CE69</f>
        <v>300.40999999999985</v>
      </c>
      <c r="CF76" s="260">
        <f>+CF67-CF69</f>
        <v>319.62699999999995</v>
      </c>
      <c r="CG76" s="260">
        <f>+CG67-CG69</f>
        <v>324.33199999999988</v>
      </c>
      <c r="CH76" s="605">
        <f>SUM(CD76:CG76)</f>
        <v>1228.578</v>
      </c>
      <c r="CI76" s="260">
        <f>+CI67-CI69</f>
        <v>348.87799999999999</v>
      </c>
      <c r="CJ76" s="260">
        <f>+CJ67-CJ69</f>
        <v>371.90799999999962</v>
      </c>
      <c r="CK76" s="260">
        <f>+CK67-CK69</f>
        <v>355.62399999999957</v>
      </c>
      <c r="CL76" s="260">
        <f>+CL67-CL69</f>
        <v>362.8660000000001</v>
      </c>
      <c r="CM76" s="605">
        <f>SUM(CI76:CL76)</f>
        <v>1439.2759999999994</v>
      </c>
      <c r="CN76" s="260">
        <f>+CN67-CN69</f>
        <v>382.9000000000002</v>
      </c>
      <c r="CO76" s="260">
        <f>+CO67-CO69</f>
        <v>420.10000000000008</v>
      </c>
      <c r="CP76" s="260">
        <f>+CP67-CP69</f>
        <v>397.19999999999987</v>
      </c>
      <c r="CQ76" s="260">
        <f>+CQ67-CQ69</f>
        <v>423.40000000000015</v>
      </c>
      <c r="CR76" s="605">
        <f>SUM(CN76:CQ76)</f>
        <v>1623.6000000000001</v>
      </c>
      <c r="CS76" s="260">
        <f>+CS67-CS69</f>
        <v>441.09999999999968</v>
      </c>
      <c r="CT76" s="260">
        <f>+CT67-CT69</f>
        <v>252.39999999999998</v>
      </c>
      <c r="CU76" s="260">
        <f>+CU67-CU69</f>
        <v>444.4</v>
      </c>
      <c r="CV76" s="260">
        <f>+CV67-CV69</f>
        <v>416</v>
      </c>
      <c r="CW76" s="605">
        <f>SUM(CS76:CV76)</f>
        <v>1553.8999999999996</v>
      </c>
      <c r="CX76" s="260">
        <f>+CX67-CX69</f>
        <v>557</v>
      </c>
      <c r="CY76" s="260">
        <f>+CY67-CY69</f>
        <v>470</v>
      </c>
      <c r="CZ76" s="260">
        <f>+CZ67-CZ69</f>
        <v>495</v>
      </c>
      <c r="DA76" s="260">
        <f>+DA67-DA69</f>
        <v>-18</v>
      </c>
      <c r="DB76" s="605">
        <f>SUM(CX76:DA76)</f>
        <v>1504</v>
      </c>
      <c r="DC76" s="260">
        <f>+DC67-DC69</f>
        <v>561.56931106164393</v>
      </c>
      <c r="DD76" s="260">
        <f>+DD67-DD69</f>
        <v>592.11073254971529</v>
      </c>
      <c r="DE76" s="260">
        <f>+DE67-DE69</f>
        <v>612.73702270489059</v>
      </c>
      <c r="DF76" s="260">
        <f>+DF67-DF69</f>
        <v>645.31861575136293</v>
      </c>
      <c r="DG76" s="605">
        <f>SUM(DC76:DF76)</f>
        <v>2411.7356820676127</v>
      </c>
      <c r="DH76" s="260">
        <f>+DH67-DH69</f>
        <v>648.50859669975773</v>
      </c>
      <c r="DI76" s="260">
        <f>+DI67-DI69</f>
        <v>675.24668919986061</v>
      </c>
      <c r="DJ76" s="260">
        <f>+DJ67-DJ69</f>
        <v>691.80575169392205</v>
      </c>
      <c r="DK76" s="260">
        <f>+DK67-DK69</f>
        <v>704.66685503828467</v>
      </c>
      <c r="DL76" s="605">
        <f>SUM(DH76:DK76)</f>
        <v>2720.2278926318249</v>
      </c>
      <c r="DM76" s="260">
        <f>+DM67-DM69</f>
        <v>699.6007210597154</v>
      </c>
      <c r="DN76" s="260">
        <f>+DN67-DN69</f>
        <v>728.18026945187671</v>
      </c>
      <c r="DO76" s="260">
        <f>+DO67-DO69</f>
        <v>747.76465543152813</v>
      </c>
      <c r="DP76" s="260">
        <f>+DP67-DP69</f>
        <v>760.33843862115282</v>
      </c>
      <c r="DQ76" s="605">
        <f>SUM(DM76:DP76)</f>
        <v>2935.8840845642731</v>
      </c>
      <c r="DR76" s="35"/>
      <c r="DS76" s="36"/>
      <c r="DT76"/>
      <c r="DU76"/>
      <c r="DV76"/>
      <c r="DW76"/>
      <c r="DX76"/>
      <c r="DY76"/>
    </row>
    <row r="77" spans="1:129" s="19" customFormat="1">
      <c r="A77" s="627"/>
      <c r="B77" s="634"/>
      <c r="C77" s="628"/>
      <c r="D77" s="628"/>
      <c r="E77" s="628"/>
      <c r="F77" s="628"/>
      <c r="G77" s="39"/>
      <c r="H77" s="40"/>
      <c r="I77" s="40"/>
      <c r="J77" s="41"/>
      <c r="K77" s="31"/>
      <c r="L77" s="39"/>
      <c r="M77" s="40"/>
      <c r="N77" s="40"/>
      <c r="O77" s="41"/>
      <c r="P77" s="27"/>
      <c r="Q77" s="39"/>
      <c r="R77" s="40"/>
      <c r="S77" s="40"/>
      <c r="T77" s="41"/>
      <c r="U77" s="27"/>
      <c r="V77" s="39"/>
      <c r="W77" s="40"/>
      <c r="X77" s="40"/>
      <c r="Y77" s="41"/>
      <c r="Z77" s="27"/>
      <c r="AA77" s="39"/>
      <c r="AB77" s="40"/>
      <c r="AC77" s="40"/>
      <c r="AD77" s="41"/>
      <c r="AE77" s="27"/>
      <c r="AF77" s="39"/>
      <c r="AG77" s="40"/>
      <c r="AH77" s="40"/>
      <c r="AI77" s="41"/>
      <c r="AJ77" s="27"/>
      <c r="AK77" s="39"/>
      <c r="AL77" s="40"/>
      <c r="AM77" s="40"/>
      <c r="AN77" s="41"/>
      <c r="AO77" s="27"/>
      <c r="AP77" s="39"/>
      <c r="AQ77" s="40"/>
      <c r="AR77" s="40"/>
      <c r="AS77" s="41"/>
      <c r="AT77" s="27"/>
      <c r="AU77" s="39"/>
      <c r="AV77" s="40"/>
      <c r="AW77" s="40"/>
      <c r="AX77" s="41"/>
      <c r="AY77" s="27"/>
      <c r="AZ77" s="39"/>
      <c r="BA77" s="40"/>
      <c r="BB77" s="40"/>
      <c r="BC77" s="41"/>
      <c r="BD77" s="27"/>
      <c r="BE77" s="39"/>
      <c r="BF77" s="40"/>
      <c r="BG77" s="40"/>
      <c r="BH77" s="41"/>
      <c r="BI77" s="27"/>
      <c r="BJ77" s="39"/>
      <c r="BK77" s="40"/>
      <c r="BL77" s="40"/>
      <c r="BM77" s="41"/>
      <c r="BN77" s="27"/>
      <c r="BO77" s="39"/>
      <c r="BP77" s="40"/>
      <c r="BQ77" s="40"/>
      <c r="BR77" s="41"/>
      <c r="BS77" s="27"/>
      <c r="BT77" s="39"/>
      <c r="BU77" s="40"/>
      <c r="BV77" s="40"/>
      <c r="BW77" s="41"/>
      <c r="BX77" s="27"/>
      <c r="BY77" s="39"/>
      <c r="BZ77" s="40"/>
      <c r="CA77" s="40"/>
      <c r="CB77" s="40"/>
      <c r="CC77" s="329"/>
      <c r="CD77" s="438"/>
      <c r="CE77" s="438"/>
      <c r="CF77" s="439"/>
      <c r="CG77" s="40"/>
      <c r="CH77" s="329"/>
      <c r="CI77" s="40"/>
      <c r="CJ77" s="438"/>
      <c r="CK77" s="438"/>
      <c r="CL77" s="40"/>
      <c r="CM77" s="329"/>
      <c r="CN77" s="40"/>
      <c r="CO77" s="438"/>
      <c r="CP77" s="438"/>
      <c r="CQ77" s="40"/>
      <c r="CR77" s="334"/>
      <c r="CS77" s="40"/>
      <c r="CT77" s="438"/>
      <c r="CU77" s="40"/>
      <c r="CV77" s="40"/>
      <c r="CW77" s="334"/>
      <c r="CX77" s="40"/>
      <c r="CY77" s="438"/>
      <c r="CZ77" s="438"/>
      <c r="DA77" s="40"/>
      <c r="DB77" s="334"/>
      <c r="DC77" s="40"/>
      <c r="DD77" s="438"/>
      <c r="DE77" s="438"/>
      <c r="DF77" s="40"/>
      <c r="DG77" s="334"/>
      <c r="DH77" s="40"/>
      <c r="DI77" s="438"/>
      <c r="DJ77" s="438"/>
      <c r="DK77" s="40"/>
      <c r="DL77" s="334"/>
      <c r="DM77" s="40"/>
      <c r="DN77" s="438"/>
      <c r="DO77" s="438"/>
      <c r="DP77" s="40"/>
      <c r="DQ77" s="334"/>
      <c r="DR77" s="31"/>
      <c r="DS77" s="952"/>
      <c r="DT77"/>
      <c r="DU77"/>
      <c r="DV77"/>
      <c r="DW77"/>
      <c r="DX77"/>
      <c r="DY77"/>
    </row>
    <row r="78" spans="1:129" s="95" customFormat="1" hidden="1" outlineLevel="1">
      <c r="A78" s="684"/>
      <c r="B78" s="685" t="s">
        <v>353</v>
      </c>
      <c r="C78" s="689"/>
      <c r="D78" s="686"/>
      <c r="E78" s="686"/>
      <c r="F78" s="686"/>
      <c r="G78" s="96">
        <f t="shared" ref="G78:AL78" si="173">G76/G$84</f>
        <v>2.2427174679971757E-3</v>
      </c>
      <c r="H78" s="97">
        <f t="shared" si="173"/>
        <v>3.1986653223870544E-3</v>
      </c>
      <c r="I78" s="97">
        <f t="shared" si="173"/>
        <v>3.8829806673244863E-3</v>
      </c>
      <c r="J78" s="98">
        <f t="shared" si="173"/>
        <v>5.8532182391320235E-3</v>
      </c>
      <c r="K78" s="97">
        <f t="shared" si="173"/>
        <v>1.5823681228754868E-2</v>
      </c>
      <c r="L78" s="96">
        <f t="shared" si="173"/>
        <v>6.281189669617159E-3</v>
      </c>
      <c r="M78" s="97">
        <f t="shared" si="173"/>
        <v>5.8132656218715367E-3</v>
      </c>
      <c r="N78" s="97">
        <f t="shared" si="173"/>
        <v>6.5036657024868608E-3</v>
      </c>
      <c r="O78" s="98">
        <f t="shared" si="173"/>
        <v>6.9180683667932627E-3</v>
      </c>
      <c r="P78" s="97">
        <f t="shared" si="173"/>
        <v>2.5519754297968232E-2</v>
      </c>
      <c r="Q78" s="96">
        <f t="shared" si="173"/>
        <v>7.7950450450450471E-3</v>
      </c>
      <c r="R78" s="97">
        <f t="shared" si="173"/>
        <v>9.0302131103317997E-3</v>
      </c>
      <c r="S78" s="97">
        <f t="shared" si="173"/>
        <v>1.0728314679294018E-2</v>
      </c>
      <c r="T78" s="98">
        <f t="shared" si="173"/>
        <v>1.2114872235037436E-2</v>
      </c>
      <c r="U78" s="97">
        <f t="shared" si="173"/>
        <v>3.9687135290421012E-2</v>
      </c>
      <c r="V78" s="96">
        <f t="shared" si="173"/>
        <v>1.2401058936784688E-2</v>
      </c>
      <c r="W78" s="97">
        <f t="shared" si="173"/>
        <v>1.2881351451382649E-2</v>
      </c>
      <c r="X78" s="97">
        <f t="shared" si="173"/>
        <v>1.3266263552960799E-2</v>
      </c>
      <c r="Y78" s="98">
        <f t="shared" si="173"/>
        <v>1.4250462410759042E-2</v>
      </c>
      <c r="Z78" s="97">
        <f t="shared" si="173"/>
        <v>5.2836497169199491E-2</v>
      </c>
      <c r="AA78" s="96">
        <f t="shared" si="173"/>
        <v>1.5296066787158967E-2</v>
      </c>
      <c r="AB78" s="97">
        <f t="shared" si="173"/>
        <v>1.8401630971432461E-2</v>
      </c>
      <c r="AC78" s="97">
        <f t="shared" si="173"/>
        <v>2.0279511965898028E-2</v>
      </c>
      <c r="AD78" s="98">
        <f t="shared" si="173"/>
        <v>2.2288833951380288E-2</v>
      </c>
      <c r="AE78" s="97">
        <f t="shared" si="173"/>
        <v>7.6471531540655946E-2</v>
      </c>
      <c r="AF78" s="96">
        <f t="shared" si="173"/>
        <v>2.4845480193740933E-2</v>
      </c>
      <c r="AG78" s="97">
        <f t="shared" si="173"/>
        <v>2.7272139677307284E-2</v>
      </c>
      <c r="AH78" s="97">
        <f t="shared" si="173"/>
        <v>3.1716254779297792E-2</v>
      </c>
      <c r="AI78" s="98">
        <f t="shared" si="173"/>
        <v>3.4652168473075895E-2</v>
      </c>
      <c r="AJ78" s="97">
        <f t="shared" si="173"/>
        <v>0.11873955091951909</v>
      </c>
      <c r="AK78" s="96">
        <f t="shared" si="173"/>
        <v>3.8384245932294128E-2</v>
      </c>
      <c r="AL78" s="97">
        <f t="shared" si="173"/>
        <v>4.5729996848989728E-2</v>
      </c>
      <c r="AM78" s="97">
        <f t="shared" ref="AM78:BR78" si="174">AM76/AM$84</f>
        <v>4.9435660774059378E-2</v>
      </c>
      <c r="AN78" s="98">
        <f t="shared" si="174"/>
        <v>5.742971887550203E-2</v>
      </c>
      <c r="AO78" s="97">
        <f t="shared" si="174"/>
        <v>0.1913180395450034</v>
      </c>
      <c r="AP78" s="96">
        <f t="shared" si="174"/>
        <v>5.9445291296427144E-2</v>
      </c>
      <c r="AQ78" s="97">
        <f t="shared" si="174"/>
        <v>6.6388084341167511E-2</v>
      </c>
      <c r="AR78" s="97">
        <f t="shared" si="174"/>
        <v>7.3956161707462831E-2</v>
      </c>
      <c r="AS78" s="98">
        <f t="shared" si="174"/>
        <v>0.10401501980276595</v>
      </c>
      <c r="AT78" s="97">
        <f t="shared" si="174"/>
        <v>0.30452986944481081</v>
      </c>
      <c r="AU78" s="96">
        <f t="shared" si="174"/>
        <v>8.4423441807181462E-2</v>
      </c>
      <c r="AV78" s="97">
        <f t="shared" si="174"/>
        <v>9.7961819242646367E-2</v>
      </c>
      <c r="AW78" s="97">
        <f t="shared" si="174"/>
        <v>0.10804872434978145</v>
      </c>
      <c r="AX78" s="98">
        <f t="shared" si="174"/>
        <v>0.12239915223804931</v>
      </c>
      <c r="AY78" s="97">
        <f t="shared" si="174"/>
        <v>0.41317466233604899</v>
      </c>
      <c r="AZ78" s="96">
        <f t="shared" si="174"/>
        <v>0.13198905543659301</v>
      </c>
      <c r="BA78" s="97">
        <f t="shared" si="174"/>
        <v>0.14278995505110981</v>
      </c>
      <c r="BB78" s="97">
        <f t="shared" si="174"/>
        <v>0.1660352467027445</v>
      </c>
      <c r="BC78" s="98">
        <f t="shared" si="174"/>
        <v>0.16644475416129162</v>
      </c>
      <c r="BD78" s="97">
        <f t="shared" si="174"/>
        <v>0.60754281549860312</v>
      </c>
      <c r="BE78" s="96">
        <f t="shared" si="174"/>
        <v>0.17675789722074742</v>
      </c>
      <c r="BF78" s="97">
        <f t="shared" si="174"/>
        <v>0.17924192897010452</v>
      </c>
      <c r="BG78" s="97">
        <f t="shared" si="174"/>
        <v>0.19363563659079916</v>
      </c>
      <c r="BH78" s="98">
        <f t="shared" si="174"/>
        <v>0.19276181843775847</v>
      </c>
      <c r="BI78" s="97">
        <f t="shared" si="174"/>
        <v>0.74252639415967825</v>
      </c>
      <c r="BJ78" s="96">
        <f t="shared" si="174"/>
        <v>0.19397626306097471</v>
      </c>
      <c r="BK78" s="97">
        <f t="shared" si="174"/>
        <v>0.24159617154174809</v>
      </c>
      <c r="BL78" s="97">
        <f t="shared" si="174"/>
        <v>0.23253105590062143</v>
      </c>
      <c r="BM78" s="98">
        <f t="shared" si="174"/>
        <v>0.24357751300735406</v>
      </c>
      <c r="BN78" s="97">
        <f t="shared" si="174"/>
        <v>0.91195994599459951</v>
      </c>
      <c r="BO78" s="96">
        <f t="shared" si="174"/>
        <v>0.25429276398610201</v>
      </c>
      <c r="BP78" s="97">
        <f t="shared" si="174"/>
        <v>0.28706454721580316</v>
      </c>
      <c r="BQ78" s="97">
        <f t="shared" si="174"/>
        <v>0.33756632871200493</v>
      </c>
      <c r="BR78" s="98">
        <f t="shared" si="174"/>
        <v>0.33950090735135724</v>
      </c>
      <c r="BS78" s="97">
        <f t="shared" ref="BS78:CN78" si="175">BS76/BS$84</f>
        <v>1.2193921823519434</v>
      </c>
      <c r="BT78" s="96">
        <f t="shared" si="175"/>
        <v>0.34259688660410914</v>
      </c>
      <c r="BU78" s="97">
        <f t="shared" si="175"/>
        <v>0.34219165825079195</v>
      </c>
      <c r="BV78" s="97">
        <f t="shared" si="175"/>
        <v>0.37512676605345469</v>
      </c>
      <c r="BW78" s="98">
        <f t="shared" si="175"/>
        <v>0.39709578838050752</v>
      </c>
      <c r="BX78" s="97">
        <f t="shared" si="175"/>
        <v>1.4567837323634825</v>
      </c>
      <c r="BY78" s="96">
        <f t="shared" si="175"/>
        <v>0.40149722504185531</v>
      </c>
      <c r="BZ78" s="97">
        <f t="shared" si="175"/>
        <v>0.41679543386549778</v>
      </c>
      <c r="CA78" s="97">
        <f t="shared" si="175"/>
        <v>0.46295534645453423</v>
      </c>
      <c r="CB78" s="97">
        <f t="shared" si="175"/>
        <v>0.46393267477001354</v>
      </c>
      <c r="CC78" s="335">
        <f t="shared" si="175"/>
        <v>1.7445974157873962</v>
      </c>
      <c r="CD78" s="97">
        <f t="shared" si="175"/>
        <v>0.47077229389042413</v>
      </c>
      <c r="CE78" s="97">
        <f t="shared" si="175"/>
        <v>0.49791162528590815</v>
      </c>
      <c r="CF78" s="97">
        <f t="shared" si="175"/>
        <v>0.52982939475917668</v>
      </c>
      <c r="CG78" s="97">
        <f t="shared" si="175"/>
        <v>0.53542573950137495</v>
      </c>
      <c r="CH78" s="335">
        <f t="shared" si="175"/>
        <v>2.0340223902094983</v>
      </c>
      <c r="CI78" s="97">
        <f t="shared" si="175"/>
        <v>0.57406743126059268</v>
      </c>
      <c r="CJ78" s="97">
        <f t="shared" si="175"/>
        <v>0.61181154175166086</v>
      </c>
      <c r="CK78" s="97">
        <f t="shared" si="175"/>
        <v>0.58484056111960714</v>
      </c>
      <c r="CL78" s="97">
        <f t="shared" si="175"/>
        <v>0.59601328467105341</v>
      </c>
      <c r="CM78" s="335">
        <f t="shared" si="175"/>
        <v>2.3667397874782519</v>
      </c>
      <c r="CN78" s="97">
        <f t="shared" si="175"/>
        <v>0.62811679790026276</v>
      </c>
      <c r="CO78" s="97">
        <f>CO76/CO$86</f>
        <v>0.6843134060921976</v>
      </c>
      <c r="CP78" s="97">
        <f t="shared" ref="CP78:DL78" si="176">CP76/CP$84</f>
        <v>0.65243101182654384</v>
      </c>
      <c r="CQ78" s="97">
        <f t="shared" si="176"/>
        <v>0.69615258138770164</v>
      </c>
      <c r="CR78" s="335">
        <f t="shared" si="176"/>
        <v>2.665572155639468</v>
      </c>
      <c r="CS78" s="97">
        <f t="shared" si="176"/>
        <v>0.72549342105263104</v>
      </c>
      <c r="CT78" s="97">
        <f t="shared" si="176"/>
        <v>0.41643293185942909</v>
      </c>
      <c r="CU78" s="97">
        <f t="shared" si="176"/>
        <v>0.73309138898053439</v>
      </c>
      <c r="CV78" s="97">
        <f t="shared" si="176"/>
        <v>0.68533772652388802</v>
      </c>
      <c r="CW78" s="335">
        <f t="shared" si="176"/>
        <v>2.5599670510708394</v>
      </c>
      <c r="CX78" s="97">
        <f t="shared" si="176"/>
        <v>0.9176276771004942</v>
      </c>
      <c r="CY78" s="97">
        <f>CY76/CY$84</f>
        <v>0.79796264855687604</v>
      </c>
      <c r="CZ78" s="97">
        <f>CZ76/CZ$84</f>
        <v>0.83898305084745761</v>
      </c>
      <c r="DA78" s="97">
        <f t="shared" si="176"/>
        <v>-3.0560271646859084E-2</v>
      </c>
      <c r="DB78" s="335">
        <f t="shared" si="176"/>
        <v>2.5330526315789474</v>
      </c>
      <c r="DC78" s="97">
        <f t="shared" si="176"/>
        <v>0.95610461179899275</v>
      </c>
      <c r="DD78" s="97">
        <f t="shared" si="176"/>
        <v>1.0108386990694473</v>
      </c>
      <c r="DE78" s="97">
        <f t="shared" si="176"/>
        <v>1.0487935106601767</v>
      </c>
      <c r="DF78" s="97">
        <f t="shared" si="176"/>
        <v>1.1073568413038182</v>
      </c>
      <c r="DG78" s="335">
        <f t="shared" si="176"/>
        <v>4.1224501083075094</v>
      </c>
      <c r="DH78" s="97">
        <f t="shared" si="176"/>
        <v>1.1173333205839258</v>
      </c>
      <c r="DI78" s="97">
        <f t="shared" si="176"/>
        <v>1.1679800636059539</v>
      </c>
      <c r="DJ78" s="97">
        <f t="shared" si="176"/>
        <v>1.2012016365408538</v>
      </c>
      <c r="DK78" s="97">
        <f t="shared" si="176"/>
        <v>1.2280829198911598</v>
      </c>
      <c r="DL78" s="335">
        <f t="shared" si="176"/>
        <v>4.7138984384776919</v>
      </c>
      <c r="DM78" s="97">
        <f t="shared" ref="DM78:DQ78" si="177">DM76/DM$84</f>
        <v>1.2236578871123296</v>
      </c>
      <c r="DN78" s="97">
        <f t="shared" si="177"/>
        <v>1.278112003392202</v>
      </c>
      <c r="DO78" s="97">
        <f t="shared" si="177"/>
        <v>1.3169522008138499</v>
      </c>
      <c r="DP78" s="97">
        <f t="shared" si="177"/>
        <v>1.3435147651174122</v>
      </c>
      <c r="DQ78" s="335">
        <f t="shared" si="177"/>
        <v>5.1615585592385518</v>
      </c>
      <c r="DR78" s="96"/>
      <c r="DS78" s="97"/>
      <c r="DT78"/>
      <c r="DU78"/>
      <c r="DV78"/>
      <c r="DW78"/>
      <c r="DX78"/>
      <c r="DY78"/>
    </row>
    <row r="79" spans="1:129" s="95" customFormat="1" hidden="1" outlineLevel="1">
      <c r="A79" s="684"/>
      <c r="B79" s="685" t="s">
        <v>354</v>
      </c>
      <c r="C79" s="689"/>
      <c r="D79" s="686"/>
      <c r="E79" s="686"/>
      <c r="F79" s="686"/>
      <c r="G79" s="96">
        <f t="shared" ref="G79:AL79" si="178">G75/G$84</f>
        <v>2.2427174679971757E-3</v>
      </c>
      <c r="H79" s="97">
        <f t="shared" si="178"/>
        <v>3.1986653223870544E-3</v>
      </c>
      <c r="I79" s="97">
        <f t="shared" si="178"/>
        <v>3.8829806673244863E-3</v>
      </c>
      <c r="J79" s="98">
        <f t="shared" si="178"/>
        <v>5.8532182391320235E-3</v>
      </c>
      <c r="K79" s="97">
        <f t="shared" si="178"/>
        <v>1.5823681228754868E-2</v>
      </c>
      <c r="L79" s="96">
        <f t="shared" si="178"/>
        <v>6.281189669617159E-3</v>
      </c>
      <c r="M79" s="97">
        <f t="shared" si="178"/>
        <v>5.8132656218715367E-3</v>
      </c>
      <c r="N79" s="97">
        <f t="shared" si="178"/>
        <v>6.5036657024868608E-3</v>
      </c>
      <c r="O79" s="98">
        <f t="shared" si="178"/>
        <v>6.9180683667932627E-3</v>
      </c>
      <c r="P79" s="97">
        <f t="shared" si="178"/>
        <v>2.5519754297968232E-2</v>
      </c>
      <c r="Q79" s="96">
        <f t="shared" si="178"/>
        <v>7.7950450450450471E-3</v>
      </c>
      <c r="R79" s="97">
        <f t="shared" si="178"/>
        <v>9.0302131103317997E-3</v>
      </c>
      <c r="S79" s="97">
        <f t="shared" si="178"/>
        <v>1.0728314679294018E-2</v>
      </c>
      <c r="T79" s="98">
        <f t="shared" si="178"/>
        <v>1.2114872235037436E-2</v>
      </c>
      <c r="U79" s="97">
        <f t="shared" si="178"/>
        <v>3.9687135290421012E-2</v>
      </c>
      <c r="V79" s="96">
        <f t="shared" si="178"/>
        <v>1.2401058936784688E-2</v>
      </c>
      <c r="W79" s="97">
        <f t="shared" si="178"/>
        <v>1.2881351451382649E-2</v>
      </c>
      <c r="X79" s="97">
        <f t="shared" si="178"/>
        <v>1.3266263552960799E-2</v>
      </c>
      <c r="Y79" s="98">
        <f t="shared" si="178"/>
        <v>1.8474822382409373E-2</v>
      </c>
      <c r="Z79" s="97">
        <f t="shared" si="178"/>
        <v>5.7119945312089179E-2</v>
      </c>
      <c r="AA79" s="96">
        <f t="shared" si="178"/>
        <v>2.3846385562109811E-2</v>
      </c>
      <c r="AB79" s="97">
        <f t="shared" si="178"/>
        <v>2.7470586463487136E-2</v>
      </c>
      <c r="AC79" s="97">
        <f t="shared" si="178"/>
        <v>2.9177446173468732E-2</v>
      </c>
      <c r="AD79" s="98">
        <f t="shared" si="178"/>
        <v>3.6690913124782079E-2</v>
      </c>
      <c r="AE79" s="97">
        <f t="shared" si="178"/>
        <v>0.117548851951546</v>
      </c>
      <c r="AF79" s="96">
        <f t="shared" si="178"/>
        <v>3.9518118991854707E-2</v>
      </c>
      <c r="AG79" s="97">
        <f t="shared" si="178"/>
        <v>3.9052580354662421E-2</v>
      </c>
      <c r="AH79" s="97">
        <f t="shared" si="178"/>
        <v>4.4296974696090778E-2</v>
      </c>
      <c r="AI79" s="98">
        <f t="shared" si="178"/>
        <v>4.5867786243378603E-2</v>
      </c>
      <c r="AJ79" s="97">
        <f t="shared" si="178"/>
        <v>0.16893051872973638</v>
      </c>
      <c r="AK79" s="96">
        <f t="shared" si="178"/>
        <v>4.8605362251283674E-2</v>
      </c>
      <c r="AL79" s="97">
        <f t="shared" si="178"/>
        <v>5.888679478410256E-2</v>
      </c>
      <c r="AM79" s="97">
        <f t="shared" ref="AM79:BR79" si="179">AM75/AM$84</f>
        <v>6.2826711570136473E-2</v>
      </c>
      <c r="AN79" s="98">
        <f t="shared" si="179"/>
        <v>6.5311714146304864E-2</v>
      </c>
      <c r="AO79" s="97">
        <f t="shared" si="179"/>
        <v>0.23592802151661604</v>
      </c>
      <c r="AP79" s="96">
        <f t="shared" si="179"/>
        <v>7.4099484929689069E-2</v>
      </c>
      <c r="AQ79" s="97">
        <f t="shared" si="179"/>
        <v>7.8877234993885784E-2</v>
      </c>
      <c r="AR79" s="97">
        <f t="shared" si="179"/>
        <v>8.6516313057286603E-2</v>
      </c>
      <c r="AS79" s="98">
        <f t="shared" si="179"/>
        <v>9.267455817662508E-2</v>
      </c>
      <c r="AT79" s="97">
        <f t="shared" si="179"/>
        <v>0.33249066456570081</v>
      </c>
      <c r="AU79" s="96">
        <f t="shared" si="179"/>
        <v>9.6243582858984003E-2</v>
      </c>
      <c r="AV79" s="97">
        <f t="shared" si="179"/>
        <v>0.10975745684564044</v>
      </c>
      <c r="AW79" s="97">
        <f t="shared" si="179"/>
        <v>0.12284543474796837</v>
      </c>
      <c r="AX79" s="98">
        <f t="shared" si="179"/>
        <v>0.13340104632413521</v>
      </c>
      <c r="AY79" s="97">
        <f t="shared" si="179"/>
        <v>0.46258967396127298</v>
      </c>
      <c r="AZ79" s="96">
        <f t="shared" si="179"/>
        <v>0.14336629298400305</v>
      </c>
      <c r="BA79" s="97">
        <f t="shared" si="179"/>
        <v>0.15832613109803717</v>
      </c>
      <c r="BB79" s="97">
        <f t="shared" si="179"/>
        <v>0.17880943089318588</v>
      </c>
      <c r="BC79" s="98">
        <f t="shared" si="179"/>
        <v>0.18811936933042364</v>
      </c>
      <c r="BD79" s="97">
        <f t="shared" si="179"/>
        <v>0.66894681681733792</v>
      </c>
      <c r="BE79" s="96">
        <f t="shared" si="179"/>
        <v>0.19717417783191235</v>
      </c>
      <c r="BF79" s="97">
        <f t="shared" si="179"/>
        <v>0.2014771374033944</v>
      </c>
      <c r="BG79" s="97">
        <f t="shared" si="179"/>
        <v>0.20786847714533832</v>
      </c>
      <c r="BH79" s="98">
        <f t="shared" si="179"/>
        <v>0.20944050181795709</v>
      </c>
      <c r="BI79" s="97">
        <f t="shared" si="179"/>
        <v>0.81604599460225213</v>
      </c>
      <c r="BJ79" s="96">
        <f t="shared" si="179"/>
        <v>0.2094850538213317</v>
      </c>
      <c r="BK79" s="97">
        <f t="shared" si="179"/>
        <v>0.25593065537376386</v>
      </c>
      <c r="BL79" s="97">
        <f t="shared" si="179"/>
        <v>0.24728832951945082</v>
      </c>
      <c r="BM79" s="98">
        <f t="shared" si="179"/>
        <v>0.25762258036143193</v>
      </c>
      <c r="BN79" s="97">
        <f t="shared" si="179"/>
        <v>0.97059704265881153</v>
      </c>
      <c r="BO79" s="96">
        <f t="shared" si="179"/>
        <v>0.2728098427245414</v>
      </c>
      <c r="BP79" s="97">
        <f t="shared" si="179"/>
        <v>0.30345782939687688</v>
      </c>
      <c r="BQ79" s="97">
        <f t="shared" si="179"/>
        <v>0.35403558632758514</v>
      </c>
      <c r="BR79" s="98">
        <f t="shared" si="179"/>
        <v>0.35938886345597126</v>
      </c>
      <c r="BS79" s="97">
        <f t="shared" ref="BS79:CX79" si="180">BS75/BS$84</f>
        <v>1.2906725491304305</v>
      </c>
      <c r="BT79" s="96">
        <f t="shared" si="180"/>
        <v>0.36406295532510419</v>
      </c>
      <c r="BU79" s="97">
        <f t="shared" si="180"/>
        <v>0.3688676892913888</v>
      </c>
      <c r="BV79" s="97">
        <f t="shared" si="180"/>
        <v>0.40868648896846294</v>
      </c>
      <c r="BW79" s="98">
        <f t="shared" si="180"/>
        <v>0.42899164555454872</v>
      </c>
      <c r="BX79" s="97">
        <f t="shared" si="180"/>
        <v>1.5703397389185465</v>
      </c>
      <c r="BY79" s="96">
        <f t="shared" si="180"/>
        <v>0.44838156004060276</v>
      </c>
      <c r="BZ79" s="97">
        <f t="shared" si="180"/>
        <v>0.45251077839358084</v>
      </c>
      <c r="CA79" s="97">
        <f t="shared" si="180"/>
        <v>0.49667516000240769</v>
      </c>
      <c r="CB79" s="97">
        <f t="shared" si="180"/>
        <v>0.50047799648529545</v>
      </c>
      <c r="CC79" s="335">
        <f t="shared" si="180"/>
        <v>1.8975538101038534</v>
      </c>
      <c r="CD79" s="97">
        <f t="shared" si="180"/>
        <v>0.51561271343099646</v>
      </c>
      <c r="CE79" s="97">
        <f t="shared" si="180"/>
        <v>0.58533722279311828</v>
      </c>
      <c r="CF79" s="97">
        <f t="shared" si="180"/>
        <v>0.59516977641629554</v>
      </c>
      <c r="CG79" s="97">
        <f t="shared" si="180"/>
        <v>0.59497716864824535</v>
      </c>
      <c r="CH79" s="335">
        <f t="shared" si="180"/>
        <v>2.2911495760032055</v>
      </c>
      <c r="CI79" s="97">
        <f t="shared" si="180"/>
        <v>0.62527132114590356</v>
      </c>
      <c r="CJ79" s="97">
        <f t="shared" si="180"/>
        <v>0.66464914127788377</v>
      </c>
      <c r="CK79" s="97">
        <f t="shared" si="180"/>
        <v>0.6643991316789184</v>
      </c>
      <c r="CL79" s="97">
        <f t="shared" si="180"/>
        <v>0.67434691913235711</v>
      </c>
      <c r="CM79" s="335">
        <f t="shared" si="180"/>
        <v>2.6287010915501061</v>
      </c>
      <c r="CN79" s="97">
        <f t="shared" si="180"/>
        <v>0.72826607611548599</v>
      </c>
      <c r="CO79" s="97">
        <f t="shared" si="180"/>
        <v>0.79767174946712582</v>
      </c>
      <c r="CP79" s="97">
        <f t="shared" si="180"/>
        <v>0.76708278580814682</v>
      </c>
      <c r="CQ79" s="97">
        <f t="shared" si="180"/>
        <v>0.80302532061821774</v>
      </c>
      <c r="CR79" s="335">
        <f t="shared" si="180"/>
        <v>3.0961270727302579</v>
      </c>
      <c r="CS79" s="97">
        <f t="shared" si="180"/>
        <v>0.80707236842105212</v>
      </c>
      <c r="CT79" s="97">
        <f t="shared" si="180"/>
        <v>0.87411318264312809</v>
      </c>
      <c r="CU79" s="97">
        <f t="shared" si="180"/>
        <v>0.85945232596502774</v>
      </c>
      <c r="CV79" s="97">
        <f t="shared" si="180"/>
        <v>0.86985172981878089</v>
      </c>
      <c r="CW79" s="335">
        <f t="shared" si="180"/>
        <v>3.4093904448105428</v>
      </c>
      <c r="CX79" s="97">
        <f t="shared" si="180"/>
        <v>0.83525535420098851</v>
      </c>
      <c r="CY79" s="97">
        <f t="shared" ref="CY79:DL79" si="181">CY75/CY$84</f>
        <v>0.9303904923599321</v>
      </c>
      <c r="CZ79" s="97">
        <f>CZ75/CZ$84</f>
        <v>0.98644067796610169</v>
      </c>
      <c r="DA79" s="97">
        <f t="shared" si="181"/>
        <v>1.0339558573853991</v>
      </c>
      <c r="DB79" s="335">
        <f t="shared" si="181"/>
        <v>3.7827368421052632</v>
      </c>
      <c r="DC79" s="97">
        <f t="shared" si="181"/>
        <v>1.0549796334056298</v>
      </c>
      <c r="DD79" s="97">
        <f t="shared" si="181"/>
        <v>1.1135019254447203</v>
      </c>
      <c r="DE79" s="97">
        <f t="shared" si="181"/>
        <v>1.1540571240657371</v>
      </c>
      <c r="DF79" s="97">
        <f t="shared" si="181"/>
        <v>1.2146541013218173</v>
      </c>
      <c r="DG79" s="335">
        <f t="shared" si="181"/>
        <v>4.5365126604374764</v>
      </c>
      <c r="DH79" s="97">
        <f t="shared" si="181"/>
        <v>1.2253343258940144</v>
      </c>
      <c r="DI79" s="97">
        <f t="shared" si="181"/>
        <v>1.2802966694903783</v>
      </c>
      <c r="DJ79" s="97">
        <f t="shared" si="181"/>
        <v>1.3165143693408627</v>
      </c>
      <c r="DK79" s="97">
        <f t="shared" si="181"/>
        <v>1.3456364628599684</v>
      </c>
      <c r="DL79" s="335">
        <f t="shared" si="181"/>
        <v>5.1670217399282405</v>
      </c>
      <c r="DM79" s="97">
        <f t="shared" ref="DM79:DQ79" si="182">DM75/DM$84</f>
        <v>1.3421158571852023</v>
      </c>
      <c r="DN79" s="97">
        <f t="shared" si="182"/>
        <v>1.4009693761420159</v>
      </c>
      <c r="DO79" s="97">
        <f t="shared" si="182"/>
        <v>1.4432174269797673</v>
      </c>
      <c r="DP79" s="97">
        <f t="shared" si="182"/>
        <v>1.4720378131415566</v>
      </c>
      <c r="DQ79" s="335">
        <f t="shared" si="182"/>
        <v>5.6576049789327234</v>
      </c>
      <c r="DR79" s="96"/>
      <c r="DS79" s="97"/>
      <c r="DT79"/>
      <c r="DU79"/>
      <c r="DV79"/>
      <c r="DW79"/>
      <c r="DX79"/>
      <c r="DY79"/>
    </row>
    <row r="80" spans="1:129" s="443" customFormat="1" hidden="1" outlineLevel="1">
      <c r="A80" s="687"/>
      <c r="B80" s="688" t="s">
        <v>352</v>
      </c>
      <c r="C80" s="689"/>
      <c r="D80" s="689"/>
      <c r="E80" s="689"/>
      <c r="F80" s="689"/>
      <c r="G80" s="444">
        <f t="shared" ref="G80:AL80" si="183">G76/G$86</f>
        <v>2.1756135719174711E-3</v>
      </c>
      <c r="H80" s="445">
        <f t="shared" si="183"/>
        <v>3.0961011199405163E-3</v>
      </c>
      <c r="I80" s="445">
        <f t="shared" si="183"/>
        <v>3.7609288166790527E-3</v>
      </c>
      <c r="J80" s="446">
        <f t="shared" si="183"/>
        <v>5.5749022482893427E-3</v>
      </c>
      <c r="K80" s="444">
        <f t="shared" si="183"/>
        <v>1.5199842786310303E-2</v>
      </c>
      <c r="L80" s="444">
        <f t="shared" si="183"/>
        <v>5.9818052520206706E-3</v>
      </c>
      <c r="M80" s="445">
        <f t="shared" si="183"/>
        <v>5.5649939013765514E-3</v>
      </c>
      <c r="N80" s="445">
        <f t="shared" si="183"/>
        <v>6.2143651786955969E-3</v>
      </c>
      <c r="O80" s="446">
        <f t="shared" si="183"/>
        <v>6.4051039887471038E-3</v>
      </c>
      <c r="P80" s="445">
        <f t="shared" si="183"/>
        <v>2.4108123884081852E-2</v>
      </c>
      <c r="Q80" s="444">
        <f t="shared" si="183"/>
        <v>7.1436237842836155E-3</v>
      </c>
      <c r="R80" s="445">
        <f t="shared" si="183"/>
        <v>8.2961586121437381E-3</v>
      </c>
      <c r="S80" s="445">
        <f t="shared" si="183"/>
        <v>9.9147148043164744E-3</v>
      </c>
      <c r="T80" s="446">
        <f t="shared" si="183"/>
        <v>1.0987852543829755E-2</v>
      </c>
      <c r="U80" s="445">
        <f t="shared" si="183"/>
        <v>3.6373996182201135E-2</v>
      </c>
      <c r="V80" s="444">
        <f t="shared" si="183"/>
        <v>1.1460804665875846E-2</v>
      </c>
      <c r="W80" s="445">
        <f t="shared" si="183"/>
        <v>1.1905052775605945E-2</v>
      </c>
      <c r="X80" s="445">
        <f t="shared" si="183"/>
        <v>1.2405556909578357E-2</v>
      </c>
      <c r="Y80" s="446">
        <f t="shared" si="183"/>
        <v>1.3547212910011174E-2</v>
      </c>
      <c r="Z80" s="445">
        <f t="shared" si="183"/>
        <v>4.9324611784726656E-2</v>
      </c>
      <c r="AA80" s="444">
        <f t="shared" si="183"/>
        <v>1.4402116659373434E-2</v>
      </c>
      <c r="AB80" s="445">
        <f t="shared" si="183"/>
        <v>1.7111929074645767E-2</v>
      </c>
      <c r="AC80" s="445">
        <f t="shared" si="183"/>
        <v>1.8777290879990052E-2</v>
      </c>
      <c r="AD80" s="446">
        <f t="shared" si="183"/>
        <v>2.0587854707100214E-2</v>
      </c>
      <c r="AE80" s="445">
        <f t="shared" si="183"/>
        <v>7.1126340414174219E-2</v>
      </c>
      <c r="AF80" s="444">
        <f t="shared" si="183"/>
        <v>2.3083333333333338E-2</v>
      </c>
      <c r="AG80" s="445">
        <f t="shared" si="183"/>
        <v>2.5479702290191576E-2</v>
      </c>
      <c r="AH80" s="445">
        <f t="shared" si="183"/>
        <v>2.8878723835441943E-2</v>
      </c>
      <c r="AI80" s="446">
        <f t="shared" si="183"/>
        <v>3.1507302228352838E-2</v>
      </c>
      <c r="AJ80" s="445">
        <f t="shared" si="183"/>
        <v>0.10929469715935029</v>
      </c>
      <c r="AK80" s="444">
        <f t="shared" si="183"/>
        <v>3.4923615621381979E-2</v>
      </c>
      <c r="AL80" s="445">
        <f t="shared" si="183"/>
        <v>4.2151327533932137E-2</v>
      </c>
      <c r="AM80" s="445">
        <f t="shared" ref="AM80:BR80" si="184">AM76/AM$86</f>
        <v>4.5634489668654236E-2</v>
      </c>
      <c r="AN80" s="446">
        <f t="shared" si="184"/>
        <v>5.2875112309074594E-2</v>
      </c>
      <c r="AO80" s="445">
        <f t="shared" si="184"/>
        <v>0.17579582760459045</v>
      </c>
      <c r="AP80" s="444">
        <f t="shared" si="184"/>
        <v>5.4824065120935975E-2</v>
      </c>
      <c r="AQ80" s="445">
        <f t="shared" si="184"/>
        <v>6.1465398419695109E-2</v>
      </c>
      <c r="AR80" s="445">
        <f t="shared" si="184"/>
        <v>6.8887025481901912E-2</v>
      </c>
      <c r="AS80" s="446">
        <f t="shared" si="184"/>
        <v>9.7470660609502227E-2</v>
      </c>
      <c r="AT80" s="445">
        <f t="shared" si="184"/>
        <v>0.28296742571224343</v>
      </c>
      <c r="AU80" s="444">
        <f t="shared" si="184"/>
        <v>7.8946663631372427E-2</v>
      </c>
      <c r="AV80" s="445">
        <f t="shared" si="184"/>
        <v>9.1484321529905085E-2</v>
      </c>
      <c r="AW80" s="445">
        <f t="shared" si="184"/>
        <v>0.10114827079832012</v>
      </c>
      <c r="AX80" s="446">
        <f t="shared" si="184"/>
        <v>0.11469095971392002</v>
      </c>
      <c r="AY80" s="445">
        <f t="shared" si="184"/>
        <v>0.38654341732973801</v>
      </c>
      <c r="AZ80" s="444">
        <f t="shared" si="184"/>
        <v>0.12428669328799806</v>
      </c>
      <c r="BA80" s="445">
        <f t="shared" si="184"/>
        <v>0.13528084788735173</v>
      </c>
      <c r="BB80" s="445">
        <f t="shared" si="184"/>
        <v>0.15785516344676323</v>
      </c>
      <c r="BC80" s="446">
        <f t="shared" si="184"/>
        <v>0.15926087704668479</v>
      </c>
      <c r="BD80" s="445">
        <f t="shared" si="184"/>
        <v>0.57664867108266649</v>
      </c>
      <c r="BE80" s="444">
        <f t="shared" si="184"/>
        <v>0.17032656527961693</v>
      </c>
      <c r="BF80" s="445">
        <f t="shared" si="184"/>
        <v>0.17347961460852837</v>
      </c>
      <c r="BG80" s="445">
        <f t="shared" si="184"/>
        <v>0.18816897650139261</v>
      </c>
      <c r="BH80" s="446">
        <f t="shared" si="184"/>
        <v>0.18867493362906199</v>
      </c>
      <c r="BI80" s="445">
        <f t="shared" si="184"/>
        <v>0.72062119488860643</v>
      </c>
      <c r="BJ80" s="444">
        <f t="shared" si="184"/>
        <v>0.18982325088173219</v>
      </c>
      <c r="BK80" s="445">
        <f t="shared" si="184"/>
        <v>0.23599768772220595</v>
      </c>
      <c r="BL80" s="445">
        <f t="shared" si="184"/>
        <v>0.22567766754136098</v>
      </c>
      <c r="BM80" s="446">
        <f t="shared" si="184"/>
        <v>0.23637050046780317</v>
      </c>
      <c r="BN80" s="445">
        <f t="shared" si="184"/>
        <v>0.88830347209537874</v>
      </c>
      <c r="BO80" s="444">
        <f t="shared" si="184"/>
        <v>0.24701301750450005</v>
      </c>
      <c r="BP80" s="445">
        <f t="shared" si="184"/>
        <v>0.27906362342659491</v>
      </c>
      <c r="BQ80" s="445">
        <f t="shared" si="184"/>
        <v>0.32895106566457477</v>
      </c>
      <c r="BR80" s="446">
        <f t="shared" si="184"/>
        <v>0.33063160730781055</v>
      </c>
      <c r="BS80" s="445">
        <f t="shared" ref="BS80:CX80" si="185">BS76/BS$86</f>
        <v>1.1864319055952535</v>
      </c>
      <c r="BT80" s="444">
        <f t="shared" si="185"/>
        <v>0.33406830594958981</v>
      </c>
      <c r="BU80" s="445">
        <f t="shared" si="185"/>
        <v>0.33396526870362814</v>
      </c>
      <c r="BV80" s="445">
        <f t="shared" si="185"/>
        <v>0.36715357730595499</v>
      </c>
      <c r="BW80" s="446">
        <f t="shared" si="185"/>
        <v>0.38877267855465991</v>
      </c>
      <c r="BX80" s="445">
        <f t="shared" si="185"/>
        <v>1.4235784643838745</v>
      </c>
      <c r="BY80" s="444">
        <f t="shared" si="185"/>
        <v>0.39399207006287051</v>
      </c>
      <c r="BZ80" s="445">
        <f t="shared" si="185"/>
        <v>0.40987745911507673</v>
      </c>
      <c r="CA80" s="445">
        <f t="shared" si="185"/>
        <v>0.45673337028093403</v>
      </c>
      <c r="CB80" s="445">
        <f t="shared" si="185"/>
        <v>0.45885468616781427</v>
      </c>
      <c r="CC80" s="447">
        <f t="shared" si="185"/>
        <v>1.7185306397350444</v>
      </c>
      <c r="CD80" s="445">
        <f t="shared" si="185"/>
        <v>0.46564769182373478</v>
      </c>
      <c r="CE80" s="445">
        <f t="shared" si="185"/>
        <v>0.49337156671462234</v>
      </c>
      <c r="CF80" s="445">
        <f t="shared" si="185"/>
        <v>0.52522717936077556</v>
      </c>
      <c r="CG80" s="445">
        <f t="shared" si="185"/>
        <v>0.53094673703786144</v>
      </c>
      <c r="CH80" s="447">
        <f t="shared" si="185"/>
        <v>2.0151789024082194</v>
      </c>
      <c r="CI80" s="445">
        <f t="shared" si="185"/>
        <v>0.56922778215589231</v>
      </c>
      <c r="CJ80" s="445">
        <f t="shared" si="185"/>
        <v>0.60753199316520723</v>
      </c>
      <c r="CK80" s="445">
        <f t="shared" si="185"/>
        <v>0.58096820410276939</v>
      </c>
      <c r="CL80" s="445">
        <f t="shared" si="185"/>
        <v>0.59217131331066053</v>
      </c>
      <c r="CM80" s="447">
        <f t="shared" si="185"/>
        <v>2.3498805692836919</v>
      </c>
      <c r="CN80" s="445">
        <f t="shared" si="185"/>
        <v>0.62371721778791367</v>
      </c>
      <c r="CO80" s="445">
        <f t="shared" si="185"/>
        <v>0.6843134060921976</v>
      </c>
      <c r="CP80" s="445">
        <f t="shared" si="185"/>
        <v>0.64827811326913631</v>
      </c>
      <c r="CQ80" s="445">
        <f t="shared" si="185"/>
        <v>0.69115246490368942</v>
      </c>
      <c r="CR80" s="447">
        <f t="shared" si="185"/>
        <v>2.6473177890102728</v>
      </c>
      <c r="CS80" s="445">
        <f t="shared" si="185"/>
        <v>0.72098725073553405</v>
      </c>
      <c r="CT80" s="445">
        <f t="shared" si="185"/>
        <v>0.41458607095926414</v>
      </c>
      <c r="CU80" s="445">
        <f t="shared" si="185"/>
        <v>0.73032046014790464</v>
      </c>
      <c r="CV80" s="445">
        <f t="shared" si="185"/>
        <v>0.68308702791461418</v>
      </c>
      <c r="CW80" s="447">
        <f t="shared" si="185"/>
        <v>2.5473770491803274</v>
      </c>
      <c r="CX80" s="445">
        <f t="shared" si="185"/>
        <v>0.9176276771004942</v>
      </c>
      <c r="CY80" s="445">
        <f t="shared" ref="CY80:DL80" si="186">CY76/CY$86</f>
        <v>0.7952622673434856</v>
      </c>
      <c r="CZ80" s="445">
        <f>CZ76/CZ$86</f>
        <v>0.83614864864864868</v>
      </c>
      <c r="DA80" s="445">
        <f t="shared" si="186"/>
        <v>-3.0560271646859084E-2</v>
      </c>
      <c r="DB80" s="447">
        <f t="shared" si="186"/>
        <v>2.5277310924369747</v>
      </c>
      <c r="DC80" s="445">
        <f t="shared" si="186"/>
        <v>0.95610461179899275</v>
      </c>
      <c r="DD80" s="445">
        <f t="shared" si="186"/>
        <v>1.0108386990694473</v>
      </c>
      <c r="DE80" s="445">
        <f t="shared" si="186"/>
        <v>1.0487935106601767</v>
      </c>
      <c r="DF80" s="445">
        <f t="shared" si="186"/>
        <v>1.1073568413038182</v>
      </c>
      <c r="DG80" s="447">
        <f t="shared" si="186"/>
        <v>4.1224501083075094</v>
      </c>
      <c r="DH80" s="445">
        <f t="shared" si="186"/>
        <v>1.1173333205839258</v>
      </c>
      <c r="DI80" s="445">
        <f t="shared" si="186"/>
        <v>1.1679800636059539</v>
      </c>
      <c r="DJ80" s="445">
        <f t="shared" si="186"/>
        <v>1.2012016365408538</v>
      </c>
      <c r="DK80" s="445">
        <f t="shared" si="186"/>
        <v>1.2280829198911598</v>
      </c>
      <c r="DL80" s="447">
        <f t="shared" si="186"/>
        <v>4.7138984384776919</v>
      </c>
      <c r="DM80" s="445">
        <f t="shared" ref="DM80:DQ80" si="187">DM76/DM$86</f>
        <v>1.2236578871123296</v>
      </c>
      <c r="DN80" s="445">
        <f t="shared" si="187"/>
        <v>1.278112003392202</v>
      </c>
      <c r="DO80" s="445">
        <f t="shared" si="187"/>
        <v>1.3169522008138499</v>
      </c>
      <c r="DP80" s="445">
        <f t="shared" si="187"/>
        <v>1.3435147651174122</v>
      </c>
      <c r="DQ80" s="447">
        <f t="shared" si="187"/>
        <v>5.1615585592385518</v>
      </c>
      <c r="DR80" s="444"/>
      <c r="DS80" s="445"/>
      <c r="DT80"/>
      <c r="DU80"/>
      <c r="DV80"/>
      <c r="DW80"/>
      <c r="DX80"/>
      <c r="DY80"/>
    </row>
    <row r="81" spans="1:129" s="448" customFormat="1" collapsed="1">
      <c r="A81" s="690"/>
      <c r="B81" s="1004" t="s">
        <v>351</v>
      </c>
      <c r="C81" s="1005"/>
      <c r="D81" s="1005"/>
      <c r="E81" s="1005"/>
      <c r="F81" s="1005"/>
      <c r="G81" s="1006">
        <f t="shared" ref="G81:AL81" si="188">G75/G$86</f>
        <v>2.1756135719174711E-3</v>
      </c>
      <c r="H81" s="1007">
        <f t="shared" si="188"/>
        <v>3.0961011199405163E-3</v>
      </c>
      <c r="I81" s="1007">
        <f t="shared" si="188"/>
        <v>3.7609288166790527E-3</v>
      </c>
      <c r="J81" s="1008">
        <f t="shared" si="188"/>
        <v>5.5749022482893427E-3</v>
      </c>
      <c r="K81" s="1006">
        <f t="shared" si="188"/>
        <v>1.5199842786310303E-2</v>
      </c>
      <c r="L81" s="1006">
        <f t="shared" si="188"/>
        <v>5.9818052520206706E-3</v>
      </c>
      <c r="M81" s="1007">
        <f t="shared" si="188"/>
        <v>5.5649939013765514E-3</v>
      </c>
      <c r="N81" s="1007">
        <f t="shared" si="188"/>
        <v>6.2143651786955969E-3</v>
      </c>
      <c r="O81" s="1008">
        <f t="shared" si="188"/>
        <v>6.4051039887471038E-3</v>
      </c>
      <c r="P81" s="1007">
        <f t="shared" si="188"/>
        <v>2.4108123884081852E-2</v>
      </c>
      <c r="Q81" s="1006">
        <f t="shared" si="188"/>
        <v>7.1436237842836155E-3</v>
      </c>
      <c r="R81" s="1007">
        <f t="shared" si="188"/>
        <v>8.2961586121437381E-3</v>
      </c>
      <c r="S81" s="1007">
        <f t="shared" si="188"/>
        <v>9.9147148043164744E-3</v>
      </c>
      <c r="T81" s="1008">
        <f t="shared" si="188"/>
        <v>1.0987852543829755E-2</v>
      </c>
      <c r="U81" s="1007">
        <f t="shared" si="188"/>
        <v>3.6373996182201135E-2</v>
      </c>
      <c r="V81" s="1006">
        <f t="shared" si="188"/>
        <v>1.1460804665875846E-2</v>
      </c>
      <c r="W81" s="1007">
        <f t="shared" si="188"/>
        <v>1.1905052775605945E-2</v>
      </c>
      <c r="X81" s="1007">
        <f t="shared" si="188"/>
        <v>1.2405556909578357E-2</v>
      </c>
      <c r="Y81" s="1008">
        <f t="shared" si="188"/>
        <v>1.7563103924275288E-2</v>
      </c>
      <c r="Z81" s="1007">
        <f t="shared" si="188"/>
        <v>5.3323351823670907E-2</v>
      </c>
      <c r="AA81" s="1006">
        <f t="shared" si="188"/>
        <v>2.2452727982216973E-2</v>
      </c>
      <c r="AB81" s="1007">
        <f t="shared" si="188"/>
        <v>2.5545275195002097E-2</v>
      </c>
      <c r="AC81" s="1007">
        <f t="shared" si="188"/>
        <v>2.7016103486897387E-2</v>
      </c>
      <c r="AD81" s="1008">
        <f t="shared" si="188"/>
        <v>3.3890834761998424E-2</v>
      </c>
      <c r="AE81" s="1007">
        <f t="shared" si="188"/>
        <v>0.10933244686953883</v>
      </c>
      <c r="AF81" s="1006">
        <f t="shared" si="188"/>
        <v>3.6715326340326343E-2</v>
      </c>
      <c r="AG81" s="1007">
        <f t="shared" si="188"/>
        <v>3.6485883868090714E-2</v>
      </c>
      <c r="AH81" s="1007">
        <f t="shared" si="188"/>
        <v>4.0333895281638547E-2</v>
      </c>
      <c r="AI81" s="1008">
        <f t="shared" si="188"/>
        <v>4.1705043793680188E-2</v>
      </c>
      <c r="AJ81" s="1007">
        <f t="shared" si="188"/>
        <v>0.15549334440428142</v>
      </c>
      <c r="AK81" s="1006">
        <f t="shared" si="188"/>
        <v>4.4223220937986696E-2</v>
      </c>
      <c r="AL81" s="1007">
        <f t="shared" si="188"/>
        <v>5.4278520564188269E-2</v>
      </c>
      <c r="AM81" s="1007">
        <f t="shared" ref="AM81:BR81" si="189">AM75/AM$86</f>
        <v>5.7995885463462071E-2</v>
      </c>
      <c r="AN81" s="1008">
        <f t="shared" si="189"/>
        <v>6.0132006358421475E-2</v>
      </c>
      <c r="AO81" s="1007">
        <f t="shared" si="189"/>
        <v>0.21678646664090978</v>
      </c>
      <c r="AP81" s="1006">
        <f t="shared" si="189"/>
        <v>6.8339054256720475E-2</v>
      </c>
      <c r="AQ81" s="1007">
        <f t="shared" si="189"/>
        <v>7.3028476770442163E-2</v>
      </c>
      <c r="AR81" s="1007">
        <f t="shared" si="189"/>
        <v>8.0586273335168282E-2</v>
      </c>
      <c r="AS81" s="1008">
        <f t="shared" si="189"/>
        <v>8.6843711843711882E-2</v>
      </c>
      <c r="AT81" s="1007">
        <f t="shared" si="189"/>
        <v>0.30894843779046777</v>
      </c>
      <c r="AU81" s="1006">
        <f t="shared" si="189"/>
        <v>0.09</v>
      </c>
      <c r="AV81" s="1007">
        <f t="shared" si="189"/>
        <v>0.10249999999999999</v>
      </c>
      <c r="AW81" s="1007">
        <f t="shared" si="189"/>
        <v>0.11500000000000002</v>
      </c>
      <c r="AX81" s="1008">
        <f t="shared" si="189"/>
        <v>0.12500000000000003</v>
      </c>
      <c r="AY81" s="1007">
        <f t="shared" si="189"/>
        <v>0.43277337575218183</v>
      </c>
      <c r="AZ81" s="1006">
        <f t="shared" si="189"/>
        <v>0.13500000000000001</v>
      </c>
      <c r="BA81" s="1007">
        <f t="shared" si="189"/>
        <v>0.15000000000000002</v>
      </c>
      <c r="BB81" s="1007">
        <f t="shared" si="189"/>
        <v>0.17000000000000004</v>
      </c>
      <c r="BC81" s="1008">
        <f t="shared" si="189"/>
        <v>0.17999999999999997</v>
      </c>
      <c r="BD81" s="1007">
        <f t="shared" si="189"/>
        <v>0.6349302190761974</v>
      </c>
      <c r="BE81" s="1006">
        <f t="shared" si="189"/>
        <v>0.19000000000000003</v>
      </c>
      <c r="BF81" s="1007">
        <f t="shared" si="189"/>
        <v>0.19499999999999995</v>
      </c>
      <c r="BG81" s="1007">
        <f t="shared" si="189"/>
        <v>0.20200000000000004</v>
      </c>
      <c r="BH81" s="1008">
        <f t="shared" si="189"/>
        <v>0.20500000000000002</v>
      </c>
      <c r="BI81" s="1007">
        <f t="shared" si="189"/>
        <v>0.79197190071586265</v>
      </c>
      <c r="BJ81" s="1006">
        <f t="shared" si="189"/>
        <v>0.20500000000000002</v>
      </c>
      <c r="BK81" s="1007">
        <f t="shared" si="189"/>
        <v>0.25</v>
      </c>
      <c r="BL81" s="1007">
        <f t="shared" si="189"/>
        <v>0.24000000000000002</v>
      </c>
      <c r="BM81" s="1008">
        <f t="shared" si="189"/>
        <v>0.25</v>
      </c>
      <c r="BN81" s="1007">
        <f t="shared" si="189"/>
        <v>0.94541950749713566</v>
      </c>
      <c r="BO81" s="1006">
        <f t="shared" si="189"/>
        <v>0.26500000000000001</v>
      </c>
      <c r="BP81" s="1007">
        <f t="shared" si="189"/>
        <v>0.29500000000000004</v>
      </c>
      <c r="BQ81" s="1007">
        <f t="shared" si="189"/>
        <v>0.34499999999999997</v>
      </c>
      <c r="BR81" s="1008">
        <f t="shared" si="189"/>
        <v>0.35</v>
      </c>
      <c r="BS81" s="1007">
        <f t="shared" ref="BS81:CX81" si="190">BS75/BS$86</f>
        <v>1.2557855578594603</v>
      </c>
      <c r="BT81" s="1006">
        <f t="shared" si="190"/>
        <v>0.35500000000000004</v>
      </c>
      <c r="BU81" s="1007">
        <f t="shared" si="190"/>
        <v>0.36</v>
      </c>
      <c r="BV81" s="1007">
        <f t="shared" si="190"/>
        <v>0.4</v>
      </c>
      <c r="BW81" s="1008">
        <f t="shared" si="190"/>
        <v>0.42000000000000004</v>
      </c>
      <c r="BX81" s="1007">
        <f t="shared" si="190"/>
        <v>1.5345461268048113</v>
      </c>
      <c r="BY81" s="1006">
        <f t="shared" si="190"/>
        <v>0.44</v>
      </c>
      <c r="BZ81" s="1007">
        <f t="shared" si="190"/>
        <v>0.4449999999999999</v>
      </c>
      <c r="CA81" s="1007">
        <f t="shared" si="190"/>
        <v>0.4900000000000001</v>
      </c>
      <c r="CB81" s="1007">
        <f t="shared" si="190"/>
        <v>0.49499999999999994</v>
      </c>
      <c r="CC81" s="1009">
        <f t="shared" si="190"/>
        <v>1.8692016471534458</v>
      </c>
      <c r="CD81" s="1007">
        <f t="shared" si="190"/>
        <v>0.51</v>
      </c>
      <c r="CE81" s="1007">
        <f t="shared" si="190"/>
        <v>0.57999999999999996</v>
      </c>
      <c r="CF81" s="1007">
        <f t="shared" si="190"/>
        <v>0.59000000000000019</v>
      </c>
      <c r="CG81" s="1007">
        <f t="shared" si="190"/>
        <v>0.59000000000000008</v>
      </c>
      <c r="CH81" s="1009">
        <f t="shared" si="190"/>
        <v>2.2699240234753026</v>
      </c>
      <c r="CI81" s="1007">
        <f t="shared" si="190"/>
        <v>0.61999999999999988</v>
      </c>
      <c r="CJ81" s="1007">
        <f t="shared" si="190"/>
        <v>0.65999999999999992</v>
      </c>
      <c r="CK81" s="1007">
        <f t="shared" si="190"/>
        <v>0.65999999999999992</v>
      </c>
      <c r="CL81" s="1007">
        <f t="shared" si="190"/>
        <v>0.66999999999999982</v>
      </c>
      <c r="CM81" s="1009">
        <f t="shared" si="190"/>
        <v>2.6099758199739092</v>
      </c>
      <c r="CN81" s="1007">
        <f t="shared" si="190"/>
        <v>0.72316501058804417</v>
      </c>
      <c r="CO81" s="1007">
        <f t="shared" si="190"/>
        <v>0.79247434435575825</v>
      </c>
      <c r="CP81" s="1007">
        <f t="shared" si="190"/>
        <v>0.76220009792720689</v>
      </c>
      <c r="CQ81" s="1007">
        <f t="shared" si="190"/>
        <v>0.79725759059745349</v>
      </c>
      <c r="CR81" s="1009">
        <f t="shared" si="190"/>
        <v>3.0749241806619927</v>
      </c>
      <c r="CS81" s="1007">
        <f t="shared" si="190"/>
        <v>0.8020594965675053</v>
      </c>
      <c r="CT81" s="1007">
        <f t="shared" si="190"/>
        <v>0.87023653088042052</v>
      </c>
      <c r="CU81" s="1007">
        <f t="shared" si="190"/>
        <v>0.85620377978635975</v>
      </c>
      <c r="CV81" s="1007">
        <f t="shared" si="190"/>
        <v>0.86699507389162567</v>
      </c>
      <c r="CW81" s="1009">
        <f t="shared" si="190"/>
        <v>3.3926229508196712</v>
      </c>
      <c r="CX81" s="1007">
        <f t="shared" si="190"/>
        <v>0.83525535420098851</v>
      </c>
      <c r="CY81" s="1007">
        <f t="shared" ref="CY81:DL81" si="191">CY75/CY$86</f>
        <v>0.92724196277495774</v>
      </c>
      <c r="CZ81" s="1007">
        <f>CZ75/CZ$86</f>
        <v>0.98310810810810811</v>
      </c>
      <c r="DA81" s="1007">
        <f t="shared" si="191"/>
        <v>1.0339558573853991</v>
      </c>
      <c r="DB81" s="1009">
        <f>DB75/DB$86</f>
        <v>3.7747899159663865</v>
      </c>
      <c r="DC81" s="1007">
        <f t="shared" si="191"/>
        <v>1.0549796334056298</v>
      </c>
      <c r="DD81" s="1007">
        <f t="shared" si="191"/>
        <v>1.1135019254447203</v>
      </c>
      <c r="DE81" s="1007">
        <f t="shared" si="191"/>
        <v>1.1540571240657371</v>
      </c>
      <c r="DF81" s="1007">
        <f t="shared" si="191"/>
        <v>1.2146541013218173</v>
      </c>
      <c r="DG81" s="1009">
        <f t="shared" si="191"/>
        <v>4.5365126604374764</v>
      </c>
      <c r="DH81" s="1007">
        <f t="shared" si="191"/>
        <v>1.2253343258940144</v>
      </c>
      <c r="DI81" s="1007">
        <f t="shared" si="191"/>
        <v>1.2802966694903783</v>
      </c>
      <c r="DJ81" s="1007">
        <f t="shared" si="191"/>
        <v>1.3165143693408627</v>
      </c>
      <c r="DK81" s="1007">
        <f t="shared" si="191"/>
        <v>1.3456364628599684</v>
      </c>
      <c r="DL81" s="1009">
        <f t="shared" si="191"/>
        <v>5.1670217399282405</v>
      </c>
      <c r="DM81" s="1007">
        <f t="shared" ref="DM81:DQ81" si="192">DM75/DM$86</f>
        <v>1.3421158571852023</v>
      </c>
      <c r="DN81" s="1007">
        <f t="shared" si="192"/>
        <v>1.4009693761420159</v>
      </c>
      <c r="DO81" s="1007">
        <f t="shared" si="192"/>
        <v>1.4432174269797673</v>
      </c>
      <c r="DP81" s="1007">
        <f t="shared" si="192"/>
        <v>1.4720378131415566</v>
      </c>
      <c r="DQ81" s="1009">
        <f t="shared" si="192"/>
        <v>5.6576049789327234</v>
      </c>
      <c r="DR81" s="449"/>
      <c r="DS81" s="262"/>
      <c r="DT81"/>
      <c r="DU81"/>
      <c r="DV81"/>
      <c r="DW81"/>
      <c r="DX81"/>
      <c r="DY81"/>
    </row>
    <row r="82" spans="1:129" s="600" customFormat="1" hidden="1" outlineLevel="1">
      <c r="A82" s="690"/>
      <c r="B82" s="691"/>
      <c r="C82" s="692"/>
      <c r="D82" s="692"/>
      <c r="E82" s="692"/>
      <c r="F82" s="692"/>
      <c r="G82" s="601"/>
      <c r="H82" s="602"/>
      <c r="I82" s="602"/>
      <c r="J82" s="603"/>
      <c r="K82" s="601"/>
      <c r="L82" s="601"/>
      <c r="M82" s="602"/>
      <c r="N82" s="602"/>
      <c r="O82" s="603"/>
      <c r="P82" s="602"/>
      <c r="Q82" s="601"/>
      <c r="R82" s="602"/>
      <c r="S82" s="602"/>
      <c r="T82" s="603"/>
      <c r="U82" s="602"/>
      <c r="V82" s="601"/>
      <c r="W82" s="602"/>
      <c r="X82" s="602"/>
      <c r="Y82" s="603"/>
      <c r="Z82" s="602"/>
      <c r="AA82" s="601"/>
      <c r="AB82" s="602"/>
      <c r="AC82" s="602"/>
      <c r="AD82" s="603"/>
      <c r="AE82" s="602"/>
      <c r="AF82" s="601"/>
      <c r="AG82" s="602"/>
      <c r="AH82" s="602"/>
      <c r="AI82" s="603"/>
      <c r="AJ82" s="602"/>
      <c r="AK82" s="601"/>
      <c r="AL82" s="602"/>
      <c r="AM82" s="602"/>
      <c r="AN82" s="603"/>
      <c r="AO82" s="602"/>
      <c r="AP82" s="601"/>
      <c r="AQ82" s="602"/>
      <c r="AR82" s="602"/>
      <c r="AS82" s="603"/>
      <c r="AT82" s="589"/>
      <c r="AU82" s="588"/>
      <c r="AV82" s="589"/>
      <c r="AW82" s="589"/>
      <c r="AX82" s="590"/>
      <c r="AY82" s="589"/>
      <c r="AZ82" s="588"/>
      <c r="BA82" s="589"/>
      <c r="BB82" s="589"/>
      <c r="BC82" s="590"/>
      <c r="BD82" s="589"/>
      <c r="BE82" s="588"/>
      <c r="BF82" s="589"/>
      <c r="BG82" s="589"/>
      <c r="BH82" s="590"/>
      <c r="BI82" s="589"/>
      <c r="BJ82" s="588"/>
      <c r="BK82" s="589"/>
      <c r="BL82" s="589"/>
      <c r="BM82" s="590"/>
      <c r="BN82" s="589"/>
      <c r="BO82" s="588"/>
      <c r="BP82" s="589"/>
      <c r="BQ82" s="589"/>
      <c r="BR82" s="590"/>
      <c r="BS82" s="589"/>
      <c r="BT82" s="588"/>
      <c r="BU82" s="589"/>
      <c r="BV82" s="589"/>
      <c r="BW82" s="590"/>
      <c r="BX82" s="589"/>
      <c r="BY82" s="588"/>
      <c r="BZ82" s="589"/>
      <c r="CA82" s="589"/>
      <c r="CB82" s="589"/>
      <c r="CC82" s="739"/>
      <c r="CD82" s="589"/>
      <c r="CE82" s="589"/>
      <c r="CF82" s="589"/>
      <c r="CG82" s="589"/>
      <c r="CH82" s="739"/>
      <c r="CI82" s="589"/>
      <c r="CJ82" s="589"/>
      <c r="CK82" s="589"/>
      <c r="CL82" s="589"/>
      <c r="CM82" s="739"/>
      <c r="CN82" s="589"/>
      <c r="CO82" s="589"/>
      <c r="CP82" s="589"/>
      <c r="CQ82" s="589"/>
      <c r="CR82" s="739"/>
      <c r="CS82" s="589"/>
      <c r="CT82" s="589"/>
      <c r="CU82" s="602"/>
      <c r="CV82" s="589"/>
      <c r="CW82" s="739"/>
      <c r="CX82" s="589"/>
      <c r="CY82" s="602"/>
      <c r="CZ82" s="1033"/>
      <c r="DA82" s="602"/>
      <c r="DB82" s="855"/>
      <c r="DC82" s="602"/>
      <c r="DD82" s="602"/>
      <c r="DE82" s="602"/>
      <c r="DF82" s="602"/>
      <c r="DG82" s="855"/>
      <c r="DH82" s="602"/>
      <c r="DI82" s="602"/>
      <c r="DJ82" s="602"/>
      <c r="DK82" s="602"/>
      <c r="DL82" s="855"/>
      <c r="DM82" s="602"/>
      <c r="DN82" s="602"/>
      <c r="DO82" s="602"/>
      <c r="DP82" s="602"/>
      <c r="DQ82" s="855"/>
      <c r="DR82" s="601"/>
      <c r="DS82" s="77"/>
      <c r="DT82"/>
      <c r="DU82"/>
      <c r="DV82"/>
      <c r="DW82"/>
      <c r="DX82"/>
      <c r="DY82"/>
    </row>
    <row r="83" spans="1:129" s="38" customFormat="1" hidden="1" outlineLevel="1">
      <c r="A83" s="652"/>
      <c r="B83" s="653" t="s">
        <v>15</v>
      </c>
      <c r="C83" s="654"/>
      <c r="D83" s="654"/>
      <c r="E83" s="654"/>
      <c r="F83" s="654"/>
      <c r="G83" s="62">
        <f>(G84*2-(0.417+6.083)*24)</f>
        <v>478.94399999999996</v>
      </c>
      <c r="H83" s="61">
        <f>216*2</f>
        <v>432</v>
      </c>
      <c r="I83" s="61">
        <f>216.497088*2</f>
        <v>432.99417599999998</v>
      </c>
      <c r="J83" s="63">
        <f>219.6*2</f>
        <v>439.2</v>
      </c>
      <c r="K83" s="563">
        <f>J83</f>
        <v>439.2</v>
      </c>
      <c r="L83" s="62">
        <f>219.624*2</f>
        <v>439.24799999999999</v>
      </c>
      <c r="M83" s="61">
        <f>219.816*2</f>
        <v>439.63200000000001</v>
      </c>
      <c r="N83" s="61">
        <f>219.912*2</f>
        <v>439.82400000000001</v>
      </c>
      <c r="O83" s="63">
        <f>221.916*2</f>
        <v>443.83199999999999</v>
      </c>
      <c r="P83" s="564">
        <f>O83</f>
        <v>443.83199999999999</v>
      </c>
      <c r="Q83" s="62">
        <f>222.216*2</f>
        <v>444.43200000000002</v>
      </c>
      <c r="R83" s="61">
        <f>222.876*2</f>
        <v>445.75200000000001</v>
      </c>
      <c r="S83" s="61">
        <f>223.428*2</f>
        <v>446.85599999999999</v>
      </c>
      <c r="T83" s="63">
        <f>223.824*2</f>
        <v>447.64800000000002</v>
      </c>
      <c r="U83" s="564">
        <f>T83</f>
        <v>447.64800000000002</v>
      </c>
      <c r="V83" s="62">
        <f>225.18*2</f>
        <v>450.36</v>
      </c>
      <c r="W83" s="61">
        <f>228.78*2</f>
        <v>457.56</v>
      </c>
      <c r="X83" s="61">
        <f>231.024*2</f>
        <v>462.048</v>
      </c>
      <c r="Y83" s="63">
        <f>232.272*2</f>
        <v>464.54399999999998</v>
      </c>
      <c r="Z83" s="564">
        <f>Y83</f>
        <v>464.54399999999998</v>
      </c>
      <c r="AA83" s="62">
        <f>232.884*2</f>
        <v>465.76799999999997</v>
      </c>
      <c r="AB83" s="86">
        <f>236.496*2</f>
        <v>472.99200000000002</v>
      </c>
      <c r="AC83" s="86">
        <f>240.432*2</f>
        <v>480.86399999999998</v>
      </c>
      <c r="AD83" s="88">
        <f>245.04*2</f>
        <v>490.08</v>
      </c>
      <c r="AE83" s="564">
        <f>AD83</f>
        <v>490.08</v>
      </c>
      <c r="AF83" s="87">
        <f>246.112*2</f>
        <v>492.22399999999999</v>
      </c>
      <c r="AG83" s="86">
        <f>249.404*2</f>
        <v>498.80799999999999</v>
      </c>
      <c r="AH83" s="86">
        <f>254.56*2</f>
        <v>509.12</v>
      </c>
      <c r="AI83" s="88">
        <f>257.348*2</f>
        <v>514.69600000000003</v>
      </c>
      <c r="AJ83" s="564">
        <f>AI83</f>
        <v>514.69600000000003</v>
      </c>
      <c r="AK83" s="87">
        <f>258.596*2</f>
        <v>517.19200000000001</v>
      </c>
      <c r="AL83" s="86">
        <f>262.298*2</f>
        <v>524.596</v>
      </c>
      <c r="AM83" s="61">
        <f>265.11*2</f>
        <v>530.22</v>
      </c>
      <c r="AN83" s="63">
        <f>268.354*2</f>
        <v>536.70799999999997</v>
      </c>
      <c r="AO83" s="564">
        <f>AN83</f>
        <v>536.70799999999997</v>
      </c>
      <c r="AP83" s="62">
        <f>270.15*2</f>
        <v>540.29999999999995</v>
      </c>
      <c r="AQ83" s="61">
        <f>273.094*2</f>
        <v>546.18799999999999</v>
      </c>
      <c r="AR83" s="86">
        <f>276.38*2</f>
        <v>552.76</v>
      </c>
      <c r="AS83" s="88">
        <f>278.692*2</f>
        <v>557.38400000000001</v>
      </c>
      <c r="AT83" s="564">
        <f>AS83</f>
        <v>557.38400000000001</v>
      </c>
      <c r="AU83" s="87">
        <f>280.754*2</f>
        <v>561.50800000000004</v>
      </c>
      <c r="AV83" s="86">
        <f>281.772*2</f>
        <v>563.54399999999998</v>
      </c>
      <c r="AW83" s="86">
        <f>283.562*2</f>
        <v>567.12400000000002</v>
      </c>
      <c r="AX83" s="88">
        <f>285.026*2</f>
        <v>570.05200000000002</v>
      </c>
      <c r="AY83" s="564">
        <f>AX83</f>
        <v>570.05200000000002</v>
      </c>
      <c r="AZ83" s="87">
        <f>287.498*2</f>
        <v>574.99599999999998</v>
      </c>
      <c r="BA83" s="86">
        <f>289.206*2</f>
        <v>578.41200000000003</v>
      </c>
      <c r="BB83" s="86">
        <f>290.285*2</f>
        <v>580.57000000000005</v>
      </c>
      <c r="BC83" s="88">
        <f>288.012*2</f>
        <v>576.024</v>
      </c>
      <c r="BD83" s="564">
        <f>BC83</f>
        <v>576.024</v>
      </c>
      <c r="BE83" s="87">
        <f>288.821*2</f>
        <v>577.64200000000005</v>
      </c>
      <c r="BF83" s="86">
        <f>291.593*2</f>
        <v>583.18600000000004</v>
      </c>
      <c r="BG83" s="86">
        <f>291.184*2</f>
        <v>582.36800000000005</v>
      </c>
      <c r="BH83" s="88">
        <f>291.67*2</f>
        <v>583.34</v>
      </c>
      <c r="BI83" s="564">
        <f>BH83</f>
        <v>583.34</v>
      </c>
      <c r="BJ83" s="87">
        <f>291.997*2</f>
        <v>583.99400000000003</v>
      </c>
      <c r="BK83" s="86">
        <f>293.169*2</f>
        <v>586.33799999999997</v>
      </c>
      <c r="BL83" s="86">
        <f>294.65*2</f>
        <v>589.29999999999995</v>
      </c>
      <c r="BM83" s="88">
        <f>297.231*2</f>
        <v>594.46199999999999</v>
      </c>
      <c r="BN83" s="564">
        <f>BM83</f>
        <v>594.46199999999999</v>
      </c>
      <c r="BO83" s="87">
        <f>299.38*2</f>
        <v>598.76</v>
      </c>
      <c r="BP83" s="86">
        <f>300.802*2</f>
        <v>601.60400000000004</v>
      </c>
      <c r="BQ83" s="86">
        <f>303.354*2</f>
        <v>606.70799999999997</v>
      </c>
      <c r="BR83" s="88">
        <f>303.941*2</f>
        <v>607.88199999999995</v>
      </c>
      <c r="BS83" s="564">
        <f>BR83</f>
        <v>607.88199999999995</v>
      </c>
      <c r="BT83" s="87">
        <f>304.21*2</f>
        <v>608.41999999999996</v>
      </c>
      <c r="BU83" s="86">
        <f>303.608*2</f>
        <v>607.21600000000001</v>
      </c>
      <c r="BV83" s="86">
        <f>302.084*2</f>
        <v>604.16800000000001</v>
      </c>
      <c r="BW83" s="88">
        <f>303.106*2</f>
        <v>606.21199999999999</v>
      </c>
      <c r="BX83" s="564">
        <f>BW83</f>
        <v>606.21199999999999</v>
      </c>
      <c r="BY83" s="87">
        <f>304.423*2</f>
        <v>608.846</v>
      </c>
      <c r="BZ83" s="86">
        <f>299.252*2</f>
        <v>598.50400000000002</v>
      </c>
      <c r="CA83" s="86">
        <f>299.94*2</f>
        <v>599.88</v>
      </c>
      <c r="CB83" s="86">
        <f>301.68*2</f>
        <v>603.36</v>
      </c>
      <c r="CC83" s="562">
        <f>CB83</f>
        <v>603.36</v>
      </c>
      <c r="CD83" s="86">
        <f>302.485*2</f>
        <v>604.97</v>
      </c>
      <c r="CE83" s="86">
        <f>301.322*2</f>
        <v>602.64400000000001</v>
      </c>
      <c r="CF83" s="441">
        <f>302.369*2</f>
        <v>604.73800000000006</v>
      </c>
      <c r="CG83" s="86">
        <f>303.864*2</f>
        <v>607.72799999999995</v>
      </c>
      <c r="CH83" s="562">
        <f>CG83</f>
        <v>607.72799999999995</v>
      </c>
      <c r="CI83" s="86">
        <v>608.94000000000005</v>
      </c>
      <c r="CJ83" s="86">
        <v>609</v>
      </c>
      <c r="CK83" s="86">
        <v>609.20000000000005</v>
      </c>
      <c r="CL83" s="86">
        <v>610</v>
      </c>
      <c r="CM83" s="562">
        <f>CL83</f>
        <v>610</v>
      </c>
      <c r="CN83" s="560">
        <v>610.51700000000005</v>
      </c>
      <c r="CO83" s="560">
        <v>609.529</v>
      </c>
      <c r="CP83" s="560">
        <v>608.06799999999998</v>
      </c>
      <c r="CQ83" s="560">
        <v>609</v>
      </c>
      <c r="CR83" s="562">
        <f>CQ83</f>
        <v>609</v>
      </c>
      <c r="CS83" s="560">
        <v>606.20000000000005</v>
      </c>
      <c r="CT83" s="560">
        <v>607.29999999999995</v>
      </c>
      <c r="CU83" s="560">
        <v>606.6</v>
      </c>
      <c r="CV83" s="566">
        <v>607</v>
      </c>
      <c r="CW83" s="562">
        <f>CW93</f>
        <v>606.99999999999989</v>
      </c>
      <c r="CX83" s="566">
        <v>589</v>
      </c>
      <c r="CY83" s="560">
        <v>590</v>
      </c>
      <c r="CZ83" s="1065">
        <v>590</v>
      </c>
      <c r="DA83" s="566">
        <v>588</v>
      </c>
      <c r="DB83" s="562">
        <f>DB93</f>
        <v>587.99999999999989</v>
      </c>
      <c r="DC83" s="561">
        <f>DC93</f>
        <v>586.35132550506489</v>
      </c>
      <c r="DD83" s="561">
        <f t="shared" ref="DD83:DK83" si="193">DD93</f>
        <v>584.76183627991043</v>
      </c>
      <c r="DE83" s="561">
        <f t="shared" si="193"/>
        <v>583.2303718290508</v>
      </c>
      <c r="DF83" s="561">
        <f t="shared" si="193"/>
        <v>581.75579441181344</v>
      </c>
      <c r="DG83" s="562">
        <f t="shared" si="193"/>
        <v>581.75579441181344</v>
      </c>
      <c r="DH83" s="561">
        <f t="shared" si="193"/>
        <v>579.40746190299137</v>
      </c>
      <c r="DI83" s="561">
        <f t="shared" si="193"/>
        <v>577.13203344853605</v>
      </c>
      <c r="DJ83" s="561">
        <f t="shared" si="193"/>
        <v>574.92807955718524</v>
      </c>
      <c r="DK83" s="561">
        <f t="shared" si="193"/>
        <v>572.79419876691736</v>
      </c>
      <c r="DL83" s="562">
        <f>DL93</f>
        <v>572.79419876691748</v>
      </c>
      <c r="DM83" s="561">
        <f t="shared" ref="DM83:DP83" si="194">DM93</f>
        <v>570.72901709535824</v>
      </c>
      <c r="DN83" s="561">
        <f t="shared" si="194"/>
        <v>568.73118750096455</v>
      </c>
      <c r="DO83" s="561">
        <f t="shared" si="194"/>
        <v>566.7993893547723</v>
      </c>
      <c r="DP83" s="561">
        <f t="shared" si="194"/>
        <v>564.93232792250308</v>
      </c>
      <c r="DQ83" s="562">
        <f>DQ93</f>
        <v>564.93232792250342</v>
      </c>
      <c r="DR83" s="563"/>
      <c r="DS83" s="33"/>
      <c r="DT83"/>
      <c r="DU83"/>
      <c r="DV83"/>
      <c r="DW83"/>
      <c r="DX83"/>
      <c r="DY83"/>
    </row>
    <row r="84" spans="1:129" s="38" customFormat="1" hidden="1" outlineLevel="1">
      <c r="A84" s="652"/>
      <c r="B84" s="653" t="s">
        <v>16</v>
      </c>
      <c r="C84" s="654"/>
      <c r="D84" s="654"/>
      <c r="E84" s="654"/>
      <c r="F84" s="654"/>
      <c r="G84" s="62">
        <v>317.47199999999998</v>
      </c>
      <c r="H84" s="61">
        <v>333.26400000000001</v>
      </c>
      <c r="I84" s="61">
        <v>437.80799999999999</v>
      </c>
      <c r="J84" s="63">
        <v>436.51200000000017</v>
      </c>
      <c r="K84" s="370">
        <v>381.26400000000001</v>
      </c>
      <c r="L84" s="62">
        <v>439.24799999999999</v>
      </c>
      <c r="M84" s="61">
        <v>439.51199999999994</v>
      </c>
      <c r="N84" s="61">
        <v>439.75200000000001</v>
      </c>
      <c r="O84" s="63">
        <v>442.32</v>
      </c>
      <c r="P84" s="371">
        <v>440.20799999999997</v>
      </c>
      <c r="Q84" s="62">
        <v>444</v>
      </c>
      <c r="R84" s="61">
        <v>444.84</v>
      </c>
      <c r="S84" s="61">
        <v>446.01599999999996</v>
      </c>
      <c r="T84" s="63">
        <v>447.38400000000024</v>
      </c>
      <c r="U84" s="371">
        <v>445.56000000000006</v>
      </c>
      <c r="V84" s="62">
        <v>448.75200000000001</v>
      </c>
      <c r="W84" s="61">
        <v>453.91200000000003</v>
      </c>
      <c r="X84" s="61">
        <v>460.41600000000005</v>
      </c>
      <c r="Y84" s="63">
        <v>462.79200000000003</v>
      </c>
      <c r="Z84" s="371">
        <v>456.40800000000002</v>
      </c>
      <c r="AA84" s="62">
        <v>464.76</v>
      </c>
      <c r="AB84" s="61">
        <v>469.904</v>
      </c>
      <c r="AC84" s="61">
        <v>476.68799999999999</v>
      </c>
      <c r="AD84" s="63">
        <v>485.4</v>
      </c>
      <c r="AE84" s="371">
        <v>473.928</v>
      </c>
      <c r="AF84" s="62">
        <v>490.55200000000002</v>
      </c>
      <c r="AG84" s="61">
        <v>495.084</v>
      </c>
      <c r="AH84" s="61">
        <v>503.21199999999999</v>
      </c>
      <c r="AI84" s="63">
        <v>511.512</v>
      </c>
      <c r="AJ84" s="371">
        <v>500.04399999999998</v>
      </c>
      <c r="AK84" s="62">
        <v>515.524</v>
      </c>
      <c r="AL84" s="61">
        <v>520.46799999999996</v>
      </c>
      <c r="AM84" s="61">
        <v>526.98800000000006</v>
      </c>
      <c r="AN84" s="63">
        <v>532.86</v>
      </c>
      <c r="AO84" s="371">
        <v>523.96</v>
      </c>
      <c r="AP84" s="62">
        <v>537.94000000000005</v>
      </c>
      <c r="AQ84" s="61">
        <v>542.74800000000005</v>
      </c>
      <c r="AR84" s="61">
        <v>548.74400000000003</v>
      </c>
      <c r="AS84" s="63">
        <v>554.46799999999996</v>
      </c>
      <c r="AT84" s="371">
        <v>545.976</v>
      </c>
      <c r="AU84" s="62">
        <v>558.66</v>
      </c>
      <c r="AV84" s="61">
        <v>562.16800000000001</v>
      </c>
      <c r="AW84" s="61">
        <v>564.80999999999995</v>
      </c>
      <c r="AX84" s="63">
        <v>568.08399999999995</v>
      </c>
      <c r="AY84" s="371">
        <v>563.42999999999995</v>
      </c>
      <c r="AZ84" s="62">
        <v>571.60799999999995</v>
      </c>
      <c r="BA84" s="61">
        <v>576.21</v>
      </c>
      <c r="BB84" s="61">
        <v>579.11800000000005</v>
      </c>
      <c r="BC84" s="63">
        <v>578.30600000000004</v>
      </c>
      <c r="BD84" s="371">
        <v>576.30999999999995</v>
      </c>
      <c r="BE84" s="62">
        <v>576.34199999999998</v>
      </c>
      <c r="BF84" s="61">
        <v>579.41800000000001</v>
      </c>
      <c r="BG84" s="61">
        <v>582.68200000000002</v>
      </c>
      <c r="BH84" s="63">
        <v>582.52200000000005</v>
      </c>
      <c r="BI84" s="371">
        <v>580.24199999999996</v>
      </c>
      <c r="BJ84" s="62">
        <v>583.226</v>
      </c>
      <c r="BK84" s="61">
        <v>584.67399999999998</v>
      </c>
      <c r="BL84" s="61">
        <v>587.32799999999997</v>
      </c>
      <c r="BM84" s="63">
        <v>591.20399999999995</v>
      </c>
      <c r="BN84" s="371">
        <v>586.60799999999995</v>
      </c>
      <c r="BO84" s="62">
        <v>595.77</v>
      </c>
      <c r="BP84" s="61">
        <v>599.77800000000002</v>
      </c>
      <c r="BQ84" s="61">
        <v>603.43399999999997</v>
      </c>
      <c r="BR84" s="63">
        <v>607.26199999999994</v>
      </c>
      <c r="BS84" s="371">
        <v>601.56200000000001</v>
      </c>
      <c r="BT84" s="62">
        <v>608.08199999999999</v>
      </c>
      <c r="BU84" s="61">
        <v>607.97799999999995</v>
      </c>
      <c r="BV84" s="61">
        <v>605.44600000000003</v>
      </c>
      <c r="BW84" s="63">
        <v>604.70799999999997</v>
      </c>
      <c r="BX84" s="371">
        <v>606.55399999999997</v>
      </c>
      <c r="BY84" s="62">
        <v>606.85599999999999</v>
      </c>
      <c r="BZ84" s="61">
        <v>604.45000000000005</v>
      </c>
      <c r="CA84" s="61">
        <v>598.11599999999999</v>
      </c>
      <c r="CB84" s="61">
        <v>600.904</v>
      </c>
      <c r="CC84" s="854">
        <v>602.58199999999999</v>
      </c>
      <c r="CD84" s="61">
        <v>603.70799999999997</v>
      </c>
      <c r="CE84" s="61">
        <v>603.34</v>
      </c>
      <c r="CF84" s="61">
        <v>603.26400000000001</v>
      </c>
      <c r="CG84" s="441">
        <v>605.74599999999998</v>
      </c>
      <c r="CH84" s="845">
        <v>604.01400000000001</v>
      </c>
      <c r="CI84" s="441">
        <f>607.73</f>
        <v>607.73</v>
      </c>
      <c r="CJ84" s="61">
        <v>607.88</v>
      </c>
      <c r="CK84" s="61">
        <v>608.07000000000005</v>
      </c>
      <c r="CL84" s="441">
        <v>608.822</v>
      </c>
      <c r="CM84" s="845">
        <v>608.12599999999998</v>
      </c>
      <c r="CN84" s="594">
        <v>609.6</v>
      </c>
      <c r="CO84" s="565">
        <v>609.9</v>
      </c>
      <c r="CP84" s="565">
        <v>608.79999999999995</v>
      </c>
      <c r="CQ84" s="594">
        <v>608.20000000000005</v>
      </c>
      <c r="CR84" s="845">
        <v>609.1</v>
      </c>
      <c r="CS84" s="594">
        <v>608</v>
      </c>
      <c r="CT84" s="565">
        <v>606.1</v>
      </c>
      <c r="CU84" s="565">
        <v>606.20000000000005</v>
      </c>
      <c r="CV84" s="594">
        <v>607</v>
      </c>
      <c r="CW84" s="845">
        <v>607</v>
      </c>
      <c r="CX84" s="594">
        <v>607</v>
      </c>
      <c r="CY84" s="594">
        <v>589</v>
      </c>
      <c r="CZ84" s="1065">
        <v>590</v>
      </c>
      <c r="DA84" s="1065">
        <v>589</v>
      </c>
      <c r="DB84" s="369">
        <f>AVERAGE(CX84:DA84)</f>
        <v>593.75</v>
      </c>
      <c r="DC84" s="561">
        <f>DA84+SUM(DC90:DC92)</f>
        <v>587.35132550506489</v>
      </c>
      <c r="DD84" s="561">
        <f>DC84+SUM(DD90:DD92)</f>
        <v>585.76183627991043</v>
      </c>
      <c r="DE84" s="561">
        <f>DD84+SUM(DE90:DE92)</f>
        <v>584.2303718290508</v>
      </c>
      <c r="DF84" s="561">
        <f>DE84+SUM(DF90:DF92)</f>
        <v>582.75579441181344</v>
      </c>
      <c r="DG84" s="369">
        <f>AVERAGE(DC84:DF84)</f>
        <v>585.02483200645986</v>
      </c>
      <c r="DH84" s="561">
        <f>DF84+SUM(DH90:DH92)</f>
        <v>580.40746190299137</v>
      </c>
      <c r="DI84" s="561">
        <f>DH84+SUM(DI90:DI92)</f>
        <v>578.13203344853605</v>
      </c>
      <c r="DJ84" s="561">
        <f>DI84+SUM(DJ90:DJ92)</f>
        <v>575.92807955718536</v>
      </c>
      <c r="DK84" s="561">
        <f>DJ84+SUM(DK90:DK92)</f>
        <v>573.79419876691759</v>
      </c>
      <c r="DL84" s="369">
        <f>AVERAGE(DH84:DK84)</f>
        <v>577.06544341890753</v>
      </c>
      <c r="DM84" s="561">
        <f>DK84+SUM(DM90:DM92)</f>
        <v>571.72901709535859</v>
      </c>
      <c r="DN84" s="561">
        <f>DM84+SUM(DN90:DN92)</f>
        <v>569.73118750096501</v>
      </c>
      <c r="DO84" s="561">
        <f>DN84+SUM(DO90:DO92)</f>
        <v>567.79938935477287</v>
      </c>
      <c r="DP84" s="561">
        <f>DO84+SUM(DP90:DP92)</f>
        <v>565.93232792250365</v>
      </c>
      <c r="DQ84" s="369">
        <f>AVERAGE(DM84:DP84)</f>
        <v>568.79798046840006</v>
      </c>
      <c r="DR84" s="563"/>
      <c r="DS84" s="33"/>
      <c r="DT84"/>
      <c r="DU84"/>
      <c r="DV84"/>
      <c r="DW84"/>
      <c r="DX84"/>
      <c r="DY84"/>
    </row>
    <row r="85" spans="1:129" s="949" customFormat="1" hidden="1" outlineLevel="1">
      <c r="A85" s="945"/>
      <c r="B85" s="946" t="s">
        <v>131</v>
      </c>
      <c r="C85" s="947"/>
      <c r="D85" s="947"/>
      <c r="E85" s="947"/>
      <c r="F85" s="947"/>
      <c r="G85" s="455">
        <f t="shared" ref="G85:AL85" si="195">G86/G84</f>
        <v>1.0308436649531298</v>
      </c>
      <c r="H85" s="437">
        <f t="shared" si="195"/>
        <v>1.0331268903932016</v>
      </c>
      <c r="I85" s="437">
        <f t="shared" si="195"/>
        <v>1.0324525819537331</v>
      </c>
      <c r="J85" s="457">
        <f t="shared" si="195"/>
        <v>1.0499230261711014</v>
      </c>
      <c r="K85" s="437">
        <f t="shared" si="195"/>
        <v>1.0410424272944732</v>
      </c>
      <c r="L85" s="455">
        <f t="shared" si="195"/>
        <v>1.050049174953557</v>
      </c>
      <c r="M85" s="437">
        <f t="shared" si="195"/>
        <v>1.0446131163654235</v>
      </c>
      <c r="N85" s="437">
        <f t="shared" si="195"/>
        <v>1.0465535119794791</v>
      </c>
      <c r="O85" s="437">
        <f t="shared" si="195"/>
        <v>1.0800868149755833</v>
      </c>
      <c r="P85" s="437">
        <f t="shared" si="195"/>
        <v>1.0585541380438339</v>
      </c>
      <c r="Q85" s="455">
        <f t="shared" si="195"/>
        <v>1.0911891891891894</v>
      </c>
      <c r="R85" s="437">
        <f t="shared" si="195"/>
        <v>1.0884812516859994</v>
      </c>
      <c r="S85" s="437">
        <f t="shared" si="195"/>
        <v>1.0820598364184246</v>
      </c>
      <c r="T85" s="457">
        <f t="shared" si="195"/>
        <v>1.102569604634944</v>
      </c>
      <c r="U85" s="437">
        <f t="shared" si="195"/>
        <v>1.0910853757069754</v>
      </c>
      <c r="V85" s="437">
        <f t="shared" si="195"/>
        <v>1.0820408599850251</v>
      </c>
      <c r="W85" s="437">
        <f t="shared" si="195"/>
        <v>1.0820070850737586</v>
      </c>
      <c r="X85" s="437">
        <f t="shared" si="195"/>
        <v>1.0693807339449541</v>
      </c>
      <c r="Y85" s="457">
        <f t="shared" si="195"/>
        <v>1.0519110096976609</v>
      </c>
      <c r="Z85" s="437">
        <f t="shared" si="195"/>
        <v>1.0711994531208917</v>
      </c>
      <c r="AA85" s="437">
        <f t="shared" si="195"/>
        <v>1.0620707461915828</v>
      </c>
      <c r="AB85" s="437">
        <f t="shared" si="195"/>
        <v>1.0753685859239335</v>
      </c>
      <c r="AC85" s="437">
        <f t="shared" si="195"/>
        <v>1.0800020138958817</v>
      </c>
      <c r="AD85" s="437">
        <f t="shared" si="195"/>
        <v>1.0826205191594562</v>
      </c>
      <c r="AE85" s="437">
        <f t="shared" si="195"/>
        <v>1.075150655795817</v>
      </c>
      <c r="AF85" s="455">
        <f t="shared" si="195"/>
        <v>1.0763384921476213</v>
      </c>
      <c r="AG85" s="437">
        <f t="shared" si="195"/>
        <v>1.0703476581751785</v>
      </c>
      <c r="AH85" s="437">
        <f t="shared" si="195"/>
        <v>1.0982567983275437</v>
      </c>
      <c r="AI85" s="437">
        <f t="shared" si="195"/>
        <v>1.0998138851092447</v>
      </c>
      <c r="AJ85" s="437">
        <f t="shared" si="195"/>
        <v>1.0864163953572086</v>
      </c>
      <c r="AK85" s="455">
        <f t="shared" si="195"/>
        <v>1.0990914099052613</v>
      </c>
      <c r="AL85" s="437">
        <f t="shared" si="195"/>
        <v>1.0849005126155691</v>
      </c>
      <c r="AM85" s="437">
        <f t="shared" ref="AM85:BR85" si="196">AM86/AM84</f>
        <v>1.083296014330497</v>
      </c>
      <c r="AN85" s="457">
        <f t="shared" si="196"/>
        <v>1.086138948316631</v>
      </c>
      <c r="AO85" s="437">
        <f t="shared" si="196"/>
        <v>1.0882968165508817</v>
      </c>
      <c r="AP85" s="437">
        <f t="shared" si="196"/>
        <v>1.0842919284678587</v>
      </c>
      <c r="AQ85" s="437">
        <f t="shared" si="196"/>
        <v>1.0800887336296034</v>
      </c>
      <c r="AR85" s="437">
        <f t="shared" si="196"/>
        <v>1.0735862259997375</v>
      </c>
      <c r="AS85" s="457">
        <f t="shared" si="196"/>
        <v>1.0671418368598369</v>
      </c>
      <c r="AT85" s="437">
        <f t="shared" si="196"/>
        <v>1.0762011516989758</v>
      </c>
      <c r="AU85" s="437">
        <f t="shared" si="196"/>
        <v>1.0693731428776001</v>
      </c>
      <c r="AV85" s="437">
        <f t="shared" si="196"/>
        <v>1.0708044570306385</v>
      </c>
      <c r="AW85" s="437">
        <f t="shared" si="196"/>
        <v>1.068221171721464</v>
      </c>
      <c r="AX85" s="437">
        <f t="shared" si="196"/>
        <v>1.0672083705930815</v>
      </c>
      <c r="AY85" s="437">
        <f t="shared" si="196"/>
        <v>1.0688958699394779</v>
      </c>
      <c r="AZ85" s="455">
        <f t="shared" si="196"/>
        <v>1.0619725406222449</v>
      </c>
      <c r="BA85" s="437">
        <f t="shared" si="196"/>
        <v>1.055507540653581</v>
      </c>
      <c r="BB85" s="437">
        <f t="shared" si="196"/>
        <v>1.0518201817246227</v>
      </c>
      <c r="BC85" s="437">
        <f t="shared" si="196"/>
        <v>1.0451076073912426</v>
      </c>
      <c r="BD85" s="437">
        <f t="shared" si="196"/>
        <v>1.0535753327202375</v>
      </c>
      <c r="BE85" s="455">
        <f t="shared" si="196"/>
        <v>1.0377588306942753</v>
      </c>
      <c r="BF85" s="437">
        <f t="shared" si="196"/>
        <v>1.0332160892481765</v>
      </c>
      <c r="BG85" s="437">
        <f t="shared" si="196"/>
        <v>1.0290518670561302</v>
      </c>
      <c r="BH85" s="457">
        <f t="shared" si="196"/>
        <v>1.0216609844778393</v>
      </c>
      <c r="BI85" s="437">
        <f t="shared" si="196"/>
        <v>1.0303976616653052</v>
      </c>
      <c r="BJ85" s="437">
        <f t="shared" si="196"/>
        <v>1.0218783113235692</v>
      </c>
      <c r="BK85" s="437">
        <f t="shared" si="196"/>
        <v>1.0237226214950554</v>
      </c>
      <c r="BL85" s="437">
        <f t="shared" si="196"/>
        <v>1.0303680396643784</v>
      </c>
      <c r="BM85" s="457">
        <f t="shared" si="196"/>
        <v>1.0304903214457277</v>
      </c>
      <c r="BN85" s="437">
        <f t="shared" si="196"/>
        <v>1.0266310721981291</v>
      </c>
      <c r="BO85" s="437">
        <f t="shared" si="196"/>
        <v>1.0294711046209108</v>
      </c>
      <c r="BP85" s="437">
        <f t="shared" si="196"/>
        <v>1.0286706081250063</v>
      </c>
      <c r="BQ85" s="437">
        <f t="shared" si="196"/>
        <v>1.0261901052973483</v>
      </c>
      <c r="BR85" s="437">
        <f t="shared" si="196"/>
        <v>1.0268253241599179</v>
      </c>
      <c r="BS85" s="437">
        <f t="shared" ref="BS85:CX85" si="197">BS86/BS84</f>
        <v>1.0277810101036966</v>
      </c>
      <c r="BT85" s="455">
        <f t="shared" si="197"/>
        <v>1.0255294516200117</v>
      </c>
      <c r="BU85" s="437">
        <f t="shared" si="197"/>
        <v>1.0246324702538578</v>
      </c>
      <c r="BV85" s="437">
        <f t="shared" si="197"/>
        <v>1.0217162224211573</v>
      </c>
      <c r="BW85" s="437">
        <f t="shared" si="197"/>
        <v>1.0214086798917825</v>
      </c>
      <c r="BX85" s="437">
        <f t="shared" si="197"/>
        <v>1.0233252109457691</v>
      </c>
      <c r="BY85" s="455">
        <f t="shared" si="197"/>
        <v>1.0190490000922789</v>
      </c>
      <c r="BZ85" s="437">
        <f t="shared" si="197"/>
        <v>1.0168781536934404</v>
      </c>
      <c r="CA85" s="437">
        <f t="shared" si="197"/>
        <v>1.0136227755151175</v>
      </c>
      <c r="CB85" s="437">
        <f t="shared" si="197"/>
        <v>1.0110666595662534</v>
      </c>
      <c r="CC85" s="754">
        <f t="shared" si="197"/>
        <v>1.01516806011464</v>
      </c>
      <c r="CD85" s="437">
        <f t="shared" si="197"/>
        <v>1.0110053204529341</v>
      </c>
      <c r="CE85" s="437">
        <f t="shared" si="197"/>
        <v>1.009202108263997</v>
      </c>
      <c r="CF85" s="437">
        <f t="shared" si="197"/>
        <v>1.008762332908975</v>
      </c>
      <c r="CG85" s="437">
        <f t="shared" si="197"/>
        <v>1.0084358790648227</v>
      </c>
      <c r="CH85" s="754">
        <f t="shared" si="197"/>
        <v>1.0093507766376277</v>
      </c>
      <c r="CI85" s="437">
        <f t="shared" si="197"/>
        <v>1.0085021308804898</v>
      </c>
      <c r="CJ85" s="437">
        <f t="shared" si="197"/>
        <v>1.0070441534513392</v>
      </c>
      <c r="CK85" s="437">
        <f t="shared" si="197"/>
        <v>1.0066653510286645</v>
      </c>
      <c r="CL85" s="437">
        <f t="shared" si="197"/>
        <v>1.0064879390035184</v>
      </c>
      <c r="CM85" s="754">
        <f t="shared" si="197"/>
        <v>1.0071745000213772</v>
      </c>
      <c r="CN85" s="437">
        <f t="shared" si="197"/>
        <v>1.0070538057742782</v>
      </c>
      <c r="CO85" s="437">
        <f t="shared" si="197"/>
        <v>1.0065584522052795</v>
      </c>
      <c r="CP85" s="437">
        <f t="shared" si="197"/>
        <v>1.0064060446780554</v>
      </c>
      <c r="CQ85" s="437">
        <f t="shared" si="197"/>
        <v>1.0072344623479119</v>
      </c>
      <c r="CR85" s="754">
        <f t="shared" si="197"/>
        <v>1.0068954194713511</v>
      </c>
      <c r="CS85" s="437">
        <f t="shared" si="197"/>
        <v>1.0062499999999999</v>
      </c>
      <c r="CT85" s="437">
        <f t="shared" si="197"/>
        <v>1.0044547104438211</v>
      </c>
      <c r="CU85" s="437">
        <f t="shared" si="197"/>
        <v>1.0037941273507092</v>
      </c>
      <c r="CV85" s="437">
        <f t="shared" si="197"/>
        <v>1.0032948929159802</v>
      </c>
      <c r="CW85" s="754">
        <f t="shared" si="197"/>
        <v>1.0049423393739703</v>
      </c>
      <c r="CX85" s="64">
        <f t="shared" si="197"/>
        <v>1</v>
      </c>
      <c r="CY85" s="64">
        <f t="shared" ref="CY85:DA85" si="198">CY86/CY84</f>
        <v>1.0033955857385399</v>
      </c>
      <c r="CZ85" s="64">
        <f t="shared" si="198"/>
        <v>1.0033898305084745</v>
      </c>
      <c r="DA85" s="64">
        <f t="shared" si="198"/>
        <v>1</v>
      </c>
      <c r="DB85" s="738">
        <f>DB86/DB84</f>
        <v>1.0021052631578948</v>
      </c>
      <c r="DC85" s="919">
        <v>1</v>
      </c>
      <c r="DD85" s="919">
        <f>DC85</f>
        <v>1</v>
      </c>
      <c r="DE85" s="919">
        <f>DD85</f>
        <v>1</v>
      </c>
      <c r="DF85" s="919">
        <f>DE85</f>
        <v>1</v>
      </c>
      <c r="DG85" s="948">
        <f>DG86/DG84</f>
        <v>1</v>
      </c>
      <c r="DH85" s="919">
        <v>1</v>
      </c>
      <c r="DI85" s="919">
        <f>DH85</f>
        <v>1</v>
      </c>
      <c r="DJ85" s="919">
        <f>DI85</f>
        <v>1</v>
      </c>
      <c r="DK85" s="919">
        <f>DJ85</f>
        <v>1</v>
      </c>
      <c r="DL85" s="948">
        <f>DL86/DL84</f>
        <v>1</v>
      </c>
      <c r="DM85" s="919">
        <v>1</v>
      </c>
      <c r="DN85" s="919">
        <f>DM85</f>
        <v>1</v>
      </c>
      <c r="DO85" s="919">
        <f>DN85</f>
        <v>1</v>
      </c>
      <c r="DP85" s="919">
        <f>DO85</f>
        <v>1</v>
      </c>
      <c r="DQ85" s="948">
        <f>DQ86/DQ84</f>
        <v>1</v>
      </c>
      <c r="DR85" s="455"/>
      <c r="DS85" s="437"/>
      <c r="DT85"/>
      <c r="DU85"/>
      <c r="DV85"/>
      <c r="DW85"/>
      <c r="DX85"/>
      <c r="DY85"/>
    </row>
    <row r="86" spans="1:129" s="38" customFormat="1" collapsed="1">
      <c r="A86" s="652"/>
      <c r="B86" s="1010" t="s">
        <v>17</v>
      </c>
      <c r="C86" s="1011"/>
      <c r="D86" s="1011"/>
      <c r="E86" s="1011"/>
      <c r="F86" s="1011"/>
      <c r="G86" s="1012">
        <v>327.26400000000001</v>
      </c>
      <c r="H86" s="1013">
        <v>344.30399999999997</v>
      </c>
      <c r="I86" s="1013">
        <v>452.01599999999996</v>
      </c>
      <c r="J86" s="1014">
        <v>458.30399999999997</v>
      </c>
      <c r="K86" s="1015">
        <v>396.91200000000003</v>
      </c>
      <c r="L86" s="1012">
        <v>461.23199999999997</v>
      </c>
      <c r="M86" s="1013">
        <v>459.12</v>
      </c>
      <c r="N86" s="1013">
        <v>460.22399999999993</v>
      </c>
      <c r="O86" s="1014">
        <v>477.74399999999997</v>
      </c>
      <c r="P86" s="1016">
        <v>465.98400000000004</v>
      </c>
      <c r="Q86" s="1012">
        <v>484.48800000000006</v>
      </c>
      <c r="R86" s="1013">
        <v>484.2</v>
      </c>
      <c r="S86" s="1013">
        <v>482.61600000000004</v>
      </c>
      <c r="T86" s="1014">
        <v>493.27200000000005</v>
      </c>
      <c r="U86" s="1016">
        <v>486.14400000000001</v>
      </c>
      <c r="V86" s="1012">
        <v>485.56799999999998</v>
      </c>
      <c r="W86" s="1013">
        <v>491.13599999999997</v>
      </c>
      <c r="X86" s="1013">
        <v>492.36</v>
      </c>
      <c r="Y86" s="1014">
        <v>486.81599999999997</v>
      </c>
      <c r="Z86" s="1016">
        <v>488.904</v>
      </c>
      <c r="AA86" s="1012">
        <v>493.608</v>
      </c>
      <c r="AB86" s="1013">
        <v>505.32</v>
      </c>
      <c r="AC86" s="1013">
        <v>514.82400000000007</v>
      </c>
      <c r="AD86" s="1014">
        <v>525.50400000000002</v>
      </c>
      <c r="AE86" s="1016">
        <v>509.54399999999998</v>
      </c>
      <c r="AF86" s="1012">
        <v>528</v>
      </c>
      <c r="AG86" s="1013">
        <v>529.91200000000003</v>
      </c>
      <c r="AH86" s="1013">
        <v>552.65599999999995</v>
      </c>
      <c r="AI86" s="1014">
        <v>562.56799999999998</v>
      </c>
      <c r="AJ86" s="1016">
        <v>543.25599999999997</v>
      </c>
      <c r="AK86" s="1012">
        <v>566.60799999999995</v>
      </c>
      <c r="AL86" s="1013">
        <v>564.65599999999995</v>
      </c>
      <c r="AM86" s="1013">
        <v>570.88400000000001</v>
      </c>
      <c r="AN86" s="1014">
        <v>578.76</v>
      </c>
      <c r="AO86" s="1016">
        <v>570.22400000000005</v>
      </c>
      <c r="AP86" s="1012">
        <v>583.28399999999999</v>
      </c>
      <c r="AQ86" s="1013">
        <v>586.21600000000001</v>
      </c>
      <c r="AR86" s="1013">
        <v>589.12400000000002</v>
      </c>
      <c r="AS86" s="1014">
        <v>591.69600000000003</v>
      </c>
      <c r="AT86" s="1016">
        <v>587.58000000000004</v>
      </c>
      <c r="AU86" s="1012">
        <v>597.41600000000005</v>
      </c>
      <c r="AV86" s="1013">
        <v>601.97199999999998</v>
      </c>
      <c r="AW86" s="1013">
        <v>603.34199999999998</v>
      </c>
      <c r="AX86" s="1014">
        <v>606.26400000000001</v>
      </c>
      <c r="AY86" s="1016">
        <v>602.24800000000005</v>
      </c>
      <c r="AZ86" s="1012">
        <v>607.03200000000004</v>
      </c>
      <c r="BA86" s="1013">
        <v>608.19399999999996</v>
      </c>
      <c r="BB86" s="1013">
        <v>609.12800000000004</v>
      </c>
      <c r="BC86" s="1014">
        <v>604.39200000000005</v>
      </c>
      <c r="BD86" s="1016">
        <v>607.18600000000004</v>
      </c>
      <c r="BE86" s="1012">
        <v>598.10400000000004</v>
      </c>
      <c r="BF86" s="1013">
        <v>598.66399999999999</v>
      </c>
      <c r="BG86" s="1013">
        <v>599.61</v>
      </c>
      <c r="BH86" s="1014">
        <v>595.14</v>
      </c>
      <c r="BI86" s="1016">
        <v>597.88</v>
      </c>
      <c r="BJ86" s="1012">
        <v>595.98599999999999</v>
      </c>
      <c r="BK86" s="1013">
        <v>598.54399999999998</v>
      </c>
      <c r="BL86" s="1013">
        <v>605.16399999999999</v>
      </c>
      <c r="BM86" s="1014">
        <v>609.23</v>
      </c>
      <c r="BN86" s="1016">
        <v>602.23</v>
      </c>
      <c r="BO86" s="1012">
        <v>613.32799999999997</v>
      </c>
      <c r="BP86" s="1013">
        <v>616.97400000000005</v>
      </c>
      <c r="BQ86" s="1013">
        <v>619.23800000000006</v>
      </c>
      <c r="BR86" s="1014">
        <v>623.55200000000002</v>
      </c>
      <c r="BS86" s="1016">
        <v>618.274</v>
      </c>
      <c r="BT86" s="1012">
        <v>623.60599999999999</v>
      </c>
      <c r="BU86" s="1013">
        <v>622.95399999999995</v>
      </c>
      <c r="BV86" s="1013">
        <v>618.59400000000005</v>
      </c>
      <c r="BW86" s="1014">
        <v>617.654</v>
      </c>
      <c r="BX86" s="1016">
        <v>620.702</v>
      </c>
      <c r="BY86" s="1012">
        <v>618.41600000000005</v>
      </c>
      <c r="BZ86" s="1013">
        <v>614.65200000000004</v>
      </c>
      <c r="CA86" s="1013">
        <v>606.26400000000001</v>
      </c>
      <c r="CB86" s="1013">
        <v>607.55399999999997</v>
      </c>
      <c r="CC86" s="1017">
        <v>611.72199999999998</v>
      </c>
      <c r="CD86" s="1013">
        <v>610.35199999999998</v>
      </c>
      <c r="CE86" s="1013">
        <v>608.89200000000005</v>
      </c>
      <c r="CF86" s="1013">
        <v>608.54999999999995</v>
      </c>
      <c r="CG86" s="1018">
        <v>610.85599999999999</v>
      </c>
      <c r="CH86" s="1019">
        <v>609.66200000000003</v>
      </c>
      <c r="CI86" s="1018">
        <f>612.897</f>
        <v>612.89700000000005</v>
      </c>
      <c r="CJ86" s="1013">
        <v>612.16200000000003</v>
      </c>
      <c r="CK86" s="1013">
        <v>612.12300000000005</v>
      </c>
      <c r="CL86" s="1018">
        <v>612.77200000000005</v>
      </c>
      <c r="CM86" s="1019">
        <v>612.48900000000003</v>
      </c>
      <c r="CN86" s="1020">
        <v>613.9</v>
      </c>
      <c r="CO86" s="1021">
        <v>613.9</v>
      </c>
      <c r="CP86" s="1021">
        <v>612.70000000000005</v>
      </c>
      <c r="CQ86" s="1020">
        <v>612.6</v>
      </c>
      <c r="CR86" s="1019">
        <v>613.29999999999995</v>
      </c>
      <c r="CS86" s="1020">
        <v>611.79999999999995</v>
      </c>
      <c r="CT86" s="1021">
        <v>608.79999999999995</v>
      </c>
      <c r="CU86" s="1021">
        <v>608.5</v>
      </c>
      <c r="CV86" s="1020">
        <v>609</v>
      </c>
      <c r="CW86" s="1019">
        <v>610</v>
      </c>
      <c r="CX86" s="1020">
        <v>607</v>
      </c>
      <c r="CY86" s="1020">
        <v>591</v>
      </c>
      <c r="CZ86" s="1032">
        <v>592</v>
      </c>
      <c r="DA86" s="1032">
        <v>589</v>
      </c>
      <c r="DB86" s="1069">
        <v>595</v>
      </c>
      <c r="DC86" s="1022">
        <f>DC84*DC85</f>
        <v>587.35132550506489</v>
      </c>
      <c r="DD86" s="1022">
        <f>DD84*DD85</f>
        <v>585.76183627991043</v>
      </c>
      <c r="DE86" s="1022">
        <f>DE84*DE85</f>
        <v>584.2303718290508</v>
      </c>
      <c r="DF86" s="1022">
        <f>DF84*DF85</f>
        <v>582.75579441181344</v>
      </c>
      <c r="DG86" s="1023">
        <f>AVERAGE(DC86:DF86)</f>
        <v>585.02483200645986</v>
      </c>
      <c r="DH86" s="1022">
        <f>DH84*DH85</f>
        <v>580.40746190299137</v>
      </c>
      <c r="DI86" s="1022">
        <f>DI84*DI85</f>
        <v>578.13203344853605</v>
      </c>
      <c r="DJ86" s="1022">
        <f>DJ84*DJ85</f>
        <v>575.92807955718536</v>
      </c>
      <c r="DK86" s="1022">
        <f>DK84*DK85</f>
        <v>573.79419876691759</v>
      </c>
      <c r="DL86" s="1023">
        <f>AVERAGE(DH86:DK86)</f>
        <v>577.06544341890753</v>
      </c>
      <c r="DM86" s="1022">
        <f>DM84*DM85</f>
        <v>571.72901709535859</v>
      </c>
      <c r="DN86" s="1022">
        <f>DN84*DN85</f>
        <v>569.73118750096501</v>
      </c>
      <c r="DO86" s="1022">
        <f>DO84*DO85</f>
        <v>567.79938935477287</v>
      </c>
      <c r="DP86" s="1022">
        <f>DP84*DP85</f>
        <v>565.93232792250365</v>
      </c>
      <c r="DQ86" s="1023">
        <f>AVERAGE(DM86:DP86)</f>
        <v>568.79798046840006</v>
      </c>
      <c r="DR86" s="563"/>
      <c r="DS86" s="33"/>
      <c r="DT86"/>
      <c r="DU86"/>
      <c r="DV86"/>
      <c r="DW86"/>
      <c r="DX86"/>
      <c r="DY86"/>
    </row>
    <row r="87" spans="1:129">
      <c r="CZ87" s="1031"/>
    </row>
    <row r="88" spans="1:129">
      <c r="B88" s="985" t="s">
        <v>21</v>
      </c>
      <c r="C88" s="986"/>
      <c r="D88" s="986"/>
      <c r="E88" s="986"/>
      <c r="F88" s="986"/>
      <c r="G88" s="987"/>
      <c r="H88" s="986"/>
      <c r="I88" s="986"/>
      <c r="J88" s="988"/>
      <c r="K88" s="987"/>
      <c r="L88" s="987"/>
      <c r="M88" s="986"/>
      <c r="N88" s="986"/>
      <c r="O88" s="986"/>
      <c r="P88" s="986"/>
      <c r="Q88" s="987"/>
      <c r="R88" s="986"/>
      <c r="S88" s="986"/>
      <c r="T88" s="988"/>
      <c r="U88" s="986"/>
      <c r="V88" s="986"/>
      <c r="W88" s="986"/>
      <c r="X88" s="986"/>
      <c r="Y88" s="988"/>
      <c r="Z88" s="986"/>
      <c r="AA88" s="986"/>
      <c r="AB88" s="986"/>
      <c r="AC88" s="986"/>
      <c r="AD88" s="986"/>
      <c r="AE88" s="986"/>
      <c r="AF88" s="987"/>
      <c r="AG88" s="986"/>
      <c r="AH88" s="986"/>
      <c r="AI88" s="986"/>
      <c r="AJ88" s="986"/>
      <c r="AK88" s="987"/>
      <c r="AL88" s="986"/>
      <c r="AM88" s="986"/>
      <c r="AN88" s="988"/>
      <c r="AO88" s="986"/>
      <c r="AP88" s="986"/>
      <c r="AQ88" s="986"/>
      <c r="AR88" s="986"/>
      <c r="AS88" s="988"/>
      <c r="AT88" s="986"/>
      <c r="AU88" s="986"/>
      <c r="AV88" s="986"/>
      <c r="AW88" s="986"/>
      <c r="AX88" s="986"/>
      <c r="AY88" s="986"/>
      <c r="AZ88" s="987"/>
      <c r="BA88" s="986"/>
      <c r="BB88" s="986"/>
      <c r="BC88" s="986"/>
      <c r="BD88" s="986"/>
      <c r="BE88" s="987"/>
      <c r="BF88" s="986"/>
      <c r="BG88" s="986"/>
      <c r="BH88" s="988"/>
      <c r="BI88" s="986"/>
      <c r="BJ88" s="986"/>
      <c r="BK88" s="986"/>
      <c r="BL88" s="986"/>
      <c r="BM88" s="988"/>
      <c r="BN88" s="986"/>
      <c r="BO88" s="986"/>
      <c r="BP88" s="986"/>
      <c r="BQ88" s="986"/>
      <c r="BR88" s="986"/>
      <c r="BS88" s="986"/>
      <c r="BT88" s="987"/>
      <c r="BU88" s="986"/>
      <c r="BV88" s="986"/>
      <c r="BW88" s="986"/>
      <c r="BX88" s="986"/>
      <c r="BY88" s="987"/>
      <c r="BZ88" s="986"/>
      <c r="CA88" s="986"/>
      <c r="CB88" s="986"/>
      <c r="CC88" s="989"/>
      <c r="CD88" s="986"/>
      <c r="CE88" s="986"/>
      <c r="CF88" s="986"/>
      <c r="CG88" s="986"/>
      <c r="CH88" s="989"/>
      <c r="CI88" s="986"/>
      <c r="CJ88" s="986"/>
      <c r="CK88" s="986"/>
      <c r="CL88" s="986"/>
      <c r="CM88" s="989"/>
      <c r="CN88" s="986"/>
      <c r="CO88" s="986"/>
      <c r="CP88" s="986"/>
      <c r="CQ88" s="986"/>
      <c r="CR88" s="989"/>
      <c r="CS88" s="986"/>
      <c r="CT88" s="986"/>
      <c r="CU88" s="986"/>
      <c r="CV88" s="986"/>
      <c r="CW88" s="989"/>
      <c r="CX88" s="986"/>
      <c r="CY88" s="986"/>
      <c r="CZ88" s="986"/>
      <c r="DA88" s="986"/>
      <c r="DB88" s="989"/>
      <c r="DC88" s="986"/>
      <c r="DD88" s="986"/>
      <c r="DE88" s="986"/>
      <c r="DF88" s="986"/>
      <c r="DG88" s="989"/>
      <c r="DH88" s="986"/>
      <c r="DI88" s="986"/>
      <c r="DJ88" s="986"/>
      <c r="DK88" s="986"/>
      <c r="DL88" s="989"/>
      <c r="DM88" s="986"/>
      <c r="DN88" s="986"/>
      <c r="DO88" s="986"/>
      <c r="DP88" s="986"/>
      <c r="DQ88" s="989"/>
      <c r="DR88" s="3"/>
      <c r="DS88" s="4"/>
    </row>
    <row r="89" spans="1:129" s="115" customFormat="1" hidden="1" outlineLevel="1">
      <c r="A89" s="694"/>
      <c r="B89" s="582" t="s">
        <v>24</v>
      </c>
      <c r="C89" s="583"/>
      <c r="D89" s="583"/>
      <c r="E89" s="583"/>
      <c r="F89" s="583"/>
      <c r="G89" s="80">
        <f>(0.417+6.083)*24*2</f>
        <v>312</v>
      </c>
      <c r="H89" s="40">
        <f>G93</f>
        <v>478.94399999999996</v>
      </c>
      <c r="I89" s="40">
        <f>H93</f>
        <v>432</v>
      </c>
      <c r="J89" s="41">
        <f>I93</f>
        <v>432.99417599999998</v>
      </c>
      <c r="K89" s="80">
        <f>(0.417+6.083)*24*2</f>
        <v>312</v>
      </c>
      <c r="L89" s="39">
        <f>J93</f>
        <v>439.2</v>
      </c>
      <c r="M89" s="40">
        <f>L93</f>
        <v>439.24799999999999</v>
      </c>
      <c r="N89" s="40">
        <f>M93</f>
        <v>439.63200000000001</v>
      </c>
      <c r="O89" s="40">
        <f>N93</f>
        <v>439.82400000000001</v>
      </c>
      <c r="P89" s="40">
        <f>J93</f>
        <v>439.2</v>
      </c>
      <c r="Q89" s="39">
        <f>O93</f>
        <v>443.83199999999999</v>
      </c>
      <c r="R89" s="40">
        <f>Q93</f>
        <v>444.43200000000002</v>
      </c>
      <c r="S89" s="40">
        <f>R93</f>
        <v>445.75200000000001</v>
      </c>
      <c r="T89" s="41">
        <f>S93</f>
        <v>446.85599999999999</v>
      </c>
      <c r="U89" s="40">
        <f>P93</f>
        <v>443.83199999999999</v>
      </c>
      <c r="V89" s="40">
        <f>T93</f>
        <v>447.64800000000002</v>
      </c>
      <c r="W89" s="40">
        <f>V93</f>
        <v>450.36</v>
      </c>
      <c r="X89" s="40">
        <f>W93</f>
        <v>457.56</v>
      </c>
      <c r="Y89" s="41">
        <f>X93</f>
        <v>462.048</v>
      </c>
      <c r="Z89" s="40">
        <f>U93</f>
        <v>447.64800000000002</v>
      </c>
      <c r="AA89" s="40">
        <f>Y93</f>
        <v>464.54399999999998</v>
      </c>
      <c r="AB89" s="40">
        <f>AA93</f>
        <v>465.76799999999997</v>
      </c>
      <c r="AC89" s="40">
        <f>AB93</f>
        <v>472.99200000000002</v>
      </c>
      <c r="AD89" s="40">
        <f>AC93</f>
        <v>480.86399999999998</v>
      </c>
      <c r="AE89" s="40">
        <f>Z93</f>
        <v>464.54399999999998</v>
      </c>
      <c r="AF89" s="39">
        <f>AD93</f>
        <v>490.08</v>
      </c>
      <c r="AG89" s="40">
        <f>AF93</f>
        <v>492.22399999999999</v>
      </c>
      <c r="AH89" s="40">
        <f>AG93</f>
        <v>498.80799999999999</v>
      </c>
      <c r="AI89" s="40">
        <f>AH93</f>
        <v>509.12</v>
      </c>
      <c r="AJ89" s="40">
        <f>AE93</f>
        <v>490.08</v>
      </c>
      <c r="AK89" s="39">
        <f>AI93</f>
        <v>514.69600000000003</v>
      </c>
      <c r="AL89" s="40">
        <f>AK93</f>
        <v>517.19200000000001</v>
      </c>
      <c r="AM89" s="40">
        <f>AL93</f>
        <v>524.596</v>
      </c>
      <c r="AN89" s="41">
        <f>AM93</f>
        <v>530.22</v>
      </c>
      <c r="AO89" s="40">
        <f>AJ93</f>
        <v>514.69600000000014</v>
      </c>
      <c r="AP89" s="40">
        <f>AN93</f>
        <v>536.70799999999997</v>
      </c>
      <c r="AQ89" s="40">
        <f>AP93</f>
        <v>540.29999999999995</v>
      </c>
      <c r="AR89" s="40">
        <f>AQ93</f>
        <v>546.18799999999999</v>
      </c>
      <c r="AS89" s="41">
        <f>AR93</f>
        <v>552.76</v>
      </c>
      <c r="AT89" s="40">
        <f>AO93</f>
        <v>536.70800000000008</v>
      </c>
      <c r="AU89" s="40">
        <f>AS93</f>
        <v>557.38400000000001</v>
      </c>
      <c r="AV89" s="40">
        <f>AU93</f>
        <v>561.50800000000004</v>
      </c>
      <c r="AW89" s="40">
        <f>AV93</f>
        <v>563.54399999999998</v>
      </c>
      <c r="AX89" s="40">
        <f>AW93</f>
        <v>567.12400000000002</v>
      </c>
      <c r="AY89" s="40">
        <f>AT93</f>
        <v>557.38400000000013</v>
      </c>
      <c r="AZ89" s="39">
        <f>AX93</f>
        <v>570.05200000000002</v>
      </c>
      <c r="BA89" s="40">
        <f>AZ93</f>
        <v>574.99599999999998</v>
      </c>
      <c r="BB89" s="40">
        <f>BA93</f>
        <v>578.41200000000003</v>
      </c>
      <c r="BC89" s="40">
        <f>BB93</f>
        <v>580.57000000000005</v>
      </c>
      <c r="BD89" s="40">
        <f>AY93</f>
        <v>570.05200000000013</v>
      </c>
      <c r="BE89" s="39">
        <f>BC93</f>
        <v>576.024</v>
      </c>
      <c r="BF89" s="40">
        <f>BE93</f>
        <v>577.64200000000005</v>
      </c>
      <c r="BG89" s="40">
        <f>BF93</f>
        <v>583.18600000000004</v>
      </c>
      <c r="BH89" s="41">
        <f>BG93</f>
        <v>582.36800000000005</v>
      </c>
      <c r="BI89" s="40">
        <f>BD93</f>
        <v>576.02400000000011</v>
      </c>
      <c r="BJ89" s="40">
        <f>BH93</f>
        <v>583.34</v>
      </c>
      <c r="BK89" s="40">
        <f>BJ93</f>
        <v>583.99400000000003</v>
      </c>
      <c r="BL89" s="40">
        <f>BK93</f>
        <v>586.33799999999997</v>
      </c>
      <c r="BM89" s="41">
        <f>BL93</f>
        <v>589.29999999999995</v>
      </c>
      <c r="BN89" s="40">
        <f>BI93</f>
        <v>583.34000000000015</v>
      </c>
      <c r="BO89" s="40">
        <f>BM93</f>
        <v>594.46199999999999</v>
      </c>
      <c r="BP89" s="40">
        <f>BO93</f>
        <v>598.76</v>
      </c>
      <c r="BQ89" s="40">
        <f>BP93</f>
        <v>601.60400000000004</v>
      </c>
      <c r="BR89" s="40">
        <f>BQ93</f>
        <v>606.70799999999997</v>
      </c>
      <c r="BS89" s="40">
        <f>BN93</f>
        <v>594.4620000000001</v>
      </c>
      <c r="BT89" s="39">
        <f>BR93</f>
        <v>607.88199999999995</v>
      </c>
      <c r="BU89" s="40">
        <f>BT93</f>
        <v>608.41999999999996</v>
      </c>
      <c r="BV89" s="40">
        <f>BU93</f>
        <v>607.21600000000001</v>
      </c>
      <c r="BW89" s="40">
        <f>BV93</f>
        <v>604.16800000000001</v>
      </c>
      <c r="BX89" s="40">
        <f>BS93</f>
        <v>607.88200000000006</v>
      </c>
      <c r="BY89" s="39">
        <f>BW93</f>
        <v>606.21199999999999</v>
      </c>
      <c r="BZ89" s="40">
        <f>BY93</f>
        <v>608.846</v>
      </c>
      <c r="CA89" s="40">
        <f>BZ93</f>
        <v>598.50400000000002</v>
      </c>
      <c r="CB89" s="40">
        <f>CA93</f>
        <v>599.88</v>
      </c>
      <c r="CC89" s="334">
        <f>BX93</f>
        <v>606.21199999999999</v>
      </c>
      <c r="CD89" s="40">
        <f>CB93</f>
        <v>603.36</v>
      </c>
      <c r="CE89" s="40">
        <f>CD93</f>
        <v>604.97</v>
      </c>
      <c r="CF89" s="40">
        <f>CE93</f>
        <v>602.64400000000001</v>
      </c>
      <c r="CG89" s="40">
        <f>CF93</f>
        <v>604.73800000000006</v>
      </c>
      <c r="CH89" s="334">
        <f>CC93</f>
        <v>603.36</v>
      </c>
      <c r="CI89" s="40">
        <f>CG93</f>
        <v>607.72799999999995</v>
      </c>
      <c r="CJ89" s="40">
        <f>CI93</f>
        <v>608.94000000000005</v>
      </c>
      <c r="CK89" s="40">
        <f>CJ93</f>
        <v>609</v>
      </c>
      <c r="CL89" s="40">
        <f>CK93</f>
        <v>609.20000000000005</v>
      </c>
      <c r="CM89" s="334">
        <f>CH93</f>
        <v>607.72799999999995</v>
      </c>
      <c r="CN89" s="40">
        <f>CL93</f>
        <v>610</v>
      </c>
      <c r="CO89" s="40">
        <f>CN93</f>
        <v>610.51700000000005</v>
      </c>
      <c r="CP89" s="40">
        <f>CO93</f>
        <v>609.529</v>
      </c>
      <c r="CQ89" s="40">
        <f>CP93</f>
        <v>608.06799999999998</v>
      </c>
      <c r="CR89" s="334">
        <f>CM93</f>
        <v>610</v>
      </c>
      <c r="CS89" s="194">
        <f>CQ93</f>
        <v>609</v>
      </c>
      <c r="CT89" s="194">
        <f>CS93</f>
        <v>606.20000000000005</v>
      </c>
      <c r="CU89" s="40">
        <f>CT93</f>
        <v>607.29999999999995</v>
      </c>
      <c r="CV89" s="40">
        <f>CU93</f>
        <v>606.6</v>
      </c>
      <c r="CW89" s="334">
        <f>CR93</f>
        <v>609</v>
      </c>
      <c r="CX89" s="194">
        <f>CV93</f>
        <v>607</v>
      </c>
      <c r="CY89" s="194">
        <f>CX93</f>
        <v>589</v>
      </c>
      <c r="CZ89" s="194">
        <f>CY93</f>
        <v>590</v>
      </c>
      <c r="DA89" s="40">
        <f>CZ93</f>
        <v>590</v>
      </c>
      <c r="DB89" s="334">
        <f>CW93</f>
        <v>606.99999999999989</v>
      </c>
      <c r="DC89" s="40">
        <f>DA93</f>
        <v>588</v>
      </c>
      <c r="DD89" s="40">
        <f>DC93</f>
        <v>586.35132550506489</v>
      </c>
      <c r="DE89" s="40">
        <f>DD93</f>
        <v>584.76183627991043</v>
      </c>
      <c r="DF89" s="40">
        <f>DE93</f>
        <v>583.2303718290508</v>
      </c>
      <c r="DG89" s="334">
        <f>DB93</f>
        <v>587.99999999999989</v>
      </c>
      <c r="DH89" s="40">
        <f>DF93</f>
        <v>581.75579441181344</v>
      </c>
      <c r="DI89" s="40">
        <f>DH93</f>
        <v>579.40746190299137</v>
      </c>
      <c r="DJ89" s="40">
        <f>DI93</f>
        <v>577.13203344853605</v>
      </c>
      <c r="DK89" s="40">
        <f>DJ93</f>
        <v>574.92807955718524</v>
      </c>
      <c r="DL89" s="334">
        <f>DG93</f>
        <v>581.75579441181344</v>
      </c>
      <c r="DM89" s="40">
        <f>DK93</f>
        <v>572.79419876691736</v>
      </c>
      <c r="DN89" s="40">
        <f>DM93</f>
        <v>570.72901709535824</v>
      </c>
      <c r="DO89" s="40">
        <f>DN93</f>
        <v>568.73118750096455</v>
      </c>
      <c r="DP89" s="40">
        <f>DO93</f>
        <v>566.7993893547723</v>
      </c>
      <c r="DQ89" s="334">
        <f>DL93</f>
        <v>572.79419876691748</v>
      </c>
      <c r="DR89" s="39"/>
      <c r="DS89" s="40"/>
      <c r="DT89"/>
      <c r="DU89"/>
      <c r="DV89"/>
      <c r="DW89"/>
      <c r="DX89"/>
      <c r="DY89"/>
    </row>
    <row r="90" spans="1:129" s="60" customFormat="1" hidden="1" outlineLevel="1">
      <c r="A90" s="681"/>
      <c r="B90" s="579"/>
      <c r="C90" s="580" t="s">
        <v>26</v>
      </c>
      <c r="D90" s="580"/>
      <c r="E90" s="580"/>
      <c r="F90" s="580"/>
      <c r="G90" s="15">
        <f>+G98</f>
        <v>-1.5492055154300724E-2</v>
      </c>
      <c r="H90" s="15">
        <f>+H98</f>
        <v>6.0338883782009196</v>
      </c>
      <c r="I90" s="36">
        <f>+I98</f>
        <v>3.7394615889690119E-3</v>
      </c>
      <c r="J90" s="37">
        <f>+J98</f>
        <v>4.2210414970453058</v>
      </c>
      <c r="K90" s="15">
        <f>SUM(G90:J90)</f>
        <v>10.243177281680893</v>
      </c>
      <c r="L90" s="15">
        <f>+L98</f>
        <v>0.80284573502722312</v>
      </c>
      <c r="M90" s="15">
        <f>+M98</f>
        <v>1.062098003629764</v>
      </c>
      <c r="N90" s="36">
        <f>+N98</f>
        <v>0.28434119782214157</v>
      </c>
      <c r="O90" s="37">
        <f>+O98</f>
        <v>2.4587150635208714</v>
      </c>
      <c r="P90" s="15">
        <f>SUM(L90:O90)</f>
        <v>4.6080000000000005</v>
      </c>
      <c r="Q90" s="15">
        <f>+Q98</f>
        <v>0.78852558139534867</v>
      </c>
      <c r="R90" s="15">
        <f>+R98</f>
        <v>1.2715255813953488</v>
      </c>
      <c r="S90" s="36">
        <f>+S98</f>
        <v>0.98846511627906952</v>
      </c>
      <c r="T90" s="37">
        <f>+T98</f>
        <v>0.81548372093023236</v>
      </c>
      <c r="U90" s="15">
        <f>SUM(Q90:T90)</f>
        <v>3.8639999999999994</v>
      </c>
      <c r="V90" s="15">
        <f>+V98</f>
        <v>2.1299478260869571</v>
      </c>
      <c r="W90" s="15">
        <f>+W98</f>
        <v>6.6405913043478284</v>
      </c>
      <c r="X90" s="36">
        <f>+X98</f>
        <v>4.8036521739130427</v>
      </c>
      <c r="Y90" s="37">
        <f>+Y98</f>
        <v>3.3048000000000015</v>
      </c>
      <c r="Z90" s="15">
        <f>SUM(V90:Y90)</f>
        <v>16.878991304347828</v>
      </c>
      <c r="AA90" s="15">
        <f>+AA98</f>
        <v>0.85952402334979794</v>
      </c>
      <c r="AB90" s="15">
        <f>+AB98</f>
        <v>6.7652447238437352</v>
      </c>
      <c r="AC90" s="36">
        <f>+AC98</f>
        <v>8.902577458464302</v>
      </c>
      <c r="AD90" s="37">
        <f>+AD98</f>
        <v>9.0326537943421616</v>
      </c>
      <c r="AE90" s="15">
        <f>SUM(AA90:AD90)</f>
        <v>25.559999999999995</v>
      </c>
      <c r="AF90" s="15">
        <f>+AF98</f>
        <v>2.8653706086095987</v>
      </c>
      <c r="AG90" s="15">
        <f>+AG98</f>
        <v>6.1468949365000807</v>
      </c>
      <c r="AH90" s="36">
        <f>+AH98</f>
        <v>9.4578545274616506</v>
      </c>
      <c r="AI90" s="37">
        <f>+AI98</f>
        <v>6.1458799274286644</v>
      </c>
      <c r="AJ90" s="15">
        <f>SUM(AF90:AI90)</f>
        <v>24.615999999999993</v>
      </c>
      <c r="AK90" s="15">
        <f>+AK98</f>
        <v>2.7197703437771978</v>
      </c>
      <c r="AL90" s="15">
        <f>+AL98</f>
        <v>5.0001148825065274</v>
      </c>
      <c r="AM90" s="36">
        <f>+AM98</f>
        <v>6.468060487380332</v>
      </c>
      <c r="AN90" s="37">
        <f>+AN98</f>
        <v>7.8240542863359437</v>
      </c>
      <c r="AO90" s="15">
        <f>SUM(AK90:AN90)</f>
        <v>22.012</v>
      </c>
      <c r="AP90" s="15">
        <f>+AP98</f>
        <v>4.7658588438599825</v>
      </c>
      <c r="AQ90" s="15">
        <f>+AQ98</f>
        <v>5.0416154770183974</v>
      </c>
      <c r="AR90" s="36">
        <f>+AR98</f>
        <v>4.8911640218330499</v>
      </c>
      <c r="AS90" s="37">
        <f>+AS98</f>
        <v>5.5253616572885722</v>
      </c>
      <c r="AT90" s="15">
        <f>SUM(AP90:AS90)</f>
        <v>20.224000000000004</v>
      </c>
      <c r="AU90" s="15">
        <f>+AU98</f>
        <v>3.3486403891050585</v>
      </c>
      <c r="AV90" s="15">
        <f>+AV98</f>
        <v>2.2883731517509727</v>
      </c>
      <c r="AW90" s="36">
        <f>+AW98</f>
        <v>3.5894309727626461</v>
      </c>
      <c r="AX90" s="37">
        <f>+AX98</f>
        <v>3.4415554863813225</v>
      </c>
      <c r="AY90" s="15">
        <f>SUM(AU90:AX90)</f>
        <v>12.667999999999999</v>
      </c>
      <c r="AZ90" s="15">
        <f>+AZ98</f>
        <v>3.8196695825820006</v>
      </c>
      <c r="BA90" s="15">
        <f>+BA98</f>
        <v>3.017208410950329</v>
      </c>
      <c r="BB90" s="36">
        <f>+BB98</f>
        <v>2.2481831214699795</v>
      </c>
      <c r="BC90" s="37">
        <f>+BC98</f>
        <v>3.662938884997688</v>
      </c>
      <c r="BD90" s="15">
        <f>SUM(AZ90:BC90)</f>
        <v>12.747999999999998</v>
      </c>
      <c r="BE90" s="15">
        <f>+BE98</f>
        <v>2.1399354909249944</v>
      </c>
      <c r="BF90" s="15">
        <f>+BF98</f>
        <v>4.5783347911655365</v>
      </c>
      <c r="BG90" s="36">
        <f>+BG98</f>
        <v>1.4207877760769736</v>
      </c>
      <c r="BH90" s="37">
        <f>+BH98</f>
        <v>1.0109419418324943</v>
      </c>
      <c r="BI90" s="15">
        <f>SUM(BE90:BH90)</f>
        <v>9.1499999999999986</v>
      </c>
      <c r="BJ90" s="15">
        <f>+BJ98</f>
        <v>1.7985454899352806</v>
      </c>
      <c r="BK90" s="15">
        <f>+BK98</f>
        <v>1.9871423983390373</v>
      </c>
      <c r="BL90" s="36">
        <f>+BL98</f>
        <v>3.1425293344795699</v>
      </c>
      <c r="BM90" s="37">
        <f>+BM98</f>
        <v>5.7237827772461127</v>
      </c>
      <c r="BN90" s="15">
        <f>SUM(BJ90:BM90)</f>
        <v>12.652000000000001</v>
      </c>
      <c r="BO90" s="15">
        <f>+BO98</f>
        <v>4.2330411079152821</v>
      </c>
      <c r="BP90" s="15">
        <f>+BP98</f>
        <v>2.7887476747226478</v>
      </c>
      <c r="BQ90" s="36">
        <f>+BQ98</f>
        <v>5.2218709611146386</v>
      </c>
      <c r="BR90" s="37">
        <f>+BR98</f>
        <v>2.8143402562474336</v>
      </c>
      <c r="BS90" s="15">
        <f>SUM(BO90:BR90)</f>
        <v>15.058000000000003</v>
      </c>
      <c r="BT90" s="15">
        <f>+BT98</f>
        <v>2.658410076554663</v>
      </c>
      <c r="BU90" s="15">
        <f>+BU98</f>
        <v>1.9120583273623208</v>
      </c>
      <c r="BV90" s="36">
        <f>+BV98</f>
        <v>1.9282833653882421</v>
      </c>
      <c r="BW90" s="37">
        <f>+BW98</f>
        <v>2.5272482306947746</v>
      </c>
      <c r="BX90" s="15">
        <f>SUM(BT90:BW90)</f>
        <v>9.0259999999999998</v>
      </c>
      <c r="BY90" s="15">
        <f>+BY98</f>
        <v>4.805244323622996</v>
      </c>
      <c r="BZ90" s="15">
        <f>+BZ98</f>
        <v>2.0144052392573597</v>
      </c>
      <c r="CA90" s="36">
        <f>+CA98</f>
        <v>3.3646575020851999</v>
      </c>
      <c r="CB90" s="36">
        <f>+CB98</f>
        <v>4.1676929350344452</v>
      </c>
      <c r="CC90" s="352">
        <f>SUM(BY90:CB90)</f>
        <v>14.352</v>
      </c>
      <c r="CD90" s="15">
        <f>+CD98</f>
        <v>2.6188838681139197</v>
      </c>
      <c r="CE90" s="15">
        <f>+CE98</f>
        <v>1.354623328456225</v>
      </c>
      <c r="CF90" s="36">
        <f>+CF98</f>
        <v>2.3156283133145057</v>
      </c>
      <c r="CG90" s="36">
        <f>+CG98</f>
        <v>3.3328644901153486</v>
      </c>
      <c r="CH90" s="352">
        <f>SUM(CD90:CG90)</f>
        <v>9.6219999999999981</v>
      </c>
      <c r="CI90" s="15">
        <f>+CI98</f>
        <v>1.8252628534485691</v>
      </c>
      <c r="CJ90" s="15">
        <f>+CJ98</f>
        <v>2.2540768484807239</v>
      </c>
      <c r="CK90" s="36">
        <f>+CK98</f>
        <v>1.1459049304163792E-3</v>
      </c>
      <c r="CL90" s="36">
        <f>+CL98</f>
        <v>4.2236418728095551</v>
      </c>
      <c r="CM90" s="352">
        <f>SUM(CI90:CL90)</f>
        <v>8.3041274796692637</v>
      </c>
      <c r="CN90" s="15">
        <f>+CN98</f>
        <v>2.945007769346808</v>
      </c>
      <c r="CO90" s="15">
        <f>+CO98</f>
        <v>2.5017697030835193</v>
      </c>
      <c r="CP90" s="36">
        <f>+CP98</f>
        <v>2.3447342142600509</v>
      </c>
      <c r="CQ90" s="36">
        <f>+CQ98</f>
        <v>2.5221318686284087</v>
      </c>
      <c r="CR90" s="352">
        <f>SUM(CN90:CQ90)</f>
        <v>10.313643555318786</v>
      </c>
      <c r="CS90" s="15">
        <f>+CS98</f>
        <v>3.7354834295809627</v>
      </c>
      <c r="CT90" s="15">
        <f>+CT98</f>
        <v>3.0320963775077669</v>
      </c>
      <c r="CU90" s="36">
        <f>+CU98</f>
        <v>3.2197581265543427</v>
      </c>
      <c r="CV90" s="36">
        <f>+CV98</f>
        <v>3.0089838925361141</v>
      </c>
      <c r="CW90" s="352">
        <f>SUM(CS90:CV90)</f>
        <v>12.996321826179187</v>
      </c>
      <c r="CX90" s="15">
        <f>+CX98</f>
        <v>4.3465950896254357</v>
      </c>
      <c r="CY90" s="15">
        <f>+CY98</f>
        <v>3.0039149606861737</v>
      </c>
      <c r="CZ90" s="15">
        <f>+CZ98</f>
        <v>2.8765259541454467</v>
      </c>
      <c r="DA90" s="15">
        <f>+DA98</f>
        <v>2.945014667339386</v>
      </c>
      <c r="DB90" s="352">
        <f>SUM(CX90:DA90)</f>
        <v>13.172050671796441</v>
      </c>
      <c r="DC90" s="36">
        <f>+DC98</f>
        <v>1.3697742638787842</v>
      </c>
      <c r="DD90" s="36">
        <f>+DD98</f>
        <v>1.3697742638787842</v>
      </c>
      <c r="DE90" s="36">
        <f>+DE98</f>
        <v>1.3697742638787842</v>
      </c>
      <c r="DF90" s="36">
        <f>+DF98</f>
        <v>1.3697742638787842</v>
      </c>
      <c r="DG90" s="352">
        <f>SUM(DC90:DF90)</f>
        <v>5.4790970555151368</v>
      </c>
      <c r="DH90" s="36">
        <f>+DH98</f>
        <v>1.3697742638787842</v>
      </c>
      <c r="DI90" s="36">
        <f>+DI98</f>
        <v>1.3697742638787842</v>
      </c>
      <c r="DJ90" s="36">
        <f>+DJ98</f>
        <v>1.3697742638787842</v>
      </c>
      <c r="DK90" s="36">
        <f>+DK98</f>
        <v>1.3697742638787842</v>
      </c>
      <c r="DL90" s="352">
        <f>SUM(DH90:DK90)</f>
        <v>5.4790970555151368</v>
      </c>
      <c r="DM90" s="36">
        <f>+DM98</f>
        <v>1.3697742638787842</v>
      </c>
      <c r="DN90" s="36">
        <f>+DN98</f>
        <v>1.3697742638787842</v>
      </c>
      <c r="DO90" s="36">
        <f>+DO98</f>
        <v>1.3697742638787842</v>
      </c>
      <c r="DP90" s="36">
        <f>+DP98</f>
        <v>1.3697742638787842</v>
      </c>
      <c r="DQ90" s="352">
        <f>SUM(DM90:DP90)</f>
        <v>5.4790970555151368</v>
      </c>
      <c r="DR90" s="35"/>
      <c r="DS90" s="36"/>
      <c r="DT90"/>
      <c r="DU90"/>
      <c r="DV90"/>
      <c r="DW90"/>
      <c r="DX90"/>
      <c r="DY90"/>
    </row>
    <row r="91" spans="1:129" s="60" customFormat="1" hidden="1" outlineLevel="1">
      <c r="A91" s="681"/>
      <c r="B91" s="579"/>
      <c r="C91" s="580" t="s">
        <v>27</v>
      </c>
      <c r="D91" s="580"/>
      <c r="E91" s="580"/>
      <c r="F91" s="580"/>
      <c r="G91" s="35">
        <f>G103</f>
        <v>0</v>
      </c>
      <c r="H91" s="36">
        <f>H103</f>
        <v>0</v>
      </c>
      <c r="I91" s="36">
        <f>I103</f>
        <v>0</v>
      </c>
      <c r="J91" s="36">
        <f>J103</f>
        <v>0</v>
      </c>
      <c r="K91" s="36">
        <f>SUM(G91:J91)</f>
        <v>0</v>
      </c>
      <c r="L91" s="35">
        <f>L103</f>
        <v>0</v>
      </c>
      <c r="M91" s="36">
        <f>M103</f>
        <v>0</v>
      </c>
      <c r="N91" s="36">
        <f>N103</f>
        <v>0</v>
      </c>
      <c r="O91" s="36">
        <f>O103</f>
        <v>0</v>
      </c>
      <c r="P91" s="36">
        <f>SUM(L91:O91)</f>
        <v>0</v>
      </c>
      <c r="Q91" s="35">
        <f>Q103</f>
        <v>0</v>
      </c>
      <c r="R91" s="36">
        <f>R103</f>
        <v>0</v>
      </c>
      <c r="S91" s="36">
        <f>S103</f>
        <v>0</v>
      </c>
      <c r="T91" s="36">
        <f>T103</f>
        <v>0</v>
      </c>
      <c r="U91" s="36">
        <f>SUM(Q91:T91)</f>
        <v>0</v>
      </c>
      <c r="V91" s="35">
        <f>V103</f>
        <v>0</v>
      </c>
      <c r="W91" s="36">
        <f>W103</f>
        <v>0</v>
      </c>
      <c r="X91" s="36">
        <f>X103</f>
        <v>0</v>
      </c>
      <c r="Y91" s="36">
        <f>Y103</f>
        <v>0</v>
      </c>
      <c r="Z91" s="36">
        <f>SUM(V91:Y91)</f>
        <v>0</v>
      </c>
      <c r="AA91" s="35">
        <f>AA103</f>
        <v>0</v>
      </c>
      <c r="AB91" s="36">
        <f>AB103</f>
        <v>0</v>
      </c>
      <c r="AC91" s="36">
        <f>AC103</f>
        <v>0</v>
      </c>
      <c r="AD91" s="36">
        <f>AD103</f>
        <v>0</v>
      </c>
      <c r="AE91" s="36">
        <f>SUM(AA91:AD91)</f>
        <v>0</v>
      </c>
      <c r="AF91" s="35">
        <f>AF103</f>
        <v>0</v>
      </c>
      <c r="AG91" s="36">
        <f>AG103</f>
        <v>0</v>
      </c>
      <c r="AH91" s="36">
        <f>AH103</f>
        <v>0</v>
      </c>
      <c r="AI91" s="36">
        <f>AI103</f>
        <v>0</v>
      </c>
      <c r="AJ91" s="36">
        <f>SUM(AF91:AI91)</f>
        <v>0</v>
      </c>
      <c r="AK91" s="35">
        <f>AK103</f>
        <v>0</v>
      </c>
      <c r="AL91" s="36">
        <f>AL103</f>
        <v>0</v>
      </c>
      <c r="AM91" s="36">
        <f>AM103</f>
        <v>0</v>
      </c>
      <c r="AN91" s="36">
        <f>AN103</f>
        <v>0</v>
      </c>
      <c r="AO91" s="36">
        <f>SUM(AK91:AN91)</f>
        <v>0</v>
      </c>
      <c r="AP91" s="35">
        <f>AP103</f>
        <v>0</v>
      </c>
      <c r="AQ91" s="36">
        <f>AQ103</f>
        <v>0</v>
      </c>
      <c r="AR91" s="36">
        <f>AR103</f>
        <v>0</v>
      </c>
      <c r="AS91" s="36">
        <f>AS103</f>
        <v>0</v>
      </c>
      <c r="AT91" s="36">
        <f>SUM(AP91:AS91)</f>
        <v>0</v>
      </c>
      <c r="AU91" s="35">
        <f>AU103</f>
        <v>0</v>
      </c>
      <c r="AV91" s="36">
        <f>AV103</f>
        <v>0</v>
      </c>
      <c r="AW91" s="36">
        <f>AW103</f>
        <v>0</v>
      </c>
      <c r="AX91" s="36">
        <f>AX103</f>
        <v>0</v>
      </c>
      <c r="AY91" s="36">
        <f>SUM(AU91:AX91)</f>
        <v>0</v>
      </c>
      <c r="AZ91" s="35">
        <f>AZ103</f>
        <v>0</v>
      </c>
      <c r="BA91" s="36">
        <f>BA103</f>
        <v>0</v>
      </c>
      <c r="BB91" s="36">
        <f>BB103</f>
        <v>0</v>
      </c>
      <c r="BC91" s="36">
        <f>BC103</f>
        <v>-6.7759999999999998</v>
      </c>
      <c r="BD91" s="36">
        <f>SUM(AZ91:BC91)</f>
        <v>-6.7759999999999998</v>
      </c>
      <c r="BE91" s="35">
        <f>BE103</f>
        <v>0</v>
      </c>
      <c r="BF91" s="36">
        <f>BF103</f>
        <v>0</v>
      </c>
      <c r="BG91" s="36">
        <f>BG103</f>
        <v>-1.958</v>
      </c>
      <c r="BH91" s="36">
        <f>BH103</f>
        <v>0</v>
      </c>
      <c r="BI91" s="36">
        <f>SUM(BE91:BH91)</f>
        <v>-1.958</v>
      </c>
      <c r="BJ91" s="35">
        <f>BJ103</f>
        <v>-1.212218463620149</v>
      </c>
      <c r="BK91" s="36">
        <f>BK103</f>
        <v>-5.4861307583492239E-2</v>
      </c>
      <c r="BL91" s="36">
        <f>BL103</f>
        <v>-0.10341779937265516</v>
      </c>
      <c r="BM91" s="36">
        <f>BM103</f>
        <v>-0.15950242942370382</v>
      </c>
      <c r="BN91" s="36">
        <f>SUM(BJ91:BM91)</f>
        <v>-1.53</v>
      </c>
      <c r="BO91" s="35">
        <f>BO103</f>
        <v>-6.9999322033898317E-2</v>
      </c>
      <c r="BP91" s="36">
        <f>BP103</f>
        <v>-7.8193627118644068E-2</v>
      </c>
      <c r="BQ91" s="36">
        <f>BQ103</f>
        <v>-0.21755728813559325</v>
      </c>
      <c r="BR91" s="36">
        <f>BR103</f>
        <v>-1.4182497627118646</v>
      </c>
      <c r="BS91" s="36">
        <f>SUM(BO91:BR91)</f>
        <v>-1.7840000000000003</v>
      </c>
      <c r="BT91" s="35">
        <f>BT103</f>
        <v>-2.6002289260638198</v>
      </c>
      <c r="BU91" s="36">
        <f>BU103</f>
        <v>-3.0597305551026732</v>
      </c>
      <c r="BV91" s="36">
        <f>BV103</f>
        <v>-5.0918130253616889</v>
      </c>
      <c r="BW91" s="36">
        <f>BW103</f>
        <v>-0.27022749347181729</v>
      </c>
      <c r="BX91" s="36">
        <f>SUM(BT91:BW91)</f>
        <v>-11.021999999999998</v>
      </c>
      <c r="BY91" s="35">
        <f>BY103</f>
        <v>-1.6179215083182137</v>
      </c>
      <c r="BZ91" s="36">
        <f>BZ103</f>
        <v>-12.214874682487114</v>
      </c>
      <c r="CA91" s="36">
        <f>CA103</f>
        <v>-2.1507105722431796</v>
      </c>
      <c r="CB91" s="36">
        <f>CB103</f>
        <v>-1.2204932369514927</v>
      </c>
      <c r="CC91" s="333">
        <f>SUM(BY91:CB91)</f>
        <v>-17.204000000000001</v>
      </c>
      <c r="CD91" s="36">
        <f>CD103</f>
        <v>-0.66198920694509622</v>
      </c>
      <c r="CE91" s="36">
        <f>CE103</f>
        <v>-3.6646564881231702</v>
      </c>
      <c r="CF91" s="36">
        <f>CF103</f>
        <v>-0.20331645102902801</v>
      </c>
      <c r="CG91" s="36">
        <f>CG103</f>
        <v>-0.72403785390270559</v>
      </c>
      <c r="CH91" s="333">
        <f>SUM(CD91:CG91)</f>
        <v>-5.2540000000000004</v>
      </c>
      <c r="CI91" s="36">
        <f>CI103</f>
        <v>-0.6</v>
      </c>
      <c r="CJ91" s="36">
        <f>CJ103</f>
        <v>-2.6521227881579907</v>
      </c>
      <c r="CK91" s="36">
        <f>CK103</f>
        <v>-0.19329910880844245</v>
      </c>
      <c r="CL91" s="36">
        <f>CL103</f>
        <v>-1.6360660762906065</v>
      </c>
      <c r="CM91" s="333">
        <f>SUM(CI91:CL91)</f>
        <v>-5.0814879732570395</v>
      </c>
      <c r="CN91" s="36">
        <f>CN103</f>
        <v>-0.65231151572184387</v>
      </c>
      <c r="CO91" s="36">
        <f>CO103</f>
        <v>-2.7977375877319748</v>
      </c>
      <c r="CP91" s="36">
        <f>CP103</f>
        <v>-2.6965498619863695</v>
      </c>
      <c r="CQ91" s="36">
        <f>CQ103</f>
        <v>-1.3714285714285717</v>
      </c>
      <c r="CR91" s="333">
        <f>SUM(CN91:CQ91)</f>
        <v>-7.5180275368687601</v>
      </c>
      <c r="CS91" s="15">
        <f>CS103</f>
        <v>-4.3</v>
      </c>
      <c r="CT91" s="15">
        <f>CT103</f>
        <v>-0.79999999999999982</v>
      </c>
      <c r="CU91" s="36">
        <f>CU103</f>
        <v>-2.5160618162875497</v>
      </c>
      <c r="CV91" s="36">
        <f>CV103</f>
        <v>0</v>
      </c>
      <c r="CW91" s="352">
        <f>SUM(CS91:CV91)</f>
        <v>-7.6160618162875497</v>
      </c>
      <c r="CX91" s="15">
        <f>CX103</f>
        <v>-25.496800269450993</v>
      </c>
      <c r="CY91" s="15">
        <f>CY103</f>
        <v>-0.45180722891566261</v>
      </c>
      <c r="CZ91" s="15">
        <f>CZ103</f>
        <v>-0.18510608002278228</v>
      </c>
      <c r="DA91" s="15">
        <f>DA103</f>
        <v>-4.5429666119321297</v>
      </c>
      <c r="DB91" s="352">
        <f>SUM(CX91:DA91)</f>
        <v>-30.676680190321566</v>
      </c>
      <c r="DC91" s="36">
        <f>DC103</f>
        <v>-3.0184487588138702</v>
      </c>
      <c r="DD91" s="36">
        <f>DD103</f>
        <v>-2.9592634890332064</v>
      </c>
      <c r="DE91" s="36">
        <f>DE103</f>
        <v>-2.9012387147384375</v>
      </c>
      <c r="DF91" s="36">
        <f>DF103</f>
        <v>-2.8443516811161151</v>
      </c>
      <c r="DG91" s="352">
        <f>SUM(DC91:DF91)</f>
        <v>-11.723302643701629</v>
      </c>
      <c r="DH91" s="36">
        <f>DH103</f>
        <v>-3.7181067727008039</v>
      </c>
      <c r="DI91" s="36">
        <f>DI103</f>
        <v>-3.6452027183341214</v>
      </c>
      <c r="DJ91" s="36">
        <f>DJ103</f>
        <v>-3.5737281552295306</v>
      </c>
      <c r="DK91" s="36">
        <f>DK103</f>
        <v>-3.5036550541465989</v>
      </c>
      <c r="DL91" s="352">
        <f>SUM(DH91:DK91)</f>
        <v>-14.440692700411056</v>
      </c>
      <c r="DM91" s="36">
        <f>DM103</f>
        <v>-3.4349559354378418</v>
      </c>
      <c r="DN91" s="36">
        <f>DN103</f>
        <v>-3.3676038582723935</v>
      </c>
      <c r="DO91" s="36">
        <f>DO103</f>
        <v>-3.3015724100709738</v>
      </c>
      <c r="DP91" s="36">
        <f>DP103</f>
        <v>-3.2368356961480136</v>
      </c>
      <c r="DQ91" s="352">
        <f>SUM(DM91:DP91)</f>
        <v>-13.340967899929222</v>
      </c>
      <c r="DR91" s="35"/>
      <c r="DS91" s="36"/>
      <c r="DT91"/>
      <c r="DU91"/>
      <c r="DV91"/>
      <c r="DW91"/>
      <c r="DX91"/>
      <c r="DY91"/>
    </row>
    <row r="92" spans="1:129" s="60" customFormat="1" hidden="1" outlineLevel="1">
      <c r="A92" s="681"/>
      <c r="B92" s="579"/>
      <c r="C92" s="580" t="s">
        <v>7</v>
      </c>
      <c r="D92" s="580"/>
      <c r="E92" s="580"/>
      <c r="F92" s="580"/>
      <c r="G92" s="35">
        <f>G93-SUM(G89:G91)</f>
        <v>166.95949205515427</v>
      </c>
      <c r="H92" s="36">
        <f>H93-SUM(H89:H91)</f>
        <v>-52.977888378200873</v>
      </c>
      <c r="I92" s="36">
        <f>I93-SUM(I89:I91)</f>
        <v>0.99043653841101786</v>
      </c>
      <c r="J92" s="36">
        <f>J93-SUM(J89:J91)</f>
        <v>1.9847825029547153</v>
      </c>
      <c r="K92" s="36">
        <f>SUM(G92:J92)</f>
        <v>116.95682271831913</v>
      </c>
      <c r="L92" s="35">
        <f>L93-SUM(L89:L91)</f>
        <v>-0.75484573502723151</v>
      </c>
      <c r="M92" s="36">
        <f>M93-SUM(M89:M91)</f>
        <v>-0.67809800362977057</v>
      </c>
      <c r="N92" s="36">
        <f>N93-SUM(N89:N91)</f>
        <v>-9.2341197822122467E-2</v>
      </c>
      <c r="O92" s="36">
        <f>O93-SUM(O89:O91)</f>
        <v>1.5492849364791255</v>
      </c>
      <c r="P92" s="36">
        <f>SUM(L92:O92)</f>
        <v>2.4000000000000909E-2</v>
      </c>
      <c r="Q92" s="35">
        <f>Q93-SUM(Q89:Q91)</f>
        <v>-0.18852558139531084</v>
      </c>
      <c r="R92" s="36">
        <f>R93-SUM(R89:R91)</f>
        <v>4.8474418604655511E-2</v>
      </c>
      <c r="S92" s="36">
        <f>S93-SUM(S89:S91)</f>
        <v>0.1155348837208976</v>
      </c>
      <c r="T92" s="36">
        <f>T93-SUM(T89:T91)</f>
        <v>-2.3483720930187246E-2</v>
      </c>
      <c r="U92" s="36">
        <f>SUM(Q92:T92)</f>
        <v>-4.7999999999944976E-2</v>
      </c>
      <c r="V92" s="288">
        <f>V93-SUM(V89:V91)</f>
        <v>0.58205217391304132</v>
      </c>
      <c r="W92" s="289">
        <f>W93-SUM(W89:W91)</f>
        <v>0.55940869565216644</v>
      </c>
      <c r="X92" s="289">
        <f>X93-SUM(X89:X91)</f>
        <v>-0.31565217391306533</v>
      </c>
      <c r="Y92" s="289">
        <f>Y93-SUM(Y89:Y91)</f>
        <v>-0.80880000000001928</v>
      </c>
      <c r="Z92" s="36">
        <f>SUM(V92:Y92)</f>
        <v>1.7008695652123151E-2</v>
      </c>
      <c r="AA92" s="35">
        <f>AA93-SUM(AA89:AA91)</f>
        <v>0.36447597665016929</v>
      </c>
      <c r="AB92" s="36">
        <f>AB93-SUM(AB89:AB91)</f>
        <v>0.45875527615629608</v>
      </c>
      <c r="AC92" s="36">
        <f>AC93-SUM(AC89:AC91)</f>
        <v>-1.0305774584643359</v>
      </c>
      <c r="AD92" s="36">
        <f>AD93-SUM(AD89:AD91)</f>
        <v>0.18334620565786963</v>
      </c>
      <c r="AE92" s="36">
        <f>SUM(AA92:AD92)</f>
        <v>-2.4000000000000909E-2</v>
      </c>
      <c r="AF92" s="35">
        <f>AF93-SUM(AF89:AF91)</f>
        <v>-0.7213706086096181</v>
      </c>
      <c r="AG92" s="36">
        <f>AG93-SUM(AG89:AG91)</f>
        <v>0.43710506349992784</v>
      </c>
      <c r="AH92" s="36">
        <f>AH93-SUM(AH89:AH91)</f>
        <v>0.85414547253833462</v>
      </c>
      <c r="AI92" s="36">
        <f>AI93-SUM(AI89:AI91)</f>
        <v>-0.56987992742858751</v>
      </c>
      <c r="AJ92" s="36">
        <f>SUM(AF92:AI92)</f>
        <v>5.6843418860808015E-14</v>
      </c>
      <c r="AK92" s="35">
        <f>AK93-SUM(AK89:AK91)</f>
        <v>-0.22377034377723248</v>
      </c>
      <c r="AL92" s="36">
        <f>AL93-SUM(AL89:AL91)</f>
        <v>2.4038851174934734</v>
      </c>
      <c r="AM92" s="36">
        <f>AM93-SUM(AM89:AM91)</f>
        <v>-0.84406048738026129</v>
      </c>
      <c r="AN92" s="36">
        <f>AN93-SUM(AN89:AN91)</f>
        <v>-1.3360542863359797</v>
      </c>
      <c r="AO92" s="36">
        <f>SUM(AK92:AN92)</f>
        <v>0</v>
      </c>
      <c r="AP92" s="35">
        <f>AP93-SUM(AP89:AP91)</f>
        <v>-1.1738588438599891</v>
      </c>
      <c r="AQ92" s="36">
        <f>AQ93-SUM(AQ89:AQ91)</f>
        <v>0.84638452298167977</v>
      </c>
      <c r="AR92" s="36">
        <f>AR93-SUM(AR89:AR91)</f>
        <v>1.6808359781668969</v>
      </c>
      <c r="AS92" s="36">
        <f>AS93-SUM(AS89:AS91)</f>
        <v>-0.90136165728858941</v>
      </c>
      <c r="AT92" s="36">
        <f>SUM(AP92:AS92)</f>
        <v>0.45199999999999818</v>
      </c>
      <c r="AU92" s="35">
        <f>AU93-SUM(AU89:AU91)</f>
        <v>0.77535961089495231</v>
      </c>
      <c r="AV92" s="36">
        <f>AV93-SUM(AV89:AV91)</f>
        <v>-0.25237315175104413</v>
      </c>
      <c r="AW92" s="36">
        <f>AW93-SUM(AW89:AW91)</f>
        <v>-9.430972762629608E-3</v>
      </c>
      <c r="AX92" s="36">
        <f>AX93-SUM(AX89:AX91)</f>
        <v>-0.51355548638127857</v>
      </c>
      <c r="AY92" s="36">
        <f>SUM(AU92:AX92)</f>
        <v>0</v>
      </c>
      <c r="AZ92" s="35">
        <f>AZ93-SUM(AZ89:AZ91)</f>
        <v>1.1243304174179229</v>
      </c>
      <c r="BA92" s="36">
        <f>BA93-SUM(BA89:BA91)</f>
        <v>0.39879158904977885</v>
      </c>
      <c r="BB92" s="36">
        <f>BB93-SUM(BB89:BB91)</f>
        <v>-9.0183121469976868E-2</v>
      </c>
      <c r="BC92" s="36">
        <f>BC93-SUM(BC89:BC91)</f>
        <v>-1.4329388849978386</v>
      </c>
      <c r="BD92" s="36">
        <f>SUM(AZ92:BC92)</f>
        <v>-1.1368683772161603E-13</v>
      </c>
      <c r="BE92" s="35">
        <f>BE93-SUM(BE89:BE91)</f>
        <v>-0.5219354909249887</v>
      </c>
      <c r="BF92" s="36">
        <f>BF93-SUM(BF89:BF91)</f>
        <v>0.96566520883447993</v>
      </c>
      <c r="BG92" s="36">
        <f>BG93-SUM(BG89:BG91)</f>
        <v>-0.28078777607697702</v>
      </c>
      <c r="BH92" s="36">
        <f>BH93-SUM(BH89:BH91)</f>
        <v>-3.8941941832490556E-2</v>
      </c>
      <c r="BI92" s="36">
        <f>SUM(BE92:BH92)</f>
        <v>0.12400000000002365</v>
      </c>
      <c r="BJ92" s="35">
        <f>BJ93-SUM(BJ89:BJ91)</f>
        <v>6.7672973684921089E-2</v>
      </c>
      <c r="BK92" s="36">
        <f>BK93-SUM(BK89:BK91)</f>
        <v>0.41171890924431409</v>
      </c>
      <c r="BL92" s="36">
        <f>BL93-SUM(BL89:BL91)</f>
        <v>-7.7111535106951123E-2</v>
      </c>
      <c r="BM92" s="36">
        <f>BM93-SUM(BM89:BM91)</f>
        <v>-0.40228034782239774</v>
      </c>
      <c r="BN92" s="36">
        <f>SUM(BJ92:BM92)</f>
        <v>-1.1368683772161603E-13</v>
      </c>
      <c r="BO92" s="35">
        <f>BO93-SUM(BO89:BO91)</f>
        <v>0.13495821411868292</v>
      </c>
      <c r="BP92" s="36">
        <f>BP93-SUM(BP89:BP91)</f>
        <v>0.13344595239595947</v>
      </c>
      <c r="BQ92" s="36">
        <f>BQ93-SUM(BQ89:BQ91)</f>
        <v>9.9686327020890531E-2</v>
      </c>
      <c r="BR92" s="36">
        <f>BR93-SUM(BR89:BR91)</f>
        <v>-0.22209049353557475</v>
      </c>
      <c r="BS92" s="36">
        <f>SUM(BO92:BR92)</f>
        <v>0.14599999999995816</v>
      </c>
      <c r="BT92" s="35">
        <f>BT93-SUM(BT89:BT91)</f>
        <v>0.47981884950911535</v>
      </c>
      <c r="BU92" s="36">
        <f>BU93-SUM(BU89:BU91)</f>
        <v>-5.6327772259578524E-2</v>
      </c>
      <c r="BV92" s="36">
        <f>BV93-SUM(BV89:BV91)</f>
        <v>0.11552965997350384</v>
      </c>
      <c r="BW92" s="36">
        <f>BW93-SUM(BW89:BW91)</f>
        <v>-0.21302073722301884</v>
      </c>
      <c r="BX92" s="36">
        <f>SUM(BT92:BW92)</f>
        <v>0.32600000000002183</v>
      </c>
      <c r="BY92" s="35">
        <f>BY93-SUM(BY89:BY91)</f>
        <v>-0.55332281530479577</v>
      </c>
      <c r="BZ92" s="36">
        <f>BZ93-SUM(BZ89:BZ91)</f>
        <v>-0.14153055677024895</v>
      </c>
      <c r="CA92" s="36">
        <f>CA93-SUM(CA89:CA91)</f>
        <v>0.16205307015798098</v>
      </c>
      <c r="CB92" s="36">
        <f>CB93-SUM(CB89:CB91)</f>
        <v>0.53280030191706373</v>
      </c>
      <c r="CC92" s="333">
        <f>SUM(BY92:CB92)</f>
        <v>0</v>
      </c>
      <c r="CD92" s="36">
        <f>CD93-SUM(CD89:CD91)</f>
        <v>-0.34689466116878975</v>
      </c>
      <c r="CE92" s="36">
        <f>CE93-SUM(CE89:CE91)</f>
        <v>-1.5966840333135224E-2</v>
      </c>
      <c r="CF92" s="36">
        <f>CF93-SUM(CF89:CF91)</f>
        <v>-1.8311862285372627E-2</v>
      </c>
      <c r="CG92" s="36">
        <f>CG93-SUM(CG89:CG91)</f>
        <v>0.3811733637872976</v>
      </c>
      <c r="CH92" s="333">
        <f>SUM(CD92:CG92)</f>
        <v>0</v>
      </c>
      <c r="CI92" s="36">
        <f>CI93-SUM(CI89:CI91)</f>
        <v>-1.3262853448395617E-2</v>
      </c>
      <c r="CJ92" s="36">
        <f>CJ93-SUM(CJ89:CJ91)</f>
        <v>0.45804593967716301</v>
      </c>
      <c r="CK92" s="36">
        <f>CK93-SUM(CK89:CK91)</f>
        <v>0.39215320387802421</v>
      </c>
      <c r="CL92" s="36">
        <f>CL93-SUM(CL89:CL91)</f>
        <v>-1.787575796519036</v>
      </c>
      <c r="CM92" s="333">
        <f>SUM(CI92:CL92)</f>
        <v>-0.95063950641224437</v>
      </c>
      <c r="CN92" s="36">
        <f>CN93-SUM(CN89:CN91)</f>
        <v>-1.7756962536249148</v>
      </c>
      <c r="CO92" s="36">
        <f>CO93-SUM(CO89:CO91)</f>
        <v>-0.69203211535159426</v>
      </c>
      <c r="CP92" s="36">
        <f>CP93-SUM(CP89:CP91)</f>
        <v>-1.1091843522737008</v>
      </c>
      <c r="CQ92" s="36">
        <f>CQ93-SUM(CQ89:CQ91)</f>
        <v>-0.21870329719979509</v>
      </c>
      <c r="CR92" s="333">
        <f>SUM(CN92:CQ92)</f>
        <v>-3.795616018450005</v>
      </c>
      <c r="CS92" s="36">
        <f>CS93-SUM(CS89:CS91)</f>
        <v>-2.2354834295809951</v>
      </c>
      <c r="CT92" s="36">
        <f>CT93-SUM(CT89:CT91)</f>
        <v>-1.1320963775078781</v>
      </c>
      <c r="CU92" s="36">
        <f>CU93-SUM(CU89:CU91)</f>
        <v>-1.4036963102666959</v>
      </c>
      <c r="CV92" s="36">
        <f>CV93-SUM(CV89:CV91)</f>
        <v>-2.6089838925361164</v>
      </c>
      <c r="CW92" s="352">
        <f>SUM(CS92:CV92)</f>
        <v>-7.3802600098916855</v>
      </c>
      <c r="CX92" s="36">
        <f>CX93-SUM(CX89:CX91)</f>
        <v>3.1502051798255479</v>
      </c>
      <c r="CY92" s="36">
        <f>CY93-SUM(CY89:CY91)</f>
        <v>-1.5521077317705476</v>
      </c>
      <c r="CZ92" s="36">
        <f>CZ93-SUM(CZ89:CZ91)</f>
        <v>-2.6914198741226301</v>
      </c>
      <c r="DA92" s="36">
        <f>DA93-SUM(DA89:DA91)</f>
        <v>-0.40204805540724919</v>
      </c>
      <c r="DB92" s="352">
        <f>SUM(CX92:DA92)</f>
        <v>-1.4953704814748789</v>
      </c>
      <c r="DC92" s="126">
        <v>0</v>
      </c>
      <c r="DD92" s="126">
        <v>0</v>
      </c>
      <c r="DE92" s="126">
        <v>0</v>
      </c>
      <c r="DF92" s="126">
        <v>0</v>
      </c>
      <c r="DG92" s="352">
        <f>SUM(DC92:DF92)</f>
        <v>0</v>
      </c>
      <c r="DH92" s="126">
        <v>0</v>
      </c>
      <c r="DI92" s="126">
        <v>0</v>
      </c>
      <c r="DJ92" s="126">
        <v>0</v>
      </c>
      <c r="DK92" s="126">
        <v>0</v>
      </c>
      <c r="DL92" s="352">
        <f>SUM(DH92:DK92)</f>
        <v>0</v>
      </c>
      <c r="DM92" s="126">
        <v>0</v>
      </c>
      <c r="DN92" s="126">
        <v>0</v>
      </c>
      <c r="DO92" s="126">
        <v>0</v>
      </c>
      <c r="DP92" s="126">
        <v>0</v>
      </c>
      <c r="DQ92" s="352">
        <f>SUM(DM92:DP92)</f>
        <v>0</v>
      </c>
      <c r="DR92" s="35"/>
      <c r="DS92" s="36"/>
      <c r="DT92"/>
      <c r="DU92"/>
      <c r="DV92"/>
      <c r="DW92"/>
      <c r="DX92"/>
      <c r="DY92"/>
    </row>
    <row r="93" spans="1:129" s="115" customFormat="1" hidden="1" outlineLevel="1">
      <c r="A93" s="694"/>
      <c r="B93" s="582" t="s">
        <v>25</v>
      </c>
      <c r="C93" s="583"/>
      <c r="D93" s="583"/>
      <c r="E93" s="583"/>
      <c r="F93" s="583"/>
      <c r="G93" s="39">
        <f>G83</f>
        <v>478.94399999999996</v>
      </c>
      <c r="H93" s="40">
        <f>H83</f>
        <v>432</v>
      </c>
      <c r="I93" s="40">
        <f>I83</f>
        <v>432.99417599999998</v>
      </c>
      <c r="J93" s="41">
        <f>J83</f>
        <v>439.2</v>
      </c>
      <c r="K93" s="40">
        <f>SUM(K89:K92)</f>
        <v>439.20000000000005</v>
      </c>
      <c r="L93" s="39">
        <f>L83</f>
        <v>439.24799999999999</v>
      </c>
      <c r="M93" s="40">
        <f>M83</f>
        <v>439.63200000000001</v>
      </c>
      <c r="N93" s="40">
        <f>N83</f>
        <v>439.82400000000001</v>
      </c>
      <c r="O93" s="40">
        <f>O83</f>
        <v>443.83199999999999</v>
      </c>
      <c r="P93" s="40">
        <f>SUM(P89:P92)</f>
        <v>443.83199999999999</v>
      </c>
      <c r="Q93" s="39">
        <f>Q83</f>
        <v>444.43200000000002</v>
      </c>
      <c r="R93" s="40">
        <f>R83</f>
        <v>445.75200000000001</v>
      </c>
      <c r="S93" s="40">
        <f>S83</f>
        <v>446.85599999999999</v>
      </c>
      <c r="T93" s="41">
        <f>T83</f>
        <v>447.64800000000002</v>
      </c>
      <c r="U93" s="40">
        <f>SUM(U89:U92)</f>
        <v>447.64800000000002</v>
      </c>
      <c r="V93" s="40">
        <f>V83</f>
        <v>450.36</v>
      </c>
      <c r="W93" s="40">
        <f>W83</f>
        <v>457.56</v>
      </c>
      <c r="X93" s="40">
        <f>X83</f>
        <v>462.048</v>
      </c>
      <c r="Y93" s="41">
        <f>Y83</f>
        <v>464.54399999999998</v>
      </c>
      <c r="Z93" s="40">
        <f>SUM(Z89:Z92)</f>
        <v>464.54399999999998</v>
      </c>
      <c r="AA93" s="40">
        <f>AA83</f>
        <v>465.76799999999997</v>
      </c>
      <c r="AB93" s="40">
        <f>AB83</f>
        <v>472.99200000000002</v>
      </c>
      <c r="AC93" s="40">
        <f>AC83</f>
        <v>480.86399999999998</v>
      </c>
      <c r="AD93" s="40">
        <f>AD83</f>
        <v>490.08</v>
      </c>
      <c r="AE93" s="40">
        <f>SUM(AE89:AE92)</f>
        <v>490.08</v>
      </c>
      <c r="AF93" s="39">
        <f>AF83</f>
        <v>492.22399999999999</v>
      </c>
      <c r="AG93" s="40">
        <f>AG83</f>
        <v>498.80799999999999</v>
      </c>
      <c r="AH93" s="40">
        <f>AH83</f>
        <v>509.12</v>
      </c>
      <c r="AI93" s="40">
        <f>AI83</f>
        <v>514.69600000000003</v>
      </c>
      <c r="AJ93" s="40">
        <f>SUM(AJ89:AJ92)</f>
        <v>514.69600000000014</v>
      </c>
      <c r="AK93" s="39">
        <f>AK83</f>
        <v>517.19200000000001</v>
      </c>
      <c r="AL93" s="40">
        <f>AL83</f>
        <v>524.596</v>
      </c>
      <c r="AM93" s="40">
        <f>AM83</f>
        <v>530.22</v>
      </c>
      <c r="AN93" s="41">
        <f>AN83</f>
        <v>536.70799999999997</v>
      </c>
      <c r="AO93" s="40">
        <f>SUM(AO89:AO92)</f>
        <v>536.70800000000008</v>
      </c>
      <c r="AP93" s="40">
        <f>AP83</f>
        <v>540.29999999999995</v>
      </c>
      <c r="AQ93" s="40">
        <f>AQ83</f>
        <v>546.18799999999999</v>
      </c>
      <c r="AR93" s="40">
        <f>AR83</f>
        <v>552.76</v>
      </c>
      <c r="AS93" s="41">
        <f>AS83</f>
        <v>557.38400000000001</v>
      </c>
      <c r="AT93" s="40">
        <f>SUM(AT89:AT92)</f>
        <v>557.38400000000013</v>
      </c>
      <c r="AU93" s="40">
        <f>AU83</f>
        <v>561.50800000000004</v>
      </c>
      <c r="AV93" s="40">
        <f>AV83</f>
        <v>563.54399999999998</v>
      </c>
      <c r="AW93" s="40">
        <f>AW83</f>
        <v>567.12400000000002</v>
      </c>
      <c r="AX93" s="40">
        <f>AX83</f>
        <v>570.05200000000002</v>
      </c>
      <c r="AY93" s="40">
        <f>SUM(AY89:AY92)</f>
        <v>570.05200000000013</v>
      </c>
      <c r="AZ93" s="39">
        <f>AZ83</f>
        <v>574.99599999999998</v>
      </c>
      <c r="BA93" s="40">
        <f>BA83</f>
        <v>578.41200000000003</v>
      </c>
      <c r="BB93" s="40">
        <f>BB83</f>
        <v>580.57000000000005</v>
      </c>
      <c r="BC93" s="40">
        <f>BC83</f>
        <v>576.024</v>
      </c>
      <c r="BD93" s="40">
        <f>SUM(BD89:BD92)</f>
        <v>576.02400000000011</v>
      </c>
      <c r="BE93" s="39">
        <f>BE83</f>
        <v>577.64200000000005</v>
      </c>
      <c r="BF93" s="40">
        <f>BF83</f>
        <v>583.18600000000004</v>
      </c>
      <c r="BG93" s="40">
        <f>BG83</f>
        <v>582.36800000000005</v>
      </c>
      <c r="BH93" s="41">
        <f>BH83</f>
        <v>583.34</v>
      </c>
      <c r="BI93" s="40">
        <f>SUM(BI89:BI92)</f>
        <v>583.34000000000015</v>
      </c>
      <c r="BJ93" s="40">
        <f>BJ83</f>
        <v>583.99400000000003</v>
      </c>
      <c r="BK93" s="40">
        <f>BK83</f>
        <v>586.33799999999997</v>
      </c>
      <c r="BL93" s="40">
        <f>BL83</f>
        <v>589.29999999999995</v>
      </c>
      <c r="BM93" s="41">
        <f>BM83</f>
        <v>594.46199999999999</v>
      </c>
      <c r="BN93" s="40">
        <f>SUM(BN89:BN92)</f>
        <v>594.4620000000001</v>
      </c>
      <c r="BO93" s="40">
        <f>BO83</f>
        <v>598.76</v>
      </c>
      <c r="BP93" s="40">
        <f>BP83</f>
        <v>601.60400000000004</v>
      </c>
      <c r="BQ93" s="40">
        <f>BQ83</f>
        <v>606.70799999999997</v>
      </c>
      <c r="BR93" s="40">
        <f>BR83</f>
        <v>607.88199999999995</v>
      </c>
      <c r="BS93" s="40">
        <f>SUM(BS89:BS92)</f>
        <v>607.88200000000006</v>
      </c>
      <c r="BT93" s="39">
        <f>BT83</f>
        <v>608.41999999999996</v>
      </c>
      <c r="BU93" s="40">
        <f>BU83</f>
        <v>607.21600000000001</v>
      </c>
      <c r="BV93" s="40">
        <f>BV83</f>
        <v>604.16800000000001</v>
      </c>
      <c r="BW93" s="40">
        <f>BW83</f>
        <v>606.21199999999999</v>
      </c>
      <c r="BX93" s="40">
        <f>SUM(BX89:BX92)</f>
        <v>606.21199999999999</v>
      </c>
      <c r="BY93" s="39">
        <f>BY83</f>
        <v>608.846</v>
      </c>
      <c r="BZ93" s="40">
        <f>BZ83</f>
        <v>598.50400000000002</v>
      </c>
      <c r="CA93" s="40">
        <f>CA83</f>
        <v>599.88</v>
      </c>
      <c r="CB93" s="40">
        <f>CB83</f>
        <v>603.36</v>
      </c>
      <c r="CC93" s="334">
        <f>SUM(CC89:CC92)</f>
        <v>603.36</v>
      </c>
      <c r="CD93" s="40">
        <f>CD83</f>
        <v>604.97</v>
      </c>
      <c r="CE93" s="40">
        <f>CE83</f>
        <v>602.64400000000001</v>
      </c>
      <c r="CF93" s="40">
        <f>CF83</f>
        <v>604.73800000000006</v>
      </c>
      <c r="CG93" s="40">
        <f>CG83</f>
        <v>607.72799999999995</v>
      </c>
      <c r="CH93" s="334">
        <f>SUM(CH89:CH92)</f>
        <v>607.72799999999995</v>
      </c>
      <c r="CI93" s="40">
        <f>CI83</f>
        <v>608.94000000000005</v>
      </c>
      <c r="CJ93" s="40">
        <f>CJ83</f>
        <v>609</v>
      </c>
      <c r="CK93" s="40">
        <f>CK83</f>
        <v>609.20000000000005</v>
      </c>
      <c r="CL93" s="40">
        <f>CL83</f>
        <v>610</v>
      </c>
      <c r="CM93" s="334">
        <f>SUM(CM89:CM92)</f>
        <v>610</v>
      </c>
      <c r="CN93" s="40">
        <f>CN83</f>
        <v>610.51700000000005</v>
      </c>
      <c r="CO93" s="40">
        <f>CO83</f>
        <v>609.529</v>
      </c>
      <c r="CP93" s="40">
        <f>CP83</f>
        <v>608.06799999999998</v>
      </c>
      <c r="CQ93" s="40">
        <f>CQ83</f>
        <v>609</v>
      </c>
      <c r="CR93" s="334">
        <f>SUM(CR89:CR92)</f>
        <v>609</v>
      </c>
      <c r="CS93" s="40">
        <f>CS83</f>
        <v>606.20000000000005</v>
      </c>
      <c r="CT93" s="40">
        <f>CT83</f>
        <v>607.29999999999995</v>
      </c>
      <c r="CU93" s="40">
        <f>CU83</f>
        <v>606.6</v>
      </c>
      <c r="CV93" s="40">
        <f>CV83</f>
        <v>607</v>
      </c>
      <c r="CW93" s="334">
        <f t="shared" ref="CW93:DL93" si="199">SUM(CW89:CW92)</f>
        <v>606.99999999999989</v>
      </c>
      <c r="CX93" s="40">
        <f>CX83</f>
        <v>589</v>
      </c>
      <c r="CY93" s="40">
        <f>CY83</f>
        <v>590</v>
      </c>
      <c r="CZ93" s="40">
        <f>CZ83</f>
        <v>590</v>
      </c>
      <c r="DA93" s="40">
        <f>DA83</f>
        <v>588</v>
      </c>
      <c r="DB93" s="334">
        <f t="shared" si="199"/>
        <v>587.99999999999989</v>
      </c>
      <c r="DC93" s="40">
        <f t="shared" si="199"/>
        <v>586.35132550506489</v>
      </c>
      <c r="DD93" s="40">
        <f t="shared" si="199"/>
        <v>584.76183627991043</v>
      </c>
      <c r="DE93" s="40">
        <f t="shared" si="199"/>
        <v>583.2303718290508</v>
      </c>
      <c r="DF93" s="40">
        <f t="shared" si="199"/>
        <v>581.75579441181344</v>
      </c>
      <c r="DG93" s="334">
        <f t="shared" si="199"/>
        <v>581.75579441181344</v>
      </c>
      <c r="DH93" s="40">
        <f t="shared" si="199"/>
        <v>579.40746190299137</v>
      </c>
      <c r="DI93" s="40">
        <f t="shared" si="199"/>
        <v>577.13203344853605</v>
      </c>
      <c r="DJ93" s="40">
        <f t="shared" si="199"/>
        <v>574.92807955718524</v>
      </c>
      <c r="DK93" s="40">
        <f t="shared" si="199"/>
        <v>572.79419876691736</v>
      </c>
      <c r="DL93" s="334">
        <f t="shared" si="199"/>
        <v>572.79419876691748</v>
      </c>
      <c r="DM93" s="40">
        <f t="shared" ref="DM93:DQ93" si="200">SUM(DM89:DM92)</f>
        <v>570.72901709535824</v>
      </c>
      <c r="DN93" s="40">
        <f t="shared" si="200"/>
        <v>568.73118750096455</v>
      </c>
      <c r="DO93" s="40">
        <f t="shared" si="200"/>
        <v>566.7993893547723</v>
      </c>
      <c r="DP93" s="40">
        <f t="shared" si="200"/>
        <v>564.93232792250308</v>
      </c>
      <c r="DQ93" s="334">
        <f t="shared" si="200"/>
        <v>564.93232792250342</v>
      </c>
      <c r="DR93" s="39"/>
      <c r="DS93" s="40"/>
      <c r="DT93"/>
      <c r="DU93"/>
      <c r="DV93"/>
      <c r="DW93"/>
      <c r="DX93"/>
      <c r="DY93"/>
    </row>
    <row r="94" spans="1:129" s="115" customFormat="1" hidden="1" outlineLevel="1">
      <c r="A94" s="694"/>
      <c r="B94" s="582"/>
      <c r="C94" s="583"/>
      <c r="D94" s="583"/>
      <c r="E94" s="583"/>
      <c r="F94" s="583"/>
      <c r="G94" s="39"/>
      <c r="H94" s="40"/>
      <c r="I94" s="40"/>
      <c r="J94" s="41"/>
      <c r="K94" s="39"/>
      <c r="L94" s="39"/>
      <c r="M94" s="40"/>
      <c r="N94" s="40"/>
      <c r="O94" s="40"/>
      <c r="P94" s="40"/>
      <c r="Q94" s="39"/>
      <c r="R94" s="40"/>
      <c r="S94" s="40"/>
      <c r="T94" s="41"/>
      <c r="U94" s="40"/>
      <c r="V94" s="40"/>
      <c r="W94" s="40"/>
      <c r="X94" s="40"/>
      <c r="Y94" s="41"/>
      <c r="Z94" s="40"/>
      <c r="AA94" s="40"/>
      <c r="AB94" s="40"/>
      <c r="AC94" s="40"/>
      <c r="AD94" s="40"/>
      <c r="AE94" s="40"/>
      <c r="AF94" s="39"/>
      <c r="AG94" s="40"/>
      <c r="AH94" s="40"/>
      <c r="AI94" s="40"/>
      <c r="AJ94" s="40"/>
      <c r="AK94" s="39"/>
      <c r="AL94" s="40"/>
      <c r="AM94" s="40"/>
      <c r="AN94" s="41"/>
      <c r="AO94" s="40"/>
      <c r="AP94" s="40"/>
      <c r="AQ94" s="40"/>
      <c r="AR94" s="40"/>
      <c r="AS94" s="41"/>
      <c r="AT94" s="40"/>
      <c r="AU94" s="40"/>
      <c r="AV94" s="40"/>
      <c r="AW94" s="40"/>
      <c r="AX94" s="40"/>
      <c r="AY94" s="40"/>
      <c r="AZ94" s="39"/>
      <c r="BA94" s="40"/>
      <c r="BB94" s="40"/>
      <c r="BC94" s="40"/>
      <c r="BD94" s="40"/>
      <c r="BE94" s="39"/>
      <c r="BF94" s="40"/>
      <c r="BG94" s="40"/>
      <c r="BH94" s="41"/>
      <c r="BI94" s="40"/>
      <c r="BJ94" s="40"/>
      <c r="BK94" s="40"/>
      <c r="BL94" s="40"/>
      <c r="BM94" s="41"/>
      <c r="BN94" s="40"/>
      <c r="BO94" s="40"/>
      <c r="BP94" s="40"/>
      <c r="BQ94" s="40"/>
      <c r="BR94" s="40"/>
      <c r="BS94" s="40"/>
      <c r="BT94" s="39"/>
      <c r="BU94" s="40"/>
      <c r="BV94" s="40"/>
      <c r="BW94" s="40"/>
      <c r="BX94" s="40"/>
      <c r="BY94" s="39"/>
      <c r="BZ94" s="40"/>
      <c r="CA94" s="40"/>
      <c r="CB94" s="40"/>
      <c r="CC94" s="334"/>
      <c r="CD94" s="194"/>
      <c r="CE94" s="194"/>
      <c r="CF94" s="194"/>
      <c r="CG94" s="194"/>
      <c r="CH94" s="334"/>
      <c r="CI94" s="194"/>
      <c r="CJ94" s="194"/>
      <c r="CK94" s="194"/>
      <c r="CL94" s="194"/>
      <c r="CM94" s="334"/>
      <c r="CN94" s="194"/>
      <c r="CO94" s="194"/>
      <c r="CP94" s="194"/>
      <c r="CQ94" s="194"/>
      <c r="CR94" s="334"/>
      <c r="CS94" s="194"/>
      <c r="CT94" s="194"/>
      <c r="CU94" s="40"/>
      <c r="CV94" s="194"/>
      <c r="CW94" s="334"/>
      <c r="CX94" s="194"/>
      <c r="CY94" s="40"/>
      <c r="CZ94" s="40"/>
      <c r="DA94" s="40"/>
      <c r="DB94" s="334"/>
      <c r="DC94" s="40"/>
      <c r="DD94" s="40"/>
      <c r="DE94" s="40"/>
      <c r="DF94" s="40"/>
      <c r="DG94" s="334"/>
      <c r="DH94" s="40"/>
      <c r="DI94" s="40"/>
      <c r="DJ94" s="40"/>
      <c r="DK94" s="40"/>
      <c r="DL94" s="334"/>
      <c r="DM94" s="40"/>
      <c r="DN94" s="40"/>
      <c r="DO94" s="40"/>
      <c r="DP94" s="40"/>
      <c r="DQ94" s="334"/>
      <c r="DR94" s="39"/>
      <c r="DS94" s="40"/>
      <c r="DT94"/>
      <c r="DU94"/>
      <c r="DV94"/>
      <c r="DW94"/>
      <c r="DX94"/>
      <c r="DY94"/>
    </row>
    <row r="95" spans="1:129" s="202" customFormat="1" hidden="1" outlineLevel="1">
      <c r="A95" s="695"/>
      <c r="B95" s="696" t="s">
        <v>23</v>
      </c>
      <c r="C95" s="697"/>
      <c r="D95" s="697"/>
      <c r="E95" s="697"/>
      <c r="F95" s="697"/>
      <c r="G95" s="268"/>
      <c r="H95" s="270"/>
      <c r="I95" s="270"/>
      <c r="J95" s="271"/>
      <c r="K95" s="273"/>
      <c r="L95" s="268"/>
      <c r="M95" s="270"/>
      <c r="N95" s="270"/>
      <c r="O95" s="270"/>
      <c r="P95" s="269"/>
      <c r="Q95" s="268"/>
      <c r="R95" s="270"/>
      <c r="S95" s="270"/>
      <c r="T95" s="271"/>
      <c r="U95" s="269"/>
      <c r="V95" s="270"/>
      <c r="W95" s="270"/>
      <c r="X95" s="270"/>
      <c r="Y95" s="271"/>
      <c r="Z95" s="269"/>
      <c r="AA95" s="270"/>
      <c r="AB95" s="270"/>
      <c r="AC95" s="270"/>
      <c r="AD95" s="270"/>
      <c r="AE95" s="269"/>
      <c r="AF95" s="268"/>
      <c r="AG95" s="270"/>
      <c r="AH95" s="270"/>
      <c r="AI95" s="270"/>
      <c r="AJ95" s="269"/>
      <c r="AK95" s="268"/>
      <c r="AL95" s="270"/>
      <c r="AM95" s="270"/>
      <c r="AN95" s="271"/>
      <c r="AO95" s="269"/>
      <c r="AP95" s="270"/>
      <c r="AQ95" s="270"/>
      <c r="AR95" s="270"/>
      <c r="AS95" s="271"/>
      <c r="AT95" s="269"/>
      <c r="AU95" s="270"/>
      <c r="AV95" s="270"/>
      <c r="AW95" s="270"/>
      <c r="AX95" s="270"/>
      <c r="AY95" s="269"/>
      <c r="AZ95" s="268"/>
      <c r="BA95" s="270"/>
      <c r="BB95" s="270"/>
      <c r="BC95" s="270"/>
      <c r="BD95" s="269"/>
      <c r="BE95" s="268"/>
      <c r="BF95" s="270"/>
      <c r="BG95" s="270"/>
      <c r="BH95" s="271"/>
      <c r="BI95" s="269"/>
      <c r="BJ95" s="270"/>
      <c r="BK95" s="270"/>
      <c r="BL95" s="270"/>
      <c r="BM95" s="271"/>
      <c r="BN95" s="269"/>
      <c r="BO95" s="270"/>
      <c r="BP95" s="270"/>
      <c r="BQ95" s="270"/>
      <c r="BR95" s="270"/>
      <c r="BS95" s="269"/>
      <c r="BT95" s="268"/>
      <c r="BU95" s="270"/>
      <c r="BV95" s="270"/>
      <c r="BW95" s="270"/>
      <c r="BX95" s="269"/>
      <c r="BY95" s="268"/>
      <c r="BZ95" s="270"/>
      <c r="CA95" s="270"/>
      <c r="CB95" s="272"/>
      <c r="CC95" s="339"/>
      <c r="CD95" s="272"/>
      <c r="CE95" s="272"/>
      <c r="CF95" s="272"/>
      <c r="CG95" s="272"/>
      <c r="CH95" s="339"/>
      <c r="CI95" s="272"/>
      <c r="CJ95" s="272"/>
      <c r="CK95" s="272"/>
      <c r="CL95" s="272"/>
      <c r="CM95" s="339"/>
      <c r="CN95" s="272"/>
      <c r="CO95" s="272"/>
      <c r="CP95" s="272"/>
      <c r="CQ95" s="272"/>
      <c r="CR95" s="742"/>
      <c r="CS95" s="272"/>
      <c r="CT95" s="272"/>
      <c r="CU95" s="272"/>
      <c r="CV95" s="272"/>
      <c r="CW95" s="742"/>
      <c r="CX95" s="272"/>
      <c r="CY95" s="272"/>
      <c r="CZ95" s="272"/>
      <c r="DA95" s="272"/>
      <c r="DB95" s="742"/>
      <c r="DC95" s="272"/>
      <c r="DD95" s="272"/>
      <c r="DE95" s="272"/>
      <c r="DF95" s="272"/>
      <c r="DG95" s="742"/>
      <c r="DH95" s="272"/>
      <c r="DI95" s="272"/>
      <c r="DJ95" s="272"/>
      <c r="DK95" s="272"/>
      <c r="DL95" s="742"/>
      <c r="DM95" s="272"/>
      <c r="DN95" s="272"/>
      <c r="DO95" s="272"/>
      <c r="DP95" s="272"/>
      <c r="DQ95" s="742"/>
      <c r="DR95" s="273"/>
      <c r="DS95" s="269"/>
      <c r="DT95"/>
      <c r="DU95"/>
      <c r="DV95"/>
      <c r="DW95"/>
      <c r="DX95"/>
      <c r="DY95"/>
    </row>
    <row r="96" spans="1:129" s="60" customFormat="1" hidden="1" outlineLevel="1">
      <c r="A96" s="681"/>
      <c r="B96" s="579"/>
      <c r="C96" s="580" t="s">
        <v>125</v>
      </c>
      <c r="D96" s="580"/>
      <c r="E96" s="580"/>
      <c r="F96" s="580"/>
      <c r="G96" s="35">
        <f>CF!G36+CF!G38</f>
        <v>-5.8000000000000003E-2</v>
      </c>
      <c r="H96" s="36">
        <f>CF!H36+CF!H38</f>
        <v>22.59</v>
      </c>
      <c r="I96" s="36">
        <f>CF!I36+CF!I38</f>
        <v>1.399999999999952E-2</v>
      </c>
      <c r="J96" s="37">
        <f>CF!J36+CF!J38</f>
        <v>1.0310000000000008</v>
      </c>
      <c r="K96" s="36">
        <f>SUM(G96:J96)</f>
        <v>23.577000000000002</v>
      </c>
      <c r="L96" s="35">
        <f>CF!L36+CF!L38</f>
        <v>9.6000000000000002E-2</v>
      </c>
      <c r="M96" s="36">
        <f>CF!M36+CF!M38</f>
        <v>0.127</v>
      </c>
      <c r="N96" s="36">
        <f>CF!N36+CF!N38</f>
        <v>3.4000000000000002E-2</v>
      </c>
      <c r="O96" s="36">
        <f>CF!O36+CF!O38</f>
        <v>0.29400000000000004</v>
      </c>
      <c r="P96" s="36">
        <f>SUM(L96:O96)</f>
        <v>0.55100000000000005</v>
      </c>
      <c r="Q96" s="35">
        <f>CF!Q36+CF!Q38</f>
        <v>0.35099999999999998</v>
      </c>
      <c r="R96" s="36">
        <f>CF!R36+CF!R38</f>
        <v>0.56600000000000006</v>
      </c>
      <c r="S96" s="36">
        <f>CF!S36+CF!S38</f>
        <v>0.43999999999999995</v>
      </c>
      <c r="T96" s="37">
        <f>CF!T36+CF!T38</f>
        <v>0.36299999999999999</v>
      </c>
      <c r="U96" s="36">
        <f>SUM(Q96:T96)</f>
        <v>1.72</v>
      </c>
      <c r="V96" s="36">
        <f>CF!V36+CF!V38</f>
        <v>0.75600000000000001</v>
      </c>
      <c r="W96" s="36">
        <f>CF!W36+CF!W38</f>
        <v>2.3570000000000002</v>
      </c>
      <c r="X96" s="36">
        <f>CF!X36+CF!X38</f>
        <v>1.7049999999999994</v>
      </c>
      <c r="Y96" s="37">
        <f>CF!Y36+CF!Y38</f>
        <v>1.1730000000000003</v>
      </c>
      <c r="Z96" s="36">
        <f>SUM(V96:Y96)</f>
        <v>5.9909999999999997</v>
      </c>
      <c r="AA96" s="36">
        <f>CF!AA36+CF!AA38</f>
        <v>0.67400000000000004</v>
      </c>
      <c r="AB96" s="36">
        <f>CF!AB36+CF!AB38</f>
        <v>5.3049999999999997</v>
      </c>
      <c r="AC96" s="36">
        <f>CF!AC36+CF!AC38</f>
        <v>6.9810000000000008</v>
      </c>
      <c r="AD96" s="36">
        <f>CF!AD36+CF!AD38</f>
        <v>7.0829999999999975</v>
      </c>
      <c r="AE96" s="36">
        <f>SUM(AA96:AD96)</f>
        <v>20.042999999999999</v>
      </c>
      <c r="AF96" s="35">
        <f>CF!AF36+CF!AF38</f>
        <v>2.823</v>
      </c>
      <c r="AG96" s="36">
        <f>CF!AG36+CF!AG38</f>
        <v>6.0559999999999992</v>
      </c>
      <c r="AH96" s="36">
        <f>CF!AH36+CF!AH38</f>
        <v>9.3179999999999996</v>
      </c>
      <c r="AI96" s="36">
        <f>CF!AI36+CF!AI38</f>
        <v>6.0549999999999997</v>
      </c>
      <c r="AJ96" s="36">
        <f>SUM(AF96:AI96)</f>
        <v>24.251999999999999</v>
      </c>
      <c r="AK96" s="35">
        <f>CF!AK36+CF!AK38</f>
        <v>4.5430000000000001</v>
      </c>
      <c r="AL96" s="36">
        <f>CF!AL36+CF!AL38</f>
        <v>8.3520000000000003</v>
      </c>
      <c r="AM96" s="36">
        <f>CF!AM36+CF!AM38</f>
        <v>10.804000000000002</v>
      </c>
      <c r="AN96" s="37">
        <f>CF!AN36+CF!AN38</f>
        <v>13.068999999999999</v>
      </c>
      <c r="AO96" s="36">
        <f>SUM(AK96:AN96)</f>
        <v>36.768000000000001</v>
      </c>
      <c r="AP96" s="36">
        <f>CF!AP36+CF!AP38</f>
        <v>11.182</v>
      </c>
      <c r="AQ96" s="36">
        <f>CF!AQ36+CF!AQ38</f>
        <v>11.828999999999999</v>
      </c>
      <c r="AR96" s="36">
        <f>CF!AR36+CF!AR38</f>
        <v>11.476000000000001</v>
      </c>
      <c r="AS96" s="37">
        <f>CF!AS36+CF!AS38</f>
        <v>12.964</v>
      </c>
      <c r="AT96" s="36">
        <f>SUM(AP96:AS96)</f>
        <v>47.451000000000001</v>
      </c>
      <c r="AU96" s="36">
        <f>CF!AU36+CF!AU38</f>
        <v>13.587</v>
      </c>
      <c r="AV96" s="36">
        <f>CF!AV36+CF!AV38</f>
        <v>9.2850000000000001</v>
      </c>
      <c r="AW96" s="36">
        <f>CF!AW36+CF!AW38</f>
        <v>14.564</v>
      </c>
      <c r="AX96" s="36">
        <f>CF!AX36+CF!AX38</f>
        <v>13.963999999999999</v>
      </c>
      <c r="AY96" s="36">
        <f>SUM(AU96:AX96)</f>
        <v>51.4</v>
      </c>
      <c r="AZ96" s="35">
        <f>CF!AZ36+CF!AZ38</f>
        <v>20.106000000000002</v>
      </c>
      <c r="BA96" s="36">
        <f>CF!BA36+CF!BA38</f>
        <v>15.881999999999998</v>
      </c>
      <c r="BB96" s="36">
        <f>CF!BB36+CF!BB38</f>
        <v>11.834000000000003</v>
      </c>
      <c r="BC96" s="36">
        <f>CF!BC36+CF!BC38</f>
        <v>19.280999999999992</v>
      </c>
      <c r="BD96" s="36">
        <f>SUM(AZ96:BC96)</f>
        <v>67.102999999999994</v>
      </c>
      <c r="BE96" s="35">
        <f>CF!BE36+CF!BE38</f>
        <v>12.834</v>
      </c>
      <c r="BF96" s="36">
        <f>CF!BF36+CF!BF38</f>
        <v>27.458000000000002</v>
      </c>
      <c r="BG96" s="36">
        <f>CF!BG36+CF!BG38</f>
        <v>8.5210000000000008</v>
      </c>
      <c r="BH96" s="37">
        <f>CF!BH36+CF!BH38</f>
        <v>6.0629999999999953</v>
      </c>
      <c r="BI96" s="36">
        <f>SUM(BE96:BH96)</f>
        <v>54.875999999999998</v>
      </c>
      <c r="BJ96" s="35">
        <f>CF!BJ36+CF!BJ38</f>
        <v>8.7639999999999993</v>
      </c>
      <c r="BK96" s="36">
        <f>CF!BK36+CF!BK38</f>
        <v>9.6829999999999998</v>
      </c>
      <c r="BL96" s="36">
        <f>CF!BL36+CF!BL38</f>
        <v>15.312999999999999</v>
      </c>
      <c r="BM96" s="36">
        <f>CF!BM36+CF!BM38</f>
        <v>27.891000000000009</v>
      </c>
      <c r="BN96" s="36">
        <f>SUM(BJ96:BM96)</f>
        <v>61.65100000000001</v>
      </c>
      <c r="BO96" s="35">
        <f>CF!BO36+CF!BO38</f>
        <v>30.103000000000002</v>
      </c>
      <c r="BP96" s="36">
        <f>CF!BP36+CF!BP38</f>
        <v>19.832000000000001</v>
      </c>
      <c r="BQ96" s="36">
        <f>CF!BQ36+CF!BQ38</f>
        <v>37.134999999999998</v>
      </c>
      <c r="BR96" s="36">
        <f>CF!BR36+CF!BR38</f>
        <v>20.01400000000001</v>
      </c>
      <c r="BS96" s="36">
        <f>SUM(BO96:BR96)</f>
        <v>107.084</v>
      </c>
      <c r="BT96" s="35">
        <f>CF!BT36+CF!BT38</f>
        <v>23.43</v>
      </c>
      <c r="BU96" s="36">
        <f>CF!BU36+CF!BU38</f>
        <v>16.851999999999997</v>
      </c>
      <c r="BV96" s="36">
        <f>CF!BV36+CF!BV38</f>
        <v>16.995000000000005</v>
      </c>
      <c r="BW96" s="36">
        <f>CF!BW36+CF!BW38</f>
        <v>22.274000000000001</v>
      </c>
      <c r="BX96" s="36">
        <f>SUM(BT96:BW96)</f>
        <v>79.551000000000002</v>
      </c>
      <c r="BY96" s="35">
        <f>CF!BY36+CF!BY38</f>
        <v>43.353000000000002</v>
      </c>
      <c r="BZ96" s="36">
        <f>CF!BZ36+CF!BZ38</f>
        <v>18.173999999999999</v>
      </c>
      <c r="CA96" s="36">
        <f>CF!CA36+CF!CA38</f>
        <v>30.356000000000002</v>
      </c>
      <c r="CB96" s="36">
        <f>CF!CB36+CF!CB38</f>
        <v>37.601000000000006</v>
      </c>
      <c r="CC96" s="333">
        <f>SUM(BY96:CB96)</f>
        <v>129.48400000000001</v>
      </c>
      <c r="CD96" s="36">
        <f>CF!CD36+CF!CD38</f>
        <v>31.995999999999999</v>
      </c>
      <c r="CE96" s="36">
        <f>CF!CE36+CF!CE38</f>
        <v>16.55</v>
      </c>
      <c r="CF96" s="36">
        <f>CF!CF36+CF!CF38</f>
        <v>28.291000000000007</v>
      </c>
      <c r="CG96" s="36">
        <f>CF!CG36+CF!CG38</f>
        <v>40.718999999999994</v>
      </c>
      <c r="CH96" s="333">
        <f>SUM(CD96:CG96)</f>
        <v>117.556</v>
      </c>
      <c r="CI96" s="36">
        <f>CF!CI36+CF!CI38</f>
        <v>22.3</v>
      </c>
      <c r="CJ96" s="36">
        <f>CF!CJ36+CF!CJ38</f>
        <v>27.538999999999998</v>
      </c>
      <c r="CK96" s="36">
        <f>CF!CK36+CF!CK38</f>
        <v>1.4000000000002899E-2</v>
      </c>
      <c r="CL96" s="36">
        <f>CF!CL36+CF!CL38</f>
        <v>51.602000000000004</v>
      </c>
      <c r="CM96" s="333">
        <f>SUM(CI96:CL96)</f>
        <v>101.45500000000001</v>
      </c>
      <c r="CN96" s="36">
        <f>CF!CN36+CF!CN38</f>
        <v>36.700000000000003</v>
      </c>
      <c r="CO96" s="36">
        <f>CF!CO36+CF!CO38</f>
        <v>31.799999999999997</v>
      </c>
      <c r="CP96" s="36">
        <f>CF!CP36+CF!CP38</f>
        <v>30.400000000000006</v>
      </c>
      <c r="CQ96" s="36">
        <f>CF!CQ36+CF!CQ38</f>
        <v>32.699999999999989</v>
      </c>
      <c r="CR96" s="333">
        <f>SUM(CN96:CQ96)</f>
        <v>131.6</v>
      </c>
      <c r="CS96" s="36">
        <f>CF!CS36+CF!CS38</f>
        <v>49.4</v>
      </c>
      <c r="CT96" s="36">
        <f>CF!CT36+CF!CT38</f>
        <v>40.9</v>
      </c>
      <c r="CU96" s="36">
        <f>CF!CU36+CF!CU38</f>
        <v>44.29999999999999</v>
      </c>
      <c r="CV96" s="36">
        <f>CF!CV36+CF!CV38</f>
        <v>41.400000000000013</v>
      </c>
      <c r="CW96" s="352">
        <f>SUM(CS96:CV96)</f>
        <v>176</v>
      </c>
      <c r="CX96" s="36">
        <f>CF!CX36+CF!CX38</f>
        <v>61</v>
      </c>
      <c r="CY96" s="36">
        <f>CF!CY36+CF!CY38</f>
        <v>43</v>
      </c>
      <c r="CZ96" s="36">
        <f>CF!CZ36+CF!CZ38</f>
        <v>42</v>
      </c>
      <c r="DA96" s="36">
        <f>CF!DA36+CF!DA38</f>
        <v>43</v>
      </c>
      <c r="DB96" s="352">
        <f>SUM(CX96:DA96)</f>
        <v>189</v>
      </c>
      <c r="DC96" s="126">
        <v>20</v>
      </c>
      <c r="DD96" s="126">
        <v>20</v>
      </c>
      <c r="DE96" s="126">
        <v>20</v>
      </c>
      <c r="DF96" s="126">
        <v>20</v>
      </c>
      <c r="DG96" s="352">
        <f>SUM(DC96:DF96)</f>
        <v>80</v>
      </c>
      <c r="DH96" s="126">
        <v>20</v>
      </c>
      <c r="DI96" s="126">
        <v>20</v>
      </c>
      <c r="DJ96" s="126">
        <v>20</v>
      </c>
      <c r="DK96" s="126">
        <v>20</v>
      </c>
      <c r="DL96" s="352">
        <f>SUM(DH96:DK96)</f>
        <v>80</v>
      </c>
      <c r="DM96" s="126">
        <v>20</v>
      </c>
      <c r="DN96" s="126">
        <v>20</v>
      </c>
      <c r="DO96" s="126">
        <v>20</v>
      </c>
      <c r="DP96" s="126">
        <v>20</v>
      </c>
      <c r="DQ96" s="352">
        <f>SUM(DM96:DP96)</f>
        <v>80</v>
      </c>
      <c r="DR96" s="35"/>
      <c r="DS96" s="36"/>
      <c r="DT96"/>
      <c r="DU96"/>
      <c r="DV96"/>
      <c r="DW96"/>
      <c r="DX96"/>
      <c r="DY96"/>
    </row>
    <row r="97" spans="1:129" s="60" customFormat="1" hidden="1" outlineLevel="1">
      <c r="A97" s="681"/>
      <c r="B97" s="579"/>
      <c r="C97" s="580" t="s">
        <v>126</v>
      </c>
      <c r="D97" s="580"/>
      <c r="E97" s="580"/>
      <c r="F97" s="580"/>
      <c r="G97" s="276">
        <f>22.845/(2.613+0.438)/2</f>
        <v>3.7438544739429691</v>
      </c>
      <c r="H97" s="277">
        <f>22.845/(2.613+0.438)/2</f>
        <v>3.7438544739429691</v>
      </c>
      <c r="I97" s="277">
        <f>22.845/(2.613+0.438)/2</f>
        <v>3.7438544739429691</v>
      </c>
      <c r="J97" s="283">
        <f>0.144/0.037/24/2</f>
        <v>8.1081081081081072E-2</v>
      </c>
      <c r="K97" s="281">
        <f>K96/K98</f>
        <v>2.3017272230722385</v>
      </c>
      <c r="L97" s="276">
        <f>0.551/0.096/24/2</f>
        <v>0.11957465277777779</v>
      </c>
      <c r="M97" s="277">
        <f>0.551/0.096/24/2</f>
        <v>0.11957465277777779</v>
      </c>
      <c r="N97" s="277">
        <f>0.551/0.096/24/2</f>
        <v>0.11957465277777779</v>
      </c>
      <c r="O97" s="277">
        <f>0.551/0.096/24/2</f>
        <v>0.11957465277777779</v>
      </c>
      <c r="P97" s="281">
        <f>P96/P98</f>
        <v>0.11957465277777778</v>
      </c>
      <c r="Q97" s="276">
        <f>(0.783+0.937)/(12*(0.129+0.032))/2</f>
        <v>0.44513457556935826</v>
      </c>
      <c r="R97" s="277">
        <f>(0.783+0.937)/(12*(0.129+0.032))/2</f>
        <v>0.44513457556935826</v>
      </c>
      <c r="S97" s="277">
        <f>(0.783+0.937)/(12*(0.129+0.032))/2</f>
        <v>0.44513457556935826</v>
      </c>
      <c r="T97" s="283">
        <f>(0.783+0.937)/(12*(0.129+0.032))/2</f>
        <v>0.44513457556935826</v>
      </c>
      <c r="U97" s="281">
        <f>U96/U98</f>
        <v>0.44513457556935826</v>
      </c>
      <c r="V97" s="277">
        <f>(5.138+0.842)/(12*(0.665+0.037))/2</f>
        <v>0.35493827160493818</v>
      </c>
      <c r="W97" s="277">
        <f>(5.138+0.842)/(12*(0.665+0.037))/2</f>
        <v>0.35493827160493818</v>
      </c>
      <c r="X97" s="277">
        <f>(5.138+0.842)/(12*(0.665+0.037))/2</f>
        <v>0.35493827160493818</v>
      </c>
      <c r="Y97" s="283">
        <f>(5.138+0.842)/(12*(0.665+0.037))/2</f>
        <v>0.35493827160493818</v>
      </c>
      <c r="Z97" s="281">
        <f>Z96/Z98</f>
        <v>0.35493827160493824</v>
      </c>
      <c r="AA97" s="277">
        <f>(18.912+1.131)/(12*(1.037+0.028))/2</f>
        <v>0.7841549295774648</v>
      </c>
      <c r="AB97" s="277">
        <f>(18.912+1.131)/(12*(1.037+0.028))/2</f>
        <v>0.7841549295774648</v>
      </c>
      <c r="AC97" s="277">
        <f>(18.912+1.131)/(12*(1.037+0.028))/2</f>
        <v>0.7841549295774648</v>
      </c>
      <c r="AD97" s="277">
        <f>(18.912+1.131)/(12*(1.037+0.028))/2</f>
        <v>0.7841549295774648</v>
      </c>
      <c r="AE97" s="281">
        <f>AE96/AE98</f>
        <v>0.78415492957746491</v>
      </c>
      <c r="AF97" s="276">
        <f>(21.888+2.364)/(2*(5.958+0.196))/2</f>
        <v>0.98521286967825816</v>
      </c>
      <c r="AG97" s="277">
        <f>(21.888+2.364)/(2*(5.958+0.196))/2</f>
        <v>0.98521286967825816</v>
      </c>
      <c r="AH97" s="277">
        <f>(21.888+2.364)/(2*(5.958+0.196))/2</f>
        <v>0.98521286967825816</v>
      </c>
      <c r="AI97" s="277">
        <f>(21.888+2.364)/(2*(5.958+0.196))/2</f>
        <v>0.98521286967825816</v>
      </c>
      <c r="AJ97" s="281">
        <f>AJ96/AJ98</f>
        <v>0.98521286967825827</v>
      </c>
      <c r="AK97" s="276">
        <f>(31.124+5.644)/(2*(5.263+0.24))/2</f>
        <v>1.670361620934036</v>
      </c>
      <c r="AL97" s="277">
        <f>(31.124+5.644)/(2*(5.263+0.24))/2</f>
        <v>1.670361620934036</v>
      </c>
      <c r="AM97" s="277">
        <f>(31.124+5.644)/(2*(5.263+0.24))/2</f>
        <v>1.670361620934036</v>
      </c>
      <c r="AN97" s="283">
        <f>(31.124+5.644)/(2*(5.263+0.24))/2</f>
        <v>1.670361620934036</v>
      </c>
      <c r="AO97" s="281">
        <f>AO96/AO98</f>
        <v>1.670361620934036</v>
      </c>
      <c r="AP97" s="277">
        <f>(32.743+14.708)/(2*(4.692+0.364))/2</f>
        <v>2.3462717563291138</v>
      </c>
      <c r="AQ97" s="277">
        <f>(32.743+14.708)/(2*(4.692+0.364))/2</f>
        <v>2.3462717563291138</v>
      </c>
      <c r="AR97" s="277">
        <f>(32.743+14.708)/(2*(4.692+0.364))/2</f>
        <v>2.3462717563291138</v>
      </c>
      <c r="AS97" s="283">
        <f>(32.743+14.708)/(2*(4.692+0.364))/2</f>
        <v>2.3462717563291138</v>
      </c>
      <c r="AT97" s="281">
        <f>AT96/AT98</f>
        <v>2.3462717563291133</v>
      </c>
      <c r="AU97" s="277">
        <f>(30.972+20.428)/(5.602+0.732)/2</f>
        <v>4.057467634985791</v>
      </c>
      <c r="AV97" s="277">
        <f>(30.972+20.428)/(5.602+0.732)/2</f>
        <v>4.057467634985791</v>
      </c>
      <c r="AW97" s="277">
        <f>(30.972+20.428)/(5.602+0.732)/2</f>
        <v>4.057467634985791</v>
      </c>
      <c r="AX97" s="277">
        <f>(30.972+20.428)/(5.602+0.732)/2</f>
        <v>4.057467634985791</v>
      </c>
      <c r="AY97" s="281">
        <f>AY96/AY98</f>
        <v>4.057467634985791</v>
      </c>
      <c r="AZ97" s="276">
        <f>(38.121+28.982)/(5.504+0.87)/2</f>
        <v>5.2638060872293702</v>
      </c>
      <c r="BA97" s="277">
        <f>(38.121+28.982)/(5.504+0.87)/2</f>
        <v>5.2638060872293702</v>
      </c>
      <c r="BB97" s="277">
        <f>(38.121+28.982)/(5.504+0.87)/2</f>
        <v>5.2638060872293702</v>
      </c>
      <c r="BC97" s="277">
        <f>(38.121+28.982)/(5.504+0.87)/2</f>
        <v>5.2638060872293702</v>
      </c>
      <c r="BD97" s="281">
        <f>BD96/BD98</f>
        <v>5.2638060872293702</v>
      </c>
      <c r="BE97" s="276">
        <f>(30.538+24.338)/(3.485+1.09)/2</f>
        <v>5.9973770491803284</v>
      </c>
      <c r="BF97" s="277">
        <f>(30.538+24.338)/(3.485+1.09)/2</f>
        <v>5.9973770491803284</v>
      </c>
      <c r="BG97" s="277">
        <f>(30.538+24.338)/(3.485+1.09)/2</f>
        <v>5.9973770491803284</v>
      </c>
      <c r="BH97" s="283">
        <f>(30.538+24.338)/(3.485+1.09)/2</f>
        <v>5.9973770491803284</v>
      </c>
      <c r="BI97" s="281">
        <f>BI96/BI98</f>
        <v>5.9973770491803284</v>
      </c>
      <c r="BJ97" s="276">
        <f>61.651/6.326/2</f>
        <v>4.8728264306038573</v>
      </c>
      <c r="BK97" s="277">
        <f>61.651/6.326/2</f>
        <v>4.8728264306038573</v>
      </c>
      <c r="BL97" s="277">
        <f>61.651/6.326/2</f>
        <v>4.8728264306038573</v>
      </c>
      <c r="BM97" s="277">
        <f>61.651/6.326/2</f>
        <v>4.8728264306038573</v>
      </c>
      <c r="BN97" s="281">
        <f>BN96/BN98</f>
        <v>4.8728264306038573</v>
      </c>
      <c r="BO97" s="276">
        <f>107.084/7.529/2</f>
        <v>7.1114357816443086</v>
      </c>
      <c r="BP97" s="277">
        <f>107.084/7.529/2</f>
        <v>7.1114357816443086</v>
      </c>
      <c r="BQ97" s="277">
        <f>107.084/7.529/2</f>
        <v>7.1114357816443086</v>
      </c>
      <c r="BR97" s="277">
        <f>107.084/7.529/2</f>
        <v>7.1114357816443086</v>
      </c>
      <c r="BS97" s="281">
        <f>BS96/BS98</f>
        <v>7.1114357816443077</v>
      </c>
      <c r="BT97" s="276">
        <f>79.551/4.513/2</f>
        <v>8.8135386660757806</v>
      </c>
      <c r="BU97" s="277">
        <f>79.551/4.513/2</f>
        <v>8.8135386660757806</v>
      </c>
      <c r="BV97" s="277">
        <f>79.551/4.513/2</f>
        <v>8.8135386660757806</v>
      </c>
      <c r="BW97" s="277">
        <f>79.551/4.513/2</f>
        <v>8.8135386660757806</v>
      </c>
      <c r="BX97" s="281">
        <f>BX96/BX98</f>
        <v>8.8135386660757806</v>
      </c>
      <c r="BY97" s="404">
        <f>129.484/7.176/2</f>
        <v>9.0220178372352287</v>
      </c>
      <c r="BZ97" s="421">
        <f>129.484/7.176/2</f>
        <v>9.0220178372352287</v>
      </c>
      <c r="CA97" s="421">
        <f>129.484/7.176/2</f>
        <v>9.0220178372352287</v>
      </c>
      <c r="CB97" s="421">
        <f>129.484/7.176/2</f>
        <v>9.0220178372352287</v>
      </c>
      <c r="CC97" s="743">
        <f>CC96/CC98</f>
        <v>9.0220178372352287</v>
      </c>
      <c r="CD97" s="421">
        <f>117.556/4.811/2</f>
        <v>12.217418416129703</v>
      </c>
      <c r="CE97" s="421">
        <f>117.556/4.811/2</f>
        <v>12.217418416129703</v>
      </c>
      <c r="CF97" s="421">
        <f>117.556/4.811/2</f>
        <v>12.217418416129703</v>
      </c>
      <c r="CG97" s="421">
        <f>117.556/4.811/2</f>
        <v>12.217418416129703</v>
      </c>
      <c r="CH97" s="743">
        <f>CH96/CH98</f>
        <v>12.217418416129705</v>
      </c>
      <c r="CI97" s="421">
        <f>CG97</f>
        <v>12.217418416129703</v>
      </c>
      <c r="CJ97" s="421">
        <f>CI97</f>
        <v>12.217418416129703</v>
      </c>
      <c r="CK97" s="421">
        <f>CJ97</f>
        <v>12.217418416129703</v>
      </c>
      <c r="CL97" s="421">
        <f>CK97</f>
        <v>12.217418416129703</v>
      </c>
      <c r="CM97" s="743">
        <f>CM96/CM98</f>
        <v>12.217418416129705</v>
      </c>
      <c r="CN97" s="421">
        <f>CL97*1.02</f>
        <v>12.461766784452298</v>
      </c>
      <c r="CO97" s="421">
        <f>CN97*1.02</f>
        <v>12.711002120141345</v>
      </c>
      <c r="CP97" s="421">
        <f>CO97*1.02</f>
        <v>12.965222162544171</v>
      </c>
      <c r="CQ97" s="421">
        <f>CP97</f>
        <v>12.965222162544171</v>
      </c>
      <c r="CR97" s="743">
        <f>CR96/CR98</f>
        <v>12.759797184587921</v>
      </c>
      <c r="CS97" s="421">
        <f>CQ97*1.02</f>
        <v>13.224526605795054</v>
      </c>
      <c r="CT97" s="421">
        <f>CS97*1.02</f>
        <v>13.489017137910956</v>
      </c>
      <c r="CU97" s="421">
        <f>CT97*1.02</f>
        <v>13.758797480669175</v>
      </c>
      <c r="CV97" s="421">
        <f>CU97</f>
        <v>13.758797480669175</v>
      </c>
      <c r="CW97" s="743">
        <f>CW96/CW98</f>
        <v>13.542293146778942</v>
      </c>
      <c r="CX97" s="421">
        <f>CV97*1.02</f>
        <v>14.033973430282559</v>
      </c>
      <c r="CY97" s="421">
        <f>CX97*1.02</f>
        <v>14.314652898888211</v>
      </c>
      <c r="CZ97" s="421">
        <f>CY97*1.02</f>
        <v>14.600945956865974</v>
      </c>
      <c r="DA97" s="421">
        <f>CZ97</f>
        <v>14.600945956865974</v>
      </c>
      <c r="DB97" s="743">
        <f>DB96/DB98</f>
        <v>14.348563083247209</v>
      </c>
      <c r="DC97" s="292">
        <f>DA97</f>
        <v>14.600945956865974</v>
      </c>
      <c r="DD97" s="292">
        <f>DC97</f>
        <v>14.600945956865974</v>
      </c>
      <c r="DE97" s="292">
        <f>DD97</f>
        <v>14.600945956865974</v>
      </c>
      <c r="DF97" s="292">
        <f>DE97</f>
        <v>14.600945956865974</v>
      </c>
      <c r="DG97" s="743">
        <f>DG96/DG98</f>
        <v>14.600945956865974</v>
      </c>
      <c r="DH97" s="292">
        <f>DF97</f>
        <v>14.600945956865974</v>
      </c>
      <c r="DI97" s="292">
        <f>DH97</f>
        <v>14.600945956865974</v>
      </c>
      <c r="DJ97" s="292">
        <f>DI97</f>
        <v>14.600945956865974</v>
      </c>
      <c r="DK97" s="292">
        <f>DJ97</f>
        <v>14.600945956865974</v>
      </c>
      <c r="DL97" s="743">
        <f>DL96/DL98</f>
        <v>14.600945956865974</v>
      </c>
      <c r="DM97" s="292">
        <f>DK97</f>
        <v>14.600945956865974</v>
      </c>
      <c r="DN97" s="292">
        <f>DM97</f>
        <v>14.600945956865974</v>
      </c>
      <c r="DO97" s="292">
        <f>DN97</f>
        <v>14.600945956865974</v>
      </c>
      <c r="DP97" s="292">
        <f>DO97</f>
        <v>14.600945956865974</v>
      </c>
      <c r="DQ97" s="743">
        <f>DQ96/DQ98</f>
        <v>14.600945956865974</v>
      </c>
      <c r="DR97" s="35"/>
      <c r="DS97" s="36"/>
      <c r="DT97"/>
      <c r="DU97"/>
      <c r="DV97"/>
      <c r="DW97"/>
      <c r="DX97"/>
      <c r="DY97"/>
    </row>
    <row r="98" spans="1:129" s="60" customFormat="1" hidden="1" outlineLevel="1">
      <c r="A98" s="681"/>
      <c r="B98" s="579"/>
      <c r="C98" s="580" t="s">
        <v>26</v>
      </c>
      <c r="D98" s="580"/>
      <c r="E98" s="580"/>
      <c r="F98" s="580"/>
      <c r="G98" s="35">
        <f>G96/G97</f>
        <v>-1.5492055154300724E-2</v>
      </c>
      <c r="H98" s="36">
        <f>H96/H97</f>
        <v>6.0338883782009196</v>
      </c>
      <c r="I98" s="36">
        <f>I96/I97</f>
        <v>3.7394615889690119E-3</v>
      </c>
      <c r="J98" s="37">
        <f>(CF!J36/(22.845/(2.613+0.438)/2))+((+CF!J38/(0.144/0.037/24/2)))</f>
        <v>4.2210414970453058</v>
      </c>
      <c r="K98" s="36">
        <f>SUM(G98:J98)</f>
        <v>10.243177281680893</v>
      </c>
      <c r="L98" s="35">
        <f>L96/L97</f>
        <v>0.80284573502722312</v>
      </c>
      <c r="M98" s="36">
        <f>M96/M97</f>
        <v>1.062098003629764</v>
      </c>
      <c r="N98" s="36">
        <f>N96/N97</f>
        <v>0.28434119782214157</v>
      </c>
      <c r="O98" s="37">
        <f>O96/O97</f>
        <v>2.4587150635208714</v>
      </c>
      <c r="P98" s="36">
        <f>SUM(L98:O98)</f>
        <v>4.6080000000000005</v>
      </c>
      <c r="Q98" s="35">
        <f>Q96/Q97</f>
        <v>0.78852558139534867</v>
      </c>
      <c r="R98" s="36">
        <f>R96/R97</f>
        <v>1.2715255813953488</v>
      </c>
      <c r="S98" s="36">
        <f>S96/S97</f>
        <v>0.98846511627906952</v>
      </c>
      <c r="T98" s="37">
        <f>T96/T97</f>
        <v>0.81548372093023236</v>
      </c>
      <c r="U98" s="36">
        <f>SUM(Q98:T98)</f>
        <v>3.8639999999999994</v>
      </c>
      <c r="V98" s="35">
        <f>V96/V97</f>
        <v>2.1299478260869571</v>
      </c>
      <c r="W98" s="36">
        <f>W96/W97</f>
        <v>6.6405913043478284</v>
      </c>
      <c r="X98" s="36">
        <f>X96/X97</f>
        <v>4.8036521739130427</v>
      </c>
      <c r="Y98" s="37">
        <f>Y96/Y97</f>
        <v>3.3048000000000015</v>
      </c>
      <c r="Z98" s="36">
        <f>SUM(V98:Y98)</f>
        <v>16.878991304347828</v>
      </c>
      <c r="AA98" s="35">
        <f>AA96/AA97</f>
        <v>0.85952402334979794</v>
      </c>
      <c r="AB98" s="36">
        <f>AB96/AB97</f>
        <v>6.7652447238437352</v>
      </c>
      <c r="AC98" s="36">
        <f>AC96/AC97</f>
        <v>8.902577458464302</v>
      </c>
      <c r="AD98" s="37">
        <f>AD96/AD97</f>
        <v>9.0326537943421616</v>
      </c>
      <c r="AE98" s="36">
        <f>SUM(AA98:AD98)</f>
        <v>25.559999999999995</v>
      </c>
      <c r="AF98" s="35">
        <f>AF96/AF97</f>
        <v>2.8653706086095987</v>
      </c>
      <c r="AG98" s="36">
        <f>AG96/AG97</f>
        <v>6.1468949365000807</v>
      </c>
      <c r="AH98" s="36">
        <f>AH96/AH97</f>
        <v>9.4578545274616506</v>
      </c>
      <c r="AI98" s="37">
        <f>AI96/AI97</f>
        <v>6.1458799274286644</v>
      </c>
      <c r="AJ98" s="36">
        <f>SUM(AF98:AI98)</f>
        <v>24.615999999999993</v>
      </c>
      <c r="AK98" s="35">
        <f>AK96/AK97</f>
        <v>2.7197703437771978</v>
      </c>
      <c r="AL98" s="36">
        <f>AL96/AL97</f>
        <v>5.0001148825065274</v>
      </c>
      <c r="AM98" s="36">
        <f>AM96/AM97</f>
        <v>6.468060487380332</v>
      </c>
      <c r="AN98" s="37">
        <f>AN96/AN97</f>
        <v>7.8240542863359437</v>
      </c>
      <c r="AO98" s="36">
        <f>SUM(AK98:AN98)</f>
        <v>22.012</v>
      </c>
      <c r="AP98" s="35">
        <f>AP96/AP97</f>
        <v>4.7658588438599825</v>
      </c>
      <c r="AQ98" s="36">
        <f>AQ96/AQ97</f>
        <v>5.0416154770183974</v>
      </c>
      <c r="AR98" s="36">
        <f>AR96/AR97</f>
        <v>4.8911640218330499</v>
      </c>
      <c r="AS98" s="37">
        <f>AS96/AS97</f>
        <v>5.5253616572885722</v>
      </c>
      <c r="AT98" s="36">
        <f>SUM(AP98:AS98)</f>
        <v>20.224000000000004</v>
      </c>
      <c r="AU98" s="36">
        <f>AU96/AU97</f>
        <v>3.3486403891050585</v>
      </c>
      <c r="AV98" s="36">
        <f>AV96/AV97</f>
        <v>2.2883731517509727</v>
      </c>
      <c r="AW98" s="36">
        <f>AW96/AW97</f>
        <v>3.5894309727626461</v>
      </c>
      <c r="AX98" s="36">
        <f>AX96/AX97</f>
        <v>3.4415554863813225</v>
      </c>
      <c r="AY98" s="36">
        <f>SUM(AU98:AX98)</f>
        <v>12.667999999999999</v>
      </c>
      <c r="AZ98" s="35">
        <f>AZ96/AZ97</f>
        <v>3.8196695825820006</v>
      </c>
      <c r="BA98" s="36">
        <f>BA96/BA97</f>
        <v>3.017208410950329</v>
      </c>
      <c r="BB98" s="36">
        <f>BB96/BB97</f>
        <v>2.2481831214699795</v>
      </c>
      <c r="BC98" s="36">
        <f>BC96/BC97</f>
        <v>3.662938884997688</v>
      </c>
      <c r="BD98" s="36">
        <f>SUM(AZ98:BC98)</f>
        <v>12.747999999999998</v>
      </c>
      <c r="BE98" s="35">
        <f>BE96/BE97</f>
        <v>2.1399354909249944</v>
      </c>
      <c r="BF98" s="36">
        <f>BF96/BF97</f>
        <v>4.5783347911655365</v>
      </c>
      <c r="BG98" s="36">
        <f>BG96/BG97</f>
        <v>1.4207877760769736</v>
      </c>
      <c r="BH98" s="36">
        <f>BH96/BH97</f>
        <v>1.0109419418324943</v>
      </c>
      <c r="BI98" s="36">
        <f>SUM(BE98:BH98)</f>
        <v>9.1499999999999986</v>
      </c>
      <c r="BJ98" s="35">
        <f>BJ96/BJ97</f>
        <v>1.7985454899352806</v>
      </c>
      <c r="BK98" s="36">
        <f>BK96/BK97</f>
        <v>1.9871423983390373</v>
      </c>
      <c r="BL98" s="36">
        <f>BL96/BL97</f>
        <v>3.1425293344795699</v>
      </c>
      <c r="BM98" s="36">
        <f>BM96/BM97</f>
        <v>5.7237827772461127</v>
      </c>
      <c r="BN98" s="36">
        <f>SUM(BJ98:BM98)</f>
        <v>12.652000000000001</v>
      </c>
      <c r="BO98" s="35">
        <f>BO96/BO97</f>
        <v>4.2330411079152821</v>
      </c>
      <c r="BP98" s="36">
        <f>BP96/BP97</f>
        <v>2.7887476747226478</v>
      </c>
      <c r="BQ98" s="36">
        <f>BQ96/BQ97</f>
        <v>5.2218709611146386</v>
      </c>
      <c r="BR98" s="36">
        <f>BR96/BR97</f>
        <v>2.8143402562474336</v>
      </c>
      <c r="BS98" s="36">
        <f>SUM(BO98:BR98)</f>
        <v>15.058000000000003</v>
      </c>
      <c r="BT98" s="35">
        <f>BT96/BT97</f>
        <v>2.658410076554663</v>
      </c>
      <c r="BU98" s="36">
        <f>BU96/BU97</f>
        <v>1.9120583273623208</v>
      </c>
      <c r="BV98" s="36">
        <f>BV96/BV97</f>
        <v>1.9282833653882421</v>
      </c>
      <c r="BW98" s="36">
        <f>BW96/BW97</f>
        <v>2.5272482306947746</v>
      </c>
      <c r="BX98" s="36">
        <f>SUM(BT98:BW98)</f>
        <v>9.0259999999999998</v>
      </c>
      <c r="BY98" s="35">
        <f>BY96/BY97</f>
        <v>4.805244323622996</v>
      </c>
      <c r="BZ98" s="36">
        <f>BZ96/BZ97</f>
        <v>2.0144052392573597</v>
      </c>
      <c r="CA98" s="36">
        <f>CA96/CA97</f>
        <v>3.3646575020851999</v>
      </c>
      <c r="CB98" s="36">
        <f>CB96/CB97</f>
        <v>4.1676929350344452</v>
      </c>
      <c r="CC98" s="333">
        <f>SUM(BY98:CB98)</f>
        <v>14.352</v>
      </c>
      <c r="CD98" s="36">
        <f>CD96/CD97</f>
        <v>2.6188838681139197</v>
      </c>
      <c r="CE98" s="36">
        <f>CE96/CE97</f>
        <v>1.354623328456225</v>
      </c>
      <c r="CF98" s="36">
        <f>CF96/CF97</f>
        <v>2.3156283133145057</v>
      </c>
      <c r="CG98" s="36">
        <f>CG96/CG97</f>
        <v>3.3328644901153486</v>
      </c>
      <c r="CH98" s="333">
        <f>SUM(CD98:CG98)</f>
        <v>9.6219999999999981</v>
      </c>
      <c r="CI98" s="36">
        <f>CI96/CI97</f>
        <v>1.8252628534485691</v>
      </c>
      <c r="CJ98" s="36">
        <f>CJ96/CJ97</f>
        <v>2.2540768484807239</v>
      </c>
      <c r="CK98" s="36">
        <f>CK96/CK97</f>
        <v>1.1459049304163792E-3</v>
      </c>
      <c r="CL98" s="36">
        <f>CL96/CL97</f>
        <v>4.2236418728095551</v>
      </c>
      <c r="CM98" s="333">
        <f>SUM(CI98:CL98)</f>
        <v>8.3041274796692637</v>
      </c>
      <c r="CN98" s="36">
        <f>CN96/CN97</f>
        <v>2.945007769346808</v>
      </c>
      <c r="CO98" s="36">
        <f>CO96/CO97</f>
        <v>2.5017697030835193</v>
      </c>
      <c r="CP98" s="36">
        <f>CP96/CP97</f>
        <v>2.3447342142600509</v>
      </c>
      <c r="CQ98" s="36">
        <f>CQ96/CQ97</f>
        <v>2.5221318686284087</v>
      </c>
      <c r="CR98" s="333">
        <f>SUM(CN98:CQ98)</f>
        <v>10.313643555318786</v>
      </c>
      <c r="CS98" s="36">
        <f>CS96/CS97</f>
        <v>3.7354834295809627</v>
      </c>
      <c r="CT98" s="36">
        <f>CT96/CT97</f>
        <v>3.0320963775077669</v>
      </c>
      <c r="CU98" s="36">
        <f>CU96/CU97</f>
        <v>3.2197581265543427</v>
      </c>
      <c r="CV98" s="36">
        <f>CV96/CV97</f>
        <v>3.0089838925361141</v>
      </c>
      <c r="CW98" s="352">
        <f>SUM(CS98:CV98)</f>
        <v>12.996321826179187</v>
      </c>
      <c r="CX98" s="36">
        <f>CX96/CX97</f>
        <v>4.3465950896254357</v>
      </c>
      <c r="CY98" s="36">
        <f>CY96/CY97</f>
        <v>3.0039149606861737</v>
      </c>
      <c r="CZ98" s="36">
        <f>CZ96/CZ97</f>
        <v>2.8765259541454467</v>
      </c>
      <c r="DA98" s="36">
        <f>DA96/DA97</f>
        <v>2.945014667339386</v>
      </c>
      <c r="DB98" s="352">
        <f>SUM(CX98:DA98)</f>
        <v>13.172050671796441</v>
      </c>
      <c r="DC98" s="36">
        <f>DC96/DC97</f>
        <v>1.3697742638787842</v>
      </c>
      <c r="DD98" s="36">
        <f>DD96/DD97</f>
        <v>1.3697742638787842</v>
      </c>
      <c r="DE98" s="36">
        <f>DE96/DE97</f>
        <v>1.3697742638787842</v>
      </c>
      <c r="DF98" s="36">
        <f>DF96/DF97</f>
        <v>1.3697742638787842</v>
      </c>
      <c r="DG98" s="352">
        <f>SUM(DC98:DF98)</f>
        <v>5.4790970555151368</v>
      </c>
      <c r="DH98" s="36">
        <f>DH96/DH97</f>
        <v>1.3697742638787842</v>
      </c>
      <c r="DI98" s="36">
        <f>DI96/DI97</f>
        <v>1.3697742638787842</v>
      </c>
      <c r="DJ98" s="36">
        <f>DJ96/DJ97</f>
        <v>1.3697742638787842</v>
      </c>
      <c r="DK98" s="36">
        <f>DK96/DK97</f>
        <v>1.3697742638787842</v>
      </c>
      <c r="DL98" s="352">
        <f>SUM(DH98:DK98)</f>
        <v>5.4790970555151368</v>
      </c>
      <c r="DM98" s="36">
        <f>DM96/DM97</f>
        <v>1.3697742638787842</v>
      </c>
      <c r="DN98" s="36">
        <f>DN96/DN97</f>
        <v>1.3697742638787842</v>
      </c>
      <c r="DO98" s="36">
        <f>DO96/DO97</f>
        <v>1.3697742638787842</v>
      </c>
      <c r="DP98" s="36">
        <f>DP96/DP97</f>
        <v>1.3697742638787842</v>
      </c>
      <c r="DQ98" s="352">
        <f>SUM(DM98:DP98)</f>
        <v>5.4790970555151368</v>
      </c>
      <c r="DR98" s="35"/>
      <c r="DS98" s="36"/>
      <c r="DT98"/>
      <c r="DU98"/>
      <c r="DV98"/>
      <c r="DW98"/>
      <c r="DX98"/>
      <c r="DY98"/>
    </row>
    <row r="99" spans="1:129" s="144" customFormat="1" hidden="1" outlineLevel="1">
      <c r="A99" s="698"/>
      <c r="B99" s="699"/>
      <c r="C99" s="700"/>
      <c r="D99" s="700"/>
      <c r="E99" s="700"/>
      <c r="F99" s="700"/>
      <c r="G99" s="35"/>
      <c r="H99" s="36"/>
      <c r="I99" s="36"/>
      <c r="J99" s="37"/>
      <c r="K99" s="138"/>
      <c r="L99" s="134"/>
      <c r="M99" s="145"/>
      <c r="N99" s="145"/>
      <c r="O99" s="145"/>
      <c r="P99" s="139"/>
      <c r="Q99" s="290"/>
      <c r="R99" s="145"/>
      <c r="S99" s="145"/>
      <c r="T99" s="146"/>
      <c r="U99" s="139"/>
      <c r="V99" s="145"/>
      <c r="W99" s="145"/>
      <c r="X99" s="145"/>
      <c r="Y99" s="146"/>
      <c r="Z99" s="139"/>
      <c r="AA99" s="145"/>
      <c r="AB99" s="145"/>
      <c r="AC99" s="145"/>
      <c r="AD99" s="145"/>
      <c r="AE99" s="139"/>
      <c r="AF99" s="134"/>
      <c r="AG99" s="145"/>
      <c r="AH99" s="145"/>
      <c r="AI99" s="145"/>
      <c r="AJ99" s="139"/>
      <c r="AK99" s="134"/>
      <c r="AL99" s="145"/>
      <c r="AM99" s="145"/>
      <c r="AN99" s="146"/>
      <c r="AO99" s="139"/>
      <c r="AP99" s="145"/>
      <c r="AQ99" s="145"/>
      <c r="AR99" s="145"/>
      <c r="AS99" s="146"/>
      <c r="AT99" s="139"/>
      <c r="AU99" s="145"/>
      <c r="AV99" s="145"/>
      <c r="AW99" s="145"/>
      <c r="AX99" s="145"/>
      <c r="AY99" s="139"/>
      <c r="AZ99" s="134"/>
      <c r="BA99" s="145"/>
      <c r="BB99" s="145"/>
      <c r="BC99" s="145"/>
      <c r="BD99" s="139"/>
      <c r="BE99" s="134"/>
      <c r="BF99" s="145"/>
      <c r="BG99" s="145"/>
      <c r="BH99" s="146"/>
      <c r="BI99" s="139"/>
      <c r="BJ99" s="145"/>
      <c r="BK99" s="145"/>
      <c r="BL99" s="145"/>
      <c r="BM99" s="146"/>
      <c r="BN99" s="139"/>
      <c r="BO99" s="145"/>
      <c r="BP99" s="145"/>
      <c r="BQ99" s="145"/>
      <c r="BR99" s="145"/>
      <c r="BS99" s="139"/>
      <c r="BT99" s="134"/>
      <c r="BU99" s="145"/>
      <c r="BV99" s="145"/>
      <c r="BW99" s="145"/>
      <c r="BX99" s="139"/>
      <c r="BY99" s="134"/>
      <c r="BZ99" s="145"/>
      <c r="CA99" s="145"/>
      <c r="CB99" s="145"/>
      <c r="CC99" s="340"/>
      <c r="CD99" s="145"/>
      <c r="CE99" s="145"/>
      <c r="CF99" s="145"/>
      <c r="CG99" s="145"/>
      <c r="CH99" s="340"/>
      <c r="CI99" s="145"/>
      <c r="CJ99" s="145"/>
      <c r="CK99" s="145"/>
      <c r="CL99" s="145"/>
      <c r="CM99" s="340"/>
      <c r="CN99" s="145"/>
      <c r="CO99" s="145"/>
      <c r="CP99" s="145"/>
      <c r="CQ99" s="145"/>
      <c r="CR99" s="338"/>
      <c r="CS99" s="139"/>
      <c r="CT99" s="139"/>
      <c r="CU99" s="145"/>
      <c r="CV99" s="145"/>
      <c r="CW99" s="338"/>
      <c r="CX99" s="139"/>
      <c r="CY99" s="145"/>
      <c r="CZ99" s="145"/>
      <c r="DA99" s="145"/>
      <c r="DB99" s="338"/>
      <c r="DC99" s="145"/>
      <c r="DD99" s="145"/>
      <c r="DE99" s="145"/>
      <c r="DF99" s="145"/>
      <c r="DG99" s="338"/>
      <c r="DH99" s="145"/>
      <c r="DI99" s="145"/>
      <c r="DJ99" s="145"/>
      <c r="DK99" s="145"/>
      <c r="DL99" s="338"/>
      <c r="DM99" s="145"/>
      <c r="DN99" s="145"/>
      <c r="DO99" s="145"/>
      <c r="DP99" s="145"/>
      <c r="DQ99" s="338"/>
      <c r="DR99" s="138"/>
      <c r="DS99" s="139"/>
      <c r="DT99"/>
      <c r="DU99"/>
      <c r="DV99"/>
      <c r="DW99"/>
      <c r="DX99"/>
      <c r="DY99"/>
    </row>
    <row r="100" spans="1:129" s="202" customFormat="1" hidden="1" outlineLevel="1">
      <c r="A100" s="701"/>
      <c r="B100" s="702" t="s">
        <v>22</v>
      </c>
      <c r="C100" s="697"/>
      <c r="D100" s="697"/>
      <c r="E100" s="697"/>
      <c r="F100" s="697"/>
      <c r="G100" s="273"/>
      <c r="H100" s="269"/>
      <c r="I100" s="269"/>
      <c r="J100" s="274"/>
      <c r="K100" s="273"/>
      <c r="L100" s="273"/>
      <c r="M100" s="269"/>
      <c r="N100" s="269"/>
      <c r="O100" s="269"/>
      <c r="P100" s="269"/>
      <c r="Q100" s="273"/>
      <c r="R100" s="269"/>
      <c r="S100" s="269"/>
      <c r="T100" s="274"/>
      <c r="U100" s="269"/>
      <c r="V100" s="269"/>
      <c r="W100" s="269"/>
      <c r="X100" s="269"/>
      <c r="Y100" s="274"/>
      <c r="Z100" s="269"/>
      <c r="AA100" s="269"/>
      <c r="AB100" s="269"/>
      <c r="AC100" s="269"/>
      <c r="AD100" s="269"/>
      <c r="AE100" s="269"/>
      <c r="AF100" s="273"/>
      <c r="AG100" s="269"/>
      <c r="AH100" s="269"/>
      <c r="AI100" s="269"/>
      <c r="AJ100" s="269"/>
      <c r="AK100" s="273"/>
      <c r="AL100" s="269"/>
      <c r="AM100" s="269"/>
      <c r="AN100" s="274"/>
      <c r="AO100" s="269"/>
      <c r="AP100" s="269"/>
      <c r="AQ100" s="269"/>
      <c r="AR100" s="269"/>
      <c r="AS100" s="274"/>
      <c r="AT100" s="269"/>
      <c r="AU100" s="269"/>
      <c r="AV100" s="269"/>
      <c r="AW100" s="269"/>
      <c r="AX100" s="269"/>
      <c r="AY100" s="269"/>
      <c r="AZ100" s="273"/>
      <c r="BA100" s="269"/>
      <c r="BB100" s="269"/>
      <c r="BC100" s="269"/>
      <c r="BD100" s="269"/>
      <c r="BE100" s="273"/>
      <c r="BF100" s="269"/>
      <c r="BG100" s="269"/>
      <c r="BH100" s="274"/>
      <c r="BI100" s="269"/>
      <c r="BJ100" s="269"/>
      <c r="BK100" s="269"/>
      <c r="BL100" s="269"/>
      <c r="BM100" s="274"/>
      <c r="BN100" s="269"/>
      <c r="BO100" s="269"/>
      <c r="BP100" s="269"/>
      <c r="BQ100" s="269"/>
      <c r="BR100" s="269"/>
      <c r="BS100" s="269"/>
      <c r="BT100" s="273"/>
      <c r="BU100" s="269"/>
      <c r="BV100" s="269"/>
      <c r="BW100" s="269"/>
      <c r="BX100" s="269"/>
      <c r="BY100" s="273"/>
      <c r="BZ100" s="269"/>
      <c r="CA100" s="269"/>
      <c r="CB100" s="269"/>
      <c r="CC100" s="339"/>
      <c r="CD100" s="269"/>
      <c r="CE100" s="269"/>
      <c r="CF100" s="269"/>
      <c r="CG100" s="269"/>
      <c r="CH100" s="339"/>
      <c r="CI100" s="269"/>
      <c r="CJ100" s="269"/>
      <c r="CK100" s="269"/>
      <c r="CL100" s="269"/>
      <c r="CM100" s="339"/>
      <c r="CN100" s="269"/>
      <c r="CO100" s="269"/>
      <c r="CP100" s="269"/>
      <c r="CQ100" s="269"/>
      <c r="CR100" s="339"/>
      <c r="CS100" s="521"/>
      <c r="CT100" s="521"/>
      <c r="CU100" s="269"/>
      <c r="CV100" s="269"/>
      <c r="CW100" s="339"/>
      <c r="CX100" s="521"/>
      <c r="CY100" s="269"/>
      <c r="CZ100" s="269"/>
      <c r="DA100" s="269"/>
      <c r="DB100" s="339"/>
      <c r="DC100" s="269"/>
      <c r="DD100" s="269"/>
      <c r="DE100" s="269"/>
      <c r="DF100" s="269"/>
      <c r="DG100" s="339"/>
      <c r="DH100" s="269"/>
      <c r="DI100" s="269"/>
      <c r="DJ100" s="269"/>
      <c r="DK100" s="269"/>
      <c r="DL100" s="339"/>
      <c r="DM100" s="269"/>
      <c r="DN100" s="269"/>
      <c r="DO100" s="269"/>
      <c r="DP100" s="269"/>
      <c r="DQ100" s="339"/>
      <c r="DR100" s="273"/>
      <c r="DS100" s="269"/>
      <c r="DT100"/>
      <c r="DU100"/>
      <c r="DV100"/>
      <c r="DW100"/>
      <c r="DX100"/>
      <c r="DY100"/>
    </row>
    <row r="101" spans="1:129" s="60" customFormat="1" hidden="1" outlineLevel="1">
      <c r="A101" s="703"/>
      <c r="B101" s="579"/>
      <c r="C101" s="580" t="s">
        <v>128</v>
      </c>
      <c r="D101" s="580"/>
      <c r="E101" s="580"/>
      <c r="F101" s="580"/>
      <c r="G101" s="35">
        <f>CF!G40</f>
        <v>0</v>
      </c>
      <c r="H101" s="36">
        <f>CF!H40</f>
        <v>0</v>
      </c>
      <c r="I101" s="36">
        <f>CF!I40</f>
        <v>0</v>
      </c>
      <c r="J101" s="37">
        <f>CF!J40</f>
        <v>0</v>
      </c>
      <c r="K101" s="35"/>
      <c r="L101" s="35">
        <f>CF!L40</f>
        <v>0</v>
      </c>
      <c r="M101" s="36">
        <f>CF!M40</f>
        <v>0</v>
      </c>
      <c r="N101" s="36">
        <f>CF!N40</f>
        <v>0</v>
      </c>
      <c r="O101" s="36">
        <f>CF!O40</f>
        <v>0</v>
      </c>
      <c r="P101" s="36">
        <f>SUM(L101:O101)</f>
        <v>0</v>
      </c>
      <c r="Q101" s="35">
        <f>CF!Q40</f>
        <v>0</v>
      </c>
      <c r="R101" s="36">
        <f>CF!R40</f>
        <v>0</v>
      </c>
      <c r="S101" s="36">
        <f>CF!S40</f>
        <v>0</v>
      </c>
      <c r="T101" s="37">
        <f>CF!T40</f>
        <v>0</v>
      </c>
      <c r="U101" s="36">
        <f>SUM(Q101:T101)</f>
        <v>0</v>
      </c>
      <c r="V101" s="36">
        <f>CF!V40</f>
        <v>0</v>
      </c>
      <c r="W101" s="36">
        <f>CF!W40</f>
        <v>0</v>
      </c>
      <c r="X101" s="36">
        <f>CF!X40</f>
        <v>0</v>
      </c>
      <c r="Y101" s="37">
        <f>CF!Y40</f>
        <v>0</v>
      </c>
      <c r="Z101" s="36">
        <f>SUM(V101:Y101)</f>
        <v>0</v>
      </c>
      <c r="AA101" s="36">
        <f>CF!AA40</f>
        <v>0</v>
      </c>
      <c r="AB101" s="36">
        <f>CF!AB40</f>
        <v>0</v>
      </c>
      <c r="AC101" s="36">
        <f>CF!AC40</f>
        <v>0</v>
      </c>
      <c r="AD101" s="36">
        <f>CF!AD40</f>
        <v>0</v>
      </c>
      <c r="AE101" s="36">
        <f>SUM(AA101:AD101)</f>
        <v>0</v>
      </c>
      <c r="AF101" s="35">
        <f>CF!AF40</f>
        <v>0</v>
      </c>
      <c r="AG101" s="36">
        <f>CF!AG40</f>
        <v>0</v>
      </c>
      <c r="AH101" s="36">
        <f>CF!AH40</f>
        <v>0</v>
      </c>
      <c r="AI101" s="36">
        <f>CF!AI40</f>
        <v>0</v>
      </c>
      <c r="AJ101" s="36">
        <f>SUM(AF101:AI101)</f>
        <v>0</v>
      </c>
      <c r="AK101" s="35">
        <f>CF!AK40</f>
        <v>0</v>
      </c>
      <c r="AL101" s="36">
        <f>CF!AL40</f>
        <v>0</v>
      </c>
      <c r="AM101" s="36">
        <f>CF!AM40</f>
        <v>0</v>
      </c>
      <c r="AN101" s="37">
        <f>CF!AN40</f>
        <v>0</v>
      </c>
      <c r="AO101" s="36">
        <f>SUM(AK101:AN101)</f>
        <v>0</v>
      </c>
      <c r="AP101" s="36">
        <f>CF!AP40</f>
        <v>0</v>
      </c>
      <c r="AQ101" s="36">
        <f>CF!AQ40</f>
        <v>0</v>
      </c>
      <c r="AR101" s="36">
        <f>CF!AR40</f>
        <v>0</v>
      </c>
      <c r="AS101" s="37">
        <f>CF!AS40</f>
        <v>0</v>
      </c>
      <c r="AT101" s="36">
        <f>SUM(AP101:AS101)</f>
        <v>0</v>
      </c>
      <c r="AU101" s="36">
        <f>CF!AU40</f>
        <v>0</v>
      </c>
      <c r="AV101" s="36">
        <f>CF!AV40</f>
        <v>0</v>
      </c>
      <c r="AW101" s="36">
        <f>CF!AW40</f>
        <v>0</v>
      </c>
      <c r="AX101" s="36">
        <f>CF!AX40</f>
        <v>0</v>
      </c>
      <c r="AY101" s="36">
        <f>SUM(AU101:AX101)</f>
        <v>0</v>
      </c>
      <c r="AZ101" s="35">
        <f>CF!AZ40</f>
        <v>0</v>
      </c>
      <c r="BA101" s="36">
        <f>CF!BA40</f>
        <v>0</v>
      </c>
      <c r="BB101" s="36">
        <f>CF!BB40</f>
        <v>0</v>
      </c>
      <c r="BC101" s="36">
        <f>CF!BC40</f>
        <v>-105.36</v>
      </c>
      <c r="BD101" s="36">
        <f>SUM(AZ101:BC101)</f>
        <v>-105.36</v>
      </c>
      <c r="BE101" s="35">
        <f>CF!BE40</f>
        <v>0</v>
      </c>
      <c r="BF101" s="36">
        <f>CF!BF40</f>
        <v>0</v>
      </c>
      <c r="BG101" s="36">
        <f>CF!BG40</f>
        <v>-27.835000000000001</v>
      </c>
      <c r="BH101" s="37">
        <f>CF!BH40</f>
        <v>0</v>
      </c>
      <c r="BI101" s="36">
        <f>SUM(BE101:BH101)</f>
        <v>-27.835000000000001</v>
      </c>
      <c r="BJ101" s="35">
        <f>CF!BJ40</f>
        <v>-12.882</v>
      </c>
      <c r="BK101" s="36">
        <f>CF!BK40</f>
        <v>-0.58300000000000018</v>
      </c>
      <c r="BL101" s="36">
        <f>CF!BL40</f>
        <v>-1.0990000000000002</v>
      </c>
      <c r="BM101" s="36">
        <f>CF!BM40</f>
        <v>-1.6950000000000003</v>
      </c>
      <c r="BN101" s="36">
        <f>SUM(BJ101:BM101)</f>
        <v>-16.259</v>
      </c>
      <c r="BO101" s="35">
        <f>CF!BO40</f>
        <v>-2.3149999999999999</v>
      </c>
      <c r="BP101" s="36">
        <f>CF!BP40</f>
        <v>-2.5859999999999999</v>
      </c>
      <c r="BQ101" s="36">
        <f>CF!BQ40</f>
        <v>-7.1950000000000003</v>
      </c>
      <c r="BR101" s="36">
        <f>CF!BR40</f>
        <v>-46.904000000000003</v>
      </c>
      <c r="BS101" s="36">
        <f>SUM(BO101:BR101)</f>
        <v>-59</v>
      </c>
      <c r="BT101" s="35">
        <f>CF!BT40</f>
        <v>-88.266000000000005</v>
      </c>
      <c r="BU101" s="36">
        <f>CF!BU40</f>
        <v>-103.86399999999999</v>
      </c>
      <c r="BV101" s="36">
        <f>CF!BV40</f>
        <v>-172.84399999999999</v>
      </c>
      <c r="BW101" s="36">
        <f>CF!BW40</f>
        <v>-9.1730000000000018</v>
      </c>
      <c r="BX101" s="36">
        <f>SUM(BT101:BW101)</f>
        <v>-374.14699999999999</v>
      </c>
      <c r="BY101" s="129">
        <f>CF!BY40</f>
        <v>-48.981999999999999</v>
      </c>
      <c r="BZ101" s="130">
        <f>CF!BZ40</f>
        <v>-369.80100000000004</v>
      </c>
      <c r="CA101" s="130">
        <f>CF!CA40</f>
        <v>-65.111999999999938</v>
      </c>
      <c r="CB101" s="130">
        <f>CF!CB40</f>
        <v>-36.950000000000017</v>
      </c>
      <c r="CC101" s="333">
        <f>SUM(BY101:CB101)</f>
        <v>-520.84500000000003</v>
      </c>
      <c r="CD101" s="130">
        <f>CF!CD40</f>
        <v>-22.553999999999998</v>
      </c>
      <c r="CE101" s="130">
        <f>CF!CE40</f>
        <v>-124.85499999999999</v>
      </c>
      <c r="CF101" s="130">
        <f>CF!CF40</f>
        <v>-6.9270000000000245</v>
      </c>
      <c r="CG101" s="130">
        <f>CF!CG40</f>
        <v>-24.667999999999981</v>
      </c>
      <c r="CH101" s="333">
        <f>SUM(CD101:CG101)</f>
        <v>-179.00399999999999</v>
      </c>
      <c r="CI101" s="130">
        <f>CF!CI40</f>
        <v>-29.3</v>
      </c>
      <c r="CJ101" s="130">
        <f>CF!CJ40</f>
        <v>-132.56099999999998</v>
      </c>
      <c r="CK101" s="130">
        <f>CF!CK40</f>
        <v>-9.4270000000000316</v>
      </c>
      <c r="CL101" s="130">
        <f>CF!CL40</f>
        <v>-77.029000000000011</v>
      </c>
      <c r="CM101" s="333">
        <f>SUM(CI101:CL101)</f>
        <v>-248.31700000000001</v>
      </c>
      <c r="CN101" s="130">
        <f>CF!CN40</f>
        <v>-38.4</v>
      </c>
      <c r="CO101" s="130">
        <f>CF!CO40</f>
        <v>-175.6</v>
      </c>
      <c r="CP101" s="130">
        <f>CF!CP40</f>
        <v>-169.2</v>
      </c>
      <c r="CQ101" s="130">
        <f>CF!CQ40</f>
        <v>-76.800000000000011</v>
      </c>
      <c r="CR101" s="333">
        <f>SUM(CN101:CQ101)</f>
        <v>-460</v>
      </c>
      <c r="CS101" s="442">
        <v>-244.6</v>
      </c>
      <c r="CT101" s="552">
        <f>-294.6-CS101</f>
        <v>-50.000000000000028</v>
      </c>
      <c r="CU101" s="442">
        <v>-144.9</v>
      </c>
      <c r="CV101" s="442">
        <v>0</v>
      </c>
      <c r="CW101" s="352">
        <f>SUM(CS101:CV101)</f>
        <v>-439.5</v>
      </c>
      <c r="CX101" s="260">
        <f>+CF!CX40</f>
        <v>-1514</v>
      </c>
      <c r="CY101" s="260">
        <f>+CF!CY40</f>
        <v>-30</v>
      </c>
      <c r="CZ101" s="260">
        <f>+CF!CZ40</f>
        <v>-13</v>
      </c>
      <c r="DA101" s="260">
        <f>+CF!DA40</f>
        <v>-332</v>
      </c>
      <c r="DB101" s="352">
        <f>SUM(CX101:DA101)</f>
        <v>-1889</v>
      </c>
      <c r="DC101" s="520">
        <v>-225</v>
      </c>
      <c r="DD101" s="520">
        <v>-225</v>
      </c>
      <c r="DE101" s="520">
        <v>-225</v>
      </c>
      <c r="DF101" s="520">
        <v>-225</v>
      </c>
      <c r="DG101" s="352">
        <f>SUM(DC101:DF101)</f>
        <v>-900</v>
      </c>
      <c r="DH101" s="126">
        <v>-300</v>
      </c>
      <c r="DI101" s="520">
        <v>-300</v>
      </c>
      <c r="DJ101" s="520">
        <v>-300</v>
      </c>
      <c r="DK101" s="520">
        <v>-300</v>
      </c>
      <c r="DL101" s="352">
        <f>SUM(DH101:DK101)</f>
        <v>-1200</v>
      </c>
      <c r="DM101" s="126">
        <v>-300</v>
      </c>
      <c r="DN101" s="520">
        <v>-300</v>
      </c>
      <c r="DO101" s="520">
        <v>-300</v>
      </c>
      <c r="DP101" s="520">
        <v>-300</v>
      </c>
      <c r="DQ101" s="352">
        <f>SUM(DM101:DP101)</f>
        <v>-1200</v>
      </c>
      <c r="DR101" s="35"/>
      <c r="DS101" s="36"/>
      <c r="DT101"/>
      <c r="DU101"/>
      <c r="DV101"/>
      <c r="DW101"/>
      <c r="DX101"/>
      <c r="DY101"/>
    </row>
    <row r="102" spans="1:129" s="60" customFormat="1" hidden="1" outlineLevel="1">
      <c r="A102" s="703"/>
      <c r="B102" s="579"/>
      <c r="C102" s="580" t="s">
        <v>127</v>
      </c>
      <c r="D102" s="580"/>
      <c r="E102" s="580"/>
      <c r="F102" s="580"/>
      <c r="G102" s="286" t="s">
        <v>130</v>
      </c>
      <c r="H102" s="284" t="s">
        <v>130</v>
      </c>
      <c r="I102" s="284" t="s">
        <v>130</v>
      </c>
      <c r="J102" s="285" t="s">
        <v>130</v>
      </c>
      <c r="K102" s="35"/>
      <c r="L102" s="286" t="s">
        <v>130</v>
      </c>
      <c r="M102" s="284" t="s">
        <v>130</v>
      </c>
      <c r="N102" s="284" t="s">
        <v>130</v>
      </c>
      <c r="O102" s="285" t="s">
        <v>130</v>
      </c>
      <c r="P102" s="284" t="s">
        <v>130</v>
      </c>
      <c r="Q102" s="286" t="s">
        <v>130</v>
      </c>
      <c r="R102" s="284" t="s">
        <v>130</v>
      </c>
      <c r="S102" s="284" t="s">
        <v>130</v>
      </c>
      <c r="T102" s="285" t="s">
        <v>130</v>
      </c>
      <c r="U102" s="284" t="s">
        <v>130</v>
      </c>
      <c r="V102" s="286" t="s">
        <v>130</v>
      </c>
      <c r="W102" s="284" t="s">
        <v>130</v>
      </c>
      <c r="X102" s="284" t="s">
        <v>130</v>
      </c>
      <c r="Y102" s="285" t="s">
        <v>130</v>
      </c>
      <c r="Z102" s="284" t="s">
        <v>130</v>
      </c>
      <c r="AA102" s="286" t="s">
        <v>130</v>
      </c>
      <c r="AB102" s="284" t="s">
        <v>130</v>
      </c>
      <c r="AC102" s="284" t="s">
        <v>130</v>
      </c>
      <c r="AD102" s="285" t="s">
        <v>130</v>
      </c>
      <c r="AE102" s="284" t="s">
        <v>130</v>
      </c>
      <c r="AF102" s="286" t="s">
        <v>130</v>
      </c>
      <c r="AG102" s="284" t="s">
        <v>130</v>
      </c>
      <c r="AH102" s="284" t="s">
        <v>130</v>
      </c>
      <c r="AI102" s="285" t="s">
        <v>130</v>
      </c>
      <c r="AJ102" s="284" t="s">
        <v>130</v>
      </c>
      <c r="AK102" s="286" t="s">
        <v>130</v>
      </c>
      <c r="AL102" s="284" t="s">
        <v>130</v>
      </c>
      <c r="AM102" s="284" t="s">
        <v>130</v>
      </c>
      <c r="AN102" s="285" t="s">
        <v>130</v>
      </c>
      <c r="AO102" s="284" t="s">
        <v>130</v>
      </c>
      <c r="AP102" s="284" t="s">
        <v>130</v>
      </c>
      <c r="AQ102" s="284" t="s">
        <v>130</v>
      </c>
      <c r="AR102" s="284" t="s">
        <v>130</v>
      </c>
      <c r="AS102" s="285" t="s">
        <v>130</v>
      </c>
      <c r="AT102" s="284" t="s">
        <v>130</v>
      </c>
      <c r="AU102" s="284" t="s">
        <v>130</v>
      </c>
      <c r="AV102" s="284" t="s">
        <v>130</v>
      </c>
      <c r="AW102" s="284" t="s">
        <v>130</v>
      </c>
      <c r="AX102" s="284" t="s">
        <v>130</v>
      </c>
      <c r="AY102" s="284" t="s">
        <v>130</v>
      </c>
      <c r="AZ102" s="276">
        <f>105.36/3.388/2</f>
        <v>15.548996458087368</v>
      </c>
      <c r="BA102" s="277">
        <f>105.36/3.388/2</f>
        <v>15.548996458087368</v>
      </c>
      <c r="BB102" s="277">
        <f>105.36/3.388/2</f>
        <v>15.548996458087368</v>
      </c>
      <c r="BC102" s="277">
        <f>105.36/3.388/2</f>
        <v>15.548996458087368</v>
      </c>
      <c r="BD102" s="36">
        <f>BD101/BD103</f>
        <v>15.548996458087368</v>
      </c>
      <c r="BE102" s="276">
        <f>27.835/0.979/2</f>
        <v>14.216036772216547</v>
      </c>
      <c r="BF102" s="277">
        <f>27.835/0.979/2</f>
        <v>14.216036772216547</v>
      </c>
      <c r="BG102" s="277">
        <f>27.835/0.979/2</f>
        <v>14.216036772216547</v>
      </c>
      <c r="BH102" s="283">
        <f>27.835/0.979/2</f>
        <v>14.216036772216547</v>
      </c>
      <c r="BI102" s="36">
        <f>BI101/BI103</f>
        <v>14.216036772216547</v>
      </c>
      <c r="BJ102" s="276">
        <f>16.259/0.765/2</f>
        <v>10.626797385620915</v>
      </c>
      <c r="BK102" s="277">
        <f>16.259/0.765/2</f>
        <v>10.626797385620915</v>
      </c>
      <c r="BL102" s="277">
        <f>16.259/0.765/2</f>
        <v>10.626797385620915</v>
      </c>
      <c r="BM102" s="277">
        <f>16.259/0.765/2</f>
        <v>10.626797385620915</v>
      </c>
      <c r="BN102" s="36">
        <f>BN101/BN103</f>
        <v>10.626797385620915</v>
      </c>
      <c r="BO102" s="276">
        <f>59/0.892/2</f>
        <v>33.071748878923763</v>
      </c>
      <c r="BP102" s="277">
        <f>59/0.892/2</f>
        <v>33.071748878923763</v>
      </c>
      <c r="BQ102" s="277">
        <f>59/0.892/2</f>
        <v>33.071748878923763</v>
      </c>
      <c r="BR102" s="277">
        <f>59/0.892/2</f>
        <v>33.071748878923763</v>
      </c>
      <c r="BS102" s="36">
        <f>BS101/BS103</f>
        <v>33.071748878923763</v>
      </c>
      <c r="BT102" s="276">
        <f>374.147/5.511/2</f>
        <v>33.945472690981674</v>
      </c>
      <c r="BU102" s="277">
        <f>374.147/5.511/2</f>
        <v>33.945472690981674</v>
      </c>
      <c r="BV102" s="277">
        <f>374.147/5.511/2</f>
        <v>33.945472690981674</v>
      </c>
      <c r="BW102" s="277">
        <f>374.147/5.511/2</f>
        <v>33.945472690981674</v>
      </c>
      <c r="BX102" s="36">
        <f>BX101/BX103</f>
        <v>33.945472690981674</v>
      </c>
      <c r="BY102" s="276">
        <f>520.845/8.602/2</f>
        <v>30.274645431295049</v>
      </c>
      <c r="BZ102" s="277">
        <f>520.845/8.602/2</f>
        <v>30.274645431295049</v>
      </c>
      <c r="CA102" s="277">
        <f>520.845/8.602/2</f>
        <v>30.274645431295049</v>
      </c>
      <c r="CB102" s="277">
        <f>520.845/8.602/2</f>
        <v>30.274645431295049</v>
      </c>
      <c r="CC102" s="333">
        <f>CC101/CC103</f>
        <v>30.274645431295049</v>
      </c>
      <c r="CD102" s="277">
        <f>179.004/2.627/2</f>
        <v>34.070041872858774</v>
      </c>
      <c r="CE102" s="277">
        <f>179.004/2.627/2</f>
        <v>34.070041872858774</v>
      </c>
      <c r="CF102" s="277">
        <f>179.004/2.627/2</f>
        <v>34.070041872858774</v>
      </c>
      <c r="CG102" s="458">
        <f>179.004/2.627/2</f>
        <v>34.070041872858774</v>
      </c>
      <c r="CH102" s="333">
        <f>CH101/CH103</f>
        <v>34.070041872858766</v>
      </c>
      <c r="CI102" s="458">
        <v>48.833333333333336</v>
      </c>
      <c r="CJ102" s="281">
        <f>CJ105</f>
        <v>49.9829798951613</v>
      </c>
      <c r="CK102" s="281">
        <f>CK105</f>
        <v>48.768978078125016</v>
      </c>
      <c r="CL102" s="281">
        <f>CL105</f>
        <v>47.081839246153848</v>
      </c>
      <c r="CM102" s="333">
        <f>CM101/CM103</f>
        <v>48.866985675622551</v>
      </c>
      <c r="CN102" s="458">
        <f>CN105</f>
        <v>58.867579483870976</v>
      </c>
      <c r="CO102" s="281">
        <f>CO105</f>
        <v>62.765000109375016</v>
      </c>
      <c r="CP102" s="281">
        <f>CP105</f>
        <v>62.746846400000024</v>
      </c>
      <c r="CQ102" s="281">
        <f>CQ105</f>
        <v>56</v>
      </c>
      <c r="CR102" s="743">
        <f>CR105</f>
        <v>60.094856498311501</v>
      </c>
      <c r="CS102" s="458">
        <f>-CS101/4.3</f>
        <v>56.883720930232556</v>
      </c>
      <c r="CT102" s="458">
        <f>-CT101/(5.1-4.3)</f>
        <v>62.50000000000005</v>
      </c>
      <c r="CU102" s="458">
        <v>57.59</v>
      </c>
      <c r="CV102" s="281">
        <f t="shared" ref="CV102:DL102" si="201">CV105</f>
        <v>56.03</v>
      </c>
      <c r="CW102" s="743">
        <f t="shared" si="201"/>
        <v>54.9375</v>
      </c>
      <c r="CX102" s="403">
        <f t="shared" si="201"/>
        <v>59.38</v>
      </c>
      <c r="CY102" s="281">
        <f>CY105</f>
        <v>66.400000000000006</v>
      </c>
      <c r="CZ102" s="281">
        <f>CZ105</f>
        <v>70.23</v>
      </c>
      <c r="DA102" s="281">
        <f t="shared" si="201"/>
        <v>73.08</v>
      </c>
      <c r="DB102" s="743">
        <f t="shared" si="201"/>
        <v>67.272499999999994</v>
      </c>
      <c r="DC102" s="281">
        <f t="shared" si="201"/>
        <v>74.541600000000003</v>
      </c>
      <c r="DD102" s="281">
        <f t="shared" si="201"/>
        <v>76.032432</v>
      </c>
      <c r="DE102" s="281">
        <f t="shared" si="201"/>
        <v>77.553080640000005</v>
      </c>
      <c r="DF102" s="281">
        <f t="shared" si="201"/>
        <v>79.104142252800003</v>
      </c>
      <c r="DG102" s="743">
        <f t="shared" si="201"/>
        <v>76.807813723199999</v>
      </c>
      <c r="DH102" s="281">
        <f t="shared" si="201"/>
        <v>80.68622509785601</v>
      </c>
      <c r="DI102" s="281">
        <f t="shared" si="201"/>
        <v>82.299949599813132</v>
      </c>
      <c r="DJ102" s="281">
        <f t="shared" si="201"/>
        <v>83.945948591809397</v>
      </c>
      <c r="DK102" s="281">
        <f t="shared" si="201"/>
        <v>85.62486756364558</v>
      </c>
      <c r="DL102" s="743">
        <f t="shared" si="201"/>
        <v>83.139247713281023</v>
      </c>
      <c r="DM102" s="281">
        <f t="shared" ref="DM102:DQ102" si="202">DM105</f>
        <v>87.337364914918496</v>
      </c>
      <c r="DN102" s="281">
        <f t="shared" si="202"/>
        <v>89.084112213216869</v>
      </c>
      <c r="DO102" s="281">
        <f t="shared" si="202"/>
        <v>90.865794457481215</v>
      </c>
      <c r="DP102" s="281">
        <f t="shared" si="202"/>
        <v>92.683110346630841</v>
      </c>
      <c r="DQ102" s="743">
        <f t="shared" si="202"/>
        <v>89.992595483061848</v>
      </c>
      <c r="DR102" s="35"/>
      <c r="DS102" s="36"/>
      <c r="DT102"/>
      <c r="DU102"/>
      <c r="DV102"/>
      <c r="DW102"/>
      <c r="DX102"/>
      <c r="DY102"/>
    </row>
    <row r="103" spans="1:129" s="60" customFormat="1" hidden="1" outlineLevel="1">
      <c r="A103" s="703"/>
      <c r="B103" s="579"/>
      <c r="C103" s="580" t="s">
        <v>27</v>
      </c>
      <c r="D103" s="580"/>
      <c r="E103" s="580"/>
      <c r="F103" s="580"/>
      <c r="G103" s="62">
        <v>0</v>
      </c>
      <c r="H103" s="61">
        <v>0</v>
      </c>
      <c r="I103" s="61">
        <v>0</v>
      </c>
      <c r="J103" s="63">
        <v>0</v>
      </c>
      <c r="K103" s="35"/>
      <c r="L103" s="62">
        <v>0</v>
      </c>
      <c r="M103" s="61">
        <v>0</v>
      </c>
      <c r="N103" s="61">
        <v>0</v>
      </c>
      <c r="O103" s="63">
        <v>0</v>
      </c>
      <c r="P103" s="36">
        <f>SUM(L103:O103)</f>
        <v>0</v>
      </c>
      <c r="Q103" s="62">
        <v>0</v>
      </c>
      <c r="R103" s="61">
        <v>0</v>
      </c>
      <c r="S103" s="61">
        <v>0</v>
      </c>
      <c r="T103" s="63">
        <v>0</v>
      </c>
      <c r="U103" s="36">
        <f>SUM(Q103:T103)</f>
        <v>0</v>
      </c>
      <c r="V103" s="62">
        <v>0</v>
      </c>
      <c r="W103" s="61">
        <v>0</v>
      </c>
      <c r="X103" s="61">
        <v>0</v>
      </c>
      <c r="Y103" s="63">
        <v>0</v>
      </c>
      <c r="Z103" s="36">
        <f>SUM(V103:Y103)</f>
        <v>0</v>
      </c>
      <c r="AA103" s="62">
        <v>0</v>
      </c>
      <c r="AB103" s="61">
        <v>0</v>
      </c>
      <c r="AC103" s="61">
        <v>0</v>
      </c>
      <c r="AD103" s="63">
        <v>0</v>
      </c>
      <c r="AE103" s="36">
        <f>SUM(AA103:AD103)</f>
        <v>0</v>
      </c>
      <c r="AF103" s="62">
        <v>0</v>
      </c>
      <c r="AG103" s="61">
        <v>0</v>
      </c>
      <c r="AH103" s="61">
        <v>0</v>
      </c>
      <c r="AI103" s="63">
        <v>0</v>
      </c>
      <c r="AJ103" s="36">
        <f>SUM(AF103:AI103)</f>
        <v>0</v>
      </c>
      <c r="AK103" s="62">
        <v>0</v>
      </c>
      <c r="AL103" s="61">
        <v>0</v>
      </c>
      <c r="AM103" s="61">
        <v>0</v>
      </c>
      <c r="AN103" s="63">
        <v>0</v>
      </c>
      <c r="AO103" s="36">
        <f>SUM(AK103:AN103)</f>
        <v>0</v>
      </c>
      <c r="AP103" s="62">
        <v>0</v>
      </c>
      <c r="AQ103" s="61">
        <v>0</v>
      </c>
      <c r="AR103" s="61">
        <v>0</v>
      </c>
      <c r="AS103" s="63">
        <v>0</v>
      </c>
      <c r="AT103" s="36">
        <f>SUM(AP103:AS103)</f>
        <v>0</v>
      </c>
      <c r="AU103" s="61">
        <v>0</v>
      </c>
      <c r="AV103" s="61">
        <v>0</v>
      </c>
      <c r="AW103" s="61">
        <v>0</v>
      </c>
      <c r="AX103" s="61">
        <v>0</v>
      </c>
      <c r="AY103" s="36">
        <f>SUM(AU103:AX103)</f>
        <v>0</v>
      </c>
      <c r="AZ103" s="35">
        <f>AZ101/AZ102</f>
        <v>0</v>
      </c>
      <c r="BA103" s="36">
        <f>BA101/BA102</f>
        <v>0</v>
      </c>
      <c r="BB103" s="36">
        <f>BB101/BB102</f>
        <v>0</v>
      </c>
      <c r="BC103" s="36">
        <f>BC101/BC102</f>
        <v>-6.7759999999999998</v>
      </c>
      <c r="BD103" s="36">
        <f>SUM(AZ103:BC103)</f>
        <v>-6.7759999999999998</v>
      </c>
      <c r="BE103" s="35">
        <f>BE101/BE102</f>
        <v>0</v>
      </c>
      <c r="BF103" s="36">
        <f>BF101/BF102</f>
        <v>0</v>
      </c>
      <c r="BG103" s="36">
        <f>BG101/BG102</f>
        <v>-1.958</v>
      </c>
      <c r="BH103" s="36">
        <f>BH101/BH102</f>
        <v>0</v>
      </c>
      <c r="BI103" s="36">
        <f>SUM(BE103:BH103)</f>
        <v>-1.958</v>
      </c>
      <c r="BJ103" s="35">
        <f>BJ101/BJ102</f>
        <v>-1.212218463620149</v>
      </c>
      <c r="BK103" s="36">
        <f>BK101/BK102</f>
        <v>-5.4861307583492239E-2</v>
      </c>
      <c r="BL103" s="36">
        <f>BL101/BL102</f>
        <v>-0.10341779937265516</v>
      </c>
      <c r="BM103" s="36">
        <f>BM101/BM102</f>
        <v>-0.15950242942370382</v>
      </c>
      <c r="BN103" s="36">
        <f>SUM(BJ103:BM103)</f>
        <v>-1.53</v>
      </c>
      <c r="BO103" s="35">
        <f>BO101/BO102</f>
        <v>-6.9999322033898317E-2</v>
      </c>
      <c r="BP103" s="36">
        <f>BP101/BP102</f>
        <v>-7.8193627118644068E-2</v>
      </c>
      <c r="BQ103" s="36">
        <f>BQ101/BQ102</f>
        <v>-0.21755728813559325</v>
      </c>
      <c r="BR103" s="36">
        <f>BR101/BR102</f>
        <v>-1.4182497627118646</v>
      </c>
      <c r="BS103" s="36">
        <f>SUM(BO103:BR103)</f>
        <v>-1.7840000000000003</v>
      </c>
      <c r="BT103" s="35">
        <f>BT101/BT102</f>
        <v>-2.6002289260638198</v>
      </c>
      <c r="BU103" s="36">
        <f>BU101/BU102</f>
        <v>-3.0597305551026732</v>
      </c>
      <c r="BV103" s="36">
        <f>BV101/BV102</f>
        <v>-5.0918130253616889</v>
      </c>
      <c r="BW103" s="36">
        <f>BW101/BW102</f>
        <v>-0.27022749347181729</v>
      </c>
      <c r="BX103" s="36">
        <f>SUM(BT103:BW103)</f>
        <v>-11.021999999999998</v>
      </c>
      <c r="BY103" s="35">
        <f>BY101/BY102</f>
        <v>-1.6179215083182137</v>
      </c>
      <c r="BZ103" s="36">
        <f>BZ101/BZ102</f>
        <v>-12.214874682487114</v>
      </c>
      <c r="CA103" s="36">
        <f>CA101/CA102</f>
        <v>-2.1507105722431796</v>
      </c>
      <c r="CB103" s="36">
        <f>CB101/CB102</f>
        <v>-1.2204932369514927</v>
      </c>
      <c r="CC103" s="333">
        <f>SUM(BY103:CB103)</f>
        <v>-17.204000000000001</v>
      </c>
      <c r="CD103" s="36">
        <f>CD101/CD102</f>
        <v>-0.66198920694509622</v>
      </c>
      <c r="CE103" s="429">
        <f>CE101/CE102</f>
        <v>-3.6646564881231702</v>
      </c>
      <c r="CF103" s="36">
        <f>CF101/CF102</f>
        <v>-0.20331645102902801</v>
      </c>
      <c r="CG103" s="36">
        <f>CG101/CG102</f>
        <v>-0.72403785390270559</v>
      </c>
      <c r="CH103" s="333">
        <f>SUM(CD103:CG103)</f>
        <v>-5.2540000000000004</v>
      </c>
      <c r="CI103" s="36">
        <f>CI101/CI102</f>
        <v>-0.6</v>
      </c>
      <c r="CJ103" s="36">
        <f>CJ101/CJ102</f>
        <v>-2.6521227881579907</v>
      </c>
      <c r="CK103" s="36">
        <f>CK101/CK102</f>
        <v>-0.19329910880844245</v>
      </c>
      <c r="CL103" s="36">
        <f>CL101/CL102</f>
        <v>-1.6360660762906065</v>
      </c>
      <c r="CM103" s="333">
        <f>SUM(CI103:CL103)</f>
        <v>-5.0814879732570395</v>
      </c>
      <c r="CN103" s="36">
        <f>CN101/CN102</f>
        <v>-0.65231151572184387</v>
      </c>
      <c r="CO103" s="36">
        <f>CO101/CO102</f>
        <v>-2.7977375877319748</v>
      </c>
      <c r="CP103" s="36">
        <f>CP101/CP102</f>
        <v>-2.6965498619863695</v>
      </c>
      <c r="CQ103" s="36">
        <f>CQ101/CQ102</f>
        <v>-1.3714285714285717</v>
      </c>
      <c r="CR103" s="333">
        <f>SUM(CN103:CQ103)</f>
        <v>-7.5180275368687601</v>
      </c>
      <c r="CS103" s="36">
        <f t="shared" ref="CS103:DL103" si="203">CS101/CS102</f>
        <v>-4.3</v>
      </c>
      <c r="CT103" s="36">
        <f t="shared" si="203"/>
        <v>-0.79999999999999982</v>
      </c>
      <c r="CU103" s="36">
        <f t="shared" si="203"/>
        <v>-2.5160618162875497</v>
      </c>
      <c r="CV103" s="36">
        <f t="shared" si="203"/>
        <v>0</v>
      </c>
      <c r="CW103" s="333">
        <f t="shared" si="203"/>
        <v>-8</v>
      </c>
      <c r="CX103" s="130">
        <f t="shared" si="203"/>
        <v>-25.496800269450993</v>
      </c>
      <c r="CY103" s="36">
        <f>CY101/CY102</f>
        <v>-0.45180722891566261</v>
      </c>
      <c r="CZ103" s="36">
        <f>CZ101/CZ102</f>
        <v>-0.18510608002278228</v>
      </c>
      <c r="DA103" s="36">
        <f t="shared" si="203"/>
        <v>-4.5429666119321297</v>
      </c>
      <c r="DB103" s="333">
        <f t="shared" si="203"/>
        <v>-28.079824594002009</v>
      </c>
      <c r="DC103" s="36">
        <f t="shared" si="203"/>
        <v>-3.0184487588138702</v>
      </c>
      <c r="DD103" s="36">
        <f t="shared" si="203"/>
        <v>-2.9592634890332064</v>
      </c>
      <c r="DE103" s="36">
        <f t="shared" si="203"/>
        <v>-2.9012387147384375</v>
      </c>
      <c r="DF103" s="36">
        <f t="shared" si="203"/>
        <v>-2.8443516811161151</v>
      </c>
      <c r="DG103" s="333">
        <f t="shared" si="203"/>
        <v>-11.71755784175058</v>
      </c>
      <c r="DH103" s="36">
        <f t="shared" si="203"/>
        <v>-3.7181067727008039</v>
      </c>
      <c r="DI103" s="36">
        <f t="shared" si="203"/>
        <v>-3.6452027183341214</v>
      </c>
      <c r="DJ103" s="36">
        <f t="shared" si="203"/>
        <v>-3.5737281552295306</v>
      </c>
      <c r="DK103" s="36">
        <f t="shared" si="203"/>
        <v>-3.5036550541465989</v>
      </c>
      <c r="DL103" s="333">
        <f t="shared" si="203"/>
        <v>-14.433616288403183</v>
      </c>
      <c r="DM103" s="36">
        <f t="shared" ref="DM103:DQ103" si="204">DM101/DM102</f>
        <v>-3.4349559354378418</v>
      </c>
      <c r="DN103" s="36">
        <f t="shared" si="204"/>
        <v>-3.3676038582723935</v>
      </c>
      <c r="DO103" s="36">
        <f t="shared" si="204"/>
        <v>-3.3015724100709738</v>
      </c>
      <c r="DP103" s="36">
        <f t="shared" si="204"/>
        <v>-3.2368356961480136</v>
      </c>
      <c r="DQ103" s="333">
        <f t="shared" si="204"/>
        <v>-13.334430389063071</v>
      </c>
      <c r="DR103" s="35"/>
      <c r="DS103" s="36"/>
      <c r="DT103"/>
      <c r="DU103"/>
      <c r="DV103"/>
      <c r="DW103"/>
      <c r="DX103"/>
      <c r="DY103"/>
    </row>
    <row r="104" spans="1:129" s="151" customFormat="1" hidden="1" outlineLevel="1">
      <c r="A104" s="704"/>
      <c r="B104" s="705"/>
      <c r="C104" s="700"/>
      <c r="D104" s="706"/>
      <c r="E104" s="706"/>
      <c r="F104" s="706"/>
      <c r="G104" s="140"/>
      <c r="H104" s="141"/>
      <c r="I104" s="141"/>
      <c r="J104" s="142"/>
      <c r="K104" s="140"/>
      <c r="L104" s="140"/>
      <c r="M104" s="141"/>
      <c r="N104" s="141"/>
      <c r="O104" s="141"/>
      <c r="P104" s="141"/>
      <c r="Q104" s="140"/>
      <c r="R104" s="141"/>
      <c r="S104" s="141"/>
      <c r="T104" s="142"/>
      <c r="U104" s="141"/>
      <c r="V104" s="141"/>
      <c r="W104" s="141"/>
      <c r="X104" s="141"/>
      <c r="Y104" s="142"/>
      <c r="Z104" s="141"/>
      <c r="AA104" s="141"/>
      <c r="AB104" s="141"/>
      <c r="AC104" s="141"/>
      <c r="AD104" s="141"/>
      <c r="AE104" s="141"/>
      <c r="AF104" s="140"/>
      <c r="AG104" s="141"/>
      <c r="AH104" s="141"/>
      <c r="AI104" s="141"/>
      <c r="AJ104" s="141"/>
      <c r="AK104" s="140"/>
      <c r="AL104" s="141"/>
      <c r="AM104" s="141"/>
      <c r="AN104" s="142"/>
      <c r="AO104" s="141"/>
      <c r="AP104" s="141"/>
      <c r="AQ104" s="141"/>
      <c r="AR104" s="141"/>
      <c r="AS104" s="142"/>
      <c r="AT104" s="141"/>
      <c r="AU104" s="141"/>
      <c r="AV104" s="141"/>
      <c r="AW104" s="141"/>
      <c r="AX104" s="141"/>
      <c r="AY104" s="141"/>
      <c r="AZ104" s="140"/>
      <c r="BA104" s="141"/>
      <c r="BB104" s="141"/>
      <c r="BC104" s="141"/>
      <c r="BD104" s="141"/>
      <c r="BE104" s="140"/>
      <c r="BF104" s="141"/>
      <c r="BG104" s="141"/>
      <c r="BH104" s="142"/>
      <c r="BI104" s="141"/>
      <c r="BJ104" s="141"/>
      <c r="BK104" s="141"/>
      <c r="BL104" s="141"/>
      <c r="BM104" s="142"/>
      <c r="BN104" s="141"/>
      <c r="BO104" s="141"/>
      <c r="BP104" s="141"/>
      <c r="BQ104" s="141"/>
      <c r="BR104" s="141"/>
      <c r="BS104" s="141"/>
      <c r="BT104" s="140"/>
      <c r="BU104" s="141"/>
      <c r="BV104" s="141"/>
      <c r="BW104" s="141"/>
      <c r="BX104" s="141"/>
      <c r="BY104" s="140"/>
      <c r="BZ104" s="141"/>
      <c r="CA104" s="141"/>
      <c r="CB104" s="143"/>
      <c r="CC104" s="341"/>
      <c r="CD104" s="291"/>
      <c r="CE104" s="143"/>
      <c r="CF104" s="143"/>
      <c r="CG104" s="420"/>
      <c r="CH104" s="341"/>
      <c r="CI104" s="143"/>
      <c r="CJ104" s="143"/>
      <c r="CK104" s="143"/>
      <c r="CL104" s="143"/>
      <c r="CM104" s="341"/>
      <c r="CN104" s="143"/>
      <c r="CO104" s="143"/>
      <c r="CP104" s="143"/>
      <c r="CQ104" s="143"/>
      <c r="CR104" s="744"/>
      <c r="CS104" s="143"/>
      <c r="CT104" s="143"/>
      <c r="CU104" s="143"/>
      <c r="CV104" s="143"/>
      <c r="CW104" s="744"/>
      <c r="CX104" s="143"/>
      <c r="CY104" s="143"/>
      <c r="CZ104" s="143"/>
      <c r="DA104" s="143"/>
      <c r="DB104" s="744"/>
      <c r="DC104" s="143"/>
      <c r="DD104" s="143"/>
      <c r="DE104" s="143"/>
      <c r="DF104" s="143"/>
      <c r="DG104" s="744"/>
      <c r="DH104" s="143"/>
      <c r="DI104" s="143"/>
      <c r="DJ104" s="143"/>
      <c r="DK104" s="143"/>
      <c r="DL104" s="744"/>
      <c r="DM104" s="143"/>
      <c r="DN104" s="143"/>
      <c r="DO104" s="143"/>
      <c r="DP104" s="143"/>
      <c r="DQ104" s="744"/>
      <c r="DR104" s="140"/>
      <c r="DS104" s="141"/>
      <c r="DT104"/>
      <c r="DU104"/>
      <c r="DV104"/>
      <c r="DW104"/>
      <c r="DX104"/>
      <c r="DY104"/>
    </row>
    <row r="105" spans="1:129" s="151" customFormat="1" hidden="1" outlineLevel="1">
      <c r="A105" s="704"/>
      <c r="B105" s="705" t="s">
        <v>129</v>
      </c>
      <c r="C105" s="706"/>
      <c r="D105" s="706"/>
      <c r="E105" s="706"/>
      <c r="F105" s="706"/>
      <c r="G105" s="140">
        <f>+H105</f>
        <v>0.2294921875</v>
      </c>
      <c r="H105" s="278">
        <v>0.2294921875</v>
      </c>
      <c r="I105" s="278">
        <v>0.32746394230769249</v>
      </c>
      <c r="J105" s="275">
        <v>0.42467948717948728</v>
      </c>
      <c r="K105" s="281">
        <f>AVERAGE(G105:J105)</f>
        <v>0.30278195112179496</v>
      </c>
      <c r="L105" s="279">
        <v>0.75300319220430145</v>
      </c>
      <c r="M105" s="278">
        <v>0.50185139973958359</v>
      </c>
      <c r="N105" s="278">
        <v>0.52678285256410284</v>
      </c>
      <c r="O105" s="278">
        <v>1.2043469551282058</v>
      </c>
      <c r="P105" s="281">
        <f>AVERAGE(L105:O105)</f>
        <v>0.74649609990904842</v>
      </c>
      <c r="Q105" s="279">
        <v>2.2674357096354179</v>
      </c>
      <c r="R105" s="278">
        <v>2.108642578125</v>
      </c>
      <c r="S105" s="278">
        <v>1.6907348632812491</v>
      </c>
      <c r="T105" s="275">
        <v>1.5941116898148142</v>
      </c>
      <c r="U105" s="281">
        <f>AVERAGE(Q105:T105)</f>
        <v>1.9152312102141202</v>
      </c>
      <c r="V105" s="278">
        <v>1.7125126008064513</v>
      </c>
      <c r="W105" s="278">
        <v>1.6839267017195758</v>
      </c>
      <c r="X105" s="278">
        <v>1.6325933050847456</v>
      </c>
      <c r="Y105" s="275">
        <v>1.3332646998697912</v>
      </c>
      <c r="Z105" s="281">
        <f>AVERAGE(V105:Y105)</f>
        <v>1.5905743268701411</v>
      </c>
      <c r="AA105" s="278">
        <v>1.5527985266393436</v>
      </c>
      <c r="AB105" s="278">
        <v>1.964980205078124</v>
      </c>
      <c r="AC105" s="278">
        <v>2.3493804537760408</v>
      </c>
      <c r="AD105" s="278">
        <v>2.8071285551282044</v>
      </c>
      <c r="AE105" s="281">
        <f>AVERAGE(AA105:AD105)</f>
        <v>2.1685719351554282</v>
      </c>
      <c r="AF105" s="279">
        <v>2.7149432822580635</v>
      </c>
      <c r="AG105" s="278">
        <v>2.6420408444010421</v>
      </c>
      <c r="AH105" s="278">
        <v>4.043991411538463</v>
      </c>
      <c r="AI105" s="278">
        <v>5.5017395576923107</v>
      </c>
      <c r="AJ105" s="281">
        <f>AVERAGE(AF105:AI105)</f>
        <v>3.7256787739724695</v>
      </c>
      <c r="AK105" s="279">
        <v>6.1026579543650827</v>
      </c>
      <c r="AL105" s="278">
        <v>5.780078259920634</v>
      </c>
      <c r="AM105" s="278">
        <v>6.6359211961538467</v>
      </c>
      <c r="AN105" s="275">
        <v>9.0548021230769233</v>
      </c>
      <c r="AO105" s="281">
        <f>AVERAGE(AK105:AN105)</f>
        <v>6.8933648833791228</v>
      </c>
      <c r="AP105" s="278">
        <v>10.619413443548392</v>
      </c>
      <c r="AQ105" s="278">
        <v>11.324075184615387</v>
      </c>
      <c r="AR105" s="278">
        <v>11.750648084615387</v>
      </c>
      <c r="AS105" s="275">
        <v>11.790115648437501</v>
      </c>
      <c r="AT105" s="281">
        <f>AVERAGE(AP105:AS105)</f>
        <v>11.371063090304165</v>
      </c>
      <c r="AU105" s="278">
        <v>13.575038294354844</v>
      </c>
      <c r="AV105" s="278">
        <v>15.722928066406256</v>
      </c>
      <c r="AW105" s="278">
        <v>17.076990550781257</v>
      </c>
      <c r="AX105" s="278">
        <v>19.490327499999999</v>
      </c>
      <c r="AY105" s="281">
        <f>AVERAGE(AU105:AX105)</f>
        <v>16.466321102885587</v>
      </c>
      <c r="AZ105" s="279">
        <v>22.015120426229512</v>
      </c>
      <c r="BA105" s="278">
        <v>20.298807765873022</v>
      </c>
      <c r="BB105" s="278">
        <v>19.509283698412705</v>
      </c>
      <c r="BC105" s="278">
        <v>17.925291128906252</v>
      </c>
      <c r="BD105" s="281">
        <f>AVERAGE(AZ105:BC105)</f>
        <v>19.937125754855373</v>
      </c>
      <c r="BE105" s="279">
        <v>14.880964927419358</v>
      </c>
      <c r="BF105" s="278">
        <v>15.989073776923078</v>
      </c>
      <c r="BG105" s="278">
        <v>14.192996353846151</v>
      </c>
      <c r="BH105" s="275">
        <v>9.0578429230769206</v>
      </c>
      <c r="BI105" s="281">
        <f>AVERAGE(BE105:BH105)</f>
        <v>13.530219495316377</v>
      </c>
      <c r="BJ105" s="278">
        <v>9.8593512419354834</v>
      </c>
      <c r="BK105" s="278">
        <v>12.442340843749996</v>
      </c>
      <c r="BL105" s="278">
        <v>16.562843207692314</v>
      </c>
      <c r="BM105" s="275">
        <v>21.306996953846159</v>
      </c>
      <c r="BN105" s="281">
        <f>AVERAGE(BJ105:BM105)</f>
        <v>15.042883061805989</v>
      </c>
      <c r="BO105" s="278">
        <v>24.094611923076922</v>
      </c>
      <c r="BP105" s="278">
        <v>25.675523906250007</v>
      </c>
      <c r="BQ105" s="278">
        <v>29.218919638461543</v>
      </c>
      <c r="BR105" s="278">
        <v>33.553919500000006</v>
      </c>
      <c r="BS105" s="281">
        <f>AVERAGE(BO105:BR105)</f>
        <v>28.13574374194712</v>
      </c>
      <c r="BT105" s="279">
        <v>37.869361396825397</v>
      </c>
      <c r="BU105" s="278">
        <v>38.067488656250021</v>
      </c>
      <c r="BV105" s="278">
        <v>33.266303915384626</v>
      </c>
      <c r="BW105" s="278">
        <v>33.854215640625</v>
      </c>
      <c r="BX105" s="281">
        <f>AVERAGE(BT105:BW105)</f>
        <v>35.764342402271261</v>
      </c>
      <c r="BY105" s="279">
        <v>35.964835129032259</v>
      </c>
      <c r="BZ105" s="278">
        <v>32.416472753968257</v>
      </c>
      <c r="CA105" s="278">
        <v>31.427180452380966</v>
      </c>
      <c r="CB105" s="278">
        <v>34.588508943548398</v>
      </c>
      <c r="CC105" s="743">
        <f>AVERAGE(BY105:CB105)</f>
        <v>33.599249319732472</v>
      </c>
      <c r="CD105" s="278">
        <v>31.427180452380966</v>
      </c>
      <c r="CE105" s="278">
        <v>33.234644984375002</v>
      </c>
      <c r="CF105" s="278">
        <v>37.113285914062502</v>
      </c>
      <c r="CG105" s="278">
        <v>45.474612130769238</v>
      </c>
      <c r="CH105" s="743">
        <f>AVERAGE(CD105:CG105)</f>
        <v>36.812430870396931</v>
      </c>
      <c r="CI105" s="278">
        <v>49.98</v>
      </c>
      <c r="CJ105" s="278">
        <v>49.9829798951613</v>
      </c>
      <c r="CK105" s="278">
        <v>48.768978078125016</v>
      </c>
      <c r="CL105" s="278">
        <v>47.081839246153848</v>
      </c>
      <c r="CM105" s="743">
        <f>AVERAGE(CI105:CL105)</f>
        <v>48.953449304860044</v>
      </c>
      <c r="CN105" s="278">
        <v>58.867579483870976</v>
      </c>
      <c r="CO105" s="278">
        <v>62.765000109375016</v>
      </c>
      <c r="CP105" s="278">
        <v>62.746846400000024</v>
      </c>
      <c r="CQ105" s="278">
        <v>56</v>
      </c>
      <c r="CR105" s="743">
        <f>AVERAGE(CN105:CQ105)</f>
        <v>60.094856498311501</v>
      </c>
      <c r="CS105" s="278">
        <v>57.24</v>
      </c>
      <c r="CT105" s="278">
        <v>58.77</v>
      </c>
      <c r="CU105" s="278">
        <v>47.71</v>
      </c>
      <c r="CV105" s="278">
        <v>56.03</v>
      </c>
      <c r="CW105" s="743">
        <f>AVERAGE(CS105:CV105)</f>
        <v>54.9375</v>
      </c>
      <c r="CX105" s="278">
        <v>59.38</v>
      </c>
      <c r="CY105" s="278">
        <v>66.400000000000006</v>
      </c>
      <c r="CZ105" s="278">
        <v>70.23</v>
      </c>
      <c r="DA105" s="278">
        <v>73.08</v>
      </c>
      <c r="DB105" s="743">
        <f>AVERAGE(CX105:DA105)</f>
        <v>67.272499999999994</v>
      </c>
      <c r="DC105" s="1133">
        <f>(1+DC106)*DA105</f>
        <v>74.541600000000003</v>
      </c>
      <c r="DD105" s="1133">
        <f>(1+DD106)*DC105</f>
        <v>76.032432</v>
      </c>
      <c r="DE105" s="1133">
        <f>(1+DE106)*DD105</f>
        <v>77.553080640000005</v>
      </c>
      <c r="DF105" s="1133">
        <f>(1+DF106)*DE105</f>
        <v>79.104142252800003</v>
      </c>
      <c r="DG105" s="1134">
        <f>AVERAGE(DC105:DF105)</f>
        <v>76.807813723199999</v>
      </c>
      <c r="DH105" s="1133">
        <f>(1+DH106)*DF105</f>
        <v>80.68622509785601</v>
      </c>
      <c r="DI105" s="1133">
        <f>(1+DI106)*DH105</f>
        <v>82.299949599813132</v>
      </c>
      <c r="DJ105" s="1133">
        <f>(1+DJ106)*DI105</f>
        <v>83.945948591809397</v>
      </c>
      <c r="DK105" s="1133">
        <f>(1+DK106)*DJ105</f>
        <v>85.62486756364558</v>
      </c>
      <c r="DL105" s="1134">
        <f>AVERAGE(DH105:DK105)</f>
        <v>83.139247713281023</v>
      </c>
      <c r="DM105" s="1133">
        <f>(1+DM106)*DK105</f>
        <v>87.337364914918496</v>
      </c>
      <c r="DN105" s="1133">
        <f>(1+DN106)*DM105</f>
        <v>89.084112213216869</v>
      </c>
      <c r="DO105" s="1133">
        <f>(1+DO106)*DN105</f>
        <v>90.865794457481215</v>
      </c>
      <c r="DP105" s="1133">
        <f>(1+DP106)*DO105</f>
        <v>92.683110346630841</v>
      </c>
      <c r="DQ105" s="1134">
        <f>AVERAGE(DM105:DP105)</f>
        <v>89.992595483061848</v>
      </c>
      <c r="DR105" s="140"/>
      <c r="DS105" s="141"/>
      <c r="DT105"/>
      <c r="DU105"/>
      <c r="DV105"/>
      <c r="DW105"/>
      <c r="DX105"/>
      <c r="DY105"/>
    </row>
    <row r="106" spans="1:129" s="151" customFormat="1" hidden="1" outlineLevel="1">
      <c r="A106" s="704"/>
      <c r="B106" s="705"/>
      <c r="C106" s="706" t="s">
        <v>132</v>
      </c>
      <c r="D106" s="706"/>
      <c r="E106" s="706"/>
      <c r="F106" s="706"/>
      <c r="G106" s="140"/>
      <c r="H106" s="278"/>
      <c r="I106" s="278"/>
      <c r="J106" s="275"/>
      <c r="K106" s="140"/>
      <c r="L106" s="279"/>
      <c r="M106" s="278"/>
      <c r="N106" s="278"/>
      <c r="O106" s="278"/>
      <c r="P106" s="141"/>
      <c r="Q106" s="279"/>
      <c r="R106" s="278"/>
      <c r="S106" s="278"/>
      <c r="T106" s="275"/>
      <c r="U106" s="141"/>
      <c r="V106" s="278"/>
      <c r="W106" s="278"/>
      <c r="X106" s="278"/>
      <c r="Y106" s="275"/>
      <c r="Z106" s="141"/>
      <c r="AA106" s="278"/>
      <c r="AB106" s="278"/>
      <c r="AC106" s="278"/>
      <c r="AD106" s="278"/>
      <c r="AE106" s="141"/>
      <c r="AF106" s="279"/>
      <c r="AG106" s="278"/>
      <c r="AH106" s="278"/>
      <c r="AI106" s="278"/>
      <c r="AJ106" s="141"/>
      <c r="AK106" s="279"/>
      <c r="AL106" s="278"/>
      <c r="AM106" s="278"/>
      <c r="AN106" s="275"/>
      <c r="AO106" s="141"/>
      <c r="AP106" s="278"/>
      <c r="AQ106" s="278"/>
      <c r="AR106" s="278"/>
      <c r="AS106" s="275"/>
      <c r="AT106" s="141"/>
      <c r="AU106" s="278"/>
      <c r="AV106" s="278"/>
      <c r="AW106" s="278"/>
      <c r="AX106" s="278"/>
      <c r="AY106" s="141"/>
      <c r="AZ106" s="279"/>
      <c r="BA106" s="278"/>
      <c r="BB106" s="278"/>
      <c r="BC106" s="278"/>
      <c r="BD106" s="141"/>
      <c r="BE106" s="279"/>
      <c r="BF106" s="278"/>
      <c r="BG106" s="278"/>
      <c r="BH106" s="275"/>
      <c r="BI106" s="141"/>
      <c r="BJ106" s="278"/>
      <c r="BK106" s="278"/>
      <c r="BL106" s="278"/>
      <c r="BM106" s="275"/>
      <c r="BN106" s="141"/>
      <c r="BO106" s="278"/>
      <c r="BP106" s="278"/>
      <c r="BQ106" s="278"/>
      <c r="BR106" s="278"/>
      <c r="BS106" s="141"/>
      <c r="BT106" s="279"/>
      <c r="BU106" s="278"/>
      <c r="BV106" s="278"/>
      <c r="BW106" s="278"/>
      <c r="BX106" s="141"/>
      <c r="BY106" s="279"/>
      <c r="BZ106" s="278"/>
      <c r="CA106" s="278"/>
      <c r="CB106" s="278"/>
      <c r="CC106" s="341"/>
      <c r="CD106" s="420"/>
      <c r="CE106" s="420"/>
      <c r="CF106" s="420"/>
      <c r="CG106" s="420"/>
      <c r="CH106" s="341"/>
      <c r="CI106" s="420"/>
      <c r="CJ106" s="420"/>
      <c r="CK106" s="420"/>
      <c r="CL106" s="420"/>
      <c r="CM106" s="745"/>
      <c r="CN106" s="420"/>
      <c r="CO106" s="420"/>
      <c r="CP106" s="420"/>
      <c r="CQ106" s="420"/>
      <c r="CR106" s="745"/>
      <c r="CS106" s="420"/>
      <c r="CT106" s="420"/>
      <c r="CU106" s="420"/>
      <c r="CV106" s="420"/>
      <c r="CW106" s="745"/>
      <c r="CX106" s="420"/>
      <c r="CY106" s="420"/>
      <c r="CZ106" s="420"/>
      <c r="DA106" s="420"/>
      <c r="DB106" s="745"/>
      <c r="DC106" s="85">
        <v>0.02</v>
      </c>
      <c r="DD106" s="85">
        <v>0.02</v>
      </c>
      <c r="DE106" s="85">
        <v>0.02</v>
      </c>
      <c r="DF106" s="85">
        <v>0.02</v>
      </c>
      <c r="DG106" s="745"/>
      <c r="DH106" s="85">
        <v>0.02</v>
      </c>
      <c r="DI106" s="85">
        <v>0.02</v>
      </c>
      <c r="DJ106" s="85">
        <v>0.02</v>
      </c>
      <c r="DK106" s="85">
        <v>0.02</v>
      </c>
      <c r="DL106" s="745"/>
      <c r="DM106" s="85">
        <v>0.02</v>
      </c>
      <c r="DN106" s="85">
        <v>0.02</v>
      </c>
      <c r="DO106" s="85">
        <v>0.02</v>
      </c>
      <c r="DP106" s="85">
        <v>0.02</v>
      </c>
      <c r="DQ106" s="745"/>
      <c r="DR106" s="140"/>
      <c r="DS106" s="141"/>
      <c r="DT106"/>
      <c r="DU106"/>
      <c r="DV106"/>
      <c r="DW106"/>
      <c r="DX106"/>
      <c r="DY106"/>
    </row>
    <row r="107" spans="1:129" s="156" customFormat="1" hidden="1" outlineLevel="1">
      <c r="A107" s="707"/>
      <c r="B107" s="708" t="s">
        <v>312</v>
      </c>
      <c r="C107" s="709"/>
      <c r="D107" s="709"/>
      <c r="E107" s="709"/>
      <c r="F107" s="709"/>
      <c r="G107" s="157"/>
      <c r="H107" s="158"/>
      <c r="I107" s="158"/>
      <c r="J107" s="159"/>
      <c r="K107" s="157"/>
      <c r="L107" s="157"/>
      <c r="M107" s="158"/>
      <c r="N107" s="158"/>
      <c r="O107" s="158"/>
      <c r="P107" s="158"/>
      <c r="Q107" s="157"/>
      <c r="R107" s="158"/>
      <c r="S107" s="158"/>
      <c r="T107" s="159"/>
      <c r="U107" s="158"/>
      <c r="V107" s="158"/>
      <c r="W107" s="158"/>
      <c r="X107" s="158"/>
      <c r="Y107" s="159"/>
      <c r="Z107" s="158"/>
      <c r="AA107" s="158"/>
      <c r="AB107" s="158"/>
      <c r="AC107" s="158"/>
      <c r="AD107" s="158"/>
      <c r="AE107" s="158"/>
      <c r="AF107" s="157"/>
      <c r="AG107" s="158"/>
      <c r="AH107" s="158"/>
      <c r="AI107" s="158"/>
      <c r="AJ107" s="158"/>
      <c r="AK107" s="157"/>
      <c r="AL107" s="158"/>
      <c r="AM107" s="158"/>
      <c r="AN107" s="159"/>
      <c r="AO107" s="158"/>
      <c r="AP107" s="158"/>
      <c r="AQ107" s="158"/>
      <c r="AR107" s="158"/>
      <c r="AS107" s="159"/>
      <c r="AT107" s="158"/>
      <c r="AU107" s="158"/>
      <c r="AV107" s="158"/>
      <c r="AW107" s="158"/>
      <c r="AX107" s="158"/>
      <c r="AY107" s="158"/>
      <c r="AZ107" s="157"/>
      <c r="BA107" s="158"/>
      <c r="BB107" s="158"/>
      <c r="BC107" s="158"/>
      <c r="BD107" s="158"/>
      <c r="BE107" s="157"/>
      <c r="BF107" s="158"/>
      <c r="BG107" s="158"/>
      <c r="BH107" s="159"/>
      <c r="BI107" s="158"/>
      <c r="BJ107" s="158"/>
      <c r="BK107" s="158"/>
      <c r="BL107" s="158"/>
      <c r="BM107" s="159"/>
      <c r="BN107" s="158"/>
      <c r="BO107" s="158"/>
      <c r="BP107" s="158"/>
      <c r="BQ107" s="158"/>
      <c r="BR107" s="158"/>
      <c r="BS107" s="158"/>
      <c r="BT107" s="157"/>
      <c r="BU107" s="158"/>
      <c r="BV107" s="158"/>
      <c r="BW107" s="158"/>
      <c r="BX107" s="158"/>
      <c r="BY107" s="157"/>
      <c r="BZ107" s="158"/>
      <c r="CA107" s="158"/>
      <c r="CB107" s="158"/>
      <c r="CC107" s="756"/>
      <c r="CD107" s="158"/>
      <c r="CE107" s="158"/>
      <c r="CF107" s="158"/>
      <c r="CG107" s="158"/>
      <c r="CH107" s="746">
        <v>0</v>
      </c>
      <c r="CI107" s="158"/>
      <c r="CJ107" s="158"/>
      <c r="CK107" s="158"/>
      <c r="CL107" s="158"/>
      <c r="CM107" s="746">
        <v>0</v>
      </c>
      <c r="CN107" s="570">
        <v>0</v>
      </c>
      <c r="CO107" s="570">
        <v>0</v>
      </c>
      <c r="CP107" s="570">
        <v>0</v>
      </c>
      <c r="CQ107" s="570">
        <v>0</v>
      </c>
      <c r="CR107" s="746">
        <v>0</v>
      </c>
      <c r="CS107" s="570">
        <v>0</v>
      </c>
      <c r="CT107" s="570">
        <v>0</v>
      </c>
      <c r="CU107" s="570">
        <v>0</v>
      </c>
      <c r="CV107" s="570">
        <v>0</v>
      </c>
      <c r="CW107" s="746">
        <v>0</v>
      </c>
      <c r="CX107" s="570">
        <v>0</v>
      </c>
      <c r="CY107" s="918">
        <v>0.15</v>
      </c>
      <c r="CZ107" s="918">
        <v>0.15</v>
      </c>
      <c r="DA107" s="918">
        <v>0.15</v>
      </c>
      <c r="DB107" s="746">
        <f>SUM(CX107:DA107)</f>
        <v>0.44999999999999996</v>
      </c>
      <c r="DC107" s="841">
        <v>0.2</v>
      </c>
      <c r="DD107" s="841">
        <f>+DC107</f>
        <v>0.2</v>
      </c>
      <c r="DE107" s="841">
        <f t="shared" ref="DE107:DF107" si="205">+DD107</f>
        <v>0.2</v>
      </c>
      <c r="DF107" s="841">
        <f t="shared" si="205"/>
        <v>0.2</v>
      </c>
      <c r="DG107" s="746">
        <f>SUM(DC107:DF107)</f>
        <v>0.8</v>
      </c>
      <c r="DH107" s="841">
        <f>+DF107</f>
        <v>0.2</v>
      </c>
      <c r="DI107" s="841">
        <f>+DH107</f>
        <v>0.2</v>
      </c>
      <c r="DJ107" s="841">
        <f t="shared" ref="DJ107:DK107" si="206">+DI107</f>
        <v>0.2</v>
      </c>
      <c r="DK107" s="841">
        <f t="shared" si="206"/>
        <v>0.2</v>
      </c>
      <c r="DL107" s="746">
        <f>SUM(DH107:DK107)</f>
        <v>0.8</v>
      </c>
      <c r="DM107" s="841">
        <f>+DK107</f>
        <v>0.2</v>
      </c>
      <c r="DN107" s="841">
        <f>+DM107</f>
        <v>0.2</v>
      </c>
      <c r="DO107" s="841">
        <f t="shared" ref="DO107:DP107" si="207">+DN107</f>
        <v>0.2</v>
      </c>
      <c r="DP107" s="841">
        <f t="shared" si="207"/>
        <v>0.2</v>
      </c>
      <c r="DQ107" s="746">
        <f>SUM(DM107:DP107)</f>
        <v>0.8</v>
      </c>
      <c r="DR107" s="186"/>
      <c r="DS107" s="185"/>
      <c r="DT107"/>
      <c r="DU107"/>
      <c r="DV107"/>
      <c r="DW107"/>
      <c r="DX107"/>
      <c r="DY107"/>
    </row>
    <row r="108" spans="1:129" hidden="1" outlineLevel="1">
      <c r="B108" s="619" t="s">
        <v>314</v>
      </c>
      <c r="G108" s="92">
        <f>((G107*G86)-G101)/CF!G102</f>
        <v>0</v>
      </c>
      <c r="H108" s="92">
        <f>((H107*H86)-H101)/CF!H102</f>
        <v>0</v>
      </c>
      <c r="I108" s="92">
        <f>((I107*I86)-I101)/CF!I102</f>
        <v>0</v>
      </c>
      <c r="J108" s="92">
        <f>((J107*J86)-J101)/CF!J102</f>
        <v>0</v>
      </c>
      <c r="K108" s="92">
        <f>((K107*K86)-K101)/CF!K102</f>
        <v>0</v>
      </c>
      <c r="L108" s="92">
        <f>((L107*L86)-L101)/CF!L102</f>
        <v>0</v>
      </c>
      <c r="M108" s="92">
        <f>((M107*M86)-M101)/CF!M102</f>
        <v>0</v>
      </c>
      <c r="N108" s="92">
        <f>((N107*N86)-N101)/CF!N102</f>
        <v>0</v>
      </c>
      <c r="O108" s="92">
        <f>((O107*O86)-O101)/CF!O102</f>
        <v>0</v>
      </c>
      <c r="P108" s="92">
        <f>((P107*P86)-P101)/CF!P102</f>
        <v>0</v>
      </c>
      <c r="Q108" s="92">
        <f>((Q107*Q86)-Q101)/CF!Q102</f>
        <v>0</v>
      </c>
      <c r="R108" s="92">
        <f>((R107*R86)-R101)/CF!R102</f>
        <v>0</v>
      </c>
      <c r="S108" s="92">
        <f>((S107*S86)-S101)/CF!S102</f>
        <v>0</v>
      </c>
      <c r="T108" s="92">
        <f>((T107*T86)-T101)/CF!T102</f>
        <v>0</v>
      </c>
      <c r="U108" s="92">
        <f>((U107*U86)-U101)/CF!U102</f>
        <v>0</v>
      </c>
      <c r="V108" s="92">
        <f>((V107*V86)-V101)/CF!V102</f>
        <v>0</v>
      </c>
      <c r="W108" s="92">
        <f>((W107*W86)-W101)/CF!W102</f>
        <v>0</v>
      </c>
      <c r="X108" s="92">
        <f>((X107*X86)-X101)/CF!X102</f>
        <v>0</v>
      </c>
      <c r="Y108" s="92">
        <f>((Y107*Y86)-Y101)/CF!Y102</f>
        <v>0</v>
      </c>
      <c r="Z108" s="92">
        <f>((Z107*Z86)-Z101)/CF!Z102</f>
        <v>0</v>
      </c>
      <c r="AA108" s="92">
        <f>((AA107*AA86)-AA101)/CF!AA102</f>
        <v>0</v>
      </c>
      <c r="AB108" s="92">
        <f>((AB107*AB86)-AB101)/CF!AB102</f>
        <v>0</v>
      </c>
      <c r="AC108" s="92">
        <f>((AC107*AC86)-AC101)/CF!AC102</f>
        <v>0</v>
      </c>
      <c r="AD108" s="92">
        <f>((AD107*AD86)-AD101)/CF!AD102</f>
        <v>0</v>
      </c>
      <c r="AE108" s="92">
        <f>((AE107*AE86)-AE101)/CF!AE102</f>
        <v>0</v>
      </c>
      <c r="AF108" s="92">
        <f>((AF107*AF86)-AF101)/CF!AF102</f>
        <v>0</v>
      </c>
      <c r="AG108" s="92">
        <f>((AG107*AG86)-AG101)/CF!AG102</f>
        <v>0</v>
      </c>
      <c r="AH108" s="92">
        <f>((AH107*AH86)-AH101)/CF!AH102</f>
        <v>0</v>
      </c>
      <c r="AI108" s="92">
        <f>((AI107*AI86)-AI101)/CF!AI102</f>
        <v>0</v>
      </c>
      <c r="AJ108" s="92">
        <f>((AJ107*AJ86)-AJ101)/CF!AJ102</f>
        <v>0</v>
      </c>
      <c r="AK108" s="92">
        <f>((AK107*AK86)-AK101)/CF!AK102</f>
        <v>0</v>
      </c>
      <c r="AL108" s="92">
        <f>((AL107*AL86)-AL101)/CF!AL102</f>
        <v>0</v>
      </c>
      <c r="AM108" s="92">
        <f>((AM107*AM86)-AM101)/CF!AM102</f>
        <v>0</v>
      </c>
      <c r="AN108" s="92">
        <f>((AN107*AN86)-AN101)/CF!AN102</f>
        <v>0</v>
      </c>
      <c r="AO108" s="92">
        <f>((AO107*AO86)-AO101)/CF!AO102</f>
        <v>0</v>
      </c>
      <c r="AP108" s="92">
        <f>((AP107*AP86)-AP101)/CF!AP102</f>
        <v>0</v>
      </c>
      <c r="AQ108" s="92">
        <f>((AQ107*AQ86)-AQ101)/CF!AQ102</f>
        <v>0</v>
      </c>
      <c r="AR108" s="92">
        <f>((AR107*AR86)-AR101)/CF!AR102</f>
        <v>0</v>
      </c>
      <c r="AS108" s="92">
        <f>((AS107*AS86)-AS101)/CF!AS102</f>
        <v>0</v>
      </c>
      <c r="AT108" s="92">
        <f>((AT107*AT86)-AT101)/CF!AT102</f>
        <v>0</v>
      </c>
      <c r="AU108" s="92">
        <f>((AU107*AU86)-AU101)/CF!AU102</f>
        <v>0</v>
      </c>
      <c r="AV108" s="92">
        <f>((AV107*AV86)-AV101)/CF!AV102</f>
        <v>0</v>
      </c>
      <c r="AW108" s="92">
        <f>((AW107*AW86)-AW101)/CF!AW102</f>
        <v>0</v>
      </c>
      <c r="AX108" s="92">
        <f>((AX107*AX86)-AX101)/CF!AX102</f>
        <v>0</v>
      </c>
      <c r="AY108" s="92">
        <f>((AY107*AY86)-AY101)/CF!AY102</f>
        <v>0</v>
      </c>
      <c r="AZ108" s="92">
        <f>((AZ107*AZ86)-AZ101)/CF!AZ102</f>
        <v>0</v>
      </c>
      <c r="BA108" s="92">
        <f>((BA107*BA86)-BA101)/CF!BA102</f>
        <v>0</v>
      </c>
      <c r="BB108" s="92">
        <f>((BB107*BB86)-BB101)/CF!BB102</f>
        <v>0</v>
      </c>
      <c r="BC108" s="92">
        <f>((BC107*BC86)-BC101)/CF!BC102</f>
        <v>1.3531632888957394</v>
      </c>
      <c r="BD108" s="92">
        <f>((BD107*BD86)-BD101)/CF!BD102</f>
        <v>0.650961057255658</v>
      </c>
      <c r="BE108" s="92">
        <f>((BE107*BE86)-BE101)/CF!BE102</f>
        <v>0</v>
      </c>
      <c r="BF108" s="92">
        <f>((BF107*BF86)-BF101)/CF!BF102</f>
        <v>0</v>
      </c>
      <c r="BG108" s="92">
        <f>((BG107*BG86)-BG101)/CF!BG102</f>
        <v>0.35390522688840576</v>
      </c>
      <c r="BH108" s="92">
        <f>((BH107*BH86)-BH101)/CF!BH102</f>
        <v>0</v>
      </c>
      <c r="BI108" s="92">
        <f>((BI107*BI86)-BI101)/CF!BI102</f>
        <v>0.10693636066770393</v>
      </c>
      <c r="BJ108" s="92">
        <f>((BJ107*BJ86)-BJ101)/CF!BJ102</f>
        <v>0.23585631110622896</v>
      </c>
      <c r="BK108" s="92">
        <f>((BK107*BK86)-BK101)/CF!BK102</f>
        <v>4.1141808687061169E-3</v>
      </c>
      <c r="BL108" s="92">
        <f>((BL107*BL86)-BL101)/CF!BL102</f>
        <v>6.2277932984637369E-3</v>
      </c>
      <c r="BM108" s="92">
        <f>((BM107*BM86)-BM101)/CF!BM102</f>
        <v>7.604443327830019E-3</v>
      </c>
      <c r="BN108" s="92">
        <f>((BN107*BN86)-BN101)/CF!BN102</f>
        <v>2.7294581373408143E-2</v>
      </c>
      <c r="BO108" s="92">
        <f>((BO107*BO86)-BO101)/CF!BO102</f>
        <v>-0.10575122196336374</v>
      </c>
      <c r="BP108" s="92">
        <f>((BP107*BP86)-BP101)/CF!BP102</f>
        <v>2.7702789561640299E-2</v>
      </c>
      <c r="BQ108" s="92">
        <f>((BQ107*BQ86)-BQ101)/CF!BQ102</f>
        <v>3.7879984416295504E-2</v>
      </c>
      <c r="BR108" s="92">
        <f>((BR107*BR86)-BR101)/CF!BR102</f>
        <v>0.147616155194607</v>
      </c>
      <c r="BS108" s="92">
        <f>((BS107*BS86)-BS101)/CF!BS102</f>
        <v>0.10187484243933266</v>
      </c>
      <c r="BT108" s="92">
        <f>((BT107*BT86)-BT101)/CF!BT102</f>
        <v>-8.6654231297859265</v>
      </c>
      <c r="BU108" s="92">
        <f>((BU107*BU86)-BU101)/CF!BU102</f>
        <v>0.57263835746341907</v>
      </c>
      <c r="BV108" s="92">
        <f>((BV107*BV86)-BV101)/CF!BV102</f>
        <v>0.67719817892600487</v>
      </c>
      <c r="BW108" s="92">
        <f>((BW107*BW86)-BW101)/CF!BW102</f>
        <v>5.7150867574218826E-2</v>
      </c>
      <c r="BX108" s="92">
        <f>((BX107*BX86)-BX101)/CF!BX102</f>
        <v>0.63746334748036804</v>
      </c>
      <c r="BY108" s="92">
        <f>((BY107*BY86)-BY101)/CF!BY102</f>
        <v>1.1856603408210671</v>
      </c>
      <c r="BZ108" s="92">
        <f>((BZ107*BZ86)-BZ101)/CF!BZ102</f>
        <v>1.5046077980624863</v>
      </c>
      <c r="CA108" s="92">
        <f>((CA107*CA86)-CA101)/CF!CA102</f>
        <v>0.20675989787752905</v>
      </c>
      <c r="CB108" s="92">
        <f>((CB107*CB86)-CB101)/CF!CB102</f>
        <v>0.15649419129138434</v>
      </c>
      <c r="CC108" s="669">
        <f>((CC107*CC86)-CC101)/CF!CC102</f>
        <v>0.6214459061850478</v>
      </c>
      <c r="CD108" s="92">
        <f>((CD107*CD86)-CD101)/CF!CD102</f>
        <v>17.579111457522</v>
      </c>
      <c r="CE108" s="92">
        <f>((CE107*CE86)-CE101)/CF!CE102</f>
        <v>0.39607336818597105</v>
      </c>
      <c r="CF108" s="92">
        <f>((CF107*CF86)-CF101)/CF!CF102</f>
        <v>1.5495188371562453E-2</v>
      </c>
      <c r="CG108" s="92">
        <f>((CG107*CG86)-CG101)/CF!CG102</f>
        <v>6.188768994939698E-2</v>
      </c>
      <c r="CH108" s="669">
        <f>((CH107*CH86)-CH101)/CF!CH102</f>
        <v>0.15402830959858882</v>
      </c>
      <c r="CI108" s="92">
        <f>((CI107*CI86)-CI101)/CF!CI102</f>
        <v>0.25695751474814754</v>
      </c>
      <c r="CJ108" s="92">
        <f>((CJ107*CJ86)-CJ101)/CF!CJ102</f>
        <v>0.35861281395869959</v>
      </c>
      <c r="CK108" s="92">
        <f>((CK107*CK86)-CK101)/CF!CK102</f>
        <v>1.7868007604375416E-2</v>
      </c>
      <c r="CL108" s="92">
        <f>((CL107*CL86)-CL101)/CF!CL102</f>
        <v>0.30868397852047763</v>
      </c>
      <c r="CM108" s="669">
        <f>((CM107*CM86)-CM101)/CF!CM102</f>
        <v>0.19695084180211558</v>
      </c>
      <c r="CN108" s="92">
        <f>((CN107*CN86)-CN101)/CF!CN102</f>
        <v>0.29246001523229243</v>
      </c>
      <c r="CO108" s="92">
        <f>((CO107*CO86)-CO101)/CF!CO102</f>
        <v>0.46149802890932984</v>
      </c>
      <c r="CP108" s="92">
        <f>((CP107*CP86)-CP101)/CF!CP102</f>
        <v>0.22476089266737515</v>
      </c>
      <c r="CQ108" s="92">
        <f>((CQ107*CQ86)-CQ101)/CF!CQ102</f>
        <v>0.12469556746225041</v>
      </c>
      <c r="CR108" s="669">
        <f>((CR107*CR86)-CR101)/CF!CR102</f>
        <v>0.24461579367189573</v>
      </c>
      <c r="CS108" s="92">
        <f>((CS107*CS86)-CS101)/CF!CS102</f>
        <v>47.960784313726478</v>
      </c>
      <c r="CT108" s="92">
        <f>((CT107*CT86)-CT101)/CF!CT102</f>
        <v>0.17562346329469625</v>
      </c>
      <c r="CU108" s="92">
        <f>((CU107*CU86)-CU101)/CF!CU102</f>
        <v>0.2787610619469027</v>
      </c>
      <c r="CV108" s="92">
        <f>((CV107*CV86)-CV101)/CF!CV102</f>
        <v>0</v>
      </c>
      <c r="CW108" s="669">
        <f>((CW107*CW86)-CW101)/CF!CW102</f>
        <v>0.33247598154172037</v>
      </c>
      <c r="CX108" s="92">
        <f>((CX107*CX86)-CX101)/CF!CX102</f>
        <v>7.1753554502369665</v>
      </c>
      <c r="CY108" s="92">
        <f>((CY107*CY86)-CY101)/CF!CY102</f>
        <v>0.25737527114967462</v>
      </c>
      <c r="CZ108" s="92">
        <f>((CZ107*CZ86)-CZ101)/CF!CZ102</f>
        <v>0.14647482014388488</v>
      </c>
      <c r="DA108" s="92">
        <f>((DA107*DA86)-DA101)/CF!DA102</f>
        <v>0.55601851851851858</v>
      </c>
      <c r="DB108" s="669">
        <f>((DB107*DB86)-DB101)/CF!DB102</f>
        <v>1.0158973151201129</v>
      </c>
      <c r="DC108" s="92">
        <f>((DC107*DC86)-DC101)/CF!DC102</f>
        <v>0.94376952711424311</v>
      </c>
      <c r="DD108" s="92">
        <f>((DD107*DD86)-DD101)/CF!DD102</f>
        <v>1.0539837012157216</v>
      </c>
      <c r="DE108" s="92">
        <f>((DE107*DE86)-DE101)/CF!DE102</f>
        <v>0.49277990915549325</v>
      </c>
      <c r="DF108" s="92">
        <f>((DF107*DF86)-DF101)/CF!DF102</f>
        <v>0.44373681802072701</v>
      </c>
      <c r="DG108" s="669">
        <f>((DG107*DG86)-DG101)/CF!DG102</f>
        <v>0.63601387471026494</v>
      </c>
      <c r="DH108" s="92">
        <f>((DH107*DH86)-DH101)/CF!DH102</f>
        <v>0.69152307529000423</v>
      </c>
      <c r="DI108" s="92">
        <f>((DI107*DI86)-DI101)/CF!DI102</f>
        <v>1.0560416291422297</v>
      </c>
      <c r="DJ108" s="92">
        <f>((DJ107*DJ86)-DJ101)/CF!DJ102</f>
        <v>0.57933183068298033</v>
      </c>
      <c r="DK108" s="92">
        <f>((DK107*DK86)-DK101)/CF!DK102</f>
        <v>0.48675155692826211</v>
      </c>
      <c r="DL108" s="669">
        <f>((DL107*DL86)-DL101)/CF!DL102</f>
        <v>0.64806603245770256</v>
      </c>
      <c r="DM108" s="92">
        <f>((DM107*DM86)-DM101)/CF!DM102</f>
        <v>0.54424686047500215</v>
      </c>
      <c r="DN108" s="92">
        <f>((DN107*DN86)-DN101)/CF!DN102</f>
        <v>0.9780569190009516</v>
      </c>
      <c r="DO108" s="92">
        <f>((DO107*DO86)-DO101)/CF!DO102</f>
        <v>0.57108312609017442</v>
      </c>
      <c r="DP108" s="92">
        <f>((DP107*DP86)-DP101)/CF!DP102</f>
        <v>0.4506875493398006</v>
      </c>
      <c r="DQ108" s="669">
        <f>((DQ107*DQ86)-DQ101)/CF!DQ102</f>
        <v>0.58574816803866303</v>
      </c>
      <c r="DR108" s="3"/>
    </row>
    <row r="109" spans="1:129" collapsed="1">
      <c r="K109" s="4"/>
      <c r="P109" s="4"/>
      <c r="U109" s="4"/>
      <c r="Z109" s="4"/>
      <c r="CC109" s="330"/>
      <c r="CH109" s="330"/>
      <c r="CM109" s="330"/>
      <c r="CR109" s="330"/>
      <c r="CW109" s="330"/>
      <c r="DB109" s="330"/>
      <c r="DG109" s="330"/>
      <c r="DL109" s="330"/>
      <c r="DQ109" s="330"/>
      <c r="DR109" s="3"/>
    </row>
    <row r="110" spans="1:129">
      <c r="B110" s="985" t="s">
        <v>194</v>
      </c>
      <c r="C110" s="986"/>
      <c r="D110" s="986"/>
      <c r="E110" s="986"/>
      <c r="F110" s="986"/>
      <c r="G110" s="987"/>
      <c r="H110" s="986"/>
      <c r="I110" s="986"/>
      <c r="J110" s="988"/>
      <c r="K110" s="987"/>
      <c r="L110" s="987"/>
      <c r="M110" s="986"/>
      <c r="N110" s="986"/>
      <c r="O110" s="986"/>
      <c r="P110" s="986"/>
      <c r="Q110" s="987"/>
      <c r="R110" s="986"/>
      <c r="S110" s="986"/>
      <c r="T110" s="988"/>
      <c r="U110" s="986"/>
      <c r="V110" s="986"/>
      <c r="W110" s="986"/>
      <c r="X110" s="986"/>
      <c r="Y110" s="988"/>
      <c r="Z110" s="986"/>
      <c r="AA110" s="986"/>
      <c r="AB110" s="986"/>
      <c r="AC110" s="986"/>
      <c r="AD110" s="986"/>
      <c r="AE110" s="986"/>
      <c r="AF110" s="987"/>
      <c r="AG110" s="986"/>
      <c r="AH110" s="986"/>
      <c r="AI110" s="986"/>
      <c r="AJ110" s="986"/>
      <c r="AK110" s="987"/>
      <c r="AL110" s="986"/>
      <c r="AM110" s="986"/>
      <c r="AN110" s="988"/>
      <c r="AO110" s="986"/>
      <c r="AP110" s="986"/>
      <c r="AQ110" s="986"/>
      <c r="AR110" s="986"/>
      <c r="AS110" s="988"/>
      <c r="AT110" s="986"/>
      <c r="AU110" s="986"/>
      <c r="AV110" s="986"/>
      <c r="AW110" s="986"/>
      <c r="AX110" s="986"/>
      <c r="AY110" s="986"/>
      <c r="AZ110" s="987"/>
      <c r="BA110" s="986"/>
      <c r="BB110" s="986"/>
      <c r="BC110" s="986"/>
      <c r="BD110" s="986"/>
      <c r="BE110" s="987"/>
      <c r="BF110" s="986"/>
      <c r="BG110" s="986"/>
      <c r="BH110" s="988"/>
      <c r="BI110" s="986"/>
      <c r="BJ110" s="986"/>
      <c r="BK110" s="986"/>
      <c r="BL110" s="986"/>
      <c r="BM110" s="988"/>
      <c r="BN110" s="986"/>
      <c r="BO110" s="986"/>
      <c r="BP110" s="986"/>
      <c r="BQ110" s="986"/>
      <c r="BR110" s="986"/>
      <c r="BS110" s="986"/>
      <c r="BT110" s="987"/>
      <c r="BU110" s="986"/>
      <c r="BV110" s="986"/>
      <c r="BW110" s="986"/>
      <c r="BX110" s="986"/>
      <c r="BY110" s="990"/>
      <c r="BZ110" s="991"/>
      <c r="CA110" s="991"/>
      <c r="CB110" s="991"/>
      <c r="CC110" s="989"/>
      <c r="CD110" s="991"/>
      <c r="CE110" s="991"/>
      <c r="CF110" s="986"/>
      <c r="CG110" s="986"/>
      <c r="CH110" s="989"/>
      <c r="CI110" s="986"/>
      <c r="CJ110" s="986"/>
      <c r="CK110" s="986"/>
      <c r="CL110" s="986"/>
      <c r="CM110" s="989"/>
      <c r="CN110" s="986"/>
      <c r="CO110" s="986"/>
      <c r="CP110" s="986"/>
      <c r="CQ110" s="986"/>
      <c r="CR110" s="989"/>
      <c r="CS110" s="986"/>
      <c r="CT110" s="986"/>
      <c r="CU110" s="986"/>
      <c r="CV110" s="986"/>
      <c r="CW110" s="989"/>
      <c r="CX110" s="986"/>
      <c r="CY110" s="986"/>
      <c r="CZ110" s="986"/>
      <c r="DA110" s="986"/>
      <c r="DB110" s="989"/>
      <c r="DC110" s="986"/>
      <c r="DD110" s="986"/>
      <c r="DE110" s="986"/>
      <c r="DF110" s="986"/>
      <c r="DG110" s="989"/>
      <c r="DH110" s="986"/>
      <c r="DI110" s="986"/>
      <c r="DJ110" s="986"/>
      <c r="DK110" s="986"/>
      <c r="DL110" s="989"/>
      <c r="DM110" s="986"/>
      <c r="DN110" s="986"/>
      <c r="DO110" s="986"/>
      <c r="DP110" s="986"/>
      <c r="DQ110" s="989"/>
      <c r="DR110" s="3"/>
      <c r="DS110" s="4"/>
    </row>
    <row r="111" spans="1:129" s="360" customFormat="1" hidden="1" outlineLevel="1">
      <c r="A111" s="710"/>
      <c r="B111" s="696" t="s">
        <v>33</v>
      </c>
      <c r="C111" s="711"/>
      <c r="D111" s="711"/>
      <c r="E111" s="711"/>
      <c r="F111" s="711"/>
      <c r="G111" s="268"/>
      <c r="H111" s="270"/>
      <c r="I111" s="270"/>
      <c r="J111" s="271"/>
      <c r="K111" s="268"/>
      <c r="L111" s="268"/>
      <c r="M111" s="270"/>
      <c r="N111" s="270"/>
      <c r="O111" s="270"/>
      <c r="P111" s="270"/>
      <c r="Q111" s="268"/>
      <c r="R111" s="270"/>
      <c r="S111" s="270"/>
      <c r="T111" s="271"/>
      <c r="U111" s="270"/>
      <c r="V111" s="270"/>
      <c r="W111" s="270"/>
      <c r="X111" s="270"/>
      <c r="Y111" s="271"/>
      <c r="Z111" s="270"/>
      <c r="AA111" s="270"/>
      <c r="AB111" s="270"/>
      <c r="AC111" s="270"/>
      <c r="AD111" s="270"/>
      <c r="AE111" s="270"/>
      <c r="AF111" s="268"/>
      <c r="AG111" s="270"/>
      <c r="AH111" s="270"/>
      <c r="AI111" s="270"/>
      <c r="AJ111" s="270"/>
      <c r="AK111" s="268"/>
      <c r="AL111" s="270"/>
      <c r="AM111" s="270"/>
      <c r="AN111" s="271"/>
      <c r="AO111" s="270"/>
      <c r="AP111" s="270"/>
      <c r="AQ111" s="270"/>
      <c r="AR111" s="270"/>
      <c r="AS111" s="271"/>
      <c r="AT111" s="270"/>
      <c r="AU111" s="270"/>
      <c r="AV111" s="270"/>
      <c r="AW111" s="270"/>
      <c r="AX111" s="270"/>
      <c r="AY111" s="270"/>
      <c r="AZ111" s="268"/>
      <c r="BA111" s="270"/>
      <c r="BB111" s="270"/>
      <c r="BC111" s="270"/>
      <c r="BD111" s="270"/>
      <c r="BE111" s="268"/>
      <c r="BF111" s="270"/>
      <c r="BG111" s="270"/>
      <c r="BH111" s="271"/>
      <c r="BI111" s="270"/>
      <c r="BJ111" s="270"/>
      <c r="BK111" s="270"/>
      <c r="BL111" s="270"/>
      <c r="BM111" s="271"/>
      <c r="BN111" s="270"/>
      <c r="BO111" s="270"/>
      <c r="BP111" s="270"/>
      <c r="BQ111" s="270"/>
      <c r="BR111" s="270"/>
      <c r="BS111" s="270"/>
      <c r="BT111" s="268"/>
      <c r="BU111" s="270"/>
      <c r="BV111" s="270"/>
      <c r="BW111" s="270"/>
      <c r="BX111" s="270"/>
      <c r="BY111" s="268"/>
      <c r="BZ111" s="270"/>
      <c r="CA111" s="270"/>
      <c r="CB111" s="270"/>
      <c r="CC111" s="359"/>
      <c r="CD111" s="418"/>
      <c r="CE111" s="270"/>
      <c r="CF111" s="270"/>
      <c r="CG111" s="270"/>
      <c r="CH111" s="359"/>
      <c r="CI111" s="270"/>
      <c r="CJ111" s="270"/>
      <c r="CK111" s="270"/>
      <c r="CL111" s="270"/>
      <c r="CM111" s="359"/>
      <c r="CN111" s="270"/>
      <c r="CO111" s="270"/>
      <c r="CP111" s="270"/>
      <c r="CQ111" s="270"/>
      <c r="CR111" s="359"/>
      <c r="CS111" s="270"/>
      <c r="CT111" s="270"/>
      <c r="CU111" s="270"/>
      <c r="CV111" s="270"/>
      <c r="CW111" s="359"/>
      <c r="CX111" s="270"/>
      <c r="CY111" s="270"/>
      <c r="CZ111" s="270"/>
      <c r="DA111" s="270"/>
      <c r="DB111" s="359"/>
      <c r="DC111" s="270"/>
      <c r="DD111" s="270"/>
      <c r="DE111" s="270"/>
      <c r="DF111" s="270"/>
      <c r="DG111" s="359"/>
      <c r="DH111" s="270"/>
      <c r="DI111" s="270"/>
      <c r="DJ111" s="270"/>
      <c r="DK111" s="270"/>
      <c r="DL111" s="359"/>
      <c r="DM111" s="270"/>
      <c r="DN111" s="270"/>
      <c r="DO111" s="270"/>
      <c r="DP111" s="270"/>
      <c r="DQ111" s="359"/>
      <c r="DR111" s="268"/>
      <c r="DS111" s="270"/>
      <c r="DT111"/>
      <c r="DU111"/>
      <c r="DV111"/>
      <c r="DW111"/>
      <c r="DX111"/>
      <c r="DY111"/>
    </row>
    <row r="112" spans="1:129" s="60" customFormat="1" hidden="1" outlineLevel="1">
      <c r="A112" s="681"/>
      <c r="B112" s="579"/>
      <c r="C112" s="580" t="s">
        <v>28</v>
      </c>
      <c r="D112" s="580"/>
      <c r="E112" s="580"/>
      <c r="F112" s="580"/>
      <c r="G112" s="62">
        <v>8.5440000000000005</v>
      </c>
      <c r="H112" s="61">
        <v>10.468</v>
      </c>
      <c r="I112" s="61">
        <v>13.157999999999999</v>
      </c>
      <c r="J112" s="63">
        <v>15.713000000000001</v>
      </c>
      <c r="K112" s="595">
        <v>47.883000000000003</v>
      </c>
      <c r="L112" s="62">
        <v>16.145</v>
      </c>
      <c r="M112" s="61">
        <v>16.513000000000002</v>
      </c>
      <c r="N112" s="61">
        <v>18.481000000000002</v>
      </c>
      <c r="O112" s="63">
        <v>20.032000000000004</v>
      </c>
      <c r="P112" s="595">
        <v>71.171000000000006</v>
      </c>
      <c r="Q112" s="62">
        <v>22.574999999999999</v>
      </c>
      <c r="R112" s="61">
        <v>26.175000000000001</v>
      </c>
      <c r="S112" s="61">
        <v>31.263000000000002</v>
      </c>
      <c r="T112" s="63">
        <v>34.918999999999997</v>
      </c>
      <c r="U112" s="595">
        <v>114.932</v>
      </c>
      <c r="V112" s="62">
        <v>37.232999999999997</v>
      </c>
      <c r="W112" s="61">
        <v>39.323999999999998</v>
      </c>
      <c r="X112" s="61">
        <v>39.432000000000002</v>
      </c>
      <c r="Y112" s="63">
        <v>35.944000000000003</v>
      </c>
      <c r="Z112" s="595">
        <v>151.93299999999999</v>
      </c>
      <c r="AA112" s="62">
        <v>40.31</v>
      </c>
      <c r="AB112" s="61">
        <v>47.222999999999999</v>
      </c>
      <c r="AC112" s="61">
        <v>52.911999999999999</v>
      </c>
      <c r="AD112" s="63">
        <v>59.16</v>
      </c>
      <c r="AE112" s="595">
        <v>199.60499999999999</v>
      </c>
      <c r="AF112" s="62">
        <v>65.701999999999998</v>
      </c>
      <c r="AG112" s="61">
        <v>77.620999999999995</v>
      </c>
      <c r="AH112" s="61">
        <v>87.272000000000006</v>
      </c>
      <c r="AI112" s="63">
        <v>94.742000000000019</v>
      </c>
      <c r="AJ112" s="595">
        <v>325.33699999999999</v>
      </c>
      <c r="AK112" s="62">
        <v>103.97</v>
      </c>
      <c r="AL112" s="61">
        <v>120.786</v>
      </c>
      <c r="AM112" s="61">
        <v>133.453</v>
      </c>
      <c r="AN112" s="63">
        <v>150.22300000000001</v>
      </c>
      <c r="AO112" s="595">
        <v>508.43200000000002</v>
      </c>
      <c r="AP112" s="62">
        <v>156.054</v>
      </c>
      <c r="AQ112" s="61">
        <v>184.94499999999999</v>
      </c>
      <c r="AR112" s="61">
        <v>206.15199999999999</v>
      </c>
      <c r="AS112" s="63">
        <v>225.62399999999991</v>
      </c>
      <c r="AT112" s="595">
        <v>772.77499999999998</v>
      </c>
      <c r="AU112" s="62">
        <v>247.20599999999999</v>
      </c>
      <c r="AV112" s="61">
        <v>291.79700000000003</v>
      </c>
      <c r="AW112" s="61">
        <v>325.71499999999997</v>
      </c>
      <c r="AX112" s="63">
        <v>362.923</v>
      </c>
      <c r="AY112" s="595">
        <v>1227.6410000000001</v>
      </c>
      <c r="AZ112" s="62">
        <v>391.072</v>
      </c>
      <c r="BA112" s="61">
        <v>435.24599999999998</v>
      </c>
      <c r="BB112" s="61">
        <v>458.20800000000003</v>
      </c>
      <c r="BC112" s="63">
        <v>484.23699999999985</v>
      </c>
      <c r="BD112" s="595">
        <v>1768.7629999999999</v>
      </c>
      <c r="BE112" s="62">
        <v>513.86</v>
      </c>
      <c r="BF112" s="61">
        <v>536.25699999999995</v>
      </c>
      <c r="BG112" s="61">
        <v>577.10900000000004</v>
      </c>
      <c r="BH112" s="63">
        <v>601.12899999999991</v>
      </c>
      <c r="BI112" s="595">
        <v>2228.355</v>
      </c>
      <c r="BJ112" s="62">
        <v>593.79</v>
      </c>
      <c r="BK112" s="61">
        <v>620.971</v>
      </c>
      <c r="BL112" s="61">
        <v>667.90899999999999</v>
      </c>
      <c r="BM112" s="63">
        <v>711.54</v>
      </c>
      <c r="BN112" s="595">
        <v>2594.21</v>
      </c>
      <c r="BO112" s="62">
        <v>755.69</v>
      </c>
      <c r="BP112" s="61">
        <v>868.928</v>
      </c>
      <c r="BQ112" s="61">
        <v>945.97299999999996</v>
      </c>
      <c r="BR112" s="63">
        <v>1012.1280000000002</v>
      </c>
      <c r="BS112" s="595">
        <v>3582.7190000000001</v>
      </c>
      <c r="BT112" s="62">
        <v>1069.953</v>
      </c>
      <c r="BU112" s="61">
        <v>1155.046</v>
      </c>
      <c r="BV112" s="61">
        <v>1250.7080000000001</v>
      </c>
      <c r="BW112" s="61">
        <v>1327.2509999999997</v>
      </c>
      <c r="BX112" s="595">
        <v>4802.9579999999996</v>
      </c>
      <c r="BY112" s="62">
        <v>1360.7239999999999</v>
      </c>
      <c r="BZ112" s="61">
        <v>1434.9690000000001</v>
      </c>
      <c r="CA112" s="61">
        <v>1504.7059999999999</v>
      </c>
      <c r="CB112" s="61">
        <v>1535.8589999999999</v>
      </c>
      <c r="CC112" s="747">
        <v>5836.2579999999998</v>
      </c>
      <c r="CD112" s="61">
        <v>1582.191</v>
      </c>
      <c r="CE112" s="61">
        <v>1677.394</v>
      </c>
      <c r="CF112" s="61">
        <v>1783.0809999999999</v>
      </c>
      <c r="CG112" s="61">
        <v>1817.4010000000001</v>
      </c>
      <c r="CH112" s="747">
        <v>6860.067</v>
      </c>
      <c r="CI112" s="441">
        <v>1836.231</v>
      </c>
      <c r="CJ112" s="61">
        <v>1928.5519999999999</v>
      </c>
      <c r="CK112" s="61">
        <v>1981.229</v>
      </c>
      <c r="CL112" s="61">
        <f>2133.773-80.6</f>
        <v>2053.1730000000002</v>
      </c>
      <c r="CM112" s="910">
        <v>7799.1849999999995</v>
      </c>
      <c r="CN112" s="441">
        <v>2292</v>
      </c>
      <c r="CO112" s="61">
        <v>2423.9</v>
      </c>
      <c r="CP112" s="61">
        <v>2510.6</v>
      </c>
      <c r="CQ112" s="61">
        <v>2532.9</v>
      </c>
      <c r="CR112" s="910">
        <v>9759.4</v>
      </c>
      <c r="CS112" s="441">
        <v>2497.3000000000002</v>
      </c>
      <c r="CT112" s="61">
        <v>2624.1</v>
      </c>
      <c r="CU112" s="61">
        <v>2709.4</v>
      </c>
      <c r="CV112" s="61">
        <v>2715</v>
      </c>
      <c r="CW112" s="910">
        <v>10545.8</v>
      </c>
      <c r="CX112" s="441">
        <v>2761</v>
      </c>
      <c r="CY112" s="61">
        <v>2851</v>
      </c>
      <c r="CZ112" s="61">
        <v>2891</v>
      </c>
      <c r="DA112" s="61">
        <v>2947</v>
      </c>
      <c r="DB112" s="333"/>
      <c r="DC112" s="441"/>
      <c r="DD112" s="61"/>
      <c r="DE112" s="61"/>
      <c r="DF112" s="68"/>
      <c r="DG112" s="333"/>
      <c r="DH112" s="441"/>
      <c r="DI112" s="61"/>
      <c r="DJ112" s="61"/>
      <c r="DK112" s="68"/>
      <c r="DL112" s="333"/>
      <c r="DM112" s="441"/>
      <c r="DN112" s="61"/>
      <c r="DO112" s="61"/>
      <c r="DP112" s="68"/>
      <c r="DQ112" s="333"/>
      <c r="DR112" s="35"/>
      <c r="DS112" s="36"/>
      <c r="DT112"/>
      <c r="DU112"/>
      <c r="DV112"/>
      <c r="DW112"/>
      <c r="DX112"/>
      <c r="DY112"/>
    </row>
    <row r="113" spans="1:129" s="60" customFormat="1" hidden="1" outlineLevel="1">
      <c r="A113" s="681"/>
      <c r="B113" s="579"/>
      <c r="C113" s="580" t="s">
        <v>29</v>
      </c>
      <c r="D113" s="580"/>
      <c r="E113" s="580"/>
      <c r="F113" s="580"/>
      <c r="G113" s="62">
        <v>1.61</v>
      </c>
      <c r="H113" s="61">
        <v>2.1840000000000002</v>
      </c>
      <c r="I113" s="61">
        <v>2.9980000000000002</v>
      </c>
      <c r="J113" s="63">
        <v>3.6889999999999992</v>
      </c>
      <c r="K113" s="595">
        <v>10.481</v>
      </c>
      <c r="L113" s="62">
        <v>4.1639999999999997</v>
      </c>
      <c r="M113" s="61">
        <v>4.8769999999999998</v>
      </c>
      <c r="N113" s="61">
        <v>4.2939999999999996</v>
      </c>
      <c r="O113" s="61">
        <v>4.0169999999999995</v>
      </c>
      <c r="P113" s="595">
        <v>17.352</v>
      </c>
      <c r="Q113" s="62">
        <v>4.2169999999999996</v>
      </c>
      <c r="R113" s="61">
        <v>5.3380000000000001</v>
      </c>
      <c r="S113" s="61">
        <v>5.53</v>
      </c>
      <c r="T113" s="63">
        <v>5.8739999999999988</v>
      </c>
      <c r="U113" s="595">
        <v>20.959</v>
      </c>
      <c r="V113" s="61">
        <v>5.8310000000000004</v>
      </c>
      <c r="W113" s="61">
        <v>5.7069999999999999</v>
      </c>
      <c r="X113" s="61">
        <v>5.665</v>
      </c>
      <c r="Y113" s="63">
        <v>7.0180000000000007</v>
      </c>
      <c r="Z113" s="595">
        <v>24.221</v>
      </c>
      <c r="AA113" s="61">
        <v>5.5640000000000001</v>
      </c>
      <c r="AB113" s="61">
        <v>6.8010000000000002</v>
      </c>
      <c r="AC113" s="61">
        <v>8.0229999999999997</v>
      </c>
      <c r="AD113" s="61">
        <v>7.4980000000000011</v>
      </c>
      <c r="AE113" s="595">
        <v>27.885999999999999</v>
      </c>
      <c r="AF113" s="62">
        <v>8.2460000000000004</v>
      </c>
      <c r="AG113" s="61">
        <v>9.125</v>
      </c>
      <c r="AH113" s="61">
        <v>10.153</v>
      </c>
      <c r="AI113" s="61">
        <v>12.635999999999996</v>
      </c>
      <c r="AJ113" s="595">
        <v>40.159999999999997</v>
      </c>
      <c r="AK113" s="62">
        <v>14.736000000000001</v>
      </c>
      <c r="AL113" s="61">
        <v>17.024000000000001</v>
      </c>
      <c r="AM113" s="61">
        <v>20.754999999999999</v>
      </c>
      <c r="AN113" s="63">
        <v>21.191999999999993</v>
      </c>
      <c r="AO113" s="595">
        <v>73.706999999999994</v>
      </c>
      <c r="AP113" s="61">
        <v>23.58</v>
      </c>
      <c r="AQ113" s="61">
        <v>25.013000000000002</v>
      </c>
      <c r="AR113" s="61">
        <v>26.280999999999999</v>
      </c>
      <c r="AS113" s="63">
        <v>28.832999999999998</v>
      </c>
      <c r="AT113" s="595">
        <v>103.70699999999999</v>
      </c>
      <c r="AU113" s="61">
        <v>35.109000000000002</v>
      </c>
      <c r="AV113" s="61">
        <v>42.412999999999997</v>
      </c>
      <c r="AW113" s="61">
        <v>49.110999999999997</v>
      </c>
      <c r="AX113" s="61">
        <v>57.234999999999999</v>
      </c>
      <c r="AY113" s="595">
        <v>183.86799999999999</v>
      </c>
      <c r="AZ113" s="62">
        <v>64.641999999999996</v>
      </c>
      <c r="BA113" s="61">
        <v>75.846999999999994</v>
      </c>
      <c r="BB113" s="61">
        <v>94.197000000000003</v>
      </c>
      <c r="BC113" s="61">
        <v>108.18</v>
      </c>
      <c r="BD113" s="595">
        <v>342.86599999999999</v>
      </c>
      <c r="BE113" s="62">
        <v>121.19499999999999</v>
      </c>
      <c r="BF113" s="61">
        <v>138.965</v>
      </c>
      <c r="BG113" s="61">
        <v>145.02799999999999</v>
      </c>
      <c r="BH113" s="63">
        <v>135.95400000000006</v>
      </c>
      <c r="BI113" s="595">
        <v>541.14200000000005</v>
      </c>
      <c r="BJ113" s="61">
        <v>136.02799999999999</v>
      </c>
      <c r="BK113" s="61">
        <v>138.739</v>
      </c>
      <c r="BL113" s="61">
        <v>164.30500000000001</v>
      </c>
      <c r="BM113" s="63">
        <v>167.732</v>
      </c>
      <c r="BN113" s="595">
        <v>606.80399999999997</v>
      </c>
      <c r="BO113" s="61">
        <v>173.63200000000001</v>
      </c>
      <c r="BP113" s="61">
        <v>200.17</v>
      </c>
      <c r="BQ113" s="61">
        <v>229.679</v>
      </c>
      <c r="BR113" s="61">
        <v>252.09400000000005</v>
      </c>
      <c r="BS113" s="595">
        <v>855.57500000000005</v>
      </c>
      <c r="BT113" s="62">
        <v>255.886</v>
      </c>
      <c r="BU113" s="61">
        <v>276.74</v>
      </c>
      <c r="BV113" s="61">
        <v>290.60599999999999</v>
      </c>
      <c r="BW113" s="61">
        <v>274.24299999999994</v>
      </c>
      <c r="BX113" s="595">
        <v>1097.4749999999999</v>
      </c>
      <c r="BY113" s="62">
        <v>283.92500000000001</v>
      </c>
      <c r="BZ113" s="61">
        <v>282.68099999999998</v>
      </c>
      <c r="CA113" s="61">
        <v>302.64800000000002</v>
      </c>
      <c r="CB113" s="61">
        <v>326.23599999999999</v>
      </c>
      <c r="CC113" s="747">
        <v>1195.49</v>
      </c>
      <c r="CD113" s="61">
        <v>348.25599999999997</v>
      </c>
      <c r="CE113" s="61">
        <v>387.22800000000001</v>
      </c>
      <c r="CF113" s="61">
        <v>414.65600000000001</v>
      </c>
      <c r="CG113" s="61">
        <v>429.065</v>
      </c>
      <c r="CH113" s="747">
        <v>1579.2049999999999</v>
      </c>
      <c r="CI113" s="441">
        <v>470.14499999999998</v>
      </c>
      <c r="CJ113" s="61">
        <v>466.24900000000002</v>
      </c>
      <c r="CK113" s="61">
        <v>472.11399999999998</v>
      </c>
      <c r="CL113" s="61">
        <f>+CL114+CL115</f>
        <v>475.08199999999999</v>
      </c>
      <c r="CM113" s="910">
        <v>1883.5900000000001</v>
      </c>
      <c r="CN113" s="441">
        <f>+CN114+CN115</f>
        <v>475.90000000000003</v>
      </c>
      <c r="CO113" s="61">
        <v>502.3</v>
      </c>
      <c r="CP113" s="61">
        <v>509.1</v>
      </c>
      <c r="CQ113" s="61">
        <v>520.9</v>
      </c>
      <c r="CR113" s="910">
        <v>2008.2000000000003</v>
      </c>
      <c r="CS113" s="441">
        <f>CS114+CS115</f>
        <v>525.4</v>
      </c>
      <c r="CT113" s="441">
        <f>CT114+CT115</f>
        <v>547.20000000000005</v>
      </c>
      <c r="CU113" s="441">
        <v>537.70000000000005</v>
      </c>
      <c r="CV113" s="61">
        <v>535</v>
      </c>
      <c r="CW113" s="910">
        <v>2145.3000000000002</v>
      </c>
      <c r="CX113" s="441">
        <f>CX114+CX115</f>
        <v>559</v>
      </c>
      <c r="CY113" s="441">
        <f>CY114+CY115</f>
        <v>579</v>
      </c>
      <c r="CZ113" s="441">
        <v>628</v>
      </c>
      <c r="DA113" s="441">
        <f>+DA114+DA115</f>
        <v>632</v>
      </c>
      <c r="DB113" s="333"/>
      <c r="DC113" s="441"/>
      <c r="DD113" s="61"/>
      <c r="DE113" s="61"/>
      <c r="DF113" s="68"/>
      <c r="DG113" s="333"/>
      <c r="DH113" s="441"/>
      <c r="DI113" s="61"/>
      <c r="DJ113" s="61"/>
      <c r="DK113" s="68"/>
      <c r="DL113" s="333"/>
      <c r="DM113" s="441"/>
      <c r="DN113" s="61"/>
      <c r="DO113" s="61"/>
      <c r="DP113" s="68"/>
      <c r="DQ113" s="333"/>
      <c r="DR113" s="35"/>
      <c r="DS113" s="36"/>
      <c r="DT113"/>
      <c r="DU113"/>
      <c r="DV113"/>
      <c r="DW113"/>
      <c r="DX113"/>
      <c r="DY113"/>
    </row>
    <row r="114" spans="1:129" s="394" customFormat="1" hidden="1" outlineLevel="1">
      <c r="A114" s="712"/>
      <c r="B114" s="713"/>
      <c r="C114" s="714"/>
      <c r="D114" s="714" t="s">
        <v>31</v>
      </c>
      <c r="E114" s="714"/>
      <c r="F114" s="714"/>
      <c r="G114" s="165"/>
      <c r="H114" s="166"/>
      <c r="I114" s="166"/>
      <c r="J114" s="167"/>
      <c r="K114" s="596">
        <v>0</v>
      </c>
      <c r="L114" s="165"/>
      <c r="M114" s="166"/>
      <c r="N114" s="166"/>
      <c r="O114" s="166"/>
      <c r="P114" s="596">
        <v>0</v>
      </c>
      <c r="Q114" s="165"/>
      <c r="R114" s="166"/>
      <c r="S114" s="166"/>
      <c r="T114" s="167"/>
      <c r="U114" s="596">
        <v>0</v>
      </c>
      <c r="V114" s="166"/>
      <c r="W114" s="166"/>
      <c r="X114" s="166"/>
      <c r="Y114" s="167"/>
      <c r="Z114" s="596">
        <v>0</v>
      </c>
      <c r="AA114" s="166"/>
      <c r="AB114" s="166"/>
      <c r="AC114" s="166"/>
      <c r="AD114" s="166"/>
      <c r="AE114" s="596">
        <v>0</v>
      </c>
      <c r="AF114" s="165"/>
      <c r="AG114" s="166"/>
      <c r="AH114" s="166"/>
      <c r="AI114" s="166"/>
      <c r="AJ114" s="596">
        <v>0</v>
      </c>
      <c r="AK114" s="165">
        <v>13.398</v>
      </c>
      <c r="AL114" s="166">
        <v>14.779</v>
      </c>
      <c r="AM114" s="166">
        <v>16.919</v>
      </c>
      <c r="AN114" s="167">
        <v>16.126999999999995</v>
      </c>
      <c r="AO114" s="596">
        <v>61.222999999999999</v>
      </c>
      <c r="AP114" s="166">
        <v>17.763000000000002</v>
      </c>
      <c r="AQ114" s="166">
        <v>19.824000000000002</v>
      </c>
      <c r="AR114" s="166">
        <v>20.681999999999999</v>
      </c>
      <c r="AS114" s="167">
        <v>22.565000000000001</v>
      </c>
      <c r="AT114" s="596">
        <v>80.834000000000003</v>
      </c>
      <c r="AU114" s="166">
        <v>27.23</v>
      </c>
      <c r="AV114" s="166">
        <v>32.081000000000003</v>
      </c>
      <c r="AW114" s="166">
        <v>35.987000000000002</v>
      </c>
      <c r="AX114" s="166">
        <v>39.627999999999986</v>
      </c>
      <c r="AY114" s="596">
        <v>134.92599999999999</v>
      </c>
      <c r="AZ114" s="165">
        <v>42.298999999999999</v>
      </c>
      <c r="BA114" s="166">
        <v>48.024999999999999</v>
      </c>
      <c r="BB114" s="166">
        <v>59.869</v>
      </c>
      <c r="BC114" s="166">
        <v>70.836000000000013</v>
      </c>
      <c r="BD114" s="596">
        <v>221.029</v>
      </c>
      <c r="BE114" s="165">
        <v>75.132999999999996</v>
      </c>
      <c r="BF114" s="166">
        <v>82.04</v>
      </c>
      <c r="BG114" s="166">
        <v>88.620999999999995</v>
      </c>
      <c r="BH114" s="167">
        <v>82.201000000000022</v>
      </c>
      <c r="BI114" s="596">
        <v>327.995</v>
      </c>
      <c r="BJ114" s="166">
        <v>80.382000000000005</v>
      </c>
      <c r="BK114" s="166">
        <v>78.603999999999999</v>
      </c>
      <c r="BL114" s="166">
        <v>96.888999999999996</v>
      </c>
      <c r="BM114" s="167">
        <v>97.596000000000004</v>
      </c>
      <c r="BN114" s="596">
        <v>353.471</v>
      </c>
      <c r="BO114" s="166">
        <v>106.621</v>
      </c>
      <c r="BP114" s="166">
        <v>130.345</v>
      </c>
      <c r="BQ114" s="166">
        <v>153.505</v>
      </c>
      <c r="BR114" s="166">
        <v>168.82600000000002</v>
      </c>
      <c r="BS114" s="596">
        <v>559.29700000000003</v>
      </c>
      <c r="BT114" s="165">
        <v>162.85599999999999</v>
      </c>
      <c r="BU114" s="166">
        <v>176.315</v>
      </c>
      <c r="BV114" s="166">
        <v>183.73699999999999</v>
      </c>
      <c r="BW114" s="166">
        <v>175.94499999999999</v>
      </c>
      <c r="BX114" s="596">
        <v>698.85300000000007</v>
      </c>
      <c r="BY114" s="165">
        <v>180.33600000000001</v>
      </c>
      <c r="BZ114" s="166">
        <v>182.98</v>
      </c>
      <c r="CA114" s="166">
        <v>195.53800000000001</v>
      </c>
      <c r="CB114" s="166">
        <v>206.08199999999999</v>
      </c>
      <c r="CC114" s="748">
        <v>764.93600000000004</v>
      </c>
      <c r="CD114" s="166">
        <v>216.40799999999999</v>
      </c>
      <c r="CE114" s="166">
        <v>233.845</v>
      </c>
      <c r="CF114" s="166">
        <v>246.39699999999999</v>
      </c>
      <c r="CG114" s="166">
        <v>245.929</v>
      </c>
      <c r="CH114" s="748">
        <v>942.57899999999995</v>
      </c>
      <c r="CI114" s="166">
        <f>277.526</f>
        <v>277.52600000000001</v>
      </c>
      <c r="CJ114" s="166">
        <v>266.00900000000001</v>
      </c>
      <c r="CK114" s="166">
        <v>276.99599999999998</v>
      </c>
      <c r="CL114" s="166">
        <v>278.64699999999999</v>
      </c>
      <c r="CM114" s="911">
        <v>1099.1780000000001</v>
      </c>
      <c r="CN114" s="166">
        <v>285.10000000000002</v>
      </c>
      <c r="CO114" s="166">
        <v>297.60000000000002</v>
      </c>
      <c r="CP114" s="166">
        <v>299.89999999999998</v>
      </c>
      <c r="CQ114" s="166">
        <v>305.89999999999998</v>
      </c>
      <c r="CR114" s="911">
        <v>1188.5</v>
      </c>
      <c r="CS114" s="166">
        <v>298.8</v>
      </c>
      <c r="CT114" s="166">
        <v>310.7</v>
      </c>
      <c r="CU114" s="166">
        <v>293</v>
      </c>
      <c r="CV114" s="166">
        <v>273</v>
      </c>
      <c r="CW114" s="911">
        <v>1175.5</v>
      </c>
      <c r="CX114" s="166">
        <v>274</v>
      </c>
      <c r="CY114" s="166">
        <v>288</v>
      </c>
      <c r="CZ114" s="166">
        <v>301</v>
      </c>
      <c r="DA114" s="166">
        <v>287</v>
      </c>
      <c r="DB114" s="393"/>
      <c r="DC114" s="166"/>
      <c r="DD114" s="166"/>
      <c r="DE114" s="166"/>
      <c r="DF114" s="68"/>
      <c r="DG114" s="393"/>
      <c r="DH114" s="166"/>
      <c r="DI114" s="166"/>
      <c r="DJ114" s="166"/>
      <c r="DK114" s="68"/>
      <c r="DL114" s="393"/>
      <c r="DM114" s="166"/>
      <c r="DN114" s="166"/>
      <c r="DO114" s="166"/>
      <c r="DP114" s="68"/>
      <c r="DQ114" s="393"/>
      <c r="DR114" s="165"/>
      <c r="DS114" s="166"/>
      <c r="DT114"/>
      <c r="DU114"/>
      <c r="DV114"/>
      <c r="DW114"/>
      <c r="DX114"/>
      <c r="DY114"/>
    </row>
    <row r="115" spans="1:129" s="399" customFormat="1" hidden="1" outlineLevel="1">
      <c r="A115" s="712"/>
      <c r="B115" s="713"/>
      <c r="C115" s="714"/>
      <c r="D115" s="714" t="s">
        <v>32</v>
      </c>
      <c r="E115" s="714"/>
      <c r="F115" s="714"/>
      <c r="G115" s="396"/>
      <c r="H115" s="397"/>
      <c r="I115" s="397"/>
      <c r="J115" s="398"/>
      <c r="K115" s="597">
        <v>0</v>
      </c>
      <c r="L115" s="396"/>
      <c r="M115" s="397"/>
      <c r="N115" s="397"/>
      <c r="O115" s="397"/>
      <c r="P115" s="597">
        <v>0</v>
      </c>
      <c r="Q115" s="396"/>
      <c r="R115" s="397"/>
      <c r="S115" s="397"/>
      <c r="T115" s="398"/>
      <c r="U115" s="597">
        <v>0</v>
      </c>
      <c r="V115" s="397"/>
      <c r="W115" s="397"/>
      <c r="X115" s="397"/>
      <c r="Y115" s="398"/>
      <c r="Z115" s="597">
        <v>0</v>
      </c>
      <c r="AA115" s="397"/>
      <c r="AB115" s="397"/>
      <c r="AC115" s="397"/>
      <c r="AD115" s="397"/>
      <c r="AE115" s="597">
        <v>0</v>
      </c>
      <c r="AF115" s="396"/>
      <c r="AG115" s="397"/>
      <c r="AH115" s="397"/>
      <c r="AI115" s="397"/>
      <c r="AJ115" s="597">
        <v>0</v>
      </c>
      <c r="AK115" s="396">
        <f t="shared" ref="AK115:CC115" si="208">AK113-AK114</f>
        <v>1.338000000000001</v>
      </c>
      <c r="AL115" s="397">
        <f t="shared" si="208"/>
        <v>2.245000000000001</v>
      </c>
      <c r="AM115" s="397">
        <f t="shared" si="208"/>
        <v>3.8359999999999985</v>
      </c>
      <c r="AN115" s="398">
        <f t="shared" si="208"/>
        <v>5.0649999999999977</v>
      </c>
      <c r="AO115" s="597">
        <f t="shared" si="208"/>
        <v>12.483999999999995</v>
      </c>
      <c r="AP115" s="397">
        <f t="shared" si="208"/>
        <v>5.8169999999999966</v>
      </c>
      <c r="AQ115" s="397">
        <f t="shared" si="208"/>
        <v>5.1890000000000001</v>
      </c>
      <c r="AR115" s="397">
        <f t="shared" si="208"/>
        <v>5.5990000000000002</v>
      </c>
      <c r="AS115" s="398">
        <f t="shared" si="208"/>
        <v>6.2679999999999971</v>
      </c>
      <c r="AT115" s="597">
        <f t="shared" si="208"/>
        <v>22.87299999999999</v>
      </c>
      <c r="AU115" s="397">
        <f t="shared" si="208"/>
        <v>7.8790000000000013</v>
      </c>
      <c r="AV115" s="397">
        <f t="shared" si="208"/>
        <v>10.331999999999994</v>
      </c>
      <c r="AW115" s="397">
        <f t="shared" si="208"/>
        <v>13.123999999999995</v>
      </c>
      <c r="AX115" s="397">
        <f t="shared" si="208"/>
        <v>17.607000000000014</v>
      </c>
      <c r="AY115" s="597">
        <f t="shared" si="208"/>
        <v>48.942000000000007</v>
      </c>
      <c r="AZ115" s="396">
        <f t="shared" si="208"/>
        <v>22.342999999999996</v>
      </c>
      <c r="BA115" s="397">
        <f t="shared" si="208"/>
        <v>27.821999999999996</v>
      </c>
      <c r="BB115" s="397">
        <f t="shared" si="208"/>
        <v>34.328000000000003</v>
      </c>
      <c r="BC115" s="397">
        <f t="shared" si="208"/>
        <v>37.343999999999994</v>
      </c>
      <c r="BD115" s="597">
        <f t="shared" si="208"/>
        <v>121.83699999999999</v>
      </c>
      <c r="BE115" s="396">
        <f t="shared" si="208"/>
        <v>46.061999999999998</v>
      </c>
      <c r="BF115" s="397">
        <f t="shared" si="208"/>
        <v>56.924999999999997</v>
      </c>
      <c r="BG115" s="397">
        <f t="shared" si="208"/>
        <v>56.406999999999996</v>
      </c>
      <c r="BH115" s="398">
        <f t="shared" si="208"/>
        <v>53.753000000000043</v>
      </c>
      <c r="BI115" s="597">
        <f t="shared" si="208"/>
        <v>213.14700000000005</v>
      </c>
      <c r="BJ115" s="397">
        <f t="shared" si="208"/>
        <v>55.645999999999987</v>
      </c>
      <c r="BK115" s="397">
        <f t="shared" si="208"/>
        <v>60.135000000000005</v>
      </c>
      <c r="BL115" s="397">
        <f t="shared" si="208"/>
        <v>67.416000000000011</v>
      </c>
      <c r="BM115" s="398">
        <f t="shared" si="208"/>
        <v>70.135999999999996</v>
      </c>
      <c r="BN115" s="597">
        <f t="shared" si="208"/>
        <v>253.33299999999997</v>
      </c>
      <c r="BO115" s="397">
        <f t="shared" si="208"/>
        <v>67.01100000000001</v>
      </c>
      <c r="BP115" s="397">
        <f t="shared" si="208"/>
        <v>69.824999999999989</v>
      </c>
      <c r="BQ115" s="397">
        <f t="shared" si="208"/>
        <v>76.174000000000007</v>
      </c>
      <c r="BR115" s="397">
        <f t="shared" si="208"/>
        <v>83.268000000000029</v>
      </c>
      <c r="BS115" s="597">
        <f t="shared" si="208"/>
        <v>296.27800000000002</v>
      </c>
      <c r="BT115" s="396">
        <f t="shared" si="208"/>
        <v>93.03</v>
      </c>
      <c r="BU115" s="397">
        <f t="shared" si="208"/>
        <v>100.42500000000001</v>
      </c>
      <c r="BV115" s="397">
        <f t="shared" si="208"/>
        <v>106.869</v>
      </c>
      <c r="BW115" s="397">
        <f t="shared" si="208"/>
        <v>98.297999999999945</v>
      </c>
      <c r="BX115" s="597">
        <f t="shared" si="208"/>
        <v>398.62199999999984</v>
      </c>
      <c r="BY115" s="396">
        <f t="shared" si="208"/>
        <v>103.589</v>
      </c>
      <c r="BZ115" s="397">
        <f t="shared" si="208"/>
        <v>99.700999999999993</v>
      </c>
      <c r="CA115" s="397">
        <f t="shared" si="208"/>
        <v>107.11000000000001</v>
      </c>
      <c r="CB115" s="397">
        <f t="shared" si="208"/>
        <v>120.154</v>
      </c>
      <c r="CC115" s="749">
        <f t="shared" si="208"/>
        <v>430.55399999999997</v>
      </c>
      <c r="CD115" s="397">
        <v>131.84800000000001</v>
      </c>
      <c r="CE115" s="397">
        <v>153.38300000000001</v>
      </c>
      <c r="CF115" s="397">
        <v>168.25899999999999</v>
      </c>
      <c r="CG115" s="397">
        <v>183.136</v>
      </c>
      <c r="CH115" s="749">
        <v>636.62599999999998</v>
      </c>
      <c r="CI115" s="397">
        <f>192.619</f>
        <v>192.619</v>
      </c>
      <c r="CJ115" s="397">
        <v>200.24</v>
      </c>
      <c r="CK115" s="397">
        <v>195.11799999999999</v>
      </c>
      <c r="CL115" s="397">
        <v>196.435</v>
      </c>
      <c r="CM115" s="912">
        <v>784.41200000000003</v>
      </c>
      <c r="CN115" s="397">
        <v>190.8</v>
      </c>
      <c r="CO115" s="397">
        <v>204.7</v>
      </c>
      <c r="CP115" s="397">
        <v>209.2</v>
      </c>
      <c r="CQ115" s="397">
        <v>215</v>
      </c>
      <c r="CR115" s="912">
        <v>819.7</v>
      </c>
      <c r="CS115" s="397">
        <v>226.6</v>
      </c>
      <c r="CT115" s="397">
        <v>236.5</v>
      </c>
      <c r="CU115" s="397">
        <v>244.7</v>
      </c>
      <c r="CV115" s="397">
        <v>262</v>
      </c>
      <c r="CW115" s="912">
        <v>969.8</v>
      </c>
      <c r="CX115" s="397">
        <v>285</v>
      </c>
      <c r="CY115" s="397">
        <v>291</v>
      </c>
      <c r="CZ115" s="397">
        <v>327</v>
      </c>
      <c r="DA115" s="397">
        <v>345</v>
      </c>
      <c r="DB115" s="856"/>
      <c r="DC115" s="397"/>
      <c r="DD115" s="397"/>
      <c r="DE115" s="397"/>
      <c r="DF115" s="68"/>
      <c r="DG115" s="856"/>
      <c r="DH115" s="397"/>
      <c r="DI115" s="397"/>
      <c r="DJ115" s="397"/>
      <c r="DK115" s="68"/>
      <c r="DL115" s="856"/>
      <c r="DM115" s="397"/>
      <c r="DN115" s="397"/>
      <c r="DO115" s="397"/>
      <c r="DP115" s="68"/>
      <c r="DQ115" s="856"/>
      <c r="DR115" s="395"/>
      <c r="DS115" s="865"/>
      <c r="DT115"/>
      <c r="DU115"/>
      <c r="DV115"/>
      <c r="DW115"/>
      <c r="DX115"/>
      <c r="DY115"/>
    </row>
    <row r="116" spans="1:129" s="182" customFormat="1" hidden="1" outlineLevel="1">
      <c r="A116" s="681"/>
      <c r="B116" s="579"/>
      <c r="C116" s="580" t="s">
        <v>30</v>
      </c>
      <c r="D116" s="580"/>
      <c r="E116" s="580"/>
      <c r="F116" s="580"/>
      <c r="G116" s="250">
        <v>8.4000000000000005E-2</v>
      </c>
      <c r="H116" s="251">
        <v>1.6E-2</v>
      </c>
      <c r="I116" s="251">
        <v>4.3999999999999997E-2</v>
      </c>
      <c r="J116" s="252">
        <v>9.7999999999999976E-2</v>
      </c>
      <c r="K116" s="595">
        <v>0.24199999999999999</v>
      </c>
      <c r="L116" s="250">
        <v>0.11700000000000001</v>
      </c>
      <c r="M116" s="251">
        <v>0.108</v>
      </c>
      <c r="N116" s="251">
        <v>0.10100000000000001</v>
      </c>
      <c r="O116" s="252">
        <v>5.5E-2</v>
      </c>
      <c r="P116" s="595">
        <v>0.38100000000000001</v>
      </c>
      <c r="Q116" s="250">
        <v>0.27800000000000002</v>
      </c>
      <c r="R116" s="251">
        <v>0.28799999999999998</v>
      </c>
      <c r="S116" s="251">
        <v>0.314</v>
      </c>
      <c r="T116" s="252">
        <v>0.26</v>
      </c>
      <c r="U116" s="595">
        <v>1.1400000000000001</v>
      </c>
      <c r="V116" s="250">
        <v>0.34</v>
      </c>
      <c r="W116" s="251">
        <v>0.38</v>
      </c>
      <c r="X116" s="251">
        <v>0.40500000000000003</v>
      </c>
      <c r="Y116" s="252">
        <v>0.49900000000000011</v>
      </c>
      <c r="Z116" s="595">
        <v>1.6240000000000001</v>
      </c>
      <c r="AA116" s="250">
        <v>0.61</v>
      </c>
      <c r="AB116" s="251">
        <v>0.33400000000000002</v>
      </c>
      <c r="AC116" s="251">
        <v>0.29799999999999999</v>
      </c>
      <c r="AD116" s="252">
        <v>0.35299999999999998</v>
      </c>
      <c r="AE116" s="595">
        <v>1.595</v>
      </c>
      <c r="AF116" s="250">
        <v>0.56799999999999995</v>
      </c>
      <c r="AG116" s="251">
        <v>0.7</v>
      </c>
      <c r="AH116" s="251">
        <v>0.68600000000000005</v>
      </c>
      <c r="AI116" s="252">
        <v>0.78</v>
      </c>
      <c r="AJ116" s="595">
        <v>2.734</v>
      </c>
      <c r="AK116" s="250">
        <v>1.038</v>
      </c>
      <c r="AL116" s="251">
        <v>0.90900000000000003</v>
      </c>
      <c r="AM116" s="251">
        <v>1.2210000000000001</v>
      </c>
      <c r="AN116" s="252">
        <v>1.3659999999999997</v>
      </c>
      <c r="AO116" s="595">
        <v>4.5339999999999998</v>
      </c>
      <c r="AP116" s="250">
        <v>2.0470000000000002</v>
      </c>
      <c r="AQ116" s="251">
        <v>1.7529999999999999</v>
      </c>
      <c r="AR116" s="251">
        <v>3.1030000000000002</v>
      </c>
      <c r="AS116" s="252">
        <v>2.4449999999999998</v>
      </c>
      <c r="AT116" s="595">
        <v>9.3480000000000008</v>
      </c>
      <c r="AU116" s="250">
        <v>3.1640000000000001</v>
      </c>
      <c r="AV116" s="251">
        <v>2.6259999999999999</v>
      </c>
      <c r="AW116" s="251">
        <v>2.6960000000000002</v>
      </c>
      <c r="AX116" s="252">
        <v>4.2719999999999985</v>
      </c>
      <c r="AY116" s="595">
        <v>12.757999999999999</v>
      </c>
      <c r="AZ116" s="250">
        <v>4.556</v>
      </c>
      <c r="BA116" s="251">
        <v>5.4210000000000003</v>
      </c>
      <c r="BB116" s="251">
        <v>6.4320000000000004</v>
      </c>
      <c r="BC116" s="252">
        <v>7.5390000000000015</v>
      </c>
      <c r="BD116" s="595">
        <v>23.948</v>
      </c>
      <c r="BE116" s="250">
        <v>8.0510000000000002</v>
      </c>
      <c r="BF116" s="251">
        <v>10.205</v>
      </c>
      <c r="BG116" s="251">
        <v>12.589</v>
      </c>
      <c r="BH116" s="252">
        <v>15.962000000000003</v>
      </c>
      <c r="BI116" s="595">
        <v>46.807000000000002</v>
      </c>
      <c r="BJ116" s="250">
        <v>16.044</v>
      </c>
      <c r="BK116" s="251">
        <v>16.882000000000001</v>
      </c>
      <c r="BL116" s="251">
        <v>21.274000000000001</v>
      </c>
      <c r="BM116" s="252">
        <v>23.448999999999995</v>
      </c>
      <c r="BN116" s="595">
        <v>77.649000000000001</v>
      </c>
      <c r="BO116" s="250">
        <v>30.398</v>
      </c>
      <c r="BP116" s="251">
        <v>36.055999999999997</v>
      </c>
      <c r="BQ116" s="251">
        <v>41.261000000000003</v>
      </c>
      <c r="BR116" s="252">
        <v>46.38</v>
      </c>
      <c r="BS116" s="595">
        <v>154.095</v>
      </c>
      <c r="BT116" s="250">
        <v>45.414000000000001</v>
      </c>
      <c r="BU116" s="251">
        <v>53.456000000000003</v>
      </c>
      <c r="BV116" s="251">
        <v>59.64</v>
      </c>
      <c r="BW116" s="252">
        <v>62.213000000000022</v>
      </c>
      <c r="BX116" s="595">
        <v>220.72300000000001</v>
      </c>
      <c r="BY116" s="250">
        <v>66.7</v>
      </c>
      <c r="BZ116" s="251">
        <v>77.569999999999993</v>
      </c>
      <c r="CA116" s="251">
        <v>84.334000000000003</v>
      </c>
      <c r="CB116" s="251">
        <v>86.12</v>
      </c>
      <c r="CC116" s="747">
        <v>314.72399999999999</v>
      </c>
      <c r="CD116" s="251">
        <v>90.290999999999997</v>
      </c>
      <c r="CE116" s="251">
        <v>96.617999999999995</v>
      </c>
      <c r="CF116" s="251">
        <v>107.986</v>
      </c>
      <c r="CG116" s="251">
        <v>109.02200000000001</v>
      </c>
      <c r="CH116" s="747">
        <v>403.91699999999997</v>
      </c>
      <c r="CI116" s="442">
        <v>115.97199999999999</v>
      </c>
      <c r="CJ116" s="251">
        <v>122.29300000000001</v>
      </c>
      <c r="CK116" s="251">
        <v>127.666</v>
      </c>
      <c r="CL116" s="251">
        <v>133.375</v>
      </c>
      <c r="CM116" s="910">
        <v>499.30599999999998</v>
      </c>
      <c r="CN116" s="442">
        <v>143.5</v>
      </c>
      <c r="CO116" s="251">
        <v>158.9</v>
      </c>
      <c r="CP116" s="251">
        <v>167.3</v>
      </c>
      <c r="CQ116" s="251">
        <v>178.7</v>
      </c>
      <c r="CR116" s="910">
        <v>648.4</v>
      </c>
      <c r="CS116" s="442">
        <v>179.3</v>
      </c>
      <c r="CT116" s="251">
        <v>198.6</v>
      </c>
      <c r="CU116" s="251">
        <v>206.1</v>
      </c>
      <c r="CV116" s="251">
        <v>212</v>
      </c>
      <c r="CW116" s="910">
        <v>796</v>
      </c>
      <c r="CX116" s="442">
        <v>226</v>
      </c>
      <c r="CY116" s="251">
        <v>240</v>
      </c>
      <c r="CZ116" s="251">
        <v>247</v>
      </c>
      <c r="DA116" s="251">
        <v>249</v>
      </c>
      <c r="DB116" s="364"/>
      <c r="DC116" s="442"/>
      <c r="DD116" s="251"/>
      <c r="DE116" s="251"/>
      <c r="DF116" s="68"/>
      <c r="DG116" s="364"/>
      <c r="DH116" s="442"/>
      <c r="DI116" s="251"/>
      <c r="DJ116" s="251"/>
      <c r="DK116" s="68"/>
      <c r="DL116" s="364"/>
      <c r="DM116" s="442"/>
      <c r="DN116" s="251"/>
      <c r="DO116" s="251"/>
      <c r="DP116" s="68"/>
      <c r="DQ116" s="364"/>
      <c r="DR116" s="129"/>
      <c r="DS116" s="130"/>
      <c r="DT116"/>
      <c r="DU116"/>
      <c r="DV116"/>
      <c r="DW116"/>
      <c r="DX116"/>
      <c r="DY116"/>
    </row>
    <row r="117" spans="1:129" s="182" customFormat="1" hidden="1" outlineLevel="1">
      <c r="A117" s="681"/>
      <c r="B117" s="579"/>
      <c r="C117" s="580" t="s">
        <v>173</v>
      </c>
      <c r="D117" s="580"/>
      <c r="E117" s="580"/>
      <c r="F117" s="580"/>
      <c r="G117" s="129">
        <f t="shared" ref="G117:AL117" si="209">G112+G113+G116</f>
        <v>10.238</v>
      </c>
      <c r="H117" s="130">
        <f t="shared" si="209"/>
        <v>12.668000000000001</v>
      </c>
      <c r="I117" s="130">
        <f t="shared" si="209"/>
        <v>16.2</v>
      </c>
      <c r="J117" s="131">
        <f t="shared" si="209"/>
        <v>19.5</v>
      </c>
      <c r="K117" s="598">
        <f t="shared" si="209"/>
        <v>58.606000000000002</v>
      </c>
      <c r="L117" s="129">
        <f t="shared" si="209"/>
        <v>20.425999999999998</v>
      </c>
      <c r="M117" s="130">
        <f t="shared" si="209"/>
        <v>21.498000000000001</v>
      </c>
      <c r="N117" s="130">
        <f t="shared" si="209"/>
        <v>22.876000000000001</v>
      </c>
      <c r="O117" s="130">
        <f t="shared" si="209"/>
        <v>24.104000000000003</v>
      </c>
      <c r="P117" s="598">
        <f t="shared" si="209"/>
        <v>88.904000000000011</v>
      </c>
      <c r="Q117" s="129">
        <f t="shared" si="209"/>
        <v>27.069999999999997</v>
      </c>
      <c r="R117" s="130">
        <f t="shared" si="209"/>
        <v>31.801000000000002</v>
      </c>
      <c r="S117" s="130">
        <f t="shared" si="209"/>
        <v>37.106999999999999</v>
      </c>
      <c r="T117" s="131">
        <f t="shared" si="209"/>
        <v>41.05299999999999</v>
      </c>
      <c r="U117" s="598">
        <f t="shared" si="209"/>
        <v>137.03099999999998</v>
      </c>
      <c r="V117" s="130">
        <f t="shared" si="209"/>
        <v>43.404000000000003</v>
      </c>
      <c r="W117" s="130">
        <f t="shared" si="209"/>
        <v>45.411000000000001</v>
      </c>
      <c r="X117" s="130">
        <f t="shared" si="209"/>
        <v>45.502000000000002</v>
      </c>
      <c r="Y117" s="131">
        <f t="shared" si="209"/>
        <v>43.461000000000006</v>
      </c>
      <c r="Z117" s="598">
        <f t="shared" si="209"/>
        <v>177.77799999999999</v>
      </c>
      <c r="AA117" s="130">
        <f t="shared" si="209"/>
        <v>46.484000000000002</v>
      </c>
      <c r="AB117" s="130">
        <f t="shared" si="209"/>
        <v>54.358000000000004</v>
      </c>
      <c r="AC117" s="130">
        <f t="shared" si="209"/>
        <v>61.233000000000004</v>
      </c>
      <c r="AD117" s="130">
        <f t="shared" si="209"/>
        <v>67.010999999999996</v>
      </c>
      <c r="AE117" s="598">
        <f t="shared" si="209"/>
        <v>229.08599999999998</v>
      </c>
      <c r="AF117" s="129">
        <f t="shared" si="209"/>
        <v>74.515999999999991</v>
      </c>
      <c r="AG117" s="130">
        <f t="shared" si="209"/>
        <v>87.445999999999998</v>
      </c>
      <c r="AH117" s="130">
        <f t="shared" si="209"/>
        <v>98.111000000000018</v>
      </c>
      <c r="AI117" s="130">
        <f t="shared" si="209"/>
        <v>108.15800000000002</v>
      </c>
      <c r="AJ117" s="598">
        <f t="shared" si="209"/>
        <v>368.23099999999994</v>
      </c>
      <c r="AK117" s="129">
        <f t="shared" si="209"/>
        <v>119.744</v>
      </c>
      <c r="AL117" s="130">
        <f t="shared" si="209"/>
        <v>138.71899999999999</v>
      </c>
      <c r="AM117" s="130">
        <f t="shared" ref="AM117:BR117" si="210">AM112+AM113+AM116</f>
        <v>155.429</v>
      </c>
      <c r="AN117" s="131">
        <f t="shared" si="210"/>
        <v>172.78100000000001</v>
      </c>
      <c r="AO117" s="598">
        <f t="shared" si="210"/>
        <v>586.673</v>
      </c>
      <c r="AP117" s="130">
        <f t="shared" si="210"/>
        <v>181.68100000000001</v>
      </c>
      <c r="AQ117" s="130">
        <f t="shared" si="210"/>
        <v>211.71099999999998</v>
      </c>
      <c r="AR117" s="130">
        <f t="shared" si="210"/>
        <v>235.536</v>
      </c>
      <c r="AS117" s="131">
        <f t="shared" si="210"/>
        <v>256.90199999999993</v>
      </c>
      <c r="AT117" s="598">
        <f t="shared" si="210"/>
        <v>885.82999999999993</v>
      </c>
      <c r="AU117" s="130">
        <f t="shared" si="210"/>
        <v>285.47899999999998</v>
      </c>
      <c r="AV117" s="130">
        <f t="shared" si="210"/>
        <v>336.83600000000001</v>
      </c>
      <c r="AW117" s="130">
        <f t="shared" si="210"/>
        <v>377.52199999999999</v>
      </c>
      <c r="AX117" s="130">
        <f t="shared" si="210"/>
        <v>424.43</v>
      </c>
      <c r="AY117" s="598">
        <f t="shared" si="210"/>
        <v>1424.2670000000001</v>
      </c>
      <c r="AZ117" s="129">
        <f t="shared" si="210"/>
        <v>460.27</v>
      </c>
      <c r="BA117" s="130">
        <f t="shared" si="210"/>
        <v>516.51400000000001</v>
      </c>
      <c r="BB117" s="130">
        <f t="shared" si="210"/>
        <v>558.83699999999999</v>
      </c>
      <c r="BC117" s="130">
        <f t="shared" si="210"/>
        <v>599.9559999999999</v>
      </c>
      <c r="BD117" s="598">
        <f t="shared" si="210"/>
        <v>2135.5769999999998</v>
      </c>
      <c r="BE117" s="129">
        <f t="shared" si="210"/>
        <v>643.10600000000011</v>
      </c>
      <c r="BF117" s="130">
        <f t="shared" si="210"/>
        <v>685.42700000000002</v>
      </c>
      <c r="BG117" s="130">
        <f t="shared" si="210"/>
        <v>734.72600000000011</v>
      </c>
      <c r="BH117" s="131">
        <f t="shared" si="210"/>
        <v>753.04499999999996</v>
      </c>
      <c r="BI117" s="598">
        <f t="shared" si="210"/>
        <v>2816.3040000000001</v>
      </c>
      <c r="BJ117" s="130">
        <f t="shared" si="210"/>
        <v>745.86199999999997</v>
      </c>
      <c r="BK117" s="130">
        <f t="shared" si="210"/>
        <v>776.59199999999998</v>
      </c>
      <c r="BL117" s="130">
        <f t="shared" si="210"/>
        <v>853.48799999999994</v>
      </c>
      <c r="BM117" s="131">
        <f t="shared" si="210"/>
        <v>902.72099999999989</v>
      </c>
      <c r="BN117" s="598">
        <f t="shared" si="210"/>
        <v>3278.663</v>
      </c>
      <c r="BO117" s="130">
        <f t="shared" si="210"/>
        <v>959.72000000000014</v>
      </c>
      <c r="BP117" s="130">
        <f t="shared" si="210"/>
        <v>1105.154</v>
      </c>
      <c r="BQ117" s="130">
        <f t="shared" si="210"/>
        <v>1216.913</v>
      </c>
      <c r="BR117" s="130">
        <f t="shared" si="210"/>
        <v>1310.6020000000003</v>
      </c>
      <c r="BS117" s="598">
        <f t="shared" ref="BS117:CW117" si="211">BS112+BS113+BS116</f>
        <v>4592.3890000000001</v>
      </c>
      <c r="BT117" s="129">
        <f t="shared" si="211"/>
        <v>1371.2529999999999</v>
      </c>
      <c r="BU117" s="130">
        <f t="shared" si="211"/>
        <v>1485.242</v>
      </c>
      <c r="BV117" s="130">
        <f t="shared" si="211"/>
        <v>1600.9540000000002</v>
      </c>
      <c r="BW117" s="130">
        <f t="shared" si="211"/>
        <v>1663.7069999999997</v>
      </c>
      <c r="BX117" s="598">
        <f t="shared" si="211"/>
        <v>6121.155999999999</v>
      </c>
      <c r="BY117" s="129">
        <f t="shared" si="211"/>
        <v>1711.3489999999999</v>
      </c>
      <c r="BZ117" s="130">
        <f t="shared" si="211"/>
        <v>1795.22</v>
      </c>
      <c r="CA117" s="130">
        <f t="shared" si="211"/>
        <v>1891.6879999999999</v>
      </c>
      <c r="CB117" s="130">
        <f t="shared" si="211"/>
        <v>1948.2149999999997</v>
      </c>
      <c r="CC117" s="750">
        <f t="shared" si="211"/>
        <v>7346.4719999999998</v>
      </c>
      <c r="CD117" s="130">
        <f t="shared" si="211"/>
        <v>2020.7380000000001</v>
      </c>
      <c r="CE117" s="130">
        <f t="shared" si="211"/>
        <v>2161.2399999999998</v>
      </c>
      <c r="CF117" s="130">
        <f t="shared" si="211"/>
        <v>2305.723</v>
      </c>
      <c r="CG117" s="130">
        <f t="shared" si="211"/>
        <v>2355.4879999999998</v>
      </c>
      <c r="CH117" s="750">
        <f t="shared" si="211"/>
        <v>8843.1890000000003</v>
      </c>
      <c r="CI117" s="130">
        <f t="shared" si="211"/>
        <v>2422.3480000000004</v>
      </c>
      <c r="CJ117" s="130">
        <f t="shared" si="211"/>
        <v>2517.0940000000001</v>
      </c>
      <c r="CK117" s="130">
        <f t="shared" si="211"/>
        <v>2581.009</v>
      </c>
      <c r="CL117" s="130">
        <f t="shared" si="211"/>
        <v>2661.63</v>
      </c>
      <c r="CM117" s="847">
        <f t="shared" si="211"/>
        <v>10182.081</v>
      </c>
      <c r="CN117" s="130">
        <f t="shared" si="211"/>
        <v>2911.4</v>
      </c>
      <c r="CO117" s="130">
        <f t="shared" si="211"/>
        <v>3085.1000000000004</v>
      </c>
      <c r="CP117" s="130">
        <f t="shared" si="211"/>
        <v>3187</v>
      </c>
      <c r="CQ117" s="130">
        <f t="shared" si="211"/>
        <v>3232.5</v>
      </c>
      <c r="CR117" s="847">
        <f t="shared" si="211"/>
        <v>12416</v>
      </c>
      <c r="CS117" s="130">
        <f t="shared" si="211"/>
        <v>3202.0000000000005</v>
      </c>
      <c r="CT117" s="130">
        <f t="shared" si="211"/>
        <v>3369.9</v>
      </c>
      <c r="CU117" s="130">
        <f t="shared" si="211"/>
        <v>3453.2000000000003</v>
      </c>
      <c r="CV117" s="130">
        <f t="shared" si="211"/>
        <v>3462</v>
      </c>
      <c r="CW117" s="847">
        <f t="shared" si="211"/>
        <v>13487.099999999999</v>
      </c>
      <c r="CX117" s="130">
        <f>CX112+CX113+CX116</f>
        <v>3546</v>
      </c>
      <c r="CY117" s="130">
        <f>CY112+CY113+CY116</f>
        <v>3670</v>
      </c>
      <c r="CZ117" s="130">
        <f>CZ112+CZ113+CZ116</f>
        <v>3766</v>
      </c>
      <c r="DA117" s="130">
        <f>DA112+DA113+DA116</f>
        <v>3828</v>
      </c>
      <c r="DB117" s="364"/>
      <c r="DC117" s="130"/>
      <c r="DD117" s="130"/>
      <c r="DE117" s="130"/>
      <c r="DF117" s="68"/>
      <c r="DG117" s="364"/>
      <c r="DH117" s="130"/>
      <c r="DI117" s="130"/>
      <c r="DJ117" s="130"/>
      <c r="DK117" s="68"/>
      <c r="DL117" s="364"/>
      <c r="DM117" s="130"/>
      <c r="DN117" s="130"/>
      <c r="DO117" s="130"/>
      <c r="DP117" s="68"/>
      <c r="DQ117" s="364"/>
      <c r="DR117" s="129"/>
      <c r="DS117" s="130"/>
      <c r="DT117"/>
      <c r="DU117"/>
      <c r="DV117"/>
      <c r="DW117"/>
      <c r="DX117"/>
      <c r="DY117"/>
    </row>
    <row r="118" spans="1:129" s="154" customFormat="1" hidden="1" outlineLevel="1">
      <c r="A118" s="715"/>
      <c r="B118" s="699"/>
      <c r="C118" s="700"/>
      <c r="D118" s="700"/>
      <c r="E118" s="700"/>
      <c r="F118" s="700"/>
      <c r="G118" s="290"/>
      <c r="H118" s="357"/>
      <c r="I118" s="357"/>
      <c r="J118" s="358"/>
      <c r="K118" s="134"/>
      <c r="L118" s="290"/>
      <c r="M118" s="357"/>
      <c r="N118" s="357"/>
      <c r="O118" s="357"/>
      <c r="P118" s="145"/>
      <c r="Q118" s="290"/>
      <c r="R118" s="357"/>
      <c r="S118" s="357"/>
      <c r="T118" s="358"/>
      <c r="U118" s="145"/>
      <c r="V118" s="357"/>
      <c r="W118" s="357"/>
      <c r="X118" s="357"/>
      <c r="Y118" s="358"/>
      <c r="Z118" s="145"/>
      <c r="AA118" s="357"/>
      <c r="AB118" s="357"/>
      <c r="AC118" s="357"/>
      <c r="AD118" s="357"/>
      <c r="AE118" s="145"/>
      <c r="AF118" s="290"/>
      <c r="AG118" s="357"/>
      <c r="AH118" s="357"/>
      <c r="AI118" s="357"/>
      <c r="AJ118" s="145"/>
      <c r="AK118" s="290"/>
      <c r="AL118" s="357"/>
      <c r="AM118" s="357"/>
      <c r="AN118" s="358"/>
      <c r="AO118" s="145"/>
      <c r="AP118" s="357"/>
      <c r="AQ118" s="357"/>
      <c r="AR118" s="357"/>
      <c r="AS118" s="358"/>
      <c r="AT118" s="145"/>
      <c r="AU118" s="357"/>
      <c r="AV118" s="357"/>
      <c r="AW118" s="357"/>
      <c r="AX118" s="357"/>
      <c r="AY118" s="145"/>
      <c r="AZ118" s="290"/>
      <c r="BA118" s="357"/>
      <c r="BB118" s="357"/>
      <c r="BC118" s="357"/>
      <c r="BD118" s="145"/>
      <c r="BE118" s="290"/>
      <c r="BF118" s="437"/>
      <c r="BG118" s="357"/>
      <c r="BH118" s="358"/>
      <c r="BI118" s="145"/>
      <c r="BJ118" s="357"/>
      <c r="BK118" s="437"/>
      <c r="BL118" s="357"/>
      <c r="BM118" s="358"/>
      <c r="BN118" s="145"/>
      <c r="BO118" s="290"/>
      <c r="BP118" s="437"/>
      <c r="BQ118" s="357"/>
      <c r="BR118" s="357"/>
      <c r="BS118" s="145"/>
      <c r="BT118" s="290"/>
      <c r="BU118" s="437"/>
      <c r="BV118" s="357"/>
      <c r="BW118" s="357"/>
      <c r="BX118" s="145"/>
      <c r="BY118" s="290"/>
      <c r="BZ118" s="437"/>
      <c r="CA118" s="357"/>
      <c r="CB118" s="145"/>
      <c r="CC118" s="338"/>
      <c r="CD118" s="145"/>
      <c r="CE118" s="145"/>
      <c r="CF118" s="145"/>
      <c r="CG118" s="145"/>
      <c r="CH118" s="338"/>
      <c r="CI118" s="437"/>
      <c r="CJ118" s="145"/>
      <c r="CK118" s="145"/>
      <c r="CL118" s="145"/>
      <c r="CM118" s="338"/>
      <c r="CN118" s="437"/>
      <c r="CO118" s="145"/>
      <c r="CP118" s="145"/>
      <c r="CQ118" s="145"/>
      <c r="CR118" s="876"/>
      <c r="CS118" s="437"/>
      <c r="CT118" s="145"/>
      <c r="CU118" s="145"/>
      <c r="CV118" s="145"/>
      <c r="CW118" s="338"/>
      <c r="CX118" s="437"/>
      <c r="CY118" s="145"/>
      <c r="CZ118" s="145"/>
      <c r="DA118" s="145"/>
      <c r="DB118" s="338"/>
      <c r="DC118" s="437"/>
      <c r="DD118" s="145"/>
      <c r="DE118" s="145"/>
      <c r="DF118" s="145"/>
      <c r="DG118" s="338"/>
      <c r="DH118" s="437"/>
      <c r="DI118" s="145"/>
      <c r="DJ118" s="145"/>
      <c r="DK118" s="145"/>
      <c r="DL118" s="338"/>
      <c r="DM118" s="437"/>
      <c r="DN118" s="145"/>
      <c r="DO118" s="145"/>
      <c r="DP118" s="145"/>
      <c r="DQ118" s="338"/>
      <c r="DR118" s="134"/>
      <c r="DS118" s="145"/>
      <c r="DT118"/>
      <c r="DU118"/>
      <c r="DV118"/>
      <c r="DW118"/>
      <c r="DX118"/>
      <c r="DY118"/>
    </row>
    <row r="119" spans="1:129" s="202" customFormat="1" hidden="1" outlineLevel="1">
      <c r="A119" s="695"/>
      <c r="B119" s="702" t="s">
        <v>184</v>
      </c>
      <c r="C119" s="697"/>
      <c r="D119" s="697"/>
      <c r="E119" s="697"/>
      <c r="F119" s="697"/>
      <c r="G119" s="375"/>
      <c r="H119" s="376"/>
      <c r="I119" s="376"/>
      <c r="J119" s="377"/>
      <c r="K119" s="273"/>
      <c r="L119" s="375"/>
      <c r="M119" s="376"/>
      <c r="N119" s="376"/>
      <c r="O119" s="376"/>
      <c r="P119" s="269"/>
      <c r="Q119" s="375"/>
      <c r="R119" s="376"/>
      <c r="S119" s="376"/>
      <c r="T119" s="377"/>
      <c r="U119" s="269"/>
      <c r="V119" s="376"/>
      <c r="W119" s="376"/>
      <c r="X119" s="376"/>
      <c r="Y119" s="377"/>
      <c r="Z119" s="269"/>
      <c r="AA119" s="376"/>
      <c r="AB119" s="376"/>
      <c r="AC119" s="376"/>
      <c r="AD119" s="376"/>
      <c r="AE119" s="269"/>
      <c r="AF119" s="375"/>
      <c r="AG119" s="376"/>
      <c r="AH119" s="376"/>
      <c r="AI119" s="376"/>
      <c r="AJ119" s="269"/>
      <c r="AK119" s="375"/>
      <c r="AL119" s="376"/>
      <c r="AM119" s="376"/>
      <c r="AN119" s="377"/>
      <c r="AO119" s="269"/>
      <c r="AP119" s="376"/>
      <c r="AQ119" s="376"/>
      <c r="AR119" s="376"/>
      <c r="AS119" s="377"/>
      <c r="AT119" s="269"/>
      <c r="AU119" s="376"/>
      <c r="AV119" s="376"/>
      <c r="AW119" s="376"/>
      <c r="AX119" s="376"/>
      <c r="AY119" s="269"/>
      <c r="AZ119" s="375"/>
      <c r="BA119" s="376"/>
      <c r="BB119" s="376"/>
      <c r="BC119" s="376"/>
      <c r="BD119" s="269"/>
      <c r="BE119" s="375"/>
      <c r="BF119" s="376"/>
      <c r="BG119" s="376"/>
      <c r="BH119" s="377"/>
      <c r="BI119" s="269"/>
      <c r="BJ119" s="376"/>
      <c r="BK119" s="376"/>
      <c r="BL119" s="376"/>
      <c r="BM119" s="377"/>
      <c r="BN119" s="269"/>
      <c r="BO119" s="375"/>
      <c r="BP119" s="376"/>
      <c r="BQ119" s="376"/>
      <c r="BR119" s="376"/>
      <c r="BS119" s="269"/>
      <c r="BT119" s="375"/>
      <c r="BU119" s="376"/>
      <c r="BV119" s="376"/>
      <c r="BW119" s="376"/>
      <c r="BX119" s="269"/>
      <c r="BY119" s="375"/>
      <c r="BZ119" s="376"/>
      <c r="CA119" s="376"/>
      <c r="CB119" s="269"/>
      <c r="CC119" s="339"/>
      <c r="CD119" s="269"/>
      <c r="CE119" s="269"/>
      <c r="CF119" s="269"/>
      <c r="CG119" s="269"/>
      <c r="CH119" s="339"/>
      <c r="CI119" s="437"/>
      <c r="CJ119" s="269"/>
      <c r="CK119" s="269"/>
      <c r="CL119" s="269"/>
      <c r="CM119" s="339"/>
      <c r="CN119" s="437"/>
      <c r="CO119" s="269"/>
      <c r="CP119" s="269"/>
      <c r="CQ119" s="269"/>
      <c r="CR119" s="339"/>
      <c r="CS119" s="437"/>
      <c r="CT119" s="269"/>
      <c r="CU119" s="269"/>
      <c r="CV119" s="269"/>
      <c r="CW119" s="339"/>
      <c r="CX119" s="437"/>
      <c r="CY119" s="269"/>
      <c r="CZ119" s="269"/>
      <c r="DA119" s="269"/>
      <c r="DB119" s="339"/>
      <c r="DC119" s="437"/>
      <c r="DD119" s="269"/>
      <c r="DE119" s="269"/>
      <c r="DF119" s="269"/>
      <c r="DG119" s="339"/>
      <c r="DH119" s="437"/>
      <c r="DI119" s="269"/>
      <c r="DJ119" s="269"/>
      <c r="DK119" s="269"/>
      <c r="DL119" s="339"/>
      <c r="DM119" s="437"/>
      <c r="DN119" s="269"/>
      <c r="DO119" s="269"/>
      <c r="DP119" s="269"/>
      <c r="DQ119" s="339"/>
      <c r="DR119" s="273"/>
      <c r="DS119" s="269"/>
      <c r="DT119"/>
      <c r="DU119"/>
      <c r="DV119"/>
      <c r="DW119"/>
      <c r="DX119"/>
      <c r="DY119"/>
    </row>
    <row r="120" spans="1:129" s="184" customFormat="1" hidden="1" outlineLevel="1">
      <c r="A120" s="680"/>
      <c r="B120" s="639"/>
      <c r="C120" s="640" t="s">
        <v>28</v>
      </c>
      <c r="D120" s="640"/>
      <c r="E120" s="640"/>
      <c r="F120" s="640"/>
      <c r="G120" s="67">
        <f t="shared" ref="G120:AL120" si="212">G112/G$117</f>
        <v>0.83453799570228571</v>
      </c>
      <c r="H120" s="64">
        <f t="shared" si="212"/>
        <v>0.8263340700978844</v>
      </c>
      <c r="I120" s="64">
        <f t="shared" si="212"/>
        <v>0.81222222222222218</v>
      </c>
      <c r="J120" s="64">
        <f t="shared" si="212"/>
        <v>0.80579487179487186</v>
      </c>
      <c r="K120" s="64">
        <f t="shared" si="212"/>
        <v>0.81703238576254988</v>
      </c>
      <c r="L120" s="67">
        <f t="shared" si="212"/>
        <v>0.79041417800842073</v>
      </c>
      <c r="M120" s="64">
        <f t="shared" si="212"/>
        <v>0.76811796446181047</v>
      </c>
      <c r="N120" s="64">
        <f t="shared" si="212"/>
        <v>0.80787725126770416</v>
      </c>
      <c r="O120" s="64">
        <f t="shared" si="212"/>
        <v>0.83106538333886493</v>
      </c>
      <c r="P120" s="64">
        <f t="shared" si="212"/>
        <v>0.80053765859803827</v>
      </c>
      <c r="Q120" s="67">
        <f t="shared" si="212"/>
        <v>0.83394902105652025</v>
      </c>
      <c r="R120" s="64">
        <f t="shared" si="212"/>
        <v>0.82308732429797804</v>
      </c>
      <c r="S120" s="64">
        <f t="shared" si="212"/>
        <v>0.84250949955534005</v>
      </c>
      <c r="T120" s="64">
        <f t="shared" si="212"/>
        <v>0.85058339220032653</v>
      </c>
      <c r="U120" s="64">
        <f t="shared" si="212"/>
        <v>0.8387299224263125</v>
      </c>
      <c r="V120" s="67">
        <f t="shared" si="212"/>
        <v>0.8578241636715509</v>
      </c>
      <c r="W120" s="64">
        <f t="shared" si="212"/>
        <v>0.8659575873686991</v>
      </c>
      <c r="X120" s="64">
        <f t="shared" si="212"/>
        <v>0.86659927036174234</v>
      </c>
      <c r="Y120" s="64">
        <f t="shared" si="212"/>
        <v>0.82704033501300012</v>
      </c>
      <c r="Z120" s="64">
        <f t="shared" si="212"/>
        <v>0.85462205672242908</v>
      </c>
      <c r="AA120" s="67">
        <f t="shared" si="212"/>
        <v>0.86718010498235953</v>
      </c>
      <c r="AB120" s="64">
        <f t="shared" si="212"/>
        <v>0.86874057176496555</v>
      </c>
      <c r="AC120" s="64">
        <f t="shared" si="212"/>
        <v>0.86410922215145425</v>
      </c>
      <c r="AD120" s="64">
        <f t="shared" si="212"/>
        <v>0.88284013072480638</v>
      </c>
      <c r="AE120" s="64">
        <f t="shared" si="212"/>
        <v>0.87131033760247245</v>
      </c>
      <c r="AF120" s="67">
        <f t="shared" si="212"/>
        <v>0.88171667829727851</v>
      </c>
      <c r="AG120" s="64">
        <f t="shared" si="212"/>
        <v>0.88764494659561322</v>
      </c>
      <c r="AH120" s="64">
        <f t="shared" si="212"/>
        <v>0.88952309119262862</v>
      </c>
      <c r="AI120" s="64">
        <f t="shared" si="212"/>
        <v>0.87595924480852094</v>
      </c>
      <c r="AJ120" s="64">
        <f t="shared" si="212"/>
        <v>0.88351333809483734</v>
      </c>
      <c r="AK120" s="67">
        <f t="shared" si="212"/>
        <v>0.86826897381079637</v>
      </c>
      <c r="AL120" s="64">
        <f t="shared" si="212"/>
        <v>0.87072426992697471</v>
      </c>
      <c r="AM120" s="64">
        <f t="shared" ref="AM120:BR120" si="213">AM112/AM$117</f>
        <v>0.85861068397789342</v>
      </c>
      <c r="AN120" s="64">
        <f t="shared" si="213"/>
        <v>0.86944166314583204</v>
      </c>
      <c r="AO120" s="64">
        <f t="shared" si="213"/>
        <v>0.86663609881484238</v>
      </c>
      <c r="AP120" s="67">
        <f t="shared" si="213"/>
        <v>0.85894507405837706</v>
      </c>
      <c r="AQ120" s="64">
        <f t="shared" si="213"/>
        <v>0.87357293669199998</v>
      </c>
      <c r="AR120" s="64">
        <f t="shared" si="213"/>
        <v>0.87524624685822972</v>
      </c>
      <c r="AS120" s="64">
        <f t="shared" si="213"/>
        <v>0.87824929350491621</v>
      </c>
      <c r="AT120" s="64">
        <f t="shared" si="213"/>
        <v>0.872373931792782</v>
      </c>
      <c r="AU120" s="67">
        <f t="shared" si="213"/>
        <v>0.86593409672865607</v>
      </c>
      <c r="AV120" s="64">
        <f t="shared" si="213"/>
        <v>0.8662880452208197</v>
      </c>
      <c r="AW120" s="64">
        <f t="shared" si="213"/>
        <v>0.86277091136410589</v>
      </c>
      <c r="AX120" s="64">
        <f t="shared" si="213"/>
        <v>0.85508328817472845</v>
      </c>
      <c r="AY120" s="64">
        <f t="shared" si="213"/>
        <v>0.86194582897729155</v>
      </c>
      <c r="AZ120" s="67">
        <f t="shared" si="213"/>
        <v>0.84965780954657055</v>
      </c>
      <c r="BA120" s="64">
        <f t="shared" si="213"/>
        <v>0.84266060552085709</v>
      </c>
      <c r="BB120" s="64">
        <f t="shared" si="213"/>
        <v>0.81993139323273156</v>
      </c>
      <c r="BC120" s="64">
        <f t="shared" si="213"/>
        <v>0.80712085552940538</v>
      </c>
      <c r="BD120" s="64">
        <f t="shared" si="213"/>
        <v>0.8282365843048507</v>
      </c>
      <c r="BE120" s="67">
        <f t="shared" si="213"/>
        <v>0.79902846498088953</v>
      </c>
      <c r="BF120" s="64">
        <f t="shared" si="213"/>
        <v>0.78236923844552364</v>
      </c>
      <c r="BG120" s="64">
        <f t="shared" si="213"/>
        <v>0.78547512950405995</v>
      </c>
      <c r="BH120" s="64">
        <f t="shared" si="213"/>
        <v>0.79826437995073329</v>
      </c>
      <c r="BI120" s="64">
        <f t="shared" si="213"/>
        <v>0.79123382987063895</v>
      </c>
      <c r="BJ120" s="67">
        <f t="shared" si="213"/>
        <v>0.79611241757858686</v>
      </c>
      <c r="BK120" s="64">
        <f t="shared" si="213"/>
        <v>0.79961034880606552</v>
      </c>
      <c r="BL120" s="64">
        <f t="shared" si="213"/>
        <v>0.78256401964643918</v>
      </c>
      <c r="BM120" s="64">
        <f t="shared" si="213"/>
        <v>0.78821695739879771</v>
      </c>
      <c r="BN120" s="64">
        <f t="shared" si="213"/>
        <v>0.79124020980503329</v>
      </c>
      <c r="BO120" s="67">
        <f t="shared" si="213"/>
        <v>0.78740674363355978</v>
      </c>
      <c r="BP120" s="64">
        <f t="shared" si="213"/>
        <v>0.78625060398822244</v>
      </c>
      <c r="BQ120" s="64">
        <f t="shared" si="213"/>
        <v>0.77735466709616874</v>
      </c>
      <c r="BR120" s="64">
        <f t="shared" si="213"/>
        <v>0.77226190712359655</v>
      </c>
      <c r="BS120" s="64">
        <f t="shared" ref="BS120:CW120" si="214">BS112/BS$117</f>
        <v>0.78014275358642304</v>
      </c>
      <c r="BT120" s="67">
        <f t="shared" si="214"/>
        <v>0.78027395382179654</v>
      </c>
      <c r="BU120" s="64">
        <f t="shared" si="214"/>
        <v>0.77768202084239479</v>
      </c>
      <c r="BV120" s="64">
        <f t="shared" si="214"/>
        <v>0.78122669358395058</v>
      </c>
      <c r="BW120" s="64">
        <f t="shared" si="214"/>
        <v>0.79776727512717083</v>
      </c>
      <c r="BX120" s="64">
        <f t="shared" si="214"/>
        <v>0.78464884737458096</v>
      </c>
      <c r="BY120" s="67">
        <f t="shared" si="214"/>
        <v>0.79511776966591852</v>
      </c>
      <c r="BZ120" s="64">
        <f t="shared" si="214"/>
        <v>0.79932765900558156</v>
      </c>
      <c r="CA120" s="64">
        <f t="shared" si="214"/>
        <v>0.79543032466241792</v>
      </c>
      <c r="CB120" s="64">
        <f t="shared" si="214"/>
        <v>0.78834163580508321</v>
      </c>
      <c r="CC120" s="405">
        <f t="shared" si="214"/>
        <v>0.79443003389926481</v>
      </c>
      <c r="CD120" s="64">
        <f t="shared" si="214"/>
        <v>0.78297681342163106</v>
      </c>
      <c r="CE120" s="64">
        <f t="shared" si="214"/>
        <v>0.7761257426292314</v>
      </c>
      <c r="CF120" s="64">
        <f t="shared" si="214"/>
        <v>0.77332836598325116</v>
      </c>
      <c r="CG120" s="64">
        <f t="shared" si="214"/>
        <v>0.77156028814411293</v>
      </c>
      <c r="CH120" s="405">
        <f t="shared" si="214"/>
        <v>0.77574583105709938</v>
      </c>
      <c r="CI120" s="64">
        <f t="shared" si="214"/>
        <v>0.75803765602630158</v>
      </c>
      <c r="CJ120" s="64">
        <f t="shared" si="214"/>
        <v>0.76618195426948688</v>
      </c>
      <c r="CK120" s="64">
        <f t="shared" si="214"/>
        <v>0.76761801295539844</v>
      </c>
      <c r="CL120" s="64">
        <f t="shared" si="214"/>
        <v>0.77139685080195219</v>
      </c>
      <c r="CM120" s="405">
        <f t="shared" si="214"/>
        <v>0.76597161228632926</v>
      </c>
      <c r="CN120" s="64">
        <f t="shared" si="214"/>
        <v>0.78725012021707763</v>
      </c>
      <c r="CO120" s="64">
        <f t="shared" si="214"/>
        <v>0.78567955657839283</v>
      </c>
      <c r="CP120" s="64">
        <f t="shared" si="214"/>
        <v>0.78776278631942265</v>
      </c>
      <c r="CQ120" s="64">
        <f t="shared" si="214"/>
        <v>0.7835730858468678</v>
      </c>
      <c r="CR120" s="405">
        <f t="shared" si="214"/>
        <v>0.78603414948453609</v>
      </c>
      <c r="CS120" s="64">
        <f t="shared" si="214"/>
        <v>0.77991880074953146</v>
      </c>
      <c r="CT120" s="64">
        <f t="shared" si="214"/>
        <v>0.77868779489005602</v>
      </c>
      <c r="CU120" s="64">
        <f t="shared" si="214"/>
        <v>0.78460558322715157</v>
      </c>
      <c r="CV120" s="64">
        <f t="shared" si="214"/>
        <v>0.78422876949740039</v>
      </c>
      <c r="CW120" s="405">
        <f t="shared" si="214"/>
        <v>0.78191753601589675</v>
      </c>
      <c r="CX120" s="64">
        <f t="shared" ref="CX120:CY124" si="215">CX112/CX$117</f>
        <v>0.77862380146644106</v>
      </c>
      <c r="CY120" s="64">
        <f t="shared" si="215"/>
        <v>0.77683923705722069</v>
      </c>
      <c r="CZ120" s="64">
        <f t="shared" ref="CZ120:DA120" si="216">CZ112/CZ$117</f>
        <v>0.76765799256505574</v>
      </c>
      <c r="DA120" s="64">
        <f t="shared" si="216"/>
        <v>0.76985370950888188</v>
      </c>
      <c r="DB120" s="405"/>
      <c r="DC120" s="64"/>
      <c r="DD120" s="64"/>
      <c r="DE120" s="64"/>
      <c r="DF120" s="64"/>
      <c r="DG120" s="405"/>
      <c r="DH120" s="64"/>
      <c r="DI120" s="64"/>
      <c r="DJ120" s="64"/>
      <c r="DK120" s="64"/>
      <c r="DL120" s="405"/>
      <c r="DM120" s="64"/>
      <c r="DN120" s="64"/>
      <c r="DO120" s="64"/>
      <c r="DP120" s="64"/>
      <c r="DQ120" s="405"/>
      <c r="DR120" s="67"/>
      <c r="DS120" s="64"/>
      <c r="DT120"/>
      <c r="DU120"/>
      <c r="DV120"/>
      <c r="DW120"/>
      <c r="DX120"/>
      <c r="DY120"/>
    </row>
    <row r="121" spans="1:129" s="184" customFormat="1" hidden="1" outlineLevel="1">
      <c r="A121" s="680"/>
      <c r="B121" s="639"/>
      <c r="C121" s="640" t="s">
        <v>29</v>
      </c>
      <c r="D121" s="640"/>
      <c r="E121" s="640"/>
      <c r="F121" s="640"/>
      <c r="G121" s="67">
        <f t="shared" ref="G121:AL121" si="217">G113/G$117</f>
        <v>0.15725727681187734</v>
      </c>
      <c r="H121" s="64">
        <f t="shared" si="217"/>
        <v>0.1724029049573729</v>
      </c>
      <c r="I121" s="64">
        <f t="shared" si="217"/>
        <v>0.18506172839506174</v>
      </c>
      <c r="J121" s="64">
        <f t="shared" si="217"/>
        <v>0.18917948717948713</v>
      </c>
      <c r="K121" s="64">
        <f t="shared" si="217"/>
        <v>0.17883834419683992</v>
      </c>
      <c r="L121" s="67">
        <f t="shared" si="217"/>
        <v>0.20385782825810242</v>
      </c>
      <c r="M121" s="64">
        <f t="shared" si="217"/>
        <v>0.22685831240115356</v>
      </c>
      <c r="N121" s="64">
        <f t="shared" si="217"/>
        <v>0.18770764119601327</v>
      </c>
      <c r="O121" s="64">
        <f t="shared" si="217"/>
        <v>0.16665283770328573</v>
      </c>
      <c r="P121" s="64">
        <f t="shared" si="217"/>
        <v>0.19517681994061006</v>
      </c>
      <c r="Q121" s="67">
        <f t="shared" si="217"/>
        <v>0.15578130772072404</v>
      </c>
      <c r="R121" s="64">
        <f t="shared" si="217"/>
        <v>0.16785635671834218</v>
      </c>
      <c r="S121" s="64">
        <f t="shared" si="217"/>
        <v>0.14902848519147333</v>
      </c>
      <c r="T121" s="64">
        <f t="shared" si="217"/>
        <v>0.14308333130343703</v>
      </c>
      <c r="U121" s="64">
        <f t="shared" si="217"/>
        <v>0.15295079215651936</v>
      </c>
      <c r="V121" s="67">
        <f t="shared" si="217"/>
        <v>0.13434245691641322</v>
      </c>
      <c r="W121" s="64">
        <f t="shared" si="217"/>
        <v>0.12567439607143643</v>
      </c>
      <c r="X121" s="64">
        <f t="shared" si="217"/>
        <v>0.12450002197705595</v>
      </c>
      <c r="Y121" s="64">
        <f t="shared" si="217"/>
        <v>0.16147810680840294</v>
      </c>
      <c r="Z121" s="64">
        <f t="shared" si="217"/>
        <v>0.13624295469630662</v>
      </c>
      <c r="AA121" s="67">
        <f t="shared" si="217"/>
        <v>0.11969710007744599</v>
      </c>
      <c r="AB121" s="64">
        <f t="shared" si="217"/>
        <v>0.12511497847602929</v>
      </c>
      <c r="AC121" s="64">
        <f t="shared" si="217"/>
        <v>0.13102412098051702</v>
      </c>
      <c r="AD121" s="64">
        <f t="shared" si="217"/>
        <v>0.11189207742012508</v>
      </c>
      <c r="AE121" s="64">
        <f t="shared" si="217"/>
        <v>0.12172721161485207</v>
      </c>
      <c r="AF121" s="67">
        <f t="shared" si="217"/>
        <v>0.11066079768103497</v>
      </c>
      <c r="AG121" s="64">
        <f t="shared" si="217"/>
        <v>0.10435011321272557</v>
      </c>
      <c r="AH121" s="64">
        <f t="shared" si="217"/>
        <v>0.10348482840863918</v>
      </c>
      <c r="AI121" s="64">
        <f t="shared" si="217"/>
        <v>0.11682908337802099</v>
      </c>
      <c r="AJ121" s="64">
        <f t="shared" si="217"/>
        <v>0.10906197468436933</v>
      </c>
      <c r="AK121" s="67">
        <f t="shared" si="217"/>
        <v>0.12306253340459648</v>
      </c>
      <c r="AL121" s="64">
        <f t="shared" si="217"/>
        <v>0.1227229146692234</v>
      </c>
      <c r="AM121" s="64">
        <f t="shared" ref="AM121:BR121" si="218">AM113/AM$117</f>
        <v>0.1335336391535685</v>
      </c>
      <c r="AN121" s="64">
        <f t="shared" si="218"/>
        <v>0.12265237497178505</v>
      </c>
      <c r="AO121" s="64">
        <f t="shared" si="218"/>
        <v>0.12563557552503693</v>
      </c>
      <c r="AP121" s="67">
        <f t="shared" si="218"/>
        <v>0.1297879249894045</v>
      </c>
      <c r="AQ121" s="64">
        <f t="shared" si="218"/>
        <v>0.11814690781300927</v>
      </c>
      <c r="AR121" s="64">
        <f t="shared" si="218"/>
        <v>0.11157954622647917</v>
      </c>
      <c r="AS121" s="64">
        <f t="shared" si="218"/>
        <v>0.11223345867295703</v>
      </c>
      <c r="AT121" s="64">
        <f t="shared" si="218"/>
        <v>0.1170732533330323</v>
      </c>
      <c r="AU121" s="67">
        <f t="shared" si="218"/>
        <v>0.12298277631629648</v>
      </c>
      <c r="AV121" s="64">
        <f t="shared" si="218"/>
        <v>0.12591587597525203</v>
      </c>
      <c r="AW121" s="64">
        <f t="shared" si="218"/>
        <v>0.13008778296364185</v>
      </c>
      <c r="AX121" s="64">
        <f t="shared" si="218"/>
        <v>0.1348514478241406</v>
      </c>
      <c r="AY121" s="64">
        <f t="shared" si="218"/>
        <v>0.12909658090793369</v>
      </c>
      <c r="AZ121" s="67">
        <f t="shared" si="218"/>
        <v>0.14044365263866859</v>
      </c>
      <c r="BA121" s="64">
        <f t="shared" si="218"/>
        <v>0.14684403520524128</v>
      </c>
      <c r="BB121" s="64">
        <f t="shared" si="218"/>
        <v>0.16855898947278009</v>
      </c>
      <c r="BC121" s="64">
        <f t="shared" si="218"/>
        <v>0.18031322296968449</v>
      </c>
      <c r="BD121" s="64">
        <f t="shared" si="218"/>
        <v>0.16054958449168538</v>
      </c>
      <c r="BE121" s="67">
        <f t="shared" si="218"/>
        <v>0.18845260345883877</v>
      </c>
      <c r="BF121" s="64">
        <f t="shared" si="218"/>
        <v>0.20274223221437149</v>
      </c>
      <c r="BG121" s="64">
        <f t="shared" si="218"/>
        <v>0.1973905918669</v>
      </c>
      <c r="BH121" s="64">
        <f t="shared" si="218"/>
        <v>0.18053901161285191</v>
      </c>
      <c r="BI121" s="64">
        <f t="shared" si="218"/>
        <v>0.19214616035768867</v>
      </c>
      <c r="BJ121" s="67">
        <f t="shared" si="218"/>
        <v>0.18237690082079527</v>
      </c>
      <c r="BK121" s="64">
        <f t="shared" si="218"/>
        <v>0.1786510806189093</v>
      </c>
      <c r="BL121" s="64">
        <f t="shared" si="218"/>
        <v>0.19251002943216544</v>
      </c>
      <c r="BM121" s="64">
        <f t="shared" si="218"/>
        <v>0.18580713199316293</v>
      </c>
      <c r="BN121" s="64">
        <f t="shared" si="218"/>
        <v>0.18507666082180449</v>
      </c>
      <c r="BO121" s="67">
        <f t="shared" si="218"/>
        <v>0.18091943483516024</v>
      </c>
      <c r="BP121" s="64">
        <f t="shared" si="218"/>
        <v>0.18112407863519472</v>
      </c>
      <c r="BQ121" s="64">
        <f t="shared" si="218"/>
        <v>0.18873904708060477</v>
      </c>
      <c r="BR121" s="64">
        <f t="shared" si="218"/>
        <v>0.19234977514149984</v>
      </c>
      <c r="BS121" s="64">
        <f t="shared" ref="BS121:CW121" si="219">BS113/BS$117</f>
        <v>0.18630281537561388</v>
      </c>
      <c r="BT121" s="67">
        <f t="shared" si="219"/>
        <v>0.18660743130552859</v>
      </c>
      <c r="BU121" s="64">
        <f t="shared" si="219"/>
        <v>0.18632653803218602</v>
      </c>
      <c r="BV121" s="64">
        <f t="shared" si="219"/>
        <v>0.18152051839090941</v>
      </c>
      <c r="BW121" s="64">
        <f t="shared" si="219"/>
        <v>0.16483852024424975</v>
      </c>
      <c r="BX121" s="64">
        <f t="shared" si="219"/>
        <v>0.17929211410393725</v>
      </c>
      <c r="BY121" s="67">
        <f t="shared" si="219"/>
        <v>0.16590712940493144</v>
      </c>
      <c r="BZ121" s="64">
        <f t="shared" si="219"/>
        <v>0.15746315214848319</v>
      </c>
      <c r="CA121" s="64">
        <f t="shared" si="219"/>
        <v>0.15998832788493667</v>
      </c>
      <c r="CB121" s="64">
        <f t="shared" si="219"/>
        <v>0.16745379745048675</v>
      </c>
      <c r="CC121" s="405">
        <f t="shared" si="219"/>
        <v>0.16272981098954709</v>
      </c>
      <c r="CD121" s="64">
        <f t="shared" si="219"/>
        <v>0.17234099621029542</v>
      </c>
      <c r="CE121" s="64">
        <f t="shared" si="219"/>
        <v>0.17916936573448577</v>
      </c>
      <c r="CF121" s="64">
        <f t="shared" si="219"/>
        <v>0.17983773419443708</v>
      </c>
      <c r="CG121" s="64">
        <f t="shared" si="219"/>
        <v>0.1821554599301716</v>
      </c>
      <c r="CH121" s="405">
        <f t="shared" si="219"/>
        <v>0.17857867789549672</v>
      </c>
      <c r="CI121" s="64">
        <f t="shared" si="219"/>
        <v>0.19408648138087503</v>
      </c>
      <c r="CJ121" s="64">
        <f t="shared" si="219"/>
        <v>0.18523305049394262</v>
      </c>
      <c r="CK121" s="64">
        <f t="shared" si="219"/>
        <v>0.18291838579408284</v>
      </c>
      <c r="CL121" s="64">
        <f t="shared" si="219"/>
        <v>0.17849287842412356</v>
      </c>
      <c r="CM121" s="405">
        <f t="shared" si="219"/>
        <v>0.18499067135686703</v>
      </c>
      <c r="CN121" s="64">
        <f t="shared" si="219"/>
        <v>0.16346087792814454</v>
      </c>
      <c r="CO121" s="64">
        <f t="shared" si="219"/>
        <v>0.16281481961686817</v>
      </c>
      <c r="CP121" s="64">
        <f t="shared" si="219"/>
        <v>0.15974270473799812</v>
      </c>
      <c r="CQ121" s="64">
        <f t="shared" si="219"/>
        <v>0.1611446249033256</v>
      </c>
      <c r="CR121" s="405">
        <f t="shared" si="219"/>
        <v>0.16174291237113403</v>
      </c>
      <c r="CS121" s="64">
        <f t="shared" si="219"/>
        <v>0.16408494690818234</v>
      </c>
      <c r="CT121" s="64">
        <f t="shared" si="219"/>
        <v>0.16237870559957271</v>
      </c>
      <c r="CU121" s="64">
        <f t="shared" si="219"/>
        <v>0.15571064519865632</v>
      </c>
      <c r="CV121" s="64">
        <f t="shared" si="219"/>
        <v>0.15453495089543617</v>
      </c>
      <c r="CW121" s="405">
        <f t="shared" si="219"/>
        <v>0.1590631047445337</v>
      </c>
      <c r="CX121" s="64">
        <f t="shared" si="215"/>
        <v>0.15764241398759166</v>
      </c>
      <c r="CY121" s="64">
        <f t="shared" si="215"/>
        <v>0.15776566757493188</v>
      </c>
      <c r="CZ121" s="64">
        <f t="shared" ref="CZ121:DA121" si="220">CZ113/CZ$117</f>
        <v>0.16675517790759425</v>
      </c>
      <c r="DA121" s="64">
        <f t="shared" si="220"/>
        <v>0.16509926854754442</v>
      </c>
      <c r="DB121" s="405"/>
      <c r="DC121" s="64"/>
      <c r="DD121" s="64"/>
      <c r="DE121" s="64"/>
      <c r="DF121" s="64"/>
      <c r="DG121" s="405"/>
      <c r="DH121" s="64"/>
      <c r="DI121" s="64"/>
      <c r="DJ121" s="64"/>
      <c r="DK121" s="64"/>
      <c r="DL121" s="405"/>
      <c r="DM121" s="64"/>
      <c r="DN121" s="64"/>
      <c r="DO121" s="64"/>
      <c r="DP121" s="64"/>
      <c r="DQ121" s="405"/>
      <c r="DR121" s="67"/>
      <c r="DS121" s="64"/>
      <c r="DT121"/>
      <c r="DU121"/>
      <c r="DV121"/>
      <c r="DW121"/>
      <c r="DX121"/>
      <c r="DY121"/>
    </row>
    <row r="122" spans="1:129" s="184" customFormat="1" hidden="1" outlineLevel="1">
      <c r="A122" s="680"/>
      <c r="B122" s="639"/>
      <c r="C122" s="640"/>
      <c r="D122" s="640" t="s">
        <v>31</v>
      </c>
      <c r="E122" s="640"/>
      <c r="F122" s="640"/>
      <c r="G122" s="67">
        <f t="shared" ref="G122:AL122" si="221">G114/G$117</f>
        <v>0</v>
      </c>
      <c r="H122" s="64">
        <f t="shared" si="221"/>
        <v>0</v>
      </c>
      <c r="I122" s="64">
        <f t="shared" si="221"/>
        <v>0</v>
      </c>
      <c r="J122" s="64">
        <f t="shared" si="221"/>
        <v>0</v>
      </c>
      <c r="K122" s="64">
        <f t="shared" si="221"/>
        <v>0</v>
      </c>
      <c r="L122" s="67">
        <f t="shared" si="221"/>
        <v>0</v>
      </c>
      <c r="M122" s="64">
        <f t="shared" si="221"/>
        <v>0</v>
      </c>
      <c r="N122" s="64">
        <f t="shared" si="221"/>
        <v>0</v>
      </c>
      <c r="O122" s="64">
        <f t="shared" si="221"/>
        <v>0</v>
      </c>
      <c r="P122" s="64">
        <f t="shared" si="221"/>
        <v>0</v>
      </c>
      <c r="Q122" s="67">
        <f t="shared" si="221"/>
        <v>0</v>
      </c>
      <c r="R122" s="64">
        <f t="shared" si="221"/>
        <v>0</v>
      </c>
      <c r="S122" s="64">
        <f t="shared" si="221"/>
        <v>0</v>
      </c>
      <c r="T122" s="64">
        <f t="shared" si="221"/>
        <v>0</v>
      </c>
      <c r="U122" s="64">
        <f t="shared" si="221"/>
        <v>0</v>
      </c>
      <c r="V122" s="67">
        <f t="shared" si="221"/>
        <v>0</v>
      </c>
      <c r="W122" s="64">
        <f t="shared" si="221"/>
        <v>0</v>
      </c>
      <c r="X122" s="64">
        <f t="shared" si="221"/>
        <v>0</v>
      </c>
      <c r="Y122" s="64">
        <f t="shared" si="221"/>
        <v>0</v>
      </c>
      <c r="Z122" s="64">
        <f t="shared" si="221"/>
        <v>0</v>
      </c>
      <c r="AA122" s="67">
        <f t="shared" si="221"/>
        <v>0</v>
      </c>
      <c r="AB122" s="64">
        <f t="shared" si="221"/>
        <v>0</v>
      </c>
      <c r="AC122" s="64">
        <f t="shared" si="221"/>
        <v>0</v>
      </c>
      <c r="AD122" s="64">
        <f t="shared" si="221"/>
        <v>0</v>
      </c>
      <c r="AE122" s="64">
        <f t="shared" si="221"/>
        <v>0</v>
      </c>
      <c r="AF122" s="67">
        <f t="shared" si="221"/>
        <v>0</v>
      </c>
      <c r="AG122" s="64">
        <f t="shared" si="221"/>
        <v>0</v>
      </c>
      <c r="AH122" s="64">
        <f t="shared" si="221"/>
        <v>0</v>
      </c>
      <c r="AI122" s="64">
        <f t="shared" si="221"/>
        <v>0</v>
      </c>
      <c r="AJ122" s="64">
        <f t="shared" si="221"/>
        <v>0</v>
      </c>
      <c r="AK122" s="67">
        <f t="shared" si="221"/>
        <v>0.11188869588455372</v>
      </c>
      <c r="AL122" s="64">
        <f t="shared" si="221"/>
        <v>0.1065391186499326</v>
      </c>
      <c r="AM122" s="64">
        <f t="shared" ref="AM122:BR122" si="222">AM114/AM$117</f>
        <v>0.10885356014643342</v>
      </c>
      <c r="AN122" s="64">
        <f t="shared" si="222"/>
        <v>9.3337809134106151E-2</v>
      </c>
      <c r="AO122" s="64">
        <f t="shared" si="222"/>
        <v>0.10435625979037726</v>
      </c>
      <c r="AP122" s="67">
        <f t="shared" si="222"/>
        <v>9.7770267666954722E-2</v>
      </c>
      <c r="AQ122" s="64">
        <f t="shared" si="222"/>
        <v>9.3637080737420372E-2</v>
      </c>
      <c r="AR122" s="64">
        <f t="shared" si="222"/>
        <v>8.7808233136335845E-2</v>
      </c>
      <c r="AS122" s="64">
        <f t="shared" si="222"/>
        <v>8.7835049941222751E-2</v>
      </c>
      <c r="AT122" s="64">
        <f t="shared" si="222"/>
        <v>9.1252271880609151E-2</v>
      </c>
      <c r="AU122" s="67">
        <f t="shared" si="222"/>
        <v>9.5383548352067929E-2</v>
      </c>
      <c r="AV122" s="64">
        <f t="shared" si="222"/>
        <v>9.5242195014784647E-2</v>
      </c>
      <c r="AW122" s="64">
        <f t="shared" si="222"/>
        <v>9.5324246004206387E-2</v>
      </c>
      <c r="AX122" s="64">
        <f t="shared" si="222"/>
        <v>9.33675753363334E-2</v>
      </c>
      <c r="AY122" s="64">
        <f t="shared" si="222"/>
        <v>9.4733641936518911E-2</v>
      </c>
      <c r="AZ122" s="67">
        <f t="shared" si="222"/>
        <v>9.1900406283268524E-2</v>
      </c>
      <c r="BA122" s="64">
        <f t="shared" si="222"/>
        <v>9.2979086723689958E-2</v>
      </c>
      <c r="BB122" s="64">
        <f t="shared" si="222"/>
        <v>0.10713141756898702</v>
      </c>
      <c r="BC122" s="64">
        <f t="shared" si="222"/>
        <v>0.11806865836828039</v>
      </c>
      <c r="BD122" s="64">
        <f t="shared" si="222"/>
        <v>0.10349849244489898</v>
      </c>
      <c r="BE122" s="67">
        <f t="shared" si="222"/>
        <v>0.11682833001091575</v>
      </c>
      <c r="BF122" s="64">
        <f t="shared" si="222"/>
        <v>0.11969181254896583</v>
      </c>
      <c r="BG122" s="64">
        <f t="shared" si="222"/>
        <v>0.12061775410152897</v>
      </c>
      <c r="BH122" s="64">
        <f t="shared" si="222"/>
        <v>0.10915815123930181</v>
      </c>
      <c r="BI122" s="64">
        <f t="shared" si="222"/>
        <v>0.11646292445701885</v>
      </c>
      <c r="BJ122" s="67">
        <f t="shared" si="222"/>
        <v>0.10777060635881706</v>
      </c>
      <c r="BK122" s="64">
        <f t="shared" si="222"/>
        <v>0.10121659764715578</v>
      </c>
      <c r="BL122" s="64">
        <f t="shared" si="222"/>
        <v>0.1135212211536659</v>
      </c>
      <c r="BM122" s="64">
        <f t="shared" si="222"/>
        <v>0.10811313794627578</v>
      </c>
      <c r="BN122" s="64">
        <f t="shared" si="222"/>
        <v>0.1078094942969131</v>
      </c>
      <c r="BO122" s="67">
        <f t="shared" si="222"/>
        <v>0.11109594465052305</v>
      </c>
      <c r="BP122" s="64">
        <f t="shared" si="222"/>
        <v>0.11794283873559704</v>
      </c>
      <c r="BQ122" s="64">
        <f t="shared" si="222"/>
        <v>0.12614295352256077</v>
      </c>
      <c r="BR122" s="64">
        <f t="shared" si="222"/>
        <v>0.12881561297785291</v>
      </c>
      <c r="BS122" s="64">
        <f t="shared" ref="BS122:CW122" si="223">BS114/BS$117</f>
        <v>0.12178781022252252</v>
      </c>
      <c r="BT122" s="67">
        <f t="shared" si="223"/>
        <v>0.11876437098040989</v>
      </c>
      <c r="BU122" s="64">
        <f t="shared" si="223"/>
        <v>0.11871129418640194</v>
      </c>
      <c r="BV122" s="64">
        <f t="shared" si="223"/>
        <v>0.1147671950599455</v>
      </c>
      <c r="BW122" s="64">
        <f t="shared" si="223"/>
        <v>0.10575479937272611</v>
      </c>
      <c r="BX122" s="64">
        <f t="shared" si="223"/>
        <v>0.11417010120310611</v>
      </c>
      <c r="BY122" s="67">
        <f t="shared" si="223"/>
        <v>0.10537651875800905</v>
      </c>
      <c r="BZ122" s="64">
        <f t="shared" si="223"/>
        <v>0.10192622631209544</v>
      </c>
      <c r="CA122" s="64">
        <f t="shared" si="223"/>
        <v>0.10336694000279117</v>
      </c>
      <c r="CB122" s="64">
        <f t="shared" si="223"/>
        <v>0.10577990622184924</v>
      </c>
      <c r="CC122" s="405">
        <f t="shared" si="223"/>
        <v>0.10412290416406679</v>
      </c>
      <c r="CD122" s="64">
        <f t="shared" si="223"/>
        <v>0.1070935470110425</v>
      </c>
      <c r="CE122" s="64">
        <f t="shared" si="223"/>
        <v>0.1081994595695064</v>
      </c>
      <c r="CF122" s="64">
        <f t="shared" si="223"/>
        <v>0.10686322684901872</v>
      </c>
      <c r="CG122" s="64">
        <f t="shared" si="223"/>
        <v>0.10440681506337542</v>
      </c>
      <c r="CH122" s="405">
        <f t="shared" si="223"/>
        <v>0.10658813240336715</v>
      </c>
      <c r="CI122" s="64">
        <f t="shared" si="223"/>
        <v>0.11456900494891732</v>
      </c>
      <c r="CJ122" s="64">
        <f t="shared" si="223"/>
        <v>0.10568099562431917</v>
      </c>
      <c r="CK122" s="64">
        <f t="shared" si="223"/>
        <v>0.10732081910601628</v>
      </c>
      <c r="CL122" s="64">
        <f t="shared" si="223"/>
        <v>0.10469035891540146</v>
      </c>
      <c r="CM122" s="405">
        <f t="shared" si="223"/>
        <v>0.10795219562680754</v>
      </c>
      <c r="CN122" s="64">
        <f t="shared" si="223"/>
        <v>9.7925396716356403E-2</v>
      </c>
      <c r="CO122" s="64">
        <f t="shared" si="223"/>
        <v>9.6463647855823148E-2</v>
      </c>
      <c r="CP122" s="64">
        <f t="shared" si="223"/>
        <v>9.4101035456542192E-2</v>
      </c>
      <c r="CQ122" s="64">
        <f t="shared" si="223"/>
        <v>9.4632637277648868E-2</v>
      </c>
      <c r="CR122" s="405">
        <f t="shared" si="223"/>
        <v>9.5723260309278357E-2</v>
      </c>
      <c r="CS122" s="64">
        <f t="shared" si="223"/>
        <v>9.3316677076826976E-2</v>
      </c>
      <c r="CT122" s="64">
        <f t="shared" si="223"/>
        <v>9.2198581560283682E-2</v>
      </c>
      <c r="CU122" s="64">
        <f t="shared" si="223"/>
        <v>8.4848835862388505E-2</v>
      </c>
      <c r="CV122" s="64">
        <f t="shared" si="223"/>
        <v>7.8856152512998268E-2</v>
      </c>
      <c r="CW122" s="405">
        <f t="shared" si="223"/>
        <v>8.7157357771500188E-2</v>
      </c>
      <c r="CX122" s="64">
        <f t="shared" si="215"/>
        <v>7.7270163564579802E-2</v>
      </c>
      <c r="CY122" s="64">
        <f t="shared" si="215"/>
        <v>7.8474114441416901E-2</v>
      </c>
      <c r="CZ122" s="64">
        <f t="shared" ref="CZ122:DA122" si="224">CZ114/CZ$117</f>
        <v>7.9925650557620811E-2</v>
      </c>
      <c r="DA122" s="64">
        <f t="shared" si="224"/>
        <v>7.4973876698014627E-2</v>
      </c>
      <c r="DB122" s="405"/>
      <c r="DC122" s="64"/>
      <c r="DD122" s="64"/>
      <c r="DE122" s="64"/>
      <c r="DF122" s="64"/>
      <c r="DG122" s="405"/>
      <c r="DH122" s="64"/>
      <c r="DI122" s="64"/>
      <c r="DJ122" s="64"/>
      <c r="DK122" s="64"/>
      <c r="DL122" s="405"/>
      <c r="DM122" s="64"/>
      <c r="DN122" s="64"/>
      <c r="DO122" s="64"/>
      <c r="DP122" s="64"/>
      <c r="DQ122" s="405"/>
      <c r="DR122" s="67"/>
      <c r="DS122" s="64"/>
      <c r="DT122"/>
      <c r="DU122"/>
      <c r="DV122"/>
      <c r="DW122"/>
      <c r="DX122"/>
      <c r="DY122"/>
    </row>
    <row r="123" spans="1:129" s="184" customFormat="1" hidden="1" outlineLevel="1">
      <c r="A123" s="680"/>
      <c r="B123" s="639"/>
      <c r="C123" s="640"/>
      <c r="D123" s="640" t="s">
        <v>32</v>
      </c>
      <c r="E123" s="640"/>
      <c r="F123" s="640"/>
      <c r="G123" s="67">
        <f t="shared" ref="G123:AL123" si="225">G115/G$117</f>
        <v>0</v>
      </c>
      <c r="H123" s="64">
        <f t="shared" si="225"/>
        <v>0</v>
      </c>
      <c r="I123" s="64">
        <f t="shared" si="225"/>
        <v>0</v>
      </c>
      <c r="J123" s="64">
        <f t="shared" si="225"/>
        <v>0</v>
      </c>
      <c r="K123" s="64">
        <f t="shared" si="225"/>
        <v>0</v>
      </c>
      <c r="L123" s="67">
        <f t="shared" si="225"/>
        <v>0</v>
      </c>
      <c r="M123" s="64">
        <f t="shared" si="225"/>
        <v>0</v>
      </c>
      <c r="N123" s="64">
        <f t="shared" si="225"/>
        <v>0</v>
      </c>
      <c r="O123" s="64">
        <f t="shared" si="225"/>
        <v>0</v>
      </c>
      <c r="P123" s="64">
        <f t="shared" si="225"/>
        <v>0</v>
      </c>
      <c r="Q123" s="67">
        <f t="shared" si="225"/>
        <v>0</v>
      </c>
      <c r="R123" s="64">
        <f t="shared" si="225"/>
        <v>0</v>
      </c>
      <c r="S123" s="64">
        <f t="shared" si="225"/>
        <v>0</v>
      </c>
      <c r="T123" s="64">
        <f t="shared" si="225"/>
        <v>0</v>
      </c>
      <c r="U123" s="64">
        <f t="shared" si="225"/>
        <v>0</v>
      </c>
      <c r="V123" s="67">
        <f t="shared" si="225"/>
        <v>0</v>
      </c>
      <c r="W123" s="64">
        <f t="shared" si="225"/>
        <v>0</v>
      </c>
      <c r="X123" s="64">
        <f t="shared" si="225"/>
        <v>0</v>
      </c>
      <c r="Y123" s="64">
        <f t="shared" si="225"/>
        <v>0</v>
      </c>
      <c r="Z123" s="64">
        <f t="shared" si="225"/>
        <v>0</v>
      </c>
      <c r="AA123" s="67">
        <f t="shared" si="225"/>
        <v>0</v>
      </c>
      <c r="AB123" s="64">
        <f t="shared" si="225"/>
        <v>0</v>
      </c>
      <c r="AC123" s="64">
        <f t="shared" si="225"/>
        <v>0</v>
      </c>
      <c r="AD123" s="64">
        <f t="shared" si="225"/>
        <v>0</v>
      </c>
      <c r="AE123" s="64">
        <f t="shared" si="225"/>
        <v>0</v>
      </c>
      <c r="AF123" s="67">
        <f t="shared" si="225"/>
        <v>0</v>
      </c>
      <c r="AG123" s="64">
        <f t="shared" si="225"/>
        <v>0</v>
      </c>
      <c r="AH123" s="64">
        <f t="shared" si="225"/>
        <v>0</v>
      </c>
      <c r="AI123" s="64">
        <f t="shared" si="225"/>
        <v>0</v>
      </c>
      <c r="AJ123" s="64">
        <f t="shared" si="225"/>
        <v>0</v>
      </c>
      <c r="AK123" s="67">
        <f t="shared" si="225"/>
        <v>1.1173837520042766E-2</v>
      </c>
      <c r="AL123" s="64">
        <f t="shared" si="225"/>
        <v>1.6183796019290805E-2</v>
      </c>
      <c r="AM123" s="64">
        <f t="shared" ref="AM123:BR123" si="226">AM115/AM$117</f>
        <v>2.4680079007135081E-2</v>
      </c>
      <c r="AN123" s="64">
        <f t="shared" si="226"/>
        <v>2.9314565837678896E-2</v>
      </c>
      <c r="AO123" s="64">
        <f t="shared" si="226"/>
        <v>2.1279315734659673E-2</v>
      </c>
      <c r="AP123" s="67">
        <f t="shared" si="226"/>
        <v>3.2017657322449766E-2</v>
      </c>
      <c r="AQ123" s="64">
        <f t="shared" si="226"/>
        <v>2.4509827075588894E-2</v>
      </c>
      <c r="AR123" s="64">
        <f t="shared" si="226"/>
        <v>2.3771313090143333E-2</v>
      </c>
      <c r="AS123" s="64">
        <f t="shared" si="226"/>
        <v>2.4398408731734274E-2</v>
      </c>
      <c r="AT123" s="64">
        <f t="shared" si="226"/>
        <v>2.5820981452423144E-2</v>
      </c>
      <c r="AU123" s="67">
        <f t="shared" si="226"/>
        <v>2.7599227964228548E-2</v>
      </c>
      <c r="AV123" s="64">
        <f t="shared" si="226"/>
        <v>3.0673680960467388E-2</v>
      </c>
      <c r="AW123" s="64">
        <f t="shared" si="226"/>
        <v>3.4763536959435466E-2</v>
      </c>
      <c r="AX123" s="64">
        <f t="shared" si="226"/>
        <v>4.1483872487807209E-2</v>
      </c>
      <c r="AY123" s="64">
        <f t="shared" si="226"/>
        <v>3.4362938971414771E-2</v>
      </c>
      <c r="AZ123" s="67">
        <f t="shared" si="226"/>
        <v>4.8543246355400083E-2</v>
      </c>
      <c r="BA123" s="64">
        <f t="shared" si="226"/>
        <v>5.3864948481551315E-2</v>
      </c>
      <c r="BB123" s="64">
        <f t="shared" si="226"/>
        <v>6.1427571903793061E-2</v>
      </c>
      <c r="BC123" s="64">
        <f t="shared" si="226"/>
        <v>6.2244564601404102E-2</v>
      </c>
      <c r="BD123" s="64">
        <f t="shared" si="226"/>
        <v>5.705109204678642E-2</v>
      </c>
      <c r="BE123" s="67">
        <f t="shared" si="226"/>
        <v>7.1624273447923034E-2</v>
      </c>
      <c r="BF123" s="64">
        <f t="shared" si="226"/>
        <v>8.3050419665405648E-2</v>
      </c>
      <c r="BG123" s="64">
        <f t="shared" si="226"/>
        <v>7.6772837765371013E-2</v>
      </c>
      <c r="BH123" s="64">
        <f t="shared" si="226"/>
        <v>7.1380860373550112E-2</v>
      </c>
      <c r="BI123" s="64">
        <f t="shared" si="226"/>
        <v>7.5683235900669832E-2</v>
      </c>
      <c r="BJ123" s="67">
        <f t="shared" si="226"/>
        <v>7.4606294461978209E-2</v>
      </c>
      <c r="BK123" s="64">
        <f t="shared" si="226"/>
        <v>7.743448297175351E-2</v>
      </c>
      <c r="BL123" s="64">
        <f t="shared" si="226"/>
        <v>7.8988808278499537E-2</v>
      </c>
      <c r="BM123" s="64">
        <f t="shared" si="226"/>
        <v>7.7693994046887135E-2</v>
      </c>
      <c r="BN123" s="64">
        <f t="shared" si="226"/>
        <v>7.7267166524891392E-2</v>
      </c>
      <c r="BO123" s="67">
        <f t="shared" si="226"/>
        <v>6.9823490184637182E-2</v>
      </c>
      <c r="BP123" s="64">
        <f t="shared" si="226"/>
        <v>6.3181239899597688E-2</v>
      </c>
      <c r="BQ123" s="64">
        <f t="shared" si="226"/>
        <v>6.2596093558044005E-2</v>
      </c>
      <c r="BR123" s="64">
        <f t="shared" si="226"/>
        <v>6.3534162163646948E-2</v>
      </c>
      <c r="BS123" s="64">
        <f t="shared" ref="BS123:CW123" si="227">BS115/BS$117</f>
        <v>6.4515005153091345E-2</v>
      </c>
      <c r="BT123" s="67">
        <f t="shared" si="227"/>
        <v>6.7843060325118706E-2</v>
      </c>
      <c r="BU123" s="64">
        <f t="shared" si="227"/>
        <v>6.7615243845784059E-2</v>
      </c>
      <c r="BV123" s="64">
        <f t="shared" si="227"/>
        <v>6.6753323330963898E-2</v>
      </c>
      <c r="BW123" s="64">
        <f t="shared" si="227"/>
        <v>5.908372087152363E-2</v>
      </c>
      <c r="BX123" s="64">
        <f t="shared" si="227"/>
        <v>6.5122012900831139E-2</v>
      </c>
      <c r="BY123" s="67">
        <f t="shared" si="227"/>
        <v>6.0530610646922403E-2</v>
      </c>
      <c r="BZ123" s="64">
        <f t="shared" si="227"/>
        <v>5.5536925836387738E-2</v>
      </c>
      <c r="CA123" s="64">
        <f t="shared" si="227"/>
        <v>5.6621387882145484E-2</v>
      </c>
      <c r="CB123" s="64">
        <f t="shared" si="227"/>
        <v>6.1673891228637506E-2</v>
      </c>
      <c r="CC123" s="405">
        <f t="shared" si="227"/>
        <v>5.8606906825480309E-2</v>
      </c>
      <c r="CD123" s="64">
        <f t="shared" si="227"/>
        <v>6.5247449199252947E-2</v>
      </c>
      <c r="CE123" s="64">
        <f t="shared" si="227"/>
        <v>7.0969906164979377E-2</v>
      </c>
      <c r="CF123" s="64">
        <f t="shared" si="227"/>
        <v>7.2974507345418327E-2</v>
      </c>
      <c r="CG123" s="64">
        <f t="shared" si="227"/>
        <v>7.7748644866796182E-2</v>
      </c>
      <c r="CH123" s="405">
        <f t="shared" si="227"/>
        <v>7.199054549212959E-2</v>
      </c>
      <c r="CI123" s="64">
        <f t="shared" si="227"/>
        <v>7.9517476431957737E-2</v>
      </c>
      <c r="CJ123" s="64">
        <f t="shared" si="227"/>
        <v>7.9552054869623468E-2</v>
      </c>
      <c r="CK123" s="64">
        <f t="shared" si="227"/>
        <v>7.5597566688066567E-2</v>
      </c>
      <c r="CL123" s="64">
        <f t="shared" si="227"/>
        <v>7.3802519508722103E-2</v>
      </c>
      <c r="CM123" s="405">
        <f t="shared" si="227"/>
        <v>7.7038475730059508E-2</v>
      </c>
      <c r="CN123" s="64">
        <f t="shared" si="227"/>
        <v>6.5535481211788149E-2</v>
      </c>
      <c r="CO123" s="64">
        <f t="shared" si="227"/>
        <v>6.6351171761045005E-2</v>
      </c>
      <c r="CP123" s="64">
        <f t="shared" si="227"/>
        <v>6.5641669281455914E-2</v>
      </c>
      <c r="CQ123" s="64">
        <f t="shared" si="227"/>
        <v>6.6511987625676727E-2</v>
      </c>
      <c r="CR123" s="405">
        <f t="shared" si="227"/>
        <v>6.6019652061855671E-2</v>
      </c>
      <c r="CS123" s="64">
        <f t="shared" si="227"/>
        <v>7.0768269831355396E-2</v>
      </c>
      <c r="CT123" s="64">
        <f t="shared" si="227"/>
        <v>7.0180124039288999E-2</v>
      </c>
      <c r="CU123" s="64">
        <f t="shared" si="227"/>
        <v>7.0861809336267803E-2</v>
      </c>
      <c r="CV123" s="64">
        <f t="shared" si="227"/>
        <v>7.5678798382437892E-2</v>
      </c>
      <c r="CW123" s="405">
        <f t="shared" si="227"/>
        <v>7.1905746973033494E-2</v>
      </c>
      <c r="CX123" s="64">
        <f t="shared" si="215"/>
        <v>8.037225042301184E-2</v>
      </c>
      <c r="CY123" s="64">
        <f t="shared" si="215"/>
        <v>7.9291553133514991E-2</v>
      </c>
      <c r="CZ123" s="64">
        <f t="shared" ref="CZ123:DA123" si="228">CZ115/CZ$117</f>
        <v>8.6829527349973443E-2</v>
      </c>
      <c r="DA123" s="64">
        <f t="shared" si="228"/>
        <v>9.0125391849529779E-2</v>
      </c>
      <c r="DB123" s="405"/>
      <c r="DC123" s="64"/>
      <c r="DD123" s="64"/>
      <c r="DE123" s="64"/>
      <c r="DF123" s="64"/>
      <c r="DG123" s="405"/>
      <c r="DH123" s="64"/>
      <c r="DI123" s="64"/>
      <c r="DJ123" s="64"/>
      <c r="DK123" s="64"/>
      <c r="DL123" s="405"/>
      <c r="DM123" s="64"/>
      <c r="DN123" s="64"/>
      <c r="DO123" s="64"/>
      <c r="DP123" s="64"/>
      <c r="DQ123" s="405"/>
      <c r="DR123" s="67"/>
      <c r="DS123" s="64"/>
      <c r="DT123"/>
      <c r="DU123"/>
      <c r="DV123"/>
      <c r="DW123"/>
      <c r="DX123"/>
      <c r="DY123"/>
    </row>
    <row r="124" spans="1:129" s="184" customFormat="1" hidden="1" outlineLevel="1">
      <c r="A124" s="680"/>
      <c r="B124" s="639"/>
      <c r="C124" s="640" t="s">
        <v>30</v>
      </c>
      <c r="D124" s="640"/>
      <c r="E124" s="640"/>
      <c r="F124" s="640"/>
      <c r="G124" s="67">
        <f t="shared" ref="G124:AL124" si="229">G116/G$117</f>
        <v>8.2047274858370791E-3</v>
      </c>
      <c r="H124" s="64">
        <f t="shared" si="229"/>
        <v>1.2630249447426586E-3</v>
      </c>
      <c r="I124" s="64">
        <f t="shared" si="229"/>
        <v>2.7160493827160493E-3</v>
      </c>
      <c r="J124" s="64">
        <f t="shared" si="229"/>
        <v>5.025641025641024E-3</v>
      </c>
      <c r="K124" s="64">
        <f t="shared" si="229"/>
        <v>4.1292700406101758E-3</v>
      </c>
      <c r="L124" s="67">
        <f t="shared" si="229"/>
        <v>5.7279937334769422E-3</v>
      </c>
      <c r="M124" s="64">
        <f t="shared" si="229"/>
        <v>5.0237231370360031E-3</v>
      </c>
      <c r="N124" s="64">
        <f t="shared" si="229"/>
        <v>4.4151075362825667E-3</v>
      </c>
      <c r="O124" s="64">
        <f t="shared" si="229"/>
        <v>2.2817789578493193E-3</v>
      </c>
      <c r="P124" s="64">
        <f t="shared" si="229"/>
        <v>4.2855214613515694E-3</v>
      </c>
      <c r="Q124" s="67">
        <f t="shared" si="229"/>
        <v>1.026967122275582E-2</v>
      </c>
      <c r="R124" s="64">
        <f t="shared" si="229"/>
        <v>9.0563189836797564E-3</v>
      </c>
      <c r="S124" s="64">
        <f t="shared" si="229"/>
        <v>8.4620152531867301E-3</v>
      </c>
      <c r="T124" s="64">
        <f t="shared" si="229"/>
        <v>6.3332764962365741E-3</v>
      </c>
      <c r="U124" s="64">
        <f t="shared" si="229"/>
        <v>8.3192854171683806E-3</v>
      </c>
      <c r="V124" s="67">
        <f t="shared" si="229"/>
        <v>7.8333794120357576E-3</v>
      </c>
      <c r="W124" s="64">
        <f t="shared" si="229"/>
        <v>8.36801655986435E-3</v>
      </c>
      <c r="X124" s="64">
        <f t="shared" si="229"/>
        <v>8.9007076612017053E-3</v>
      </c>
      <c r="Y124" s="64">
        <f t="shared" si="229"/>
        <v>1.1481558178596904E-2</v>
      </c>
      <c r="Z124" s="64">
        <f t="shared" si="229"/>
        <v>9.1349885812642747E-3</v>
      </c>
      <c r="AA124" s="67">
        <f t="shared" si="229"/>
        <v>1.3122794940194474E-2</v>
      </c>
      <c r="AB124" s="64">
        <f t="shared" si="229"/>
        <v>6.1444497590051137E-3</v>
      </c>
      <c r="AC124" s="64">
        <f t="shared" si="229"/>
        <v>4.8666568680286772E-3</v>
      </c>
      <c r="AD124" s="64">
        <f t="shared" si="229"/>
        <v>5.2677918550685706E-3</v>
      </c>
      <c r="AE124" s="64">
        <f t="shared" si="229"/>
        <v>6.9624507826755019E-3</v>
      </c>
      <c r="AF124" s="67">
        <f t="shared" si="229"/>
        <v>7.6225240216866181E-3</v>
      </c>
      <c r="AG124" s="64">
        <f t="shared" si="229"/>
        <v>8.0049401916611387E-3</v>
      </c>
      <c r="AH124" s="64">
        <f t="shared" si="229"/>
        <v>6.9920803987320477E-3</v>
      </c>
      <c r="AI124" s="64">
        <f t="shared" si="229"/>
        <v>7.2116718134580884E-3</v>
      </c>
      <c r="AJ124" s="64">
        <f t="shared" si="229"/>
        <v>7.4246872207934704E-3</v>
      </c>
      <c r="AK124" s="67">
        <f t="shared" si="229"/>
        <v>8.6684927846071621E-3</v>
      </c>
      <c r="AL124" s="64">
        <f t="shared" si="229"/>
        <v>6.5528154038019312E-3</v>
      </c>
      <c r="AM124" s="64">
        <f t="shared" ref="AM124:BR124" si="230">AM116/AM$117</f>
        <v>7.855676868538046E-3</v>
      </c>
      <c r="AN124" s="64">
        <f t="shared" si="230"/>
        <v>7.9059618823828989E-3</v>
      </c>
      <c r="AO124" s="64">
        <f t="shared" si="230"/>
        <v>7.7283256601207145E-3</v>
      </c>
      <c r="AP124" s="67">
        <f t="shared" si="230"/>
        <v>1.1267000952218449E-2</v>
      </c>
      <c r="AQ124" s="64">
        <f t="shared" si="230"/>
        <v>8.2801554949908131E-3</v>
      </c>
      <c r="AR124" s="64">
        <f t="shared" si="230"/>
        <v>1.3174206915291082E-2</v>
      </c>
      <c r="AS124" s="64">
        <f t="shared" si="230"/>
        <v>9.5172478221267273E-3</v>
      </c>
      <c r="AT124" s="64">
        <f t="shared" si="230"/>
        <v>1.0552814874185794E-2</v>
      </c>
      <c r="AU124" s="67">
        <f t="shared" si="230"/>
        <v>1.1083126955047483E-2</v>
      </c>
      <c r="AV124" s="64">
        <f t="shared" si="230"/>
        <v>7.7960788039283203E-3</v>
      </c>
      <c r="AW124" s="64">
        <f t="shared" si="230"/>
        <v>7.1413056722522137E-3</v>
      </c>
      <c r="AX124" s="64">
        <f t="shared" si="230"/>
        <v>1.0065264001130924E-2</v>
      </c>
      <c r="AY124" s="64">
        <f t="shared" si="230"/>
        <v>8.9575901147748264E-3</v>
      </c>
      <c r="AZ124" s="67">
        <f t="shared" si="230"/>
        <v>9.8985378147609018E-3</v>
      </c>
      <c r="BA124" s="64">
        <f t="shared" si="230"/>
        <v>1.0495359273901579E-2</v>
      </c>
      <c r="BB124" s="64">
        <f t="shared" si="230"/>
        <v>1.1509617294488376E-2</v>
      </c>
      <c r="BC124" s="64">
        <f t="shared" si="230"/>
        <v>1.2565921500910071E-2</v>
      </c>
      <c r="BD124" s="64">
        <f t="shared" si="230"/>
        <v>1.1213831203463984E-2</v>
      </c>
      <c r="BE124" s="67">
        <f t="shared" si="230"/>
        <v>1.2518931560271555E-2</v>
      </c>
      <c r="BF124" s="64">
        <f t="shared" si="230"/>
        <v>1.488852934010478E-2</v>
      </c>
      <c r="BG124" s="64">
        <f t="shared" si="230"/>
        <v>1.7134278629039941E-2</v>
      </c>
      <c r="BH124" s="64">
        <f t="shared" si="230"/>
        <v>2.1196608436414827E-2</v>
      </c>
      <c r="BI124" s="64">
        <f t="shared" si="230"/>
        <v>1.6620009771672377E-2</v>
      </c>
      <c r="BJ124" s="67">
        <f t="shared" si="230"/>
        <v>2.1510681600617809E-2</v>
      </c>
      <c r="BK124" s="64">
        <f t="shared" si="230"/>
        <v>2.1738570575025241E-2</v>
      </c>
      <c r="BL124" s="64">
        <f t="shared" si="230"/>
        <v>2.49259509213955E-2</v>
      </c>
      <c r="BM124" s="64">
        <f t="shared" si="230"/>
        <v>2.5975910608039467E-2</v>
      </c>
      <c r="BN124" s="64">
        <f t="shared" si="230"/>
        <v>2.3683129373162172E-2</v>
      </c>
      <c r="BO124" s="67">
        <f t="shared" si="230"/>
        <v>3.1673821531279948E-2</v>
      </c>
      <c r="BP124" s="64">
        <f t="shared" si="230"/>
        <v>3.2625317376582808E-2</v>
      </c>
      <c r="BQ124" s="64">
        <f t="shared" si="230"/>
        <v>3.3906285823226474E-2</v>
      </c>
      <c r="BR124" s="64">
        <f t="shared" si="230"/>
        <v>3.5388317734903495E-2</v>
      </c>
      <c r="BS124" s="64">
        <f t="shared" ref="BS124:CW124" si="231">BS116/BS$117</f>
        <v>3.3554431037963031E-2</v>
      </c>
      <c r="BT124" s="67">
        <f t="shared" si="231"/>
        <v>3.3118614872674847E-2</v>
      </c>
      <c r="BU124" s="64">
        <f t="shared" si="231"/>
        <v>3.5991441125419292E-2</v>
      </c>
      <c r="BV124" s="64">
        <f t="shared" si="231"/>
        <v>3.7252788025140003E-2</v>
      </c>
      <c r="BW124" s="64">
        <f t="shared" si="231"/>
        <v>3.7394204628579453E-2</v>
      </c>
      <c r="BX124" s="64">
        <f t="shared" si="231"/>
        <v>3.6059038521481901E-2</v>
      </c>
      <c r="BY124" s="67">
        <f t="shared" si="231"/>
        <v>3.8975100929150047E-2</v>
      </c>
      <c r="BZ124" s="64">
        <f t="shared" si="231"/>
        <v>4.320918884593531E-2</v>
      </c>
      <c r="CA124" s="64">
        <f t="shared" si="231"/>
        <v>4.458134745264547E-2</v>
      </c>
      <c r="CB124" s="64">
        <f t="shared" si="231"/>
        <v>4.4204566744430164E-2</v>
      </c>
      <c r="CC124" s="405">
        <f t="shared" si="231"/>
        <v>4.2840155111188064E-2</v>
      </c>
      <c r="CD124" s="64">
        <f t="shared" si="231"/>
        <v>4.4682190368073443E-2</v>
      </c>
      <c r="CE124" s="64">
        <f t="shared" si="231"/>
        <v>4.4704891636282877E-2</v>
      </c>
      <c r="CF124" s="64">
        <f t="shared" si="231"/>
        <v>4.6833899822311703E-2</v>
      </c>
      <c r="CG124" s="64">
        <f t="shared" si="231"/>
        <v>4.6284251925715614E-2</v>
      </c>
      <c r="CH124" s="405">
        <f t="shared" si="231"/>
        <v>4.5675491047403823E-2</v>
      </c>
      <c r="CI124" s="64">
        <f t="shared" si="231"/>
        <v>4.787586259282315E-2</v>
      </c>
      <c r="CJ124" s="64">
        <f t="shared" si="231"/>
        <v>4.8584995236570429E-2</v>
      </c>
      <c r="CK124" s="64">
        <f t="shared" si="231"/>
        <v>4.9463601250518692E-2</v>
      </c>
      <c r="CL124" s="64">
        <f t="shared" si="231"/>
        <v>5.0110270773924249E-2</v>
      </c>
      <c r="CM124" s="405">
        <f t="shared" si="231"/>
        <v>4.9037716356803679E-2</v>
      </c>
      <c r="CN124" s="64">
        <f t="shared" si="231"/>
        <v>4.9289001854777768E-2</v>
      </c>
      <c r="CO124" s="64">
        <f t="shared" si="231"/>
        <v>5.1505623804738901E-2</v>
      </c>
      <c r="CP124" s="64">
        <f t="shared" si="231"/>
        <v>5.2494508942579232E-2</v>
      </c>
      <c r="CQ124" s="64">
        <f t="shared" si="231"/>
        <v>5.5282289249806646E-2</v>
      </c>
      <c r="CR124" s="405">
        <f t="shared" si="231"/>
        <v>5.2222938144329892E-2</v>
      </c>
      <c r="CS124" s="64">
        <f t="shared" si="231"/>
        <v>5.5996252342286064E-2</v>
      </c>
      <c r="CT124" s="64">
        <f t="shared" si="231"/>
        <v>5.8933499510371225E-2</v>
      </c>
      <c r="CU124" s="64">
        <f t="shared" si="231"/>
        <v>5.9683771574192045E-2</v>
      </c>
      <c r="CV124" s="64">
        <f t="shared" si="231"/>
        <v>6.1236279607163491E-2</v>
      </c>
      <c r="CW124" s="405">
        <f t="shared" si="231"/>
        <v>5.901935923956967E-2</v>
      </c>
      <c r="CX124" s="64">
        <f t="shared" si="215"/>
        <v>6.3733784545967287E-2</v>
      </c>
      <c r="CY124" s="64">
        <f t="shared" si="215"/>
        <v>6.5395095367847406E-2</v>
      </c>
      <c r="CZ124" s="64">
        <f t="shared" ref="CZ124:DA124" si="232">CZ116/CZ$117</f>
        <v>6.5586829527349969E-2</v>
      </c>
      <c r="DA124" s="64">
        <f t="shared" si="232"/>
        <v>6.5047021943573674E-2</v>
      </c>
      <c r="DB124" s="405"/>
      <c r="DC124" s="64"/>
      <c r="DD124" s="64"/>
      <c r="DE124" s="64"/>
      <c r="DF124" s="64"/>
      <c r="DG124" s="405"/>
      <c r="DH124" s="64"/>
      <c r="DI124" s="64"/>
      <c r="DJ124" s="64"/>
      <c r="DK124" s="64"/>
      <c r="DL124" s="405"/>
      <c r="DM124" s="64"/>
      <c r="DN124" s="64"/>
      <c r="DO124" s="64"/>
      <c r="DP124" s="64"/>
      <c r="DQ124" s="405"/>
      <c r="DR124" s="67"/>
      <c r="DS124" s="64"/>
      <c r="DT124"/>
      <c r="DU124"/>
      <c r="DV124"/>
      <c r="DW124"/>
      <c r="DX124"/>
      <c r="DY124"/>
    </row>
    <row r="125" spans="1:129" s="184" customFormat="1" hidden="1" outlineLevel="1">
      <c r="A125" s="680"/>
      <c r="B125" s="639"/>
      <c r="C125" s="640" t="s">
        <v>173</v>
      </c>
      <c r="D125" s="640"/>
      <c r="E125" s="640"/>
      <c r="F125" s="640"/>
      <c r="G125" s="67">
        <f t="shared" ref="G125:AL125" si="233">SUM(G120:G121,G124)</f>
        <v>1</v>
      </c>
      <c r="H125" s="64">
        <f t="shared" si="233"/>
        <v>0.99999999999999989</v>
      </c>
      <c r="I125" s="64">
        <f t="shared" si="233"/>
        <v>1</v>
      </c>
      <c r="J125" s="64">
        <f t="shared" si="233"/>
        <v>1</v>
      </c>
      <c r="K125" s="64">
        <f t="shared" si="233"/>
        <v>1</v>
      </c>
      <c r="L125" s="67">
        <f t="shared" si="233"/>
        <v>1</v>
      </c>
      <c r="M125" s="64">
        <f t="shared" si="233"/>
        <v>1</v>
      </c>
      <c r="N125" s="64">
        <f t="shared" si="233"/>
        <v>1</v>
      </c>
      <c r="O125" s="64">
        <f t="shared" si="233"/>
        <v>1</v>
      </c>
      <c r="P125" s="64">
        <f t="shared" si="233"/>
        <v>0.99999999999999989</v>
      </c>
      <c r="Q125" s="67">
        <f t="shared" si="233"/>
        <v>1.0000000000000002</v>
      </c>
      <c r="R125" s="64">
        <f t="shared" si="233"/>
        <v>1</v>
      </c>
      <c r="S125" s="64">
        <f t="shared" si="233"/>
        <v>1</v>
      </c>
      <c r="T125" s="64">
        <f t="shared" si="233"/>
        <v>1</v>
      </c>
      <c r="U125" s="64">
        <f t="shared" si="233"/>
        <v>1.0000000000000002</v>
      </c>
      <c r="V125" s="67">
        <f t="shared" si="233"/>
        <v>0.99999999999999989</v>
      </c>
      <c r="W125" s="64">
        <f t="shared" si="233"/>
        <v>0.99999999999999978</v>
      </c>
      <c r="X125" s="64">
        <f t="shared" si="233"/>
        <v>0.99999999999999989</v>
      </c>
      <c r="Y125" s="64">
        <f t="shared" si="233"/>
        <v>0.99999999999999989</v>
      </c>
      <c r="Z125" s="64">
        <f t="shared" si="233"/>
        <v>1</v>
      </c>
      <c r="AA125" s="67">
        <f t="shared" si="233"/>
        <v>1</v>
      </c>
      <c r="AB125" s="64">
        <f t="shared" si="233"/>
        <v>0.99999999999999989</v>
      </c>
      <c r="AC125" s="64">
        <f t="shared" si="233"/>
        <v>1</v>
      </c>
      <c r="AD125" s="64">
        <f t="shared" si="233"/>
        <v>1</v>
      </c>
      <c r="AE125" s="64">
        <f t="shared" si="233"/>
        <v>1</v>
      </c>
      <c r="AF125" s="67">
        <f t="shared" si="233"/>
        <v>1.0000000000000002</v>
      </c>
      <c r="AG125" s="64">
        <f t="shared" si="233"/>
        <v>0.99999999999999989</v>
      </c>
      <c r="AH125" s="64">
        <f t="shared" si="233"/>
        <v>0.99999999999999978</v>
      </c>
      <c r="AI125" s="64">
        <f t="shared" si="233"/>
        <v>1</v>
      </c>
      <c r="AJ125" s="64">
        <f t="shared" si="233"/>
        <v>1</v>
      </c>
      <c r="AK125" s="67">
        <f t="shared" si="233"/>
        <v>1</v>
      </c>
      <c r="AL125" s="64">
        <f t="shared" si="233"/>
        <v>1</v>
      </c>
      <c r="AM125" s="64">
        <f t="shared" ref="AM125:BR125" si="234">SUM(AM120:AM121,AM124)</f>
        <v>1</v>
      </c>
      <c r="AN125" s="64">
        <f t="shared" si="234"/>
        <v>1</v>
      </c>
      <c r="AO125" s="64">
        <f t="shared" si="234"/>
        <v>1</v>
      </c>
      <c r="AP125" s="67">
        <f t="shared" si="234"/>
        <v>1</v>
      </c>
      <c r="AQ125" s="64">
        <f t="shared" si="234"/>
        <v>1</v>
      </c>
      <c r="AR125" s="64">
        <f t="shared" si="234"/>
        <v>0.99999999999999989</v>
      </c>
      <c r="AS125" s="64">
        <f t="shared" si="234"/>
        <v>0.99999999999999989</v>
      </c>
      <c r="AT125" s="64">
        <f t="shared" si="234"/>
        <v>1</v>
      </c>
      <c r="AU125" s="67">
        <f t="shared" si="234"/>
        <v>1</v>
      </c>
      <c r="AV125" s="64">
        <f t="shared" si="234"/>
        <v>1</v>
      </c>
      <c r="AW125" s="64">
        <f t="shared" si="234"/>
        <v>1</v>
      </c>
      <c r="AX125" s="64">
        <f t="shared" si="234"/>
        <v>1</v>
      </c>
      <c r="AY125" s="64">
        <f t="shared" si="234"/>
        <v>1.0000000000000002</v>
      </c>
      <c r="AZ125" s="67">
        <f t="shared" si="234"/>
        <v>1</v>
      </c>
      <c r="BA125" s="64">
        <f t="shared" si="234"/>
        <v>0.99999999999999989</v>
      </c>
      <c r="BB125" s="64">
        <f t="shared" si="234"/>
        <v>1</v>
      </c>
      <c r="BC125" s="64">
        <f t="shared" si="234"/>
        <v>0.99999999999999989</v>
      </c>
      <c r="BD125" s="64">
        <f t="shared" si="234"/>
        <v>1</v>
      </c>
      <c r="BE125" s="67">
        <f t="shared" si="234"/>
        <v>0.99999999999999978</v>
      </c>
      <c r="BF125" s="64">
        <f t="shared" si="234"/>
        <v>0.99999999999999989</v>
      </c>
      <c r="BG125" s="64">
        <f t="shared" si="234"/>
        <v>0.99999999999999989</v>
      </c>
      <c r="BH125" s="64">
        <f t="shared" si="234"/>
        <v>1</v>
      </c>
      <c r="BI125" s="64">
        <f t="shared" si="234"/>
        <v>0.99999999999999989</v>
      </c>
      <c r="BJ125" s="67">
        <f t="shared" si="234"/>
        <v>1</v>
      </c>
      <c r="BK125" s="64">
        <f t="shared" si="234"/>
        <v>1</v>
      </c>
      <c r="BL125" s="64">
        <f t="shared" si="234"/>
        <v>1.0000000000000002</v>
      </c>
      <c r="BM125" s="64">
        <f t="shared" si="234"/>
        <v>1</v>
      </c>
      <c r="BN125" s="64">
        <f t="shared" si="234"/>
        <v>1</v>
      </c>
      <c r="BO125" s="67">
        <f t="shared" si="234"/>
        <v>1</v>
      </c>
      <c r="BP125" s="64">
        <f t="shared" si="234"/>
        <v>1</v>
      </c>
      <c r="BQ125" s="64">
        <f t="shared" si="234"/>
        <v>1</v>
      </c>
      <c r="BR125" s="64">
        <f t="shared" si="234"/>
        <v>0.99999999999999989</v>
      </c>
      <c r="BS125" s="64">
        <f t="shared" ref="BS125:CW125" si="235">SUM(BS120:BS121,BS124)</f>
        <v>1</v>
      </c>
      <c r="BT125" s="67">
        <f t="shared" si="235"/>
        <v>1</v>
      </c>
      <c r="BU125" s="64">
        <f t="shared" si="235"/>
        <v>1</v>
      </c>
      <c r="BV125" s="64">
        <f t="shared" si="235"/>
        <v>1</v>
      </c>
      <c r="BW125" s="64">
        <f t="shared" si="235"/>
        <v>1</v>
      </c>
      <c r="BX125" s="64">
        <f t="shared" si="235"/>
        <v>1</v>
      </c>
      <c r="BY125" s="67">
        <f t="shared" si="235"/>
        <v>1</v>
      </c>
      <c r="BZ125" s="64">
        <f t="shared" si="235"/>
        <v>1</v>
      </c>
      <c r="CA125" s="64">
        <f t="shared" si="235"/>
        <v>1</v>
      </c>
      <c r="CB125" s="64">
        <f t="shared" si="235"/>
        <v>1</v>
      </c>
      <c r="CC125" s="405">
        <f t="shared" si="235"/>
        <v>1</v>
      </c>
      <c r="CD125" s="64">
        <f t="shared" si="235"/>
        <v>0.99999999999999989</v>
      </c>
      <c r="CE125" s="64">
        <f t="shared" si="235"/>
        <v>1</v>
      </c>
      <c r="CF125" s="64">
        <f t="shared" si="235"/>
        <v>0.99999999999999989</v>
      </c>
      <c r="CG125" s="64">
        <f t="shared" si="235"/>
        <v>1</v>
      </c>
      <c r="CH125" s="405">
        <f t="shared" si="235"/>
        <v>1</v>
      </c>
      <c r="CI125" s="64">
        <f t="shared" si="235"/>
        <v>0.99999999999999978</v>
      </c>
      <c r="CJ125" s="64">
        <f t="shared" si="235"/>
        <v>1</v>
      </c>
      <c r="CK125" s="64">
        <f t="shared" si="235"/>
        <v>1</v>
      </c>
      <c r="CL125" s="64">
        <f t="shared" si="235"/>
        <v>1</v>
      </c>
      <c r="CM125" s="405">
        <f t="shared" si="235"/>
        <v>1</v>
      </c>
      <c r="CN125" s="64">
        <f t="shared" si="235"/>
        <v>1</v>
      </c>
      <c r="CO125" s="64">
        <f t="shared" si="235"/>
        <v>0.99999999999999989</v>
      </c>
      <c r="CP125" s="64">
        <f t="shared" si="235"/>
        <v>1</v>
      </c>
      <c r="CQ125" s="64">
        <f t="shared" si="235"/>
        <v>1</v>
      </c>
      <c r="CR125" s="405">
        <f t="shared" si="235"/>
        <v>1</v>
      </c>
      <c r="CS125" s="64">
        <f t="shared" si="235"/>
        <v>0.99999999999999989</v>
      </c>
      <c r="CT125" s="64">
        <f t="shared" si="235"/>
        <v>0.99999999999999989</v>
      </c>
      <c r="CU125" s="64">
        <f t="shared" si="235"/>
        <v>0.99999999999999989</v>
      </c>
      <c r="CV125" s="64">
        <f t="shared" si="235"/>
        <v>1</v>
      </c>
      <c r="CW125" s="405">
        <f t="shared" si="235"/>
        <v>1</v>
      </c>
      <c r="CX125" s="64">
        <f>SUM(CX120:CX121,CX124)</f>
        <v>1</v>
      </c>
      <c r="CY125" s="64">
        <f>SUM(CY120:CY121,CY124)</f>
        <v>0.99999999999999989</v>
      </c>
      <c r="CZ125" s="64">
        <f>SUM(CZ120:CZ121,CZ124)</f>
        <v>0.99999999999999989</v>
      </c>
      <c r="DA125" s="64">
        <f>SUM(DA120:DA121,DA124)</f>
        <v>1</v>
      </c>
      <c r="DB125" s="405"/>
      <c r="DC125" s="64"/>
      <c r="DD125" s="64"/>
      <c r="DE125" s="64"/>
      <c r="DF125" s="64"/>
      <c r="DG125" s="405"/>
      <c r="DH125" s="64"/>
      <c r="DI125" s="64"/>
      <c r="DJ125" s="64"/>
      <c r="DK125" s="64"/>
      <c r="DL125" s="405"/>
      <c r="DM125" s="64"/>
      <c r="DN125" s="64"/>
      <c r="DO125" s="64"/>
      <c r="DP125" s="64"/>
      <c r="DQ125" s="405"/>
      <c r="DR125" s="67"/>
      <c r="DS125" s="64"/>
      <c r="DT125"/>
      <c r="DU125"/>
      <c r="DV125"/>
      <c r="DW125"/>
      <c r="DX125"/>
      <c r="DY125"/>
    </row>
    <row r="126" spans="1:129" s="154" customFormat="1" hidden="1" outlineLevel="1">
      <c r="A126" s="715"/>
      <c r="B126" s="699"/>
      <c r="C126" s="700"/>
      <c r="D126" s="700"/>
      <c r="E126" s="700"/>
      <c r="F126" s="700"/>
      <c r="G126" s="290"/>
      <c r="H126" s="357"/>
      <c r="I126" s="357"/>
      <c r="J126" s="358"/>
      <c r="K126" s="134"/>
      <c r="L126" s="290"/>
      <c r="M126" s="357"/>
      <c r="N126" s="357"/>
      <c r="O126" s="357"/>
      <c r="P126" s="145"/>
      <c r="Q126" s="290"/>
      <c r="R126" s="357"/>
      <c r="S126" s="357"/>
      <c r="T126" s="358"/>
      <c r="U126" s="145"/>
      <c r="V126" s="357"/>
      <c r="W126" s="357"/>
      <c r="X126" s="357"/>
      <c r="Y126" s="358"/>
      <c r="Z126" s="145"/>
      <c r="AA126" s="357"/>
      <c r="AB126" s="357"/>
      <c r="AC126" s="357"/>
      <c r="AD126" s="357"/>
      <c r="AE126" s="145"/>
      <c r="AF126" s="290"/>
      <c r="AG126" s="357"/>
      <c r="AH126" s="357"/>
      <c r="AI126" s="357"/>
      <c r="AJ126" s="145"/>
      <c r="AK126" s="290"/>
      <c r="AL126" s="357"/>
      <c r="AM126" s="357"/>
      <c r="AN126" s="358"/>
      <c r="AO126" s="145"/>
      <c r="AP126" s="357"/>
      <c r="AQ126" s="357"/>
      <c r="AR126" s="357"/>
      <c r="AS126" s="358"/>
      <c r="AT126" s="145"/>
      <c r="AU126" s="357"/>
      <c r="AV126" s="357"/>
      <c r="AW126" s="357"/>
      <c r="AX126" s="357"/>
      <c r="AY126" s="145"/>
      <c r="AZ126" s="290"/>
      <c r="BA126" s="357"/>
      <c r="BB126" s="357"/>
      <c r="BC126" s="357"/>
      <c r="BD126" s="145"/>
      <c r="BE126" s="290"/>
      <c r="BF126" s="357"/>
      <c r="BG126" s="357"/>
      <c r="BH126" s="358"/>
      <c r="BI126" s="145"/>
      <c r="BJ126" s="357"/>
      <c r="BK126" s="357"/>
      <c r="BL126" s="357"/>
      <c r="BM126" s="358"/>
      <c r="BN126" s="145"/>
      <c r="BO126" s="290"/>
      <c r="BP126" s="357"/>
      <c r="BQ126" s="357"/>
      <c r="BR126" s="357"/>
      <c r="BS126" s="145"/>
      <c r="BT126" s="290"/>
      <c r="BU126" s="357"/>
      <c r="BV126" s="357"/>
      <c r="BW126" s="357"/>
      <c r="BX126" s="145"/>
      <c r="BY126" s="290"/>
      <c r="BZ126" s="357"/>
      <c r="CA126" s="357"/>
      <c r="CB126" s="145"/>
      <c r="CC126" s="338"/>
      <c r="CD126" s="357"/>
      <c r="CE126" s="357"/>
      <c r="CF126" s="357"/>
      <c r="CG126" s="145"/>
      <c r="CH126" s="338"/>
      <c r="CI126" s="145"/>
      <c r="CJ126" s="357"/>
      <c r="CK126" s="357"/>
      <c r="CL126" s="357"/>
      <c r="CM126" s="338"/>
      <c r="CN126" s="145"/>
      <c r="CO126" s="357"/>
      <c r="CP126" s="357"/>
      <c r="CQ126" s="357"/>
      <c r="CR126" s="338"/>
      <c r="CS126" s="145"/>
      <c r="CT126" s="357"/>
      <c r="CU126" s="357"/>
      <c r="CV126" s="357"/>
      <c r="CW126" s="338"/>
      <c r="CX126" s="145"/>
      <c r="CY126" s="357"/>
      <c r="CZ126" s="357"/>
      <c r="DA126" s="357"/>
      <c r="DB126" s="338"/>
      <c r="DC126" s="145"/>
      <c r="DD126" s="357"/>
      <c r="DE126" s="357"/>
      <c r="DF126" s="145"/>
      <c r="DG126" s="338"/>
      <c r="DH126" s="145"/>
      <c r="DI126" s="357"/>
      <c r="DJ126" s="357"/>
      <c r="DK126" s="145"/>
      <c r="DL126" s="338"/>
      <c r="DM126" s="145"/>
      <c r="DN126" s="357"/>
      <c r="DO126" s="357"/>
      <c r="DP126" s="145"/>
      <c r="DQ126" s="338"/>
      <c r="DR126" s="134"/>
      <c r="DS126" s="145"/>
      <c r="DT126"/>
      <c r="DU126"/>
      <c r="DV126"/>
      <c r="DW126"/>
      <c r="DX126"/>
      <c r="DY126"/>
    </row>
    <row r="127" spans="1:129" s="202" customFormat="1" hidden="1" outlineLevel="1">
      <c r="A127" s="695"/>
      <c r="B127" s="702" t="s">
        <v>262</v>
      </c>
      <c r="C127" s="697"/>
      <c r="D127" s="697"/>
      <c r="E127" s="697"/>
      <c r="F127" s="697"/>
      <c r="G127" s="375"/>
      <c r="H127" s="376"/>
      <c r="I127" s="376"/>
      <c r="J127" s="377"/>
      <c r="K127" s="273"/>
      <c r="L127" s="375"/>
      <c r="M127" s="376"/>
      <c r="N127" s="376"/>
      <c r="O127" s="376"/>
      <c r="P127" s="269"/>
      <c r="Q127" s="375"/>
      <c r="R127" s="376"/>
      <c r="S127" s="376"/>
      <c r="T127" s="377"/>
      <c r="U127" s="269"/>
      <c r="V127" s="376"/>
      <c r="W127" s="376"/>
      <c r="X127" s="376"/>
      <c r="Y127" s="377"/>
      <c r="Z127" s="269"/>
      <c r="AA127" s="376"/>
      <c r="AB127" s="376"/>
      <c r="AC127" s="376"/>
      <c r="AD127" s="376"/>
      <c r="AE127" s="269"/>
      <c r="AF127" s="375"/>
      <c r="AG127" s="376"/>
      <c r="AH127" s="376"/>
      <c r="AI127" s="376"/>
      <c r="AJ127" s="269"/>
      <c r="AK127" s="375"/>
      <c r="AL127" s="376"/>
      <c r="AM127" s="376"/>
      <c r="AN127" s="377"/>
      <c r="AO127" s="269"/>
      <c r="AP127" s="376"/>
      <c r="AQ127" s="376"/>
      <c r="AR127" s="376"/>
      <c r="AS127" s="377"/>
      <c r="AT127" s="269"/>
      <c r="AU127" s="376"/>
      <c r="AV127" s="376"/>
      <c r="AW127" s="376"/>
      <c r="AX127" s="376"/>
      <c r="AY127" s="269"/>
      <c r="AZ127" s="375"/>
      <c r="BA127" s="376"/>
      <c r="BB127" s="376"/>
      <c r="BC127" s="376"/>
      <c r="BD127" s="269"/>
      <c r="BE127" s="375"/>
      <c r="BF127" s="376"/>
      <c r="BG127" s="376"/>
      <c r="BH127" s="377"/>
      <c r="BI127" s="269"/>
      <c r="BJ127" s="376"/>
      <c r="BK127" s="376"/>
      <c r="BL127" s="376"/>
      <c r="BM127" s="377"/>
      <c r="BN127" s="269"/>
      <c r="BO127" s="375"/>
      <c r="BP127" s="376"/>
      <c r="BQ127" s="376"/>
      <c r="BR127" s="376"/>
      <c r="BS127" s="269"/>
      <c r="BT127" s="375"/>
      <c r="BU127" s="376"/>
      <c r="BV127" s="376"/>
      <c r="BW127" s="376"/>
      <c r="BX127" s="269"/>
      <c r="BY127" s="375"/>
      <c r="BZ127" s="376"/>
      <c r="CA127" s="376"/>
      <c r="CB127" s="269"/>
      <c r="CC127" s="339"/>
      <c r="CD127" s="376"/>
      <c r="CE127" s="376"/>
      <c r="CF127" s="376"/>
      <c r="CG127" s="269"/>
      <c r="CH127" s="339"/>
      <c r="CI127" s="269"/>
      <c r="CJ127" s="376"/>
      <c r="CK127" s="376"/>
      <c r="CL127" s="376"/>
      <c r="CM127" s="339"/>
      <c r="CN127" s="269"/>
      <c r="CO127" s="376"/>
      <c r="CP127" s="376"/>
      <c r="CQ127" s="376"/>
      <c r="CR127" s="339"/>
      <c r="CS127" s="269"/>
      <c r="CT127" s="376"/>
      <c r="CU127" s="376"/>
      <c r="CV127" s="376"/>
      <c r="CW127" s="339"/>
      <c r="CX127" s="269"/>
      <c r="CY127" s="376"/>
      <c r="CZ127" s="376"/>
      <c r="DA127" s="376"/>
      <c r="DB127" s="339"/>
      <c r="DC127" s="269"/>
      <c r="DD127" s="376"/>
      <c r="DE127" s="376"/>
      <c r="DF127" s="269"/>
      <c r="DG127" s="339"/>
      <c r="DH127" s="269"/>
      <c r="DI127" s="376"/>
      <c r="DJ127" s="376"/>
      <c r="DK127" s="269"/>
      <c r="DL127" s="339"/>
      <c r="DM127" s="269"/>
      <c r="DN127" s="376"/>
      <c r="DO127" s="376"/>
      <c r="DP127" s="269"/>
      <c r="DQ127" s="339"/>
      <c r="DR127" s="273"/>
      <c r="DS127" s="269"/>
      <c r="DT127"/>
      <c r="DU127"/>
      <c r="DV127"/>
      <c r="DW127"/>
      <c r="DX127"/>
      <c r="DY127"/>
    </row>
    <row r="128" spans="1:129" s="184" customFormat="1" hidden="1" outlineLevel="1">
      <c r="A128" s="680"/>
      <c r="B128" s="639"/>
      <c r="C128" s="640" t="s">
        <v>28</v>
      </c>
      <c r="D128" s="640"/>
      <c r="E128" s="640"/>
      <c r="F128" s="640"/>
      <c r="G128" s="67"/>
      <c r="H128" s="64"/>
      <c r="I128" s="64"/>
      <c r="J128" s="64"/>
      <c r="K128" s="67"/>
      <c r="L128" s="67">
        <f t="shared" ref="L128:U129" si="236">L112/G112-1</f>
        <v>0.88963014981273392</v>
      </c>
      <c r="M128" s="64">
        <f t="shared" si="236"/>
        <v>0.57747420710737507</v>
      </c>
      <c r="N128" s="64">
        <f t="shared" si="236"/>
        <v>0.40454476364189107</v>
      </c>
      <c r="O128" s="64">
        <f t="shared" si="236"/>
        <v>0.27486794374085166</v>
      </c>
      <c r="P128" s="64">
        <f t="shared" si="236"/>
        <v>0.48635215003237064</v>
      </c>
      <c r="Q128" s="67">
        <f t="shared" si="236"/>
        <v>0.39826571694022928</v>
      </c>
      <c r="R128" s="64">
        <f t="shared" si="236"/>
        <v>0.58511475806939983</v>
      </c>
      <c r="S128" s="64">
        <f t="shared" si="236"/>
        <v>0.69162924084194577</v>
      </c>
      <c r="T128" s="64">
        <f t="shared" si="236"/>
        <v>0.74316094249201226</v>
      </c>
      <c r="U128" s="64">
        <f t="shared" si="236"/>
        <v>0.61487122563965646</v>
      </c>
      <c r="V128" s="67">
        <f t="shared" ref="V128:AE129" si="237">V112/Q112-1</f>
        <v>0.64930232558139522</v>
      </c>
      <c r="W128" s="64">
        <f t="shared" si="237"/>
        <v>0.50234957020057291</v>
      </c>
      <c r="X128" s="64">
        <f t="shared" si="237"/>
        <v>0.26129929949141162</v>
      </c>
      <c r="Y128" s="64">
        <f t="shared" si="237"/>
        <v>2.935364701165577E-2</v>
      </c>
      <c r="Z128" s="64">
        <f t="shared" si="237"/>
        <v>0.32193818953816167</v>
      </c>
      <c r="AA128" s="67">
        <f t="shared" si="237"/>
        <v>8.2641742540219942E-2</v>
      </c>
      <c r="AB128" s="64">
        <f t="shared" si="237"/>
        <v>0.20086969789441556</v>
      </c>
      <c r="AC128" s="64">
        <f t="shared" si="237"/>
        <v>0.34185433150740496</v>
      </c>
      <c r="AD128" s="64">
        <f t="shared" si="237"/>
        <v>0.64589361228577769</v>
      </c>
      <c r="AE128" s="64">
        <f t="shared" si="237"/>
        <v>0.31376988541001616</v>
      </c>
      <c r="AF128" s="67">
        <f t="shared" ref="AF128:AO129" si="238">AF112/AA112-1</f>
        <v>0.62991813445795075</v>
      </c>
      <c r="AG128" s="64">
        <f t="shared" si="238"/>
        <v>0.64371175062998964</v>
      </c>
      <c r="AH128" s="64">
        <f t="shared" si="238"/>
        <v>0.64938010281221659</v>
      </c>
      <c r="AI128" s="64">
        <f t="shared" si="238"/>
        <v>0.60145368492224516</v>
      </c>
      <c r="AJ128" s="64">
        <f t="shared" si="238"/>
        <v>0.62990406051952608</v>
      </c>
      <c r="AK128" s="67">
        <f t="shared" si="238"/>
        <v>0.58244802289123632</v>
      </c>
      <c r="AL128" s="64">
        <f t="shared" si="238"/>
        <v>0.55609950915345085</v>
      </c>
      <c r="AM128" s="64">
        <f t="shared" si="238"/>
        <v>0.52916170134751117</v>
      </c>
      <c r="AN128" s="64">
        <f t="shared" si="238"/>
        <v>0.58560089506237967</v>
      </c>
      <c r="AO128" s="64">
        <f t="shared" si="238"/>
        <v>0.56278566532549346</v>
      </c>
      <c r="AP128" s="67">
        <f t="shared" ref="AP128:AY129" si="239">AP112/AK112-1</f>
        <v>0.50095219774935074</v>
      </c>
      <c r="AQ128" s="64">
        <f t="shared" si="239"/>
        <v>0.53117911016177355</v>
      </c>
      <c r="AR128" s="64">
        <f t="shared" si="239"/>
        <v>0.54475358365866611</v>
      </c>
      <c r="AS128" s="64">
        <f t="shared" si="239"/>
        <v>0.50192713499264352</v>
      </c>
      <c r="AT128" s="64">
        <f t="shared" si="239"/>
        <v>0.5199181011423355</v>
      </c>
      <c r="AU128" s="67">
        <f t="shared" si="239"/>
        <v>0.58410550194163546</v>
      </c>
      <c r="AV128" s="64">
        <f t="shared" si="239"/>
        <v>0.57775014193408869</v>
      </c>
      <c r="AW128" s="64">
        <f t="shared" si="239"/>
        <v>0.57997496992510378</v>
      </c>
      <c r="AX128" s="64">
        <f t="shared" si="239"/>
        <v>0.60853012090912384</v>
      </c>
      <c r="AY128" s="64">
        <f t="shared" si="239"/>
        <v>0.58861376209116512</v>
      </c>
      <c r="AZ128" s="67">
        <f t="shared" ref="AZ128:BI129" si="240">AZ112/AU112-1</f>
        <v>0.58196807520853056</v>
      </c>
      <c r="BA128" s="64">
        <f t="shared" si="240"/>
        <v>0.49160546544344164</v>
      </c>
      <c r="BB128" s="64">
        <f t="shared" si="240"/>
        <v>0.4067758623336355</v>
      </c>
      <c r="BC128" s="64">
        <f t="shared" si="240"/>
        <v>0.33426925270649654</v>
      </c>
      <c r="BD128" s="64">
        <f t="shared" si="240"/>
        <v>0.44078195498521122</v>
      </c>
      <c r="BE128" s="67">
        <f t="shared" si="240"/>
        <v>0.31397798870796167</v>
      </c>
      <c r="BF128" s="64">
        <f t="shared" si="240"/>
        <v>0.23207795131948372</v>
      </c>
      <c r="BG128" s="64">
        <f t="shared" si="240"/>
        <v>0.25949132271806685</v>
      </c>
      <c r="BH128" s="64">
        <f t="shared" si="240"/>
        <v>0.24139419333921208</v>
      </c>
      <c r="BI128" s="64">
        <f t="shared" si="240"/>
        <v>0.25983809023594473</v>
      </c>
      <c r="BJ128" s="67">
        <f t="shared" ref="BJ128:BS129" si="241">BJ112/BE112-1</f>
        <v>0.15554820379091572</v>
      </c>
      <c r="BK128" s="64">
        <f t="shared" si="241"/>
        <v>0.15797276305950336</v>
      </c>
      <c r="BL128" s="64">
        <f t="shared" si="241"/>
        <v>0.1573359625304751</v>
      </c>
      <c r="BM128" s="64">
        <f t="shared" si="241"/>
        <v>0.18367272249384081</v>
      </c>
      <c r="BN128" s="64">
        <f t="shared" si="241"/>
        <v>0.16418164969226168</v>
      </c>
      <c r="BO128" s="67">
        <f t="shared" si="241"/>
        <v>0.27265531585240588</v>
      </c>
      <c r="BP128" s="64">
        <f t="shared" si="241"/>
        <v>0.39930528156709411</v>
      </c>
      <c r="BQ128" s="64">
        <f t="shared" si="241"/>
        <v>0.41632018733090881</v>
      </c>
      <c r="BR128" s="64">
        <f t="shared" si="241"/>
        <v>0.42244708660089403</v>
      </c>
      <c r="BS128" s="64">
        <f t="shared" si="241"/>
        <v>0.38104432563285151</v>
      </c>
      <c r="BT128" s="67">
        <f t="shared" ref="BT128:CC129" si="242">BT112/BO112-1</f>
        <v>0.41586232449814053</v>
      </c>
      <c r="BU128" s="64">
        <f t="shared" si="242"/>
        <v>0.32927699418133605</v>
      </c>
      <c r="BV128" s="64">
        <f t="shared" si="242"/>
        <v>0.32213921538986856</v>
      </c>
      <c r="BW128" s="64">
        <f t="shared" si="242"/>
        <v>0.31134698378070702</v>
      </c>
      <c r="BX128" s="64">
        <f t="shared" si="242"/>
        <v>0.34059020537195339</v>
      </c>
      <c r="BY128" s="67">
        <f t="shared" si="242"/>
        <v>0.27176053527584854</v>
      </c>
      <c r="BZ128" s="64">
        <f t="shared" si="242"/>
        <v>0.24234792380563208</v>
      </c>
      <c r="CA128" s="64">
        <f t="shared" si="242"/>
        <v>0.20308337357720574</v>
      </c>
      <c r="CB128" s="64">
        <f t="shared" si="242"/>
        <v>0.1571729838591196</v>
      </c>
      <c r="CC128" s="405">
        <f t="shared" si="242"/>
        <v>0.21513825438406919</v>
      </c>
      <c r="CD128" s="64">
        <f t="shared" ref="CD128:CM129" si="243">CD112/BY112-1</f>
        <v>0.1627567383245978</v>
      </c>
      <c r="CE128" s="64">
        <f t="shared" si="243"/>
        <v>0.16894093182500813</v>
      </c>
      <c r="CF128" s="64">
        <f t="shared" si="243"/>
        <v>0.18500291751345443</v>
      </c>
      <c r="CG128" s="64">
        <f t="shared" si="243"/>
        <v>0.18331240042217423</v>
      </c>
      <c r="CH128" s="405">
        <f t="shared" si="243"/>
        <v>0.17542216262543575</v>
      </c>
      <c r="CI128" s="64">
        <f t="shared" si="243"/>
        <v>0.16056215716054512</v>
      </c>
      <c r="CJ128" s="64">
        <f t="shared" si="243"/>
        <v>0.14973107093503368</v>
      </c>
      <c r="CK128" s="64">
        <f t="shared" si="243"/>
        <v>0.11112675195350086</v>
      </c>
      <c r="CL128" s="64">
        <f t="shared" si="243"/>
        <v>0.12973031268278179</v>
      </c>
      <c r="CM128" s="405">
        <f t="shared" si="243"/>
        <v>0.13689633060435114</v>
      </c>
      <c r="CN128" s="64">
        <f t="shared" ref="CN128:DA129" si="244">CN112/CI112-1</f>
        <v>0.24820896717243102</v>
      </c>
      <c r="CO128" s="64">
        <f t="shared" si="244"/>
        <v>0.2568496986340012</v>
      </c>
      <c r="CP128" s="64">
        <f t="shared" si="244"/>
        <v>0.26719324217442808</v>
      </c>
      <c r="CQ128" s="64">
        <f t="shared" si="244"/>
        <v>0.23365152376346265</v>
      </c>
      <c r="CR128" s="405">
        <f t="shared" si="244"/>
        <v>0.25133587676148217</v>
      </c>
      <c r="CS128" s="64">
        <f t="shared" si="244"/>
        <v>8.9572425828970514E-2</v>
      </c>
      <c r="CT128" s="64">
        <f t="shared" si="244"/>
        <v>8.2594166426007698E-2</v>
      </c>
      <c r="CU128" s="64">
        <f t="shared" si="244"/>
        <v>7.9184258742930114E-2</v>
      </c>
      <c r="CV128" s="64">
        <f t="shared" si="244"/>
        <v>7.1893876584152583E-2</v>
      </c>
      <c r="CW128" s="405">
        <f t="shared" si="244"/>
        <v>8.0578724101891375E-2</v>
      </c>
      <c r="CX128" s="64">
        <f t="shared" si="244"/>
        <v>0.10559404156488994</v>
      </c>
      <c r="CY128" s="64">
        <f t="shared" si="244"/>
        <v>8.6467741320833902E-2</v>
      </c>
      <c r="CZ128" s="64">
        <f t="shared" si="244"/>
        <v>6.7025909795526584E-2</v>
      </c>
      <c r="DA128" s="64">
        <f t="shared" si="244"/>
        <v>8.5451197053407091E-2</v>
      </c>
      <c r="DB128" s="405"/>
      <c r="DC128" s="64"/>
      <c r="DD128" s="64"/>
      <c r="DE128" s="64"/>
      <c r="DF128" s="64"/>
      <c r="DG128" s="405"/>
      <c r="DH128" s="64"/>
      <c r="DI128" s="64"/>
      <c r="DJ128" s="64"/>
      <c r="DK128" s="64"/>
      <c r="DL128" s="405"/>
      <c r="DM128" s="64"/>
      <c r="DN128" s="64"/>
      <c r="DO128" s="64"/>
      <c r="DP128" s="64"/>
      <c r="DQ128" s="405"/>
      <c r="DR128" s="67"/>
      <c r="DS128" s="64"/>
      <c r="DT128"/>
      <c r="DU128"/>
      <c r="DV128"/>
      <c r="DW128"/>
      <c r="DX128"/>
      <c r="DY128"/>
    </row>
    <row r="129" spans="1:129" s="184" customFormat="1" hidden="1" outlineLevel="1">
      <c r="A129" s="680"/>
      <c r="B129" s="639"/>
      <c r="C129" s="640" t="s">
        <v>29</v>
      </c>
      <c r="D129" s="640"/>
      <c r="E129" s="640"/>
      <c r="F129" s="640"/>
      <c r="G129" s="67"/>
      <c r="H129" s="64"/>
      <c r="I129" s="64"/>
      <c r="J129" s="64"/>
      <c r="K129" s="67"/>
      <c r="L129" s="67">
        <f t="shared" si="236"/>
        <v>1.5863354037267077</v>
      </c>
      <c r="M129" s="64">
        <f t="shared" si="236"/>
        <v>1.2330586080586077</v>
      </c>
      <c r="N129" s="64">
        <f t="shared" si="236"/>
        <v>0.43228819212808522</v>
      </c>
      <c r="O129" s="64">
        <f t="shared" si="236"/>
        <v>8.8912984548658258E-2</v>
      </c>
      <c r="P129" s="64">
        <f t="shared" si="236"/>
        <v>0.65556721686861952</v>
      </c>
      <c r="Q129" s="67">
        <f t="shared" si="236"/>
        <v>1.2728146013448516E-2</v>
      </c>
      <c r="R129" s="64">
        <f t="shared" si="236"/>
        <v>9.4525322944433166E-2</v>
      </c>
      <c r="S129" s="64">
        <f t="shared" si="236"/>
        <v>0.28784350256171409</v>
      </c>
      <c r="T129" s="64">
        <f t="shared" si="236"/>
        <v>0.46228528752800591</v>
      </c>
      <c r="U129" s="64">
        <f t="shared" si="236"/>
        <v>0.20787229137851537</v>
      </c>
      <c r="V129" s="67">
        <f t="shared" si="237"/>
        <v>0.38273654256580536</v>
      </c>
      <c r="W129" s="64">
        <f t="shared" si="237"/>
        <v>6.9127013862869902E-2</v>
      </c>
      <c r="X129" s="64">
        <f t="shared" si="237"/>
        <v>2.4412296564195302E-2</v>
      </c>
      <c r="Y129" s="64">
        <f t="shared" si="237"/>
        <v>0.19475655430711658</v>
      </c>
      <c r="Z129" s="64">
        <f t="shared" si="237"/>
        <v>0.15563719643112739</v>
      </c>
      <c r="AA129" s="67">
        <f t="shared" si="237"/>
        <v>-4.5789744469216354E-2</v>
      </c>
      <c r="AB129" s="64">
        <f t="shared" si="237"/>
        <v>0.19169441037322588</v>
      </c>
      <c r="AC129" s="64">
        <f t="shared" si="237"/>
        <v>0.41624007060900259</v>
      </c>
      <c r="AD129" s="64">
        <f t="shared" si="237"/>
        <v>6.8395554288971372E-2</v>
      </c>
      <c r="AE129" s="64">
        <f t="shared" si="237"/>
        <v>0.15131497460881049</v>
      </c>
      <c r="AF129" s="67">
        <f t="shared" si="238"/>
        <v>0.48202731847591673</v>
      </c>
      <c r="AG129" s="64">
        <f t="shared" si="238"/>
        <v>0.34171445375680043</v>
      </c>
      <c r="AH129" s="64">
        <f t="shared" si="238"/>
        <v>0.265486725663717</v>
      </c>
      <c r="AI129" s="64">
        <f t="shared" si="238"/>
        <v>0.68524939983995647</v>
      </c>
      <c r="AJ129" s="64">
        <f t="shared" si="238"/>
        <v>0.44014917879939741</v>
      </c>
      <c r="AK129" s="67">
        <f t="shared" si="238"/>
        <v>0.78704826582585485</v>
      </c>
      <c r="AL129" s="64">
        <f t="shared" si="238"/>
        <v>0.86564383561643843</v>
      </c>
      <c r="AM129" s="64">
        <f t="shared" si="238"/>
        <v>1.044223382251551</v>
      </c>
      <c r="AN129" s="64">
        <f t="shared" si="238"/>
        <v>0.67711301044634387</v>
      </c>
      <c r="AO129" s="64">
        <f t="shared" si="238"/>
        <v>0.83533366533864539</v>
      </c>
      <c r="AP129" s="67">
        <f t="shared" si="239"/>
        <v>0.60016286644951111</v>
      </c>
      <c r="AQ129" s="64">
        <f t="shared" si="239"/>
        <v>0.46927866541353391</v>
      </c>
      <c r="AR129" s="64">
        <f t="shared" si="239"/>
        <v>0.26624909660322804</v>
      </c>
      <c r="AS129" s="64">
        <f t="shared" si="239"/>
        <v>0.36056058890147269</v>
      </c>
      <c r="AT129" s="64">
        <f t="shared" si="239"/>
        <v>0.40701697260775771</v>
      </c>
      <c r="AU129" s="67">
        <f t="shared" si="239"/>
        <v>0.48893129770992383</v>
      </c>
      <c r="AV129" s="64">
        <f t="shared" si="239"/>
        <v>0.69563826810058749</v>
      </c>
      <c r="AW129" s="64">
        <f t="shared" si="239"/>
        <v>0.86868840607282816</v>
      </c>
      <c r="AX129" s="64">
        <f t="shared" si="239"/>
        <v>0.98505185031040821</v>
      </c>
      <c r="AY129" s="64">
        <f t="shared" si="239"/>
        <v>0.77295650245402925</v>
      </c>
      <c r="AZ129" s="67">
        <f t="shared" si="240"/>
        <v>0.84118032413341282</v>
      </c>
      <c r="BA129" s="64">
        <f t="shared" si="240"/>
        <v>0.7882960413080895</v>
      </c>
      <c r="BB129" s="64">
        <f t="shared" si="240"/>
        <v>0.91804280100181246</v>
      </c>
      <c r="BC129" s="64">
        <f t="shared" si="240"/>
        <v>0.89010221018607516</v>
      </c>
      <c r="BD129" s="64">
        <f t="shared" si="240"/>
        <v>0.86473992211804118</v>
      </c>
      <c r="BE129" s="67">
        <f t="shared" si="240"/>
        <v>0.87486463908913703</v>
      </c>
      <c r="BF129" s="64">
        <f t="shared" si="240"/>
        <v>0.83217530027555497</v>
      </c>
      <c r="BG129" s="64">
        <f t="shared" si="240"/>
        <v>0.53962440417423041</v>
      </c>
      <c r="BH129" s="64">
        <f t="shared" si="240"/>
        <v>0.25673876871880252</v>
      </c>
      <c r="BI129" s="64">
        <f t="shared" si="240"/>
        <v>0.57829006084009515</v>
      </c>
      <c r="BJ129" s="67">
        <f t="shared" si="241"/>
        <v>0.12238953752217507</v>
      </c>
      <c r="BK129" s="64">
        <f t="shared" si="241"/>
        <v>-1.6263087827870226E-3</v>
      </c>
      <c r="BL129" s="64">
        <f t="shared" si="241"/>
        <v>0.13291916043798446</v>
      </c>
      <c r="BM129" s="64">
        <f t="shared" si="241"/>
        <v>0.23374082410226937</v>
      </c>
      <c r="BN129" s="64">
        <f t="shared" si="241"/>
        <v>0.12133968533213069</v>
      </c>
      <c r="BO129" s="67">
        <f t="shared" si="241"/>
        <v>0.27644308524715511</v>
      </c>
      <c r="BP129" s="64">
        <f t="shared" si="241"/>
        <v>0.44278104930841344</v>
      </c>
      <c r="BQ129" s="64">
        <f t="shared" si="241"/>
        <v>0.39788198776665351</v>
      </c>
      <c r="BR129" s="64">
        <f t="shared" si="241"/>
        <v>0.50295709822812618</v>
      </c>
      <c r="BS129" s="64">
        <f t="shared" si="241"/>
        <v>0.40996928167909252</v>
      </c>
      <c r="BT129" s="67">
        <f t="shared" si="242"/>
        <v>0.4737260412827129</v>
      </c>
      <c r="BU129" s="64">
        <f t="shared" si="242"/>
        <v>0.38252485387420698</v>
      </c>
      <c r="BV129" s="64">
        <f t="shared" si="242"/>
        <v>0.26527022496614827</v>
      </c>
      <c r="BW129" s="64">
        <f t="shared" si="242"/>
        <v>8.7860083936943667E-2</v>
      </c>
      <c r="BX129" s="64">
        <f t="shared" si="242"/>
        <v>0.28273383397130569</v>
      </c>
      <c r="BY129" s="67">
        <f t="shared" si="242"/>
        <v>0.10957613937456534</v>
      </c>
      <c r="BZ129" s="64">
        <f t="shared" si="242"/>
        <v>2.1467803714678046E-2</v>
      </c>
      <c r="CA129" s="64">
        <f t="shared" si="242"/>
        <v>4.1437547745057035E-2</v>
      </c>
      <c r="CB129" s="64">
        <f t="shared" si="242"/>
        <v>0.18958733677796724</v>
      </c>
      <c r="CC129" s="405">
        <f t="shared" si="242"/>
        <v>8.9309551470420745E-2</v>
      </c>
      <c r="CD129" s="64">
        <f t="shared" si="243"/>
        <v>0.22657744122567558</v>
      </c>
      <c r="CE129" s="64">
        <f t="shared" si="243"/>
        <v>0.36984091608562308</v>
      </c>
      <c r="CF129" s="64">
        <f t="shared" si="243"/>
        <v>0.37009330971954202</v>
      </c>
      <c r="CG129" s="64">
        <f t="shared" si="243"/>
        <v>0.31519820007601873</v>
      </c>
      <c r="CH129" s="405">
        <f t="shared" si="243"/>
        <v>0.32096880776919923</v>
      </c>
      <c r="CI129" s="64">
        <f t="shared" si="243"/>
        <v>0.34999827712946807</v>
      </c>
      <c r="CJ129" s="64">
        <f t="shared" si="243"/>
        <v>0.20406840414432836</v>
      </c>
      <c r="CK129" s="64">
        <f t="shared" si="243"/>
        <v>0.13856787312856911</v>
      </c>
      <c r="CL129" s="64">
        <f t="shared" si="243"/>
        <v>0.10724948434386405</v>
      </c>
      <c r="CM129" s="405">
        <f t="shared" si="243"/>
        <v>0.19274571699051113</v>
      </c>
      <c r="CN129" s="64">
        <f t="shared" si="244"/>
        <v>1.2240904401833674E-2</v>
      </c>
      <c r="CO129" s="64">
        <f t="shared" si="244"/>
        <v>7.7321345461330626E-2</v>
      </c>
      <c r="CP129" s="64">
        <f t="shared" si="244"/>
        <v>7.8341248088385607E-2</v>
      </c>
      <c r="CQ129" s="64">
        <f t="shared" si="244"/>
        <v>9.6442298382173997E-2</v>
      </c>
      <c r="CR129" s="405">
        <f t="shared" si="244"/>
        <v>6.6155585875907308E-2</v>
      </c>
      <c r="CS129" s="64">
        <f t="shared" si="244"/>
        <v>0.10401344820340386</v>
      </c>
      <c r="CT129" s="64">
        <f t="shared" si="244"/>
        <v>8.9388811467250751E-2</v>
      </c>
      <c r="CU129" s="64">
        <f t="shared" si="244"/>
        <v>5.6177568257709698E-2</v>
      </c>
      <c r="CV129" s="64">
        <f t="shared" si="244"/>
        <v>2.7068535227490864E-2</v>
      </c>
      <c r="CW129" s="405">
        <f t="shared" si="244"/>
        <v>6.827009262025685E-2</v>
      </c>
      <c r="CX129" s="64">
        <f t="shared" si="244"/>
        <v>6.3951275218880888E-2</v>
      </c>
      <c r="CY129" s="64">
        <f t="shared" si="244"/>
        <v>5.8114035087719174E-2</v>
      </c>
      <c r="CZ129" s="64">
        <f t="shared" si="244"/>
        <v>0.16793751162358173</v>
      </c>
      <c r="DA129" s="64">
        <f t="shared" si="244"/>
        <v>0.18130841121495322</v>
      </c>
      <c r="DB129" s="405"/>
      <c r="DC129" s="64"/>
      <c r="DD129" s="64"/>
      <c r="DE129" s="64"/>
      <c r="DF129" s="64"/>
      <c r="DG129" s="405"/>
      <c r="DH129" s="64"/>
      <c r="DI129" s="64"/>
      <c r="DJ129" s="64"/>
      <c r="DK129" s="64"/>
      <c r="DL129" s="405"/>
      <c r="DM129" s="64"/>
      <c r="DN129" s="64"/>
      <c r="DO129" s="64"/>
      <c r="DP129" s="64"/>
      <c r="DQ129" s="405"/>
      <c r="DR129" s="67"/>
      <c r="DS129" s="64"/>
      <c r="DT129"/>
      <c r="DU129"/>
      <c r="DV129"/>
      <c r="DW129"/>
      <c r="DX129"/>
      <c r="DY129"/>
    </row>
    <row r="130" spans="1:129" s="184" customFormat="1" hidden="1" outlineLevel="1">
      <c r="A130" s="680"/>
      <c r="B130" s="639"/>
      <c r="C130" s="640"/>
      <c r="D130" s="640" t="s">
        <v>31</v>
      </c>
      <c r="E130" s="640"/>
      <c r="F130" s="640"/>
      <c r="G130" s="67"/>
      <c r="H130" s="64"/>
      <c r="I130" s="64"/>
      <c r="J130" s="64"/>
      <c r="K130" s="67"/>
      <c r="L130" s="67"/>
      <c r="M130" s="64"/>
      <c r="N130" s="64"/>
      <c r="O130" s="64"/>
      <c r="P130" s="64"/>
      <c r="Q130" s="67"/>
      <c r="R130" s="64"/>
      <c r="S130" s="64"/>
      <c r="T130" s="64"/>
      <c r="U130" s="64"/>
      <c r="V130" s="67"/>
      <c r="W130" s="64"/>
      <c r="X130" s="64"/>
      <c r="Y130" s="64"/>
      <c r="Z130" s="64"/>
      <c r="AA130" s="67"/>
      <c r="AB130" s="64"/>
      <c r="AC130" s="64"/>
      <c r="AD130" s="64"/>
      <c r="AE130" s="64"/>
      <c r="AF130" s="67"/>
      <c r="AG130" s="64"/>
      <c r="AH130" s="64"/>
      <c r="AI130" s="64"/>
      <c r="AJ130" s="64"/>
      <c r="AK130" s="67"/>
      <c r="AL130" s="64"/>
      <c r="AM130" s="64"/>
      <c r="AN130" s="64"/>
      <c r="AO130" s="64"/>
      <c r="AP130" s="67">
        <f t="shared" ref="AP130:AY133" si="245">AP114/AK114-1</f>
        <v>0.32579489476041212</v>
      </c>
      <c r="AQ130" s="64">
        <f t="shared" si="245"/>
        <v>0.34136274443467096</v>
      </c>
      <c r="AR130" s="64">
        <f t="shared" si="245"/>
        <v>0.22241267214374361</v>
      </c>
      <c r="AS130" s="64">
        <f t="shared" si="245"/>
        <v>0.39920629999379975</v>
      </c>
      <c r="AT130" s="64">
        <f t="shared" si="245"/>
        <v>0.32032079447266559</v>
      </c>
      <c r="AU130" s="67">
        <f t="shared" si="245"/>
        <v>0.53296177447503235</v>
      </c>
      <c r="AV130" s="64">
        <f t="shared" si="245"/>
        <v>0.61829096045197751</v>
      </c>
      <c r="AW130" s="64">
        <f t="shared" si="245"/>
        <v>0.7400154723914516</v>
      </c>
      <c r="AX130" s="64">
        <f t="shared" si="245"/>
        <v>0.75617106137823997</v>
      </c>
      <c r="AY130" s="64">
        <f t="shared" si="245"/>
        <v>0.66917386248360811</v>
      </c>
      <c r="AZ130" s="67">
        <f t="shared" ref="AZ130:BI133" si="246">AZ114/AU114-1</f>
        <v>0.55339698861549746</v>
      </c>
      <c r="BA130" s="64">
        <f t="shared" si="246"/>
        <v>0.4969919890277732</v>
      </c>
      <c r="BB130" s="64">
        <f t="shared" si="246"/>
        <v>0.66362853252563414</v>
      </c>
      <c r="BC130" s="64">
        <f t="shared" si="246"/>
        <v>0.78752397294842136</v>
      </c>
      <c r="BD130" s="64">
        <f t="shared" si="246"/>
        <v>0.63814980063145743</v>
      </c>
      <c r="BE130" s="67">
        <f t="shared" si="246"/>
        <v>0.7762358448190263</v>
      </c>
      <c r="BF130" s="64">
        <f t="shared" si="246"/>
        <v>0.70827693909422185</v>
      </c>
      <c r="BG130" s="64">
        <f t="shared" si="246"/>
        <v>0.48024854265145556</v>
      </c>
      <c r="BH130" s="64">
        <f t="shared" si="246"/>
        <v>0.1604410186910612</v>
      </c>
      <c r="BI130" s="64">
        <f t="shared" si="246"/>
        <v>0.48394554560713754</v>
      </c>
      <c r="BJ130" s="67">
        <f t="shared" ref="BJ130:BS133" si="247">BJ114/BE114-1</f>
        <v>6.9862776676028027E-2</v>
      </c>
      <c r="BK130" s="64">
        <f t="shared" si="247"/>
        <v>-4.1882008776206847E-2</v>
      </c>
      <c r="BL130" s="64">
        <f t="shared" si="247"/>
        <v>9.3296171336364919E-2</v>
      </c>
      <c r="BM130" s="64">
        <f t="shared" si="247"/>
        <v>0.18728482621865883</v>
      </c>
      <c r="BN130" s="64">
        <f t="shared" si="247"/>
        <v>7.7671915730422647E-2</v>
      </c>
      <c r="BO130" s="67">
        <f t="shared" si="247"/>
        <v>0.32642880246821404</v>
      </c>
      <c r="BP130" s="64">
        <f t="shared" si="247"/>
        <v>0.65824894407409285</v>
      </c>
      <c r="BQ130" s="64">
        <f t="shared" si="247"/>
        <v>0.58433877942800527</v>
      </c>
      <c r="BR130" s="64">
        <f t="shared" si="247"/>
        <v>0.72984548547071615</v>
      </c>
      <c r="BS130" s="64">
        <f t="shared" si="247"/>
        <v>0.58229953801019052</v>
      </c>
      <c r="BT130" s="67">
        <f t="shared" ref="BT130:CC133" si="248">BT114/BO114-1</f>
        <v>0.52742893051087503</v>
      </c>
      <c r="BU130" s="64">
        <f t="shared" si="248"/>
        <v>0.35267942767271476</v>
      </c>
      <c r="BV130" s="64">
        <f t="shared" si="248"/>
        <v>0.19694472492752668</v>
      </c>
      <c r="BW130" s="64">
        <f t="shared" si="248"/>
        <v>4.2167675594991127E-2</v>
      </c>
      <c r="BX130" s="64">
        <f t="shared" si="248"/>
        <v>0.24952038004852528</v>
      </c>
      <c r="BY130" s="67">
        <f t="shared" si="248"/>
        <v>0.10733408655499344</v>
      </c>
      <c r="BZ130" s="64">
        <f t="shared" si="248"/>
        <v>3.7801661798485542E-2</v>
      </c>
      <c r="CA130" s="64">
        <f t="shared" si="248"/>
        <v>6.4227673250352391E-2</v>
      </c>
      <c r="CB130" s="64">
        <f t="shared" si="248"/>
        <v>0.17128648157094539</v>
      </c>
      <c r="CC130" s="405">
        <f t="shared" si="248"/>
        <v>9.4559227763206133E-2</v>
      </c>
      <c r="CD130" s="64">
        <f t="shared" ref="CD130:CM133" si="249">CD114/BY114-1</f>
        <v>0.20002661698163404</v>
      </c>
      <c r="CE130" s="64">
        <f t="shared" si="249"/>
        <v>0.2779812001311619</v>
      </c>
      <c r="CF130" s="64">
        <f t="shared" si="249"/>
        <v>0.2600977815053851</v>
      </c>
      <c r="CG130" s="64">
        <f t="shared" si="249"/>
        <v>0.19335507225279258</v>
      </c>
      <c r="CH130" s="405">
        <f t="shared" si="249"/>
        <v>0.23223250049677358</v>
      </c>
      <c r="CI130" s="64">
        <f t="shared" si="249"/>
        <v>0.28242024324424242</v>
      </c>
      <c r="CJ130" s="64">
        <f t="shared" si="249"/>
        <v>0.13754409972417636</v>
      </c>
      <c r="CK130" s="64">
        <f t="shared" si="249"/>
        <v>0.12418576524876523</v>
      </c>
      <c r="CL130" s="64">
        <f t="shared" si="249"/>
        <v>0.13303839726099809</v>
      </c>
      <c r="CM130" s="405">
        <f t="shared" si="249"/>
        <v>0.16613885944838591</v>
      </c>
      <c r="CN130" s="64">
        <f t="shared" ref="CN130:DA133" si="250">CN114/CI114-1</f>
        <v>2.7291136686292461E-2</v>
      </c>
      <c r="CO130" s="64">
        <f t="shared" si="250"/>
        <v>0.11875913972835517</v>
      </c>
      <c r="CP130" s="64">
        <f t="shared" si="250"/>
        <v>8.2687114615373591E-2</v>
      </c>
      <c r="CQ130" s="64">
        <f t="shared" si="250"/>
        <v>9.7804749378245459E-2</v>
      </c>
      <c r="CR130" s="405">
        <f t="shared" si="250"/>
        <v>8.1262543464297732E-2</v>
      </c>
      <c r="CS130" s="64">
        <f t="shared" si="250"/>
        <v>4.8053314626446797E-2</v>
      </c>
      <c r="CT130" s="64">
        <f t="shared" si="250"/>
        <v>4.4018817204301008E-2</v>
      </c>
      <c r="CU130" s="64">
        <f t="shared" si="250"/>
        <v>-2.300766922307429E-2</v>
      </c>
      <c r="CV130" s="64">
        <f t="shared" si="250"/>
        <v>-0.10755148741418763</v>
      </c>
      <c r="CW130" s="405">
        <f t="shared" si="250"/>
        <v>-1.0938157341186416E-2</v>
      </c>
      <c r="CX130" s="64">
        <f t="shared" si="250"/>
        <v>-8.2998661311914357E-2</v>
      </c>
      <c r="CY130" s="64">
        <f t="shared" si="250"/>
        <v>-7.3060830383006037E-2</v>
      </c>
      <c r="CZ130" s="64">
        <f t="shared" si="250"/>
        <v>2.7303754266211566E-2</v>
      </c>
      <c r="DA130" s="64">
        <f t="shared" si="250"/>
        <v>5.1282051282051322E-2</v>
      </c>
      <c r="DB130" s="405"/>
      <c r="DC130" s="64"/>
      <c r="DD130" s="64"/>
      <c r="DE130" s="64"/>
      <c r="DF130" s="64"/>
      <c r="DG130" s="405"/>
      <c r="DH130" s="64"/>
      <c r="DI130" s="64"/>
      <c r="DJ130" s="64"/>
      <c r="DK130" s="64"/>
      <c r="DL130" s="405"/>
      <c r="DM130" s="64"/>
      <c r="DN130" s="64"/>
      <c r="DO130" s="64"/>
      <c r="DP130" s="64"/>
      <c r="DQ130" s="405"/>
      <c r="DR130" s="67"/>
      <c r="DS130" s="64"/>
      <c r="DT130"/>
      <c r="DU130"/>
      <c r="DV130"/>
      <c r="DW130"/>
      <c r="DX130"/>
      <c r="DY130"/>
    </row>
    <row r="131" spans="1:129" s="184" customFormat="1" hidden="1" outlineLevel="1">
      <c r="A131" s="680"/>
      <c r="B131" s="639"/>
      <c r="C131" s="640"/>
      <c r="D131" s="640" t="s">
        <v>32</v>
      </c>
      <c r="E131" s="640"/>
      <c r="F131" s="640"/>
      <c r="G131" s="67"/>
      <c r="H131" s="64"/>
      <c r="I131" s="64"/>
      <c r="J131" s="64"/>
      <c r="K131" s="67"/>
      <c r="L131" s="67"/>
      <c r="M131" s="64"/>
      <c r="N131" s="64"/>
      <c r="O131" s="64"/>
      <c r="P131" s="64"/>
      <c r="Q131" s="67"/>
      <c r="R131" s="64"/>
      <c r="S131" s="64"/>
      <c r="T131" s="64"/>
      <c r="U131" s="64"/>
      <c r="V131" s="67"/>
      <c r="W131" s="64"/>
      <c r="X131" s="64"/>
      <c r="Y131" s="64"/>
      <c r="Z131" s="64"/>
      <c r="AA131" s="67"/>
      <c r="AB131" s="64"/>
      <c r="AC131" s="64"/>
      <c r="AD131" s="64"/>
      <c r="AE131" s="64"/>
      <c r="AF131" s="67"/>
      <c r="AG131" s="64"/>
      <c r="AH131" s="64"/>
      <c r="AI131" s="64"/>
      <c r="AJ131" s="64"/>
      <c r="AK131" s="67"/>
      <c r="AL131" s="64"/>
      <c r="AM131" s="64"/>
      <c r="AN131" s="64"/>
      <c r="AO131" s="64"/>
      <c r="AP131" s="67">
        <f t="shared" si="245"/>
        <v>3.3475336322869902</v>
      </c>
      <c r="AQ131" s="64">
        <f t="shared" si="245"/>
        <v>1.3113585746102441</v>
      </c>
      <c r="AR131" s="64">
        <f t="shared" si="245"/>
        <v>0.45959332638164807</v>
      </c>
      <c r="AS131" s="64">
        <f t="shared" si="245"/>
        <v>0.23751233958538998</v>
      </c>
      <c r="AT131" s="64">
        <f t="shared" si="245"/>
        <v>0.83218519705222693</v>
      </c>
      <c r="AU131" s="67">
        <f t="shared" si="245"/>
        <v>0.35447825339522199</v>
      </c>
      <c r="AV131" s="64">
        <f t="shared" si="245"/>
        <v>0.99113509346694806</v>
      </c>
      <c r="AW131" s="64">
        <f t="shared" si="245"/>
        <v>1.3439899982139658</v>
      </c>
      <c r="AX131" s="64">
        <f t="shared" si="245"/>
        <v>1.8090299936183825</v>
      </c>
      <c r="AY131" s="64">
        <f t="shared" si="245"/>
        <v>1.13972806365584</v>
      </c>
      <c r="AZ131" s="67">
        <f t="shared" si="246"/>
        <v>1.835765960147226</v>
      </c>
      <c r="BA131" s="64">
        <f t="shared" si="246"/>
        <v>1.6927990708478524</v>
      </c>
      <c r="BB131" s="64">
        <f t="shared" si="246"/>
        <v>1.6156659555013726</v>
      </c>
      <c r="BC131" s="64">
        <f t="shared" si="246"/>
        <v>1.1209746123700781</v>
      </c>
      <c r="BD131" s="64">
        <f t="shared" si="246"/>
        <v>1.4894160434800372</v>
      </c>
      <c r="BE131" s="67">
        <f t="shared" si="246"/>
        <v>1.0615852839815605</v>
      </c>
      <c r="BF131" s="64">
        <f t="shared" si="246"/>
        <v>1.046042700021566</v>
      </c>
      <c r="BG131" s="64">
        <f t="shared" si="246"/>
        <v>0.64317758098345346</v>
      </c>
      <c r="BH131" s="64">
        <f t="shared" si="246"/>
        <v>0.43940124250214363</v>
      </c>
      <c r="BI131" s="64">
        <f t="shared" si="246"/>
        <v>0.74944392918407443</v>
      </c>
      <c r="BJ131" s="67">
        <f t="shared" si="247"/>
        <v>0.20806738743432751</v>
      </c>
      <c r="BK131" s="64">
        <f t="shared" si="247"/>
        <v>5.6389986824769478E-2</v>
      </c>
      <c r="BL131" s="64">
        <f t="shared" si="247"/>
        <v>0.19517081213324605</v>
      </c>
      <c r="BM131" s="64">
        <f t="shared" si="247"/>
        <v>0.30478298885643484</v>
      </c>
      <c r="BN131" s="64">
        <f t="shared" si="247"/>
        <v>0.18853654989279667</v>
      </c>
      <c r="BO131" s="67">
        <f t="shared" si="247"/>
        <v>0.20423750134780616</v>
      </c>
      <c r="BP131" s="64">
        <f t="shared" si="247"/>
        <v>0.1611374407582935</v>
      </c>
      <c r="BQ131" s="64">
        <f t="shared" si="247"/>
        <v>0.12990981369407839</v>
      </c>
      <c r="BR131" s="64">
        <f t="shared" si="247"/>
        <v>0.18723622675943918</v>
      </c>
      <c r="BS131" s="64">
        <f t="shared" si="247"/>
        <v>0.16951995989468438</v>
      </c>
      <c r="BT131" s="67">
        <f t="shared" si="248"/>
        <v>0.38827953619554978</v>
      </c>
      <c r="BU131" s="64">
        <f t="shared" si="248"/>
        <v>0.43823845327604771</v>
      </c>
      <c r="BV131" s="64">
        <f t="shared" si="248"/>
        <v>0.40295901488696928</v>
      </c>
      <c r="BW131" s="64">
        <f t="shared" si="248"/>
        <v>0.180501513186337</v>
      </c>
      <c r="BX131" s="64">
        <f t="shared" si="248"/>
        <v>0.34543233044640442</v>
      </c>
      <c r="BY131" s="67">
        <f t="shared" si="248"/>
        <v>0.11350102117596461</v>
      </c>
      <c r="BZ131" s="64">
        <f t="shared" si="248"/>
        <v>-7.2093602190691497E-3</v>
      </c>
      <c r="CA131" s="64">
        <f t="shared" si="248"/>
        <v>2.2550973621913162E-3</v>
      </c>
      <c r="CB131" s="64">
        <f t="shared" si="248"/>
        <v>0.22234429998575833</v>
      </c>
      <c r="CC131" s="405">
        <f t="shared" si="248"/>
        <v>8.0105965049596106E-2</v>
      </c>
      <c r="CD131" s="64">
        <f t="shared" si="249"/>
        <v>0.27279923544005658</v>
      </c>
      <c r="CE131" s="64">
        <f t="shared" si="249"/>
        <v>0.53842990541719771</v>
      </c>
      <c r="CF131" s="64">
        <f t="shared" si="249"/>
        <v>0.57089907571655285</v>
      </c>
      <c r="CG131" s="64">
        <f t="shared" si="249"/>
        <v>0.5241773057909016</v>
      </c>
      <c r="CH131" s="405">
        <f t="shared" si="249"/>
        <v>0.47862056791947127</v>
      </c>
      <c r="CI131" s="64">
        <f t="shared" si="249"/>
        <v>0.46091711667981294</v>
      </c>
      <c r="CJ131" s="64">
        <f t="shared" si="249"/>
        <v>0.30549017818141522</v>
      </c>
      <c r="CK131" s="64">
        <f t="shared" si="249"/>
        <v>0.15962890543745067</v>
      </c>
      <c r="CL131" s="64">
        <f t="shared" si="249"/>
        <v>7.2618163550585368E-2</v>
      </c>
      <c r="CM131" s="405">
        <f t="shared" si="249"/>
        <v>0.23213943508433532</v>
      </c>
      <c r="CN131" s="64">
        <f t="shared" si="250"/>
        <v>-9.443512841412316E-3</v>
      </c>
      <c r="CO131" s="64">
        <f t="shared" si="250"/>
        <v>2.2273272073511707E-2</v>
      </c>
      <c r="CP131" s="64">
        <f t="shared" si="250"/>
        <v>7.2171711477157396E-2</v>
      </c>
      <c r="CQ131" s="64">
        <f t="shared" si="250"/>
        <v>9.4509634230152351E-2</v>
      </c>
      <c r="CR131" s="405">
        <f t="shared" si="250"/>
        <v>4.4986563183633033E-2</v>
      </c>
      <c r="CS131" s="64">
        <f t="shared" si="250"/>
        <v>0.18763102725366876</v>
      </c>
      <c r="CT131" s="64">
        <f t="shared" si="250"/>
        <v>0.15534929164631173</v>
      </c>
      <c r="CU131" s="64">
        <f t="shared" si="250"/>
        <v>0.16969407265774383</v>
      </c>
      <c r="CV131" s="64">
        <f t="shared" si="250"/>
        <v>0.2186046511627906</v>
      </c>
      <c r="CW131" s="405">
        <f t="shared" si="250"/>
        <v>0.18311577406368174</v>
      </c>
      <c r="CX131" s="64">
        <f t="shared" si="250"/>
        <v>0.25772285966460728</v>
      </c>
      <c r="CY131" s="64">
        <f t="shared" si="250"/>
        <v>0.23044397463002109</v>
      </c>
      <c r="CZ131" s="64">
        <f t="shared" si="250"/>
        <v>0.33633020024519822</v>
      </c>
      <c r="DA131" s="64">
        <f t="shared" si="250"/>
        <v>0.31679389312977091</v>
      </c>
      <c r="DB131" s="405"/>
      <c r="DC131" s="64"/>
      <c r="DD131" s="64"/>
      <c r="DE131" s="64"/>
      <c r="DF131" s="64"/>
      <c r="DG131" s="405"/>
      <c r="DH131" s="64"/>
      <c r="DI131" s="64"/>
      <c r="DJ131" s="64"/>
      <c r="DK131" s="64"/>
      <c r="DL131" s="405"/>
      <c r="DM131" s="64"/>
      <c r="DN131" s="64"/>
      <c r="DO131" s="64"/>
      <c r="DP131" s="64"/>
      <c r="DQ131" s="405"/>
      <c r="DR131" s="67"/>
      <c r="DS131" s="64"/>
      <c r="DT131"/>
      <c r="DU131"/>
      <c r="DV131"/>
      <c r="DW131"/>
      <c r="DX131"/>
      <c r="DY131"/>
    </row>
    <row r="132" spans="1:129" s="184" customFormat="1" hidden="1" outlineLevel="1">
      <c r="A132" s="680"/>
      <c r="B132" s="639"/>
      <c r="C132" s="640" t="s">
        <v>30</v>
      </c>
      <c r="D132" s="640"/>
      <c r="E132" s="640"/>
      <c r="F132" s="640"/>
      <c r="G132" s="67"/>
      <c r="H132" s="64"/>
      <c r="I132" s="64"/>
      <c r="J132" s="64"/>
      <c r="K132" s="67"/>
      <c r="L132" s="67">
        <f t="shared" ref="L132:U133" si="251">L116/G116-1</f>
        <v>0.39285714285714279</v>
      </c>
      <c r="M132" s="64">
        <f t="shared" si="251"/>
        <v>5.75</v>
      </c>
      <c r="N132" s="64">
        <f t="shared" si="251"/>
        <v>1.2954545454545459</v>
      </c>
      <c r="O132" s="64">
        <f t="shared" si="251"/>
        <v>-0.43877551020408145</v>
      </c>
      <c r="P132" s="64">
        <f t="shared" si="251"/>
        <v>0.57438016528925617</v>
      </c>
      <c r="Q132" s="67">
        <f t="shared" si="251"/>
        <v>1.3760683760683761</v>
      </c>
      <c r="R132" s="64">
        <f t="shared" si="251"/>
        <v>1.6666666666666665</v>
      </c>
      <c r="S132" s="64">
        <f t="shared" si="251"/>
        <v>2.1089108910891086</v>
      </c>
      <c r="T132" s="64">
        <f t="shared" si="251"/>
        <v>3.7272727272727275</v>
      </c>
      <c r="U132" s="64">
        <f t="shared" si="251"/>
        <v>1.992125984251969</v>
      </c>
      <c r="V132" s="67">
        <f t="shared" ref="V132:AE133" si="252">V116/Q116-1</f>
        <v>0.2230215827338129</v>
      </c>
      <c r="W132" s="64">
        <f t="shared" si="252"/>
        <v>0.31944444444444464</v>
      </c>
      <c r="X132" s="64">
        <f t="shared" si="252"/>
        <v>0.28980891719745228</v>
      </c>
      <c r="Y132" s="64">
        <f t="shared" si="252"/>
        <v>0.91923076923076952</v>
      </c>
      <c r="Z132" s="64">
        <f t="shared" si="252"/>
        <v>0.42456140350877192</v>
      </c>
      <c r="AA132" s="67">
        <f t="shared" si="252"/>
        <v>0.79411764705882337</v>
      </c>
      <c r="AB132" s="64">
        <f t="shared" si="252"/>
        <v>-0.1210526315789473</v>
      </c>
      <c r="AC132" s="64">
        <f t="shared" si="252"/>
        <v>-0.26419753086419762</v>
      </c>
      <c r="AD132" s="64">
        <f t="shared" si="252"/>
        <v>-0.29258517034068154</v>
      </c>
      <c r="AE132" s="64">
        <f t="shared" si="252"/>
        <v>-1.7857142857142905E-2</v>
      </c>
      <c r="AF132" s="67">
        <f t="shared" ref="AF132:AO133" si="253">AF116/AA116-1</f>
        <v>-6.8852459016393475E-2</v>
      </c>
      <c r="AG132" s="64">
        <f t="shared" si="253"/>
        <v>1.0958083832335328</v>
      </c>
      <c r="AH132" s="64">
        <f t="shared" si="253"/>
        <v>1.3020134228187921</v>
      </c>
      <c r="AI132" s="64">
        <f t="shared" si="253"/>
        <v>1.2096317280453261</v>
      </c>
      <c r="AJ132" s="64">
        <f t="shared" si="253"/>
        <v>0.71410658307210029</v>
      </c>
      <c r="AK132" s="67">
        <f t="shared" si="253"/>
        <v>0.82746478873239449</v>
      </c>
      <c r="AL132" s="64">
        <f t="shared" si="253"/>
        <v>0.29857142857142871</v>
      </c>
      <c r="AM132" s="64">
        <f t="shared" si="253"/>
        <v>0.77988338192419815</v>
      </c>
      <c r="AN132" s="64">
        <f t="shared" si="253"/>
        <v>0.75128205128205083</v>
      </c>
      <c r="AO132" s="64">
        <f t="shared" si="253"/>
        <v>0.65837600585223099</v>
      </c>
      <c r="AP132" s="67">
        <f t="shared" si="245"/>
        <v>0.97206165703275538</v>
      </c>
      <c r="AQ132" s="64">
        <f t="shared" si="245"/>
        <v>0.92849284928492826</v>
      </c>
      <c r="AR132" s="64">
        <f t="shared" si="245"/>
        <v>1.5413595413595416</v>
      </c>
      <c r="AS132" s="64">
        <f t="shared" si="245"/>
        <v>0.78989751098096672</v>
      </c>
      <c r="AT132" s="64">
        <f t="shared" si="245"/>
        <v>1.0617556241729158</v>
      </c>
      <c r="AU132" s="67">
        <f t="shared" si="245"/>
        <v>0.54567659990229589</v>
      </c>
      <c r="AV132" s="64">
        <f t="shared" si="245"/>
        <v>0.49800342270393605</v>
      </c>
      <c r="AW132" s="64">
        <f t="shared" si="245"/>
        <v>-0.13116339026748303</v>
      </c>
      <c r="AX132" s="64">
        <f t="shared" si="245"/>
        <v>0.74723926380368044</v>
      </c>
      <c r="AY132" s="64">
        <f t="shared" si="245"/>
        <v>0.36478391099700458</v>
      </c>
      <c r="AZ132" s="67">
        <f t="shared" si="246"/>
        <v>0.4399494310998735</v>
      </c>
      <c r="BA132" s="64">
        <f t="shared" si="246"/>
        <v>1.0643564356435644</v>
      </c>
      <c r="BB132" s="64">
        <f t="shared" si="246"/>
        <v>1.3857566765578633</v>
      </c>
      <c r="BC132" s="64">
        <f t="shared" si="246"/>
        <v>0.76474719101123689</v>
      </c>
      <c r="BD132" s="64">
        <f t="shared" si="246"/>
        <v>0.87709672362439273</v>
      </c>
      <c r="BE132" s="67">
        <f t="shared" si="246"/>
        <v>0.76712028094820028</v>
      </c>
      <c r="BF132" s="64">
        <f t="shared" si="246"/>
        <v>0.88249400479616291</v>
      </c>
      <c r="BG132" s="64">
        <f t="shared" si="246"/>
        <v>0.95724502487562191</v>
      </c>
      <c r="BH132" s="64">
        <f t="shared" si="246"/>
        <v>1.1172569306274043</v>
      </c>
      <c r="BI132" s="64">
        <f t="shared" si="246"/>
        <v>0.9545264740270587</v>
      </c>
      <c r="BJ132" s="67">
        <f t="shared" si="247"/>
        <v>0.99279592597192901</v>
      </c>
      <c r="BK132" s="64">
        <f t="shared" si="247"/>
        <v>0.65428711415972574</v>
      </c>
      <c r="BL132" s="64">
        <f t="shared" si="247"/>
        <v>0.68988799745809826</v>
      </c>
      <c r="BM132" s="64">
        <f t="shared" si="247"/>
        <v>0.46905149730610129</v>
      </c>
      <c r="BN132" s="64">
        <f t="shared" si="247"/>
        <v>0.65891853782553889</v>
      </c>
      <c r="BO132" s="67">
        <f t="shared" si="247"/>
        <v>0.89466467215158296</v>
      </c>
      <c r="BP132" s="64">
        <f t="shared" si="247"/>
        <v>1.1357659045136828</v>
      </c>
      <c r="BQ132" s="64">
        <f t="shared" si="247"/>
        <v>0.93950361944157201</v>
      </c>
      <c r="BR132" s="64">
        <f t="shared" si="247"/>
        <v>0.97790950573585289</v>
      </c>
      <c r="BS132" s="64">
        <f t="shared" si="247"/>
        <v>0.98450720550168058</v>
      </c>
      <c r="BT132" s="67">
        <f t="shared" si="248"/>
        <v>0.49397986709651964</v>
      </c>
      <c r="BU132" s="64">
        <f t="shared" si="248"/>
        <v>0.48258264921233662</v>
      </c>
      <c r="BV132" s="64">
        <f t="shared" si="248"/>
        <v>0.44543273308935794</v>
      </c>
      <c r="BW132" s="64">
        <f t="shared" si="248"/>
        <v>0.34137559292798669</v>
      </c>
      <c r="BX132" s="64">
        <f t="shared" si="248"/>
        <v>0.43238262111035408</v>
      </c>
      <c r="BY132" s="67">
        <f t="shared" si="248"/>
        <v>0.46871008939974468</v>
      </c>
      <c r="BZ132" s="64">
        <f t="shared" si="248"/>
        <v>0.45109997006884139</v>
      </c>
      <c r="CA132" s="64">
        <f t="shared" si="248"/>
        <v>0.41405097250167677</v>
      </c>
      <c r="CB132" s="64">
        <f t="shared" si="248"/>
        <v>0.38427659813865223</v>
      </c>
      <c r="CC132" s="405">
        <f t="shared" si="248"/>
        <v>0.42587768379371416</v>
      </c>
      <c r="CD132" s="64">
        <f t="shared" si="249"/>
        <v>0.35368815592203884</v>
      </c>
      <c r="CE132" s="64">
        <f t="shared" si="249"/>
        <v>0.24555885007090383</v>
      </c>
      <c r="CF132" s="64">
        <f t="shared" si="249"/>
        <v>0.280456280978016</v>
      </c>
      <c r="CG132" s="64">
        <f t="shared" si="249"/>
        <v>0.26593125870877854</v>
      </c>
      <c r="CH132" s="405">
        <f t="shared" si="249"/>
        <v>0.28340069394135803</v>
      </c>
      <c r="CI132" s="64">
        <f t="shared" si="249"/>
        <v>0.28442480424405536</v>
      </c>
      <c r="CJ132" s="64">
        <f t="shared" si="249"/>
        <v>0.26573723322776299</v>
      </c>
      <c r="CK132" s="64">
        <f t="shared" si="249"/>
        <v>0.18224584668382926</v>
      </c>
      <c r="CL132" s="64">
        <f t="shared" si="249"/>
        <v>0.22337693309607221</v>
      </c>
      <c r="CM132" s="405">
        <f t="shared" si="249"/>
        <v>0.23615990413872168</v>
      </c>
      <c r="CN132" s="64">
        <f t="shared" si="250"/>
        <v>0.23736764046493986</v>
      </c>
      <c r="CO132" s="64">
        <f t="shared" si="250"/>
        <v>0.29933847399278779</v>
      </c>
      <c r="CP132" s="64">
        <f t="shared" si="250"/>
        <v>0.31045070731439872</v>
      </c>
      <c r="CQ132" s="64">
        <f t="shared" si="250"/>
        <v>0.33983130271790052</v>
      </c>
      <c r="CR132" s="405">
        <f t="shared" si="250"/>
        <v>0.2986024602147781</v>
      </c>
      <c r="CS132" s="64">
        <f t="shared" si="250"/>
        <v>0.24947735191637643</v>
      </c>
      <c r="CT132" s="64">
        <f t="shared" si="250"/>
        <v>0.2498426683448709</v>
      </c>
      <c r="CU132" s="64">
        <f t="shared" si="250"/>
        <v>0.23191870890615651</v>
      </c>
      <c r="CV132" s="64">
        <f t="shared" si="250"/>
        <v>0.18634583100167879</v>
      </c>
      <c r="CW132" s="405">
        <f t="shared" si="250"/>
        <v>0.22763726095003078</v>
      </c>
      <c r="CX132" s="64">
        <f t="shared" si="250"/>
        <v>0.26045733407696581</v>
      </c>
      <c r="CY132" s="64">
        <f t="shared" si="250"/>
        <v>0.2084592145015105</v>
      </c>
      <c r="CZ132" s="64">
        <f t="shared" si="250"/>
        <v>0.19844735565259586</v>
      </c>
      <c r="DA132" s="64">
        <f t="shared" si="250"/>
        <v>0.17452830188679247</v>
      </c>
      <c r="DB132" s="405"/>
      <c r="DC132" s="64"/>
      <c r="DD132" s="64"/>
      <c r="DE132" s="64"/>
      <c r="DF132" s="64"/>
      <c r="DG132" s="405"/>
      <c r="DH132" s="64"/>
      <c r="DI132" s="64"/>
      <c r="DJ132" s="64"/>
      <c r="DK132" s="64"/>
      <c r="DL132" s="405"/>
      <c r="DM132" s="64"/>
      <c r="DN132" s="64"/>
      <c r="DO132" s="64"/>
      <c r="DP132" s="64"/>
      <c r="DQ132" s="405"/>
      <c r="DR132" s="67"/>
      <c r="DS132" s="64"/>
      <c r="DT132"/>
      <c r="DU132"/>
      <c r="DV132"/>
      <c r="DW132"/>
      <c r="DX132"/>
      <c r="DY132"/>
    </row>
    <row r="133" spans="1:129" s="184" customFormat="1" hidden="1" outlineLevel="1">
      <c r="A133" s="680"/>
      <c r="B133" s="639"/>
      <c r="C133" s="640" t="s">
        <v>173</v>
      </c>
      <c r="D133" s="640"/>
      <c r="E133" s="640"/>
      <c r="F133" s="640"/>
      <c r="G133" s="67"/>
      <c r="H133" s="64"/>
      <c r="I133" s="64"/>
      <c r="J133" s="64"/>
      <c r="K133" s="67"/>
      <c r="L133" s="67">
        <f t="shared" si="251"/>
        <v>0.99511623363938262</v>
      </c>
      <c r="M133" s="64">
        <f t="shared" si="251"/>
        <v>0.69703189137985477</v>
      </c>
      <c r="N133" s="64">
        <f t="shared" si="251"/>
        <v>0.41209876543209889</v>
      </c>
      <c r="O133" s="64">
        <f t="shared" si="251"/>
        <v>0.23610256410256425</v>
      </c>
      <c r="P133" s="64">
        <f t="shared" si="251"/>
        <v>0.51697778384465765</v>
      </c>
      <c r="Q133" s="67">
        <f t="shared" si="251"/>
        <v>0.32527171252325471</v>
      </c>
      <c r="R133" s="64">
        <f t="shared" si="251"/>
        <v>0.47925388408224023</v>
      </c>
      <c r="S133" s="64">
        <f t="shared" si="251"/>
        <v>0.62209302325581373</v>
      </c>
      <c r="T133" s="64">
        <f t="shared" si="251"/>
        <v>0.7031613010288742</v>
      </c>
      <c r="U133" s="64">
        <f t="shared" si="251"/>
        <v>0.54133672275713085</v>
      </c>
      <c r="V133" s="67">
        <f t="shared" si="252"/>
        <v>0.60339859623199144</v>
      </c>
      <c r="W133" s="64">
        <f t="shared" si="252"/>
        <v>0.42797396308292179</v>
      </c>
      <c r="X133" s="64">
        <f t="shared" si="252"/>
        <v>0.22623763710351152</v>
      </c>
      <c r="Y133" s="64">
        <f t="shared" si="252"/>
        <v>5.8655883857452906E-2</v>
      </c>
      <c r="Z133" s="64">
        <f t="shared" si="252"/>
        <v>0.29735607271347364</v>
      </c>
      <c r="AA133" s="67">
        <f t="shared" si="252"/>
        <v>7.0961201732559154E-2</v>
      </c>
      <c r="AB133" s="64">
        <f t="shared" si="252"/>
        <v>0.19702274779238516</v>
      </c>
      <c r="AC133" s="64">
        <f t="shared" si="252"/>
        <v>0.34572106720583706</v>
      </c>
      <c r="AD133" s="64">
        <f t="shared" si="252"/>
        <v>0.54186512045281954</v>
      </c>
      <c r="AE133" s="64">
        <f t="shared" si="252"/>
        <v>0.28860713924107584</v>
      </c>
      <c r="AF133" s="67">
        <f t="shared" si="253"/>
        <v>0.60304620944841214</v>
      </c>
      <c r="AG133" s="64">
        <f t="shared" si="253"/>
        <v>0.6087052503771293</v>
      </c>
      <c r="AH133" s="64">
        <f t="shared" si="253"/>
        <v>0.60225695295020687</v>
      </c>
      <c r="AI133" s="64">
        <f t="shared" si="253"/>
        <v>0.61403351688528773</v>
      </c>
      <c r="AJ133" s="64">
        <f t="shared" si="253"/>
        <v>0.60739198379647807</v>
      </c>
      <c r="AK133" s="67">
        <f t="shared" si="253"/>
        <v>0.60695689516345497</v>
      </c>
      <c r="AL133" s="64">
        <f t="shared" si="253"/>
        <v>0.5863389977814879</v>
      </c>
      <c r="AM133" s="64">
        <f t="shared" si="253"/>
        <v>0.58421583716402825</v>
      </c>
      <c r="AN133" s="64">
        <f t="shared" si="253"/>
        <v>0.59748700974500246</v>
      </c>
      <c r="AO133" s="64">
        <f t="shared" si="253"/>
        <v>0.59322001678294356</v>
      </c>
      <c r="AP133" s="67">
        <f t="shared" si="245"/>
        <v>0.51724512292891522</v>
      </c>
      <c r="AQ133" s="64">
        <f t="shared" si="245"/>
        <v>0.52618603075281678</v>
      </c>
      <c r="AR133" s="64">
        <f t="shared" si="245"/>
        <v>0.51539288035051367</v>
      </c>
      <c r="AS133" s="64">
        <f t="shared" si="245"/>
        <v>0.48686487518882249</v>
      </c>
      <c r="AT133" s="64">
        <f t="shared" si="245"/>
        <v>0.50992119971432115</v>
      </c>
      <c r="AU133" s="67">
        <f t="shared" si="245"/>
        <v>0.57132006098601384</v>
      </c>
      <c r="AV133" s="64">
        <f t="shared" si="245"/>
        <v>0.5910179442730894</v>
      </c>
      <c r="AW133" s="64">
        <f t="shared" si="245"/>
        <v>0.6028208002173765</v>
      </c>
      <c r="AX133" s="64">
        <f t="shared" si="245"/>
        <v>0.65210858615347544</v>
      </c>
      <c r="AY133" s="64">
        <f t="shared" si="245"/>
        <v>0.60783333145185892</v>
      </c>
      <c r="AZ133" s="67">
        <f t="shared" si="246"/>
        <v>0.61227270657386357</v>
      </c>
      <c r="BA133" s="64">
        <f t="shared" si="246"/>
        <v>0.53342873089574749</v>
      </c>
      <c r="BB133" s="64">
        <f t="shared" si="246"/>
        <v>0.48027664612923227</v>
      </c>
      <c r="BC133" s="64">
        <f t="shared" si="246"/>
        <v>0.41355700586669153</v>
      </c>
      <c r="BD133" s="64">
        <f t="shared" si="246"/>
        <v>0.49942180784923029</v>
      </c>
      <c r="BE133" s="67">
        <f t="shared" si="246"/>
        <v>0.39723640471896959</v>
      </c>
      <c r="BF133" s="64">
        <f t="shared" si="246"/>
        <v>0.32702501771491188</v>
      </c>
      <c r="BG133" s="64">
        <f t="shared" si="246"/>
        <v>0.31474114992385993</v>
      </c>
      <c r="BH133" s="64">
        <f t="shared" si="246"/>
        <v>0.25516704558334302</v>
      </c>
      <c r="BI133" s="64">
        <f t="shared" si="246"/>
        <v>0.31875554007184026</v>
      </c>
      <c r="BJ133" s="67">
        <f t="shared" si="247"/>
        <v>0.15978081373832587</v>
      </c>
      <c r="BK133" s="64">
        <f t="shared" si="247"/>
        <v>0.13300468175312607</v>
      </c>
      <c r="BL133" s="64">
        <f t="shared" si="247"/>
        <v>0.16164121046485325</v>
      </c>
      <c r="BM133" s="64">
        <f t="shared" si="247"/>
        <v>0.1987610302173175</v>
      </c>
      <c r="BN133" s="64">
        <f t="shared" si="247"/>
        <v>0.16417226265346341</v>
      </c>
      <c r="BO133" s="67">
        <f t="shared" si="247"/>
        <v>0.286725962711601</v>
      </c>
      <c r="BP133" s="64">
        <f t="shared" si="247"/>
        <v>0.42308187568246902</v>
      </c>
      <c r="BQ133" s="64">
        <f t="shared" si="247"/>
        <v>0.42581149354179559</v>
      </c>
      <c r="BR133" s="64">
        <f t="shared" si="247"/>
        <v>0.45183506310366162</v>
      </c>
      <c r="BS133" s="64">
        <f t="shared" si="247"/>
        <v>0.40068954936814194</v>
      </c>
      <c r="BT133" s="67">
        <f t="shared" si="248"/>
        <v>0.42880527653899025</v>
      </c>
      <c r="BU133" s="64">
        <f t="shared" si="248"/>
        <v>0.34392310935851467</v>
      </c>
      <c r="BV133" s="64">
        <f t="shared" si="248"/>
        <v>0.3155862415801296</v>
      </c>
      <c r="BW133" s="64">
        <f t="shared" si="248"/>
        <v>0.26942199081032925</v>
      </c>
      <c r="BX133" s="64">
        <f t="shared" si="248"/>
        <v>0.33289144277629767</v>
      </c>
      <c r="BY133" s="67">
        <f t="shared" si="248"/>
        <v>0.24801841819124548</v>
      </c>
      <c r="BZ133" s="64">
        <f t="shared" si="248"/>
        <v>0.20870538269184413</v>
      </c>
      <c r="CA133" s="64">
        <f t="shared" si="248"/>
        <v>0.1816004707193335</v>
      </c>
      <c r="CB133" s="64">
        <f t="shared" si="248"/>
        <v>0.17100847685319587</v>
      </c>
      <c r="CC133" s="405">
        <f t="shared" si="248"/>
        <v>0.2001772214268025</v>
      </c>
      <c r="CD133" s="64">
        <f t="shared" si="249"/>
        <v>0.18078661921092665</v>
      </c>
      <c r="CE133" s="64">
        <f t="shared" si="249"/>
        <v>0.20388587471173425</v>
      </c>
      <c r="CF133" s="64">
        <f t="shared" si="249"/>
        <v>0.21887065943221096</v>
      </c>
      <c r="CG133" s="64">
        <f t="shared" si="249"/>
        <v>0.20904930923948339</v>
      </c>
      <c r="CH133" s="405">
        <f t="shared" si="249"/>
        <v>0.20373275771009558</v>
      </c>
      <c r="CI133" s="64">
        <f t="shared" si="249"/>
        <v>0.19874422117068136</v>
      </c>
      <c r="CJ133" s="64">
        <f t="shared" si="249"/>
        <v>0.16465269937628402</v>
      </c>
      <c r="CK133" s="64">
        <f t="shared" si="249"/>
        <v>0.11939248556743376</v>
      </c>
      <c r="CL133" s="64">
        <f t="shared" si="249"/>
        <v>0.12996967082829558</v>
      </c>
      <c r="CM133" s="405">
        <f t="shared" si="249"/>
        <v>0.15140375265076877</v>
      </c>
      <c r="CN133" s="64">
        <f t="shared" si="250"/>
        <v>0.20189171828325225</v>
      </c>
      <c r="CO133" s="64">
        <f t="shared" si="250"/>
        <v>0.22565943107408803</v>
      </c>
      <c r="CP133" s="64">
        <f t="shared" si="250"/>
        <v>0.23478841026900721</v>
      </c>
      <c r="CQ133" s="64">
        <f t="shared" si="250"/>
        <v>0.21448135165293447</v>
      </c>
      <c r="CR133" s="405">
        <f t="shared" si="250"/>
        <v>0.21939709574103761</v>
      </c>
      <c r="CS133" s="64">
        <f t="shared" si="250"/>
        <v>9.9814522222985591E-2</v>
      </c>
      <c r="CT133" s="64">
        <f t="shared" si="250"/>
        <v>9.2314673754497312E-2</v>
      </c>
      <c r="CU133" s="64">
        <f t="shared" si="250"/>
        <v>8.3526827737684384E-2</v>
      </c>
      <c r="CV133" s="64">
        <f t="shared" si="250"/>
        <v>7.0997679814385206E-2</v>
      </c>
      <c r="CW133" s="405">
        <f t="shared" si="250"/>
        <v>8.6267719072164795E-2</v>
      </c>
      <c r="CX133" s="64">
        <f t="shared" si="250"/>
        <v>0.10743285446595863</v>
      </c>
      <c r="CY133" s="64">
        <f t="shared" si="250"/>
        <v>8.9053087628713001E-2</v>
      </c>
      <c r="CZ133" s="64">
        <f t="shared" si="250"/>
        <v>9.0582647978686426E-2</v>
      </c>
      <c r="DA133" s="64">
        <f t="shared" si="250"/>
        <v>0.10571923743500866</v>
      </c>
      <c r="DB133" s="405"/>
      <c r="DC133" s="64"/>
      <c r="DD133" s="64"/>
      <c r="DE133" s="64"/>
      <c r="DF133" s="64"/>
      <c r="DG133" s="405"/>
      <c r="DH133" s="64"/>
      <c r="DI133" s="64"/>
      <c r="DJ133" s="64"/>
      <c r="DK133" s="64"/>
      <c r="DL133" s="405"/>
      <c r="DM133" s="64"/>
      <c r="DN133" s="64"/>
      <c r="DO133" s="64"/>
      <c r="DP133" s="64"/>
      <c r="DQ133" s="405"/>
      <c r="DR133" s="67"/>
      <c r="DS133" s="64"/>
      <c r="DT133"/>
      <c r="DU133"/>
      <c r="DV133"/>
      <c r="DW133"/>
      <c r="DX133"/>
      <c r="DY133"/>
    </row>
    <row r="134" spans="1:129" s="154" customFormat="1" hidden="1" outlineLevel="1">
      <c r="A134" s="715"/>
      <c r="B134" s="699"/>
      <c r="C134" s="700"/>
      <c r="D134" s="700"/>
      <c r="E134" s="700"/>
      <c r="F134" s="700"/>
      <c r="G134" s="290"/>
      <c r="H134" s="357"/>
      <c r="I134" s="357"/>
      <c r="J134" s="358"/>
      <c r="K134" s="134"/>
      <c r="L134" s="290"/>
      <c r="M134" s="357"/>
      <c r="N134" s="357"/>
      <c r="O134" s="357"/>
      <c r="P134" s="145"/>
      <c r="Q134" s="290"/>
      <c r="R134" s="357"/>
      <c r="S134" s="357"/>
      <c r="T134" s="358"/>
      <c r="U134" s="145"/>
      <c r="V134" s="357"/>
      <c r="W134" s="357"/>
      <c r="X134" s="357"/>
      <c r="Y134" s="358"/>
      <c r="Z134" s="145"/>
      <c r="AA134" s="357"/>
      <c r="AB134" s="357"/>
      <c r="AC134" s="357"/>
      <c r="AD134" s="357"/>
      <c r="AE134" s="145"/>
      <c r="AF134" s="290"/>
      <c r="AG134" s="357"/>
      <c r="AH134" s="357"/>
      <c r="AI134" s="357"/>
      <c r="AJ134" s="145"/>
      <c r="AK134" s="290"/>
      <c r="AL134" s="357"/>
      <c r="AM134" s="357"/>
      <c r="AN134" s="358"/>
      <c r="AO134" s="145"/>
      <c r="AP134" s="357"/>
      <c r="AQ134" s="357"/>
      <c r="AR134" s="357"/>
      <c r="AS134" s="358"/>
      <c r="AT134" s="145"/>
      <c r="AU134" s="357"/>
      <c r="AV134" s="357"/>
      <c r="AW134" s="357"/>
      <c r="AX134" s="357"/>
      <c r="AY134" s="145"/>
      <c r="AZ134" s="290"/>
      <c r="BA134" s="357"/>
      <c r="BB134" s="357"/>
      <c r="BC134" s="358"/>
      <c r="BD134" s="145"/>
      <c r="BE134" s="461"/>
      <c r="BF134" s="461"/>
      <c r="BG134" s="461"/>
      <c r="BH134" s="462"/>
      <c r="BI134" s="145"/>
      <c r="BJ134" s="461"/>
      <c r="BK134" s="461"/>
      <c r="BL134" s="461"/>
      <c r="BM134" s="462"/>
      <c r="BN134" s="145"/>
      <c r="BO134" s="461"/>
      <c r="BP134" s="461"/>
      <c r="BQ134" s="461"/>
      <c r="BR134" s="462"/>
      <c r="BS134" s="145"/>
      <c r="BT134" s="461"/>
      <c r="BU134" s="461"/>
      <c r="BV134" s="461"/>
      <c r="BW134" s="462"/>
      <c r="BX134" s="145"/>
      <c r="BY134" s="461"/>
      <c r="BZ134" s="461"/>
      <c r="CA134" s="461"/>
      <c r="CB134" s="461"/>
      <c r="CC134" s="338"/>
      <c r="CD134" s="461"/>
      <c r="CE134" s="461"/>
      <c r="CF134" s="461"/>
      <c r="CG134" s="461"/>
      <c r="CH134" s="338"/>
      <c r="CI134" s="461"/>
      <c r="CJ134" s="145"/>
      <c r="CK134" s="145"/>
      <c r="CL134" s="145"/>
      <c r="CM134" s="338"/>
      <c r="CN134" s="461"/>
      <c r="CO134" s="145"/>
      <c r="CP134" s="145"/>
      <c r="CQ134" s="145"/>
      <c r="CR134" s="338"/>
      <c r="CS134" s="461"/>
      <c r="CT134" s="461"/>
      <c r="CU134" s="145"/>
      <c r="CV134" s="145"/>
      <c r="CW134" s="338"/>
      <c r="CX134" s="461"/>
      <c r="CY134" s="145"/>
      <c r="CZ134" s="145"/>
      <c r="DA134" s="145"/>
      <c r="DB134" s="338"/>
      <c r="DC134" s="461"/>
      <c r="DD134" s="145"/>
      <c r="DE134" s="145"/>
      <c r="DF134" s="145"/>
      <c r="DG134" s="338"/>
      <c r="DH134" s="461"/>
      <c r="DI134" s="145"/>
      <c r="DJ134" s="145"/>
      <c r="DK134" s="145"/>
      <c r="DL134" s="338"/>
      <c r="DM134" s="461"/>
      <c r="DN134" s="145"/>
      <c r="DO134" s="145"/>
      <c r="DP134" s="145"/>
      <c r="DQ134" s="338"/>
      <c r="DR134" s="134"/>
      <c r="DS134" s="145"/>
      <c r="DT134"/>
      <c r="DU134"/>
      <c r="DV134"/>
      <c r="DW134"/>
      <c r="DX134"/>
      <c r="DY134"/>
    </row>
    <row r="135" spans="1:129" s="202" customFormat="1" hidden="1" outlineLevel="1">
      <c r="A135" s="695"/>
      <c r="B135" s="702" t="s">
        <v>174</v>
      </c>
      <c r="C135" s="697"/>
      <c r="D135" s="697"/>
      <c r="E135" s="697"/>
      <c r="F135" s="697"/>
      <c r="G135" s="273"/>
      <c r="H135" s="269"/>
      <c r="I135" s="269"/>
      <c r="J135" s="274"/>
      <c r="K135" s="273"/>
      <c r="L135" s="273"/>
      <c r="M135" s="269"/>
      <c r="N135" s="269"/>
      <c r="O135" s="269"/>
      <c r="P135" s="269"/>
      <c r="Q135" s="273"/>
      <c r="R135" s="269"/>
      <c r="S135" s="269"/>
      <c r="T135" s="274"/>
      <c r="U135" s="269"/>
      <c r="V135" s="269"/>
      <c r="W135" s="269"/>
      <c r="X135" s="269"/>
      <c r="Y135" s="274"/>
      <c r="Z135" s="269"/>
      <c r="AA135" s="269"/>
      <c r="AB135" s="269"/>
      <c r="AC135" s="269"/>
      <c r="AD135" s="269"/>
      <c r="AE135" s="269"/>
      <c r="AF135" s="273"/>
      <c r="AG135" s="269"/>
      <c r="AH135" s="269"/>
      <c r="AI135" s="269"/>
      <c r="AJ135" s="269"/>
      <c r="AK135" s="273"/>
      <c r="AL135" s="269"/>
      <c r="AM135" s="269"/>
      <c r="AN135" s="274"/>
      <c r="AO135" s="269"/>
      <c r="AP135" s="269"/>
      <c r="AQ135" s="269"/>
      <c r="AR135" s="269"/>
      <c r="AS135" s="274"/>
      <c r="AT135" s="269"/>
      <c r="AU135" s="269"/>
      <c r="AV135" s="269"/>
      <c r="AW135" s="269"/>
      <c r="AX135" s="269"/>
      <c r="AY135" s="269"/>
      <c r="AZ135" s="273"/>
      <c r="BA135" s="269"/>
      <c r="BB135" s="269"/>
      <c r="BC135" s="269"/>
      <c r="BD135" s="269"/>
      <c r="BE135" s="463"/>
      <c r="BF135" s="461"/>
      <c r="BG135" s="461"/>
      <c r="BH135" s="462"/>
      <c r="BI135" s="269"/>
      <c r="BJ135" s="463"/>
      <c r="BK135" s="461"/>
      <c r="BL135" s="461"/>
      <c r="BM135" s="462"/>
      <c r="BN135" s="269"/>
      <c r="BO135" s="463"/>
      <c r="BP135" s="461"/>
      <c r="BQ135" s="461"/>
      <c r="BR135" s="462"/>
      <c r="BS135" s="269"/>
      <c r="BT135" s="463"/>
      <c r="BU135" s="461"/>
      <c r="BV135" s="461"/>
      <c r="BW135" s="462"/>
      <c r="BX135" s="269"/>
      <c r="BY135" s="463"/>
      <c r="BZ135" s="461"/>
      <c r="CA135" s="461"/>
      <c r="CB135" s="461"/>
      <c r="CC135" s="339"/>
      <c r="CD135" s="461"/>
      <c r="CE135" s="461"/>
      <c r="CF135" s="461"/>
      <c r="CG135" s="461"/>
      <c r="CH135" s="339"/>
      <c r="CI135" s="461"/>
      <c r="CJ135" s="269"/>
      <c r="CK135" s="269"/>
      <c r="CL135" s="269"/>
      <c r="CM135" s="339"/>
      <c r="CN135" s="461"/>
      <c r="CO135" s="269"/>
      <c r="CP135" s="269"/>
      <c r="CQ135" s="269"/>
      <c r="CR135" s="339"/>
      <c r="CS135" s="461"/>
      <c r="CT135" s="461"/>
      <c r="CU135" s="269"/>
      <c r="CV135" s="269"/>
      <c r="CW135" s="339"/>
      <c r="CX135" s="461"/>
      <c r="CY135" s="269"/>
      <c r="CZ135" s="269"/>
      <c r="DA135" s="269"/>
      <c r="DB135" s="339"/>
      <c r="DC135" s="461"/>
      <c r="DD135" s="269"/>
      <c r="DE135" s="269"/>
      <c r="DF135" s="269"/>
      <c r="DG135" s="339"/>
      <c r="DH135" s="461"/>
      <c r="DI135" s="269"/>
      <c r="DJ135" s="269"/>
      <c r="DK135" s="269"/>
      <c r="DL135" s="339"/>
      <c r="DM135" s="461"/>
      <c r="DN135" s="269"/>
      <c r="DO135" s="269"/>
      <c r="DP135" s="269"/>
      <c r="DQ135" s="339"/>
      <c r="DR135" s="273"/>
      <c r="DS135" s="269"/>
      <c r="DT135"/>
      <c r="DU135"/>
      <c r="DV135"/>
      <c r="DW135"/>
      <c r="DX135"/>
      <c r="DY135"/>
    </row>
    <row r="136" spans="1:129" s="365" customFormat="1" hidden="1" outlineLevel="1">
      <c r="A136" s="716"/>
      <c r="B136" s="717"/>
      <c r="C136" s="718" t="s">
        <v>175</v>
      </c>
      <c r="D136" s="718"/>
      <c r="E136" s="718"/>
      <c r="F136" s="718"/>
      <c r="G136" s="366"/>
      <c r="H136" s="367">
        <f>SUM(H137:H138)</f>
        <v>1168</v>
      </c>
      <c r="I136" s="367">
        <f>SUM(I137:I138)</f>
        <v>1326</v>
      </c>
      <c r="J136" s="368">
        <f>SUM(J137:J138)</f>
        <v>1441</v>
      </c>
      <c r="K136" s="367"/>
      <c r="L136" s="366">
        <f>SUM(L137:L138)</f>
        <v>1562</v>
      </c>
      <c r="M136" s="367">
        <f>SUM(M137:M138)</f>
        <v>1743</v>
      </c>
      <c r="N136" s="367">
        <f>SUM(N137:N138)</f>
        <v>1829</v>
      </c>
      <c r="O136" s="367">
        <f>SUM(O137:O138)</f>
        <v>2143</v>
      </c>
      <c r="P136" s="367">
        <f>L136</f>
        <v>1562</v>
      </c>
      <c r="Q136" s="366">
        <f>SUM(Q137:Q138)</f>
        <v>2218</v>
      </c>
      <c r="R136" s="367">
        <f>SUM(R137:R138)</f>
        <v>2374</v>
      </c>
      <c r="S136" s="367">
        <f>SUM(S137:S138)</f>
        <v>2582</v>
      </c>
      <c r="T136" s="368">
        <f>SUM(T137:T138)</f>
        <v>2998</v>
      </c>
      <c r="U136" s="367">
        <f>Q136</f>
        <v>2218</v>
      </c>
      <c r="V136" s="367">
        <f>SUM(V137:V138)</f>
        <v>3160</v>
      </c>
      <c r="W136" s="367">
        <f>SUM(W137:W138)</f>
        <v>3370</v>
      </c>
      <c r="X136" s="367">
        <f>SUM(X137:X138)</f>
        <v>3580</v>
      </c>
      <c r="Y136" s="368">
        <f>SUM(Y137:Y138)</f>
        <v>3950</v>
      </c>
      <c r="Z136" s="367">
        <f>V136</f>
        <v>3160</v>
      </c>
      <c r="AA136" s="367">
        <f>SUM(AA137:AA138)</f>
        <v>3925</v>
      </c>
      <c r="AB136" s="367">
        <f>SUM(AB137:AB138)</f>
        <v>3835</v>
      </c>
      <c r="AC136" s="367">
        <f>SUM(AC137:AC138)</f>
        <v>4240</v>
      </c>
      <c r="AD136" s="367">
        <f>SUM(AD137:AD138)</f>
        <v>5200</v>
      </c>
      <c r="AE136" s="367">
        <f>AA136</f>
        <v>3925</v>
      </c>
      <c r="AF136" s="366">
        <f>SUM(AF137:AF138)</f>
        <v>6150</v>
      </c>
      <c r="AG136" s="367">
        <f>SUM(AG137:AG138)</f>
        <v>6500</v>
      </c>
      <c r="AH136" s="367">
        <f>SUM(AH137:AH138)</f>
        <v>6700</v>
      </c>
      <c r="AI136" s="367">
        <f>SUM(AI137:AI138)</f>
        <v>7740</v>
      </c>
      <c r="AJ136" s="367">
        <f>AF136</f>
        <v>6150</v>
      </c>
      <c r="AK136" s="366">
        <f>SUM(AK137:AK138)</f>
        <v>9240</v>
      </c>
      <c r="AL136" s="367">
        <f>SUM(AL137:AL138)</f>
        <v>10490</v>
      </c>
      <c r="AM136" s="367">
        <f>SUM(AM137:AM138)</f>
        <v>11920</v>
      </c>
      <c r="AN136" s="368">
        <f>SUM(AN137:AN138)</f>
        <v>13970</v>
      </c>
      <c r="AO136" s="367">
        <f>AK136</f>
        <v>9240</v>
      </c>
      <c r="AP136" s="367">
        <f>SUM(AP137:AP138)</f>
        <v>15325</v>
      </c>
      <c r="AQ136" s="367">
        <f>SUM(AQ137:AQ138)</f>
        <v>17050</v>
      </c>
      <c r="AR136" s="367">
        <f>SUM(AR137:AR138)</f>
        <v>19250</v>
      </c>
      <c r="AS136" s="368">
        <f>SUM(AS137:AS138)</f>
        <v>22400</v>
      </c>
      <c r="AT136" s="367">
        <f>AP136</f>
        <v>15325</v>
      </c>
      <c r="AU136" s="367">
        <f>SUM(AU137:AU138)</f>
        <v>24300</v>
      </c>
      <c r="AV136" s="367">
        <f>SUM(AV137:AV138)</f>
        <v>26750</v>
      </c>
      <c r="AW136" s="367">
        <f>SUM(AW137:AW138)</f>
        <v>29675</v>
      </c>
      <c r="AX136" s="367">
        <f>SUM(AX137:AX138)</f>
        <v>34365</v>
      </c>
      <c r="AY136" s="367">
        <f>AU136</f>
        <v>24300</v>
      </c>
      <c r="AZ136" s="366">
        <f>SUM(AZ137:AZ138)</f>
        <v>38850</v>
      </c>
      <c r="BA136" s="367">
        <f>SUM(BA137:BA138)</f>
        <v>43450</v>
      </c>
      <c r="BB136" s="367">
        <f>SUM(BB137:BB138)</f>
        <v>45550</v>
      </c>
      <c r="BC136" s="367">
        <f>SUM(BC137:BC138)</f>
        <v>48880</v>
      </c>
      <c r="BD136" s="367">
        <f>AZ136</f>
        <v>38850</v>
      </c>
      <c r="BE136" s="366">
        <f>SUM(BE137:BE138)</f>
        <v>55400</v>
      </c>
      <c r="BF136" s="367">
        <f>SUM(BF137:BF138)</f>
        <v>57990</v>
      </c>
      <c r="BG136" s="367">
        <f>SUM(BG137:BG138)</f>
        <v>59325</v>
      </c>
      <c r="BH136" s="368">
        <f>SUM(BH137:BH138)</f>
        <v>59490</v>
      </c>
      <c r="BI136" s="367">
        <f>BE136</f>
        <v>55400</v>
      </c>
      <c r="BJ136" s="367">
        <f>SUM(BJ137:BJ138)</f>
        <v>61697</v>
      </c>
      <c r="BK136" s="367">
        <f>SUM(BK137:BK138)</f>
        <v>63700</v>
      </c>
      <c r="BL136" s="367">
        <f>SUM(BL137:BL138)</f>
        <v>64130</v>
      </c>
      <c r="BM136" s="368">
        <f>SUM(BM137:BM138)</f>
        <v>68100</v>
      </c>
      <c r="BN136" s="367">
        <f>BJ136</f>
        <v>61697</v>
      </c>
      <c r="BO136" s="366">
        <f>SUM(BO137:BO138)</f>
        <v>78400</v>
      </c>
      <c r="BP136" s="367">
        <f>SUM(BP137:BP138)</f>
        <v>85500</v>
      </c>
      <c r="BQ136" s="367">
        <f>SUM(BQ137:BQ138)</f>
        <v>88700</v>
      </c>
      <c r="BR136" s="367">
        <f>SUM(BR137:BR138)</f>
        <v>95600</v>
      </c>
      <c r="BS136" s="367">
        <f>BO136</f>
        <v>78400</v>
      </c>
      <c r="BT136" s="366">
        <f>SUM(BT137:BT138)</f>
        <v>104000</v>
      </c>
      <c r="BU136" s="367">
        <f>SUM(BU137:BU138)</f>
        <v>111200</v>
      </c>
      <c r="BV136" s="367">
        <f>SUM(BV137:BV138)</f>
        <v>118300</v>
      </c>
      <c r="BW136" s="367">
        <f>SUM(BW137:BW138)</f>
        <v>130000</v>
      </c>
      <c r="BX136" s="367">
        <f>BT136</f>
        <v>104000</v>
      </c>
      <c r="BY136" s="366">
        <f>SUM(BY137:BY138)</f>
        <v>137700</v>
      </c>
      <c r="BZ136" s="367">
        <f>SUM(BZ137:BZ138)</f>
        <v>140500</v>
      </c>
      <c r="CA136" s="367">
        <f>SUM(CA137:CA138)</f>
        <v>145200</v>
      </c>
      <c r="CB136" s="367">
        <f>SUM(CB137:CB138)</f>
        <v>150400</v>
      </c>
      <c r="CC136" s="369">
        <f>BY136</f>
        <v>137700</v>
      </c>
      <c r="CD136" s="367">
        <f>SUM(CD137:CD138)</f>
        <v>156700</v>
      </c>
      <c r="CE136" s="367">
        <f>SUM(CE137:CE138)</f>
        <v>162700</v>
      </c>
      <c r="CF136" s="367">
        <f>SUM(CF137:CF138)</f>
        <v>164300</v>
      </c>
      <c r="CG136" s="367">
        <f>SUM(CG137:CG138)</f>
        <v>166400</v>
      </c>
      <c r="CH136" s="369">
        <f>CD136</f>
        <v>156700</v>
      </c>
      <c r="CI136" s="367">
        <f>SUM(CI137:CI138)</f>
        <v>171400</v>
      </c>
      <c r="CJ136" s="367">
        <f>SUM(CJ137:CJ138)</f>
        <v>178600</v>
      </c>
      <c r="CK136" s="367">
        <f>SUM(CK137:CK138)</f>
        <v>187400</v>
      </c>
      <c r="CL136" s="367">
        <f>SUM(CL137:CL138)</f>
        <v>200000</v>
      </c>
      <c r="CM136" s="369">
        <f>CI136</f>
        <v>171400</v>
      </c>
      <c r="CN136" s="367">
        <f>SUM(CN137:CN138)</f>
        <v>211500</v>
      </c>
      <c r="CO136" s="367">
        <f>SUM(CO137:CO138)</f>
        <v>217700</v>
      </c>
      <c r="CP136" s="367">
        <f>SUM(CP137:CP138)</f>
        <v>218000</v>
      </c>
      <c r="CQ136" s="367">
        <f>SUM(CQ137:CQ138)</f>
        <v>219300</v>
      </c>
      <c r="CR136" s="369">
        <f>CN136</f>
        <v>211500</v>
      </c>
      <c r="CS136" s="367">
        <f>SUM(CS137:CS138)</f>
        <v>221700</v>
      </c>
      <c r="CT136" s="367">
        <f>SUM(CT137:CT138)</f>
        <v>233000</v>
      </c>
      <c r="CU136" s="367">
        <f>SUM(CU137:CU138)</f>
        <v>244300</v>
      </c>
      <c r="CV136" s="367">
        <f>SUM(CV137:CV138)</f>
        <v>255800</v>
      </c>
      <c r="CW136" s="369">
        <f>CS136</f>
        <v>221700</v>
      </c>
      <c r="CX136" s="367">
        <f>+CW149</f>
        <v>260200</v>
      </c>
      <c r="CY136" s="367">
        <f>+CX149</f>
        <v>261200</v>
      </c>
      <c r="CZ136" s="367">
        <f>+CY149</f>
        <v>256800</v>
      </c>
      <c r="DA136" s="367">
        <f>+CZ149</f>
        <v>256100</v>
      </c>
      <c r="DB136" s="369"/>
      <c r="DC136" s="367"/>
      <c r="DD136" s="367"/>
      <c r="DE136" s="367"/>
      <c r="DF136" s="367"/>
      <c r="DG136" s="369"/>
      <c r="DH136" s="367"/>
      <c r="DI136" s="367"/>
      <c r="DJ136" s="367"/>
      <c r="DK136" s="367"/>
      <c r="DL136" s="369"/>
      <c r="DM136" s="367"/>
      <c r="DN136" s="367"/>
      <c r="DO136" s="367"/>
      <c r="DP136" s="367"/>
      <c r="DQ136" s="369"/>
      <c r="DR136" s="366"/>
      <c r="DS136" s="367"/>
      <c r="DT136"/>
      <c r="DU136"/>
      <c r="DV136"/>
      <c r="DW136"/>
      <c r="DX136"/>
      <c r="DY136"/>
    </row>
    <row r="137" spans="1:129" s="365" customFormat="1" hidden="1" outlineLevel="1">
      <c r="A137" s="716"/>
      <c r="B137" s="717"/>
      <c r="C137" s="718"/>
      <c r="D137" s="718" t="s">
        <v>176</v>
      </c>
      <c r="E137" s="718"/>
      <c r="F137" s="718"/>
      <c r="G137" s="366"/>
      <c r="H137" s="367">
        <f t="shared" ref="H137:J138" si="254">G150</f>
        <v>1064</v>
      </c>
      <c r="I137" s="367">
        <f t="shared" si="254"/>
        <v>1199</v>
      </c>
      <c r="J137" s="368">
        <f t="shared" si="254"/>
        <v>1299</v>
      </c>
      <c r="K137" s="367"/>
      <c r="L137" s="366">
        <f>J150</f>
        <v>1390</v>
      </c>
      <c r="M137" s="367">
        <f t="shared" ref="M137:O138" si="255">L150</f>
        <v>1571</v>
      </c>
      <c r="N137" s="367">
        <f t="shared" si="255"/>
        <v>1636</v>
      </c>
      <c r="O137" s="367">
        <f t="shared" si="255"/>
        <v>1939</v>
      </c>
      <c r="P137" s="367">
        <f>L137</f>
        <v>1390</v>
      </c>
      <c r="Q137" s="366">
        <f>O150</f>
        <v>2004</v>
      </c>
      <c r="R137" s="367">
        <f t="shared" ref="R137:T138" si="256">Q150</f>
        <v>2139</v>
      </c>
      <c r="S137" s="367">
        <f t="shared" si="256"/>
        <v>2299</v>
      </c>
      <c r="T137" s="368">
        <f t="shared" si="256"/>
        <v>2688</v>
      </c>
      <c r="U137" s="367">
        <f>Q137</f>
        <v>2004</v>
      </c>
      <c r="V137" s="367">
        <f>T150</f>
        <v>2840</v>
      </c>
      <c r="W137" s="367">
        <f t="shared" ref="W137:Y138" si="257">V150</f>
        <v>2960</v>
      </c>
      <c r="X137" s="367">
        <f t="shared" si="257"/>
        <v>3165</v>
      </c>
      <c r="Y137" s="368">
        <f t="shared" si="257"/>
        <v>3490</v>
      </c>
      <c r="Z137" s="367">
        <f>V137</f>
        <v>2840</v>
      </c>
      <c r="AA137" s="367">
        <f>Y150</f>
        <v>3470</v>
      </c>
      <c r="AB137" s="367">
        <f t="shared" ref="AB137:AD138" si="258">AA150</f>
        <v>3400</v>
      </c>
      <c r="AC137" s="367">
        <f t="shared" si="258"/>
        <v>3825</v>
      </c>
      <c r="AD137" s="367">
        <f t="shared" si="258"/>
        <v>4700</v>
      </c>
      <c r="AE137" s="367">
        <f>AA137</f>
        <v>3470</v>
      </c>
      <c r="AF137" s="366">
        <f>AD150</f>
        <v>5600</v>
      </c>
      <c r="AG137" s="367">
        <f t="shared" ref="AG137:AI138" si="259">AF150</f>
        <v>5900</v>
      </c>
      <c r="AH137" s="367">
        <f t="shared" si="259"/>
        <v>6000</v>
      </c>
      <c r="AI137" s="367">
        <f t="shared" si="259"/>
        <v>7000</v>
      </c>
      <c r="AJ137" s="367">
        <f>AF137</f>
        <v>5600</v>
      </c>
      <c r="AK137" s="366">
        <f>AI150</f>
        <v>8475</v>
      </c>
      <c r="AL137" s="367">
        <f t="shared" ref="AL137:AN138" si="260">AK150</f>
        <v>9675</v>
      </c>
      <c r="AM137" s="367">
        <f t="shared" si="260"/>
        <v>11025</v>
      </c>
      <c r="AN137" s="368">
        <f t="shared" si="260"/>
        <v>13010</v>
      </c>
      <c r="AO137" s="367">
        <f>AK137</f>
        <v>8475</v>
      </c>
      <c r="AP137" s="367">
        <f>AN150</f>
        <v>14260</v>
      </c>
      <c r="AQ137" s="367">
        <f t="shared" ref="AQ137:AS138" si="261">AP150</f>
        <v>15800</v>
      </c>
      <c r="AR137" s="367">
        <f t="shared" si="261"/>
        <v>17925</v>
      </c>
      <c r="AS137" s="368">
        <f t="shared" si="261"/>
        <v>20900</v>
      </c>
      <c r="AT137" s="367">
        <f>AP137</f>
        <v>14260</v>
      </c>
      <c r="AU137" s="367">
        <f>AS150</f>
        <v>22700</v>
      </c>
      <c r="AV137" s="367">
        <f t="shared" ref="AV137:AX138" si="262">AU150</f>
        <v>25000</v>
      </c>
      <c r="AW137" s="367">
        <f t="shared" si="262"/>
        <v>27800</v>
      </c>
      <c r="AX137" s="367">
        <f t="shared" si="262"/>
        <v>32250</v>
      </c>
      <c r="AY137" s="367">
        <f>AU137</f>
        <v>22700</v>
      </c>
      <c r="AZ137" s="366">
        <f>AX150</f>
        <v>36400</v>
      </c>
      <c r="BA137" s="367">
        <f t="shared" ref="BA137:BC138" si="263">AZ150</f>
        <v>40800</v>
      </c>
      <c r="BB137" s="367">
        <f t="shared" si="263"/>
        <v>42700</v>
      </c>
      <c r="BC137" s="367">
        <f t="shared" si="263"/>
        <v>45850</v>
      </c>
      <c r="BD137" s="367">
        <f>AZ137</f>
        <v>36400</v>
      </c>
      <c r="BE137" s="366">
        <f>BC150</f>
        <v>52100</v>
      </c>
      <c r="BF137" s="367">
        <f t="shared" ref="BF137:BH138" si="264">BE150</f>
        <v>54425</v>
      </c>
      <c r="BG137" s="367">
        <f t="shared" si="264"/>
        <v>55525</v>
      </c>
      <c r="BH137" s="368">
        <f t="shared" si="264"/>
        <v>55450</v>
      </c>
      <c r="BI137" s="367">
        <f>BE137</f>
        <v>52100</v>
      </c>
      <c r="BJ137" s="367">
        <f>BH150</f>
        <v>57650</v>
      </c>
      <c r="BK137" s="367">
        <f t="shared" ref="BK137:BM138" si="265">BJ150</f>
        <v>59470</v>
      </c>
      <c r="BL137" s="367">
        <f t="shared" si="265"/>
        <v>59830</v>
      </c>
      <c r="BM137" s="368">
        <f t="shared" si="265"/>
        <v>63600</v>
      </c>
      <c r="BN137" s="367">
        <f>BJ137</f>
        <v>57650</v>
      </c>
      <c r="BO137" s="366">
        <f>BM150</f>
        <v>73500</v>
      </c>
      <c r="BP137" s="367">
        <f t="shared" ref="BP137:BR138" si="266">BO150</f>
        <v>80300</v>
      </c>
      <c r="BQ137" s="367">
        <f t="shared" si="266"/>
        <v>83100</v>
      </c>
      <c r="BR137" s="367">
        <f t="shared" si="266"/>
        <v>89500</v>
      </c>
      <c r="BS137" s="367">
        <f>BO137</f>
        <v>73500</v>
      </c>
      <c r="BT137" s="366">
        <f>BR150</f>
        <v>97700</v>
      </c>
      <c r="BU137" s="367">
        <f t="shared" ref="BU137:BW138" si="267">BT150</f>
        <v>104000</v>
      </c>
      <c r="BV137" s="367">
        <f t="shared" si="267"/>
        <v>111000</v>
      </c>
      <c r="BW137" s="367">
        <f t="shared" si="267"/>
        <v>122000</v>
      </c>
      <c r="BX137" s="367">
        <f>BT137</f>
        <v>97700</v>
      </c>
      <c r="BY137" s="366">
        <f>BW150</f>
        <v>129400</v>
      </c>
      <c r="BZ137" s="367">
        <f t="shared" ref="BZ137:CB138" si="268">BY150</f>
        <v>131600</v>
      </c>
      <c r="CA137" s="367">
        <f t="shared" si="268"/>
        <v>136000</v>
      </c>
      <c r="CB137" s="367">
        <f t="shared" si="268"/>
        <v>140500</v>
      </c>
      <c r="CC137" s="369">
        <f>BY137</f>
        <v>129400</v>
      </c>
      <c r="CD137" s="367">
        <f>CB150</f>
        <v>146300</v>
      </c>
      <c r="CE137" s="367">
        <f t="shared" ref="CE137:CG138" si="269">CD150</f>
        <v>151600</v>
      </c>
      <c r="CF137" s="367">
        <f t="shared" si="269"/>
        <v>152700</v>
      </c>
      <c r="CG137" s="367">
        <f t="shared" si="269"/>
        <v>155900</v>
      </c>
      <c r="CH137" s="369">
        <f>CD137</f>
        <v>146300</v>
      </c>
      <c r="CI137" s="367">
        <f>CG150</f>
        <v>160600</v>
      </c>
      <c r="CJ137" s="367">
        <f t="shared" ref="CJ137:CL138" si="270">CI150</f>
        <v>167300</v>
      </c>
      <c r="CK137" s="367">
        <f t="shared" si="270"/>
        <v>175500</v>
      </c>
      <c r="CL137" s="367">
        <f t="shared" si="270"/>
        <v>187500</v>
      </c>
      <c r="CM137" s="369">
        <f>CI137</f>
        <v>160600</v>
      </c>
      <c r="CN137" s="367">
        <f>CL150</f>
        <v>198000</v>
      </c>
      <c r="CO137" s="367">
        <f t="shared" ref="CO137:CQ138" si="271">CN150</f>
        <v>204000</v>
      </c>
      <c r="CP137" s="367">
        <f t="shared" si="271"/>
        <v>204000</v>
      </c>
      <c r="CQ137" s="367">
        <f t="shared" si="271"/>
        <v>205000</v>
      </c>
      <c r="CR137" s="369">
        <f>CN137</f>
        <v>198000</v>
      </c>
      <c r="CS137" s="367">
        <f>CQ150</f>
        <v>207600</v>
      </c>
      <c r="CT137" s="367">
        <f t="shared" ref="CT137:CV138" si="272">CS150</f>
        <v>218000</v>
      </c>
      <c r="CU137" s="367">
        <f t="shared" si="272"/>
        <v>229400</v>
      </c>
      <c r="CV137" s="367">
        <f>CU150</f>
        <v>239500</v>
      </c>
      <c r="CW137" s="369">
        <f>CS137</f>
        <v>207600</v>
      </c>
      <c r="CX137" s="367"/>
      <c r="CY137" s="367"/>
      <c r="CZ137" s="367"/>
      <c r="DA137" s="367"/>
      <c r="DB137" s="369"/>
      <c r="DC137" s="367"/>
      <c r="DD137" s="367"/>
      <c r="DE137" s="367"/>
      <c r="DF137" s="367"/>
      <c r="DG137" s="369"/>
      <c r="DH137" s="367"/>
      <c r="DI137" s="367"/>
      <c r="DJ137" s="367"/>
      <c r="DK137" s="367"/>
      <c r="DL137" s="369"/>
      <c r="DM137" s="367"/>
      <c r="DN137" s="367"/>
      <c r="DO137" s="367"/>
      <c r="DP137" s="367"/>
      <c r="DQ137" s="369"/>
      <c r="DR137" s="366"/>
      <c r="DS137" s="367"/>
      <c r="DT137"/>
      <c r="DU137"/>
      <c r="DV137"/>
      <c r="DW137"/>
      <c r="DX137"/>
      <c r="DY137"/>
    </row>
    <row r="138" spans="1:129" s="384" customFormat="1" hidden="1" outlineLevel="1">
      <c r="A138" s="719"/>
      <c r="B138" s="720"/>
      <c r="C138" s="721"/>
      <c r="D138" s="721" t="s">
        <v>177</v>
      </c>
      <c r="E138" s="721"/>
      <c r="F138" s="721"/>
      <c r="G138" s="380"/>
      <c r="H138" s="381">
        <f t="shared" si="254"/>
        <v>104</v>
      </c>
      <c r="I138" s="381">
        <f t="shared" si="254"/>
        <v>127</v>
      </c>
      <c r="J138" s="382">
        <f t="shared" si="254"/>
        <v>142</v>
      </c>
      <c r="K138" s="367"/>
      <c r="L138" s="380">
        <f>J151</f>
        <v>172</v>
      </c>
      <c r="M138" s="381">
        <f t="shared" si="255"/>
        <v>172</v>
      </c>
      <c r="N138" s="381">
        <f t="shared" si="255"/>
        <v>193</v>
      </c>
      <c r="O138" s="381">
        <f t="shared" si="255"/>
        <v>204</v>
      </c>
      <c r="P138" s="367">
        <f>L138</f>
        <v>172</v>
      </c>
      <c r="Q138" s="380">
        <f>O151</f>
        <v>214</v>
      </c>
      <c r="R138" s="381">
        <f t="shared" si="256"/>
        <v>235</v>
      </c>
      <c r="S138" s="381">
        <f t="shared" si="256"/>
        <v>283</v>
      </c>
      <c r="T138" s="382">
        <f t="shared" si="256"/>
        <v>310</v>
      </c>
      <c r="U138" s="367">
        <f>Q138</f>
        <v>214</v>
      </c>
      <c r="V138" s="381">
        <f>T151</f>
        <v>320</v>
      </c>
      <c r="W138" s="381">
        <f t="shared" si="257"/>
        <v>410</v>
      </c>
      <c r="X138" s="381">
        <f t="shared" si="257"/>
        <v>415</v>
      </c>
      <c r="Y138" s="382">
        <f t="shared" si="257"/>
        <v>460</v>
      </c>
      <c r="Z138" s="367">
        <f>V138</f>
        <v>320</v>
      </c>
      <c r="AA138" s="381">
        <f>Y151</f>
        <v>455</v>
      </c>
      <c r="AB138" s="381">
        <f t="shared" si="258"/>
        <v>435</v>
      </c>
      <c r="AC138" s="381">
        <f t="shared" si="258"/>
        <v>415</v>
      </c>
      <c r="AD138" s="381">
        <f t="shared" si="258"/>
        <v>500</v>
      </c>
      <c r="AE138" s="367">
        <f>AA138</f>
        <v>455</v>
      </c>
      <c r="AF138" s="380">
        <f>AD151</f>
        <v>550</v>
      </c>
      <c r="AG138" s="381">
        <f t="shared" si="259"/>
        <v>600</v>
      </c>
      <c r="AH138" s="381">
        <f t="shared" si="259"/>
        <v>700</v>
      </c>
      <c r="AI138" s="381">
        <f t="shared" si="259"/>
        <v>740</v>
      </c>
      <c r="AJ138" s="367">
        <f>AF138</f>
        <v>550</v>
      </c>
      <c r="AK138" s="380">
        <f>AI151</f>
        <v>765</v>
      </c>
      <c r="AL138" s="381">
        <f t="shared" si="260"/>
        <v>815</v>
      </c>
      <c r="AM138" s="381">
        <f t="shared" si="260"/>
        <v>895</v>
      </c>
      <c r="AN138" s="382">
        <f t="shared" si="260"/>
        <v>960</v>
      </c>
      <c r="AO138" s="367">
        <f>AK138</f>
        <v>765</v>
      </c>
      <c r="AP138" s="381">
        <f>AN151</f>
        <v>1065</v>
      </c>
      <c r="AQ138" s="381">
        <f t="shared" si="261"/>
        <v>1250</v>
      </c>
      <c r="AR138" s="381">
        <f t="shared" si="261"/>
        <v>1325</v>
      </c>
      <c r="AS138" s="382">
        <f t="shared" si="261"/>
        <v>1500</v>
      </c>
      <c r="AT138" s="367">
        <f>AP138</f>
        <v>1065</v>
      </c>
      <c r="AU138" s="381">
        <f>AS151</f>
        <v>1600</v>
      </c>
      <c r="AV138" s="381">
        <f t="shared" si="262"/>
        <v>1750</v>
      </c>
      <c r="AW138" s="381">
        <f t="shared" si="262"/>
        <v>1875</v>
      </c>
      <c r="AX138" s="381">
        <f t="shared" si="262"/>
        <v>2115</v>
      </c>
      <c r="AY138" s="367">
        <f>AU138</f>
        <v>1600</v>
      </c>
      <c r="AZ138" s="380">
        <f>AX151</f>
        <v>2450</v>
      </c>
      <c r="BA138" s="381">
        <f t="shared" si="263"/>
        <v>2650</v>
      </c>
      <c r="BB138" s="381">
        <f t="shared" si="263"/>
        <v>2850</v>
      </c>
      <c r="BC138" s="381">
        <f t="shared" si="263"/>
        <v>3030</v>
      </c>
      <c r="BD138" s="367">
        <f>AZ138</f>
        <v>2450</v>
      </c>
      <c r="BE138" s="380">
        <f>BC151</f>
        <v>3300</v>
      </c>
      <c r="BF138" s="381">
        <f t="shared" si="264"/>
        <v>3565</v>
      </c>
      <c r="BG138" s="381">
        <f t="shared" si="264"/>
        <v>3800</v>
      </c>
      <c r="BH138" s="382">
        <f t="shared" si="264"/>
        <v>4040</v>
      </c>
      <c r="BI138" s="367">
        <f>BE138</f>
        <v>3300</v>
      </c>
      <c r="BJ138" s="381">
        <f>BH151</f>
        <v>4047</v>
      </c>
      <c r="BK138" s="381">
        <f t="shared" si="265"/>
        <v>4230</v>
      </c>
      <c r="BL138" s="381">
        <f t="shared" si="265"/>
        <v>4300</v>
      </c>
      <c r="BM138" s="382">
        <f t="shared" si="265"/>
        <v>4500</v>
      </c>
      <c r="BN138" s="367">
        <f>BJ138</f>
        <v>4047</v>
      </c>
      <c r="BO138" s="381">
        <f>BM151</f>
        <v>4900</v>
      </c>
      <c r="BP138" s="381">
        <f t="shared" si="266"/>
        <v>5200</v>
      </c>
      <c r="BQ138" s="381">
        <f t="shared" si="266"/>
        <v>5600</v>
      </c>
      <c r="BR138" s="381">
        <f t="shared" si="266"/>
        <v>6100</v>
      </c>
      <c r="BS138" s="367">
        <f>BO138</f>
        <v>4900</v>
      </c>
      <c r="BT138" s="380">
        <f>BR151</f>
        <v>6300</v>
      </c>
      <c r="BU138" s="381">
        <f t="shared" si="267"/>
        <v>7200</v>
      </c>
      <c r="BV138" s="381">
        <f t="shared" si="267"/>
        <v>7300</v>
      </c>
      <c r="BW138" s="381">
        <f t="shared" si="267"/>
        <v>8000</v>
      </c>
      <c r="BX138" s="367">
        <f>BT138</f>
        <v>6300</v>
      </c>
      <c r="BY138" s="380">
        <f>BW151</f>
        <v>8300</v>
      </c>
      <c r="BZ138" s="381">
        <f t="shared" si="268"/>
        <v>8900</v>
      </c>
      <c r="CA138" s="381">
        <f t="shared" si="268"/>
        <v>9200</v>
      </c>
      <c r="CB138" s="381">
        <f t="shared" si="268"/>
        <v>9900</v>
      </c>
      <c r="CC138" s="369">
        <f>BY138</f>
        <v>8300</v>
      </c>
      <c r="CD138" s="381">
        <f>CB151</f>
        <v>10400</v>
      </c>
      <c r="CE138" s="381">
        <f t="shared" si="269"/>
        <v>11100</v>
      </c>
      <c r="CF138" s="381">
        <f t="shared" si="269"/>
        <v>11600</v>
      </c>
      <c r="CG138" s="381">
        <f t="shared" si="269"/>
        <v>10500</v>
      </c>
      <c r="CH138" s="369">
        <f>CD138</f>
        <v>10400</v>
      </c>
      <c r="CI138" s="381">
        <f>CG151</f>
        <v>10800</v>
      </c>
      <c r="CJ138" s="381">
        <f t="shared" si="270"/>
        <v>11300</v>
      </c>
      <c r="CK138" s="381">
        <f t="shared" si="270"/>
        <v>11900</v>
      </c>
      <c r="CL138" s="381">
        <f t="shared" si="270"/>
        <v>12500</v>
      </c>
      <c r="CM138" s="369">
        <f>CI138</f>
        <v>10800</v>
      </c>
      <c r="CN138" s="381">
        <f>CL151</f>
        <v>13500</v>
      </c>
      <c r="CO138" s="381">
        <f t="shared" si="271"/>
        <v>13700</v>
      </c>
      <c r="CP138" s="381">
        <f t="shared" si="271"/>
        <v>14000</v>
      </c>
      <c r="CQ138" s="381">
        <f t="shared" si="271"/>
        <v>14300</v>
      </c>
      <c r="CR138" s="369">
        <f>CN138</f>
        <v>13500</v>
      </c>
      <c r="CS138" s="381">
        <f>CQ151</f>
        <v>14100</v>
      </c>
      <c r="CT138" s="381">
        <f t="shared" si="272"/>
        <v>15000</v>
      </c>
      <c r="CU138" s="381">
        <f t="shared" si="272"/>
        <v>14900</v>
      </c>
      <c r="CV138" s="381">
        <f t="shared" si="272"/>
        <v>16300</v>
      </c>
      <c r="CW138" s="369">
        <f>CS138</f>
        <v>14100</v>
      </c>
      <c r="CX138" s="381"/>
      <c r="CY138" s="381"/>
      <c r="CZ138" s="381"/>
      <c r="DA138" s="381"/>
      <c r="DB138" s="383"/>
      <c r="DC138" s="381"/>
      <c r="DD138" s="381"/>
      <c r="DE138" s="381"/>
      <c r="DF138" s="381"/>
      <c r="DG138" s="383"/>
      <c r="DH138" s="381"/>
      <c r="DI138" s="381"/>
      <c r="DJ138" s="381"/>
      <c r="DK138" s="381"/>
      <c r="DL138" s="383"/>
      <c r="DM138" s="381"/>
      <c r="DN138" s="381"/>
      <c r="DO138" s="381"/>
      <c r="DP138" s="381"/>
      <c r="DQ138" s="383"/>
      <c r="DR138" s="380"/>
      <c r="DS138" s="381"/>
      <c r="DT138"/>
      <c r="DU138"/>
      <c r="DV138"/>
      <c r="DW138"/>
      <c r="DX138"/>
      <c r="DY138"/>
    </row>
    <row r="139" spans="1:129" s="365" customFormat="1" hidden="1" outlineLevel="1">
      <c r="A139" s="716"/>
      <c r="B139" s="717"/>
      <c r="C139" s="718"/>
      <c r="D139" s="718"/>
      <c r="E139" s="718"/>
      <c r="F139" s="718"/>
      <c r="G139" s="366"/>
      <c r="H139" s="367"/>
      <c r="I139" s="367"/>
      <c r="J139" s="368"/>
      <c r="K139" s="367"/>
      <c r="L139" s="366"/>
      <c r="M139" s="367"/>
      <c r="N139" s="367"/>
      <c r="O139" s="367"/>
      <c r="P139" s="367"/>
      <c r="Q139" s="366"/>
      <c r="R139" s="367"/>
      <c r="S139" s="367"/>
      <c r="T139" s="368"/>
      <c r="U139" s="367"/>
      <c r="V139" s="367"/>
      <c r="W139" s="367"/>
      <c r="X139" s="367"/>
      <c r="Y139" s="368"/>
      <c r="Z139" s="367"/>
      <c r="AA139" s="367"/>
      <c r="AB139" s="367"/>
      <c r="AC139" s="367"/>
      <c r="AD139" s="367"/>
      <c r="AE139" s="367"/>
      <c r="AF139" s="366"/>
      <c r="AG139" s="367"/>
      <c r="AH139" s="367"/>
      <c r="AI139" s="367"/>
      <c r="AJ139" s="367"/>
      <c r="AK139" s="366"/>
      <c r="AL139" s="367"/>
      <c r="AM139" s="367"/>
      <c r="AN139" s="368"/>
      <c r="AO139" s="367"/>
      <c r="AP139" s="367"/>
      <c r="AQ139" s="367"/>
      <c r="AR139" s="367"/>
      <c r="AS139" s="368"/>
      <c r="AT139" s="367"/>
      <c r="AU139" s="367"/>
      <c r="AV139" s="367"/>
      <c r="AW139" s="367"/>
      <c r="AX139" s="367"/>
      <c r="AY139" s="367"/>
      <c r="AZ139" s="366"/>
      <c r="BA139" s="367"/>
      <c r="BB139" s="367"/>
      <c r="BC139" s="367"/>
      <c r="BD139" s="367"/>
      <c r="BE139" s="366"/>
      <c r="BF139" s="367"/>
      <c r="BG139" s="367"/>
      <c r="BH139" s="368"/>
      <c r="BI139" s="367"/>
      <c r="BJ139" s="367"/>
      <c r="BK139" s="367"/>
      <c r="BL139" s="367"/>
      <c r="BM139" s="368"/>
      <c r="BN139" s="367"/>
      <c r="BO139" s="367"/>
      <c r="BP139" s="367"/>
      <c r="BQ139" s="367"/>
      <c r="BR139" s="367"/>
      <c r="BS139" s="367"/>
      <c r="BT139" s="366"/>
      <c r="BU139" s="367"/>
      <c r="BV139" s="367"/>
      <c r="BW139" s="367"/>
      <c r="BX139" s="367"/>
      <c r="BY139" s="366"/>
      <c r="BZ139" s="367"/>
      <c r="CA139" s="367"/>
      <c r="CB139" s="367"/>
      <c r="CC139" s="369"/>
      <c r="CD139" s="367"/>
      <c r="CE139" s="367"/>
      <c r="CF139" s="367"/>
      <c r="CG139" s="367"/>
      <c r="CH139" s="369"/>
      <c r="CI139" s="367"/>
      <c r="CJ139" s="367"/>
      <c r="CK139" s="367"/>
      <c r="CL139" s="367"/>
      <c r="CM139" s="369"/>
      <c r="CN139" s="367"/>
      <c r="CO139" s="367"/>
      <c r="CP139" s="367"/>
      <c r="CQ139" s="367"/>
      <c r="CR139" s="369"/>
      <c r="CS139" s="367"/>
      <c r="CT139" s="367"/>
      <c r="CU139" s="367"/>
      <c r="CV139" s="367"/>
      <c r="CW139" s="369"/>
      <c r="CX139" s="367"/>
      <c r="CY139" s="367"/>
      <c r="CZ139" s="367"/>
      <c r="DA139" s="367"/>
      <c r="DB139" s="369"/>
      <c r="DC139" s="367"/>
      <c r="DD139" s="367"/>
      <c r="DE139" s="367"/>
      <c r="DF139" s="367"/>
      <c r="DG139" s="369"/>
      <c r="DH139" s="367"/>
      <c r="DI139" s="367"/>
      <c r="DJ139" s="367"/>
      <c r="DK139" s="367"/>
      <c r="DL139" s="369"/>
      <c r="DM139" s="367"/>
      <c r="DN139" s="367"/>
      <c r="DO139" s="367"/>
      <c r="DP139" s="367"/>
      <c r="DQ139" s="369"/>
      <c r="DR139" s="366"/>
      <c r="DS139" s="367"/>
      <c r="DT139"/>
      <c r="DU139"/>
      <c r="DV139"/>
      <c r="DW139"/>
      <c r="DX139"/>
      <c r="DY139"/>
    </row>
    <row r="140" spans="1:129" s="365" customFormat="1" hidden="1" outlineLevel="1">
      <c r="A140" s="716"/>
      <c r="B140" s="717"/>
      <c r="C140" s="718" t="s">
        <v>187</v>
      </c>
      <c r="D140" s="718"/>
      <c r="E140" s="718"/>
      <c r="F140" s="718"/>
      <c r="G140" s="366"/>
      <c r="H140" s="367">
        <f>SUM(H141:H142)</f>
        <v>213.5</v>
      </c>
      <c r="I140" s="367">
        <f>SUM(I141:I142)</f>
        <v>179.01249999999999</v>
      </c>
      <c r="J140" s="368">
        <f>SUM(J141:J142)</f>
        <v>191.01249999999999</v>
      </c>
      <c r="K140" s="367"/>
      <c r="L140" s="366">
        <f t="shared" ref="L140:AQ140" si="273">SUM(L141:L142)</f>
        <v>258.92500000000001</v>
      </c>
      <c r="M140" s="367">
        <f t="shared" si="273"/>
        <v>170.71249999999998</v>
      </c>
      <c r="N140" s="367">
        <f t="shared" si="273"/>
        <v>404.3</v>
      </c>
      <c r="O140" s="367">
        <f t="shared" si="273"/>
        <v>178.31249999999997</v>
      </c>
      <c r="P140" s="367">
        <f t="shared" si="273"/>
        <v>1012.2499999999999</v>
      </c>
      <c r="Q140" s="366">
        <f t="shared" si="273"/>
        <v>263.25</v>
      </c>
      <c r="R140" s="367">
        <f t="shared" si="273"/>
        <v>377.34499999999997</v>
      </c>
      <c r="S140" s="367">
        <f t="shared" si="273"/>
        <v>639.01499999999999</v>
      </c>
      <c r="T140" s="368">
        <f t="shared" si="273"/>
        <v>348.58000000000004</v>
      </c>
      <c r="U140" s="367">
        <f t="shared" si="273"/>
        <v>1628.19</v>
      </c>
      <c r="V140" s="367">
        <f t="shared" si="273"/>
        <v>333.6</v>
      </c>
      <c r="W140" s="367">
        <f t="shared" si="273"/>
        <v>371</v>
      </c>
      <c r="X140" s="367">
        <f t="shared" si="273"/>
        <v>526.8125</v>
      </c>
      <c r="Y140" s="368">
        <f t="shared" si="273"/>
        <v>68.275000000000006</v>
      </c>
      <c r="Z140" s="367">
        <f t="shared" si="273"/>
        <v>1299.6875</v>
      </c>
      <c r="AA140" s="367">
        <f t="shared" si="273"/>
        <v>161.27499999999998</v>
      </c>
      <c r="AB140" s="367">
        <f t="shared" si="273"/>
        <v>572.04999999999995</v>
      </c>
      <c r="AC140" s="367">
        <f t="shared" si="273"/>
        <v>1138.2625</v>
      </c>
      <c r="AD140" s="367">
        <f t="shared" si="273"/>
        <v>1100.75</v>
      </c>
      <c r="AE140" s="367">
        <f t="shared" si="273"/>
        <v>2972.3374999999996</v>
      </c>
      <c r="AF140" s="366">
        <f t="shared" si="273"/>
        <v>525.5</v>
      </c>
      <c r="AG140" s="367">
        <f t="shared" si="273"/>
        <v>490.5</v>
      </c>
      <c r="AH140" s="367">
        <f t="shared" si="273"/>
        <v>1414</v>
      </c>
      <c r="AI140" s="367">
        <f t="shared" si="273"/>
        <v>1773.9</v>
      </c>
      <c r="AJ140" s="367">
        <f t="shared" si="273"/>
        <v>4203.8999999999996</v>
      </c>
      <c r="AK140" s="366">
        <f t="shared" si="273"/>
        <v>1538.375</v>
      </c>
      <c r="AL140" s="367">
        <f t="shared" si="273"/>
        <v>1979.7375</v>
      </c>
      <c r="AM140" s="367">
        <f t="shared" si="273"/>
        <v>2634.2</v>
      </c>
      <c r="AN140" s="368">
        <f t="shared" si="273"/>
        <v>1902.625</v>
      </c>
      <c r="AO140" s="367">
        <f t="shared" si="273"/>
        <v>8054.9375</v>
      </c>
      <c r="AP140" s="367">
        <f t="shared" si="273"/>
        <v>2373.1999999999998</v>
      </c>
      <c r="AQ140" s="367">
        <f t="shared" si="273"/>
        <v>3094.4</v>
      </c>
      <c r="AR140" s="367">
        <f t="shared" ref="AR140:BW140" si="274">SUM(AR141:AR142)</f>
        <v>4079</v>
      </c>
      <c r="AS140" s="368">
        <f t="shared" si="274"/>
        <v>2841.5</v>
      </c>
      <c r="AT140" s="367">
        <f t="shared" si="274"/>
        <v>12388.1</v>
      </c>
      <c r="AU140" s="367">
        <f t="shared" si="274"/>
        <v>3250.25</v>
      </c>
      <c r="AV140" s="367">
        <f t="shared" si="274"/>
        <v>4125</v>
      </c>
      <c r="AW140" s="367">
        <f t="shared" si="274"/>
        <v>6455</v>
      </c>
      <c r="AX140" s="367">
        <f t="shared" si="274"/>
        <v>6215.1750000000002</v>
      </c>
      <c r="AY140" s="367">
        <f t="shared" si="274"/>
        <v>20045.424999999999</v>
      </c>
      <c r="AZ140" s="366">
        <f t="shared" si="274"/>
        <v>6332.5</v>
      </c>
      <c r="BA140" s="367">
        <f t="shared" si="274"/>
        <v>4284.5</v>
      </c>
      <c r="BB140" s="367">
        <f t="shared" si="274"/>
        <v>5575.1500000000005</v>
      </c>
      <c r="BC140" s="367">
        <f t="shared" si="274"/>
        <v>8317.07</v>
      </c>
      <c r="BD140" s="367">
        <f t="shared" si="274"/>
        <v>24509.22</v>
      </c>
      <c r="BE140" s="366">
        <f t="shared" si="274"/>
        <v>4614.3</v>
      </c>
      <c r="BF140" s="367">
        <f t="shared" si="274"/>
        <v>3910.6875</v>
      </c>
      <c r="BG140" s="367">
        <f t="shared" si="274"/>
        <v>3276.9000000000005</v>
      </c>
      <c r="BH140" s="368">
        <f t="shared" si="274"/>
        <v>4265.7875000000004</v>
      </c>
      <c r="BI140" s="367">
        <f t="shared" si="274"/>
        <v>16067.675000000001</v>
      </c>
      <c r="BJ140" s="367">
        <f t="shared" si="274"/>
        <v>3535.1385</v>
      </c>
      <c r="BK140" s="367">
        <f t="shared" si="274"/>
        <v>2588.0174999999999</v>
      </c>
      <c r="BL140" s="367">
        <f t="shared" si="274"/>
        <v>6338.6725000000006</v>
      </c>
      <c r="BM140" s="368">
        <f t="shared" si="274"/>
        <v>12584.8</v>
      </c>
      <c r="BN140" s="367">
        <f t="shared" si="274"/>
        <v>25046.628500000003</v>
      </c>
      <c r="BO140" s="367">
        <f t="shared" si="274"/>
        <v>10917.1</v>
      </c>
      <c r="BP140" s="367">
        <f t="shared" si="274"/>
        <v>8431.9249999999993</v>
      </c>
      <c r="BQ140" s="367">
        <f t="shared" si="274"/>
        <v>12649.75</v>
      </c>
      <c r="BR140" s="367">
        <f t="shared" si="274"/>
        <v>12956</v>
      </c>
      <c r="BS140" s="367">
        <f t="shared" si="274"/>
        <v>44954.774999999994</v>
      </c>
      <c r="BT140" s="366">
        <f t="shared" si="274"/>
        <v>11839.474999999999</v>
      </c>
      <c r="BU140" s="367">
        <f t="shared" si="274"/>
        <v>12146.4</v>
      </c>
      <c r="BV140" s="367">
        <f t="shared" si="274"/>
        <v>16396.7</v>
      </c>
      <c r="BW140" s="367">
        <f t="shared" si="274"/>
        <v>11588.5</v>
      </c>
      <c r="BX140" s="367">
        <f t="shared" ref="BX140:CW140" si="275">SUM(BX141:BX142)</f>
        <v>51971.075000000004</v>
      </c>
      <c r="BY140" s="366">
        <f t="shared" si="275"/>
        <v>7108.9000000000005</v>
      </c>
      <c r="BZ140" s="367">
        <f t="shared" si="275"/>
        <v>9757.7999999999993</v>
      </c>
      <c r="CA140" s="367">
        <f t="shared" si="275"/>
        <v>10816</v>
      </c>
      <c r="CB140" s="367">
        <f t="shared" si="275"/>
        <v>11117.674999999999</v>
      </c>
      <c r="CC140" s="369">
        <f t="shared" si="275"/>
        <v>38800.375</v>
      </c>
      <c r="CD140" s="367">
        <f t="shared" si="275"/>
        <v>11777.925000000001</v>
      </c>
      <c r="CE140" s="367">
        <f t="shared" si="275"/>
        <v>10763</v>
      </c>
      <c r="CF140" s="367">
        <f t="shared" si="275"/>
        <v>11557.25</v>
      </c>
      <c r="CG140" s="367">
        <f t="shared" si="275"/>
        <v>12173.875</v>
      </c>
      <c r="CH140" s="369">
        <f t="shared" si="275"/>
        <v>46272.05</v>
      </c>
      <c r="CI140" s="367">
        <f t="shared" si="275"/>
        <v>14383.949999999999</v>
      </c>
      <c r="CJ140" s="367">
        <f t="shared" si="275"/>
        <v>17778.125</v>
      </c>
      <c r="CK140" s="367">
        <f t="shared" si="275"/>
        <v>21300.9</v>
      </c>
      <c r="CL140" s="367">
        <f t="shared" si="275"/>
        <v>20109.375</v>
      </c>
      <c r="CM140" s="369">
        <f t="shared" si="275"/>
        <v>73572.349999999991</v>
      </c>
      <c r="CN140" s="367">
        <f t="shared" si="275"/>
        <v>15020</v>
      </c>
      <c r="CO140" s="367">
        <f t="shared" si="275"/>
        <v>12593</v>
      </c>
      <c r="CP140" s="367">
        <f t="shared" si="275"/>
        <v>14365</v>
      </c>
      <c r="CQ140" s="367">
        <f t="shared" si="275"/>
        <v>14854.5</v>
      </c>
      <c r="CR140" s="369">
        <f t="shared" si="275"/>
        <v>56832.5</v>
      </c>
      <c r="CS140" s="367">
        <f t="shared" si="275"/>
        <v>20936</v>
      </c>
      <c r="CT140" s="367">
        <f t="shared" si="275"/>
        <v>23184.5</v>
      </c>
      <c r="CU140" s="367">
        <f t="shared" si="275"/>
        <v>23493.5</v>
      </c>
      <c r="CV140" s="367">
        <f t="shared" si="275"/>
        <v>16283.3</v>
      </c>
      <c r="CW140" s="369">
        <f t="shared" si="275"/>
        <v>83897.3</v>
      </c>
      <c r="CX140" s="1064">
        <f>CX149-CX136-CX144</f>
        <v>10562.35</v>
      </c>
      <c r="CY140" s="1064">
        <f>CY149-CY136-CY144</f>
        <v>11010.8</v>
      </c>
      <c r="CZ140" s="1064">
        <f>CZ149-CZ136-CZ144</f>
        <v>13745</v>
      </c>
      <c r="DA140" s="1064">
        <f>DA149-DA136-DA144</f>
        <v>15360.475</v>
      </c>
      <c r="DB140" s="369"/>
      <c r="DC140" s="367"/>
      <c r="DD140" s="367"/>
      <c r="DE140" s="367"/>
      <c r="DF140" s="367"/>
      <c r="DG140" s="369"/>
      <c r="DH140" s="367"/>
      <c r="DI140" s="367"/>
      <c r="DJ140" s="367"/>
      <c r="DK140" s="367"/>
      <c r="DL140" s="369"/>
      <c r="DM140" s="367"/>
      <c r="DN140" s="367"/>
      <c r="DO140" s="367"/>
      <c r="DP140" s="367"/>
      <c r="DQ140" s="369"/>
      <c r="DR140" s="366"/>
      <c r="DS140" s="367"/>
      <c r="DT140"/>
      <c r="DU140"/>
      <c r="DV140"/>
      <c r="DW140"/>
      <c r="DX140"/>
      <c r="DY140"/>
    </row>
    <row r="141" spans="1:129" s="365" customFormat="1" hidden="1" outlineLevel="1">
      <c r="A141" s="716"/>
      <c r="B141" s="717"/>
      <c r="C141" s="718"/>
      <c r="D141" s="718" t="s">
        <v>188</v>
      </c>
      <c r="E141" s="718"/>
      <c r="F141" s="718"/>
      <c r="G141" s="366"/>
      <c r="H141" s="367">
        <f t="shared" ref="H141:J142" si="276">H150-H137-H145</f>
        <v>174.9</v>
      </c>
      <c r="I141" s="367">
        <f t="shared" si="276"/>
        <v>144.96250000000001</v>
      </c>
      <c r="J141" s="368">
        <f t="shared" si="276"/>
        <v>139.71250000000001</v>
      </c>
      <c r="K141" s="367"/>
      <c r="L141" s="366">
        <f t="shared" ref="L141:AQ141" si="277">L150-L137-L145</f>
        <v>233.125</v>
      </c>
      <c r="M141" s="367">
        <f t="shared" si="277"/>
        <v>123.91249999999999</v>
      </c>
      <c r="N141" s="367">
        <f t="shared" si="277"/>
        <v>364.35</v>
      </c>
      <c r="O141" s="367">
        <f t="shared" si="277"/>
        <v>137.71249999999998</v>
      </c>
      <c r="P141" s="367">
        <f t="shared" si="277"/>
        <v>859.09999999999991</v>
      </c>
      <c r="Q141" s="366">
        <f t="shared" si="277"/>
        <v>210.14999999999998</v>
      </c>
      <c r="R141" s="367">
        <f t="shared" si="277"/>
        <v>277.64499999999998</v>
      </c>
      <c r="S141" s="367">
        <f t="shared" si="277"/>
        <v>538.43499999999995</v>
      </c>
      <c r="T141" s="368">
        <f t="shared" si="277"/>
        <v>279.68</v>
      </c>
      <c r="U141" s="367">
        <f t="shared" si="277"/>
        <v>1305.9100000000001</v>
      </c>
      <c r="V141" s="367">
        <f t="shared" si="277"/>
        <v>205.2</v>
      </c>
      <c r="W141" s="367">
        <f t="shared" si="277"/>
        <v>308.60000000000002</v>
      </c>
      <c r="X141" s="367">
        <f t="shared" si="277"/>
        <v>427.86250000000001</v>
      </c>
      <c r="Y141" s="368">
        <f t="shared" si="277"/>
        <v>41.075000000000003</v>
      </c>
      <c r="Z141" s="367">
        <f t="shared" si="277"/>
        <v>982.73749999999995</v>
      </c>
      <c r="AA141" s="367">
        <f t="shared" si="277"/>
        <v>94.824999999999989</v>
      </c>
      <c r="AB141" s="367">
        <f t="shared" si="277"/>
        <v>535.5</v>
      </c>
      <c r="AC141" s="367">
        <f t="shared" si="277"/>
        <v>999.3125</v>
      </c>
      <c r="AD141" s="367">
        <f t="shared" si="277"/>
        <v>1005.75</v>
      </c>
      <c r="AE141" s="367">
        <f t="shared" si="277"/>
        <v>2635.3874999999998</v>
      </c>
      <c r="AF141" s="366">
        <f t="shared" si="277"/>
        <v>426</v>
      </c>
      <c r="AG141" s="367">
        <f t="shared" si="277"/>
        <v>306.5</v>
      </c>
      <c r="AH141" s="367">
        <f t="shared" si="277"/>
        <v>1255</v>
      </c>
      <c r="AI141" s="367">
        <f t="shared" si="277"/>
        <v>1667.5</v>
      </c>
      <c r="AJ141" s="367">
        <f t="shared" si="277"/>
        <v>3655</v>
      </c>
      <c r="AK141" s="366">
        <f t="shared" si="277"/>
        <v>1411.875</v>
      </c>
      <c r="AL141" s="367">
        <f t="shared" si="277"/>
        <v>1761.1875</v>
      </c>
      <c r="AM141" s="367">
        <f t="shared" si="277"/>
        <v>2426</v>
      </c>
      <c r="AN141" s="368">
        <f t="shared" si="277"/>
        <v>1672.825</v>
      </c>
      <c r="AO141" s="367">
        <f t="shared" si="277"/>
        <v>7271.8874999999998</v>
      </c>
      <c r="AP141" s="367">
        <f t="shared" si="277"/>
        <v>2039.1</v>
      </c>
      <c r="AQ141" s="367">
        <f t="shared" si="277"/>
        <v>2804.4</v>
      </c>
      <c r="AR141" s="367">
        <f t="shared" ref="AR141:BW141" si="278">AR150-AR137-AR145</f>
        <v>3692</v>
      </c>
      <c r="AS141" s="368">
        <f t="shared" si="278"/>
        <v>2531.5</v>
      </c>
      <c r="AT141" s="367">
        <f t="shared" si="278"/>
        <v>11067</v>
      </c>
      <c r="AU141" s="367">
        <f t="shared" si="278"/>
        <v>2924.25</v>
      </c>
      <c r="AV141" s="367">
        <f t="shared" si="278"/>
        <v>3737.5</v>
      </c>
      <c r="AW141" s="367">
        <f t="shared" si="278"/>
        <v>5840</v>
      </c>
      <c r="AX141" s="367">
        <f t="shared" si="278"/>
        <v>5520.625</v>
      </c>
      <c r="AY141" s="367">
        <f t="shared" si="278"/>
        <v>18022.375</v>
      </c>
      <c r="AZ141" s="366">
        <f t="shared" si="278"/>
        <v>5765</v>
      </c>
      <c r="BA141" s="367">
        <f t="shared" si="278"/>
        <v>3634</v>
      </c>
      <c r="BB141" s="367">
        <f t="shared" si="278"/>
        <v>4922.05</v>
      </c>
      <c r="BC141" s="367">
        <f t="shared" si="278"/>
        <v>7671.35</v>
      </c>
      <c r="BD141" s="367">
        <f t="shared" si="278"/>
        <v>21992.400000000001</v>
      </c>
      <c r="BE141" s="366">
        <f t="shared" si="278"/>
        <v>3940.1</v>
      </c>
      <c r="BF141" s="367">
        <f t="shared" si="278"/>
        <v>3140.9375</v>
      </c>
      <c r="BG141" s="367">
        <f t="shared" si="278"/>
        <v>2368.1000000000004</v>
      </c>
      <c r="BH141" s="368">
        <f t="shared" si="278"/>
        <v>3794.1875</v>
      </c>
      <c r="BI141" s="367">
        <f t="shared" si="278"/>
        <v>13243.325000000001</v>
      </c>
      <c r="BJ141" s="367">
        <f t="shared" si="278"/>
        <v>3016.2375000000002</v>
      </c>
      <c r="BK141" s="367">
        <f t="shared" si="278"/>
        <v>2040.0275000000001</v>
      </c>
      <c r="BL141" s="367">
        <f t="shared" si="278"/>
        <v>5609.7725</v>
      </c>
      <c r="BM141" s="368">
        <f t="shared" si="278"/>
        <v>11680.8</v>
      </c>
      <c r="BN141" s="367">
        <f t="shared" si="278"/>
        <v>22346.837500000001</v>
      </c>
      <c r="BO141" s="367">
        <f t="shared" si="278"/>
        <v>9813.5</v>
      </c>
      <c r="BP141" s="367">
        <f t="shared" si="278"/>
        <v>6955.5249999999996</v>
      </c>
      <c r="BQ141" s="367">
        <f t="shared" si="278"/>
        <v>10928.95</v>
      </c>
      <c r="BR141" s="367">
        <f t="shared" si="278"/>
        <v>11780</v>
      </c>
      <c r="BS141" s="367">
        <f t="shared" si="278"/>
        <v>39477.974999999999</v>
      </c>
      <c r="BT141" s="366">
        <f t="shared" si="278"/>
        <v>9988.1749999999993</v>
      </c>
      <c r="BU141" s="367">
        <f t="shared" si="278"/>
        <v>10952</v>
      </c>
      <c r="BV141" s="367">
        <f t="shared" si="278"/>
        <v>14718.5</v>
      </c>
      <c r="BW141" s="367">
        <f t="shared" si="278"/>
        <v>10480.5</v>
      </c>
      <c r="BX141" s="367">
        <f t="shared" ref="BX141:CW141" si="279">BX150-BX137-BX145</f>
        <v>46139.175000000003</v>
      </c>
      <c r="BY141" s="366">
        <f t="shared" si="279"/>
        <v>5629.1</v>
      </c>
      <c r="BZ141" s="367">
        <f t="shared" si="279"/>
        <v>8380.9</v>
      </c>
      <c r="CA141" s="367">
        <f t="shared" si="279"/>
        <v>8920</v>
      </c>
      <c r="CB141" s="367">
        <f t="shared" si="279"/>
        <v>9558.375</v>
      </c>
      <c r="CC141" s="369">
        <f t="shared" si="279"/>
        <v>32488.375</v>
      </c>
      <c r="CD141" s="367">
        <f t="shared" si="279"/>
        <v>9798.7250000000004</v>
      </c>
      <c r="CE141" s="367">
        <f t="shared" si="279"/>
        <v>8187.3</v>
      </c>
      <c r="CF141" s="367">
        <f t="shared" si="279"/>
        <v>10453.25</v>
      </c>
      <c r="CG141" s="367">
        <f t="shared" si="279"/>
        <v>10351.375</v>
      </c>
      <c r="CH141" s="369">
        <f t="shared" si="279"/>
        <v>38790.65</v>
      </c>
      <c r="CI141" s="367">
        <f t="shared" si="279"/>
        <v>12361.15</v>
      </c>
      <c r="CJ141" s="367">
        <f t="shared" si="279"/>
        <v>15268.424999999999</v>
      </c>
      <c r="CK141" s="367">
        <f t="shared" si="279"/>
        <v>18844.5</v>
      </c>
      <c r="CL141" s="367">
        <f t="shared" si="279"/>
        <v>17296.875</v>
      </c>
      <c r="CM141" s="369">
        <f t="shared" si="279"/>
        <v>63770.95</v>
      </c>
      <c r="CN141" s="367">
        <f t="shared" si="279"/>
        <v>12930</v>
      </c>
      <c r="CO141" s="367">
        <f t="shared" si="279"/>
        <v>9690</v>
      </c>
      <c r="CP141" s="367">
        <f t="shared" si="279"/>
        <v>11251</v>
      </c>
      <c r="CQ141" s="367">
        <f t="shared" si="279"/>
        <v>12337.5</v>
      </c>
      <c r="CR141" s="369">
        <f t="shared" si="279"/>
        <v>46208.5</v>
      </c>
      <c r="CS141" s="367">
        <f t="shared" si="279"/>
        <v>17977.400000000001</v>
      </c>
      <c r="CT141" s="367">
        <f t="shared" si="279"/>
        <v>20719.5</v>
      </c>
      <c r="CU141" s="367">
        <f t="shared" si="279"/>
        <v>19620.099999999999</v>
      </c>
      <c r="CV141" s="367">
        <f t="shared" si="279"/>
        <v>13540.5</v>
      </c>
      <c r="CW141" s="369">
        <f t="shared" si="279"/>
        <v>71857.5</v>
      </c>
      <c r="CX141" s="367"/>
      <c r="CY141" s="367"/>
      <c r="CZ141" s="367"/>
      <c r="DA141" s="367"/>
      <c r="DB141" s="369"/>
      <c r="DC141" s="367"/>
      <c r="DD141" s="367"/>
      <c r="DE141" s="367"/>
      <c r="DF141" s="367"/>
      <c r="DG141" s="369"/>
      <c r="DH141" s="367"/>
      <c r="DI141" s="367"/>
      <c r="DJ141" s="367"/>
      <c r="DK141" s="367"/>
      <c r="DL141" s="369"/>
      <c r="DM141" s="367"/>
      <c r="DN141" s="367"/>
      <c r="DO141" s="367"/>
      <c r="DP141" s="367"/>
      <c r="DQ141" s="369"/>
      <c r="DR141" s="366"/>
      <c r="DS141" s="367"/>
      <c r="DT141"/>
      <c r="DU141"/>
      <c r="DV141"/>
      <c r="DW141"/>
      <c r="DX141"/>
      <c r="DY141"/>
    </row>
    <row r="142" spans="1:129" s="384" customFormat="1" hidden="1" outlineLevel="1">
      <c r="A142" s="719"/>
      <c r="B142" s="720"/>
      <c r="C142" s="721"/>
      <c r="D142" s="721" t="s">
        <v>189</v>
      </c>
      <c r="E142" s="721"/>
      <c r="F142" s="721"/>
      <c r="G142" s="380"/>
      <c r="H142" s="381">
        <f t="shared" si="276"/>
        <v>38.6</v>
      </c>
      <c r="I142" s="381">
        <f t="shared" si="276"/>
        <v>34.049999999999997</v>
      </c>
      <c r="J142" s="382">
        <f t="shared" si="276"/>
        <v>51.3</v>
      </c>
      <c r="K142" s="381"/>
      <c r="L142" s="380">
        <f t="shared" ref="L142:AQ142" si="280">L151-L138-L146</f>
        <v>25.8</v>
      </c>
      <c r="M142" s="381">
        <f t="shared" si="280"/>
        <v>46.8</v>
      </c>
      <c r="N142" s="381">
        <f t="shared" si="280"/>
        <v>39.950000000000003</v>
      </c>
      <c r="O142" s="381">
        <f t="shared" si="280"/>
        <v>40.599999999999994</v>
      </c>
      <c r="P142" s="381">
        <f t="shared" si="280"/>
        <v>153.14999999999998</v>
      </c>
      <c r="Q142" s="380">
        <f t="shared" si="280"/>
        <v>53.1</v>
      </c>
      <c r="R142" s="381">
        <f t="shared" si="280"/>
        <v>99.7</v>
      </c>
      <c r="S142" s="381">
        <f t="shared" si="280"/>
        <v>100.58</v>
      </c>
      <c r="T142" s="382">
        <f t="shared" si="280"/>
        <v>68.900000000000006</v>
      </c>
      <c r="U142" s="381">
        <f t="shared" si="280"/>
        <v>322.27999999999997</v>
      </c>
      <c r="V142" s="381">
        <f t="shared" si="280"/>
        <v>128.4</v>
      </c>
      <c r="W142" s="381">
        <f t="shared" si="280"/>
        <v>62.400000000000006</v>
      </c>
      <c r="X142" s="381">
        <f t="shared" si="280"/>
        <v>98.95</v>
      </c>
      <c r="Y142" s="382">
        <f t="shared" si="280"/>
        <v>27.200000000000003</v>
      </c>
      <c r="Z142" s="381">
        <f t="shared" si="280"/>
        <v>316.95</v>
      </c>
      <c r="AA142" s="381">
        <f t="shared" si="280"/>
        <v>66.45</v>
      </c>
      <c r="AB142" s="381">
        <f t="shared" si="280"/>
        <v>36.550000000000004</v>
      </c>
      <c r="AC142" s="381">
        <f t="shared" si="280"/>
        <v>138.94999999999999</v>
      </c>
      <c r="AD142" s="381">
        <f t="shared" si="280"/>
        <v>95</v>
      </c>
      <c r="AE142" s="381">
        <f t="shared" si="280"/>
        <v>336.95</v>
      </c>
      <c r="AF142" s="380">
        <f t="shared" si="280"/>
        <v>99.5</v>
      </c>
      <c r="AG142" s="381">
        <f t="shared" si="280"/>
        <v>184</v>
      </c>
      <c r="AH142" s="381">
        <f t="shared" si="280"/>
        <v>159</v>
      </c>
      <c r="AI142" s="381">
        <f t="shared" si="280"/>
        <v>106.4</v>
      </c>
      <c r="AJ142" s="381">
        <f t="shared" si="280"/>
        <v>548.9</v>
      </c>
      <c r="AK142" s="380">
        <f t="shared" si="280"/>
        <v>126.5</v>
      </c>
      <c r="AL142" s="381">
        <f t="shared" si="280"/>
        <v>218.55</v>
      </c>
      <c r="AM142" s="381">
        <f t="shared" si="280"/>
        <v>208.20000000000002</v>
      </c>
      <c r="AN142" s="382">
        <f t="shared" si="280"/>
        <v>229.8</v>
      </c>
      <c r="AO142" s="381">
        <f t="shared" si="280"/>
        <v>783.05</v>
      </c>
      <c r="AP142" s="381">
        <f t="shared" si="280"/>
        <v>334.1</v>
      </c>
      <c r="AQ142" s="381">
        <f t="shared" si="280"/>
        <v>290</v>
      </c>
      <c r="AR142" s="381">
        <f t="shared" ref="AR142:BW142" si="281">AR151-AR138-AR146</f>
        <v>387</v>
      </c>
      <c r="AS142" s="382">
        <f t="shared" si="281"/>
        <v>310</v>
      </c>
      <c r="AT142" s="381">
        <f t="shared" si="281"/>
        <v>1321.1</v>
      </c>
      <c r="AU142" s="381">
        <f t="shared" si="281"/>
        <v>326</v>
      </c>
      <c r="AV142" s="381">
        <f t="shared" si="281"/>
        <v>387.5</v>
      </c>
      <c r="AW142" s="381">
        <f t="shared" si="281"/>
        <v>615</v>
      </c>
      <c r="AX142" s="381">
        <f t="shared" si="281"/>
        <v>694.55</v>
      </c>
      <c r="AY142" s="381">
        <f t="shared" si="281"/>
        <v>2023.05</v>
      </c>
      <c r="AZ142" s="380">
        <f t="shared" si="281"/>
        <v>567.5</v>
      </c>
      <c r="BA142" s="381">
        <f t="shared" si="281"/>
        <v>650.5</v>
      </c>
      <c r="BB142" s="381">
        <f t="shared" si="281"/>
        <v>653.1</v>
      </c>
      <c r="BC142" s="381">
        <f t="shared" si="281"/>
        <v>645.72</v>
      </c>
      <c r="BD142" s="381">
        <f t="shared" si="281"/>
        <v>2516.8199999999997</v>
      </c>
      <c r="BE142" s="380">
        <f t="shared" si="281"/>
        <v>674.2</v>
      </c>
      <c r="BF142" s="381">
        <f t="shared" si="281"/>
        <v>769.75</v>
      </c>
      <c r="BG142" s="381">
        <f t="shared" si="281"/>
        <v>908.80000000000007</v>
      </c>
      <c r="BH142" s="382">
        <f t="shared" si="281"/>
        <v>471.6</v>
      </c>
      <c r="BI142" s="381">
        <f t="shared" si="281"/>
        <v>2824.35</v>
      </c>
      <c r="BJ142" s="381">
        <f t="shared" si="281"/>
        <v>518.90100000000007</v>
      </c>
      <c r="BK142" s="381">
        <f t="shared" si="281"/>
        <v>547.99</v>
      </c>
      <c r="BL142" s="381">
        <f t="shared" si="281"/>
        <v>728.90000000000009</v>
      </c>
      <c r="BM142" s="382">
        <f t="shared" si="281"/>
        <v>904</v>
      </c>
      <c r="BN142" s="381">
        <f t="shared" si="281"/>
        <v>2699.7910000000002</v>
      </c>
      <c r="BO142" s="381">
        <f t="shared" si="281"/>
        <v>1103.5999999999999</v>
      </c>
      <c r="BP142" s="381">
        <f t="shared" si="281"/>
        <v>1476.3999999999999</v>
      </c>
      <c r="BQ142" s="381">
        <f t="shared" si="281"/>
        <v>1720.8</v>
      </c>
      <c r="BR142" s="381">
        <f t="shared" si="281"/>
        <v>1176</v>
      </c>
      <c r="BS142" s="381">
        <f t="shared" si="281"/>
        <v>5476.7999999999993</v>
      </c>
      <c r="BT142" s="380">
        <f t="shared" si="281"/>
        <v>1851.3</v>
      </c>
      <c r="BU142" s="381">
        <f t="shared" si="281"/>
        <v>1194.3999999999999</v>
      </c>
      <c r="BV142" s="381">
        <f t="shared" si="281"/>
        <v>1678.2</v>
      </c>
      <c r="BW142" s="381">
        <f t="shared" si="281"/>
        <v>1108</v>
      </c>
      <c r="BX142" s="381">
        <f t="shared" ref="BX142:CW142" si="282">BX151-BX138-BX146</f>
        <v>5831.9</v>
      </c>
      <c r="BY142" s="380">
        <f t="shared" si="282"/>
        <v>1479.8</v>
      </c>
      <c r="BZ142" s="381">
        <f t="shared" si="282"/>
        <v>1376.8999999999999</v>
      </c>
      <c r="CA142" s="381">
        <f t="shared" si="282"/>
        <v>1896</v>
      </c>
      <c r="CB142" s="381">
        <f t="shared" si="282"/>
        <v>1559.3</v>
      </c>
      <c r="CC142" s="383">
        <f t="shared" si="282"/>
        <v>6312</v>
      </c>
      <c r="CD142" s="381">
        <f t="shared" si="282"/>
        <v>1979.2</v>
      </c>
      <c r="CE142" s="381">
        <f t="shared" si="282"/>
        <v>2575.6999999999998</v>
      </c>
      <c r="CF142" s="381">
        <f t="shared" si="282"/>
        <v>1104</v>
      </c>
      <c r="CG142" s="381">
        <f t="shared" si="282"/>
        <v>1822.5</v>
      </c>
      <c r="CH142" s="383">
        <f t="shared" si="282"/>
        <v>7481.4</v>
      </c>
      <c r="CI142" s="381">
        <f t="shared" si="282"/>
        <v>2022.8</v>
      </c>
      <c r="CJ142" s="381">
        <f t="shared" si="282"/>
        <v>2509.6999999999998</v>
      </c>
      <c r="CK142" s="381">
        <f t="shared" si="282"/>
        <v>2456.4</v>
      </c>
      <c r="CL142" s="381">
        <f t="shared" si="282"/>
        <v>2812.5</v>
      </c>
      <c r="CM142" s="383">
        <f t="shared" si="282"/>
        <v>9801.4</v>
      </c>
      <c r="CN142" s="381">
        <f t="shared" si="282"/>
        <v>2090</v>
      </c>
      <c r="CO142" s="381">
        <f t="shared" si="282"/>
        <v>2903</v>
      </c>
      <c r="CP142" s="381">
        <f t="shared" si="282"/>
        <v>3114</v>
      </c>
      <c r="CQ142" s="381">
        <f t="shared" si="282"/>
        <v>2517</v>
      </c>
      <c r="CR142" s="383">
        <f t="shared" si="282"/>
        <v>10624</v>
      </c>
      <c r="CS142" s="381">
        <f t="shared" si="282"/>
        <v>2958.6</v>
      </c>
      <c r="CT142" s="381">
        <f t="shared" si="282"/>
        <v>2465</v>
      </c>
      <c r="CU142" s="381">
        <f t="shared" si="282"/>
        <v>3873.4</v>
      </c>
      <c r="CV142" s="381">
        <f t="shared" si="282"/>
        <v>2742.8</v>
      </c>
      <c r="CW142" s="383">
        <f t="shared" si="282"/>
        <v>12039.8</v>
      </c>
      <c r="CX142" s="381"/>
      <c r="CY142" s="381"/>
      <c r="CZ142" s="381"/>
      <c r="DA142" s="381"/>
      <c r="DB142" s="383"/>
      <c r="DC142" s="381"/>
      <c r="DD142" s="381"/>
      <c r="DE142" s="381"/>
      <c r="DF142" s="381"/>
      <c r="DG142" s="383"/>
      <c r="DH142" s="381"/>
      <c r="DI142" s="381"/>
      <c r="DJ142" s="381"/>
      <c r="DK142" s="381"/>
      <c r="DL142" s="383"/>
      <c r="DM142" s="381"/>
      <c r="DN142" s="381"/>
      <c r="DO142" s="381"/>
      <c r="DP142" s="381"/>
      <c r="DQ142" s="383"/>
      <c r="DR142" s="380"/>
      <c r="DS142" s="381"/>
      <c r="DT142"/>
      <c r="DU142"/>
      <c r="DV142"/>
      <c r="DW142"/>
      <c r="DX142"/>
      <c r="DY142"/>
    </row>
    <row r="143" spans="1:129" s="365" customFormat="1" hidden="1" outlineLevel="1">
      <c r="A143" s="716"/>
      <c r="B143" s="717"/>
      <c r="C143" s="718"/>
      <c r="D143" s="718"/>
      <c r="E143" s="718"/>
      <c r="F143" s="718"/>
      <c r="G143" s="366"/>
      <c r="H143" s="367"/>
      <c r="I143" s="367"/>
      <c r="J143" s="368"/>
      <c r="K143" s="367"/>
      <c r="L143" s="366"/>
      <c r="M143" s="367"/>
      <c r="N143" s="367"/>
      <c r="O143" s="367"/>
      <c r="P143" s="367"/>
      <c r="Q143" s="366"/>
      <c r="R143" s="367"/>
      <c r="S143" s="367"/>
      <c r="T143" s="368"/>
      <c r="U143" s="367"/>
      <c r="V143" s="367"/>
      <c r="W143" s="367"/>
      <c r="X143" s="367"/>
      <c r="Y143" s="368"/>
      <c r="Z143" s="367"/>
      <c r="AA143" s="367"/>
      <c r="AB143" s="367"/>
      <c r="AC143" s="367"/>
      <c r="AD143" s="367"/>
      <c r="AE143" s="367"/>
      <c r="AF143" s="366"/>
      <c r="AG143" s="367"/>
      <c r="AH143" s="367"/>
      <c r="AI143" s="367"/>
      <c r="AJ143" s="367"/>
      <c r="AK143" s="366"/>
      <c r="AL143" s="367"/>
      <c r="AM143" s="367"/>
      <c r="AN143" s="368"/>
      <c r="AO143" s="367"/>
      <c r="AP143" s="367"/>
      <c r="AQ143" s="367"/>
      <c r="AR143" s="367"/>
      <c r="AS143" s="368"/>
      <c r="AT143" s="367"/>
      <c r="AU143" s="367"/>
      <c r="AV143" s="367"/>
      <c r="AW143" s="367"/>
      <c r="AX143" s="367"/>
      <c r="AY143" s="367"/>
      <c r="AZ143" s="366"/>
      <c r="BA143" s="367"/>
      <c r="BB143" s="367"/>
      <c r="BC143" s="367"/>
      <c r="BD143" s="367"/>
      <c r="BE143" s="366"/>
      <c r="BF143" s="367"/>
      <c r="BG143" s="367"/>
      <c r="BH143" s="368"/>
      <c r="BI143" s="367"/>
      <c r="BJ143" s="367"/>
      <c r="BK143" s="367"/>
      <c r="BL143" s="367"/>
      <c r="BM143" s="368"/>
      <c r="BN143" s="367"/>
      <c r="BO143" s="367"/>
      <c r="BP143" s="367"/>
      <c r="BQ143" s="367"/>
      <c r="BR143" s="367"/>
      <c r="BS143" s="367"/>
      <c r="BT143" s="366"/>
      <c r="BU143" s="367"/>
      <c r="BV143" s="367"/>
      <c r="BW143" s="367"/>
      <c r="BX143" s="367"/>
      <c r="BY143" s="366"/>
      <c r="BZ143" s="367"/>
      <c r="CA143" s="367"/>
      <c r="CB143" s="367"/>
      <c r="CC143" s="369"/>
      <c r="CD143" s="367"/>
      <c r="CE143" s="367"/>
      <c r="CF143" s="367"/>
      <c r="CG143" s="367"/>
      <c r="CH143" s="369"/>
      <c r="CI143" s="367"/>
      <c r="CJ143" s="367"/>
      <c r="CK143" s="367"/>
      <c r="CL143" s="367"/>
      <c r="CM143" s="369"/>
      <c r="CN143" s="367"/>
      <c r="CO143" s="367"/>
      <c r="CP143" s="367"/>
      <c r="CQ143" s="367"/>
      <c r="CR143" s="369"/>
      <c r="CS143" s="367"/>
      <c r="CT143" s="367"/>
      <c r="CU143" s="367"/>
      <c r="CV143" s="367"/>
      <c r="CW143" s="369"/>
      <c r="CX143" s="367"/>
      <c r="CY143" s="367"/>
      <c r="CZ143" s="367"/>
      <c r="DA143" s="367"/>
      <c r="DB143" s="369"/>
      <c r="DC143" s="367"/>
      <c r="DD143" s="367"/>
      <c r="DE143" s="367"/>
      <c r="DF143" s="367"/>
      <c r="DG143" s="369"/>
      <c r="DH143" s="367"/>
      <c r="DI143" s="367"/>
      <c r="DJ143" s="367"/>
      <c r="DK143" s="367"/>
      <c r="DL143" s="369"/>
      <c r="DM143" s="367"/>
      <c r="DN143" s="367"/>
      <c r="DO143" s="367"/>
      <c r="DP143" s="367"/>
      <c r="DQ143" s="369"/>
      <c r="DR143" s="366"/>
      <c r="DS143" s="367"/>
      <c r="DT143"/>
      <c r="DU143"/>
      <c r="DV143"/>
      <c r="DW143"/>
      <c r="DX143"/>
      <c r="DY143"/>
    </row>
    <row r="144" spans="1:129" s="365" customFormat="1" hidden="1" outlineLevel="1">
      <c r="A144" s="716"/>
      <c r="B144" s="717"/>
      <c r="C144" s="718" t="s">
        <v>180</v>
      </c>
      <c r="D144" s="718"/>
      <c r="E144" s="718"/>
      <c r="F144" s="718"/>
      <c r="G144" s="366"/>
      <c r="H144" s="367">
        <f>SUM(H145:H146)</f>
        <v>-55.5</v>
      </c>
      <c r="I144" s="367">
        <f>SUM(I145:I146)</f>
        <v>-64.012500000000003</v>
      </c>
      <c r="J144" s="368">
        <f>SUM(J145:J146)</f>
        <v>-70.012500000000003</v>
      </c>
      <c r="K144" s="367"/>
      <c r="L144" s="366">
        <f>SUM(L145:L146)</f>
        <v>-77.924999999999997</v>
      </c>
      <c r="M144" s="367">
        <f>SUM(M145:M146)</f>
        <v>-84.712499999999991</v>
      </c>
      <c r="N144" s="367">
        <f>SUM(N145:N146)</f>
        <v>-90.3</v>
      </c>
      <c r="O144" s="367">
        <f>SUM(O145:O146)</f>
        <v>-103.31249999999999</v>
      </c>
      <c r="P144" s="367">
        <f>SUM(L144:O144)</f>
        <v>-356.25</v>
      </c>
      <c r="Q144" s="366">
        <f>SUM(Q145:Q146)</f>
        <v>-107.25</v>
      </c>
      <c r="R144" s="367">
        <f>SUM(R145:R146)</f>
        <v>-169.345</v>
      </c>
      <c r="S144" s="367">
        <f>SUM(S145:S146)</f>
        <v>-223.01499999999999</v>
      </c>
      <c r="T144" s="368">
        <f>SUM(T145:T146)</f>
        <v>-186.58</v>
      </c>
      <c r="U144" s="367">
        <f>SUM(Q144:T144)</f>
        <v>-686.19</v>
      </c>
      <c r="V144" s="367">
        <f>SUM(V145:V146)</f>
        <v>-123.6</v>
      </c>
      <c r="W144" s="367">
        <f>SUM(W145:W146)</f>
        <v>-161</v>
      </c>
      <c r="X144" s="367">
        <f>SUM(X145:X146)</f>
        <v>-156.8125</v>
      </c>
      <c r="Y144" s="368">
        <f>SUM(Y145:Y146)</f>
        <v>-93.275000000000006</v>
      </c>
      <c r="Z144" s="367">
        <f>SUM(V144:Y144)</f>
        <v>-534.6875</v>
      </c>
      <c r="AA144" s="367">
        <f>SUM(AA145:AA146)</f>
        <v>-251.27499999999998</v>
      </c>
      <c r="AB144" s="367">
        <f>SUM(AB145:AB146)</f>
        <v>-167.05</v>
      </c>
      <c r="AC144" s="367">
        <f>SUM(AC145:AC146)</f>
        <v>-178.26249999999999</v>
      </c>
      <c r="AD144" s="367">
        <f>SUM(AD145:AD146)</f>
        <v>-150.75</v>
      </c>
      <c r="AE144" s="367">
        <f>SUM(AA144:AD144)</f>
        <v>-747.33749999999998</v>
      </c>
      <c r="AF144" s="366">
        <f>SUM(AF145:AF146)</f>
        <v>-175.5</v>
      </c>
      <c r="AG144" s="367">
        <f>SUM(AG145:AG146)</f>
        <v>-290.50000000000006</v>
      </c>
      <c r="AH144" s="367">
        <f>SUM(AH145:AH146)</f>
        <v>-374.00000000000006</v>
      </c>
      <c r="AI144" s="367">
        <f>SUM(AI145:AI146)</f>
        <v>-273.89999999999998</v>
      </c>
      <c r="AJ144" s="367">
        <f>SUM(AF144:AI144)</f>
        <v>-1113.9000000000001</v>
      </c>
      <c r="AK144" s="366">
        <f>SUM(AK145:AK146)</f>
        <v>-288.375</v>
      </c>
      <c r="AL144" s="367">
        <f>SUM(AL145:AL146)</f>
        <v>-549.73750000000007</v>
      </c>
      <c r="AM144" s="367">
        <f>SUM(AM145:AM146)</f>
        <v>-584.20000000000005</v>
      </c>
      <c r="AN144" s="368">
        <f>SUM(AN145:AN146)</f>
        <v>-547.625</v>
      </c>
      <c r="AO144" s="367">
        <f>SUM(AK144:AN144)</f>
        <v>-1969.9375</v>
      </c>
      <c r="AP144" s="367">
        <f>SUM(AP145:AP146)</f>
        <v>-648.20000000000005</v>
      </c>
      <c r="AQ144" s="367">
        <f>SUM(AQ145:AQ146)</f>
        <v>-894.4</v>
      </c>
      <c r="AR144" s="367">
        <f>SUM(AR145:AR146)</f>
        <v>-929</v>
      </c>
      <c r="AS144" s="368">
        <f>SUM(AS145:AS146)</f>
        <v>-941.50000000000011</v>
      </c>
      <c r="AT144" s="367">
        <f>SUM(AP144:AS144)</f>
        <v>-3413.1</v>
      </c>
      <c r="AU144" s="367">
        <f>SUM(AU145:AU146)</f>
        <v>-800.25</v>
      </c>
      <c r="AV144" s="367">
        <f>SUM(AV145:AV146)</f>
        <v>-1200</v>
      </c>
      <c r="AW144" s="367">
        <f>SUM(AW145:AW146)</f>
        <v>-1765</v>
      </c>
      <c r="AX144" s="367">
        <f>SUM(AX145:AX146)</f>
        <v>-1730.175</v>
      </c>
      <c r="AY144" s="367">
        <f>SUM(AU144:AX144)</f>
        <v>-5495.4250000000002</v>
      </c>
      <c r="AZ144" s="366">
        <f>SUM(AZ145:AZ146)</f>
        <v>-1732.5</v>
      </c>
      <c r="BA144" s="367">
        <f>SUM(BA145:BA146)</f>
        <v>-2184.5000000000005</v>
      </c>
      <c r="BB144" s="367">
        <f>SUM(BB145:BB146)</f>
        <v>-2245.15</v>
      </c>
      <c r="BC144" s="367">
        <f>SUM(BC145:BC146)</f>
        <v>-1797.07</v>
      </c>
      <c r="BD144" s="367">
        <f>SUM(AZ144:BC144)</f>
        <v>-7959.22</v>
      </c>
      <c r="BE144" s="366">
        <f>SUM(BE145:BE146)</f>
        <v>-2024.3</v>
      </c>
      <c r="BF144" s="367">
        <f>SUM(BF145:BF146)</f>
        <v>-2575.6875</v>
      </c>
      <c r="BG144" s="367">
        <f>SUM(BG145:BG146)</f>
        <v>-3111.9000000000005</v>
      </c>
      <c r="BH144" s="368">
        <f>SUM(BH145:BH146)</f>
        <v>-2058.7874999999999</v>
      </c>
      <c r="BI144" s="367">
        <f>SUM(BE144:BH144)</f>
        <v>-9770.6750000000011</v>
      </c>
      <c r="BJ144" s="367">
        <f>SUM(BJ145:BJ146)</f>
        <v>-1532.1385</v>
      </c>
      <c r="BK144" s="367">
        <f>SUM(BK145:BK146)</f>
        <v>-2158.0174999999999</v>
      </c>
      <c r="BL144" s="367">
        <f>SUM(BL145:BL146)</f>
        <v>-2368.6725000000006</v>
      </c>
      <c r="BM144" s="368">
        <f>SUM(BM145:BM146)</f>
        <v>-2284.7999999999997</v>
      </c>
      <c r="BN144" s="367">
        <f>SUM(BJ144:BM144)</f>
        <v>-8343.6285000000007</v>
      </c>
      <c r="BO144" s="367">
        <f>SUM(BO145:BO146)</f>
        <v>-3817.0999999999995</v>
      </c>
      <c r="BP144" s="367">
        <f>SUM(BP145:BP146)</f>
        <v>-5231.9249999999993</v>
      </c>
      <c r="BQ144" s="367">
        <f>SUM(BQ145:BQ146)</f>
        <v>-5749.75</v>
      </c>
      <c r="BR144" s="367">
        <f>SUM(BR145:BR146)</f>
        <v>-4556</v>
      </c>
      <c r="BS144" s="367">
        <f>SUM(BO144:BR144)</f>
        <v>-19354.774999999998</v>
      </c>
      <c r="BT144" s="366">
        <f>SUM(BT145:BT146)</f>
        <v>-4639.4749999999995</v>
      </c>
      <c r="BU144" s="367">
        <f>SUM(BU145:BU146)</f>
        <v>-5046.3999999999996</v>
      </c>
      <c r="BV144" s="367">
        <f>SUM(BV145:BV146)</f>
        <v>-4696.7</v>
      </c>
      <c r="BW144" s="367">
        <f>SUM(BW145:BW146)</f>
        <v>-3888.5</v>
      </c>
      <c r="BX144" s="367">
        <f>SUM(BT144:BW144)</f>
        <v>-18271.075000000001</v>
      </c>
      <c r="BY144" s="366">
        <f>SUM(BY145:BY146)</f>
        <v>-4308.8999999999996</v>
      </c>
      <c r="BZ144" s="367">
        <f>SUM(BZ145:BZ146)</f>
        <v>-5057.8</v>
      </c>
      <c r="CA144" s="367">
        <f>SUM(CA145:CA146)</f>
        <v>-5616</v>
      </c>
      <c r="CB144" s="367">
        <f>SUM(CB145:CB146)</f>
        <v>-4817.6750000000002</v>
      </c>
      <c r="CC144" s="369">
        <f>SUM(BY144:CB144)</f>
        <v>-19800.375</v>
      </c>
      <c r="CD144" s="367">
        <f>SUM(CD145:CD146)</f>
        <v>-5777.9250000000002</v>
      </c>
      <c r="CE144" s="367">
        <f>SUM(CE145:CE146)</f>
        <v>-9163</v>
      </c>
      <c r="CF144" s="367">
        <f>SUM(CF145:CF146)</f>
        <v>-9457.25</v>
      </c>
      <c r="CG144" s="367">
        <f>SUM(CG145:CG146)</f>
        <v>-7173.875</v>
      </c>
      <c r="CH144" s="369">
        <f>SUM(CD144:CG144)</f>
        <v>-31572.05</v>
      </c>
      <c r="CI144" s="367">
        <f>SUM(CI145:CI146)</f>
        <v>-7183.95</v>
      </c>
      <c r="CJ144" s="367">
        <f>SUM(CJ145:CJ146)</f>
        <v>-8978.125</v>
      </c>
      <c r="CK144" s="367">
        <f>SUM(CK145:CK146)</f>
        <v>-8700.9</v>
      </c>
      <c r="CL144" s="367">
        <f>SUM(CL145:CL146)</f>
        <v>-8609.3749999999982</v>
      </c>
      <c r="CM144" s="369">
        <f>SUM(CI144:CL144)</f>
        <v>-33472.35</v>
      </c>
      <c r="CN144" s="367">
        <f>SUM(CN145:CN146)</f>
        <v>-8820.0000000000018</v>
      </c>
      <c r="CO144" s="367">
        <f>SUM(CO145:CO146)</f>
        <v>-12293</v>
      </c>
      <c r="CP144" s="367">
        <f>SUM(CP145:CP146)</f>
        <v>-13065</v>
      </c>
      <c r="CQ144" s="367">
        <f>SUM(CQ145:CQ146)</f>
        <v>-12454.5</v>
      </c>
      <c r="CR144" s="369">
        <f>SUM(CN144:CQ144)</f>
        <v>-46632.5</v>
      </c>
      <c r="CS144" s="367">
        <f>SUM(CS145:CS146)</f>
        <v>-9636</v>
      </c>
      <c r="CT144" s="367">
        <f>SUM(CT145:CT146)</f>
        <v>-11884.5</v>
      </c>
      <c r="CU144" s="367">
        <f>SUM(CU145:CU146)</f>
        <v>-11993.5</v>
      </c>
      <c r="CV144" s="367">
        <f>SUM(CV145:CV146)</f>
        <v>-11883.3</v>
      </c>
      <c r="CW144" s="369">
        <f>SUM(CS144:CV144)</f>
        <v>-45397.3</v>
      </c>
      <c r="CX144" s="367">
        <f>+-CX136*CX147/4</f>
        <v>-9562.35</v>
      </c>
      <c r="CY144" s="367">
        <f>+-CY136*CY147/4</f>
        <v>-15410.8</v>
      </c>
      <c r="CZ144" s="367">
        <f>+-CZ136*CZ147/4</f>
        <v>-14445</v>
      </c>
      <c r="DA144" s="367">
        <f>+-DA136*DA147/4</f>
        <v>-11460.475</v>
      </c>
      <c r="DB144" s="369"/>
      <c r="DC144" s="367"/>
      <c r="DD144" s="367"/>
      <c r="DE144" s="367"/>
      <c r="DF144" s="367"/>
      <c r="DG144" s="369"/>
      <c r="DH144" s="367"/>
      <c r="DI144" s="367"/>
      <c r="DJ144" s="367"/>
      <c r="DK144" s="367"/>
      <c r="DL144" s="369"/>
      <c r="DM144" s="367"/>
      <c r="DN144" s="367"/>
      <c r="DO144" s="367"/>
      <c r="DP144" s="367"/>
      <c r="DQ144" s="369"/>
      <c r="DR144" s="366"/>
      <c r="DS144" s="367"/>
      <c r="DT144"/>
      <c r="DU144"/>
      <c r="DV144"/>
      <c r="DW144"/>
      <c r="DX144"/>
      <c r="DY144"/>
    </row>
    <row r="145" spans="1:129" s="365" customFormat="1" hidden="1" outlineLevel="1">
      <c r="A145" s="716"/>
      <c r="B145" s="717"/>
      <c r="C145" s="718"/>
      <c r="D145" s="718" t="s">
        <v>181</v>
      </c>
      <c r="E145" s="718"/>
      <c r="F145" s="718"/>
      <c r="G145" s="366"/>
      <c r="H145" s="367">
        <f>-H$147*H137/4</f>
        <v>-39.9</v>
      </c>
      <c r="I145" s="367">
        <f>-I$147*I137/4</f>
        <v>-44.962499999999999</v>
      </c>
      <c r="J145" s="368">
        <f>-J$147*J137/4</f>
        <v>-48.712499999999999</v>
      </c>
      <c r="K145" s="367"/>
      <c r="L145" s="366">
        <f>-L$147*L137/4</f>
        <v>-52.125</v>
      </c>
      <c r="M145" s="367">
        <f>-M$147*M137/4</f>
        <v>-58.912499999999994</v>
      </c>
      <c r="N145" s="367">
        <f>-N$147*N137/4</f>
        <v>-61.349999999999994</v>
      </c>
      <c r="O145" s="367">
        <f>-O$147*O137/4</f>
        <v>-72.712499999999991</v>
      </c>
      <c r="P145" s="367">
        <f>SUM(L145:O145)</f>
        <v>-245.09999999999997</v>
      </c>
      <c r="Q145" s="366">
        <f>-Q$147*Q137/4</f>
        <v>-75.149999999999991</v>
      </c>
      <c r="R145" s="367">
        <f>-R$147*R137/4</f>
        <v>-117.645</v>
      </c>
      <c r="S145" s="367">
        <f>-S$147*S137/4</f>
        <v>-149.435</v>
      </c>
      <c r="T145" s="368">
        <f>-T$147*T137/4</f>
        <v>-127.68</v>
      </c>
      <c r="U145" s="367">
        <f>SUM(Q145:T145)</f>
        <v>-469.91</v>
      </c>
      <c r="V145" s="367">
        <f>-V$147*V137/4</f>
        <v>-85.2</v>
      </c>
      <c r="W145" s="367">
        <f>-W$147*W137/4</f>
        <v>-103.60000000000001</v>
      </c>
      <c r="X145" s="367">
        <f>-X$147*X137/4</f>
        <v>-102.8625</v>
      </c>
      <c r="Y145" s="368">
        <f>-Y$147*Y137/4</f>
        <v>-61.075000000000003</v>
      </c>
      <c r="Z145" s="367">
        <f>SUM(V145:Y145)</f>
        <v>-352.73750000000001</v>
      </c>
      <c r="AA145" s="367">
        <f>-AA$147*AA137/4</f>
        <v>-164.82499999999999</v>
      </c>
      <c r="AB145" s="367">
        <f>-AB$147*AB137/4</f>
        <v>-110.5</v>
      </c>
      <c r="AC145" s="367">
        <f>-AC$147*AC137/4</f>
        <v>-124.3125</v>
      </c>
      <c r="AD145" s="367">
        <f>-AD$147*AD137/4</f>
        <v>-105.75</v>
      </c>
      <c r="AE145" s="367">
        <f>SUM(AA145:AD145)</f>
        <v>-505.38749999999999</v>
      </c>
      <c r="AF145" s="366">
        <f>-AF$147*AF137/4</f>
        <v>-126</v>
      </c>
      <c r="AG145" s="367">
        <f>-AG$147*AG137/4</f>
        <v>-206.50000000000003</v>
      </c>
      <c r="AH145" s="367">
        <f>-AH$147*AH137/4</f>
        <v>-255.00000000000003</v>
      </c>
      <c r="AI145" s="367">
        <f>-AI$147*AI137/4</f>
        <v>-192.5</v>
      </c>
      <c r="AJ145" s="367">
        <f>SUM(AF145:AI145)</f>
        <v>-780</v>
      </c>
      <c r="AK145" s="366">
        <f>-AK$147*AK137/4</f>
        <v>-211.875</v>
      </c>
      <c r="AL145" s="367">
        <f>-AL$147*AL137/4</f>
        <v>-411.18750000000006</v>
      </c>
      <c r="AM145" s="367">
        <f>-AM$147*AM137/4</f>
        <v>-441</v>
      </c>
      <c r="AN145" s="368">
        <f>-AN$147*AN137/4</f>
        <v>-422.82499999999999</v>
      </c>
      <c r="AO145" s="367">
        <f>SUM(AK145:AN145)</f>
        <v>-1486.8875</v>
      </c>
      <c r="AP145" s="367">
        <f>-AP$147*AP137/4</f>
        <v>-499.1</v>
      </c>
      <c r="AQ145" s="367">
        <f>-AQ$147*AQ137/4</f>
        <v>-679.4</v>
      </c>
      <c r="AR145" s="367">
        <f>-AR$147*AR137/4</f>
        <v>-717</v>
      </c>
      <c r="AS145" s="368">
        <f>-AS$147*AS137/4</f>
        <v>-731.50000000000011</v>
      </c>
      <c r="AT145" s="367">
        <f>SUM(AP145:AS145)</f>
        <v>-2627</v>
      </c>
      <c r="AU145" s="367">
        <f>-AU$147*AU137/4</f>
        <v>-624.25</v>
      </c>
      <c r="AV145" s="367">
        <f>-AV$147*AV137/4</f>
        <v>-937.5</v>
      </c>
      <c r="AW145" s="367">
        <f>-AW$147*AW137/4</f>
        <v>-1390</v>
      </c>
      <c r="AX145" s="367">
        <f>-AX$147*AX137/4</f>
        <v>-1370.625</v>
      </c>
      <c r="AY145" s="367">
        <f>SUM(AU145:AX145)</f>
        <v>-4322.375</v>
      </c>
      <c r="AZ145" s="366">
        <f>-AZ$147*AZ137/4</f>
        <v>-1365</v>
      </c>
      <c r="BA145" s="367">
        <f>-BA$147*BA137/4</f>
        <v>-1734.0000000000002</v>
      </c>
      <c r="BB145" s="367">
        <f>-BB$147*BB137/4</f>
        <v>-1772.0500000000002</v>
      </c>
      <c r="BC145" s="367">
        <f>-BC$147*BC137/4</f>
        <v>-1421.35</v>
      </c>
      <c r="BD145" s="367">
        <f>SUM(AZ145:BC145)</f>
        <v>-6292.4</v>
      </c>
      <c r="BE145" s="366">
        <f>-BE$147*BE137/4</f>
        <v>-1615.1</v>
      </c>
      <c r="BF145" s="367">
        <f>-BF$147*BF137/4</f>
        <v>-2040.9375</v>
      </c>
      <c r="BG145" s="367">
        <f>-BG$147*BG137/4</f>
        <v>-2443.1000000000004</v>
      </c>
      <c r="BH145" s="368">
        <f>-BH$147*BH137/4</f>
        <v>-1594.1875</v>
      </c>
      <c r="BI145" s="367">
        <f>SUM(BE145:BH145)</f>
        <v>-7693.3250000000007</v>
      </c>
      <c r="BJ145" s="367">
        <f>-BJ$147*BJ137/4</f>
        <v>-1196.2375</v>
      </c>
      <c r="BK145" s="367">
        <f>-BK$147*BK137/4</f>
        <v>-1680.0275000000001</v>
      </c>
      <c r="BL145" s="367">
        <f>-BL$147*BL137/4</f>
        <v>-1839.7725000000003</v>
      </c>
      <c r="BM145" s="368">
        <f>-BM$147*BM137/4</f>
        <v>-1780.7999999999997</v>
      </c>
      <c r="BN145" s="367">
        <f>SUM(BJ145:BM145)</f>
        <v>-6496.8374999999996</v>
      </c>
      <c r="BO145" s="367">
        <f>-BO$147*BO137/4</f>
        <v>-3013.4999999999995</v>
      </c>
      <c r="BP145" s="367">
        <f>-BP$147*BP137/4</f>
        <v>-4155.5249999999996</v>
      </c>
      <c r="BQ145" s="367">
        <f>-BQ$147*BQ137/4</f>
        <v>-4528.95</v>
      </c>
      <c r="BR145" s="367">
        <f>-BR$147*BR137/4</f>
        <v>-3580</v>
      </c>
      <c r="BS145" s="367">
        <f>SUM(BO145:BR145)</f>
        <v>-15277.974999999999</v>
      </c>
      <c r="BT145" s="366">
        <f>-BT$147*BT137/4</f>
        <v>-3688.1749999999997</v>
      </c>
      <c r="BU145" s="367">
        <f>-BU$147*BU137/4</f>
        <v>-3952</v>
      </c>
      <c r="BV145" s="367">
        <f>-BV$147*BV137/4</f>
        <v>-3718.5</v>
      </c>
      <c r="BW145" s="367">
        <f>-BW$147*BW137/4</f>
        <v>-3080.5</v>
      </c>
      <c r="BX145" s="367">
        <f>SUM(BT145:BW145)</f>
        <v>-14439.174999999999</v>
      </c>
      <c r="BY145" s="366">
        <f>-BY$147*BY137/4</f>
        <v>-3429.1</v>
      </c>
      <c r="BZ145" s="367">
        <f>-BZ$147*BZ137/4</f>
        <v>-3980.9</v>
      </c>
      <c r="CA145" s="367">
        <f>-CA$147*CA137/4</f>
        <v>-4420</v>
      </c>
      <c r="CB145" s="367">
        <f>-CB$147*CB137/4</f>
        <v>-3758.375</v>
      </c>
      <c r="CC145" s="369">
        <f>SUM(BY145:CB145)</f>
        <v>-15588.375</v>
      </c>
      <c r="CD145" s="367">
        <f>-CD$147*CD137/4</f>
        <v>-4498.7250000000004</v>
      </c>
      <c r="CE145" s="367">
        <f>-CE$147*CE137/4</f>
        <v>-7087.3</v>
      </c>
      <c r="CF145" s="367">
        <f>-CF$147*CF137/4</f>
        <v>-7253.25</v>
      </c>
      <c r="CG145" s="367">
        <f>-CG$147*CG137/4</f>
        <v>-5651.375</v>
      </c>
      <c r="CH145" s="369">
        <f>SUM(CD145:CG145)</f>
        <v>-24490.65</v>
      </c>
      <c r="CI145" s="367">
        <f>-CI$147*CI137/4</f>
        <v>-5661.15</v>
      </c>
      <c r="CJ145" s="367">
        <f>-CJ$147*CJ137/4</f>
        <v>-7068.4249999999993</v>
      </c>
      <c r="CK145" s="367">
        <f>-CK$147*CK137/4</f>
        <v>-6844.5</v>
      </c>
      <c r="CL145" s="367">
        <f>-CL$147*CL137/4</f>
        <v>-6796.8749999999991</v>
      </c>
      <c r="CM145" s="369">
        <f>SUM(CI145:CL145)</f>
        <v>-26370.949999999997</v>
      </c>
      <c r="CN145" s="367">
        <f>-CN$147*CN137/4</f>
        <v>-6930.0000000000009</v>
      </c>
      <c r="CO145" s="367">
        <f>-CO$147*CO137/4</f>
        <v>-9690</v>
      </c>
      <c r="CP145" s="367">
        <f>-CP$147*CP137/4</f>
        <v>-10251</v>
      </c>
      <c r="CQ145" s="367">
        <f>-CQ$147*CQ137/4</f>
        <v>-9737.5</v>
      </c>
      <c r="CR145" s="369">
        <f>SUM(CN145:CQ145)</f>
        <v>-36608.5</v>
      </c>
      <c r="CS145" s="1059">
        <f>-CS$147*CS137/4</f>
        <v>-7577.4</v>
      </c>
      <c r="CT145" s="1059">
        <f>-CT$147*CT137/4</f>
        <v>-9319.5</v>
      </c>
      <c r="CU145" s="1059">
        <f>-CU$147*CU137/4</f>
        <v>-9520.1</v>
      </c>
      <c r="CV145" s="1059">
        <f>-CV$147*CV137/4</f>
        <v>-9340.5</v>
      </c>
      <c r="CW145" s="369">
        <f>SUM(CS145:CV145)</f>
        <v>-35757.5</v>
      </c>
      <c r="CX145" s="367"/>
      <c r="CY145" s="367"/>
      <c r="CZ145" s="367"/>
      <c r="DA145" s="367"/>
      <c r="DB145" s="369"/>
      <c r="DC145" s="367"/>
      <c r="DD145" s="367"/>
      <c r="DE145" s="367"/>
      <c r="DF145" s="367"/>
      <c r="DG145" s="369"/>
      <c r="DH145" s="367"/>
      <c r="DI145" s="367"/>
      <c r="DJ145" s="367"/>
      <c r="DK145" s="367"/>
      <c r="DL145" s="369"/>
      <c r="DM145" s="367"/>
      <c r="DN145" s="367"/>
      <c r="DO145" s="367"/>
      <c r="DP145" s="367"/>
      <c r="DQ145" s="369"/>
      <c r="DR145" s="366"/>
      <c r="DS145" s="367"/>
      <c r="DT145"/>
      <c r="DU145"/>
      <c r="DV145"/>
      <c r="DW145"/>
      <c r="DX145"/>
      <c r="DY145"/>
    </row>
    <row r="146" spans="1:129" s="384" customFormat="1" hidden="1" outlineLevel="1">
      <c r="A146" s="719"/>
      <c r="B146" s="720"/>
      <c r="C146" s="721"/>
      <c r="D146" s="721" t="s">
        <v>182</v>
      </c>
      <c r="E146" s="721"/>
      <c r="F146" s="721"/>
      <c r="G146" s="380"/>
      <c r="H146" s="381">
        <f>-H$147*H138</f>
        <v>-15.6</v>
      </c>
      <c r="I146" s="381">
        <f>-I$147*I138</f>
        <v>-19.05</v>
      </c>
      <c r="J146" s="382">
        <f>-J$147*J138</f>
        <v>-21.3</v>
      </c>
      <c r="K146" s="381"/>
      <c r="L146" s="380">
        <f>-L$147*L138</f>
        <v>-25.8</v>
      </c>
      <c r="M146" s="381">
        <f>-M$147*M138</f>
        <v>-25.8</v>
      </c>
      <c r="N146" s="381">
        <f>-N$147*N138</f>
        <v>-28.95</v>
      </c>
      <c r="O146" s="381">
        <f>-O$147*O138</f>
        <v>-30.599999999999998</v>
      </c>
      <c r="P146" s="381">
        <f>SUM(L146:O146)</f>
        <v>-111.14999999999999</v>
      </c>
      <c r="Q146" s="380">
        <f>-Q$147*Q138</f>
        <v>-32.1</v>
      </c>
      <c r="R146" s="381">
        <f>-R$147*R138</f>
        <v>-51.7</v>
      </c>
      <c r="S146" s="381">
        <f>-S$147*S138</f>
        <v>-73.58</v>
      </c>
      <c r="T146" s="382">
        <f>-T$147*T138</f>
        <v>-58.9</v>
      </c>
      <c r="U146" s="381">
        <f>SUM(Q146:T146)</f>
        <v>-216.28</v>
      </c>
      <c r="V146" s="381">
        <f>-V$147*V138</f>
        <v>-38.4</v>
      </c>
      <c r="W146" s="381">
        <f>-W$147*W138</f>
        <v>-57.400000000000006</v>
      </c>
      <c r="X146" s="381">
        <f>-X$147*X138</f>
        <v>-53.95</v>
      </c>
      <c r="Y146" s="382">
        <f>-Y$147*Y138</f>
        <v>-32.200000000000003</v>
      </c>
      <c r="Z146" s="381">
        <f>SUM(V146:Y146)</f>
        <v>-181.95</v>
      </c>
      <c r="AA146" s="381">
        <f>-AA$147*AA138</f>
        <v>-86.45</v>
      </c>
      <c r="AB146" s="381">
        <f>-AB$147*AB138</f>
        <v>-56.550000000000004</v>
      </c>
      <c r="AC146" s="381">
        <f>-AC$147*AC138</f>
        <v>-53.95</v>
      </c>
      <c r="AD146" s="381">
        <f>-AD$147*AD138</f>
        <v>-45</v>
      </c>
      <c r="AE146" s="381">
        <f>SUM(AA146:AD146)</f>
        <v>-241.95</v>
      </c>
      <c r="AF146" s="380">
        <f>-AF$147*AF138</f>
        <v>-49.5</v>
      </c>
      <c r="AG146" s="381">
        <f>-AG$147*AG138</f>
        <v>-84.000000000000014</v>
      </c>
      <c r="AH146" s="381">
        <f>-AH$147*AH138</f>
        <v>-119.00000000000001</v>
      </c>
      <c r="AI146" s="381">
        <f>-AI$147*AI138</f>
        <v>-81.400000000000006</v>
      </c>
      <c r="AJ146" s="381">
        <f>SUM(AF146:AI146)</f>
        <v>-333.9</v>
      </c>
      <c r="AK146" s="380">
        <f>-AK$147*AK138</f>
        <v>-76.5</v>
      </c>
      <c r="AL146" s="381">
        <f>-AL$147*AL138</f>
        <v>-138.55000000000001</v>
      </c>
      <c r="AM146" s="381">
        <f>-AM$147*AM138</f>
        <v>-143.20000000000002</v>
      </c>
      <c r="AN146" s="382">
        <f>-AN$147*AN138</f>
        <v>-124.80000000000001</v>
      </c>
      <c r="AO146" s="381">
        <f>SUM(AK146:AN146)</f>
        <v>-483.05</v>
      </c>
      <c r="AP146" s="381">
        <f>-AP$147*AP138</f>
        <v>-149.10000000000002</v>
      </c>
      <c r="AQ146" s="381">
        <f>-AQ$147*AQ138</f>
        <v>-214.99999999999997</v>
      </c>
      <c r="AR146" s="381">
        <f>-AR$147*AR138</f>
        <v>-212</v>
      </c>
      <c r="AS146" s="382">
        <f>-AS$147*AS138</f>
        <v>-210.00000000000003</v>
      </c>
      <c r="AT146" s="381">
        <f>SUM(AP146:AS146)</f>
        <v>-786.1</v>
      </c>
      <c r="AU146" s="381">
        <f>-AU$147*AU138</f>
        <v>-176</v>
      </c>
      <c r="AV146" s="381">
        <f>-AV$147*AV138</f>
        <v>-262.5</v>
      </c>
      <c r="AW146" s="381">
        <f>-AW$147*AW138</f>
        <v>-375</v>
      </c>
      <c r="AX146" s="381">
        <f>-AX$147*AX138</f>
        <v>-359.55</v>
      </c>
      <c r="AY146" s="381">
        <f>SUM(AU146:AX146)</f>
        <v>-1173.05</v>
      </c>
      <c r="AZ146" s="380">
        <f>-AZ$147*AZ138</f>
        <v>-367.5</v>
      </c>
      <c r="BA146" s="381">
        <f>-BA$147*BA138</f>
        <v>-450.50000000000006</v>
      </c>
      <c r="BB146" s="381">
        <f>-BB$147*BB138</f>
        <v>-473.1</v>
      </c>
      <c r="BC146" s="381">
        <f>-BC$147*BC138</f>
        <v>-375.71999999999997</v>
      </c>
      <c r="BD146" s="381">
        <f>SUM(AZ146:BC146)</f>
        <v>-1666.82</v>
      </c>
      <c r="BE146" s="380">
        <f>-BE$147*BE138</f>
        <v>-409.2</v>
      </c>
      <c r="BF146" s="381">
        <f>-BF$147*BF138</f>
        <v>-534.75</v>
      </c>
      <c r="BG146" s="381">
        <f>-BG$147*BG138</f>
        <v>-668.80000000000007</v>
      </c>
      <c r="BH146" s="382">
        <f>-BH$147*BH138</f>
        <v>-464.6</v>
      </c>
      <c r="BI146" s="381">
        <f>SUM(BE146:BH146)</f>
        <v>-2077.35</v>
      </c>
      <c r="BJ146" s="381">
        <f>-BJ$147*BJ138</f>
        <v>-335.90100000000001</v>
      </c>
      <c r="BK146" s="381">
        <f>-BK$147*BK138</f>
        <v>-477.99</v>
      </c>
      <c r="BL146" s="381">
        <f>-BL$147*BL138</f>
        <v>-528.90000000000009</v>
      </c>
      <c r="BM146" s="382">
        <f>-BM$147*BM138</f>
        <v>-503.99999999999994</v>
      </c>
      <c r="BN146" s="381">
        <f>SUM(BJ146:BM146)</f>
        <v>-1846.7910000000002</v>
      </c>
      <c r="BO146" s="381">
        <f>-BO$147*BO138</f>
        <v>-803.59999999999991</v>
      </c>
      <c r="BP146" s="381">
        <f>-BP$147*BP138</f>
        <v>-1076.3999999999999</v>
      </c>
      <c r="BQ146" s="381">
        <f>-BQ$147*BQ138</f>
        <v>-1220.8</v>
      </c>
      <c r="BR146" s="381">
        <f>-BR$147*BR138</f>
        <v>-976</v>
      </c>
      <c r="BS146" s="381">
        <f>SUM(BO146:BR146)</f>
        <v>-4076.7999999999997</v>
      </c>
      <c r="BT146" s="380">
        <f>-BT$147*BT138</f>
        <v>-951.3</v>
      </c>
      <c r="BU146" s="381">
        <f>-BU$147*BU138</f>
        <v>-1094.3999999999999</v>
      </c>
      <c r="BV146" s="381">
        <f>-BV$147*BV138</f>
        <v>-978.2</v>
      </c>
      <c r="BW146" s="381">
        <f>-BW$147*BW138</f>
        <v>-807.99999999999989</v>
      </c>
      <c r="BX146" s="381">
        <f>SUM(BT146:BW146)</f>
        <v>-3831.8999999999996</v>
      </c>
      <c r="BY146" s="380">
        <f>-BY$147*BY138</f>
        <v>-879.8</v>
      </c>
      <c r="BZ146" s="381">
        <f>-BZ$147*BZ138</f>
        <v>-1076.8999999999999</v>
      </c>
      <c r="CA146" s="381">
        <f>-CA$147*CA138</f>
        <v>-1196</v>
      </c>
      <c r="CB146" s="381">
        <f>-CB$147*CB138</f>
        <v>-1059.3</v>
      </c>
      <c r="CC146" s="383">
        <f>SUM(BY146:CB146)</f>
        <v>-4212</v>
      </c>
      <c r="CD146" s="381">
        <f>-CD$147*CD138</f>
        <v>-1279.2</v>
      </c>
      <c r="CE146" s="381">
        <f>-CE$147*CE138</f>
        <v>-2075.6999999999998</v>
      </c>
      <c r="CF146" s="381">
        <f>-CF$147*CF138</f>
        <v>-2204</v>
      </c>
      <c r="CG146" s="381">
        <f>-CG$147*CG138</f>
        <v>-1522.5</v>
      </c>
      <c r="CH146" s="383">
        <f>SUM(CD146:CG146)</f>
        <v>-7081.4</v>
      </c>
      <c r="CI146" s="381">
        <f>-CI$147*CI138</f>
        <v>-1522.8</v>
      </c>
      <c r="CJ146" s="381">
        <f>-CJ$147*CJ138</f>
        <v>-1909.6999999999998</v>
      </c>
      <c r="CK146" s="381">
        <f>-CK$147*CK138</f>
        <v>-1856.4</v>
      </c>
      <c r="CL146" s="381">
        <f>-CL$147*CL138</f>
        <v>-1812.4999999999998</v>
      </c>
      <c r="CM146" s="383">
        <f>SUM(CI146:CL146)</f>
        <v>-7101.4</v>
      </c>
      <c r="CN146" s="381">
        <f>-CN$147*CN138</f>
        <v>-1890.0000000000002</v>
      </c>
      <c r="CO146" s="381">
        <f>-CO$147*CO138</f>
        <v>-2603</v>
      </c>
      <c r="CP146" s="381">
        <f>-CP$147*CP138</f>
        <v>-2814</v>
      </c>
      <c r="CQ146" s="381">
        <f>-CQ$147*CQ138</f>
        <v>-2717</v>
      </c>
      <c r="CR146" s="383">
        <f>SUM(CN146:CQ146)</f>
        <v>-10024</v>
      </c>
      <c r="CS146" s="1060">
        <f>-CS$147*CS138</f>
        <v>-2058.6</v>
      </c>
      <c r="CT146" s="1060">
        <f>-CT$147*CT138</f>
        <v>-2565</v>
      </c>
      <c r="CU146" s="1060">
        <f>-CU$147*CU138</f>
        <v>-2473.4</v>
      </c>
      <c r="CV146" s="1060">
        <f>-CV$147*CV138</f>
        <v>-2542.8000000000002</v>
      </c>
      <c r="CW146" s="383">
        <f>SUM(CS146:CV146)</f>
        <v>-9639.7999999999993</v>
      </c>
      <c r="CX146" s="381"/>
      <c r="CY146" s="381"/>
      <c r="CZ146" s="381"/>
      <c r="DA146" s="381"/>
      <c r="DB146" s="383"/>
      <c r="DC146" s="381"/>
      <c r="DD146" s="381"/>
      <c r="DE146" s="381"/>
      <c r="DF146" s="381"/>
      <c r="DG146" s="383"/>
      <c r="DH146" s="381"/>
      <c r="DI146" s="381"/>
      <c r="DJ146" s="381"/>
      <c r="DK146" s="381"/>
      <c r="DL146" s="383"/>
      <c r="DM146" s="381"/>
      <c r="DN146" s="381"/>
      <c r="DO146" s="381"/>
      <c r="DP146" s="381"/>
      <c r="DQ146" s="383"/>
      <c r="DR146" s="380"/>
      <c r="DS146" s="381"/>
      <c r="DT146"/>
      <c r="DU146"/>
      <c r="DV146"/>
      <c r="DW146"/>
      <c r="DX146"/>
      <c r="DY146"/>
    </row>
    <row r="147" spans="1:129" s="361" customFormat="1" hidden="1" outlineLevel="1">
      <c r="A147" s="722"/>
      <c r="B147" s="723"/>
      <c r="C147" s="724"/>
      <c r="D147" s="724" t="s">
        <v>183</v>
      </c>
      <c r="E147" s="724"/>
      <c r="F147" s="724"/>
      <c r="G147" s="99"/>
      <c r="H147" s="100">
        <v>0.15</v>
      </c>
      <c r="I147" s="100">
        <v>0.15</v>
      </c>
      <c r="J147" s="101">
        <v>0.15</v>
      </c>
      <c r="K147" s="373"/>
      <c r="L147" s="99">
        <v>0.15</v>
      </c>
      <c r="M147" s="100">
        <v>0.15</v>
      </c>
      <c r="N147" s="100">
        <v>0.15</v>
      </c>
      <c r="O147" s="101">
        <v>0.15</v>
      </c>
      <c r="P147" s="373">
        <f>-P144/P136</f>
        <v>0.22807298335467349</v>
      </c>
      <c r="Q147" s="99">
        <v>0.15</v>
      </c>
      <c r="R147" s="100">
        <v>0.22</v>
      </c>
      <c r="S147" s="100">
        <v>0.26</v>
      </c>
      <c r="T147" s="101">
        <v>0.19</v>
      </c>
      <c r="U147" s="373">
        <f>-U144/U136</f>
        <v>0.30937330928764656</v>
      </c>
      <c r="V147" s="99">
        <v>0.12</v>
      </c>
      <c r="W147" s="100">
        <v>0.14000000000000001</v>
      </c>
      <c r="X147" s="100">
        <v>0.13</v>
      </c>
      <c r="Y147" s="101">
        <v>7.0000000000000007E-2</v>
      </c>
      <c r="Z147" s="373">
        <f>-Z144/Z136</f>
        <v>0.16920490506329114</v>
      </c>
      <c r="AA147" s="99">
        <v>0.19</v>
      </c>
      <c r="AB147" s="100">
        <v>0.13</v>
      </c>
      <c r="AC147" s="100">
        <v>0.13</v>
      </c>
      <c r="AD147" s="101">
        <v>0.09</v>
      </c>
      <c r="AE147" s="373">
        <f>-AE144/AE136</f>
        <v>0.1904044585987261</v>
      </c>
      <c r="AF147" s="99">
        <v>0.09</v>
      </c>
      <c r="AG147" s="100">
        <v>0.14000000000000001</v>
      </c>
      <c r="AH147" s="100">
        <v>0.17</v>
      </c>
      <c r="AI147" s="101">
        <v>0.11</v>
      </c>
      <c r="AJ147" s="373">
        <f>-AJ144/AJ136</f>
        <v>0.18112195121951222</v>
      </c>
      <c r="AK147" s="99">
        <v>0.1</v>
      </c>
      <c r="AL147" s="100">
        <v>0.17</v>
      </c>
      <c r="AM147" s="100">
        <v>0.16</v>
      </c>
      <c r="AN147" s="101">
        <v>0.13</v>
      </c>
      <c r="AO147" s="373">
        <f>-AO144/AO136</f>
        <v>0.21319669913419914</v>
      </c>
      <c r="AP147" s="99">
        <v>0.14000000000000001</v>
      </c>
      <c r="AQ147" s="100">
        <v>0.17199999999999999</v>
      </c>
      <c r="AR147" s="100">
        <v>0.16</v>
      </c>
      <c r="AS147" s="101">
        <v>0.14000000000000001</v>
      </c>
      <c r="AT147" s="373">
        <f>-AT144/AT136</f>
        <v>0.22271451876019574</v>
      </c>
      <c r="AU147" s="99">
        <v>0.11</v>
      </c>
      <c r="AV147" s="100">
        <v>0.15</v>
      </c>
      <c r="AW147" s="100">
        <v>0.2</v>
      </c>
      <c r="AX147" s="101">
        <v>0.17</v>
      </c>
      <c r="AY147" s="373">
        <f>-AY144/AY136</f>
        <v>0.22614917695473252</v>
      </c>
      <c r="AZ147" s="99">
        <v>0.15</v>
      </c>
      <c r="BA147" s="100">
        <v>0.17</v>
      </c>
      <c r="BB147" s="100">
        <v>0.16600000000000001</v>
      </c>
      <c r="BC147" s="101">
        <v>0.124</v>
      </c>
      <c r="BD147" s="373">
        <f>-BD144/BD136</f>
        <v>0.20487052767052769</v>
      </c>
      <c r="BE147" s="99">
        <v>0.124</v>
      </c>
      <c r="BF147" s="100">
        <v>0.15</v>
      </c>
      <c r="BG147" s="100">
        <v>0.17600000000000002</v>
      </c>
      <c r="BH147" s="101">
        <v>0.115</v>
      </c>
      <c r="BI147" s="373">
        <f>-BI144/BI136</f>
        <v>0.1763659747292419</v>
      </c>
      <c r="BJ147" s="99">
        <v>8.3000000000000004E-2</v>
      </c>
      <c r="BK147" s="100">
        <v>0.113</v>
      </c>
      <c r="BL147" s="100">
        <v>0.12300000000000001</v>
      </c>
      <c r="BM147" s="101">
        <v>0.11199999999999999</v>
      </c>
      <c r="BN147" s="373">
        <f>-BN144/BN136</f>
        <v>0.13523556250709112</v>
      </c>
      <c r="BO147" s="99">
        <f>4.1%*4</f>
        <v>0.16399999999999998</v>
      </c>
      <c r="BP147" s="100">
        <f>5.175%*4</f>
        <v>0.20699999999999999</v>
      </c>
      <c r="BQ147" s="100">
        <f>5.45%*4</f>
        <v>0.218</v>
      </c>
      <c r="BR147" s="101">
        <f>4%*4</f>
        <v>0.16</v>
      </c>
      <c r="BS147" s="373">
        <f>-BS144/BS136</f>
        <v>0.24687213010204079</v>
      </c>
      <c r="BT147" s="99">
        <f>3.775%*4</f>
        <v>0.151</v>
      </c>
      <c r="BU147" s="100">
        <f>3.8%*4</f>
        <v>0.152</v>
      </c>
      <c r="BV147" s="100">
        <f>3.35%*4</f>
        <v>0.13400000000000001</v>
      </c>
      <c r="BW147" s="101">
        <f>2.525%*4</f>
        <v>0.10099999999999999</v>
      </c>
      <c r="BX147" s="373">
        <f>-BX144/BX136</f>
        <v>0.17568341346153846</v>
      </c>
      <c r="BY147" s="99">
        <f>10.6%</f>
        <v>0.106</v>
      </c>
      <c r="BZ147" s="100">
        <f>12.1%</f>
        <v>0.121</v>
      </c>
      <c r="CA147" s="100">
        <f>13%</f>
        <v>0.13</v>
      </c>
      <c r="CB147" s="374">
        <f>10.7%</f>
        <v>0.107</v>
      </c>
      <c r="CC147" s="751">
        <f>-CC144/CC136</f>
        <v>0.14379357298474946</v>
      </c>
      <c r="CD147" s="374">
        <f>12.3%</f>
        <v>0.12300000000000001</v>
      </c>
      <c r="CE147" s="374">
        <f>18.7%</f>
        <v>0.187</v>
      </c>
      <c r="CF147" s="374">
        <f>19%</f>
        <v>0.19</v>
      </c>
      <c r="CG147" s="374">
        <f>14.5%</f>
        <v>0.14499999999999999</v>
      </c>
      <c r="CH147" s="751">
        <f>-CH144/CH136</f>
        <v>0.20148085513720485</v>
      </c>
      <c r="CI147" s="374">
        <f>14.1%</f>
        <v>0.14099999999999999</v>
      </c>
      <c r="CJ147" s="374">
        <f>16.9%</f>
        <v>0.16899999999999998</v>
      </c>
      <c r="CK147" s="374">
        <f>15.6%</f>
        <v>0.156</v>
      </c>
      <c r="CL147" s="374">
        <f>14.5%</f>
        <v>0.14499999999999999</v>
      </c>
      <c r="CM147" s="751">
        <f>-CM144/CM136</f>
        <v>0.19528792298716452</v>
      </c>
      <c r="CN147" s="374">
        <v>0.14000000000000001</v>
      </c>
      <c r="CO147" s="374">
        <v>0.19</v>
      </c>
      <c r="CP147" s="374">
        <v>0.20100000000000001</v>
      </c>
      <c r="CQ147" s="374">
        <v>0.19</v>
      </c>
      <c r="CR147" s="751">
        <f>-CR144/CR136</f>
        <v>0.22048463356973996</v>
      </c>
      <c r="CS147" s="374">
        <v>0.14599999999999999</v>
      </c>
      <c r="CT147" s="374">
        <v>0.17100000000000001</v>
      </c>
      <c r="CU147" s="374">
        <v>0.16600000000000001</v>
      </c>
      <c r="CV147" s="374">
        <v>0.156</v>
      </c>
      <c r="CW147" s="751">
        <f>-CW144/CW136</f>
        <v>0.20476905728461886</v>
      </c>
      <c r="CX147" s="374">
        <v>0.14699999999999999</v>
      </c>
      <c r="CY147" s="374">
        <v>0.23599999999999999</v>
      </c>
      <c r="CZ147" s="374">
        <v>0.22500000000000001</v>
      </c>
      <c r="DA147" s="1135">
        <v>0.17899999999999999</v>
      </c>
      <c r="DB147" s="1136"/>
      <c r="DC147" s="1135"/>
      <c r="DD147" s="1135"/>
      <c r="DE147" s="1135"/>
      <c r="DF147" s="1135"/>
      <c r="DG147" s="1136"/>
      <c r="DH147" s="1135"/>
      <c r="DI147" s="1135"/>
      <c r="DJ147" s="1135"/>
      <c r="DK147" s="1135"/>
      <c r="DL147" s="1136"/>
      <c r="DM147" s="1135"/>
      <c r="DN147" s="1135"/>
      <c r="DO147" s="1135"/>
      <c r="DP147" s="1135"/>
      <c r="DQ147" s="1136"/>
      <c r="DR147" s="362"/>
      <c r="DS147" s="363"/>
      <c r="DT147"/>
      <c r="DU147"/>
      <c r="DV147"/>
      <c r="DW147"/>
      <c r="DX147"/>
      <c r="DY147"/>
    </row>
    <row r="148" spans="1:129" s="154" customFormat="1" hidden="1" outlineLevel="1">
      <c r="A148" s="715"/>
      <c r="B148" s="699"/>
      <c r="C148" s="700"/>
      <c r="D148" s="700"/>
      <c r="E148" s="700"/>
      <c r="F148" s="700"/>
      <c r="G148" s="454">
        <f t="shared" ref="G148:T148" si="283">+G149-F149</f>
        <v>1168</v>
      </c>
      <c r="H148" s="454">
        <f t="shared" si="283"/>
        <v>158</v>
      </c>
      <c r="I148" s="454">
        <f t="shared" si="283"/>
        <v>115</v>
      </c>
      <c r="J148" s="454">
        <f t="shared" si="283"/>
        <v>121</v>
      </c>
      <c r="K148" s="454">
        <f t="shared" si="283"/>
        <v>0</v>
      </c>
      <c r="L148" s="454">
        <f t="shared" si="283"/>
        <v>181</v>
      </c>
      <c r="M148" s="454">
        <f t="shared" si="283"/>
        <v>86</v>
      </c>
      <c r="N148" s="454">
        <f t="shared" si="283"/>
        <v>314</v>
      </c>
      <c r="O148" s="454">
        <f t="shared" si="283"/>
        <v>75</v>
      </c>
      <c r="P148" s="454">
        <f t="shared" si="283"/>
        <v>0</v>
      </c>
      <c r="Q148" s="454">
        <f t="shared" si="283"/>
        <v>156</v>
      </c>
      <c r="R148" s="454">
        <f t="shared" si="283"/>
        <v>208</v>
      </c>
      <c r="S148" s="454">
        <f t="shared" si="283"/>
        <v>416</v>
      </c>
      <c r="T148" s="454">
        <f t="shared" si="283"/>
        <v>162</v>
      </c>
      <c r="U148" s="454"/>
      <c r="V148" s="454">
        <f>+V149-U149</f>
        <v>210</v>
      </c>
      <c r="W148" s="454">
        <f>+W149-V149</f>
        <v>210</v>
      </c>
      <c r="X148" s="454">
        <f>+X149-W149</f>
        <v>370</v>
      </c>
      <c r="Y148" s="454">
        <f>+Y149-X149</f>
        <v>-25</v>
      </c>
      <c r="Z148" s="145"/>
      <c r="AA148" s="454">
        <f t="shared" ref="AA148:AN148" si="284">+AA149-Z149</f>
        <v>-90</v>
      </c>
      <c r="AB148" s="454">
        <f t="shared" si="284"/>
        <v>405</v>
      </c>
      <c r="AC148" s="454">
        <f t="shared" si="284"/>
        <v>960</v>
      </c>
      <c r="AD148" s="454">
        <f t="shared" si="284"/>
        <v>950</v>
      </c>
      <c r="AE148" s="454">
        <f t="shared" si="284"/>
        <v>0</v>
      </c>
      <c r="AF148" s="454">
        <f t="shared" si="284"/>
        <v>350</v>
      </c>
      <c r="AG148" s="454">
        <f t="shared" si="284"/>
        <v>200</v>
      </c>
      <c r="AH148" s="454">
        <f t="shared" si="284"/>
        <v>1040</v>
      </c>
      <c r="AI148" s="454">
        <f t="shared" si="284"/>
        <v>1500</v>
      </c>
      <c r="AJ148" s="454">
        <f t="shared" si="284"/>
        <v>0</v>
      </c>
      <c r="AK148" s="454">
        <f t="shared" si="284"/>
        <v>1250</v>
      </c>
      <c r="AL148" s="454">
        <f t="shared" si="284"/>
        <v>1430</v>
      </c>
      <c r="AM148" s="454">
        <f t="shared" si="284"/>
        <v>2050</v>
      </c>
      <c r="AN148" s="454">
        <f t="shared" si="284"/>
        <v>1355</v>
      </c>
      <c r="AO148" s="454"/>
      <c r="AP148" s="454">
        <f t="shared" ref="AP148:BC148" si="285">+AP149-AO149</f>
        <v>1725</v>
      </c>
      <c r="AQ148" s="454">
        <f t="shared" si="285"/>
        <v>2200</v>
      </c>
      <c r="AR148" s="454">
        <f t="shared" si="285"/>
        <v>3150</v>
      </c>
      <c r="AS148" s="454">
        <f t="shared" si="285"/>
        <v>1900</v>
      </c>
      <c r="AT148" s="454">
        <f t="shared" si="285"/>
        <v>0</v>
      </c>
      <c r="AU148" s="454">
        <f t="shared" si="285"/>
        <v>2450</v>
      </c>
      <c r="AV148" s="454">
        <f t="shared" si="285"/>
        <v>2925</v>
      </c>
      <c r="AW148" s="454">
        <f t="shared" si="285"/>
        <v>4690</v>
      </c>
      <c r="AX148" s="454">
        <f t="shared" si="285"/>
        <v>4485</v>
      </c>
      <c r="AY148" s="454">
        <f t="shared" si="285"/>
        <v>0</v>
      </c>
      <c r="AZ148" s="454">
        <f t="shared" si="285"/>
        <v>4600</v>
      </c>
      <c r="BA148" s="454">
        <f t="shared" si="285"/>
        <v>2100</v>
      </c>
      <c r="BB148" s="454">
        <f t="shared" si="285"/>
        <v>3330</v>
      </c>
      <c r="BC148" s="454">
        <f t="shared" si="285"/>
        <v>6520</v>
      </c>
      <c r="BD148" s="454"/>
      <c r="BE148" s="454">
        <f>+BE149-BD149</f>
        <v>2590</v>
      </c>
      <c r="BF148" s="454">
        <f>+BF149-BE149</f>
        <v>1335</v>
      </c>
      <c r="BG148" s="454">
        <f>+BG149-BF149</f>
        <v>165</v>
      </c>
      <c r="BH148" s="454">
        <f>+BH149-BG149</f>
        <v>2207</v>
      </c>
      <c r="BI148" s="145"/>
      <c r="BJ148" s="454">
        <f>+BJ149-BI149</f>
        <v>2003</v>
      </c>
      <c r="BK148" s="454">
        <f>+BK149-BJ149</f>
        <v>430</v>
      </c>
      <c r="BL148" s="454">
        <f>+BL149-BK149</f>
        <v>3970</v>
      </c>
      <c r="BM148" s="454">
        <f>+BM149-BL149</f>
        <v>10300</v>
      </c>
      <c r="BN148" s="145"/>
      <c r="BO148" s="454"/>
      <c r="BP148" s="454"/>
      <c r="BQ148" s="454"/>
      <c r="BR148" s="454"/>
      <c r="BS148" s="454"/>
      <c r="BT148" s="454"/>
      <c r="BU148" s="454"/>
      <c r="BV148" s="454"/>
      <c r="BW148" s="454"/>
      <c r="BX148" s="454"/>
      <c r="BY148" s="454"/>
      <c r="BZ148" s="454"/>
      <c r="CA148" s="454"/>
      <c r="CB148" s="454"/>
      <c r="CC148" s="454"/>
      <c r="CD148" s="454"/>
      <c r="CE148" s="454"/>
      <c r="CF148" s="454"/>
      <c r="CG148" s="454"/>
      <c r="CH148" s="454"/>
      <c r="CI148" s="454"/>
      <c r="CJ148" s="454"/>
      <c r="CK148" s="454"/>
      <c r="CL148" s="454"/>
      <c r="CM148" s="454"/>
      <c r="CN148" s="454"/>
      <c r="CO148" s="454"/>
      <c r="CP148" s="454"/>
      <c r="CQ148" s="454"/>
      <c r="CR148" s="454"/>
      <c r="CS148" s="454"/>
      <c r="CT148" s="454"/>
      <c r="CU148" s="454"/>
      <c r="CV148" s="454"/>
      <c r="CW148" s="454"/>
      <c r="CX148" s="454"/>
      <c r="CY148" s="454"/>
      <c r="CZ148" s="454"/>
      <c r="DA148" s="145"/>
      <c r="DB148" s="338"/>
      <c r="DC148" s="453"/>
      <c r="DD148" s="145"/>
      <c r="DE148" s="145"/>
      <c r="DF148" s="145"/>
      <c r="DG148" s="338"/>
      <c r="DH148" s="453"/>
      <c r="DI148" s="145"/>
      <c r="DJ148" s="145"/>
      <c r="DK148" s="145"/>
      <c r="DL148" s="338"/>
      <c r="DM148" s="453"/>
      <c r="DN148" s="145"/>
      <c r="DO148" s="145"/>
      <c r="DP148" s="145"/>
      <c r="DQ148" s="338"/>
      <c r="DR148" s="134"/>
      <c r="DS148" s="145"/>
      <c r="DT148"/>
      <c r="DU148"/>
      <c r="DV148"/>
      <c r="DW148"/>
      <c r="DX148"/>
      <c r="DY148"/>
    </row>
    <row r="149" spans="1:129" s="365" customFormat="1" hidden="1" outlineLevel="1">
      <c r="A149" s="716"/>
      <c r="B149" s="717"/>
      <c r="C149" s="725" t="s">
        <v>301</v>
      </c>
      <c r="D149" s="718"/>
      <c r="E149" s="718"/>
      <c r="F149" s="718"/>
      <c r="G149" s="370">
        <v>1168</v>
      </c>
      <c r="H149" s="371">
        <v>1326</v>
      </c>
      <c r="I149" s="371">
        <v>1441</v>
      </c>
      <c r="J149" s="372">
        <v>1562</v>
      </c>
      <c r="K149" s="367">
        <f>J149</f>
        <v>1562</v>
      </c>
      <c r="L149" s="370">
        <v>1743</v>
      </c>
      <c r="M149" s="371">
        <v>1829</v>
      </c>
      <c r="N149" s="371">
        <v>2143</v>
      </c>
      <c r="O149" s="371">
        <v>2218</v>
      </c>
      <c r="P149" s="367">
        <f>O149</f>
        <v>2218</v>
      </c>
      <c r="Q149" s="370">
        <v>2374</v>
      </c>
      <c r="R149" s="371">
        <v>2582</v>
      </c>
      <c r="S149" s="371">
        <v>2998</v>
      </c>
      <c r="T149" s="372">
        <v>3160</v>
      </c>
      <c r="U149" s="367">
        <f>T149</f>
        <v>3160</v>
      </c>
      <c r="V149" s="371">
        <v>3370</v>
      </c>
      <c r="W149" s="371">
        <v>3580</v>
      </c>
      <c r="X149" s="371">
        <v>3950</v>
      </c>
      <c r="Y149" s="372">
        <v>3925</v>
      </c>
      <c r="Z149" s="367">
        <f>Y149</f>
        <v>3925</v>
      </c>
      <c r="AA149" s="371">
        <v>3835</v>
      </c>
      <c r="AB149" s="371">
        <v>4240</v>
      </c>
      <c r="AC149" s="371">
        <v>5200</v>
      </c>
      <c r="AD149" s="371">
        <v>6150</v>
      </c>
      <c r="AE149" s="367">
        <f>AD149</f>
        <v>6150</v>
      </c>
      <c r="AF149" s="370">
        <v>6500</v>
      </c>
      <c r="AG149" s="371">
        <v>6700</v>
      </c>
      <c r="AH149" s="371">
        <v>7740</v>
      </c>
      <c r="AI149" s="371">
        <v>9240</v>
      </c>
      <c r="AJ149" s="367">
        <f>AI149</f>
        <v>9240</v>
      </c>
      <c r="AK149" s="370">
        <v>10490</v>
      </c>
      <c r="AL149" s="371">
        <v>11920</v>
      </c>
      <c r="AM149" s="371">
        <v>13970</v>
      </c>
      <c r="AN149" s="372">
        <v>15325</v>
      </c>
      <c r="AO149" s="367">
        <f>AN149</f>
        <v>15325</v>
      </c>
      <c r="AP149" s="371">
        <v>17050</v>
      </c>
      <c r="AQ149" s="371">
        <v>19250</v>
      </c>
      <c r="AR149" s="371">
        <v>22400</v>
      </c>
      <c r="AS149" s="372">
        <v>24300</v>
      </c>
      <c r="AT149" s="367">
        <f>AS149</f>
        <v>24300</v>
      </c>
      <c r="AU149" s="371">
        <v>26750</v>
      </c>
      <c r="AV149" s="371">
        <v>29675</v>
      </c>
      <c r="AW149" s="371">
        <v>34365</v>
      </c>
      <c r="AX149" s="371">
        <v>38850</v>
      </c>
      <c r="AY149" s="367">
        <f>AX149</f>
        <v>38850</v>
      </c>
      <c r="AZ149" s="370">
        <v>43450</v>
      </c>
      <c r="BA149" s="371">
        <v>45550</v>
      </c>
      <c r="BB149" s="371">
        <v>48880</v>
      </c>
      <c r="BC149" s="371">
        <v>55400</v>
      </c>
      <c r="BD149" s="367">
        <f>BC149</f>
        <v>55400</v>
      </c>
      <c r="BE149" s="370">
        <v>57990</v>
      </c>
      <c r="BF149" s="371">
        <v>59325</v>
      </c>
      <c r="BG149" s="371">
        <v>59490</v>
      </c>
      <c r="BH149" s="372">
        <v>61697</v>
      </c>
      <c r="BI149" s="367">
        <f>BH149</f>
        <v>61697</v>
      </c>
      <c r="BJ149" s="371">
        <v>63700</v>
      </c>
      <c r="BK149" s="371">
        <v>64130</v>
      </c>
      <c r="BL149" s="371">
        <v>68100</v>
      </c>
      <c r="BM149" s="372">
        <v>78400</v>
      </c>
      <c r="BN149" s="367">
        <f>BM149</f>
        <v>78400</v>
      </c>
      <c r="BO149" s="371">
        <v>85500</v>
      </c>
      <c r="BP149" s="371">
        <v>88700</v>
      </c>
      <c r="BQ149" s="371">
        <v>95600</v>
      </c>
      <c r="BR149" s="371">
        <v>104000</v>
      </c>
      <c r="BS149" s="367">
        <f>BR149</f>
        <v>104000</v>
      </c>
      <c r="BT149" s="370">
        <v>111200</v>
      </c>
      <c r="BU149" s="371">
        <v>118300</v>
      </c>
      <c r="BV149" s="371">
        <v>130000</v>
      </c>
      <c r="BW149" s="371">
        <v>137700</v>
      </c>
      <c r="BX149" s="367">
        <f>BW149</f>
        <v>137700</v>
      </c>
      <c r="BY149" s="370">
        <v>140500</v>
      </c>
      <c r="BZ149" s="371">
        <v>145200</v>
      </c>
      <c r="CA149" s="371">
        <v>150400</v>
      </c>
      <c r="CB149" s="371">
        <v>156700</v>
      </c>
      <c r="CC149" s="369">
        <f>CB149</f>
        <v>156700</v>
      </c>
      <c r="CD149" s="371">
        <v>162700</v>
      </c>
      <c r="CE149" s="371">
        <v>164300</v>
      </c>
      <c r="CF149" s="371">
        <v>166400</v>
      </c>
      <c r="CG149" s="371">
        <v>171400</v>
      </c>
      <c r="CH149" s="369">
        <f>CG149</f>
        <v>171400</v>
      </c>
      <c r="CI149" s="371">
        <v>178600</v>
      </c>
      <c r="CJ149" s="371">
        <v>187400</v>
      </c>
      <c r="CK149" s="371">
        <v>200000</v>
      </c>
      <c r="CL149" s="371">
        <v>211500</v>
      </c>
      <c r="CM149" s="369">
        <f>CL149</f>
        <v>211500</v>
      </c>
      <c r="CN149" s="371">
        <v>217700</v>
      </c>
      <c r="CO149" s="371">
        <v>218000</v>
      </c>
      <c r="CP149" s="371">
        <v>219300</v>
      </c>
      <c r="CQ149" s="371">
        <v>221700</v>
      </c>
      <c r="CR149" s="369">
        <f>CQ149</f>
        <v>221700</v>
      </c>
      <c r="CS149" s="371">
        <f>CQ149+11300</f>
        <v>233000</v>
      </c>
      <c r="CT149" s="371">
        <v>244300</v>
      </c>
      <c r="CU149" s="371">
        <v>255800</v>
      </c>
      <c r="CV149" s="371">
        <v>260200</v>
      </c>
      <c r="CW149" s="369">
        <f>CV149</f>
        <v>260200</v>
      </c>
      <c r="CX149" s="371">
        <v>261200</v>
      </c>
      <c r="CY149" s="371">
        <v>256800</v>
      </c>
      <c r="CZ149" s="371">
        <v>256100</v>
      </c>
      <c r="DA149" s="371">
        <v>260000</v>
      </c>
      <c r="DB149" s="369"/>
      <c r="DC149" s="371"/>
      <c r="DD149" s="371"/>
      <c r="DE149" s="371"/>
      <c r="DF149" s="371"/>
      <c r="DG149" s="369"/>
      <c r="DH149" s="371"/>
      <c r="DI149" s="371"/>
      <c r="DJ149" s="371"/>
      <c r="DK149" s="371"/>
      <c r="DL149" s="369"/>
      <c r="DM149" s="371"/>
      <c r="DN149" s="371"/>
      <c r="DO149" s="371"/>
      <c r="DP149" s="371"/>
      <c r="DQ149" s="369"/>
      <c r="DR149" s="366"/>
      <c r="DS149" s="367"/>
      <c r="DT149"/>
      <c r="DU149"/>
      <c r="DV149"/>
      <c r="DW149"/>
      <c r="DX149"/>
      <c r="DY149"/>
    </row>
    <row r="150" spans="1:129" s="365" customFormat="1" hidden="1" outlineLevel="1">
      <c r="A150" s="716"/>
      <c r="B150" s="717"/>
      <c r="C150" s="718"/>
      <c r="D150" s="718" t="s">
        <v>178</v>
      </c>
      <c r="E150" s="718"/>
      <c r="F150" s="718"/>
      <c r="G150" s="370">
        <v>1064</v>
      </c>
      <c r="H150" s="371">
        <v>1199</v>
      </c>
      <c r="I150" s="371">
        <v>1299</v>
      </c>
      <c r="J150" s="372">
        <v>1390</v>
      </c>
      <c r="K150" s="367">
        <f>J150</f>
        <v>1390</v>
      </c>
      <c r="L150" s="370">
        <v>1571</v>
      </c>
      <c r="M150" s="371">
        <v>1636</v>
      </c>
      <c r="N150" s="371">
        <v>1939</v>
      </c>
      <c r="O150" s="371">
        <v>2004</v>
      </c>
      <c r="P150" s="367">
        <f>O150</f>
        <v>2004</v>
      </c>
      <c r="Q150" s="370">
        <v>2139</v>
      </c>
      <c r="R150" s="371">
        <v>2299</v>
      </c>
      <c r="S150" s="371">
        <v>2688</v>
      </c>
      <c r="T150" s="372">
        <v>2840</v>
      </c>
      <c r="U150" s="367">
        <f>T150</f>
        <v>2840</v>
      </c>
      <c r="V150" s="371">
        <v>2960</v>
      </c>
      <c r="W150" s="371">
        <v>3165</v>
      </c>
      <c r="X150" s="371">
        <v>3490</v>
      </c>
      <c r="Y150" s="372">
        <v>3470</v>
      </c>
      <c r="Z150" s="367">
        <f>Y150</f>
        <v>3470</v>
      </c>
      <c r="AA150" s="371">
        <v>3400</v>
      </c>
      <c r="AB150" s="371">
        <v>3825</v>
      </c>
      <c r="AC150" s="371">
        <v>4700</v>
      </c>
      <c r="AD150" s="371">
        <v>5600</v>
      </c>
      <c r="AE150" s="367">
        <f>AD150</f>
        <v>5600</v>
      </c>
      <c r="AF150" s="370">
        <v>5900</v>
      </c>
      <c r="AG150" s="371">
        <v>6000</v>
      </c>
      <c r="AH150" s="371">
        <v>7000</v>
      </c>
      <c r="AI150" s="371">
        <v>8475</v>
      </c>
      <c r="AJ150" s="367">
        <f>AI150</f>
        <v>8475</v>
      </c>
      <c r="AK150" s="370">
        <v>9675</v>
      </c>
      <c r="AL150" s="371">
        <v>11025</v>
      </c>
      <c r="AM150" s="371">
        <v>13010</v>
      </c>
      <c r="AN150" s="372">
        <v>14260</v>
      </c>
      <c r="AO150" s="367">
        <f>AN150</f>
        <v>14260</v>
      </c>
      <c r="AP150" s="371">
        <v>15800</v>
      </c>
      <c r="AQ150" s="371">
        <v>17925</v>
      </c>
      <c r="AR150" s="371">
        <v>20900</v>
      </c>
      <c r="AS150" s="372">
        <v>22700</v>
      </c>
      <c r="AT150" s="367">
        <f>AS150</f>
        <v>22700</v>
      </c>
      <c r="AU150" s="371">
        <v>25000</v>
      </c>
      <c r="AV150" s="371">
        <v>27800</v>
      </c>
      <c r="AW150" s="371">
        <v>32250</v>
      </c>
      <c r="AX150" s="371">
        <v>36400</v>
      </c>
      <c r="AY150" s="367">
        <f>AX150</f>
        <v>36400</v>
      </c>
      <c r="AZ150" s="370">
        <v>40800</v>
      </c>
      <c r="BA150" s="371">
        <v>42700</v>
      </c>
      <c r="BB150" s="371">
        <v>45850</v>
      </c>
      <c r="BC150" s="371">
        <v>52100</v>
      </c>
      <c r="BD150" s="367">
        <f>BC150</f>
        <v>52100</v>
      </c>
      <c r="BE150" s="370">
        <v>54425</v>
      </c>
      <c r="BF150" s="371">
        <v>55525</v>
      </c>
      <c r="BG150" s="371">
        <v>55450</v>
      </c>
      <c r="BH150" s="372">
        <v>57650</v>
      </c>
      <c r="BI150" s="367">
        <f>BH150</f>
        <v>57650</v>
      </c>
      <c r="BJ150" s="371">
        <v>59470</v>
      </c>
      <c r="BK150" s="371">
        <v>59830</v>
      </c>
      <c r="BL150" s="371">
        <v>63600</v>
      </c>
      <c r="BM150" s="372">
        <v>73500</v>
      </c>
      <c r="BN150" s="367">
        <f>BM150</f>
        <v>73500</v>
      </c>
      <c r="BO150" s="371">
        <v>80300</v>
      </c>
      <c r="BP150" s="371">
        <v>83100</v>
      </c>
      <c r="BQ150" s="371">
        <v>89500</v>
      </c>
      <c r="BR150" s="371">
        <v>97700</v>
      </c>
      <c r="BS150" s="367">
        <f>BR150</f>
        <v>97700</v>
      </c>
      <c r="BT150" s="370">
        <v>104000</v>
      </c>
      <c r="BU150" s="371">
        <v>111000</v>
      </c>
      <c r="BV150" s="371">
        <v>122000</v>
      </c>
      <c r="BW150" s="371">
        <v>129400</v>
      </c>
      <c r="BX150" s="367">
        <f>BW150</f>
        <v>129400</v>
      </c>
      <c r="BY150" s="370">
        <v>131600</v>
      </c>
      <c r="BZ150" s="371">
        <v>136000</v>
      </c>
      <c r="CA150" s="371">
        <v>140500</v>
      </c>
      <c r="CB150" s="371">
        <v>146300</v>
      </c>
      <c r="CC150" s="369">
        <f>CB150</f>
        <v>146300</v>
      </c>
      <c r="CD150" s="371">
        <v>151600</v>
      </c>
      <c r="CE150" s="371">
        <v>152700</v>
      </c>
      <c r="CF150" s="371">
        <v>155900</v>
      </c>
      <c r="CG150" s="371">
        <v>160600</v>
      </c>
      <c r="CH150" s="369">
        <f>CG150</f>
        <v>160600</v>
      </c>
      <c r="CI150" s="371">
        <v>167300</v>
      </c>
      <c r="CJ150" s="371">
        <v>175500</v>
      </c>
      <c r="CK150" s="371">
        <v>187500</v>
      </c>
      <c r="CL150" s="371">
        <v>198000</v>
      </c>
      <c r="CM150" s="369">
        <f>CL150</f>
        <v>198000</v>
      </c>
      <c r="CN150" s="371">
        <v>204000</v>
      </c>
      <c r="CO150" s="371">
        <v>204000</v>
      </c>
      <c r="CP150" s="371">
        <v>205000</v>
      </c>
      <c r="CQ150" s="371">
        <v>207600</v>
      </c>
      <c r="CR150" s="369">
        <f>CQ150</f>
        <v>207600</v>
      </c>
      <c r="CS150" s="894">
        <v>218000</v>
      </c>
      <c r="CT150" s="371">
        <v>229400</v>
      </c>
      <c r="CU150" s="371">
        <v>239500</v>
      </c>
      <c r="CV150" s="371">
        <v>243700</v>
      </c>
      <c r="CW150" s="369">
        <f>CV150</f>
        <v>243700</v>
      </c>
      <c r="CX150" s="371"/>
      <c r="CY150" s="371"/>
      <c r="CZ150" s="371"/>
      <c r="DA150" s="371"/>
      <c r="DB150" s="369"/>
      <c r="DC150" s="371"/>
      <c r="DD150" s="371"/>
      <c r="DE150" s="371"/>
      <c r="DF150" s="371"/>
      <c r="DG150" s="369"/>
      <c r="DH150" s="371"/>
      <c r="DI150" s="371"/>
      <c r="DJ150" s="371"/>
      <c r="DK150" s="371"/>
      <c r="DL150" s="369"/>
      <c r="DM150" s="371"/>
      <c r="DN150" s="371"/>
      <c r="DO150" s="371"/>
      <c r="DP150" s="371"/>
      <c r="DQ150" s="369"/>
      <c r="DR150" s="366"/>
      <c r="DS150" s="367"/>
      <c r="DT150"/>
      <c r="DU150"/>
      <c r="DV150"/>
      <c r="DW150"/>
      <c r="DX150"/>
      <c r="DY150"/>
    </row>
    <row r="151" spans="1:129" s="384" customFormat="1" hidden="1" outlineLevel="1">
      <c r="A151" s="719"/>
      <c r="B151" s="720"/>
      <c r="C151" s="721"/>
      <c r="D151" s="721" t="s">
        <v>179</v>
      </c>
      <c r="E151" s="721"/>
      <c r="F151" s="721"/>
      <c r="G151" s="380">
        <f>G149-G150</f>
        <v>104</v>
      </c>
      <c r="H151" s="381">
        <f>H149-H150</f>
        <v>127</v>
      </c>
      <c r="I151" s="381">
        <f>I149-I150</f>
        <v>142</v>
      </c>
      <c r="J151" s="382">
        <f>J149-J150</f>
        <v>172</v>
      </c>
      <c r="K151" s="381">
        <f>J151</f>
        <v>172</v>
      </c>
      <c r="L151" s="380">
        <f>L149-L150</f>
        <v>172</v>
      </c>
      <c r="M151" s="381">
        <f>M149-M150</f>
        <v>193</v>
      </c>
      <c r="N151" s="381">
        <f>N149-N150</f>
        <v>204</v>
      </c>
      <c r="O151" s="381">
        <f>O149-O150</f>
        <v>214</v>
      </c>
      <c r="P151" s="381">
        <f>O151</f>
        <v>214</v>
      </c>
      <c r="Q151" s="380">
        <f>Q149-Q150</f>
        <v>235</v>
      </c>
      <c r="R151" s="381">
        <f>R149-R150</f>
        <v>283</v>
      </c>
      <c r="S151" s="381">
        <f>S149-S150</f>
        <v>310</v>
      </c>
      <c r="T151" s="382">
        <f>T149-T150</f>
        <v>320</v>
      </c>
      <c r="U151" s="381">
        <f>T151</f>
        <v>320</v>
      </c>
      <c r="V151" s="381">
        <f>V149-V150</f>
        <v>410</v>
      </c>
      <c r="W151" s="381">
        <f>W149-W150</f>
        <v>415</v>
      </c>
      <c r="X151" s="381">
        <f>X149-X150</f>
        <v>460</v>
      </c>
      <c r="Y151" s="382">
        <f>Y149-Y150</f>
        <v>455</v>
      </c>
      <c r="Z151" s="381">
        <f>Y151</f>
        <v>455</v>
      </c>
      <c r="AA151" s="381">
        <f>AA149-AA150</f>
        <v>435</v>
      </c>
      <c r="AB151" s="381">
        <f>AB149-AB150</f>
        <v>415</v>
      </c>
      <c r="AC151" s="381">
        <f>AC149-AC150</f>
        <v>500</v>
      </c>
      <c r="AD151" s="381">
        <f>AD149-AD150</f>
        <v>550</v>
      </c>
      <c r="AE151" s="381">
        <f>AD151</f>
        <v>550</v>
      </c>
      <c r="AF151" s="380">
        <f>AF149-AF150</f>
        <v>600</v>
      </c>
      <c r="AG151" s="381">
        <f>AG149-AG150</f>
        <v>700</v>
      </c>
      <c r="AH151" s="381">
        <f>AH149-AH150</f>
        <v>740</v>
      </c>
      <c r="AI151" s="381">
        <f>AI149-AI150</f>
        <v>765</v>
      </c>
      <c r="AJ151" s="381">
        <f>AI151</f>
        <v>765</v>
      </c>
      <c r="AK151" s="380">
        <f>AK149-AK150</f>
        <v>815</v>
      </c>
      <c r="AL151" s="381">
        <f>AL149-AL150</f>
        <v>895</v>
      </c>
      <c r="AM151" s="381">
        <f>AM149-AM150</f>
        <v>960</v>
      </c>
      <c r="AN151" s="382">
        <f>AN149-AN150</f>
        <v>1065</v>
      </c>
      <c r="AO151" s="381">
        <f>AN151</f>
        <v>1065</v>
      </c>
      <c r="AP151" s="381">
        <f>AP149-AP150</f>
        <v>1250</v>
      </c>
      <c r="AQ151" s="381">
        <f>AQ149-AQ150</f>
        <v>1325</v>
      </c>
      <c r="AR151" s="381">
        <f>AR149-AR150</f>
        <v>1500</v>
      </c>
      <c r="AS151" s="382">
        <f>AS149-AS150</f>
        <v>1600</v>
      </c>
      <c r="AT151" s="381">
        <f>AS151</f>
        <v>1600</v>
      </c>
      <c r="AU151" s="381">
        <f>AU149-AU150</f>
        <v>1750</v>
      </c>
      <c r="AV151" s="381">
        <f>AV149-AV150</f>
        <v>1875</v>
      </c>
      <c r="AW151" s="381">
        <f>AW149-AW150</f>
        <v>2115</v>
      </c>
      <c r="AX151" s="381">
        <f>AX149-AX150</f>
        <v>2450</v>
      </c>
      <c r="AY151" s="381">
        <f>AX151</f>
        <v>2450</v>
      </c>
      <c r="AZ151" s="380">
        <f>AZ149-AZ150</f>
        <v>2650</v>
      </c>
      <c r="BA151" s="381">
        <f>BA149-BA150</f>
        <v>2850</v>
      </c>
      <c r="BB151" s="381">
        <f>BB149-BB150</f>
        <v>3030</v>
      </c>
      <c r="BC151" s="381">
        <f>BC149-BC150</f>
        <v>3300</v>
      </c>
      <c r="BD151" s="381">
        <f>BC151</f>
        <v>3300</v>
      </c>
      <c r="BE151" s="380">
        <f>BE149-BE150</f>
        <v>3565</v>
      </c>
      <c r="BF151" s="381">
        <f>BF149-BF150</f>
        <v>3800</v>
      </c>
      <c r="BG151" s="381">
        <f>BG149-BG150</f>
        <v>4040</v>
      </c>
      <c r="BH151" s="382">
        <f>BH149-BH150</f>
        <v>4047</v>
      </c>
      <c r="BI151" s="381">
        <f>BH151</f>
        <v>4047</v>
      </c>
      <c r="BJ151" s="381">
        <f>BJ149-BJ150</f>
        <v>4230</v>
      </c>
      <c r="BK151" s="381">
        <f>BK149-BK150</f>
        <v>4300</v>
      </c>
      <c r="BL151" s="381">
        <f>BL149-BL150</f>
        <v>4500</v>
      </c>
      <c r="BM151" s="382">
        <f>BM149-BM150</f>
        <v>4900</v>
      </c>
      <c r="BN151" s="381">
        <f>BM151</f>
        <v>4900</v>
      </c>
      <c r="BO151" s="381">
        <f>BO149-BO150</f>
        <v>5200</v>
      </c>
      <c r="BP151" s="381">
        <f>BP149-BP150</f>
        <v>5600</v>
      </c>
      <c r="BQ151" s="381">
        <f>BQ149-BQ150</f>
        <v>6100</v>
      </c>
      <c r="BR151" s="381">
        <f>BR149-BR150</f>
        <v>6300</v>
      </c>
      <c r="BS151" s="381">
        <f>BR151</f>
        <v>6300</v>
      </c>
      <c r="BT151" s="380">
        <f>BT149-BT150</f>
        <v>7200</v>
      </c>
      <c r="BU151" s="381">
        <f>BU149-BU150</f>
        <v>7300</v>
      </c>
      <c r="BV151" s="381">
        <f>BV149-BV150</f>
        <v>8000</v>
      </c>
      <c r="BW151" s="381">
        <f>BW149-BW150</f>
        <v>8300</v>
      </c>
      <c r="BX151" s="381">
        <f>BW151</f>
        <v>8300</v>
      </c>
      <c r="BY151" s="380">
        <f>BY149-BY150</f>
        <v>8900</v>
      </c>
      <c r="BZ151" s="381">
        <f>BZ149-BZ150</f>
        <v>9200</v>
      </c>
      <c r="CA151" s="381">
        <f>CA149-CA150</f>
        <v>9900</v>
      </c>
      <c r="CB151" s="381">
        <f>CB149-CB150</f>
        <v>10400</v>
      </c>
      <c r="CC151" s="383">
        <f>CB151</f>
        <v>10400</v>
      </c>
      <c r="CD151" s="381">
        <f>CD149-CD150</f>
        <v>11100</v>
      </c>
      <c r="CE151" s="381">
        <f>CE149-CE150</f>
        <v>11600</v>
      </c>
      <c r="CF151" s="381">
        <f>CF149-CF150</f>
        <v>10500</v>
      </c>
      <c r="CG151" s="381">
        <f>CG149-CG150</f>
        <v>10800</v>
      </c>
      <c r="CH151" s="383">
        <f>CG151</f>
        <v>10800</v>
      </c>
      <c r="CI151" s="381">
        <f>CI149-CI150</f>
        <v>11300</v>
      </c>
      <c r="CJ151" s="381">
        <f>CJ149-CJ150</f>
        <v>11900</v>
      </c>
      <c r="CK151" s="381">
        <f>CK149-CK150</f>
        <v>12500</v>
      </c>
      <c r="CL151" s="381">
        <f>CL149-CL150</f>
        <v>13500</v>
      </c>
      <c r="CM151" s="383">
        <f>CL151</f>
        <v>13500</v>
      </c>
      <c r="CN151" s="381">
        <f>CN149-CN150</f>
        <v>13700</v>
      </c>
      <c r="CO151" s="381">
        <f>CO149-CO150</f>
        <v>14000</v>
      </c>
      <c r="CP151" s="381">
        <f>CP149-CP150</f>
        <v>14300</v>
      </c>
      <c r="CQ151" s="381">
        <f>CQ149-CQ150</f>
        <v>14100</v>
      </c>
      <c r="CR151" s="383">
        <f>CQ151</f>
        <v>14100</v>
      </c>
      <c r="CS151" s="381">
        <f>CS149-CS150</f>
        <v>15000</v>
      </c>
      <c r="CT151" s="381">
        <f>CT149-CT150</f>
        <v>14900</v>
      </c>
      <c r="CU151" s="381">
        <f>CU149-CU150</f>
        <v>16300</v>
      </c>
      <c r="CV151" s="381">
        <f>CV149-CV150</f>
        <v>16500</v>
      </c>
      <c r="CW151" s="383">
        <f>CV151</f>
        <v>16500</v>
      </c>
      <c r="CX151" s="381"/>
      <c r="CY151" s="381"/>
      <c r="CZ151" s="381"/>
      <c r="DA151" s="381"/>
      <c r="DB151" s="383"/>
      <c r="DC151" s="381"/>
      <c r="DD151" s="381"/>
      <c r="DE151" s="381"/>
      <c r="DF151" s="381"/>
      <c r="DG151" s="383"/>
      <c r="DH151" s="381"/>
      <c r="DI151" s="381"/>
      <c r="DJ151" s="381"/>
      <c r="DK151" s="381"/>
      <c r="DL151" s="383"/>
      <c r="DM151" s="381"/>
      <c r="DN151" s="381"/>
      <c r="DO151" s="381"/>
      <c r="DP151" s="381"/>
      <c r="DQ151" s="383"/>
      <c r="DR151" s="380"/>
      <c r="DS151" s="381"/>
      <c r="DT151"/>
      <c r="DU151"/>
      <c r="DV151"/>
      <c r="DW151"/>
      <c r="DX151"/>
      <c r="DY151"/>
    </row>
    <row r="152" spans="1:129" s="154" customFormat="1" hidden="1" outlineLevel="1">
      <c r="A152" s="715"/>
      <c r="B152" s="699"/>
      <c r="C152" s="700"/>
      <c r="D152" s="700"/>
      <c r="E152" s="700"/>
      <c r="F152" s="700"/>
      <c r="G152" s="134"/>
      <c r="H152" s="145"/>
      <c r="I152" s="145"/>
      <c r="J152" s="146"/>
      <c r="K152" s="134"/>
      <c r="L152" s="134"/>
      <c r="M152" s="145"/>
      <c r="N152" s="145"/>
      <c r="O152" s="145"/>
      <c r="P152" s="145"/>
      <c r="Q152" s="134"/>
      <c r="R152" s="145"/>
      <c r="S152" s="145"/>
      <c r="T152" s="146"/>
      <c r="U152" s="145"/>
      <c r="V152" s="145"/>
      <c r="W152" s="145"/>
      <c r="X152" s="145"/>
      <c r="Y152" s="146"/>
      <c r="Z152" s="145"/>
      <c r="AA152" s="145"/>
      <c r="AB152" s="145"/>
      <c r="AC152" s="145"/>
      <c r="AD152" s="145"/>
      <c r="AE152" s="145"/>
      <c r="AF152" s="134"/>
      <c r="AG152" s="145"/>
      <c r="AH152" s="145"/>
      <c r="AI152" s="145"/>
      <c r="AJ152" s="145"/>
      <c r="AK152" s="134"/>
      <c r="AL152" s="145"/>
      <c r="AM152" s="145"/>
      <c r="AN152" s="146"/>
      <c r="AO152" s="145"/>
      <c r="AP152" s="145"/>
      <c r="AQ152" s="145"/>
      <c r="AR152" s="145"/>
      <c r="AS152" s="146"/>
      <c r="AT152" s="145"/>
      <c r="AU152" s="145"/>
      <c r="AV152" s="145"/>
      <c r="AW152" s="145"/>
      <c r="AX152" s="145"/>
      <c r="AY152" s="145"/>
      <c r="AZ152" s="134"/>
      <c r="BA152" s="145"/>
      <c r="BB152" s="145"/>
      <c r="BC152" s="145"/>
      <c r="BD152" s="145"/>
      <c r="BE152" s="134"/>
      <c r="BF152" s="145"/>
      <c r="BG152" s="145"/>
      <c r="BH152" s="146"/>
      <c r="BI152" s="145"/>
      <c r="BJ152" s="145"/>
      <c r="BK152" s="145"/>
      <c r="BL152" s="145"/>
      <c r="BM152" s="146"/>
      <c r="BN152" s="145"/>
      <c r="BO152" s="145"/>
      <c r="BP152" s="145"/>
      <c r="BQ152" s="145"/>
      <c r="BR152" s="146"/>
      <c r="BS152" s="145"/>
      <c r="BT152" s="454"/>
      <c r="BU152" s="454"/>
      <c r="BV152" s="454"/>
      <c r="BW152" s="456"/>
      <c r="BX152" s="145"/>
      <c r="BY152" s="454"/>
      <c r="BZ152" s="454"/>
      <c r="CA152" s="454"/>
      <c r="CB152" s="454"/>
      <c r="CC152" s="338"/>
      <c r="CD152" s="454"/>
      <c r="CE152" s="454"/>
      <c r="CF152" s="454"/>
      <c r="CG152" s="454"/>
      <c r="CH152" s="338"/>
      <c r="CI152" s="145"/>
      <c r="CJ152" s="145"/>
      <c r="CK152" s="145"/>
      <c r="CL152" s="145"/>
      <c r="CM152" s="338"/>
      <c r="CN152" s="145"/>
      <c r="CO152" s="145"/>
      <c r="CP152" s="145"/>
      <c r="CQ152" s="145"/>
      <c r="CR152" s="338"/>
      <c r="CS152" s="145"/>
      <c r="CT152" s="145"/>
      <c r="CU152" s="145"/>
      <c r="CV152" s="145"/>
      <c r="CW152" s="338"/>
      <c r="CX152" s="145"/>
      <c r="CY152" s="145"/>
      <c r="CZ152" s="145"/>
      <c r="DA152" s="145"/>
      <c r="DB152" s="338"/>
      <c r="DC152" s="145"/>
      <c r="DD152" s="145"/>
      <c r="DE152" s="145"/>
      <c r="DF152" s="145"/>
      <c r="DG152" s="338"/>
      <c r="DH152" s="145"/>
      <c r="DI152" s="145"/>
      <c r="DJ152" s="145"/>
      <c r="DK152" s="145"/>
      <c r="DL152" s="338"/>
      <c r="DM152" s="145"/>
      <c r="DN152" s="145"/>
      <c r="DO152" s="145"/>
      <c r="DP152" s="145"/>
      <c r="DQ152" s="338"/>
      <c r="DR152" s="134"/>
      <c r="DS152" s="145"/>
      <c r="DT152"/>
      <c r="DU152"/>
      <c r="DV152"/>
      <c r="DW152"/>
      <c r="DX152"/>
      <c r="DY152"/>
    </row>
    <row r="153" spans="1:129" s="154" customFormat="1" hidden="1" outlineLevel="1">
      <c r="A153" s="715"/>
      <c r="B153" s="699"/>
      <c r="C153" s="725" t="s">
        <v>357</v>
      </c>
      <c r="D153" s="718"/>
      <c r="E153" s="718"/>
      <c r="F153" s="718"/>
      <c r="G153" s="134"/>
      <c r="H153" s="145"/>
      <c r="I153" s="145"/>
      <c r="J153" s="146"/>
      <c r="K153" s="134"/>
      <c r="L153" s="64">
        <f t="shared" ref="L153:U155" si="286">L149/G149-1</f>
        <v>0.4922945205479452</v>
      </c>
      <c r="M153" s="184">
        <f t="shared" si="286"/>
        <v>0.3793363499245852</v>
      </c>
      <c r="N153" s="64">
        <f t="shared" si="286"/>
        <v>0.4871616932685634</v>
      </c>
      <c r="O153" s="64">
        <f t="shared" si="286"/>
        <v>0.41997439180537777</v>
      </c>
      <c r="P153" s="64">
        <f t="shared" si="286"/>
        <v>0.41997439180537777</v>
      </c>
      <c r="Q153" s="67">
        <f t="shared" si="286"/>
        <v>0.36201950659781978</v>
      </c>
      <c r="R153" s="64">
        <f t="shared" si="286"/>
        <v>0.41170038272279941</v>
      </c>
      <c r="S153" s="64">
        <f t="shared" si="286"/>
        <v>0.39897340177321516</v>
      </c>
      <c r="T153" s="76">
        <f t="shared" si="286"/>
        <v>0.42470694319206492</v>
      </c>
      <c r="U153" s="64">
        <f t="shared" si="286"/>
        <v>0.42470694319206492</v>
      </c>
      <c r="V153" s="64">
        <f t="shared" ref="V153:AE155" si="287">V149/Q149-1</f>
        <v>0.41954507160909849</v>
      </c>
      <c r="W153" s="64">
        <f t="shared" si="287"/>
        <v>0.38652207591014709</v>
      </c>
      <c r="X153" s="64">
        <f t="shared" si="287"/>
        <v>0.31754503002001333</v>
      </c>
      <c r="Y153" s="76">
        <f t="shared" si="287"/>
        <v>0.24208860759493667</v>
      </c>
      <c r="Z153" s="64">
        <f t="shared" si="287"/>
        <v>0.24208860759493667</v>
      </c>
      <c r="AA153" s="64">
        <f t="shared" si="287"/>
        <v>0.13798219584569726</v>
      </c>
      <c r="AB153" s="64">
        <f t="shared" si="287"/>
        <v>0.18435754189944142</v>
      </c>
      <c r="AC153" s="64">
        <f t="shared" si="287"/>
        <v>0.31645569620253156</v>
      </c>
      <c r="AD153" s="64">
        <f t="shared" si="287"/>
        <v>0.56687898089171984</v>
      </c>
      <c r="AE153" s="64">
        <f t="shared" si="287"/>
        <v>0.56687898089171984</v>
      </c>
      <c r="AF153" s="67">
        <f t="shared" ref="AF153:AO155" si="288">AF149/AA149-1</f>
        <v>0.69491525423728806</v>
      </c>
      <c r="AG153" s="64">
        <f t="shared" si="288"/>
        <v>0.58018867924528306</v>
      </c>
      <c r="AH153" s="64">
        <f t="shared" si="288"/>
        <v>0.4884615384615385</v>
      </c>
      <c r="AI153" s="64">
        <f t="shared" si="288"/>
        <v>0.5024390243902439</v>
      </c>
      <c r="AJ153" s="64">
        <f t="shared" si="288"/>
        <v>0.5024390243902439</v>
      </c>
      <c r="AK153" s="67">
        <f t="shared" si="288"/>
        <v>0.61384615384615393</v>
      </c>
      <c r="AL153" s="64">
        <f t="shared" si="288"/>
        <v>0.77910447761194024</v>
      </c>
      <c r="AM153" s="64">
        <f t="shared" si="288"/>
        <v>0.80490956072351416</v>
      </c>
      <c r="AN153" s="76">
        <f t="shared" si="288"/>
        <v>0.65854978354978355</v>
      </c>
      <c r="AO153" s="64">
        <f t="shared" si="288"/>
        <v>0.65854978354978355</v>
      </c>
      <c r="AP153" s="64">
        <f t="shared" ref="AP153:AY155" si="289">AP149/AK149-1</f>
        <v>0.62535748331744512</v>
      </c>
      <c r="AQ153" s="64">
        <f t="shared" si="289"/>
        <v>0.61493288590604034</v>
      </c>
      <c r="AR153" s="64">
        <f t="shared" si="289"/>
        <v>0.60343593414459562</v>
      </c>
      <c r="AS153" s="76">
        <f t="shared" si="289"/>
        <v>0.5856443719412725</v>
      </c>
      <c r="AT153" s="64">
        <f t="shared" si="289"/>
        <v>0.5856443719412725</v>
      </c>
      <c r="AU153" s="64">
        <f t="shared" si="289"/>
        <v>0.56891495601173014</v>
      </c>
      <c r="AV153" s="64">
        <f t="shared" si="289"/>
        <v>0.54155844155844157</v>
      </c>
      <c r="AW153" s="64">
        <f t="shared" si="289"/>
        <v>0.53415178571428568</v>
      </c>
      <c r="AX153" s="64">
        <f t="shared" si="289"/>
        <v>0.59876543209876543</v>
      </c>
      <c r="AY153" s="64">
        <f t="shared" si="289"/>
        <v>0.59876543209876543</v>
      </c>
      <c r="AZ153" s="67">
        <f t="shared" ref="AZ153:BI155" si="290">AZ149/AU149-1</f>
        <v>0.62429906542056068</v>
      </c>
      <c r="BA153" s="64">
        <f t="shared" si="290"/>
        <v>0.53496208930075828</v>
      </c>
      <c r="BB153" s="64">
        <f t="shared" si="290"/>
        <v>0.42237741888549407</v>
      </c>
      <c r="BC153" s="64">
        <f t="shared" si="290"/>
        <v>0.42599742599742596</v>
      </c>
      <c r="BD153" s="64">
        <f t="shared" si="290"/>
        <v>0.42599742599742596</v>
      </c>
      <c r="BE153" s="67">
        <f t="shared" si="290"/>
        <v>0.33463751438434985</v>
      </c>
      <c r="BF153" s="64">
        <f t="shared" si="290"/>
        <v>0.30241492864983543</v>
      </c>
      <c r="BG153" s="64">
        <f t="shared" si="290"/>
        <v>0.21706219312602282</v>
      </c>
      <c r="BH153" s="76">
        <f t="shared" si="290"/>
        <v>0.11366425992779794</v>
      </c>
      <c r="BI153" s="64">
        <f t="shared" si="290"/>
        <v>0.11366425992779794</v>
      </c>
      <c r="BJ153" s="64">
        <f t="shared" ref="BJ153:BS155" si="291">BJ149/BE149-1</f>
        <v>9.84652526297638E-2</v>
      </c>
      <c r="BK153" s="64">
        <f t="shared" si="291"/>
        <v>8.0994521702486333E-2</v>
      </c>
      <c r="BL153" s="64">
        <f t="shared" si="291"/>
        <v>0.14473020675743831</v>
      </c>
      <c r="BM153" s="76">
        <f t="shared" si="291"/>
        <v>0.27072629139180182</v>
      </c>
      <c r="BN153" s="64">
        <f t="shared" si="291"/>
        <v>0.27072629139180182</v>
      </c>
      <c r="BO153" s="64">
        <f t="shared" si="291"/>
        <v>0.34222919937205654</v>
      </c>
      <c r="BP153" s="64">
        <f t="shared" si="291"/>
        <v>0.38312802120692346</v>
      </c>
      <c r="BQ153" s="64">
        <f t="shared" si="291"/>
        <v>0.40381791483113072</v>
      </c>
      <c r="BR153" s="64">
        <f t="shared" si="291"/>
        <v>0.32653061224489788</v>
      </c>
      <c r="BS153" s="64">
        <f t="shared" si="291"/>
        <v>0.32653061224489788</v>
      </c>
      <c r="BT153" s="67">
        <f t="shared" ref="BT153:CC155" si="292">BT149/BO149-1</f>
        <v>0.3005847953216374</v>
      </c>
      <c r="BU153" s="64">
        <f t="shared" si="292"/>
        <v>0.33370913190529872</v>
      </c>
      <c r="BV153" s="64">
        <f t="shared" si="292"/>
        <v>0.35983263598326354</v>
      </c>
      <c r="BW153" s="64">
        <f t="shared" si="292"/>
        <v>0.3240384615384615</v>
      </c>
      <c r="BX153" s="64">
        <f t="shared" si="292"/>
        <v>0.3240384615384615</v>
      </c>
      <c r="BY153" s="67">
        <f t="shared" si="292"/>
        <v>0.26348920863309355</v>
      </c>
      <c r="BZ153" s="64">
        <f t="shared" si="292"/>
        <v>0.22738799661876574</v>
      </c>
      <c r="CA153" s="64">
        <f t="shared" si="292"/>
        <v>0.15692307692307694</v>
      </c>
      <c r="CB153" s="64">
        <f t="shared" si="292"/>
        <v>0.13798111837327531</v>
      </c>
      <c r="CC153" s="405">
        <f t="shared" si="292"/>
        <v>0.13798111837327531</v>
      </c>
      <c r="CD153" s="64">
        <f t="shared" ref="CD153:CM155" si="293">CD149/BY149-1</f>
        <v>0.15800711743772244</v>
      </c>
      <c r="CE153" s="64">
        <f t="shared" si="293"/>
        <v>0.13154269972451793</v>
      </c>
      <c r="CF153" s="64">
        <f t="shared" si="293"/>
        <v>0.1063829787234043</v>
      </c>
      <c r="CG153" s="64">
        <f t="shared" si="293"/>
        <v>9.3809827696234915E-2</v>
      </c>
      <c r="CH153" s="405">
        <f t="shared" si="293"/>
        <v>9.3809827696234915E-2</v>
      </c>
      <c r="CI153" s="64">
        <f t="shared" si="293"/>
        <v>9.7725875845113608E-2</v>
      </c>
      <c r="CJ153" s="486">
        <f t="shared" si="293"/>
        <v>0.1405964698721851</v>
      </c>
      <c r="CK153" s="64">
        <f t="shared" si="293"/>
        <v>0.20192307692307687</v>
      </c>
      <c r="CL153" s="64">
        <f t="shared" si="293"/>
        <v>0.23395565927654616</v>
      </c>
      <c r="CM153" s="405">
        <f t="shared" si="293"/>
        <v>0.23395565927654616</v>
      </c>
      <c r="CN153" s="64">
        <f t="shared" ref="CN153:CW155" si="294">CN149/CI149-1</f>
        <v>0.21892497200447925</v>
      </c>
      <c r="CO153" s="486">
        <f t="shared" si="294"/>
        <v>0.16328708644610468</v>
      </c>
      <c r="CP153" s="64">
        <f t="shared" si="294"/>
        <v>9.650000000000003E-2</v>
      </c>
      <c r="CQ153" s="64">
        <f t="shared" si="294"/>
        <v>4.8226950354609999E-2</v>
      </c>
      <c r="CR153" s="405">
        <f t="shared" si="294"/>
        <v>4.8226950354609999E-2</v>
      </c>
      <c r="CS153" s="64">
        <f>CS149/CN149-1</f>
        <v>7.0280202112999568E-2</v>
      </c>
      <c r="CT153" s="64">
        <f>CT149/CO149-1</f>
        <v>0.12064220183486229</v>
      </c>
      <c r="CU153" s="64">
        <f>CU149/CP149-1</f>
        <v>0.16643866849065203</v>
      </c>
      <c r="CV153" s="64">
        <f>CV149/CQ149-1</f>
        <v>0.17365809652683817</v>
      </c>
      <c r="CW153" s="405">
        <f t="shared" si="294"/>
        <v>0.17365809652683817</v>
      </c>
      <c r="CX153" s="64">
        <f>CX149/CS149-1</f>
        <v>0.12103004291845498</v>
      </c>
      <c r="CY153" s="64">
        <f>CY149/CT149-1</f>
        <v>5.1166598444535305E-2</v>
      </c>
      <c r="CZ153" s="64">
        <f>CZ149/CU149-1</f>
        <v>1.1727912431587217E-3</v>
      </c>
      <c r="DA153" s="64">
        <f>DA149/CV149-1</f>
        <v>-7.6863950807071202E-4</v>
      </c>
      <c r="DB153" s="338"/>
      <c r="DC153" s="64"/>
      <c r="DD153" s="64"/>
      <c r="DE153" s="64"/>
      <c r="DF153" s="145"/>
      <c r="DG153" s="338"/>
      <c r="DH153" s="64"/>
      <c r="DI153" s="64"/>
      <c r="DJ153" s="64"/>
      <c r="DK153" s="145"/>
      <c r="DL153" s="338"/>
      <c r="DM153" s="64"/>
      <c r="DN153" s="64"/>
      <c r="DO153" s="64"/>
      <c r="DP153" s="145"/>
      <c r="DQ153" s="338"/>
      <c r="DR153" s="134"/>
      <c r="DS153" s="145"/>
      <c r="DT153"/>
      <c r="DU153"/>
      <c r="DV153"/>
      <c r="DW153"/>
      <c r="DX153"/>
      <c r="DY153"/>
    </row>
    <row r="154" spans="1:129" s="154" customFormat="1" hidden="1" outlineLevel="1">
      <c r="A154" s="715"/>
      <c r="B154" s="699"/>
      <c r="C154" s="718"/>
      <c r="D154" s="718" t="s">
        <v>185</v>
      </c>
      <c r="E154" s="718"/>
      <c r="F154" s="718"/>
      <c r="G154" s="147"/>
      <c r="H154" s="148"/>
      <c r="I154" s="148"/>
      <c r="J154" s="149"/>
      <c r="K154" s="134"/>
      <c r="L154" s="67">
        <f t="shared" si="286"/>
        <v>0.47650375939849621</v>
      </c>
      <c r="M154" s="64">
        <f t="shared" si="286"/>
        <v>0.36447039199332787</v>
      </c>
      <c r="N154" s="64">
        <f t="shared" si="286"/>
        <v>0.49268668206312549</v>
      </c>
      <c r="O154" s="64">
        <f t="shared" si="286"/>
        <v>0.44172661870503593</v>
      </c>
      <c r="P154" s="64">
        <f t="shared" si="286"/>
        <v>0.44172661870503593</v>
      </c>
      <c r="Q154" s="67">
        <f t="shared" si="286"/>
        <v>0.36155315085932527</v>
      </c>
      <c r="R154" s="64">
        <f t="shared" si="286"/>
        <v>0.40525672371638133</v>
      </c>
      <c r="S154" s="64">
        <f t="shared" si="286"/>
        <v>0.38628158844765337</v>
      </c>
      <c r="T154" s="76">
        <f t="shared" si="286"/>
        <v>0.41716566866267457</v>
      </c>
      <c r="U154" s="64">
        <f t="shared" si="286"/>
        <v>0.41716566866267457</v>
      </c>
      <c r="V154" s="64">
        <f t="shared" si="287"/>
        <v>0.3838242169237962</v>
      </c>
      <c r="W154" s="64">
        <f t="shared" si="287"/>
        <v>0.37668551544149631</v>
      </c>
      <c r="X154" s="64">
        <f t="shared" si="287"/>
        <v>0.29836309523809534</v>
      </c>
      <c r="Y154" s="76">
        <f t="shared" si="287"/>
        <v>0.221830985915493</v>
      </c>
      <c r="Z154" s="64">
        <f t="shared" si="287"/>
        <v>0.221830985915493</v>
      </c>
      <c r="AA154" s="64">
        <f t="shared" si="287"/>
        <v>0.14864864864864868</v>
      </c>
      <c r="AB154" s="64">
        <f t="shared" si="287"/>
        <v>0.20853080568720372</v>
      </c>
      <c r="AC154" s="64">
        <f t="shared" si="287"/>
        <v>0.34670487106017189</v>
      </c>
      <c r="AD154" s="64">
        <f t="shared" si="287"/>
        <v>0.61383285302593671</v>
      </c>
      <c r="AE154" s="64">
        <f t="shared" si="287"/>
        <v>0.61383285302593671</v>
      </c>
      <c r="AF154" s="67">
        <f t="shared" si="288"/>
        <v>0.73529411764705888</v>
      </c>
      <c r="AG154" s="64">
        <f t="shared" si="288"/>
        <v>0.56862745098039214</v>
      </c>
      <c r="AH154" s="64">
        <f t="shared" si="288"/>
        <v>0.4893617021276595</v>
      </c>
      <c r="AI154" s="64">
        <f t="shared" si="288"/>
        <v>0.51339285714285721</v>
      </c>
      <c r="AJ154" s="64">
        <f t="shared" si="288"/>
        <v>0.51339285714285721</v>
      </c>
      <c r="AK154" s="67">
        <f t="shared" si="288"/>
        <v>0.63983050847457634</v>
      </c>
      <c r="AL154" s="64">
        <f t="shared" si="288"/>
        <v>0.83749999999999991</v>
      </c>
      <c r="AM154" s="64">
        <f t="shared" si="288"/>
        <v>0.85857142857142854</v>
      </c>
      <c r="AN154" s="76">
        <f t="shared" si="288"/>
        <v>0.6825958702064896</v>
      </c>
      <c r="AO154" s="64">
        <f t="shared" si="288"/>
        <v>0.6825958702064896</v>
      </c>
      <c r="AP154" s="64">
        <f t="shared" si="289"/>
        <v>0.63307493540051674</v>
      </c>
      <c r="AQ154" s="64">
        <f t="shared" si="289"/>
        <v>0.62585034013605445</v>
      </c>
      <c r="AR154" s="64">
        <f t="shared" si="289"/>
        <v>0.60645657186779411</v>
      </c>
      <c r="AS154" s="76">
        <f t="shared" si="289"/>
        <v>0.59186535764375869</v>
      </c>
      <c r="AT154" s="64">
        <f t="shared" si="289"/>
        <v>0.59186535764375869</v>
      </c>
      <c r="AU154" s="64">
        <f t="shared" si="289"/>
        <v>0.58227848101265822</v>
      </c>
      <c r="AV154" s="64">
        <f t="shared" si="289"/>
        <v>0.55090655509065556</v>
      </c>
      <c r="AW154" s="64">
        <f t="shared" si="289"/>
        <v>0.54306220095693769</v>
      </c>
      <c r="AX154" s="64">
        <f t="shared" si="289"/>
        <v>0.6035242290748899</v>
      </c>
      <c r="AY154" s="64">
        <f t="shared" si="289"/>
        <v>0.6035242290748899</v>
      </c>
      <c r="AZ154" s="67">
        <f t="shared" si="290"/>
        <v>0.6319999999999999</v>
      </c>
      <c r="BA154" s="64">
        <f t="shared" si="290"/>
        <v>0.53597122302158273</v>
      </c>
      <c r="BB154" s="64">
        <f t="shared" si="290"/>
        <v>0.42170542635658914</v>
      </c>
      <c r="BC154" s="64">
        <f t="shared" si="290"/>
        <v>0.43131868131868134</v>
      </c>
      <c r="BD154" s="64">
        <f t="shared" si="290"/>
        <v>0.43131868131868134</v>
      </c>
      <c r="BE154" s="67">
        <f t="shared" si="290"/>
        <v>0.33394607843137258</v>
      </c>
      <c r="BF154" s="64">
        <f t="shared" si="290"/>
        <v>0.30035128805620603</v>
      </c>
      <c r="BG154" s="64">
        <f t="shared" si="290"/>
        <v>0.20937840785169026</v>
      </c>
      <c r="BH154" s="76">
        <f t="shared" si="290"/>
        <v>0.10652591170825332</v>
      </c>
      <c r="BI154" s="64">
        <f t="shared" si="290"/>
        <v>0.10652591170825332</v>
      </c>
      <c r="BJ154" s="64">
        <f t="shared" si="291"/>
        <v>9.2696371152962698E-2</v>
      </c>
      <c r="BK154" s="64">
        <f t="shared" si="291"/>
        <v>7.7532642953624498E-2</v>
      </c>
      <c r="BL154" s="64">
        <f t="shared" si="291"/>
        <v>0.14697926059513078</v>
      </c>
      <c r="BM154" s="76">
        <f t="shared" si="291"/>
        <v>0.27493495229835219</v>
      </c>
      <c r="BN154" s="64">
        <f t="shared" si="291"/>
        <v>0.27493495229835219</v>
      </c>
      <c r="BO154" s="64">
        <f t="shared" si="291"/>
        <v>0.35026063561459564</v>
      </c>
      <c r="BP154" s="64">
        <f t="shared" si="291"/>
        <v>0.388935316730737</v>
      </c>
      <c r="BQ154" s="64">
        <f t="shared" si="291"/>
        <v>0.40723270440251569</v>
      </c>
      <c r="BR154" s="64">
        <f t="shared" si="291"/>
        <v>0.32925170068027221</v>
      </c>
      <c r="BS154" s="64">
        <f t="shared" si="291"/>
        <v>0.32925170068027221</v>
      </c>
      <c r="BT154" s="67">
        <f t="shared" si="292"/>
        <v>0.2951432129514322</v>
      </c>
      <c r="BU154" s="64">
        <f t="shared" si="292"/>
        <v>0.33574007220216617</v>
      </c>
      <c r="BV154" s="64">
        <f t="shared" si="292"/>
        <v>0.36312849162011163</v>
      </c>
      <c r="BW154" s="64">
        <f t="shared" si="292"/>
        <v>0.32446264073694975</v>
      </c>
      <c r="BX154" s="64">
        <f t="shared" si="292"/>
        <v>0.32446264073694975</v>
      </c>
      <c r="BY154" s="67">
        <f t="shared" si="292"/>
        <v>0.26538461538461533</v>
      </c>
      <c r="BZ154" s="64">
        <f t="shared" si="292"/>
        <v>0.22522522522522515</v>
      </c>
      <c r="CA154" s="64">
        <f t="shared" si="292"/>
        <v>0.15163934426229497</v>
      </c>
      <c r="CB154" s="64">
        <f t="shared" si="292"/>
        <v>0.13060278207109732</v>
      </c>
      <c r="CC154" s="405">
        <f t="shared" si="292"/>
        <v>0.13060278207109732</v>
      </c>
      <c r="CD154" s="64">
        <f t="shared" si="293"/>
        <v>0.15197568389057747</v>
      </c>
      <c r="CE154" s="64">
        <f t="shared" si="293"/>
        <v>0.12279411764705883</v>
      </c>
      <c r="CF154" s="64">
        <f t="shared" si="293"/>
        <v>0.10960854092526695</v>
      </c>
      <c r="CG154" s="64">
        <f t="shared" si="293"/>
        <v>9.7744360902255689E-2</v>
      </c>
      <c r="CH154" s="405">
        <f t="shared" si="293"/>
        <v>9.7744360902255689E-2</v>
      </c>
      <c r="CI154" s="64">
        <f t="shared" si="293"/>
        <v>0.10356200527704496</v>
      </c>
      <c r="CJ154" s="64">
        <f t="shared" si="293"/>
        <v>0.14931237721021606</v>
      </c>
      <c r="CK154" s="64">
        <f t="shared" si="293"/>
        <v>0.20269403463758828</v>
      </c>
      <c r="CL154" s="64">
        <f t="shared" si="293"/>
        <v>0.23287671232876717</v>
      </c>
      <c r="CM154" s="405">
        <f t="shared" si="293"/>
        <v>0.23287671232876717</v>
      </c>
      <c r="CN154" s="64">
        <f t="shared" si="294"/>
        <v>0.21936640765092652</v>
      </c>
      <c r="CO154" s="64">
        <f t="shared" si="294"/>
        <v>0.16239316239316248</v>
      </c>
      <c r="CP154" s="64">
        <f t="shared" si="294"/>
        <v>9.3333333333333268E-2</v>
      </c>
      <c r="CQ154" s="64">
        <f t="shared" si="294"/>
        <v>4.8484848484848575E-2</v>
      </c>
      <c r="CR154" s="405">
        <f t="shared" si="294"/>
        <v>4.8484848484848575E-2</v>
      </c>
      <c r="CS154" s="64">
        <f t="shared" si="294"/>
        <v>6.8627450980392135E-2</v>
      </c>
      <c r="CT154" s="64">
        <f t="shared" si="294"/>
        <v>0.12450980392156863</v>
      </c>
      <c r="CU154" s="64">
        <f t="shared" si="294"/>
        <v>0.1682926829268292</v>
      </c>
      <c r="CV154" s="64">
        <f t="shared" si="294"/>
        <v>0.17389210019267831</v>
      </c>
      <c r="CW154" s="405">
        <f t="shared" si="294"/>
        <v>0.17389210019267831</v>
      </c>
      <c r="CX154" s="64"/>
      <c r="CY154" s="64"/>
      <c r="CZ154" s="64"/>
      <c r="DA154" s="148"/>
      <c r="DB154" s="753"/>
      <c r="DC154" s="64"/>
      <c r="DD154" s="64"/>
      <c r="DE154" s="64"/>
      <c r="DF154" s="148"/>
      <c r="DG154" s="753"/>
      <c r="DH154" s="64"/>
      <c r="DI154" s="64"/>
      <c r="DJ154" s="64"/>
      <c r="DK154" s="148"/>
      <c r="DL154" s="753"/>
      <c r="DM154" s="64"/>
      <c r="DN154" s="64"/>
      <c r="DO154" s="64"/>
      <c r="DP154" s="148"/>
      <c r="DQ154" s="753"/>
      <c r="DR154" s="134"/>
      <c r="DS154" s="145"/>
      <c r="DT154"/>
      <c r="DU154"/>
      <c r="DV154"/>
      <c r="DW154"/>
      <c r="DX154"/>
      <c r="DY154"/>
    </row>
    <row r="155" spans="1:129" s="385" customFormat="1" hidden="1" outlineLevel="1">
      <c r="A155" s="726"/>
      <c r="B155" s="727"/>
      <c r="C155" s="721"/>
      <c r="D155" s="721" t="s">
        <v>186</v>
      </c>
      <c r="E155" s="721"/>
      <c r="F155" s="721"/>
      <c r="G155" s="387"/>
      <c r="H155" s="388"/>
      <c r="I155" s="388"/>
      <c r="J155" s="389"/>
      <c r="K155" s="386"/>
      <c r="L155" s="390">
        <f t="shared" si="286"/>
        <v>0.65384615384615374</v>
      </c>
      <c r="M155" s="391">
        <f t="shared" si="286"/>
        <v>0.51968503937007871</v>
      </c>
      <c r="N155" s="391">
        <f t="shared" si="286"/>
        <v>0.43661971830985924</v>
      </c>
      <c r="O155" s="391">
        <f t="shared" si="286"/>
        <v>0.2441860465116279</v>
      </c>
      <c r="P155" s="391">
        <f t="shared" si="286"/>
        <v>0.2441860465116279</v>
      </c>
      <c r="Q155" s="390">
        <f t="shared" si="286"/>
        <v>0.36627906976744184</v>
      </c>
      <c r="R155" s="391">
        <f t="shared" si="286"/>
        <v>0.46632124352331616</v>
      </c>
      <c r="S155" s="391">
        <f t="shared" si="286"/>
        <v>0.51960784313725483</v>
      </c>
      <c r="T155" s="392">
        <f t="shared" si="286"/>
        <v>0.49532710280373826</v>
      </c>
      <c r="U155" s="391">
        <f t="shared" si="286"/>
        <v>0.49532710280373826</v>
      </c>
      <c r="V155" s="391">
        <f t="shared" si="287"/>
        <v>0.74468085106382986</v>
      </c>
      <c r="W155" s="391">
        <f t="shared" si="287"/>
        <v>0.46643109540636041</v>
      </c>
      <c r="X155" s="391">
        <f t="shared" si="287"/>
        <v>0.4838709677419355</v>
      </c>
      <c r="Y155" s="392">
        <f t="shared" si="287"/>
        <v>0.421875</v>
      </c>
      <c r="Z155" s="391">
        <f t="shared" si="287"/>
        <v>0.421875</v>
      </c>
      <c r="AA155" s="391">
        <f t="shared" si="287"/>
        <v>6.0975609756097615E-2</v>
      </c>
      <c r="AB155" s="391">
        <f t="shared" si="287"/>
        <v>0</v>
      </c>
      <c r="AC155" s="391">
        <f t="shared" si="287"/>
        <v>8.6956521739130377E-2</v>
      </c>
      <c r="AD155" s="391">
        <f t="shared" si="287"/>
        <v>0.20879120879120872</v>
      </c>
      <c r="AE155" s="391">
        <f t="shared" si="287"/>
        <v>0.20879120879120872</v>
      </c>
      <c r="AF155" s="390">
        <f t="shared" si="288"/>
        <v>0.3793103448275863</v>
      </c>
      <c r="AG155" s="391">
        <f t="shared" si="288"/>
        <v>0.68674698795180733</v>
      </c>
      <c r="AH155" s="391">
        <f t="shared" si="288"/>
        <v>0.48</v>
      </c>
      <c r="AI155" s="391">
        <f t="shared" si="288"/>
        <v>0.39090909090909087</v>
      </c>
      <c r="AJ155" s="391">
        <f t="shared" si="288"/>
        <v>0.39090909090909087</v>
      </c>
      <c r="AK155" s="390">
        <f t="shared" si="288"/>
        <v>0.35833333333333339</v>
      </c>
      <c r="AL155" s="391">
        <f t="shared" si="288"/>
        <v>0.27857142857142847</v>
      </c>
      <c r="AM155" s="391">
        <f t="shared" si="288"/>
        <v>0.29729729729729737</v>
      </c>
      <c r="AN155" s="392">
        <f t="shared" si="288"/>
        <v>0.39215686274509798</v>
      </c>
      <c r="AO155" s="391">
        <f t="shared" si="288"/>
        <v>0.39215686274509798</v>
      </c>
      <c r="AP155" s="391">
        <f t="shared" si="289"/>
        <v>0.53374233128834359</v>
      </c>
      <c r="AQ155" s="391">
        <f t="shared" si="289"/>
        <v>0.48044692737430172</v>
      </c>
      <c r="AR155" s="391">
        <f t="shared" si="289"/>
        <v>0.5625</v>
      </c>
      <c r="AS155" s="392">
        <f t="shared" si="289"/>
        <v>0.50234741784037551</v>
      </c>
      <c r="AT155" s="391">
        <f t="shared" si="289"/>
        <v>0.50234741784037551</v>
      </c>
      <c r="AU155" s="391">
        <f t="shared" si="289"/>
        <v>0.39999999999999991</v>
      </c>
      <c r="AV155" s="391">
        <f t="shared" si="289"/>
        <v>0.41509433962264142</v>
      </c>
      <c r="AW155" s="391">
        <f t="shared" si="289"/>
        <v>0.40999999999999992</v>
      </c>
      <c r="AX155" s="391">
        <f t="shared" si="289"/>
        <v>0.53125</v>
      </c>
      <c r="AY155" s="391">
        <f t="shared" si="289"/>
        <v>0.53125</v>
      </c>
      <c r="AZ155" s="390">
        <f t="shared" si="290"/>
        <v>0.51428571428571423</v>
      </c>
      <c r="BA155" s="391">
        <f t="shared" si="290"/>
        <v>0.52</v>
      </c>
      <c r="BB155" s="391">
        <f t="shared" si="290"/>
        <v>0.43262411347517737</v>
      </c>
      <c r="BC155" s="391">
        <f t="shared" si="290"/>
        <v>0.34693877551020402</v>
      </c>
      <c r="BD155" s="391">
        <f t="shared" si="290"/>
        <v>0.34693877551020402</v>
      </c>
      <c r="BE155" s="390">
        <f t="shared" si="290"/>
        <v>0.34528301886792456</v>
      </c>
      <c r="BF155" s="391">
        <f t="shared" si="290"/>
        <v>0.33333333333333326</v>
      </c>
      <c r="BG155" s="391">
        <f t="shared" si="290"/>
        <v>0.33333333333333326</v>
      </c>
      <c r="BH155" s="392">
        <f t="shared" si="290"/>
        <v>0.22636363636363632</v>
      </c>
      <c r="BI155" s="391">
        <f t="shared" si="290"/>
        <v>0.22636363636363632</v>
      </c>
      <c r="BJ155" s="391">
        <f t="shared" si="291"/>
        <v>0.18653576437587649</v>
      </c>
      <c r="BK155" s="391">
        <f t="shared" si="291"/>
        <v>0.13157894736842102</v>
      </c>
      <c r="BL155" s="391">
        <f t="shared" si="291"/>
        <v>0.11386138613861396</v>
      </c>
      <c r="BM155" s="392">
        <f t="shared" si="291"/>
        <v>0.21077341240424996</v>
      </c>
      <c r="BN155" s="391">
        <f t="shared" si="291"/>
        <v>0.21077341240424996</v>
      </c>
      <c r="BO155" s="391">
        <f t="shared" si="291"/>
        <v>0.2293144208037825</v>
      </c>
      <c r="BP155" s="391">
        <f t="shared" si="291"/>
        <v>0.30232558139534893</v>
      </c>
      <c r="BQ155" s="391">
        <f t="shared" si="291"/>
        <v>0.35555555555555562</v>
      </c>
      <c r="BR155" s="391">
        <f t="shared" si="291"/>
        <v>0.28571428571428581</v>
      </c>
      <c r="BS155" s="391">
        <f t="shared" si="291"/>
        <v>0.28571428571428581</v>
      </c>
      <c r="BT155" s="390">
        <f t="shared" si="292"/>
        <v>0.38461538461538458</v>
      </c>
      <c r="BU155" s="391">
        <f t="shared" si="292"/>
        <v>0.3035714285714286</v>
      </c>
      <c r="BV155" s="391">
        <f t="shared" si="292"/>
        <v>0.31147540983606548</v>
      </c>
      <c r="BW155" s="391">
        <f t="shared" si="292"/>
        <v>0.31746031746031744</v>
      </c>
      <c r="BX155" s="391">
        <f t="shared" si="292"/>
        <v>0.31746031746031744</v>
      </c>
      <c r="BY155" s="390">
        <f t="shared" si="292"/>
        <v>0.23611111111111116</v>
      </c>
      <c r="BZ155" s="391">
        <f t="shared" si="292"/>
        <v>0.26027397260273966</v>
      </c>
      <c r="CA155" s="391">
        <f t="shared" si="292"/>
        <v>0.23750000000000004</v>
      </c>
      <c r="CB155" s="391">
        <f t="shared" si="292"/>
        <v>0.25301204819277112</v>
      </c>
      <c r="CC155" s="752">
        <f t="shared" si="292"/>
        <v>0.25301204819277112</v>
      </c>
      <c r="CD155" s="391">
        <f t="shared" si="293"/>
        <v>0.24719101123595499</v>
      </c>
      <c r="CE155" s="391">
        <f t="shared" si="293"/>
        <v>0.26086956521739135</v>
      </c>
      <c r="CF155" s="391">
        <f t="shared" si="293"/>
        <v>6.0606060606060552E-2</v>
      </c>
      <c r="CG155" s="391">
        <f t="shared" si="293"/>
        <v>3.8461538461538547E-2</v>
      </c>
      <c r="CH155" s="752">
        <f t="shared" si="293"/>
        <v>3.8461538461538547E-2</v>
      </c>
      <c r="CI155" s="391">
        <f t="shared" si="293"/>
        <v>1.8018018018018056E-2</v>
      </c>
      <c r="CJ155" s="391">
        <f t="shared" si="293"/>
        <v>2.5862068965517349E-2</v>
      </c>
      <c r="CK155" s="391">
        <f t="shared" si="293"/>
        <v>0.19047619047619047</v>
      </c>
      <c r="CL155" s="391">
        <f t="shared" si="293"/>
        <v>0.25</v>
      </c>
      <c r="CM155" s="752">
        <f t="shared" si="293"/>
        <v>0.25</v>
      </c>
      <c r="CN155" s="391">
        <f t="shared" si="294"/>
        <v>0.21238938053097356</v>
      </c>
      <c r="CO155" s="391">
        <f t="shared" si="294"/>
        <v>0.17647058823529416</v>
      </c>
      <c r="CP155" s="391">
        <f t="shared" si="294"/>
        <v>0.14399999999999991</v>
      </c>
      <c r="CQ155" s="391">
        <f t="shared" si="294"/>
        <v>4.4444444444444509E-2</v>
      </c>
      <c r="CR155" s="752">
        <f t="shared" si="294"/>
        <v>4.4444444444444509E-2</v>
      </c>
      <c r="CS155" s="391">
        <f t="shared" si="294"/>
        <v>9.4890510948905105E-2</v>
      </c>
      <c r="CT155" s="391">
        <f t="shared" si="294"/>
        <v>6.4285714285714279E-2</v>
      </c>
      <c r="CU155" s="391">
        <f t="shared" si="294"/>
        <v>0.13986013986013979</v>
      </c>
      <c r="CV155" s="391">
        <f t="shared" si="294"/>
        <v>0.17021276595744683</v>
      </c>
      <c r="CW155" s="752">
        <f t="shared" si="294"/>
        <v>0.17021276595744683</v>
      </c>
      <c r="CX155" s="391"/>
      <c r="CY155" s="391"/>
      <c r="CZ155" s="391"/>
      <c r="DA155" s="388"/>
      <c r="DB155" s="857"/>
      <c r="DC155" s="391"/>
      <c r="DD155" s="391"/>
      <c r="DE155" s="391"/>
      <c r="DF155" s="388"/>
      <c r="DG155" s="857"/>
      <c r="DH155" s="391"/>
      <c r="DI155" s="391"/>
      <c r="DJ155" s="391"/>
      <c r="DK155" s="388"/>
      <c r="DL155" s="857"/>
      <c r="DM155" s="391"/>
      <c r="DN155" s="391"/>
      <c r="DO155" s="391"/>
      <c r="DP155" s="388"/>
      <c r="DQ155" s="857"/>
      <c r="DR155" s="386"/>
      <c r="DS155" s="866"/>
      <c r="DT155"/>
      <c r="DU155"/>
      <c r="DV155"/>
      <c r="DW155"/>
      <c r="DX155"/>
      <c r="DY155"/>
    </row>
    <row r="156" spans="1:129" s="154" customFormat="1" hidden="1" outlineLevel="1">
      <c r="A156" s="715"/>
      <c r="B156" s="699"/>
      <c r="C156" s="718"/>
      <c r="D156" s="718"/>
      <c r="E156" s="718"/>
      <c r="F156" s="718"/>
      <c r="G156" s="147"/>
      <c r="H156" s="148"/>
      <c r="I156" s="148"/>
      <c r="J156" s="149"/>
      <c r="K156" s="134"/>
      <c r="L156" s="67"/>
      <c r="M156" s="64"/>
      <c r="N156" s="64"/>
      <c r="O156" s="64"/>
      <c r="P156" s="148"/>
      <c r="Q156" s="67"/>
      <c r="R156" s="64"/>
      <c r="S156" s="64"/>
      <c r="T156" s="76"/>
      <c r="U156" s="148"/>
      <c r="V156" s="64"/>
      <c r="W156" s="64"/>
      <c r="X156" s="64"/>
      <c r="Y156" s="76"/>
      <c r="Z156" s="148"/>
      <c r="AA156" s="64"/>
      <c r="AB156" s="64"/>
      <c r="AC156" s="64"/>
      <c r="AD156" s="64"/>
      <c r="AE156" s="148"/>
      <c r="AF156" s="67"/>
      <c r="AG156" s="64"/>
      <c r="AH156" s="64"/>
      <c r="AI156" s="64"/>
      <c r="AJ156" s="148"/>
      <c r="AK156" s="67"/>
      <c r="AL156" s="64"/>
      <c r="AM156" s="64"/>
      <c r="AN156" s="76"/>
      <c r="AO156" s="148"/>
      <c r="AP156" s="64"/>
      <c r="AQ156" s="64"/>
      <c r="AR156" s="64"/>
      <c r="AS156" s="76"/>
      <c r="AT156" s="148"/>
      <c r="AU156" s="64"/>
      <c r="AV156" s="64"/>
      <c r="AW156" s="64"/>
      <c r="AX156" s="64"/>
      <c r="AY156" s="148"/>
      <c r="AZ156" s="67"/>
      <c r="BA156" s="64"/>
      <c r="BB156" s="64"/>
      <c r="BC156" s="64"/>
      <c r="BD156" s="148"/>
      <c r="BE156" s="67"/>
      <c r="BF156" s="64"/>
      <c r="BG156" s="64"/>
      <c r="BH156" s="76"/>
      <c r="BI156" s="148"/>
      <c r="BJ156" s="64"/>
      <c r="BK156" s="64"/>
      <c r="BL156" s="64"/>
      <c r="BM156" s="76"/>
      <c r="BN156" s="148"/>
      <c r="BO156" s="64"/>
      <c r="BP156" s="64"/>
      <c r="BQ156" s="64"/>
      <c r="BR156" s="64"/>
      <c r="BS156" s="148"/>
      <c r="BT156" s="67"/>
      <c r="BU156" s="64"/>
      <c r="BV156" s="64"/>
      <c r="BW156" s="64"/>
      <c r="BX156" s="148"/>
      <c r="BY156" s="67"/>
      <c r="BZ156" s="64"/>
      <c r="CA156" s="64"/>
      <c r="CB156" s="64"/>
      <c r="CC156" s="753"/>
      <c r="CD156" s="64"/>
      <c r="CE156" s="64"/>
      <c r="CF156" s="64"/>
      <c r="CG156" s="64"/>
      <c r="CH156" s="753"/>
      <c r="CI156" s="64"/>
      <c r="CJ156" s="64"/>
      <c r="CK156" s="64"/>
      <c r="CL156" s="148"/>
      <c r="CM156" s="753"/>
      <c r="CN156" s="64"/>
      <c r="CO156" s="64"/>
      <c r="CP156" s="64"/>
      <c r="CQ156" s="148"/>
      <c r="CR156" s="753"/>
      <c r="CS156" s="64"/>
      <c r="CT156" s="64"/>
      <c r="CU156" s="64"/>
      <c r="CV156" s="64"/>
      <c r="CW156" s="753"/>
      <c r="CX156" s="64"/>
      <c r="CY156" s="64"/>
      <c r="CZ156" s="64"/>
      <c r="DA156" s="148"/>
      <c r="DB156" s="753"/>
      <c r="DC156" s="64"/>
      <c r="DD156" s="64"/>
      <c r="DE156" s="64"/>
      <c r="DF156" s="148"/>
      <c r="DG156" s="753"/>
      <c r="DH156" s="64"/>
      <c r="DI156" s="64"/>
      <c r="DJ156" s="64"/>
      <c r="DK156" s="148"/>
      <c r="DL156" s="753"/>
      <c r="DM156" s="64"/>
      <c r="DN156" s="64"/>
      <c r="DO156" s="64"/>
      <c r="DP156" s="148"/>
      <c r="DQ156" s="753"/>
      <c r="DR156" s="134"/>
      <c r="DS156" s="145"/>
      <c r="DT156"/>
      <c r="DU156"/>
      <c r="DV156"/>
      <c r="DW156"/>
      <c r="DX156"/>
      <c r="DY156"/>
    </row>
    <row r="157" spans="1:129" s="154" customFormat="1" hidden="1" outlineLevel="1">
      <c r="A157" s="715"/>
      <c r="B157" s="699"/>
      <c r="C157" s="718" t="s">
        <v>190</v>
      </c>
      <c r="D157" s="718"/>
      <c r="E157" s="718"/>
      <c r="F157" s="718"/>
      <c r="G157" s="147"/>
      <c r="H157" s="64">
        <f t="shared" ref="H157:J159" si="295">H140/H136</f>
        <v>0.18279109589041095</v>
      </c>
      <c r="I157" s="64">
        <f t="shared" si="295"/>
        <v>0.13500188536953242</v>
      </c>
      <c r="J157" s="76">
        <f t="shared" si="295"/>
        <v>0.13255551700208187</v>
      </c>
      <c r="K157" s="64"/>
      <c r="L157" s="67">
        <f t="shared" ref="L157:AQ157" si="296">L140/L136</f>
        <v>0.1657650448143406</v>
      </c>
      <c r="M157" s="64">
        <f t="shared" si="296"/>
        <v>9.7941767068273081E-2</v>
      </c>
      <c r="N157" s="64">
        <f t="shared" si="296"/>
        <v>0.22104975396391471</v>
      </c>
      <c r="O157" s="64">
        <f t="shared" si="296"/>
        <v>8.320695286980867E-2</v>
      </c>
      <c r="P157" s="64">
        <f t="shared" si="296"/>
        <v>0.64804737516005118</v>
      </c>
      <c r="Q157" s="67">
        <f t="shared" si="296"/>
        <v>0.11868800721370604</v>
      </c>
      <c r="R157" s="64">
        <f t="shared" si="296"/>
        <v>0.15894903117101936</v>
      </c>
      <c r="S157" s="64">
        <f t="shared" si="296"/>
        <v>0.24748838109992252</v>
      </c>
      <c r="T157" s="76">
        <f t="shared" si="296"/>
        <v>0.11627084723148767</v>
      </c>
      <c r="U157" s="64">
        <f t="shared" si="296"/>
        <v>0.73408025247971143</v>
      </c>
      <c r="V157" s="64">
        <f t="shared" si="296"/>
        <v>0.10556962025316456</v>
      </c>
      <c r="W157" s="64">
        <f t="shared" si="296"/>
        <v>0.11008902077151335</v>
      </c>
      <c r="X157" s="64">
        <f t="shared" si="296"/>
        <v>0.14715432960893854</v>
      </c>
      <c r="Y157" s="76">
        <f t="shared" si="296"/>
        <v>1.7284810126582281E-2</v>
      </c>
      <c r="Z157" s="64">
        <f t="shared" si="296"/>
        <v>0.41129351265822783</v>
      </c>
      <c r="AA157" s="64">
        <f t="shared" si="296"/>
        <v>4.108917197452229E-2</v>
      </c>
      <c r="AB157" s="64">
        <f t="shared" si="296"/>
        <v>0.14916558018252932</v>
      </c>
      <c r="AC157" s="64">
        <f t="shared" si="296"/>
        <v>0.26845813679245284</v>
      </c>
      <c r="AD157" s="64">
        <f t="shared" si="296"/>
        <v>0.21168269230769229</v>
      </c>
      <c r="AE157" s="64">
        <f t="shared" si="296"/>
        <v>0.75728343949044574</v>
      </c>
      <c r="AF157" s="67">
        <f t="shared" si="296"/>
        <v>8.5447154471544717E-2</v>
      </c>
      <c r="AG157" s="64">
        <f t="shared" si="296"/>
        <v>7.5461538461538455E-2</v>
      </c>
      <c r="AH157" s="64">
        <f t="shared" si="296"/>
        <v>0.21104477611940298</v>
      </c>
      <c r="AI157" s="64">
        <f t="shared" si="296"/>
        <v>0.22918604651162791</v>
      </c>
      <c r="AJ157" s="64">
        <f t="shared" si="296"/>
        <v>0.68356097560975604</v>
      </c>
      <c r="AK157" s="67">
        <f t="shared" si="296"/>
        <v>0.16649080086580087</v>
      </c>
      <c r="AL157" s="64">
        <f t="shared" si="296"/>
        <v>0.188726167778837</v>
      </c>
      <c r="AM157" s="64">
        <f t="shared" si="296"/>
        <v>0.22098993288590602</v>
      </c>
      <c r="AN157" s="76">
        <f t="shared" si="296"/>
        <v>0.13619362920544023</v>
      </c>
      <c r="AO157" s="64">
        <f t="shared" si="296"/>
        <v>0.87174648268398269</v>
      </c>
      <c r="AP157" s="64">
        <f t="shared" si="296"/>
        <v>0.15485807504078303</v>
      </c>
      <c r="AQ157" s="64">
        <f t="shared" si="296"/>
        <v>0.18148973607038124</v>
      </c>
      <c r="AR157" s="64">
        <f t="shared" ref="AR157:BW157" si="297">AR140/AR136</f>
        <v>0.21189610389610389</v>
      </c>
      <c r="AS157" s="76">
        <f t="shared" si="297"/>
        <v>0.12685267857142857</v>
      </c>
      <c r="AT157" s="64">
        <f t="shared" si="297"/>
        <v>0.80835889070146816</v>
      </c>
      <c r="AU157" s="64">
        <f t="shared" si="297"/>
        <v>0.13375514403292182</v>
      </c>
      <c r="AV157" s="64">
        <f t="shared" si="297"/>
        <v>0.1542056074766355</v>
      </c>
      <c r="AW157" s="64">
        <f t="shared" si="297"/>
        <v>0.21752316764953664</v>
      </c>
      <c r="AX157" s="64">
        <f t="shared" si="297"/>
        <v>0.18085770405936272</v>
      </c>
      <c r="AY157" s="64">
        <f t="shared" si="297"/>
        <v>0.82491460905349789</v>
      </c>
      <c r="AZ157" s="67">
        <f t="shared" si="297"/>
        <v>0.16299871299871299</v>
      </c>
      <c r="BA157" s="64">
        <f t="shared" si="297"/>
        <v>9.8607594936708856E-2</v>
      </c>
      <c r="BB157" s="64">
        <f t="shared" si="297"/>
        <v>0.12239626783754118</v>
      </c>
      <c r="BC157" s="64">
        <f t="shared" si="297"/>
        <v>0.1701528232405892</v>
      </c>
      <c r="BD157" s="64">
        <f t="shared" si="297"/>
        <v>0.63086795366795367</v>
      </c>
      <c r="BE157" s="67">
        <f t="shared" si="297"/>
        <v>8.3290613718411552E-2</v>
      </c>
      <c r="BF157" s="64">
        <f t="shared" si="297"/>
        <v>6.7437273667873776E-2</v>
      </c>
      <c r="BG157" s="64">
        <f t="shared" si="297"/>
        <v>5.5236409608091036E-2</v>
      </c>
      <c r="BH157" s="76">
        <f t="shared" si="297"/>
        <v>7.1705958984703319E-2</v>
      </c>
      <c r="BI157" s="64">
        <f t="shared" si="297"/>
        <v>0.29003023465703975</v>
      </c>
      <c r="BJ157" s="64">
        <f t="shared" si="297"/>
        <v>5.7298385658946141E-2</v>
      </c>
      <c r="BK157" s="64">
        <f t="shared" si="297"/>
        <v>4.062821821036107E-2</v>
      </c>
      <c r="BL157" s="64">
        <f t="shared" si="297"/>
        <v>9.8840987057539381E-2</v>
      </c>
      <c r="BM157" s="76">
        <f t="shared" si="297"/>
        <v>0.18479882525697502</v>
      </c>
      <c r="BN157" s="64">
        <f t="shared" si="297"/>
        <v>0.405961853898893</v>
      </c>
      <c r="BO157" s="64">
        <f t="shared" si="297"/>
        <v>0.13924872448979592</v>
      </c>
      <c r="BP157" s="64">
        <f t="shared" si="297"/>
        <v>9.8619005847953203E-2</v>
      </c>
      <c r="BQ157" s="64">
        <f t="shared" si="297"/>
        <v>0.14261273957158963</v>
      </c>
      <c r="BR157" s="64">
        <f t="shared" si="297"/>
        <v>0.13552301255230126</v>
      </c>
      <c r="BS157" s="64">
        <f t="shared" si="297"/>
        <v>0.57340274234693867</v>
      </c>
      <c r="BT157" s="67">
        <f t="shared" si="297"/>
        <v>0.11384110576923076</v>
      </c>
      <c r="BU157" s="64">
        <f t="shared" si="297"/>
        <v>0.10923021582733812</v>
      </c>
      <c r="BV157" s="64">
        <f t="shared" si="297"/>
        <v>0.13860270498732039</v>
      </c>
      <c r="BW157" s="64">
        <f t="shared" si="297"/>
        <v>8.9142307692307687E-2</v>
      </c>
      <c r="BX157" s="64">
        <f t="shared" ref="BX157:CW157" si="298">BX140/BX136</f>
        <v>0.49972187500000004</v>
      </c>
      <c r="BY157" s="67">
        <f t="shared" si="298"/>
        <v>5.1625998547567178E-2</v>
      </c>
      <c r="BZ157" s="64">
        <f t="shared" si="298"/>
        <v>6.9450533807829173E-2</v>
      </c>
      <c r="CA157" s="64">
        <f t="shared" si="298"/>
        <v>7.4490358126721765E-2</v>
      </c>
      <c r="CB157" s="64">
        <f t="shared" si="298"/>
        <v>7.3920711436170211E-2</v>
      </c>
      <c r="CC157" s="405">
        <f t="shared" si="298"/>
        <v>0.28177469135802469</v>
      </c>
      <c r="CD157" s="64">
        <f t="shared" si="298"/>
        <v>7.5162252712188904E-2</v>
      </c>
      <c r="CE157" s="64">
        <f t="shared" si="298"/>
        <v>6.6152427781192374E-2</v>
      </c>
      <c r="CF157" s="64">
        <f t="shared" si="298"/>
        <v>7.0342361533779665E-2</v>
      </c>
      <c r="CG157" s="64">
        <f t="shared" si="298"/>
        <v>7.3160306490384616E-2</v>
      </c>
      <c r="CH157" s="405">
        <f t="shared" si="298"/>
        <v>0.29529068283343973</v>
      </c>
      <c r="CI157" s="64">
        <f t="shared" si="298"/>
        <v>8.3920361726954482E-2</v>
      </c>
      <c r="CJ157" s="64">
        <f t="shared" si="298"/>
        <v>9.9541573348264273E-2</v>
      </c>
      <c r="CK157" s="64">
        <f t="shared" si="298"/>
        <v>0.11366542155816436</v>
      </c>
      <c r="CL157" s="64">
        <f t="shared" si="298"/>
        <v>0.10054687499999999</v>
      </c>
      <c r="CM157" s="405">
        <f t="shared" si="298"/>
        <v>0.42924358226371057</v>
      </c>
      <c r="CN157" s="64">
        <f t="shared" si="298"/>
        <v>7.1016548463356977E-2</v>
      </c>
      <c r="CO157" s="64">
        <f t="shared" si="298"/>
        <v>5.7845659163987137E-2</v>
      </c>
      <c r="CP157" s="64">
        <f t="shared" si="298"/>
        <v>6.5894495412844034E-2</v>
      </c>
      <c r="CQ157" s="64">
        <f t="shared" si="298"/>
        <v>6.7735978112175105E-2</v>
      </c>
      <c r="CR157" s="405">
        <f t="shared" si="298"/>
        <v>0.26871158392434991</v>
      </c>
      <c r="CS157" s="64">
        <f t="shared" si="298"/>
        <v>9.4433919711321604E-2</v>
      </c>
      <c r="CT157" s="64">
        <f t="shared" si="298"/>
        <v>9.9504291845493559E-2</v>
      </c>
      <c r="CU157" s="64">
        <f t="shared" si="298"/>
        <v>9.6166598444535401E-2</v>
      </c>
      <c r="CV157" s="64">
        <f t="shared" si="298"/>
        <v>6.3656372165754496E-2</v>
      </c>
      <c r="CW157" s="405">
        <f t="shared" si="298"/>
        <v>0.37842715381145692</v>
      </c>
      <c r="CX157" s="64">
        <f>CX140/CX136</f>
        <v>4.0593197540353579E-2</v>
      </c>
      <c r="CY157" s="64">
        <f>CY140/CY136</f>
        <v>4.2154670750382844E-2</v>
      </c>
      <c r="CZ157" s="64">
        <f>CZ140/CZ136</f>
        <v>5.3524143302180686E-2</v>
      </c>
      <c r="DA157" s="64">
        <f>DA140/DA136</f>
        <v>5.9978426395939088E-2</v>
      </c>
      <c r="DB157" s="753"/>
      <c r="DC157" s="64"/>
      <c r="DD157" s="64"/>
      <c r="DE157" s="64"/>
      <c r="DF157" s="148"/>
      <c r="DG157" s="753"/>
      <c r="DH157" s="64"/>
      <c r="DI157" s="64"/>
      <c r="DJ157" s="64"/>
      <c r="DK157" s="148"/>
      <c r="DL157" s="753"/>
      <c r="DM157" s="64"/>
      <c r="DN157" s="64"/>
      <c r="DO157" s="64"/>
      <c r="DP157" s="148"/>
      <c r="DQ157" s="753"/>
      <c r="DR157" s="134"/>
      <c r="DS157" s="145"/>
      <c r="DT157"/>
      <c r="DU157"/>
      <c r="DV157"/>
      <c r="DW157"/>
      <c r="DX157"/>
      <c r="DY157"/>
    </row>
    <row r="158" spans="1:129" s="154" customFormat="1" hidden="1" outlineLevel="1">
      <c r="A158" s="715"/>
      <c r="B158" s="699"/>
      <c r="C158" s="718"/>
      <c r="D158" s="718" t="s">
        <v>191</v>
      </c>
      <c r="E158" s="718"/>
      <c r="F158" s="718"/>
      <c r="G158" s="147"/>
      <c r="H158" s="64">
        <f t="shared" si="295"/>
        <v>0.16437969924812029</v>
      </c>
      <c r="I158" s="64">
        <f t="shared" si="295"/>
        <v>0.12090283569641368</v>
      </c>
      <c r="J158" s="76">
        <f t="shared" si="295"/>
        <v>0.10755388760585066</v>
      </c>
      <c r="K158" s="64"/>
      <c r="L158" s="67">
        <f t="shared" ref="L158:AQ158" si="299">L141/L137</f>
        <v>0.16771582733812951</v>
      </c>
      <c r="M158" s="64">
        <f t="shared" si="299"/>
        <v>7.8874920432845316E-2</v>
      </c>
      <c r="N158" s="64">
        <f t="shared" si="299"/>
        <v>0.22270782396088021</v>
      </c>
      <c r="O158" s="64">
        <f t="shared" si="299"/>
        <v>7.1022434244455895E-2</v>
      </c>
      <c r="P158" s="64">
        <f t="shared" si="299"/>
        <v>0.61805755395683448</v>
      </c>
      <c r="Q158" s="67">
        <f t="shared" si="299"/>
        <v>0.10486526946107784</v>
      </c>
      <c r="R158" s="64">
        <f t="shared" si="299"/>
        <v>0.1298013090229079</v>
      </c>
      <c r="S158" s="64">
        <f t="shared" si="299"/>
        <v>0.2342040017398869</v>
      </c>
      <c r="T158" s="76">
        <f t="shared" si="299"/>
        <v>0.10404761904761906</v>
      </c>
      <c r="U158" s="64">
        <f t="shared" si="299"/>
        <v>0.65165169660678646</v>
      </c>
      <c r="V158" s="64">
        <f t="shared" si="299"/>
        <v>7.2253521126760561E-2</v>
      </c>
      <c r="W158" s="64">
        <f t="shared" si="299"/>
        <v>0.10425675675675676</v>
      </c>
      <c r="X158" s="64">
        <f t="shared" si="299"/>
        <v>0.13518562401263823</v>
      </c>
      <c r="Y158" s="76">
        <f t="shared" si="299"/>
        <v>1.1769340974212035E-2</v>
      </c>
      <c r="Z158" s="64">
        <f t="shared" si="299"/>
        <v>0.34603433098591546</v>
      </c>
      <c r="AA158" s="64">
        <f t="shared" si="299"/>
        <v>2.732708933717579E-2</v>
      </c>
      <c r="AB158" s="64">
        <f t="shared" si="299"/>
        <v>0.1575</v>
      </c>
      <c r="AC158" s="64">
        <f t="shared" si="299"/>
        <v>0.26125816993464052</v>
      </c>
      <c r="AD158" s="64">
        <f t="shared" si="299"/>
        <v>0.21398936170212765</v>
      </c>
      <c r="AE158" s="64">
        <f t="shared" si="299"/>
        <v>0.7594776657060518</v>
      </c>
      <c r="AF158" s="67">
        <f t="shared" si="299"/>
        <v>7.6071428571428568E-2</v>
      </c>
      <c r="AG158" s="64">
        <f t="shared" si="299"/>
        <v>5.1949152542372881E-2</v>
      </c>
      <c r="AH158" s="64">
        <f t="shared" si="299"/>
        <v>0.20916666666666667</v>
      </c>
      <c r="AI158" s="64">
        <f t="shared" si="299"/>
        <v>0.23821428571428571</v>
      </c>
      <c r="AJ158" s="64">
        <f t="shared" si="299"/>
        <v>0.65267857142857144</v>
      </c>
      <c r="AK158" s="67">
        <f t="shared" si="299"/>
        <v>0.16659292035398229</v>
      </c>
      <c r="AL158" s="64">
        <f t="shared" si="299"/>
        <v>0.18203488372093024</v>
      </c>
      <c r="AM158" s="64">
        <f t="shared" si="299"/>
        <v>0.2200453514739229</v>
      </c>
      <c r="AN158" s="76">
        <f t="shared" si="299"/>
        <v>0.12857993850883936</v>
      </c>
      <c r="AO158" s="64">
        <f t="shared" si="299"/>
        <v>0.85803982300884951</v>
      </c>
      <c r="AP158" s="64">
        <f t="shared" si="299"/>
        <v>0.14299438990182328</v>
      </c>
      <c r="AQ158" s="64">
        <f t="shared" si="299"/>
        <v>0.17749367088607595</v>
      </c>
      <c r="AR158" s="64">
        <f t="shared" ref="AR158:BW158" si="300">AR141/AR137</f>
        <v>0.20596931659693166</v>
      </c>
      <c r="AS158" s="76">
        <f t="shared" si="300"/>
        <v>0.12112440191387559</v>
      </c>
      <c r="AT158" s="64">
        <f t="shared" si="300"/>
        <v>0.77608695652173909</v>
      </c>
      <c r="AU158" s="64">
        <f t="shared" si="300"/>
        <v>0.12882158590308371</v>
      </c>
      <c r="AV158" s="64">
        <f t="shared" si="300"/>
        <v>0.14949999999999999</v>
      </c>
      <c r="AW158" s="64">
        <f t="shared" si="300"/>
        <v>0.21007194244604316</v>
      </c>
      <c r="AX158" s="64">
        <f t="shared" si="300"/>
        <v>0.17118217054263565</v>
      </c>
      <c r="AY158" s="64">
        <f t="shared" si="300"/>
        <v>0.79393722466960348</v>
      </c>
      <c r="AZ158" s="67">
        <f t="shared" si="300"/>
        <v>0.15837912087912087</v>
      </c>
      <c r="BA158" s="64">
        <f t="shared" si="300"/>
        <v>8.9068627450980389E-2</v>
      </c>
      <c r="BB158" s="64">
        <f t="shared" si="300"/>
        <v>0.1152704918032787</v>
      </c>
      <c r="BC158" s="64">
        <f t="shared" si="300"/>
        <v>0.16731406761177756</v>
      </c>
      <c r="BD158" s="64">
        <f t="shared" si="300"/>
        <v>0.60418681318681322</v>
      </c>
      <c r="BE158" s="67">
        <f t="shared" si="300"/>
        <v>7.5625719769673708E-2</v>
      </c>
      <c r="BF158" s="64">
        <f t="shared" si="300"/>
        <v>5.771129995406523E-2</v>
      </c>
      <c r="BG158" s="64">
        <f t="shared" si="300"/>
        <v>4.2649257091400279E-2</v>
      </c>
      <c r="BH158" s="76">
        <f t="shared" si="300"/>
        <v>6.8425383228133449E-2</v>
      </c>
      <c r="BI158" s="64">
        <f t="shared" si="300"/>
        <v>0.25419049904030711</v>
      </c>
      <c r="BJ158" s="64">
        <f t="shared" si="300"/>
        <v>5.2319817866435386E-2</v>
      </c>
      <c r="BK158" s="64">
        <f t="shared" si="300"/>
        <v>3.4303472338994452E-2</v>
      </c>
      <c r="BL158" s="64">
        <f t="shared" si="300"/>
        <v>9.3761866956376394E-2</v>
      </c>
      <c r="BM158" s="76">
        <f t="shared" si="300"/>
        <v>0.18366037735849056</v>
      </c>
      <c r="BN158" s="64">
        <f t="shared" si="300"/>
        <v>0.38762944492627932</v>
      </c>
      <c r="BO158" s="64">
        <f t="shared" si="300"/>
        <v>0.13351700680272108</v>
      </c>
      <c r="BP158" s="64">
        <f t="shared" si="300"/>
        <v>8.6619240348692395E-2</v>
      </c>
      <c r="BQ158" s="64">
        <f t="shared" si="300"/>
        <v>0.13151564380264741</v>
      </c>
      <c r="BR158" s="64">
        <f t="shared" si="300"/>
        <v>0.13162011173184357</v>
      </c>
      <c r="BS158" s="64">
        <f t="shared" si="300"/>
        <v>0.53711530612244895</v>
      </c>
      <c r="BT158" s="67">
        <f t="shared" si="300"/>
        <v>0.10223311156601841</v>
      </c>
      <c r="BU158" s="64">
        <f t="shared" si="300"/>
        <v>0.10530769230769231</v>
      </c>
      <c r="BV158" s="64">
        <f t="shared" si="300"/>
        <v>0.13259909909909909</v>
      </c>
      <c r="BW158" s="64">
        <f t="shared" si="300"/>
        <v>8.5905737704918037E-2</v>
      </c>
      <c r="BX158" s="64">
        <f t="shared" ref="BX158:CW158" si="301">BX141/BX137</f>
        <v>0.47225358239508702</v>
      </c>
      <c r="BY158" s="67">
        <f t="shared" si="301"/>
        <v>4.3501545595054099E-2</v>
      </c>
      <c r="BZ158" s="64">
        <f t="shared" si="301"/>
        <v>6.3684650455927055E-2</v>
      </c>
      <c r="CA158" s="64">
        <f t="shared" si="301"/>
        <v>6.5588235294117642E-2</v>
      </c>
      <c r="CB158" s="64">
        <f t="shared" si="301"/>
        <v>6.8031138790035584E-2</v>
      </c>
      <c r="CC158" s="405">
        <f t="shared" si="301"/>
        <v>0.25106935857805257</v>
      </c>
      <c r="CD158" s="64">
        <f t="shared" si="301"/>
        <v>6.6976930963773065E-2</v>
      </c>
      <c r="CE158" s="64">
        <f t="shared" si="301"/>
        <v>5.400593667546174E-2</v>
      </c>
      <c r="CF158" s="64">
        <f t="shared" si="301"/>
        <v>6.8456123117223308E-2</v>
      </c>
      <c r="CG158" s="64">
        <f t="shared" si="301"/>
        <v>6.639753046824888E-2</v>
      </c>
      <c r="CH158" s="405">
        <f t="shared" si="301"/>
        <v>0.26514456596035546</v>
      </c>
      <c r="CI158" s="64">
        <f t="shared" si="301"/>
        <v>7.6968555417185558E-2</v>
      </c>
      <c r="CJ158" s="64">
        <f t="shared" si="301"/>
        <v>9.126374775851763E-2</v>
      </c>
      <c r="CK158" s="64">
        <f t="shared" si="301"/>
        <v>0.10737606837606838</v>
      </c>
      <c r="CL158" s="64">
        <f t="shared" si="301"/>
        <v>9.2249999999999999E-2</v>
      </c>
      <c r="CM158" s="405">
        <f t="shared" si="301"/>
        <v>0.39707938978829388</v>
      </c>
      <c r="CN158" s="64">
        <f t="shared" si="301"/>
        <v>6.5303030303030307E-2</v>
      </c>
      <c r="CO158" s="64">
        <f t="shared" si="301"/>
        <v>4.7500000000000001E-2</v>
      </c>
      <c r="CP158" s="64">
        <f t="shared" si="301"/>
        <v>5.5151960784313725E-2</v>
      </c>
      <c r="CQ158" s="64">
        <f t="shared" si="301"/>
        <v>6.0182926829268291E-2</v>
      </c>
      <c r="CR158" s="405">
        <f t="shared" si="301"/>
        <v>0.23337626262626263</v>
      </c>
      <c r="CS158" s="64">
        <f t="shared" si="301"/>
        <v>8.6596339113680157E-2</v>
      </c>
      <c r="CT158" s="64">
        <f t="shared" si="301"/>
        <v>9.5043577981651375E-2</v>
      </c>
      <c r="CU158" s="64">
        <f t="shared" si="301"/>
        <v>8.552789886660854E-2</v>
      </c>
      <c r="CV158" s="64">
        <f t="shared" si="301"/>
        <v>5.653653444676409E-2</v>
      </c>
      <c r="CW158" s="405">
        <f t="shared" si="301"/>
        <v>0.34613439306358379</v>
      </c>
      <c r="CX158" s="64"/>
      <c r="CY158" s="64"/>
      <c r="CZ158" s="64"/>
      <c r="DA158" s="148"/>
      <c r="DB158" s="753"/>
      <c r="DC158" s="64"/>
      <c r="DD158" s="64"/>
      <c r="DE158" s="64"/>
      <c r="DF158" s="148"/>
      <c r="DG158" s="753"/>
      <c r="DH158" s="64"/>
      <c r="DI158" s="64"/>
      <c r="DJ158" s="64"/>
      <c r="DK158" s="148"/>
      <c r="DL158" s="753"/>
      <c r="DM158" s="64"/>
      <c r="DN158" s="64"/>
      <c r="DO158" s="64"/>
      <c r="DP158" s="148"/>
      <c r="DQ158" s="753"/>
      <c r="DR158" s="134"/>
      <c r="DS158" s="145"/>
      <c r="DT158"/>
      <c r="DU158"/>
      <c r="DV158"/>
      <c r="DW158"/>
      <c r="DX158"/>
      <c r="DY158"/>
    </row>
    <row r="159" spans="1:129" s="385" customFormat="1" hidden="1" outlineLevel="1">
      <c r="A159" s="726"/>
      <c r="B159" s="727"/>
      <c r="C159" s="721"/>
      <c r="D159" s="721" t="s">
        <v>192</v>
      </c>
      <c r="E159" s="721"/>
      <c r="F159" s="721"/>
      <c r="G159" s="387"/>
      <c r="H159" s="391">
        <f t="shared" si="295"/>
        <v>0.37115384615384617</v>
      </c>
      <c r="I159" s="391">
        <f t="shared" si="295"/>
        <v>0.26811023622047242</v>
      </c>
      <c r="J159" s="392">
        <f t="shared" si="295"/>
        <v>0.36126760563380278</v>
      </c>
      <c r="K159" s="391"/>
      <c r="L159" s="390">
        <f t="shared" ref="L159:AQ159" si="302">L142/L138</f>
        <v>0.15</v>
      </c>
      <c r="M159" s="391">
        <f t="shared" si="302"/>
        <v>0.27209302325581392</v>
      </c>
      <c r="N159" s="391">
        <f t="shared" si="302"/>
        <v>0.20699481865284974</v>
      </c>
      <c r="O159" s="391">
        <f t="shared" si="302"/>
        <v>0.19901960784313721</v>
      </c>
      <c r="P159" s="391">
        <f t="shared" si="302"/>
        <v>0.8904069767441859</v>
      </c>
      <c r="Q159" s="390">
        <f t="shared" si="302"/>
        <v>0.24813084112149533</v>
      </c>
      <c r="R159" s="391">
        <f t="shared" si="302"/>
        <v>0.42425531914893616</v>
      </c>
      <c r="S159" s="391">
        <f t="shared" si="302"/>
        <v>0.35540636042402829</v>
      </c>
      <c r="T159" s="392">
        <f t="shared" si="302"/>
        <v>0.22225806451612906</v>
      </c>
      <c r="U159" s="391">
        <f t="shared" si="302"/>
        <v>1.5059813084112148</v>
      </c>
      <c r="V159" s="391">
        <f t="shared" si="302"/>
        <v>0.40125</v>
      </c>
      <c r="W159" s="391">
        <f t="shared" si="302"/>
        <v>0.15219512195121954</v>
      </c>
      <c r="X159" s="391">
        <f t="shared" si="302"/>
        <v>0.23843373493975906</v>
      </c>
      <c r="Y159" s="392">
        <f t="shared" si="302"/>
        <v>5.9130434782608703E-2</v>
      </c>
      <c r="Z159" s="391">
        <f t="shared" si="302"/>
        <v>0.99046875000000001</v>
      </c>
      <c r="AA159" s="391">
        <f t="shared" si="302"/>
        <v>0.14604395604395606</v>
      </c>
      <c r="AB159" s="391">
        <f t="shared" si="302"/>
        <v>8.4022988505747132E-2</v>
      </c>
      <c r="AC159" s="391">
        <f t="shared" si="302"/>
        <v>0.33481927710843373</v>
      </c>
      <c r="AD159" s="391">
        <f t="shared" si="302"/>
        <v>0.19</v>
      </c>
      <c r="AE159" s="391">
        <f t="shared" si="302"/>
        <v>0.74054945054945054</v>
      </c>
      <c r="AF159" s="390">
        <f t="shared" si="302"/>
        <v>0.18090909090909091</v>
      </c>
      <c r="AG159" s="391">
        <f t="shared" si="302"/>
        <v>0.30666666666666664</v>
      </c>
      <c r="AH159" s="391">
        <f t="shared" si="302"/>
        <v>0.22714285714285715</v>
      </c>
      <c r="AI159" s="391">
        <f t="shared" si="302"/>
        <v>0.14378378378378379</v>
      </c>
      <c r="AJ159" s="391">
        <f t="shared" si="302"/>
        <v>0.998</v>
      </c>
      <c r="AK159" s="390">
        <f t="shared" si="302"/>
        <v>0.165359477124183</v>
      </c>
      <c r="AL159" s="391">
        <f t="shared" si="302"/>
        <v>0.26815950920245402</v>
      </c>
      <c r="AM159" s="391">
        <f t="shared" si="302"/>
        <v>0.23262569832402236</v>
      </c>
      <c r="AN159" s="392">
        <f t="shared" si="302"/>
        <v>0.239375</v>
      </c>
      <c r="AO159" s="391">
        <f t="shared" si="302"/>
        <v>1.0235947712418301</v>
      </c>
      <c r="AP159" s="391">
        <f t="shared" si="302"/>
        <v>0.31370892018779345</v>
      </c>
      <c r="AQ159" s="391">
        <f t="shared" si="302"/>
        <v>0.23200000000000001</v>
      </c>
      <c r="AR159" s="391">
        <f t="shared" ref="AR159:BW159" si="303">AR142/AR138</f>
        <v>0.29207547169811321</v>
      </c>
      <c r="AS159" s="392">
        <f t="shared" si="303"/>
        <v>0.20666666666666667</v>
      </c>
      <c r="AT159" s="391">
        <f t="shared" si="303"/>
        <v>1.240469483568075</v>
      </c>
      <c r="AU159" s="391">
        <f t="shared" si="303"/>
        <v>0.20374999999999999</v>
      </c>
      <c r="AV159" s="391">
        <f t="shared" si="303"/>
        <v>0.22142857142857142</v>
      </c>
      <c r="AW159" s="391">
        <f t="shared" si="303"/>
        <v>0.32800000000000001</v>
      </c>
      <c r="AX159" s="391">
        <f t="shared" si="303"/>
        <v>0.32839243498817966</v>
      </c>
      <c r="AY159" s="391">
        <f t="shared" si="303"/>
        <v>1.26440625</v>
      </c>
      <c r="AZ159" s="390">
        <f t="shared" si="303"/>
        <v>0.23163265306122449</v>
      </c>
      <c r="BA159" s="391">
        <f t="shared" si="303"/>
        <v>0.24547169811320754</v>
      </c>
      <c r="BB159" s="391">
        <f t="shared" si="303"/>
        <v>0.22915789473684212</v>
      </c>
      <c r="BC159" s="391">
        <f t="shared" si="303"/>
        <v>0.21310891089108913</v>
      </c>
      <c r="BD159" s="391">
        <f t="shared" si="303"/>
        <v>1.027273469387755</v>
      </c>
      <c r="BE159" s="390">
        <f t="shared" si="303"/>
        <v>0.20430303030303032</v>
      </c>
      <c r="BF159" s="391">
        <f t="shared" si="303"/>
        <v>0.21591865357643758</v>
      </c>
      <c r="BG159" s="391">
        <f t="shared" si="303"/>
        <v>0.23915789473684212</v>
      </c>
      <c r="BH159" s="392">
        <f t="shared" si="303"/>
        <v>0.11673267326732674</v>
      </c>
      <c r="BI159" s="391">
        <f t="shared" si="303"/>
        <v>0.85586363636363638</v>
      </c>
      <c r="BJ159" s="391">
        <f t="shared" si="303"/>
        <v>0.12821868050407711</v>
      </c>
      <c r="BK159" s="391">
        <f t="shared" si="303"/>
        <v>0.12954846335697401</v>
      </c>
      <c r="BL159" s="391">
        <f t="shared" si="303"/>
        <v>0.16951162790697677</v>
      </c>
      <c r="BM159" s="392">
        <f t="shared" si="303"/>
        <v>0.20088888888888889</v>
      </c>
      <c r="BN159" s="391">
        <f t="shared" si="303"/>
        <v>0.66710921670373124</v>
      </c>
      <c r="BO159" s="391">
        <f t="shared" si="303"/>
        <v>0.22522448979591836</v>
      </c>
      <c r="BP159" s="391">
        <f t="shared" si="303"/>
        <v>0.28392307692307689</v>
      </c>
      <c r="BQ159" s="391">
        <f t="shared" si="303"/>
        <v>0.30728571428571427</v>
      </c>
      <c r="BR159" s="391">
        <f t="shared" si="303"/>
        <v>0.19278688524590165</v>
      </c>
      <c r="BS159" s="391">
        <f t="shared" si="303"/>
        <v>1.1177142857142857</v>
      </c>
      <c r="BT159" s="390">
        <f t="shared" si="303"/>
        <v>0.29385714285714287</v>
      </c>
      <c r="BU159" s="391">
        <f t="shared" si="303"/>
        <v>0.16588888888888886</v>
      </c>
      <c r="BV159" s="391">
        <f t="shared" si="303"/>
        <v>0.22989041095890411</v>
      </c>
      <c r="BW159" s="391">
        <f t="shared" si="303"/>
        <v>0.13850000000000001</v>
      </c>
      <c r="BX159" s="391">
        <f t="shared" ref="BX159:CW159" si="304">BX142/BX138</f>
        <v>0.92569841269841269</v>
      </c>
      <c r="BY159" s="390">
        <f t="shared" si="304"/>
        <v>0.17828915662650602</v>
      </c>
      <c r="BZ159" s="391">
        <f t="shared" si="304"/>
        <v>0.15470786516853932</v>
      </c>
      <c r="CA159" s="391">
        <f t="shared" si="304"/>
        <v>0.20608695652173914</v>
      </c>
      <c r="CB159" s="391">
        <f t="shared" si="304"/>
        <v>0.15750505050505051</v>
      </c>
      <c r="CC159" s="752">
        <f t="shared" si="304"/>
        <v>0.76048192771084333</v>
      </c>
      <c r="CD159" s="391">
        <f t="shared" si="304"/>
        <v>0.19030769230769232</v>
      </c>
      <c r="CE159" s="391">
        <f t="shared" si="304"/>
        <v>0.23204504504504503</v>
      </c>
      <c r="CF159" s="391">
        <f t="shared" si="304"/>
        <v>9.5172413793103441E-2</v>
      </c>
      <c r="CG159" s="391">
        <f t="shared" si="304"/>
        <v>0.17357142857142857</v>
      </c>
      <c r="CH159" s="752">
        <f t="shared" si="304"/>
        <v>0.71936538461538457</v>
      </c>
      <c r="CI159" s="391">
        <f t="shared" si="304"/>
        <v>0.18729629629629629</v>
      </c>
      <c r="CJ159" s="391">
        <f t="shared" si="304"/>
        <v>0.22209734513274335</v>
      </c>
      <c r="CK159" s="391">
        <f t="shared" si="304"/>
        <v>0.20642016806722691</v>
      </c>
      <c r="CL159" s="391">
        <f t="shared" si="304"/>
        <v>0.22500000000000001</v>
      </c>
      <c r="CM159" s="752">
        <f t="shared" si="304"/>
        <v>0.90753703703703703</v>
      </c>
      <c r="CN159" s="391">
        <f t="shared" si="304"/>
        <v>0.15481481481481482</v>
      </c>
      <c r="CO159" s="391">
        <f t="shared" si="304"/>
        <v>0.21189781021897811</v>
      </c>
      <c r="CP159" s="391">
        <f t="shared" si="304"/>
        <v>0.22242857142857142</v>
      </c>
      <c r="CQ159" s="391">
        <f t="shared" si="304"/>
        <v>0.17601398601398602</v>
      </c>
      <c r="CR159" s="752">
        <f t="shared" si="304"/>
        <v>0.78696296296296298</v>
      </c>
      <c r="CS159" s="391">
        <f t="shared" si="304"/>
        <v>0.20982978723404255</v>
      </c>
      <c r="CT159" s="391">
        <f t="shared" si="304"/>
        <v>0.16433333333333333</v>
      </c>
      <c r="CU159" s="391">
        <f t="shared" si="304"/>
        <v>0.25995973154362417</v>
      </c>
      <c r="CV159" s="391">
        <f t="shared" si="304"/>
        <v>0.16826993865030676</v>
      </c>
      <c r="CW159" s="752">
        <f t="shared" si="304"/>
        <v>0.853886524822695</v>
      </c>
      <c r="CX159" s="391"/>
      <c r="CY159" s="391"/>
      <c r="CZ159" s="391"/>
      <c r="DA159" s="388"/>
      <c r="DB159" s="857"/>
      <c r="DC159" s="391"/>
      <c r="DD159" s="391"/>
      <c r="DE159" s="391"/>
      <c r="DF159" s="388"/>
      <c r="DG159" s="857"/>
      <c r="DH159" s="391"/>
      <c r="DI159" s="391"/>
      <c r="DJ159" s="391"/>
      <c r="DK159" s="388"/>
      <c r="DL159" s="857"/>
      <c r="DM159" s="391"/>
      <c r="DN159" s="391"/>
      <c r="DO159" s="391"/>
      <c r="DP159" s="388"/>
      <c r="DQ159" s="857"/>
      <c r="DR159" s="386"/>
      <c r="DS159" s="866"/>
      <c r="DT159"/>
      <c r="DU159"/>
      <c r="DV159"/>
      <c r="DW159"/>
      <c r="DX159"/>
      <c r="DY159"/>
    </row>
    <row r="160" spans="1:129" s="154" customFormat="1" hidden="1" outlineLevel="1">
      <c r="A160" s="715"/>
      <c r="B160" s="699"/>
      <c r="C160" s="718"/>
      <c r="D160" s="718"/>
      <c r="E160" s="718"/>
      <c r="F160" s="718"/>
      <c r="G160" s="147"/>
      <c r="H160" s="148"/>
      <c r="I160" s="148"/>
      <c r="J160" s="149"/>
      <c r="K160" s="134"/>
      <c r="L160" s="67"/>
      <c r="M160" s="64"/>
      <c r="N160" s="64"/>
      <c r="O160" s="64"/>
      <c r="P160" s="145"/>
      <c r="Q160" s="67"/>
      <c r="R160" s="64"/>
      <c r="S160" s="64"/>
      <c r="T160" s="76"/>
      <c r="U160" s="145"/>
      <c r="V160" s="64"/>
      <c r="W160" s="64"/>
      <c r="X160" s="64"/>
      <c r="Y160" s="76"/>
      <c r="Z160" s="145"/>
      <c r="AA160" s="64"/>
      <c r="AB160" s="64"/>
      <c r="AC160" s="64"/>
      <c r="AD160" s="64"/>
      <c r="AE160" s="145"/>
      <c r="AF160" s="67"/>
      <c r="AG160" s="64"/>
      <c r="AH160" s="64"/>
      <c r="AI160" s="64"/>
      <c r="AJ160" s="145"/>
      <c r="AK160" s="67"/>
      <c r="AL160" s="64"/>
      <c r="AM160" s="64"/>
      <c r="AN160" s="76"/>
      <c r="AO160" s="145"/>
      <c r="AP160" s="64"/>
      <c r="AQ160" s="64"/>
      <c r="AR160" s="64"/>
      <c r="AS160" s="76"/>
      <c r="AT160" s="145"/>
      <c r="AU160" s="64"/>
      <c r="AV160" s="64"/>
      <c r="AW160" s="64"/>
      <c r="AX160" s="64"/>
      <c r="AY160" s="145"/>
      <c r="AZ160" s="67"/>
      <c r="BA160" s="64"/>
      <c r="BB160" s="64"/>
      <c r="BC160" s="64"/>
      <c r="BD160" s="145"/>
      <c r="BE160" s="67"/>
      <c r="BF160" s="64"/>
      <c r="BG160" s="64"/>
      <c r="BH160" s="76"/>
      <c r="BI160" s="145"/>
      <c r="BJ160" s="64"/>
      <c r="BK160" s="64"/>
      <c r="BL160" s="64"/>
      <c r="BM160" s="76"/>
      <c r="BN160" s="145"/>
      <c r="BO160" s="64"/>
      <c r="BP160" s="64"/>
      <c r="BQ160" s="64"/>
      <c r="BR160" s="64"/>
      <c r="BS160" s="145"/>
      <c r="BT160" s="67"/>
      <c r="BU160" s="64"/>
      <c r="BV160" s="64"/>
      <c r="BW160" s="64"/>
      <c r="BX160" s="145"/>
      <c r="BY160" s="67"/>
      <c r="BZ160" s="64"/>
      <c r="CA160" s="64"/>
      <c r="CB160" s="148"/>
      <c r="CC160" s="338"/>
      <c r="CD160" s="148"/>
      <c r="CE160" s="148"/>
      <c r="CF160" s="148"/>
      <c r="CG160" s="148"/>
      <c r="CH160" s="338"/>
      <c r="CI160" s="148"/>
      <c r="CJ160" s="148"/>
      <c r="CK160" s="148"/>
      <c r="CL160" s="148"/>
      <c r="CM160" s="338"/>
      <c r="CN160" s="148"/>
      <c r="CO160" s="148"/>
      <c r="CP160" s="148"/>
      <c r="CQ160" s="148"/>
      <c r="CR160" s="753"/>
      <c r="CS160" s="148"/>
      <c r="CT160" s="391"/>
      <c r="CU160" s="391"/>
      <c r="CV160" s="148"/>
      <c r="CW160" s="753"/>
      <c r="CX160" s="148"/>
      <c r="CY160" s="148"/>
      <c r="CZ160" s="148"/>
      <c r="DA160" s="148"/>
      <c r="DB160" s="753"/>
      <c r="DC160" s="148"/>
      <c r="DD160" s="148"/>
      <c r="DE160" s="148"/>
      <c r="DF160" s="148"/>
      <c r="DG160" s="753"/>
      <c r="DH160" s="148"/>
      <c r="DI160" s="148"/>
      <c r="DJ160" s="148"/>
      <c r="DK160" s="148"/>
      <c r="DL160" s="753"/>
      <c r="DM160" s="148"/>
      <c r="DN160" s="148"/>
      <c r="DO160" s="148"/>
      <c r="DP160" s="148"/>
      <c r="DQ160" s="753"/>
      <c r="DR160" s="134"/>
      <c r="DS160" s="145"/>
      <c r="DT160"/>
      <c r="DU160"/>
      <c r="DV160"/>
      <c r="DW160"/>
      <c r="DX160"/>
      <c r="DY160"/>
    </row>
    <row r="161" spans="2:129" s="695" customFormat="1" hidden="1" outlineLevel="1">
      <c r="B161" s="702" t="s">
        <v>193</v>
      </c>
      <c r="C161" s="728"/>
      <c r="D161" s="728"/>
      <c r="E161" s="728"/>
      <c r="F161" s="728"/>
      <c r="G161" s="696"/>
      <c r="H161" s="711"/>
      <c r="I161" s="711"/>
      <c r="J161" s="867"/>
      <c r="K161" s="702"/>
      <c r="L161" s="868"/>
      <c r="M161" s="869"/>
      <c r="N161" s="869"/>
      <c r="O161" s="869"/>
      <c r="P161" s="697"/>
      <c r="Q161" s="868"/>
      <c r="R161" s="869"/>
      <c r="S161" s="869"/>
      <c r="T161" s="870"/>
      <c r="U161" s="697"/>
      <c r="V161" s="869"/>
      <c r="W161" s="869"/>
      <c r="X161" s="869"/>
      <c r="Y161" s="870"/>
      <c r="Z161" s="697"/>
      <c r="AA161" s="869"/>
      <c r="AB161" s="869"/>
      <c r="AC161" s="869"/>
      <c r="AD161" s="869"/>
      <c r="AE161" s="697"/>
      <c r="AF161" s="868"/>
      <c r="AG161" s="869"/>
      <c r="AH161" s="869"/>
      <c r="AI161" s="869"/>
      <c r="AJ161" s="697"/>
      <c r="AK161" s="868"/>
      <c r="AL161" s="869"/>
      <c r="AM161" s="869"/>
      <c r="AN161" s="870"/>
      <c r="AO161" s="697"/>
      <c r="AP161" s="869"/>
      <c r="AQ161" s="869"/>
      <c r="AR161" s="869"/>
      <c r="AS161" s="870"/>
      <c r="AT161" s="697"/>
      <c r="AU161" s="869"/>
      <c r="AV161" s="869"/>
      <c r="AW161" s="869"/>
      <c r="AX161" s="869"/>
      <c r="AY161" s="697"/>
      <c r="AZ161" s="868"/>
      <c r="BA161" s="869"/>
      <c r="BB161" s="869"/>
      <c r="BC161" s="869"/>
      <c r="BD161" s="697"/>
      <c r="BE161" s="868"/>
      <c r="BF161" s="869"/>
      <c r="BG161" s="869"/>
      <c r="BH161" s="870"/>
      <c r="BI161" s="697"/>
      <c r="BJ161" s="869"/>
      <c r="BK161" s="869"/>
      <c r="BL161" s="869"/>
      <c r="BM161" s="870"/>
      <c r="BN161" s="697"/>
      <c r="BO161" s="869"/>
      <c r="BP161" s="869"/>
      <c r="BQ161" s="869"/>
      <c r="BR161" s="869"/>
      <c r="BS161" s="697"/>
      <c r="BT161" s="868"/>
      <c r="BU161" s="869"/>
      <c r="BV161" s="869"/>
      <c r="BW161" s="869"/>
      <c r="BX161" s="697"/>
      <c r="BY161" s="868"/>
      <c r="BZ161" s="869"/>
      <c r="CA161" s="869"/>
      <c r="CB161" s="711"/>
      <c r="CC161" s="871"/>
      <c r="CD161" s="872"/>
      <c r="CE161" s="711"/>
      <c r="CF161" s="711"/>
      <c r="CG161" s="711"/>
      <c r="CH161" s="871"/>
      <c r="CI161" s="711"/>
      <c r="CJ161" s="711"/>
      <c r="CK161" s="711"/>
      <c r="CL161" s="711"/>
      <c r="CM161" s="871"/>
      <c r="CN161" s="711"/>
      <c r="CO161" s="711"/>
      <c r="CP161" s="711"/>
      <c r="CQ161" s="711"/>
      <c r="CR161" s="873"/>
      <c r="CS161" s="711"/>
      <c r="CT161" s="874"/>
      <c r="CU161" s="874"/>
      <c r="CV161" s="711"/>
      <c r="CW161" s="873"/>
      <c r="CX161" s="711"/>
      <c r="CY161" s="711"/>
      <c r="CZ161" s="711"/>
      <c r="DA161" s="711"/>
      <c r="DB161" s="873"/>
      <c r="DC161" s="711"/>
      <c r="DD161" s="711"/>
      <c r="DE161" s="711"/>
      <c r="DF161" s="711"/>
      <c r="DG161" s="873"/>
      <c r="DH161" s="711"/>
      <c r="DI161" s="711"/>
      <c r="DJ161" s="711"/>
      <c r="DK161" s="711"/>
      <c r="DL161" s="873"/>
      <c r="DM161" s="711"/>
      <c r="DN161" s="711"/>
      <c r="DO161" s="711"/>
      <c r="DP161" s="711"/>
      <c r="DQ161" s="873"/>
      <c r="DR161" s="702"/>
      <c r="DS161" s="697"/>
      <c r="DT161"/>
      <c r="DU161"/>
      <c r="DV161"/>
      <c r="DW161"/>
      <c r="DX161"/>
      <c r="DY161"/>
    </row>
    <row r="162" spans="2:129" s="715" customFormat="1" hidden="1" outlineLevel="1">
      <c r="B162" s="699"/>
      <c r="C162" s="718" t="s">
        <v>198</v>
      </c>
      <c r="D162" s="718"/>
      <c r="E162" s="718"/>
      <c r="F162" s="718"/>
      <c r="G162" s="642">
        <v>0.28000000000000003</v>
      </c>
      <c r="H162" s="643">
        <v>0.28000000000000003</v>
      </c>
      <c r="I162" s="643">
        <v>0.3</v>
      </c>
      <c r="J162" s="644">
        <v>0.31</v>
      </c>
      <c r="K162" s="640">
        <f>AVERAGE(G162:J162)</f>
        <v>0.29250000000000004</v>
      </c>
      <c r="L162" s="642">
        <v>0.3</v>
      </c>
      <c r="M162" s="643">
        <v>0.28999999999999998</v>
      </c>
      <c r="N162" s="643">
        <v>0.28000000000000003</v>
      </c>
      <c r="O162" s="643">
        <v>0.28000000000000003</v>
      </c>
      <c r="P162" s="640">
        <f>AVERAGE(L162:O162)</f>
        <v>0.28749999999999998</v>
      </c>
      <c r="Q162" s="642">
        <v>0.28000000000000003</v>
      </c>
      <c r="R162" s="643">
        <v>0.31</v>
      </c>
      <c r="S162" s="643">
        <v>0.33</v>
      </c>
      <c r="T162" s="644">
        <v>0.33</v>
      </c>
      <c r="U162" s="640">
        <f>AVERAGE(Q162:T162)</f>
        <v>0.31250000000000006</v>
      </c>
      <c r="V162" s="643">
        <v>0.31</v>
      </c>
      <c r="W162" s="643">
        <v>0.31</v>
      </c>
      <c r="X162" s="643">
        <v>0.3</v>
      </c>
      <c r="Y162" s="644">
        <v>0.3</v>
      </c>
      <c r="Z162" s="640">
        <f>AVERAGE(V162:Y162)</f>
        <v>0.30499999999999999</v>
      </c>
      <c r="AA162" s="643">
        <v>0.28999999999999998</v>
      </c>
      <c r="AB162" s="643">
        <v>0.3</v>
      </c>
      <c r="AC162" s="643">
        <v>0.31</v>
      </c>
      <c r="AD162" s="643">
        <v>0.31</v>
      </c>
      <c r="AE162" s="640">
        <f>AVERAGE(AA162:AD162)</f>
        <v>0.30249999999999999</v>
      </c>
      <c r="AF162" s="642">
        <v>0.3</v>
      </c>
      <c r="AG162" s="643">
        <v>0.3</v>
      </c>
      <c r="AH162" s="643">
        <v>0.3</v>
      </c>
      <c r="AI162" s="643">
        <v>0.32</v>
      </c>
      <c r="AJ162" s="640">
        <f>AVERAGE(AF162:AI162)</f>
        <v>0.30499999999999999</v>
      </c>
      <c r="AK162" s="642">
        <v>0.31</v>
      </c>
      <c r="AL162" s="643">
        <v>0.28499999999999998</v>
      </c>
      <c r="AM162" s="643">
        <v>0.27</v>
      </c>
      <c r="AN162" s="644">
        <v>0.27</v>
      </c>
      <c r="AO162" s="640">
        <f>AVERAGE(AK162:AN162)</f>
        <v>0.28375</v>
      </c>
      <c r="AP162" s="643">
        <v>0.26</v>
      </c>
      <c r="AQ162" s="643">
        <v>0.27</v>
      </c>
      <c r="AR162" s="643">
        <v>0.26</v>
      </c>
      <c r="AS162" s="644">
        <v>0.25</v>
      </c>
      <c r="AT162" s="640">
        <f>AVERAGE(AP162:AS162)</f>
        <v>0.26</v>
      </c>
      <c r="AU162" s="643">
        <v>0.25</v>
      </c>
      <c r="AV162" s="643">
        <v>0.25</v>
      </c>
      <c r="AW162" s="643">
        <v>0.25</v>
      </c>
      <c r="AX162" s="643">
        <v>0.25</v>
      </c>
      <c r="AY162" s="640">
        <f>AVERAGE(AU162:AX162)</f>
        <v>0.25</v>
      </c>
      <c r="AZ162" s="642">
        <v>0.24</v>
      </c>
      <c r="BA162" s="643">
        <v>0.23599999999999999</v>
      </c>
      <c r="BB162" s="643">
        <v>0.23</v>
      </c>
      <c r="BC162" s="643">
        <v>0.23</v>
      </c>
      <c r="BD162" s="640">
        <f>AVERAGE(AZ162:BC162)</f>
        <v>0.23399999999999999</v>
      </c>
      <c r="BE162" s="642">
        <v>0.215</v>
      </c>
      <c r="BF162" s="643">
        <v>0.217</v>
      </c>
      <c r="BG162" s="643">
        <v>0.22500000000000001</v>
      </c>
      <c r="BH162" s="644">
        <v>0.23</v>
      </c>
      <c r="BI162" s="640">
        <f>AVERAGE(BE162:BH162)</f>
        <v>0.22175</v>
      </c>
      <c r="BJ162" s="643">
        <v>0.23</v>
      </c>
      <c r="BK162" s="643">
        <v>0.23</v>
      </c>
      <c r="BL162" s="643">
        <v>0.23300000000000001</v>
      </c>
      <c r="BM162" s="644">
        <v>0.22600000000000001</v>
      </c>
      <c r="BN162" s="640">
        <f>AVERAGE(BJ162:BM162)</f>
        <v>0.22975000000000001</v>
      </c>
      <c r="BO162" s="643">
        <v>0.215</v>
      </c>
      <c r="BP162" s="643">
        <v>0.22</v>
      </c>
      <c r="BQ162" s="643">
        <v>0.23200000000000001</v>
      </c>
      <c r="BR162" s="643">
        <v>0.23</v>
      </c>
      <c r="BS162" s="640">
        <f>AVERAGE(BO162:BR162)</f>
        <v>0.22425</v>
      </c>
      <c r="BT162" s="642">
        <v>0.222</v>
      </c>
      <c r="BU162" s="643">
        <v>0.216</v>
      </c>
      <c r="BV162" s="643">
        <v>0.21</v>
      </c>
      <c r="BW162" s="643">
        <v>0.21</v>
      </c>
      <c r="BX162" s="640">
        <f>AVERAGE(BT162:BW162)</f>
        <v>0.2145</v>
      </c>
      <c r="BY162" s="642">
        <v>0.22</v>
      </c>
      <c r="BZ162" s="643">
        <v>0.20100000000000001</v>
      </c>
      <c r="CA162" s="643">
        <f>1-CA163</f>
        <v>0.21099999999999997</v>
      </c>
      <c r="CB162" s="643">
        <f>CA162</f>
        <v>0.21099999999999997</v>
      </c>
      <c r="CC162" s="875">
        <f>AVERAGE(BY162:CB162)</f>
        <v>0.21074999999999999</v>
      </c>
      <c r="CD162" s="643">
        <f>CB162</f>
        <v>0.21099999999999997</v>
      </c>
      <c r="CE162" s="643">
        <f>CD162</f>
        <v>0.21099999999999997</v>
      </c>
      <c r="CF162" s="643">
        <f>CE162</f>
        <v>0.21099999999999997</v>
      </c>
      <c r="CG162" s="643">
        <f>CF162</f>
        <v>0.21099999999999997</v>
      </c>
      <c r="CH162" s="875">
        <f>AVERAGE(CD162:CG162)</f>
        <v>0.21099999999999997</v>
      </c>
      <c r="CI162" s="643">
        <f>CG162</f>
        <v>0.21099999999999997</v>
      </c>
      <c r="CJ162" s="643">
        <f>CI162</f>
        <v>0.21099999999999997</v>
      </c>
      <c r="CK162" s="643">
        <f>CJ162</f>
        <v>0.21099999999999997</v>
      </c>
      <c r="CL162" s="643">
        <f>1-0.76</f>
        <v>0.24</v>
      </c>
      <c r="CM162" s="876"/>
      <c r="CN162" s="643"/>
      <c r="CO162" s="643"/>
      <c r="CP162" s="643"/>
      <c r="CQ162" s="643"/>
      <c r="CR162" s="877"/>
      <c r="CS162" s="643"/>
      <c r="CT162" s="874"/>
      <c r="CU162" s="874"/>
      <c r="CV162" s="878"/>
      <c r="CW162" s="877"/>
      <c r="CX162" s="643"/>
      <c r="CY162" s="643"/>
      <c r="CZ162" s="878"/>
      <c r="DA162" s="878"/>
      <c r="DB162" s="877"/>
      <c r="DC162" s="643"/>
      <c r="DD162" s="643"/>
      <c r="DE162" s="878"/>
      <c r="DF162" s="878"/>
      <c r="DG162" s="877"/>
      <c r="DH162" s="643"/>
      <c r="DI162" s="643"/>
      <c r="DJ162" s="878"/>
      <c r="DK162" s="878"/>
      <c r="DL162" s="877"/>
      <c r="DM162" s="643"/>
      <c r="DN162" s="643"/>
      <c r="DO162" s="878"/>
      <c r="DP162" s="878"/>
      <c r="DQ162" s="877"/>
      <c r="DR162" s="699"/>
      <c r="DS162" s="700"/>
      <c r="DT162"/>
      <c r="DU162"/>
      <c r="DV162"/>
      <c r="DW162"/>
      <c r="DX162"/>
      <c r="DY162"/>
    </row>
    <row r="163" spans="2:129" s="715" customFormat="1" hidden="1" outlineLevel="1">
      <c r="B163" s="699"/>
      <c r="C163" s="718" t="s">
        <v>199</v>
      </c>
      <c r="D163" s="718"/>
      <c r="E163" s="718"/>
      <c r="F163" s="718"/>
      <c r="G163" s="642">
        <f>1-G162</f>
        <v>0.72</v>
      </c>
      <c r="H163" s="643">
        <f>1-H162</f>
        <v>0.72</v>
      </c>
      <c r="I163" s="643">
        <f>1-I162</f>
        <v>0.7</v>
      </c>
      <c r="J163" s="644">
        <f>1-J162</f>
        <v>0.69</v>
      </c>
      <c r="K163" s="640">
        <f>AVERAGE(G163:J163)</f>
        <v>0.70749999999999991</v>
      </c>
      <c r="L163" s="642">
        <f>1-L162</f>
        <v>0.7</v>
      </c>
      <c r="M163" s="643">
        <f>1-M162</f>
        <v>0.71</v>
      </c>
      <c r="N163" s="643">
        <f>1-N162</f>
        <v>0.72</v>
      </c>
      <c r="O163" s="643">
        <f>1-O162</f>
        <v>0.72</v>
      </c>
      <c r="P163" s="640">
        <f>AVERAGE(L163:O163)</f>
        <v>0.71249999999999991</v>
      </c>
      <c r="Q163" s="642">
        <f>1-Q162</f>
        <v>0.72</v>
      </c>
      <c r="R163" s="643">
        <f>1-R162</f>
        <v>0.69</v>
      </c>
      <c r="S163" s="643">
        <f>1-S162</f>
        <v>0.66999999999999993</v>
      </c>
      <c r="T163" s="644">
        <f>1-T162</f>
        <v>0.66999999999999993</v>
      </c>
      <c r="U163" s="640">
        <f>AVERAGE(Q163:T163)</f>
        <v>0.6875</v>
      </c>
      <c r="V163" s="643">
        <f>1-V162</f>
        <v>0.69</v>
      </c>
      <c r="W163" s="643">
        <f>1-W162</f>
        <v>0.69</v>
      </c>
      <c r="X163" s="643">
        <f>1-X162</f>
        <v>0.7</v>
      </c>
      <c r="Y163" s="644">
        <f>1-Y162</f>
        <v>0.7</v>
      </c>
      <c r="Z163" s="640">
        <f>AVERAGE(V163:Y163)</f>
        <v>0.69500000000000006</v>
      </c>
      <c r="AA163" s="643">
        <f>1-AA162</f>
        <v>0.71</v>
      </c>
      <c r="AB163" s="643">
        <f>1-AB162</f>
        <v>0.7</v>
      </c>
      <c r="AC163" s="643">
        <f>1-AC162</f>
        <v>0.69</v>
      </c>
      <c r="AD163" s="643">
        <f>1-AD162</f>
        <v>0.69</v>
      </c>
      <c r="AE163" s="640">
        <f>AVERAGE(AA163:AD163)</f>
        <v>0.6974999999999999</v>
      </c>
      <c r="AF163" s="642">
        <f>1-AF162</f>
        <v>0.7</v>
      </c>
      <c r="AG163" s="643">
        <f>1-AG162</f>
        <v>0.7</v>
      </c>
      <c r="AH163" s="643">
        <f>1-AH162</f>
        <v>0.7</v>
      </c>
      <c r="AI163" s="643">
        <f>1-AI162</f>
        <v>0.67999999999999994</v>
      </c>
      <c r="AJ163" s="640">
        <f>AVERAGE(AF163:AI163)</f>
        <v>0.69499999999999984</v>
      </c>
      <c r="AK163" s="642">
        <f>1-AK162</f>
        <v>0.69</v>
      </c>
      <c r="AL163" s="643">
        <f>1-AL162</f>
        <v>0.71500000000000008</v>
      </c>
      <c r="AM163" s="643">
        <f>1-AM162</f>
        <v>0.73</v>
      </c>
      <c r="AN163" s="644">
        <f>1-AN162</f>
        <v>0.73</v>
      </c>
      <c r="AO163" s="640">
        <f>AVERAGE(AK163:AN163)</f>
        <v>0.71624999999999994</v>
      </c>
      <c r="AP163" s="643">
        <f>1-AP162</f>
        <v>0.74</v>
      </c>
      <c r="AQ163" s="643">
        <f>1-AQ162</f>
        <v>0.73</v>
      </c>
      <c r="AR163" s="643">
        <f>1-AR162</f>
        <v>0.74</v>
      </c>
      <c r="AS163" s="644">
        <f>1-AS162</f>
        <v>0.75</v>
      </c>
      <c r="AT163" s="640">
        <f>AVERAGE(AP163:AS163)</f>
        <v>0.74</v>
      </c>
      <c r="AU163" s="643">
        <f>1-AU162</f>
        <v>0.75</v>
      </c>
      <c r="AV163" s="643">
        <f>1-AV162</f>
        <v>0.75</v>
      </c>
      <c r="AW163" s="643">
        <f>1-AW162</f>
        <v>0.75</v>
      </c>
      <c r="AX163" s="643">
        <f>1-AX162</f>
        <v>0.75</v>
      </c>
      <c r="AY163" s="640">
        <f>AVERAGE(AU163:AX163)</f>
        <v>0.75</v>
      </c>
      <c r="AZ163" s="642">
        <f>1-AZ162</f>
        <v>0.76</v>
      </c>
      <c r="BA163" s="643">
        <f>1-BA162</f>
        <v>0.76400000000000001</v>
      </c>
      <c r="BB163" s="643">
        <f>1-BB162</f>
        <v>0.77</v>
      </c>
      <c r="BC163" s="643">
        <f>1-BC162</f>
        <v>0.77</v>
      </c>
      <c r="BD163" s="640">
        <f>AVERAGE(AZ163:BC163)</f>
        <v>0.76600000000000001</v>
      </c>
      <c r="BE163" s="642">
        <f>1-BE162</f>
        <v>0.78500000000000003</v>
      </c>
      <c r="BF163" s="643">
        <f>1-BF162</f>
        <v>0.78300000000000003</v>
      </c>
      <c r="BG163" s="643">
        <f>1-BG162</f>
        <v>0.77500000000000002</v>
      </c>
      <c r="BH163" s="644">
        <f>1-BH162</f>
        <v>0.77</v>
      </c>
      <c r="BI163" s="640">
        <f>AVERAGE(BE163:BH163)</f>
        <v>0.77825</v>
      </c>
      <c r="BJ163" s="643">
        <f>1-BJ162</f>
        <v>0.77</v>
      </c>
      <c r="BK163" s="643">
        <f>1-BK162</f>
        <v>0.77</v>
      </c>
      <c r="BL163" s="643">
        <f>1-BL162</f>
        <v>0.76700000000000002</v>
      </c>
      <c r="BM163" s="644">
        <f>1-BM162</f>
        <v>0.77400000000000002</v>
      </c>
      <c r="BN163" s="640">
        <f>AVERAGE(BJ163:BM163)</f>
        <v>0.77024999999999999</v>
      </c>
      <c r="BO163" s="643">
        <f>1-BO162</f>
        <v>0.78500000000000003</v>
      </c>
      <c r="BP163" s="643">
        <f>1-BP162</f>
        <v>0.78</v>
      </c>
      <c r="BQ163" s="643">
        <f>1-BQ162</f>
        <v>0.76800000000000002</v>
      </c>
      <c r="BR163" s="643">
        <f>1-BR162</f>
        <v>0.77</v>
      </c>
      <c r="BS163" s="640">
        <f>AVERAGE(BO163:BR163)</f>
        <v>0.77575000000000005</v>
      </c>
      <c r="BT163" s="642">
        <f>1-BT162</f>
        <v>0.77800000000000002</v>
      </c>
      <c r="BU163" s="643">
        <f>1-BU162</f>
        <v>0.78400000000000003</v>
      </c>
      <c r="BV163" s="643">
        <f>1-BV162</f>
        <v>0.79</v>
      </c>
      <c r="BW163" s="643">
        <f>1-BW162</f>
        <v>0.79</v>
      </c>
      <c r="BX163" s="640">
        <f>AVERAGE(BT163:BW163)</f>
        <v>0.78550000000000009</v>
      </c>
      <c r="BY163" s="642">
        <f>1-BY162</f>
        <v>0.78</v>
      </c>
      <c r="BZ163" s="643">
        <f>1-BZ162</f>
        <v>0.79899999999999993</v>
      </c>
      <c r="CA163" s="643">
        <v>0.78900000000000003</v>
      </c>
      <c r="CB163" s="643">
        <f>CA163</f>
        <v>0.78900000000000003</v>
      </c>
      <c r="CC163" s="875">
        <f>AVERAGE(BY163:CB163)</f>
        <v>0.78925000000000001</v>
      </c>
      <c r="CD163" s="643">
        <f>CB163</f>
        <v>0.78900000000000003</v>
      </c>
      <c r="CE163" s="643">
        <f>CD163</f>
        <v>0.78900000000000003</v>
      </c>
      <c r="CF163" s="643">
        <f>CE163</f>
        <v>0.78900000000000003</v>
      </c>
      <c r="CG163" s="879">
        <f>AVERAGE(CB163,CL163)</f>
        <v>0.77449999999999997</v>
      </c>
      <c r="CH163" s="875">
        <f>AVERAGE(CD163:CG163)</f>
        <v>0.78537499999999993</v>
      </c>
      <c r="CI163" s="643">
        <f>CG163</f>
        <v>0.77449999999999997</v>
      </c>
      <c r="CJ163" s="643">
        <f>CI163</f>
        <v>0.77449999999999997</v>
      </c>
      <c r="CK163" s="643">
        <f>CJ163</f>
        <v>0.77449999999999997</v>
      </c>
      <c r="CL163" s="643">
        <f>1-CL162</f>
        <v>0.76</v>
      </c>
      <c r="CM163" s="876"/>
      <c r="CN163" s="643"/>
      <c r="CO163" s="643"/>
      <c r="CP163" s="643"/>
      <c r="CQ163" s="643">
        <f>CL163</f>
        <v>0.76</v>
      </c>
      <c r="CR163" s="877"/>
      <c r="CS163" s="643"/>
      <c r="CT163" s="874"/>
      <c r="CU163" s="874"/>
      <c r="CV163" s="878"/>
      <c r="CW163" s="877"/>
      <c r="CX163" s="643"/>
      <c r="CY163" s="643"/>
      <c r="CZ163" s="878"/>
      <c r="DA163" s="878"/>
      <c r="DB163" s="877"/>
      <c r="DC163" s="643"/>
      <c r="DD163" s="643"/>
      <c r="DE163" s="878"/>
      <c r="DF163" s="878"/>
      <c r="DG163" s="877"/>
      <c r="DH163" s="643"/>
      <c r="DI163" s="643"/>
      <c r="DJ163" s="878"/>
      <c r="DK163" s="878"/>
      <c r="DL163" s="877"/>
      <c r="DM163" s="643"/>
      <c r="DN163" s="643"/>
      <c r="DO163" s="878"/>
      <c r="DP163" s="878"/>
      <c r="DQ163" s="877"/>
      <c r="DR163" s="699"/>
      <c r="DS163" s="700"/>
      <c r="DT163"/>
      <c r="DU163"/>
      <c r="DV163"/>
      <c r="DW163"/>
      <c r="DX163"/>
      <c r="DY163"/>
    </row>
    <row r="164" spans="2:129" s="715" customFormat="1" hidden="1" outlineLevel="1">
      <c r="B164" s="699"/>
      <c r="C164" s="718"/>
      <c r="D164" s="718"/>
      <c r="E164" s="718"/>
      <c r="F164" s="718"/>
      <c r="G164" s="639"/>
      <c r="H164" s="640"/>
      <c r="I164" s="640"/>
      <c r="J164" s="641"/>
      <c r="K164" s="700"/>
      <c r="L164" s="639"/>
      <c r="M164" s="640"/>
      <c r="N164" s="640"/>
      <c r="O164" s="640"/>
      <c r="P164" s="700"/>
      <c r="Q164" s="639"/>
      <c r="R164" s="640"/>
      <c r="S164" s="640"/>
      <c r="T164" s="641"/>
      <c r="U164" s="700"/>
      <c r="V164" s="640"/>
      <c r="W164" s="640"/>
      <c r="X164" s="640"/>
      <c r="Y164" s="641"/>
      <c r="Z164" s="700"/>
      <c r="AA164" s="640"/>
      <c r="AB164" s="640"/>
      <c r="AC164" s="640"/>
      <c r="AD164" s="640"/>
      <c r="AE164" s="700"/>
      <c r="AF164" s="639"/>
      <c r="AG164" s="640"/>
      <c r="AH164" s="640"/>
      <c r="AI164" s="640"/>
      <c r="AJ164" s="700"/>
      <c r="AK164" s="639"/>
      <c r="AL164" s="640"/>
      <c r="AM164" s="640"/>
      <c r="AN164" s="641"/>
      <c r="AO164" s="700"/>
      <c r="AP164" s="640"/>
      <c r="AQ164" s="640"/>
      <c r="AR164" s="640"/>
      <c r="AS164" s="641"/>
      <c r="AT164" s="700"/>
      <c r="AU164" s="640"/>
      <c r="AV164" s="640"/>
      <c r="AW164" s="640"/>
      <c r="AX164" s="640"/>
      <c r="AY164" s="700"/>
      <c r="AZ164" s="639"/>
      <c r="BA164" s="640"/>
      <c r="BB164" s="640"/>
      <c r="BC164" s="640"/>
      <c r="BD164" s="700"/>
      <c r="BE164" s="639"/>
      <c r="BF164" s="640"/>
      <c r="BG164" s="640"/>
      <c r="BH164" s="641"/>
      <c r="BI164" s="700"/>
      <c r="BJ164" s="640"/>
      <c r="BK164" s="640"/>
      <c r="BL164" s="640"/>
      <c r="BM164" s="641"/>
      <c r="BN164" s="700"/>
      <c r="BO164" s="640"/>
      <c r="BP164" s="640"/>
      <c r="BQ164" s="640"/>
      <c r="BR164" s="640"/>
      <c r="BS164" s="700"/>
      <c r="BT164" s="639"/>
      <c r="BU164" s="640"/>
      <c r="BV164" s="640"/>
      <c r="BW164" s="640"/>
      <c r="BX164" s="700"/>
      <c r="BY164" s="639"/>
      <c r="BZ164" s="640"/>
      <c r="CA164" s="640"/>
      <c r="CB164" s="878"/>
      <c r="CC164" s="876"/>
      <c r="CD164" s="878"/>
      <c r="CE164" s="878"/>
      <c r="CF164" s="878"/>
      <c r="CG164" s="878"/>
      <c r="CH164" s="876"/>
      <c r="CI164" s="878"/>
      <c r="CJ164" s="878"/>
      <c r="CK164" s="878"/>
      <c r="CL164" s="878"/>
      <c r="CM164" s="876"/>
      <c r="CN164" s="878"/>
      <c r="CO164" s="878"/>
      <c r="CP164" s="878"/>
      <c r="CQ164" s="878"/>
      <c r="CR164" s="877"/>
      <c r="CS164" s="878"/>
      <c r="CT164" s="874"/>
      <c r="CU164" s="874"/>
      <c r="CV164" s="878"/>
      <c r="CW164" s="877"/>
      <c r="CX164" s="878"/>
      <c r="CY164" s="878"/>
      <c r="CZ164" s="878"/>
      <c r="DA164" s="878"/>
      <c r="DB164" s="877"/>
      <c r="DC164" s="878"/>
      <c r="DD164" s="878"/>
      <c r="DE164" s="878"/>
      <c r="DF164" s="878"/>
      <c r="DG164" s="877"/>
      <c r="DH164" s="878"/>
      <c r="DI164" s="878"/>
      <c r="DJ164" s="878"/>
      <c r="DK164" s="878"/>
      <c r="DL164" s="877"/>
      <c r="DM164" s="878"/>
      <c r="DN164" s="878"/>
      <c r="DO164" s="878"/>
      <c r="DP164" s="878"/>
      <c r="DQ164" s="877"/>
      <c r="DR164" s="699"/>
      <c r="DS164" s="700"/>
      <c r="DT164"/>
      <c r="DU164"/>
      <c r="DV164"/>
      <c r="DW164"/>
      <c r="DX164"/>
      <c r="DY164"/>
    </row>
    <row r="165" spans="2:129" s="695" customFormat="1" hidden="1" outlineLevel="1">
      <c r="B165" s="702" t="s">
        <v>200</v>
      </c>
      <c r="C165" s="728"/>
      <c r="D165" s="728"/>
      <c r="E165" s="728"/>
      <c r="F165" s="728"/>
      <c r="G165" s="868"/>
      <c r="H165" s="880">
        <f>H166*H167*H168*H169/1000000</f>
        <v>7.5260653435460689</v>
      </c>
      <c r="I165" s="880">
        <f>I166*I167*I168*I169/1000000</f>
        <v>9.7155535224153713</v>
      </c>
      <c r="J165" s="881">
        <f>J166*J167*J168*J169/1000000</f>
        <v>11.166245906530527</v>
      </c>
      <c r="K165" s="583">
        <f>SUM(G165:J165)</f>
        <v>28.407864772491969</v>
      </c>
      <c r="L165" s="882">
        <f>L166*L167*L168*L169/1000000</f>
        <v>12.310951136730958</v>
      </c>
      <c r="M165" s="880">
        <f>M166*M167*M168*M169/1000000</f>
        <v>12.879118345211158</v>
      </c>
      <c r="N165" s="880">
        <f>N166*N167*N168*N169/1000000</f>
        <v>13.666559268255654</v>
      </c>
      <c r="O165" s="880">
        <f>O166*O167*O168*O169/1000000</f>
        <v>14.256635756213631</v>
      </c>
      <c r="P165" s="583">
        <f>SUM(L165:O165)</f>
        <v>53.113264506411404</v>
      </c>
      <c r="Q165" s="882">
        <f>Q166*Q167*Q168*Q169/1000000</f>
        <v>16.087722210628169</v>
      </c>
      <c r="R165" s="880">
        <f>R166*R167*R168*R169/1000000</f>
        <v>19.535760054294922</v>
      </c>
      <c r="S165" s="880">
        <f>S166*S167*S168*S169/1000000</f>
        <v>23.484793229400104</v>
      </c>
      <c r="T165" s="881">
        <f>T166*T167*T168*T169/1000000</f>
        <v>25.887810074997432</v>
      </c>
      <c r="U165" s="583">
        <f>SUM(Q165:T165)</f>
        <v>84.996085569320627</v>
      </c>
      <c r="V165" s="880">
        <f>V166*V167*V168*V169/1000000</f>
        <v>27.237327935222673</v>
      </c>
      <c r="W165" s="880">
        <f>W166*W167*W168*W169/1000000</f>
        <v>28.649223746947317</v>
      </c>
      <c r="X165" s="880">
        <f>X166*X167*X168*X169/1000000</f>
        <v>29.335100286532953</v>
      </c>
      <c r="Y165" s="881">
        <f>Y166*Y167*Y168*Y169/1000000</f>
        <v>28.202374343585898</v>
      </c>
      <c r="Z165" s="583">
        <f>SUM(V165:Y165)</f>
        <v>113.42402631228885</v>
      </c>
      <c r="AA165" s="880">
        <f>AA166*AA167*AA168*AA169/1000000</f>
        <v>29.716111017803158</v>
      </c>
      <c r="AB165" s="880">
        <f>AB166*AB167*AB168*AB169/1000000</f>
        <v>33.834322845417233</v>
      </c>
      <c r="AC165" s="880">
        <f>AC166*AC167*AC168*AC169/1000000</f>
        <v>40.111465279766712</v>
      </c>
      <c r="AD165" s="880">
        <f>AD166*AD167*AD168*AD169/1000000</f>
        <v>44.329810991325559</v>
      </c>
      <c r="AE165" s="583">
        <f>SUM(AA165:AD165)</f>
        <v>147.99171013431265</v>
      </c>
      <c r="AF165" s="882">
        <f>AF166*AF167*AF168*AF169/1000000</f>
        <v>49.472363090772696</v>
      </c>
      <c r="AG165" s="880">
        <f>AG166*AG167*AG168*AG169/1000000</f>
        <v>52.43450694492055</v>
      </c>
      <c r="AH165" s="880">
        <f>AH166*AH167*AH168*AH169/1000000</f>
        <v>60.881055621643149</v>
      </c>
      <c r="AI165" s="880">
        <f>AI166*AI167*AI168*AI169/1000000</f>
        <v>71.915597195789815</v>
      </c>
      <c r="AJ165" s="583">
        <f>SUM(AF165:AI165)</f>
        <v>234.7035228531262</v>
      </c>
      <c r="AK165" s="882">
        <f>AK166*AK167*AK168*AK169/1000000</f>
        <v>78.679136937366053</v>
      </c>
      <c r="AL165" s="880">
        <f>AL166*AL167*AL168*AL169/1000000</f>
        <v>86.466164894031408</v>
      </c>
      <c r="AM165" s="880">
        <f>AM166*AM167*AM168*AM169/1000000</f>
        <v>93.940188811962216</v>
      </c>
      <c r="AN165" s="881">
        <f>AN166*AN167*AN168*AN169/1000000</f>
        <v>106.06747174420653</v>
      </c>
      <c r="AO165" s="583">
        <f>SUM(AK165:AN165)</f>
        <v>365.15296238756616</v>
      </c>
      <c r="AP165" s="880">
        <f>AP166*AP167*AP168*AP169/1000000</f>
        <v>111.14999010254334</v>
      </c>
      <c r="AQ165" s="880">
        <f>AQ166*AQ167*AQ168*AQ169/1000000</f>
        <v>131.8915935341069</v>
      </c>
      <c r="AR165" s="880">
        <f>AR166*AR167*AR168*AR169/1000000</f>
        <v>146.72743517039765</v>
      </c>
      <c r="AS165" s="881">
        <f>AS166*AS167*AS168*AS169/1000000</f>
        <v>156.85824392480515</v>
      </c>
      <c r="AT165" s="583">
        <f>SUM(AP165:AS165)</f>
        <v>546.62726273185308</v>
      </c>
      <c r="AU165" s="880">
        <f>AU166*AU167*AU168*AU169/1000000</f>
        <v>170.75828980623422</v>
      </c>
      <c r="AV165" s="880">
        <f>AV166*AV167*AV168*AV169/1000000</f>
        <v>197.45062604982206</v>
      </c>
      <c r="AW165" s="880">
        <f>AW166*AW167*AW168*AW169/1000000</f>
        <v>222.5662819399887</v>
      </c>
      <c r="AX165" s="880">
        <f>AX166*AX167*AX168*AX169/1000000</f>
        <v>249.2952532726238</v>
      </c>
      <c r="AY165" s="583">
        <f>SUM(AU165:AX165)</f>
        <v>840.07045106866872</v>
      </c>
      <c r="AZ165" s="882">
        <f>AZ166*AZ167*AZ168*AZ169/1000000</f>
        <v>271.19973479388875</v>
      </c>
      <c r="BA165" s="880">
        <f>BA166*BA167*BA168*BA169/1000000</f>
        <v>299.35157752524555</v>
      </c>
      <c r="BB165" s="880">
        <f>BB166*BB167*BB168*BB169/1000000</f>
        <v>319.52634430788061</v>
      </c>
      <c r="BC165" s="880">
        <f>BC166*BC167*BC168*BC169/1000000</f>
        <v>350.82172881355928</v>
      </c>
      <c r="BD165" s="583">
        <f>SUM(AZ165:BC165)</f>
        <v>1240.8993854405742</v>
      </c>
      <c r="BE165" s="882">
        <f>BE166*BE167*BE168*BE169/1000000</f>
        <v>371.09435835917247</v>
      </c>
      <c r="BF165" s="880">
        <f>BF166*BF167*BF168*BF169/1000000</f>
        <v>391.28617954620182</v>
      </c>
      <c r="BG165" s="880">
        <f>BG166*BG167*BG168*BG169/1000000</f>
        <v>416.01912094939382</v>
      </c>
      <c r="BH165" s="881">
        <f>BH166*BH167*BH168*BH169/1000000</f>
        <v>419.47732161787485</v>
      </c>
      <c r="BI165" s="583">
        <f>SUM(BE165:BH165)</f>
        <v>1597.8769804726428</v>
      </c>
      <c r="BJ165" s="880">
        <f>BJ166*BJ167*BJ168*BJ169/1000000</f>
        <v>414.28467569148501</v>
      </c>
      <c r="BK165" s="880">
        <f>BK166*BK167*BK168*BK169/1000000</f>
        <v>427.47770477412939</v>
      </c>
      <c r="BL165" s="880">
        <f>BL166*BL167*BL168*BL169/1000000</f>
        <v>459.19667728210374</v>
      </c>
      <c r="BM165" s="881">
        <f>BM166*BM167*BM168*BM169/1000000</f>
        <v>489.98531341837759</v>
      </c>
      <c r="BN165" s="583">
        <f>SUM(BJ165:BM165)</f>
        <v>1790.9443711660956</v>
      </c>
      <c r="BO165" s="880">
        <f>BO166*BO167*BO168*BO169/1000000</f>
        <v>516.27096418248743</v>
      </c>
      <c r="BP165" s="880">
        <f>BP166*BP167*BP168*BP169/1000000</f>
        <v>601.98583400299844</v>
      </c>
      <c r="BQ165" s="880">
        <f>BQ166*BQ167*BQ168*BQ169/1000000</f>
        <v>675.19944079228401</v>
      </c>
      <c r="BR165" s="880">
        <f>BR166*BR167*BR168*BR169/1000000</f>
        <v>725.81959251713272</v>
      </c>
      <c r="BS165" s="583">
        <f>SUM(BO165:BR165)</f>
        <v>2519.2758314949024</v>
      </c>
      <c r="BT165" s="882">
        <f>BT166*BT167*BT168*BT169/1000000</f>
        <v>748.22206372195535</v>
      </c>
      <c r="BU165" s="880">
        <f>BU166*BU167*BU168*BU169/1000000</f>
        <v>805.77468358027193</v>
      </c>
      <c r="BV165" s="880">
        <f>BV166*BV167*BV168*BV169/1000000</f>
        <v>871.42689860066525</v>
      </c>
      <c r="BW165" s="881">
        <f>BW166*BW167*BW168*BW169/1000000</f>
        <v>917.53023083929111</v>
      </c>
      <c r="BX165" s="583">
        <f>SUM(BT165:BW165)</f>
        <v>3342.9538767421836</v>
      </c>
      <c r="BY165" s="882">
        <f>BY166*BY167*BY168*BY169/1000000</f>
        <v>970.53666131017189</v>
      </c>
      <c r="BZ165" s="880">
        <f>BZ166*BZ167*BZ168*BZ169/1000000</f>
        <v>960.74091275156445</v>
      </c>
      <c r="CA165" s="880">
        <f>CA166*CA167*CA168*CA169/1000000</f>
        <v>1027.483004580024</v>
      </c>
      <c r="CB165" s="880">
        <f>CB166*CB167*CB168*CB169/1000000</f>
        <v>1072.1808413737863</v>
      </c>
      <c r="CC165" s="736">
        <f>SUM(BY165:CB165)</f>
        <v>4030.9414200155466</v>
      </c>
      <c r="CD165" s="880">
        <f>CD166*CD167*CD168*CD169/1000000</f>
        <v>1078.9788354201114</v>
      </c>
      <c r="CE165" s="880">
        <f>CE166*CE167*CE168*CE169/1000000</f>
        <v>1136.2384440176083</v>
      </c>
      <c r="CF165" s="880">
        <f>CF166*CF167*CF168*CF169/1000000</f>
        <v>1178.6418038816068</v>
      </c>
      <c r="CG165" s="880">
        <f>CG166*CG167*CG168*CG169/1000000</f>
        <v>1216.6000824966027</v>
      </c>
      <c r="CH165" s="736">
        <f>SUM(CD165:CG165)</f>
        <v>4610.4591658159297</v>
      </c>
      <c r="CI165" s="880">
        <f>CI166*CI167*CI168*CI169/1000000</f>
        <v>1228.4494455639338</v>
      </c>
      <c r="CJ165" s="880">
        <f>CJ166*CJ167*CJ168*CJ169/1000000</f>
        <v>1300.0689318101822</v>
      </c>
      <c r="CK165" s="880"/>
      <c r="CL165" s="880"/>
      <c r="CM165" s="871"/>
      <c r="CN165" s="880"/>
      <c r="CO165" s="880"/>
      <c r="CP165" s="880"/>
      <c r="CQ165" s="880"/>
      <c r="CR165" s="873"/>
      <c r="CS165" s="880"/>
      <c r="CT165" s="874"/>
      <c r="CU165" s="874"/>
      <c r="CV165" s="880"/>
      <c r="CW165" s="873"/>
      <c r="CX165" s="880"/>
      <c r="CY165" s="880"/>
      <c r="CZ165" s="880"/>
      <c r="DA165" s="880"/>
      <c r="DB165" s="873"/>
      <c r="DC165" s="880"/>
      <c r="DD165" s="880"/>
      <c r="DE165" s="880"/>
      <c r="DF165" s="880"/>
      <c r="DG165" s="873"/>
      <c r="DH165" s="880"/>
      <c r="DI165" s="880"/>
      <c r="DJ165" s="880"/>
      <c r="DK165" s="880"/>
      <c r="DL165" s="873"/>
      <c r="DM165" s="880"/>
      <c r="DN165" s="880"/>
      <c r="DO165" s="880"/>
      <c r="DP165" s="880"/>
      <c r="DQ165" s="873"/>
      <c r="DR165" s="702"/>
      <c r="DS165" s="697"/>
      <c r="DT165"/>
      <c r="DU165"/>
      <c r="DV165"/>
      <c r="DW165"/>
      <c r="DX165"/>
      <c r="DY165"/>
    </row>
    <row r="166" spans="2:129" s="716" customFormat="1" hidden="1" outlineLevel="1">
      <c r="B166" s="717"/>
      <c r="C166" s="718" t="s">
        <v>195</v>
      </c>
      <c r="D166" s="718"/>
      <c r="E166" s="718"/>
      <c r="F166" s="718"/>
      <c r="G166" s="717"/>
      <c r="H166" s="718">
        <f>H162*AVERAGE(H137,H150)</f>
        <v>316.82000000000005</v>
      </c>
      <c r="I166" s="718">
        <f>I162*AVERAGE(I137,I150)</f>
        <v>374.7</v>
      </c>
      <c r="J166" s="883">
        <f>J162*AVERAGE(J137,J150)-2</f>
        <v>414.79500000000002</v>
      </c>
      <c r="K166" s="718">
        <f>K162*AVERAGE(K137,K150)</f>
        <v>406.57500000000005</v>
      </c>
      <c r="L166" s="717">
        <f>L162*AVERAGE(L137,L150)</f>
        <v>444.15</v>
      </c>
      <c r="M166" s="718">
        <f>M162*AVERAGE(M137,M150)</f>
        <v>465.01499999999999</v>
      </c>
      <c r="N166" s="718">
        <f>N162*AVERAGE(N137,N150)-5</f>
        <v>495.50000000000006</v>
      </c>
      <c r="O166" s="718">
        <f>O162*AVERAGE(O137,O150)-8</f>
        <v>544.0200000000001</v>
      </c>
      <c r="P166" s="718">
        <f>P162*AVERAGE(P137,P150)</f>
        <v>487.88749999999999</v>
      </c>
      <c r="Q166" s="717">
        <f>Q162*AVERAGE(Q137,Q150)</f>
        <v>580.0200000000001</v>
      </c>
      <c r="R166" s="718">
        <f>R162*AVERAGE(R137,R150)</f>
        <v>687.89</v>
      </c>
      <c r="S166" s="718">
        <f>S162*AVERAGE(S137,S150)+5</f>
        <v>827.85500000000002</v>
      </c>
      <c r="T166" s="883">
        <f t="shared" ref="T166:AY166" si="305">T162*AVERAGE(T137,T150)</f>
        <v>912.12</v>
      </c>
      <c r="U166" s="718">
        <f t="shared" si="305"/>
        <v>756.87500000000011</v>
      </c>
      <c r="V166" s="718">
        <f t="shared" si="305"/>
        <v>899</v>
      </c>
      <c r="W166" s="718">
        <f t="shared" si="305"/>
        <v>949.375</v>
      </c>
      <c r="X166" s="718">
        <f t="shared" si="305"/>
        <v>998.25</v>
      </c>
      <c r="Y166" s="883">
        <f t="shared" si="305"/>
        <v>1044</v>
      </c>
      <c r="Z166" s="718">
        <f t="shared" si="305"/>
        <v>962.27499999999998</v>
      </c>
      <c r="AA166" s="718">
        <f t="shared" si="305"/>
        <v>996.15</v>
      </c>
      <c r="AB166" s="718">
        <f t="shared" si="305"/>
        <v>1083.75</v>
      </c>
      <c r="AC166" s="718">
        <f t="shared" si="305"/>
        <v>1321.375</v>
      </c>
      <c r="AD166" s="718">
        <f t="shared" si="305"/>
        <v>1596.5</v>
      </c>
      <c r="AE166" s="718">
        <f t="shared" si="305"/>
        <v>1371.8374999999999</v>
      </c>
      <c r="AF166" s="717">
        <f t="shared" si="305"/>
        <v>1725</v>
      </c>
      <c r="AG166" s="718">
        <f t="shared" si="305"/>
        <v>1785</v>
      </c>
      <c r="AH166" s="718">
        <f t="shared" si="305"/>
        <v>1950</v>
      </c>
      <c r="AI166" s="718">
        <f t="shared" si="305"/>
        <v>2476</v>
      </c>
      <c r="AJ166" s="718">
        <f t="shared" si="305"/>
        <v>2146.4375</v>
      </c>
      <c r="AK166" s="717">
        <f t="shared" si="305"/>
        <v>2813.25</v>
      </c>
      <c r="AL166" s="718">
        <f t="shared" si="305"/>
        <v>2949.7499999999995</v>
      </c>
      <c r="AM166" s="718">
        <f t="shared" si="305"/>
        <v>3244.7250000000004</v>
      </c>
      <c r="AN166" s="883">
        <f t="shared" si="305"/>
        <v>3681.4500000000003</v>
      </c>
      <c r="AO166" s="718">
        <f t="shared" si="305"/>
        <v>3225.5281249999998</v>
      </c>
      <c r="AP166" s="718">
        <f t="shared" si="305"/>
        <v>3907.8</v>
      </c>
      <c r="AQ166" s="718">
        <f t="shared" si="305"/>
        <v>4552.875</v>
      </c>
      <c r="AR166" s="718">
        <f t="shared" si="305"/>
        <v>5047.25</v>
      </c>
      <c r="AS166" s="883">
        <f t="shared" si="305"/>
        <v>5450</v>
      </c>
      <c r="AT166" s="718">
        <f t="shared" si="305"/>
        <v>4804.8</v>
      </c>
      <c r="AU166" s="718">
        <f t="shared" si="305"/>
        <v>5962.5</v>
      </c>
      <c r="AV166" s="718">
        <f t="shared" si="305"/>
        <v>6600</v>
      </c>
      <c r="AW166" s="718">
        <f t="shared" si="305"/>
        <v>7506.25</v>
      </c>
      <c r="AX166" s="718">
        <f t="shared" si="305"/>
        <v>8581.25</v>
      </c>
      <c r="AY166" s="718">
        <f t="shared" si="305"/>
        <v>7387.5</v>
      </c>
      <c r="AZ166" s="717">
        <f t="shared" ref="AZ166:CJ166" si="306">AZ162*AVERAGE(AZ137,AZ150)</f>
        <v>9264</v>
      </c>
      <c r="BA166" s="718">
        <f t="shared" si="306"/>
        <v>9853</v>
      </c>
      <c r="BB166" s="718">
        <f t="shared" si="306"/>
        <v>10183.25</v>
      </c>
      <c r="BC166" s="718">
        <f t="shared" si="306"/>
        <v>11264.25</v>
      </c>
      <c r="BD166" s="718">
        <f t="shared" si="306"/>
        <v>10354.5</v>
      </c>
      <c r="BE166" s="717">
        <f t="shared" si="306"/>
        <v>11451.4375</v>
      </c>
      <c r="BF166" s="718">
        <f t="shared" si="306"/>
        <v>11929.575000000001</v>
      </c>
      <c r="BG166" s="718">
        <f t="shared" si="306"/>
        <v>12484.6875</v>
      </c>
      <c r="BH166" s="883">
        <f t="shared" si="306"/>
        <v>13006.5</v>
      </c>
      <c r="BI166" s="718">
        <f t="shared" si="306"/>
        <v>12168.53125</v>
      </c>
      <c r="BJ166" s="718">
        <f t="shared" si="306"/>
        <v>13468.800000000001</v>
      </c>
      <c r="BK166" s="718">
        <f t="shared" si="306"/>
        <v>13719.5</v>
      </c>
      <c r="BL166" s="718">
        <f t="shared" si="306"/>
        <v>14379.595000000001</v>
      </c>
      <c r="BM166" s="883">
        <f t="shared" si="306"/>
        <v>15492.300000000001</v>
      </c>
      <c r="BN166" s="718">
        <f t="shared" si="306"/>
        <v>15065.856250000001</v>
      </c>
      <c r="BO166" s="717">
        <f t="shared" si="306"/>
        <v>16533.5</v>
      </c>
      <c r="BP166" s="718">
        <f t="shared" si="306"/>
        <v>17974</v>
      </c>
      <c r="BQ166" s="718">
        <f t="shared" si="306"/>
        <v>20021.600000000002</v>
      </c>
      <c r="BR166" s="718">
        <f t="shared" si="306"/>
        <v>21528</v>
      </c>
      <c r="BS166" s="718">
        <f t="shared" si="306"/>
        <v>19195.8</v>
      </c>
      <c r="BT166" s="717">
        <f t="shared" si="306"/>
        <v>22388.7</v>
      </c>
      <c r="BU166" s="718">
        <f t="shared" si="306"/>
        <v>23220</v>
      </c>
      <c r="BV166" s="718">
        <f t="shared" si="306"/>
        <v>24465</v>
      </c>
      <c r="BW166" s="883">
        <f t="shared" si="306"/>
        <v>26397</v>
      </c>
      <c r="BX166" s="718">
        <f t="shared" si="306"/>
        <v>24356.474999999999</v>
      </c>
      <c r="BY166" s="717">
        <f t="shared" si="306"/>
        <v>28710</v>
      </c>
      <c r="BZ166" s="718">
        <f t="shared" si="306"/>
        <v>26893.800000000003</v>
      </c>
      <c r="CA166" s="718">
        <f t="shared" si="306"/>
        <v>29170.749999999996</v>
      </c>
      <c r="CB166" s="718">
        <f t="shared" si="306"/>
        <v>30257.399999999994</v>
      </c>
      <c r="CC166" s="884">
        <f t="shared" si="306"/>
        <v>29051.887500000001</v>
      </c>
      <c r="CD166" s="718">
        <f t="shared" si="306"/>
        <v>31428.449999999993</v>
      </c>
      <c r="CE166" s="718">
        <f t="shared" si="306"/>
        <v>32103.649999999994</v>
      </c>
      <c r="CF166" s="718">
        <f t="shared" si="306"/>
        <v>32557.299999999996</v>
      </c>
      <c r="CG166" s="718">
        <f t="shared" si="306"/>
        <v>33390.749999999993</v>
      </c>
      <c r="CH166" s="884">
        <f t="shared" si="306"/>
        <v>32377.949999999993</v>
      </c>
      <c r="CI166" s="718">
        <f t="shared" si="306"/>
        <v>34593.449999999997</v>
      </c>
      <c r="CJ166" s="718">
        <f t="shared" si="306"/>
        <v>36165.399999999994</v>
      </c>
      <c r="CK166" s="718"/>
      <c r="CL166" s="718"/>
      <c r="CM166" s="884"/>
      <c r="CN166" s="718"/>
      <c r="CO166" s="718"/>
      <c r="CP166" s="718"/>
      <c r="CQ166" s="718"/>
      <c r="CR166" s="884"/>
      <c r="CS166" s="718"/>
      <c r="CT166" s="874"/>
      <c r="CU166" s="874"/>
      <c r="CV166" s="718"/>
      <c r="CW166" s="884"/>
      <c r="CX166" s="718"/>
      <c r="CY166" s="718"/>
      <c r="CZ166" s="718"/>
      <c r="DA166" s="718"/>
      <c r="DB166" s="884"/>
      <c r="DC166" s="718"/>
      <c r="DD166" s="718"/>
      <c r="DE166" s="718"/>
      <c r="DF166" s="718"/>
      <c r="DG166" s="884"/>
      <c r="DH166" s="718"/>
      <c r="DI166" s="718"/>
      <c r="DJ166" s="718"/>
      <c r="DK166" s="718"/>
      <c r="DL166" s="884"/>
      <c r="DM166" s="718"/>
      <c r="DN166" s="718"/>
      <c r="DO166" s="718"/>
      <c r="DP166" s="718"/>
      <c r="DQ166" s="884"/>
      <c r="DR166" s="717"/>
      <c r="DS166" s="718"/>
      <c r="DT166"/>
      <c r="DU166"/>
      <c r="DV166"/>
      <c r="DW166"/>
      <c r="DX166"/>
      <c r="DY166"/>
    </row>
    <row r="167" spans="2:129" s="716" customFormat="1" hidden="1" outlineLevel="1">
      <c r="B167" s="717"/>
      <c r="C167" s="718" t="s">
        <v>203</v>
      </c>
      <c r="D167" s="718"/>
      <c r="E167" s="718"/>
      <c r="F167" s="718"/>
      <c r="G167" s="885"/>
      <c r="H167" s="643">
        <v>0.90400000000000003</v>
      </c>
      <c r="I167" s="643">
        <v>0.92</v>
      </c>
      <c r="J167" s="644">
        <v>0.91500000000000004</v>
      </c>
      <c r="K167" s="640">
        <f>AVERAGE(G167:J167)</f>
        <v>0.91299999999999992</v>
      </c>
      <c r="L167" s="642">
        <v>0.89500000000000002</v>
      </c>
      <c r="M167" s="643">
        <v>0.89500000000000002</v>
      </c>
      <c r="N167" s="643">
        <v>0.89500000000000002</v>
      </c>
      <c r="O167" s="643">
        <v>0.86499999999999999</v>
      </c>
      <c r="P167" s="640">
        <f>AVERAGE(L167:O167)</f>
        <v>0.88749999999999996</v>
      </c>
      <c r="Q167" s="642">
        <v>0.89500000000000002</v>
      </c>
      <c r="R167" s="643">
        <v>0.90400000000000003</v>
      </c>
      <c r="S167" s="643">
        <v>0.90400000000000003</v>
      </c>
      <c r="T167" s="644">
        <v>0.9</v>
      </c>
      <c r="U167" s="640">
        <f>AVERAGE(Q167:T167)</f>
        <v>0.90074999999999994</v>
      </c>
      <c r="V167" s="643">
        <v>0.9</v>
      </c>
      <c r="W167" s="643">
        <v>0.9</v>
      </c>
      <c r="X167" s="643">
        <v>0.9</v>
      </c>
      <c r="Y167" s="644">
        <v>0.86499999999999999</v>
      </c>
      <c r="Z167" s="640">
        <f>AVERAGE(V167:Y167)</f>
        <v>0.8912500000000001</v>
      </c>
      <c r="AA167" s="643">
        <v>0.9</v>
      </c>
      <c r="AB167" s="643">
        <v>0.91</v>
      </c>
      <c r="AC167" s="643">
        <v>0.90500000000000003</v>
      </c>
      <c r="AD167" s="643">
        <v>0.88</v>
      </c>
      <c r="AE167" s="640">
        <f>AVERAGE(AA167:AD167)</f>
        <v>0.89874999999999994</v>
      </c>
      <c r="AF167" s="642">
        <v>0.88500000000000001</v>
      </c>
      <c r="AG167" s="643">
        <v>0.90300000000000002</v>
      </c>
      <c r="AH167" s="643">
        <v>0.92300000000000004</v>
      </c>
      <c r="AI167" s="643">
        <v>0.9</v>
      </c>
      <c r="AJ167" s="640">
        <f>AVERAGE(AF167:AI167)</f>
        <v>0.90275000000000005</v>
      </c>
      <c r="AK167" s="642">
        <v>0.89</v>
      </c>
      <c r="AL167" s="643">
        <v>0.89</v>
      </c>
      <c r="AM167" s="643">
        <v>0.88</v>
      </c>
      <c r="AN167" s="644">
        <v>0.87</v>
      </c>
      <c r="AO167" s="640">
        <f>AVERAGE(AK167:AN167)</f>
        <v>0.88250000000000006</v>
      </c>
      <c r="AP167" s="643">
        <v>0.86</v>
      </c>
      <c r="AQ167" s="643">
        <v>0.86</v>
      </c>
      <c r="AR167" s="643">
        <v>0.86</v>
      </c>
      <c r="AS167" s="644">
        <v>0.85</v>
      </c>
      <c r="AT167" s="640">
        <f>AVERAGE(AP167:AS167)</f>
        <v>0.85750000000000004</v>
      </c>
      <c r="AU167" s="643">
        <v>0.85</v>
      </c>
      <c r="AV167" s="643">
        <v>0.87</v>
      </c>
      <c r="AW167" s="643">
        <v>0.88</v>
      </c>
      <c r="AX167" s="643">
        <v>0.86</v>
      </c>
      <c r="AY167" s="640">
        <f>AVERAGE(AU167:AX167)</f>
        <v>0.86499999999999999</v>
      </c>
      <c r="AZ167" s="642">
        <v>0.84</v>
      </c>
      <c r="BA167" s="643">
        <v>0.85</v>
      </c>
      <c r="BB167" s="643">
        <v>0.87</v>
      </c>
      <c r="BC167" s="643">
        <v>0.88</v>
      </c>
      <c r="BD167" s="640">
        <f>AVERAGE(AZ167:BC167)</f>
        <v>0.86</v>
      </c>
      <c r="BE167" s="642">
        <v>0.88</v>
      </c>
      <c r="BF167" s="643">
        <v>0.88</v>
      </c>
      <c r="BG167" s="643">
        <v>0.89</v>
      </c>
      <c r="BH167" s="644">
        <v>0.88</v>
      </c>
      <c r="BI167" s="640">
        <f>AVERAGE(BE167:BH167)</f>
        <v>0.88249999999999995</v>
      </c>
      <c r="BJ167" s="643">
        <v>0.88</v>
      </c>
      <c r="BK167" s="643">
        <v>0.88</v>
      </c>
      <c r="BL167" s="643">
        <v>0.9</v>
      </c>
      <c r="BM167" s="644">
        <v>0.89</v>
      </c>
      <c r="BN167" s="640">
        <f>AVERAGE(BJ167:BM167)</f>
        <v>0.88750000000000007</v>
      </c>
      <c r="BO167" s="642">
        <v>0.89</v>
      </c>
      <c r="BP167" s="643">
        <v>0.93</v>
      </c>
      <c r="BQ167" s="643">
        <v>0.92</v>
      </c>
      <c r="BR167" s="643">
        <v>0.91</v>
      </c>
      <c r="BS167" s="640">
        <f>AVERAGE(BO167:BR167)</f>
        <v>0.91250000000000009</v>
      </c>
      <c r="BT167" s="642">
        <v>0.88</v>
      </c>
      <c r="BU167" s="643">
        <v>0.9</v>
      </c>
      <c r="BV167" s="643">
        <v>0.94</v>
      </c>
      <c r="BW167" s="644">
        <v>0.94</v>
      </c>
      <c r="BX167" s="640">
        <f>AVERAGE(BT167:BW167)</f>
        <v>0.91499999999999992</v>
      </c>
      <c r="BY167" s="642">
        <v>0.93</v>
      </c>
      <c r="BZ167" s="643">
        <v>0.93</v>
      </c>
      <c r="CA167" s="643">
        <v>0.93</v>
      </c>
      <c r="CB167" s="643">
        <v>0.93</v>
      </c>
      <c r="CC167" s="875">
        <f>AVERAGE(BY167:CB167)</f>
        <v>0.93</v>
      </c>
      <c r="CD167" s="643">
        <v>0.92</v>
      </c>
      <c r="CE167" s="643">
        <v>0.93</v>
      </c>
      <c r="CF167" s="643">
        <v>0.94</v>
      </c>
      <c r="CG167" s="643">
        <v>0.93</v>
      </c>
      <c r="CH167" s="875">
        <f>AVERAGE(CD167:CG167)</f>
        <v>0.93</v>
      </c>
      <c r="CI167" s="643">
        <v>0.92</v>
      </c>
      <c r="CJ167" s="643">
        <v>0.93</v>
      </c>
      <c r="CK167" s="643">
        <v>0.93</v>
      </c>
      <c r="CL167" s="643">
        <v>0.92</v>
      </c>
      <c r="CM167" s="884"/>
      <c r="CN167" s="643"/>
      <c r="CO167" s="643"/>
      <c r="CP167" s="643"/>
      <c r="CQ167" s="643"/>
      <c r="CR167" s="884"/>
      <c r="CS167" s="643"/>
      <c r="CT167" s="874"/>
      <c r="CU167" s="874"/>
      <c r="CV167" s="643"/>
      <c r="CW167" s="884"/>
      <c r="CX167" s="643"/>
      <c r="CY167" s="643"/>
      <c r="CZ167" s="643"/>
      <c r="DA167" s="643"/>
      <c r="DB167" s="884"/>
      <c r="DC167" s="643"/>
      <c r="DD167" s="643"/>
      <c r="DE167" s="643"/>
      <c r="DF167" s="643"/>
      <c r="DG167" s="884"/>
      <c r="DH167" s="643"/>
      <c r="DI167" s="643"/>
      <c r="DJ167" s="643"/>
      <c r="DK167" s="643"/>
      <c r="DL167" s="884"/>
      <c r="DM167" s="643"/>
      <c r="DN167" s="643"/>
      <c r="DO167" s="643"/>
      <c r="DP167" s="643"/>
      <c r="DQ167" s="884"/>
      <c r="DR167" s="717"/>
      <c r="DS167" s="718"/>
      <c r="DT167"/>
      <c r="DU167"/>
      <c r="DV167"/>
      <c r="DW167"/>
      <c r="DX167"/>
      <c r="DY167"/>
    </row>
    <row r="168" spans="2:129" s="716" customFormat="1" hidden="1" outlineLevel="1">
      <c r="B168" s="717"/>
      <c r="C168" s="718" t="s">
        <v>196</v>
      </c>
      <c r="D168" s="718"/>
      <c r="E168" s="718"/>
      <c r="F168" s="718"/>
      <c r="G168" s="886"/>
      <c r="H168" s="887">
        <v>53</v>
      </c>
      <c r="I168" s="887">
        <v>57</v>
      </c>
      <c r="J168" s="888">
        <v>59.5</v>
      </c>
      <c r="K168" s="889">
        <f>K165*1000000/(K166*K167*K169)</f>
        <v>51.544567919383653</v>
      </c>
      <c r="L168" s="886">
        <v>62.5</v>
      </c>
      <c r="M168" s="887">
        <v>62.5</v>
      </c>
      <c r="N168" s="887">
        <v>62.5</v>
      </c>
      <c r="O168" s="887">
        <v>61.5</v>
      </c>
      <c r="P168" s="889">
        <f>P165*1000000/(P166*P167*P169)</f>
        <v>62.066025546076688</v>
      </c>
      <c r="Q168" s="886">
        <v>62.5</v>
      </c>
      <c r="R168" s="887">
        <v>63.5</v>
      </c>
      <c r="S168" s="887">
        <v>63.4</v>
      </c>
      <c r="T168" s="888">
        <v>62</v>
      </c>
      <c r="U168" s="889">
        <f>U165*1000000/(U166*U167*U169)</f>
        <v>62.518067349856203</v>
      </c>
      <c r="V168" s="887">
        <v>70</v>
      </c>
      <c r="W168" s="887">
        <v>70</v>
      </c>
      <c r="X168" s="887">
        <v>70</v>
      </c>
      <c r="Y168" s="888">
        <v>70</v>
      </c>
      <c r="Z168" s="889">
        <f>Z165*1000000/(Z166*Z167*Z169)</f>
        <v>70.629154645007404</v>
      </c>
      <c r="AA168" s="887">
        <v>70</v>
      </c>
      <c r="AB168" s="887">
        <v>70</v>
      </c>
      <c r="AC168" s="887">
        <v>69.5</v>
      </c>
      <c r="AD168" s="887">
        <v>70</v>
      </c>
      <c r="AE168" s="889">
        <f>AE165*1000000/(AE166*AE167*AE169)</f>
        <v>63.274560059429639</v>
      </c>
      <c r="AF168" s="886">
        <v>69.650000000000006</v>
      </c>
      <c r="AG168" s="887">
        <v>67.8</v>
      </c>
      <c r="AH168" s="887">
        <v>68.477999999999994</v>
      </c>
      <c r="AI168" s="887">
        <v>68.477999999999994</v>
      </c>
      <c r="AJ168" s="889">
        <f>AJ165*1000000/(AJ166*AJ167*AJ169)</f>
        <v>63.405648104336422</v>
      </c>
      <c r="AK168" s="886">
        <v>69</v>
      </c>
      <c r="AL168" s="887">
        <v>69</v>
      </c>
      <c r="AM168" s="887">
        <v>69</v>
      </c>
      <c r="AN168" s="888">
        <v>69</v>
      </c>
      <c r="AO168" s="889">
        <f>AO165*1000000/(AO166*AO167*AO169)</f>
        <v>67.890723811430036</v>
      </c>
      <c r="AP168" s="887">
        <v>69</v>
      </c>
      <c r="AQ168" s="887">
        <v>70</v>
      </c>
      <c r="AR168" s="887">
        <v>71</v>
      </c>
      <c r="AS168" s="888">
        <v>70.5</v>
      </c>
      <c r="AT168" s="889">
        <f>AT165*1000000/(AT166*AT167*AT169)</f>
        <v>69.211234615320251</v>
      </c>
      <c r="AU168" s="887">
        <v>71</v>
      </c>
      <c r="AV168" s="887">
        <v>71</v>
      </c>
      <c r="AW168" s="887">
        <v>71</v>
      </c>
      <c r="AX168" s="887">
        <v>72</v>
      </c>
      <c r="AY168" s="889">
        <f>AY165*1000000/(AY166*AY167*AY169)</f>
        <v>69.096062942403108</v>
      </c>
      <c r="AZ168" s="886">
        <v>73</v>
      </c>
      <c r="BA168" s="887">
        <v>73.5</v>
      </c>
      <c r="BB168" s="887">
        <v>74.5</v>
      </c>
      <c r="BC168" s="887">
        <v>75</v>
      </c>
      <c r="BD168" s="889">
        <f>BD165*1000000/(BD166*BD167*BD169)</f>
        <v>72.589432347599811</v>
      </c>
      <c r="BE168" s="886">
        <v>75</v>
      </c>
      <c r="BF168" s="887">
        <v>75</v>
      </c>
      <c r="BG168" s="887">
        <v>75.5</v>
      </c>
      <c r="BH168" s="888">
        <v>74.25</v>
      </c>
      <c r="BI168" s="889">
        <f>BI165*1000000/(BI166*BI167*BI169)</f>
        <v>75.24582277959729</v>
      </c>
      <c r="BJ168" s="887">
        <v>72.25</v>
      </c>
      <c r="BK168" s="887">
        <v>72.25</v>
      </c>
      <c r="BL168" s="887">
        <v>72.5</v>
      </c>
      <c r="BM168" s="888">
        <v>72.75</v>
      </c>
      <c r="BN168" s="889">
        <f>BN165*1000000/(BN166*BN167*BN169)</f>
        <v>68.627695747325291</v>
      </c>
      <c r="BO168" s="886">
        <v>72</v>
      </c>
      <c r="BP168" s="887">
        <v>73.25</v>
      </c>
      <c r="BQ168" s="887">
        <v>74</v>
      </c>
      <c r="BR168" s="887">
        <v>75</v>
      </c>
      <c r="BS168" s="889">
        <f>BS165*1000000/(BS166*BS167*BS169)</f>
        <v>73.071640141000174</v>
      </c>
      <c r="BT168" s="886">
        <v>77</v>
      </c>
      <c r="BU168" s="887">
        <v>77</v>
      </c>
      <c r="BV168" s="887">
        <v>77.3</v>
      </c>
      <c r="BW168" s="888">
        <v>77.3</v>
      </c>
      <c r="BX168" s="889">
        <f>BX165*1000000/(BX166*BX167*BX169)</f>
        <v>76.432882906566974</v>
      </c>
      <c r="BY168" s="886">
        <v>77.3</v>
      </c>
      <c r="BZ168" s="887">
        <f>BY168</f>
        <v>77.3</v>
      </c>
      <c r="CA168" s="887">
        <f>BZ168</f>
        <v>77.3</v>
      </c>
      <c r="CB168" s="887">
        <f>CA168</f>
        <v>77.3</v>
      </c>
      <c r="CC168" s="890">
        <f>CC165*1000000/(CC166*CC167*CC169)</f>
        <v>76.5076291286165</v>
      </c>
      <c r="CD168" s="887">
        <v>78</v>
      </c>
      <c r="CE168" s="887">
        <v>78</v>
      </c>
      <c r="CF168" s="887">
        <v>78</v>
      </c>
      <c r="CG168" s="887">
        <v>78</v>
      </c>
      <c r="CH168" s="890">
        <f>CH165*1000000/(CH166*CH167*CH169)</f>
        <v>78.024978666002937</v>
      </c>
      <c r="CI168" s="887">
        <v>78</v>
      </c>
      <c r="CJ168" s="887">
        <v>78</v>
      </c>
      <c r="CK168" s="887"/>
      <c r="CL168" s="887"/>
      <c r="CM168" s="884"/>
      <c r="CN168" s="887"/>
      <c r="CO168" s="887"/>
      <c r="CP168" s="887"/>
      <c r="CQ168" s="887"/>
      <c r="CR168" s="884"/>
      <c r="CS168" s="887"/>
      <c r="CT168" s="874"/>
      <c r="CU168" s="874"/>
      <c r="CV168" s="887"/>
      <c r="CW168" s="884"/>
      <c r="CX168" s="887"/>
      <c r="CY168" s="887"/>
      <c r="CZ168" s="887"/>
      <c r="DA168" s="887"/>
      <c r="DB168" s="884"/>
      <c r="DC168" s="887"/>
      <c r="DD168" s="887"/>
      <c r="DE168" s="887"/>
      <c r="DF168" s="887"/>
      <c r="DG168" s="884"/>
      <c r="DH168" s="887"/>
      <c r="DI168" s="887"/>
      <c r="DJ168" s="887"/>
      <c r="DK168" s="887"/>
      <c r="DL168" s="884"/>
      <c r="DM168" s="887"/>
      <c r="DN168" s="887"/>
      <c r="DO168" s="887"/>
      <c r="DP168" s="887"/>
      <c r="DQ168" s="884"/>
      <c r="DR168" s="717"/>
      <c r="DS168" s="718"/>
      <c r="DT168"/>
      <c r="DU168"/>
      <c r="DV168"/>
      <c r="DW168"/>
      <c r="DX168"/>
      <c r="DY168"/>
    </row>
    <row r="169" spans="2:129" s="716" customFormat="1" hidden="1" outlineLevel="1">
      <c r="B169" s="717"/>
      <c r="C169" s="718" t="s">
        <v>197</v>
      </c>
      <c r="D169" s="718"/>
      <c r="E169" s="718"/>
      <c r="F169" s="718"/>
      <c r="G169" s="717"/>
      <c r="H169" s="718">
        <f>1000000*H22/(H166*H167*H168+H172*H173*H174)</f>
        <v>495.80522013105207</v>
      </c>
      <c r="I169" s="718">
        <f>1000000*I22/(I166*I167*I168+I172*I173*I174)</f>
        <v>494.44862385791532</v>
      </c>
      <c r="J169" s="883">
        <f>1000000*J22/(J166*J167*J168+J172*J173*J174)</f>
        <v>494.46506738850445</v>
      </c>
      <c r="K169" s="718">
        <f>SUM(G169:J169)</f>
        <v>1484.7189113774718</v>
      </c>
      <c r="L169" s="717">
        <f>1000000*L22/(L166*L167*L168+L172*L173*L174)</f>
        <v>495.51737626436113</v>
      </c>
      <c r="M169" s="718">
        <f>1000000*M22/(M166*M167*M168+M172*M173*M174)</f>
        <v>495.12644068219464</v>
      </c>
      <c r="N169" s="718">
        <f>1000000*N22/(N166*N167*N168+N172*N173*N174)</f>
        <v>493.07442579210755</v>
      </c>
      <c r="O169" s="718">
        <f>1000000*O22/(O166*O167*O168+O172*O173*O174)</f>
        <v>492.61878026880828</v>
      </c>
      <c r="P169" s="718">
        <f>SUM(L169:O169)</f>
        <v>1976.3370230074715</v>
      </c>
      <c r="Q169" s="717">
        <f>1000000*Q22/(Q166*Q167*Q168+Q172*Q173*Q174)</f>
        <v>495.8479670418813</v>
      </c>
      <c r="R169" s="718">
        <f>1000000*R22/(R166*R167*R168+R172*R173*R174)</f>
        <v>494.73104144584636</v>
      </c>
      <c r="S169" s="718">
        <f>1000000*S22/(S166*S167*S168+S172*S173*S174)</f>
        <v>494.96532613626425</v>
      </c>
      <c r="T169" s="883">
        <f>1000000*T22/(T166*T167*T168+T172*T173*T174)</f>
        <v>508.63839040462653</v>
      </c>
      <c r="U169" s="718">
        <f>SUM(Q169:T169)</f>
        <v>1994.1827250286183</v>
      </c>
      <c r="V169" s="718">
        <f>1000000*V22/(V166*V167*V168+V172*V173*V174)</f>
        <v>480.91049905931942</v>
      </c>
      <c r="W169" s="718">
        <f>1000000*W22/(W166*W167*W168+W172*W173*W174)</f>
        <v>478.9989027358821</v>
      </c>
      <c r="X169" s="718">
        <f>1000000*X22/(X166*X167*X168+X172*X173*X174)</f>
        <v>466.45280489321311</v>
      </c>
      <c r="Y169" s="883">
        <f>1000000*Y22/(Y166*Y167*Y168+Y172*Y173*Y174)</f>
        <v>446.13986008817477</v>
      </c>
      <c r="Z169" s="718">
        <f>SUM(V169:Y169)</f>
        <v>1872.5020667765896</v>
      </c>
      <c r="AA169" s="718">
        <f>1000000*AA22/(AA166*AA167*AA168+AA172*AA173*AA174)</f>
        <v>473.50730499411878</v>
      </c>
      <c r="AB169" s="718">
        <f>1000000*AB22/(AB166*AB167*AB168+AB172*AB173*AB174)</f>
        <v>490.10478899856389</v>
      </c>
      <c r="AC169" s="718">
        <f>1000000*AC22/(AC166*AC167*AC168+AC172*AC173*AC174)</f>
        <v>482.62415861627835</v>
      </c>
      <c r="AD169" s="718">
        <f>1000000*AD22/(AD166*AD167*AD168+AD172*AD173*AD174)</f>
        <v>450.76090749778893</v>
      </c>
      <c r="AE169" s="718">
        <f>SUM(AA169:AD169)</f>
        <v>1896.99716010675</v>
      </c>
      <c r="AF169" s="717">
        <f>1000000*AF22/(AF166*AF167*AF168+AF172*AF173*AF174)</f>
        <v>465.27440718133897</v>
      </c>
      <c r="AG169" s="718">
        <f>1000000*AG22/(AG166*AG167*AG168+AG172*AG173*AG174)</f>
        <v>479.80141447098651</v>
      </c>
      <c r="AH169" s="718">
        <f>1000000*AH22/(AH166*AH167*AH168+AH172*AH173*AH174)</f>
        <v>493.96342593213473</v>
      </c>
      <c r="AI169" s="718">
        <f>1000000*AI22/(AI166*AI167*AI168+AI172*AI173*AI174)</f>
        <v>471.27985249671787</v>
      </c>
      <c r="AJ169" s="718">
        <f>SUM(AF169:AI169)</f>
        <v>1910.319100081178</v>
      </c>
      <c r="AK169" s="717">
        <f>1000000*AK22/(AK166*AK167*AK168+AK172*AK173*AK174)</f>
        <v>455.42006652641885</v>
      </c>
      <c r="AL169" s="718">
        <f>1000000*AL22/(AL166*AL167*AL168+AL172*AL173*AL174)</f>
        <v>477.33347219529361</v>
      </c>
      <c r="AM169" s="718">
        <f>1000000*AM22/(AM166*AM167*AM168+AM172*AM173*AM174)</f>
        <v>476.80606486737156</v>
      </c>
      <c r="AN169" s="883">
        <f>1000000*AN22/(AN166*AN167*AN168+AN172*AN173*AN174)</f>
        <v>479.94886304739777</v>
      </c>
      <c r="AO169" s="718">
        <f>SUM(AK169:AN169)</f>
        <v>1889.5084666364817</v>
      </c>
      <c r="AP169" s="718">
        <f>1000000*AP22/(AP166*AP167*AP168+AP172*AP173*AP174)</f>
        <v>479.32442264427328</v>
      </c>
      <c r="AQ169" s="718">
        <f>1000000*AQ22/(AQ166*AQ167*AQ168+AQ172*AQ173*AQ174)</f>
        <v>481.21028098545264</v>
      </c>
      <c r="AR169" s="718">
        <f>1000000*AR22/(AR166*AR167*AR168+AR172*AR173*AR174)</f>
        <v>476.10167497365313</v>
      </c>
      <c r="AS169" s="883">
        <f>1000000*AS22/(AS166*AS167*AS168+AS172*AS173*AS174)</f>
        <v>480.28918081793421</v>
      </c>
      <c r="AT169" s="718">
        <f>SUM(AP169:AS169)</f>
        <v>1916.9255594213134</v>
      </c>
      <c r="AU169" s="718">
        <f>1000000*AU22/(AU166*AU167*AU168+AU172*AU173*AU174)</f>
        <v>474.54361036854328</v>
      </c>
      <c r="AV169" s="718">
        <f>1000000*AV22/(AV166*AV167*AV168+AV172*AV173*AV174)</f>
        <v>484.32510154930083</v>
      </c>
      <c r="AW169" s="718">
        <f>1000000*AW22/(AW166*AW167*AW168+AW172*AW173*AW174)</f>
        <v>474.56458486896582</v>
      </c>
      <c r="AX169" s="718">
        <f>1000000*AX22/(AX166*AX167*AX168+AX172*AX173*AX174)</f>
        <v>469.17245525579852</v>
      </c>
      <c r="AY169" s="718">
        <f>SUM(AU169:AX169)</f>
        <v>1902.6057520426084</v>
      </c>
      <c r="AZ169" s="717">
        <f>1000000*AZ22/(AZ166*AZ167*AZ168+AZ172*AZ173*AZ174)</f>
        <v>477.40676404698388</v>
      </c>
      <c r="BA169" s="718">
        <f>1000000*BA22/(BA166*BA167*BA168+BA172*BA173*BA174)</f>
        <v>486.30283742482368</v>
      </c>
      <c r="BB169" s="718">
        <f>1000000*BB22/(BB166*BB167*BB168+BB172*BB173*BB174)</f>
        <v>484.11076436911139</v>
      </c>
      <c r="BC169" s="718">
        <f>1000000*BC22/(BC166*BC167*BC168+BC172*BC173*BC174)</f>
        <v>471.88945021633776</v>
      </c>
      <c r="BD169" s="718">
        <f>SUM(AZ169:BC169)</f>
        <v>1919.7098160572566</v>
      </c>
      <c r="BE169" s="717">
        <f>1000000*BE22/(BE166*BE167*BE168+BE172*BE173*BE174)</f>
        <v>490.99877577123351</v>
      </c>
      <c r="BF169" s="718">
        <f>1000000*BF22/(BF166*BF167*BF168+BF172*BF173*BF174)</f>
        <v>496.96476848276285</v>
      </c>
      <c r="BG169" s="718">
        <f>1000000*BG22/(BG166*BG167*BG168+BG172*BG173*BG174)</f>
        <v>495.90519464477029</v>
      </c>
      <c r="BH169" s="883">
        <f>1000000*BH22/(BH166*BH167*BH168+BH172*BH173*BH174)</f>
        <v>493.59290783592087</v>
      </c>
      <c r="BI169" s="718">
        <f>SUM(BE169:BH169)</f>
        <v>1977.4616467346875</v>
      </c>
      <c r="BJ169" s="718">
        <f>1000000*BJ22/(BJ166*BJ167*BJ168+BJ172*BJ173*BJ174)</f>
        <v>483.78170578463187</v>
      </c>
      <c r="BK169" s="718">
        <f>1000000*BK22/(BK166*BK167*BK168+BK172*BK173*BK174)</f>
        <v>490.0660997501833</v>
      </c>
      <c r="BL169" s="718">
        <f>1000000*BL22/(BL166*BL167*BL168+BL172*BL173*BL174)</f>
        <v>489.40856608553088</v>
      </c>
      <c r="BM169" s="883">
        <f>1000000*BM22/(BM166*BM167*BM168+BM172*BM173*BM174)</f>
        <v>488.47704565325699</v>
      </c>
      <c r="BN169" s="718">
        <f>SUM(BJ169:BM169)</f>
        <v>1951.733417273603</v>
      </c>
      <c r="BO169" s="717">
        <f>1000000*BO22/(BO166*BO167*BO168+BO172*BO173*BO174)</f>
        <v>487.29325228282539</v>
      </c>
      <c r="BP169" s="718">
        <f>1000000*BP22/(BP166*BP167*BP168+BP172*BP173*BP174)</f>
        <v>491.64424130429501</v>
      </c>
      <c r="BQ169" s="718">
        <f>1000000*BQ22/(BQ166*BQ167*BQ168+BQ172*BQ173*BQ174)</f>
        <v>495.35180089542951</v>
      </c>
      <c r="BR169" s="718">
        <f>1000000*BR22/(BR166*BR167*BR168+BR172*BR173*BR174)</f>
        <v>493.99476515609132</v>
      </c>
      <c r="BS169" s="718">
        <f>SUM(BO169:BR169)</f>
        <v>1968.2840596386411</v>
      </c>
      <c r="BT169" s="717">
        <f>1000000*BT22/(BT166*BT167*BT168+BT172*BT173*BT174)</f>
        <v>493.20586941417139</v>
      </c>
      <c r="BU169" s="718">
        <f>1000000*BU22/(BU166*BU167*BU168+BU172*BU173*BU174)</f>
        <v>500.74678343684911</v>
      </c>
      <c r="BV169" s="718">
        <f>1000000*BV22/(BV166*BV167*BV168+BV172*BV173*BV174)</f>
        <v>490.20574161750585</v>
      </c>
      <c r="BW169" s="883">
        <f>1000000*BW22/(BW166*BW167*BW168+BW172*BW173*BW174)</f>
        <v>478.36397098055363</v>
      </c>
      <c r="BX169" s="718">
        <f>SUM(BT169:BW169)</f>
        <v>1962.5223654490799</v>
      </c>
      <c r="BY169" s="717">
        <f>1000000*BY22/(BY166*BY167*BY168+BY172*BY173*BY174)</f>
        <v>470.23647180661493</v>
      </c>
      <c r="BZ169" s="718">
        <f>1000000*BZ22/(BZ166*BZ167*BZ168+BZ172*BZ173*BZ174)</f>
        <v>496.9259446959465</v>
      </c>
      <c r="CA169" s="718">
        <f>1000000*CA22/(CA166*CA167*CA168+CA172*CA173*CA174)</f>
        <v>489.96449387817211</v>
      </c>
      <c r="CB169" s="718">
        <f>1000000*CB22/(CB166*CB167*CB168+CB172*CB173*CB174)</f>
        <v>492.91722349242372</v>
      </c>
      <c r="CC169" s="884">
        <f>SUM(BY169:CB169)</f>
        <v>1950.0441338731573</v>
      </c>
      <c r="CD169" s="718">
        <f>1000000*CD22/(CD166*CD167*CD168+CD172*CD173*CD174)</f>
        <v>478.41802406548197</v>
      </c>
      <c r="CE169" s="718">
        <f>1000000*CE22/(CE166*CE167*CE168+CE172*CE173*CE174)</f>
        <v>487.90752475779647</v>
      </c>
      <c r="CF169" s="718">
        <f>1000000*CF22/(CF166*CF167*CF168+CF172*CF173*CF174)</f>
        <v>493.75442738097894</v>
      </c>
      <c r="CG169" s="718">
        <f>1000000*CG22/(CG166*CG167*CG168+CG172*CG173*CG174)</f>
        <v>502.27795380794174</v>
      </c>
      <c r="CH169" s="884">
        <f>SUM(CD169:CG169)</f>
        <v>1962.3579300121992</v>
      </c>
      <c r="CI169" s="718">
        <f>1000000*CI22/(CI166*CI167*CI168+CI172*CI173*CI174)</f>
        <v>494.85844066246898</v>
      </c>
      <c r="CJ169" s="718">
        <f>1000000*CJ22/(CJ166*CJ167*CJ168+CJ172*CJ173*CJ174)</f>
        <v>495.55921440693999</v>
      </c>
      <c r="CK169" s="718"/>
      <c r="CL169" s="718"/>
      <c r="CM169" s="884"/>
      <c r="CN169" s="718"/>
      <c r="CO169" s="718"/>
      <c r="CP169" s="718"/>
      <c r="CQ169" s="718"/>
      <c r="CR169" s="884"/>
      <c r="CS169" s="718"/>
      <c r="CT169" s="874"/>
      <c r="CU169" s="874"/>
      <c r="CV169" s="718"/>
      <c r="CW169" s="884"/>
      <c r="CX169" s="718"/>
      <c r="CY169" s="718"/>
      <c r="CZ169" s="718"/>
      <c r="DA169" s="718"/>
      <c r="DB169" s="884"/>
      <c r="DC169" s="718"/>
      <c r="DD169" s="718"/>
      <c r="DE169" s="718"/>
      <c r="DF169" s="718"/>
      <c r="DG169" s="884"/>
      <c r="DH169" s="718"/>
      <c r="DI169" s="718"/>
      <c r="DJ169" s="718"/>
      <c r="DK169" s="718"/>
      <c r="DL169" s="884"/>
      <c r="DM169" s="718"/>
      <c r="DN169" s="718"/>
      <c r="DO169" s="718"/>
      <c r="DP169" s="718"/>
      <c r="DQ169" s="884"/>
      <c r="DR169" s="717"/>
      <c r="DS169" s="718"/>
      <c r="DT169"/>
      <c r="DU169"/>
      <c r="DV169"/>
      <c r="DW169"/>
      <c r="DX169"/>
      <c r="DY169"/>
    </row>
    <row r="170" spans="2:129" s="716" customFormat="1" hidden="1" outlineLevel="1">
      <c r="B170" s="717"/>
      <c r="C170" s="718"/>
      <c r="D170" s="718"/>
      <c r="E170" s="718"/>
      <c r="F170" s="718"/>
      <c r="G170" s="717"/>
      <c r="H170" s="718"/>
      <c r="I170" s="718"/>
      <c r="J170" s="883"/>
      <c r="K170" s="580"/>
      <c r="L170" s="717"/>
      <c r="M170" s="718"/>
      <c r="N170" s="718"/>
      <c r="O170" s="718"/>
      <c r="P170" s="580"/>
      <c r="Q170" s="717"/>
      <c r="R170" s="718"/>
      <c r="S170" s="718"/>
      <c r="T170" s="883"/>
      <c r="U170" s="580"/>
      <c r="V170" s="718"/>
      <c r="W170" s="718"/>
      <c r="X170" s="718"/>
      <c r="Y170" s="883"/>
      <c r="Z170" s="580"/>
      <c r="AA170" s="718"/>
      <c r="AB170" s="718"/>
      <c r="AC170" s="718"/>
      <c r="AD170" s="718"/>
      <c r="AE170" s="580"/>
      <c r="AF170" s="717"/>
      <c r="AG170" s="718"/>
      <c r="AH170" s="718"/>
      <c r="AI170" s="718"/>
      <c r="AJ170" s="580"/>
      <c r="AK170" s="717"/>
      <c r="AL170" s="718"/>
      <c r="AM170" s="718"/>
      <c r="AN170" s="883"/>
      <c r="AO170" s="580"/>
      <c r="AP170" s="718"/>
      <c r="AQ170" s="718"/>
      <c r="AR170" s="718"/>
      <c r="AS170" s="883"/>
      <c r="AT170" s="580"/>
      <c r="AU170" s="718"/>
      <c r="AV170" s="718"/>
      <c r="AW170" s="718"/>
      <c r="AX170" s="718"/>
      <c r="AY170" s="580"/>
      <c r="AZ170" s="717"/>
      <c r="BA170" s="718"/>
      <c r="BB170" s="718"/>
      <c r="BC170" s="718"/>
      <c r="BD170" s="580"/>
      <c r="BE170" s="717"/>
      <c r="BF170" s="718"/>
      <c r="BG170" s="718"/>
      <c r="BH170" s="883"/>
      <c r="BI170" s="580"/>
      <c r="BJ170" s="718"/>
      <c r="BK170" s="718"/>
      <c r="BL170" s="718"/>
      <c r="BM170" s="883"/>
      <c r="BN170" s="580"/>
      <c r="BO170" s="717"/>
      <c r="BP170" s="718"/>
      <c r="BQ170" s="718"/>
      <c r="BR170" s="718"/>
      <c r="BS170" s="580"/>
      <c r="BT170" s="717"/>
      <c r="BU170" s="718"/>
      <c r="BV170" s="718"/>
      <c r="BW170" s="883"/>
      <c r="BX170" s="580"/>
      <c r="BY170" s="717"/>
      <c r="BZ170" s="718"/>
      <c r="CA170" s="718"/>
      <c r="CB170" s="718"/>
      <c r="CC170" s="847"/>
      <c r="CD170" s="718"/>
      <c r="CE170" s="718"/>
      <c r="CF170" s="718"/>
      <c r="CG170" s="718"/>
      <c r="CH170" s="884"/>
      <c r="CI170" s="718"/>
      <c r="CJ170" s="718"/>
      <c r="CK170" s="718"/>
      <c r="CL170" s="718"/>
      <c r="CM170" s="884"/>
      <c r="CN170" s="718"/>
      <c r="CO170" s="718"/>
      <c r="CP170" s="718"/>
      <c r="CQ170" s="718"/>
      <c r="CR170" s="884"/>
      <c r="CS170" s="718"/>
      <c r="CT170" s="874"/>
      <c r="CU170" s="874"/>
      <c r="CV170" s="718"/>
      <c r="CW170" s="884"/>
      <c r="CX170" s="718"/>
      <c r="CY170" s="718"/>
      <c r="CZ170" s="718"/>
      <c r="DA170" s="718"/>
      <c r="DB170" s="884"/>
      <c r="DC170" s="718"/>
      <c r="DD170" s="718"/>
      <c r="DE170" s="718"/>
      <c r="DF170" s="718"/>
      <c r="DG170" s="884"/>
      <c r="DH170" s="718"/>
      <c r="DI170" s="718"/>
      <c r="DJ170" s="718"/>
      <c r="DK170" s="718"/>
      <c r="DL170" s="884"/>
      <c r="DM170" s="718"/>
      <c r="DN170" s="718"/>
      <c r="DO170" s="718"/>
      <c r="DP170" s="718"/>
      <c r="DQ170" s="884"/>
      <c r="DR170" s="717"/>
      <c r="DS170" s="718"/>
      <c r="DT170"/>
      <c r="DU170"/>
      <c r="DV170"/>
      <c r="DW170"/>
      <c r="DX170"/>
      <c r="DY170"/>
    </row>
    <row r="171" spans="2:129" s="695" customFormat="1" hidden="1" outlineLevel="1">
      <c r="B171" s="702" t="s">
        <v>201</v>
      </c>
      <c r="C171" s="728"/>
      <c r="D171" s="728"/>
      <c r="E171" s="728"/>
      <c r="F171" s="728"/>
      <c r="G171" s="868"/>
      <c r="H171" s="880">
        <f>H172*H173*H174*H175/1000000</f>
        <v>5.141934656453933</v>
      </c>
      <c r="I171" s="880">
        <f>I172*I173*I174*I175/1000000</f>
        <v>6.4844464775846289</v>
      </c>
      <c r="J171" s="881">
        <f>J172*J173*J174*J175/1000000</f>
        <v>8.3337540934694729</v>
      </c>
      <c r="K171" s="583">
        <f>SUM(G171:J171)</f>
        <v>19.960135227508033</v>
      </c>
      <c r="L171" s="882">
        <f>L172*L173*L174*L175/1000000</f>
        <v>8.1150488632690436</v>
      </c>
      <c r="M171" s="880">
        <f>M172*M173*M174*M175/1000000</f>
        <v>8.6188816547888418</v>
      </c>
      <c r="N171" s="880">
        <f>N172*N173*N174*N175/1000000</f>
        <v>9.2094407317443476</v>
      </c>
      <c r="O171" s="880">
        <f>O172*O173*O174*O175/1000000</f>
        <v>9.8473642437863695</v>
      </c>
      <c r="P171" s="583">
        <f>SUM(L171:O171)</f>
        <v>35.790735493588599</v>
      </c>
      <c r="Q171" s="882">
        <f>Q172*Q173*Q174*Q175/1000000</f>
        <v>10.982277789371834</v>
      </c>
      <c r="R171" s="880">
        <f>R172*R173*R174*R175/1000000</f>
        <v>12.26523994570508</v>
      </c>
      <c r="S171" s="880">
        <f>S172*S173*S174*S175/1000000</f>
        <v>13.622206770599893</v>
      </c>
      <c r="T171" s="881">
        <f>T172*T173*T174*T175/1000000</f>
        <v>15.165189925002567</v>
      </c>
      <c r="U171" s="583">
        <f>SUM(Q171:T171)</f>
        <v>52.034914430679372</v>
      </c>
      <c r="V171" s="880">
        <f>V172*V173*V174*V175/1000000</f>
        <v>16.166672064777327</v>
      </c>
      <c r="W171" s="880">
        <f>W172*W173*W174*W175/1000000</f>
        <v>16.76177625305268</v>
      </c>
      <c r="X171" s="880">
        <f>X172*X173*X174*X175/1000000</f>
        <v>16.166899713467046</v>
      </c>
      <c r="Y171" s="881">
        <f>Y172*Y173*Y174*Y175/1000000</f>
        <v>15.258625656414104</v>
      </c>
      <c r="Z171" s="583">
        <f>SUM(V171:Y171)</f>
        <v>64.353973687711147</v>
      </c>
      <c r="AA171" s="880">
        <f>AA172*AA173*AA174*AA175/1000000</f>
        <v>16.767888982196844</v>
      </c>
      <c r="AB171" s="880">
        <f>AB172*AB173*AB174*AB175/1000000</f>
        <v>20.52367715458276</v>
      </c>
      <c r="AC171" s="880">
        <f>AC172*AC173*AC174*AC175/1000000</f>
        <v>21.121534720233292</v>
      </c>
      <c r="AD171" s="880">
        <f>AD172*AD173*AD174*AD175/1000000</f>
        <v>22.681189008674441</v>
      </c>
      <c r="AE171" s="583">
        <f>SUM(AA171:AD171)</f>
        <v>81.094289865687344</v>
      </c>
      <c r="AF171" s="882">
        <f>AF172*AF173*AF174*AF175/1000000</f>
        <v>25.043636909227303</v>
      </c>
      <c r="AG171" s="880">
        <f>AG172*AG173*AG174*AG175/1000000</f>
        <v>35.011493055079463</v>
      </c>
      <c r="AH171" s="880">
        <f>AH172*AH173*AH174*AH175/1000000</f>
        <v>37.229944378356841</v>
      </c>
      <c r="AI171" s="880">
        <f>AI172*AI173*AI174*AI175/1000000</f>
        <v>36.242402804210194</v>
      </c>
      <c r="AJ171" s="583">
        <f>SUM(AF171:AI171)</f>
        <v>133.52747714687379</v>
      </c>
      <c r="AK171" s="882">
        <f>AK172*AK173*AK174*AK175/1000000</f>
        <v>41.064863062633961</v>
      </c>
      <c r="AL171" s="880">
        <f>AL172*AL173*AL174*AL175/1000000</f>
        <v>52.252835105968586</v>
      </c>
      <c r="AM171" s="880">
        <f>AM172*AM173*AM174*AM175/1000000</f>
        <v>61.488811188037772</v>
      </c>
      <c r="AN171" s="881">
        <f>AN172*AN173*AN174*AN175/1000000</f>
        <v>66.713528255793463</v>
      </c>
      <c r="AO171" s="583">
        <f>SUM(AK171:AN171)</f>
        <v>221.52003761243378</v>
      </c>
      <c r="AP171" s="880">
        <f>AP172*AP173*AP174*AP175/1000000</f>
        <v>70.531009897456642</v>
      </c>
      <c r="AQ171" s="880">
        <f>AQ172*AQ173*AQ174*AQ175/1000000</f>
        <v>79.819406465893081</v>
      </c>
      <c r="AR171" s="880">
        <f>AR172*AR173*AR174*AR175/1000000</f>
        <v>88.808564829602304</v>
      </c>
      <c r="AS171" s="881">
        <f>AS172*AS173*AS174*AS175/1000000</f>
        <v>100.04375607519488</v>
      </c>
      <c r="AT171" s="583">
        <f>SUM(AP171:AS171)</f>
        <v>339.2027372681469</v>
      </c>
      <c r="AU171" s="880">
        <f>AU172*AU173*AU174*AU175/1000000</f>
        <v>114.72071019376581</v>
      </c>
      <c r="AV171" s="880">
        <f>AV172*AV173*AV174*AV175/1000000</f>
        <v>139.38537395017792</v>
      </c>
      <c r="AW171" s="880">
        <f>AW172*AW173*AW174*AW175/1000000</f>
        <v>154.95571806001135</v>
      </c>
      <c r="AX171" s="880">
        <f>AX172*AX173*AX174*AX175/1000000</f>
        <v>175.13474672737618</v>
      </c>
      <c r="AY171" s="583">
        <f>SUM(AU171:AX171)</f>
        <v>584.19654893133134</v>
      </c>
      <c r="AZ171" s="882">
        <f>AZ172*AZ173*AZ174*AZ175/1000000</f>
        <v>189.07026520611132</v>
      </c>
      <c r="BA171" s="880">
        <f>BA172*BA173*BA174*BA175/1000000</f>
        <v>217.16242247475446</v>
      </c>
      <c r="BB171" s="880">
        <f>BB172*BB173*BB174*BB175/1000000</f>
        <v>239.31065569211947</v>
      </c>
      <c r="BC171" s="880">
        <f>BC172*BC173*BC174*BC175/1000000</f>
        <v>249.13427118644063</v>
      </c>
      <c r="BD171" s="583">
        <f>SUM(AZ171:BC171)</f>
        <v>894.67761455942582</v>
      </c>
      <c r="BE171" s="882">
        <f>BE172*BE173*BE174*BE175/1000000</f>
        <v>272.01164164082752</v>
      </c>
      <c r="BF171" s="880">
        <f>BF172*BF173*BF174*BF175/1000000</f>
        <v>294.14082045379814</v>
      </c>
      <c r="BG171" s="880">
        <f>BG172*BG173*BG174*BG175/1000000</f>
        <v>318.70687905060623</v>
      </c>
      <c r="BH171" s="881">
        <f>BH172*BH173*BH174*BH175/1000000</f>
        <v>333.56767838212505</v>
      </c>
      <c r="BI171" s="583">
        <f>SUM(BE171:BH171)</f>
        <v>1218.4270195273568</v>
      </c>
      <c r="BJ171" s="880">
        <f>BJ172*BJ173*BJ174*BJ175/1000000</f>
        <v>331.57732430851513</v>
      </c>
      <c r="BK171" s="880">
        <f>BK172*BK173*BK174*BK175/1000000</f>
        <v>349.11429522587059</v>
      </c>
      <c r="BL171" s="880">
        <f>BL172*BL173*BL174*BL175/1000000</f>
        <v>394.29132271789626</v>
      </c>
      <c r="BM171" s="881">
        <f>BM172*BM173*BM174*BM175/1000000</f>
        <v>412.73568658162225</v>
      </c>
      <c r="BN171" s="583">
        <f>SUM(BJ171:BM171)</f>
        <v>1487.7186288339044</v>
      </c>
      <c r="BO171" s="880">
        <f>BO172*BO173*BO174*BO175/1000000</f>
        <v>443.44903581751259</v>
      </c>
      <c r="BP171" s="880">
        <f>BP172*BP173*BP174*BP175/1000000</f>
        <v>503.16816599700149</v>
      </c>
      <c r="BQ171" s="880">
        <f>BQ172*BQ173*BQ174*BQ175/1000000</f>
        <v>541.71355920771589</v>
      </c>
      <c r="BR171" s="880">
        <f>BR172*BR173*BR174*BR175/1000000</f>
        <v>584.78240748286714</v>
      </c>
      <c r="BS171" s="583">
        <f>SUM(BO171:BR171)</f>
        <v>2073.1131685050973</v>
      </c>
      <c r="BT171" s="882">
        <f>BT172*BT173*BT174*BT175/1000000</f>
        <v>623.03093627804458</v>
      </c>
      <c r="BU171" s="880">
        <f>BU172*BU173*BU174*BU175/1000000</f>
        <v>679.46731641972792</v>
      </c>
      <c r="BV171" s="880">
        <f>BV172*BV173*BV174*BV175/1000000</f>
        <v>729.52710139933481</v>
      </c>
      <c r="BW171" s="881">
        <f>BW172*BW173*BW174*BW175/1000000</f>
        <v>746.17676916070843</v>
      </c>
      <c r="BX171" s="583">
        <f>SUM(BT171:BW171)</f>
        <v>2778.2021232578154</v>
      </c>
      <c r="BY171" s="882">
        <f>BY172*BY173*BY174*BY175/1000000</f>
        <v>740.81233868982815</v>
      </c>
      <c r="BZ171" s="880">
        <f>BZ172*BZ173*BZ174*BZ175/1000000</f>
        <v>834.47908724843546</v>
      </c>
      <c r="CA171" s="880">
        <f>CA172*CA173*CA174*CA175/1000000</f>
        <v>864.20499541997594</v>
      </c>
      <c r="CB171" s="880">
        <f>CB172*CB173*CB174*CB175/1000000</f>
        <v>876.03415862621398</v>
      </c>
      <c r="CC171" s="736">
        <f>SUM(BY171:CB171)</f>
        <v>3315.5305799844537</v>
      </c>
      <c r="CD171" s="880">
        <f>CD172*CD173*CD174*CD175/1000000</f>
        <v>941.75916457988842</v>
      </c>
      <c r="CE171" s="880">
        <f>CE172*CE173*CE174*CE175/1000000</f>
        <v>1025.0015559823917</v>
      </c>
      <c r="CF171" s="880">
        <f>CF172*CF173*CF174*CF175/1000000</f>
        <v>1127.0811961183931</v>
      </c>
      <c r="CG171" s="880">
        <f>CG172*CG173*CG174*CG175/1000000</f>
        <v>1138.8879175033974</v>
      </c>
      <c r="CH171" s="736">
        <f>SUM(CD171:CG171)</f>
        <v>4232.7298341840706</v>
      </c>
      <c r="CI171" s="880">
        <f>CI172*CI173*CI174*CI175/1000000</f>
        <v>1193.898554436066</v>
      </c>
      <c r="CJ171" s="880">
        <f>CJ172*CJ173*CJ174*CJ175/1000000</f>
        <v>1217.0250681898171</v>
      </c>
      <c r="CK171" s="880"/>
      <c r="CL171" s="880"/>
      <c r="CM171" s="871"/>
      <c r="CN171" s="880"/>
      <c r="CO171" s="880"/>
      <c r="CP171" s="880"/>
      <c r="CQ171" s="880"/>
      <c r="CR171" s="873"/>
      <c r="CS171" s="880"/>
      <c r="CT171" s="874"/>
      <c r="CU171" s="874"/>
      <c r="CV171" s="880"/>
      <c r="CW171" s="873"/>
      <c r="CX171" s="880"/>
      <c r="CY171" s="880"/>
      <c r="CZ171" s="880"/>
      <c r="DA171" s="880"/>
      <c r="DB171" s="873"/>
      <c r="DC171" s="880"/>
      <c r="DD171" s="880"/>
      <c r="DE171" s="880"/>
      <c r="DF171" s="880"/>
      <c r="DG171" s="873"/>
      <c r="DH171" s="880"/>
      <c r="DI171" s="880"/>
      <c r="DJ171" s="880"/>
      <c r="DK171" s="880"/>
      <c r="DL171" s="873"/>
      <c r="DM171" s="880"/>
      <c r="DN171" s="880"/>
      <c r="DO171" s="880"/>
      <c r="DP171" s="880"/>
      <c r="DQ171" s="873"/>
      <c r="DR171" s="702"/>
      <c r="DS171" s="697"/>
      <c r="DT171"/>
      <c r="DU171"/>
      <c r="DV171"/>
      <c r="DW171"/>
      <c r="DX171"/>
      <c r="DY171"/>
    </row>
    <row r="172" spans="2:129" s="716" customFormat="1" hidden="1" outlineLevel="1">
      <c r="B172" s="717"/>
      <c r="C172" s="718" t="s">
        <v>195</v>
      </c>
      <c r="D172" s="718"/>
      <c r="E172" s="718"/>
      <c r="F172" s="718"/>
      <c r="G172" s="717"/>
      <c r="H172" s="718">
        <f t="shared" ref="H172:AM172" si="307">H163*AVERAGE(H137,H150)</f>
        <v>814.68</v>
      </c>
      <c r="I172" s="718">
        <f t="shared" si="307"/>
        <v>874.3</v>
      </c>
      <c r="J172" s="883">
        <f t="shared" si="307"/>
        <v>927.70499999999993</v>
      </c>
      <c r="K172" s="718">
        <f t="shared" si="307"/>
        <v>983.42499999999984</v>
      </c>
      <c r="L172" s="717">
        <f t="shared" si="307"/>
        <v>1036.3499999999999</v>
      </c>
      <c r="M172" s="718">
        <f t="shared" si="307"/>
        <v>1138.4849999999999</v>
      </c>
      <c r="N172" s="718">
        <f t="shared" si="307"/>
        <v>1287</v>
      </c>
      <c r="O172" s="718">
        <f t="shared" si="307"/>
        <v>1419.48</v>
      </c>
      <c r="P172" s="718">
        <f t="shared" si="307"/>
        <v>1209.1125</v>
      </c>
      <c r="Q172" s="717">
        <f t="shared" si="307"/>
        <v>1491.48</v>
      </c>
      <c r="R172" s="718">
        <f t="shared" si="307"/>
        <v>1531.11</v>
      </c>
      <c r="S172" s="718">
        <f t="shared" si="307"/>
        <v>1670.6449999999998</v>
      </c>
      <c r="T172" s="883">
        <f t="shared" si="307"/>
        <v>1851.8799999999999</v>
      </c>
      <c r="U172" s="718">
        <f t="shared" si="307"/>
        <v>1665.125</v>
      </c>
      <c r="V172" s="718">
        <f t="shared" si="307"/>
        <v>2000.9999999999998</v>
      </c>
      <c r="W172" s="718">
        <f t="shared" si="307"/>
        <v>2113.125</v>
      </c>
      <c r="X172" s="718">
        <f t="shared" si="307"/>
        <v>2329.25</v>
      </c>
      <c r="Y172" s="883">
        <f t="shared" si="307"/>
        <v>2436</v>
      </c>
      <c r="Z172" s="718">
        <f t="shared" si="307"/>
        <v>2192.7250000000004</v>
      </c>
      <c r="AA172" s="718">
        <f t="shared" si="307"/>
        <v>2438.85</v>
      </c>
      <c r="AB172" s="718">
        <f t="shared" si="307"/>
        <v>2528.75</v>
      </c>
      <c r="AC172" s="718">
        <f t="shared" si="307"/>
        <v>2941.125</v>
      </c>
      <c r="AD172" s="718">
        <f t="shared" si="307"/>
        <v>3553.4999999999995</v>
      </c>
      <c r="AE172" s="718">
        <f t="shared" si="307"/>
        <v>3163.1624999999995</v>
      </c>
      <c r="AF172" s="717">
        <f t="shared" si="307"/>
        <v>4024.9999999999995</v>
      </c>
      <c r="AG172" s="718">
        <f t="shared" si="307"/>
        <v>4165</v>
      </c>
      <c r="AH172" s="718">
        <f t="shared" si="307"/>
        <v>4550</v>
      </c>
      <c r="AI172" s="718">
        <f t="shared" si="307"/>
        <v>5261.4999999999991</v>
      </c>
      <c r="AJ172" s="718">
        <f t="shared" si="307"/>
        <v>4891.0624999999991</v>
      </c>
      <c r="AK172" s="717">
        <f t="shared" si="307"/>
        <v>6261.7499999999991</v>
      </c>
      <c r="AL172" s="718">
        <f t="shared" si="307"/>
        <v>7400.2500000000009</v>
      </c>
      <c r="AM172" s="718">
        <f t="shared" si="307"/>
        <v>8772.7749999999996</v>
      </c>
      <c r="AN172" s="883">
        <f t="shared" ref="AN172:BS172" si="308">AN163*AVERAGE(AN137,AN150)</f>
        <v>9953.5499999999993</v>
      </c>
      <c r="AO172" s="718">
        <f t="shared" si="308"/>
        <v>8141.9718749999993</v>
      </c>
      <c r="AP172" s="718">
        <f t="shared" si="308"/>
        <v>11122.2</v>
      </c>
      <c r="AQ172" s="718">
        <f t="shared" si="308"/>
        <v>12309.625</v>
      </c>
      <c r="AR172" s="718">
        <f t="shared" si="308"/>
        <v>14365.25</v>
      </c>
      <c r="AS172" s="883">
        <f t="shared" si="308"/>
        <v>16350</v>
      </c>
      <c r="AT172" s="718">
        <f t="shared" si="308"/>
        <v>13675.2</v>
      </c>
      <c r="AU172" s="718">
        <f t="shared" si="308"/>
        <v>17887.5</v>
      </c>
      <c r="AV172" s="718">
        <f t="shared" si="308"/>
        <v>19800</v>
      </c>
      <c r="AW172" s="718">
        <f t="shared" si="308"/>
        <v>22518.75</v>
      </c>
      <c r="AX172" s="718">
        <f t="shared" si="308"/>
        <v>25743.75</v>
      </c>
      <c r="AY172" s="718">
        <f t="shared" si="308"/>
        <v>22162.5</v>
      </c>
      <c r="AZ172" s="717">
        <f t="shared" si="308"/>
        <v>29336</v>
      </c>
      <c r="BA172" s="718">
        <f t="shared" si="308"/>
        <v>31897</v>
      </c>
      <c r="BB172" s="718">
        <f t="shared" si="308"/>
        <v>34091.75</v>
      </c>
      <c r="BC172" s="718">
        <f t="shared" si="308"/>
        <v>37710.75</v>
      </c>
      <c r="BD172" s="718">
        <f t="shared" si="308"/>
        <v>33895.5</v>
      </c>
      <c r="BE172" s="717">
        <f t="shared" si="308"/>
        <v>41811.0625</v>
      </c>
      <c r="BF172" s="718">
        <f t="shared" si="308"/>
        <v>43045.425000000003</v>
      </c>
      <c r="BG172" s="718">
        <f t="shared" si="308"/>
        <v>43002.8125</v>
      </c>
      <c r="BH172" s="883">
        <f t="shared" si="308"/>
        <v>43543.5</v>
      </c>
      <c r="BI172" s="718">
        <f t="shared" si="308"/>
        <v>42706.46875</v>
      </c>
      <c r="BJ172" s="718">
        <f t="shared" si="308"/>
        <v>45091.200000000004</v>
      </c>
      <c r="BK172" s="718">
        <f t="shared" si="308"/>
        <v>45930.5</v>
      </c>
      <c r="BL172" s="718">
        <f t="shared" si="308"/>
        <v>47335.404999999999</v>
      </c>
      <c r="BM172" s="883">
        <f t="shared" si="308"/>
        <v>53057.700000000004</v>
      </c>
      <c r="BN172" s="718">
        <f t="shared" si="308"/>
        <v>50509.143750000003</v>
      </c>
      <c r="BO172" s="717">
        <f t="shared" si="308"/>
        <v>60366.5</v>
      </c>
      <c r="BP172" s="718">
        <f t="shared" si="308"/>
        <v>63726</v>
      </c>
      <c r="BQ172" s="718">
        <f t="shared" si="308"/>
        <v>66278.399999999994</v>
      </c>
      <c r="BR172" s="718">
        <f t="shared" si="308"/>
        <v>72072</v>
      </c>
      <c r="BS172" s="718">
        <f t="shared" si="308"/>
        <v>66404.2</v>
      </c>
      <c r="BT172" s="717">
        <f t="shared" ref="BT172:CJ172" si="309">BT163*AVERAGE(BT137,BT150)</f>
        <v>78461.3</v>
      </c>
      <c r="BU172" s="718">
        <f t="shared" si="309"/>
        <v>84280</v>
      </c>
      <c r="BV172" s="718">
        <f t="shared" si="309"/>
        <v>92035</v>
      </c>
      <c r="BW172" s="883">
        <f t="shared" si="309"/>
        <v>99303</v>
      </c>
      <c r="BX172" s="718">
        <f t="shared" si="309"/>
        <v>89193.525000000009</v>
      </c>
      <c r="BY172" s="717">
        <f t="shared" si="309"/>
        <v>101790</v>
      </c>
      <c r="BZ172" s="718">
        <f t="shared" si="309"/>
        <v>106906.2</v>
      </c>
      <c r="CA172" s="718">
        <f t="shared" si="309"/>
        <v>109079.25</v>
      </c>
      <c r="CB172" s="718">
        <f t="shared" si="309"/>
        <v>113142.6</v>
      </c>
      <c r="CC172" s="884">
        <f t="shared" si="309"/>
        <v>108798.1125</v>
      </c>
      <c r="CD172" s="718">
        <f t="shared" si="309"/>
        <v>117521.55</v>
      </c>
      <c r="CE172" s="718">
        <f t="shared" si="309"/>
        <v>120046.35</v>
      </c>
      <c r="CF172" s="718">
        <f t="shared" si="309"/>
        <v>121742.70000000001</v>
      </c>
      <c r="CG172" s="718">
        <f t="shared" si="309"/>
        <v>122564.625</v>
      </c>
      <c r="CH172" s="884">
        <f t="shared" si="309"/>
        <v>120515.79375</v>
      </c>
      <c r="CI172" s="718">
        <f t="shared" si="309"/>
        <v>126979.27499999999</v>
      </c>
      <c r="CJ172" s="718">
        <f t="shared" si="309"/>
        <v>132749.29999999999</v>
      </c>
      <c r="CK172" s="718"/>
      <c r="CL172" s="718"/>
      <c r="CM172" s="884"/>
      <c r="CN172" s="718"/>
      <c r="CO172" s="718"/>
      <c r="CP172" s="718"/>
      <c r="CQ172" s="718"/>
      <c r="CR172" s="884"/>
      <c r="CS172" s="718"/>
      <c r="CT172" s="874"/>
      <c r="CU172" s="874"/>
      <c r="CV172" s="718"/>
      <c r="CW172" s="884"/>
      <c r="CX172" s="718"/>
      <c r="CY172" s="718"/>
      <c r="CZ172" s="718"/>
      <c r="DA172" s="718"/>
      <c r="DB172" s="884"/>
      <c r="DC172" s="718"/>
      <c r="DD172" s="718"/>
      <c r="DE172" s="718"/>
      <c r="DF172" s="718"/>
      <c r="DG172" s="884"/>
      <c r="DH172" s="718"/>
      <c r="DI172" s="718"/>
      <c r="DJ172" s="718"/>
      <c r="DK172" s="718"/>
      <c r="DL172" s="884"/>
      <c r="DM172" s="718"/>
      <c r="DN172" s="718"/>
      <c r="DO172" s="718"/>
      <c r="DP172" s="718"/>
      <c r="DQ172" s="884"/>
      <c r="DR172" s="717"/>
      <c r="DS172" s="718"/>
      <c r="DT172"/>
      <c r="DU172"/>
      <c r="DV172"/>
      <c r="DW172"/>
      <c r="DX172"/>
      <c r="DY172"/>
    </row>
    <row r="173" spans="2:129" s="716" customFormat="1" hidden="1" outlineLevel="1">
      <c r="B173" s="717"/>
      <c r="C173" s="718" t="s">
        <v>203</v>
      </c>
      <c r="D173" s="718"/>
      <c r="E173" s="718"/>
      <c r="F173" s="718"/>
      <c r="G173" s="717"/>
      <c r="H173" s="643">
        <v>0.67</v>
      </c>
      <c r="I173" s="643">
        <v>0.75</v>
      </c>
      <c r="J173" s="644">
        <v>0.84499999999999997</v>
      </c>
      <c r="K173" s="640">
        <f>AVERAGE(G173:J173)</f>
        <v>0.75499999999999989</v>
      </c>
      <c r="L173" s="642">
        <v>0.73499999999999999</v>
      </c>
      <c r="M173" s="643">
        <v>0.69499999999999995</v>
      </c>
      <c r="N173" s="643">
        <v>0.67500000000000004</v>
      </c>
      <c r="O173" s="643">
        <v>0.65500000000000003</v>
      </c>
      <c r="P173" s="640">
        <f>AVERAGE(L173:O173)</f>
        <v>0.69</v>
      </c>
      <c r="Q173" s="642">
        <v>0.67500000000000004</v>
      </c>
      <c r="R173" s="643">
        <v>0.70399999999999996</v>
      </c>
      <c r="S173" s="643">
        <v>0.70399999999999996</v>
      </c>
      <c r="T173" s="644">
        <v>0.7</v>
      </c>
      <c r="U173" s="640">
        <f>AVERAGE(Q173:T173)</f>
        <v>0.69575000000000009</v>
      </c>
      <c r="V173" s="643">
        <v>0.7</v>
      </c>
      <c r="W173" s="643">
        <v>0.69</v>
      </c>
      <c r="X173" s="643">
        <v>0.62</v>
      </c>
      <c r="Y173" s="644">
        <v>0.58499999999999996</v>
      </c>
      <c r="Z173" s="640">
        <f>AVERAGE(V173:Y173)</f>
        <v>0.64874999999999994</v>
      </c>
      <c r="AA173" s="643">
        <v>0.60499999999999998</v>
      </c>
      <c r="AB173" s="643">
        <v>0.69</v>
      </c>
      <c r="AC173" s="643">
        <v>0.62</v>
      </c>
      <c r="AD173" s="643">
        <v>0.59</v>
      </c>
      <c r="AE173" s="640">
        <f>AVERAGE(AA173:AD173)</f>
        <v>0.62624999999999997</v>
      </c>
      <c r="AF173" s="642">
        <v>0.56000000000000005</v>
      </c>
      <c r="AG173" s="643">
        <v>0.73</v>
      </c>
      <c r="AH173" s="643">
        <v>0.68</v>
      </c>
      <c r="AI173" s="643">
        <v>0.6</v>
      </c>
      <c r="AJ173" s="640">
        <f>AVERAGE(AF173:AI173)</f>
        <v>0.64250000000000007</v>
      </c>
      <c r="AK173" s="642">
        <v>0.6</v>
      </c>
      <c r="AL173" s="643">
        <v>0.61</v>
      </c>
      <c r="AM173" s="643">
        <v>0.6</v>
      </c>
      <c r="AN173" s="644">
        <v>0.56999999999999995</v>
      </c>
      <c r="AO173" s="640">
        <f>AVERAGE(AK173:AN173)</f>
        <v>0.59499999999999997</v>
      </c>
      <c r="AP173" s="643">
        <v>0.54</v>
      </c>
      <c r="AQ173" s="643">
        <v>0.55000000000000004</v>
      </c>
      <c r="AR173" s="643">
        <v>0.53</v>
      </c>
      <c r="AS173" s="644">
        <v>0.52</v>
      </c>
      <c r="AT173" s="640">
        <f>AVERAGE(AP173:AS173)</f>
        <v>0.53500000000000003</v>
      </c>
      <c r="AU173" s="643">
        <v>0.53</v>
      </c>
      <c r="AV173" s="643">
        <v>0.56999999999999995</v>
      </c>
      <c r="AW173" s="643">
        <v>0.57999999999999996</v>
      </c>
      <c r="AX173" s="643">
        <v>0.57999999999999996</v>
      </c>
      <c r="AY173" s="640">
        <f>AVERAGE(AU173:AX173)</f>
        <v>0.56500000000000006</v>
      </c>
      <c r="AZ173" s="642">
        <v>0.54</v>
      </c>
      <c r="BA173" s="643">
        <v>0.56000000000000005</v>
      </c>
      <c r="BB173" s="643">
        <v>0.57999999999999996</v>
      </c>
      <c r="BC173" s="643">
        <v>0.56000000000000005</v>
      </c>
      <c r="BD173" s="640">
        <f>AVERAGE(AZ173:BC173)</f>
        <v>0.56000000000000005</v>
      </c>
      <c r="BE173" s="642">
        <v>0.53</v>
      </c>
      <c r="BF173" s="643">
        <v>0.55000000000000004</v>
      </c>
      <c r="BG173" s="643">
        <v>0.61</v>
      </c>
      <c r="BH173" s="644">
        <v>0.64</v>
      </c>
      <c r="BI173" s="640">
        <f>AVERAGE(BE173:BH173)</f>
        <v>0.58250000000000002</v>
      </c>
      <c r="BJ173" s="643">
        <v>0.64</v>
      </c>
      <c r="BK173" s="643">
        <v>0.66</v>
      </c>
      <c r="BL173" s="643">
        <v>0.74</v>
      </c>
      <c r="BM173" s="644">
        <v>0.7</v>
      </c>
      <c r="BN173" s="640">
        <f>AVERAGE(BJ173:BM173)</f>
        <v>0.68500000000000005</v>
      </c>
      <c r="BO173" s="642">
        <v>0.67</v>
      </c>
      <c r="BP173" s="643">
        <v>0.73</v>
      </c>
      <c r="BQ173" s="643">
        <v>0.75</v>
      </c>
      <c r="BR173" s="643">
        <v>0.73</v>
      </c>
      <c r="BS173" s="640">
        <f>AVERAGE(BO173:BR173)</f>
        <v>0.72</v>
      </c>
      <c r="BT173" s="642">
        <v>0.7</v>
      </c>
      <c r="BU173" s="643">
        <v>0.7</v>
      </c>
      <c r="BV173" s="643">
        <v>0.7</v>
      </c>
      <c r="BW173" s="644">
        <v>0.68</v>
      </c>
      <c r="BX173" s="640">
        <f>AVERAGE(BT173:BW173)</f>
        <v>0.69499999999999995</v>
      </c>
      <c r="BY173" s="642">
        <v>0.67</v>
      </c>
      <c r="BZ173" s="643">
        <v>0.68</v>
      </c>
      <c r="CA173" s="643">
        <v>0.7</v>
      </c>
      <c r="CB173" s="643">
        <v>0.68</v>
      </c>
      <c r="CC173" s="875">
        <f>AVERAGE(BY173:CB173)</f>
        <v>0.6825</v>
      </c>
      <c r="CD173" s="643">
        <v>0.67</v>
      </c>
      <c r="CE173" s="643">
        <v>0.7</v>
      </c>
      <c r="CF173" s="643">
        <v>0.75</v>
      </c>
      <c r="CG173" s="643">
        <v>0.74</v>
      </c>
      <c r="CH173" s="875">
        <f>AVERAGE(CD173:CG173)</f>
        <v>0.71500000000000008</v>
      </c>
      <c r="CI173" s="643">
        <v>0.76</v>
      </c>
      <c r="CJ173" s="643">
        <v>0.74</v>
      </c>
      <c r="CK173" s="643"/>
      <c r="CL173" s="643"/>
      <c r="CM173" s="884"/>
      <c r="CN173" s="643"/>
      <c r="CO173" s="643"/>
      <c r="CP173" s="643"/>
      <c r="CQ173" s="643"/>
      <c r="CR173" s="884"/>
      <c r="CS173" s="643"/>
      <c r="CT173" s="874"/>
      <c r="CU173" s="874"/>
      <c r="CV173" s="643"/>
      <c r="CW173" s="884"/>
      <c r="CX173" s="643"/>
      <c r="CY173" s="643"/>
      <c r="CZ173" s="643"/>
      <c r="DA173" s="643"/>
      <c r="DB173" s="884"/>
      <c r="DC173" s="643"/>
      <c r="DD173" s="643"/>
      <c r="DE173" s="643"/>
      <c r="DF173" s="643"/>
      <c r="DG173" s="884"/>
      <c r="DH173" s="643"/>
      <c r="DI173" s="643"/>
      <c r="DJ173" s="643"/>
      <c r="DK173" s="643"/>
      <c r="DL173" s="884"/>
      <c r="DM173" s="643"/>
      <c r="DN173" s="643"/>
      <c r="DO173" s="643"/>
      <c r="DP173" s="643"/>
      <c r="DQ173" s="884"/>
      <c r="DR173" s="717"/>
      <c r="DS173" s="718"/>
      <c r="DT173"/>
      <c r="DU173"/>
      <c r="DV173"/>
      <c r="DW173"/>
      <c r="DX173"/>
      <c r="DY173"/>
    </row>
    <row r="174" spans="2:129" s="716" customFormat="1" hidden="1" outlineLevel="1">
      <c r="B174" s="717"/>
      <c r="C174" s="718" t="s">
        <v>196</v>
      </c>
      <c r="D174" s="718"/>
      <c r="E174" s="718"/>
      <c r="F174" s="718"/>
      <c r="G174" s="717"/>
      <c r="H174" s="891">
        <v>19</v>
      </c>
      <c r="I174" s="891">
        <v>20</v>
      </c>
      <c r="J174" s="892">
        <v>21.5</v>
      </c>
      <c r="K174" s="889">
        <f>K171*1000000/(K172*K173*K175)</f>
        <v>18.106355491576657</v>
      </c>
      <c r="L174" s="893">
        <v>21.5</v>
      </c>
      <c r="M174" s="891">
        <v>22</v>
      </c>
      <c r="N174" s="891">
        <v>21.5</v>
      </c>
      <c r="O174" s="891">
        <v>21.5</v>
      </c>
      <c r="P174" s="889">
        <f>P171*1000000/(P172*P173*P175)</f>
        <v>21.706700546201887</v>
      </c>
      <c r="Q174" s="893">
        <v>22</v>
      </c>
      <c r="R174" s="891">
        <v>23</v>
      </c>
      <c r="S174" s="891">
        <v>23.4</v>
      </c>
      <c r="T174" s="892">
        <v>23</v>
      </c>
      <c r="U174" s="889">
        <f>U171*1000000/(U172*U173*U175)</f>
        <v>22.523186793722822</v>
      </c>
      <c r="V174" s="891">
        <v>24</v>
      </c>
      <c r="W174" s="891">
        <v>24</v>
      </c>
      <c r="X174" s="891">
        <v>24</v>
      </c>
      <c r="Y174" s="892">
        <v>24</v>
      </c>
      <c r="Z174" s="889">
        <f>Z171*1000000/(Z172*Z173*Z175)</f>
        <v>24.159699258260432</v>
      </c>
      <c r="AA174" s="891">
        <v>24</v>
      </c>
      <c r="AB174" s="891">
        <v>24</v>
      </c>
      <c r="AC174" s="891">
        <v>24</v>
      </c>
      <c r="AD174" s="891">
        <v>24</v>
      </c>
      <c r="AE174" s="889">
        <f>AE171*1000000/(AE172*AE173*AE175)</f>
        <v>21.580144686759152</v>
      </c>
      <c r="AF174" s="893">
        <v>23.88</v>
      </c>
      <c r="AG174" s="891">
        <v>24</v>
      </c>
      <c r="AH174" s="891">
        <v>24.36</v>
      </c>
      <c r="AI174" s="891">
        <v>24.36</v>
      </c>
      <c r="AJ174" s="889">
        <f>AJ171*1000000/(AJ172*AJ173*AJ175)</f>
        <v>22.242744909175553</v>
      </c>
      <c r="AK174" s="893">
        <v>24</v>
      </c>
      <c r="AL174" s="891">
        <v>24.25</v>
      </c>
      <c r="AM174" s="891">
        <v>24.5</v>
      </c>
      <c r="AN174" s="892">
        <v>24.5</v>
      </c>
      <c r="AO174" s="889">
        <f>AO171*1000000/(AO172*AO173*AO175)</f>
        <v>24.200125077553384</v>
      </c>
      <c r="AP174" s="891">
        <v>24.5</v>
      </c>
      <c r="AQ174" s="891">
        <v>24.5</v>
      </c>
      <c r="AR174" s="891">
        <v>24.5</v>
      </c>
      <c r="AS174" s="892">
        <v>24.5</v>
      </c>
      <c r="AT174" s="889">
        <f>AT171*1000000/(AT172*AT173*AT175)</f>
        <v>24.18614384557187</v>
      </c>
      <c r="AU174" s="891">
        <v>25.5</v>
      </c>
      <c r="AV174" s="891">
        <v>25.5</v>
      </c>
      <c r="AW174" s="891">
        <v>25</v>
      </c>
      <c r="AX174" s="891">
        <v>25</v>
      </c>
      <c r="AY174" s="889">
        <f>AY171*1000000/(AY172*AY173*AY175)</f>
        <v>24.521271466637348</v>
      </c>
      <c r="AZ174" s="893">
        <v>25</v>
      </c>
      <c r="BA174" s="891">
        <v>25</v>
      </c>
      <c r="BB174" s="891">
        <v>25</v>
      </c>
      <c r="BC174" s="891">
        <v>25</v>
      </c>
      <c r="BD174" s="889">
        <f>BD171*1000000/(BD172*BD173*BD175)</f>
        <v>24.552793650445441</v>
      </c>
      <c r="BE174" s="893">
        <v>25</v>
      </c>
      <c r="BF174" s="891">
        <v>25</v>
      </c>
      <c r="BG174" s="891">
        <v>24.5</v>
      </c>
      <c r="BH174" s="892">
        <v>24.25</v>
      </c>
      <c r="BI174" s="889">
        <f>BI171*1000000/(BI172*BI173*BI175)</f>
        <v>24.768622832011356</v>
      </c>
      <c r="BJ174" s="891">
        <v>23.75</v>
      </c>
      <c r="BK174" s="891">
        <v>23.5</v>
      </c>
      <c r="BL174" s="891">
        <v>23</v>
      </c>
      <c r="BM174" s="892">
        <v>22.75</v>
      </c>
      <c r="BN174" s="889">
        <f>BN171*1000000/(BN172*BN173*BN175)</f>
        <v>22.031279759875783</v>
      </c>
      <c r="BO174" s="893">
        <v>22.5</v>
      </c>
      <c r="BP174" s="891">
        <v>22</v>
      </c>
      <c r="BQ174" s="891">
        <v>22</v>
      </c>
      <c r="BR174" s="891">
        <v>22.5</v>
      </c>
      <c r="BS174" s="889">
        <f>BS171*1000000/(BS172*BS173*BS175)</f>
        <v>22.029629322044443</v>
      </c>
      <c r="BT174" s="893">
        <v>23</v>
      </c>
      <c r="BU174" s="891">
        <v>23</v>
      </c>
      <c r="BV174" s="891">
        <v>23.1</v>
      </c>
      <c r="BW174" s="892">
        <v>23.1</v>
      </c>
      <c r="BX174" s="889">
        <f>BX171*1000000/(BX172*BX173*BX175)</f>
        <v>22.836581417743723</v>
      </c>
      <c r="BY174" s="893">
        <v>23.1</v>
      </c>
      <c r="BZ174" s="891">
        <v>23.1</v>
      </c>
      <c r="CA174" s="891">
        <f>BZ174</f>
        <v>23.1</v>
      </c>
      <c r="CB174" s="891">
        <f>CA174</f>
        <v>23.1</v>
      </c>
      <c r="CC174" s="890">
        <f>CC171*1000000/(CC172*CC173*CC175)</f>
        <v>22.897316150616117</v>
      </c>
      <c r="CD174" s="891">
        <v>25</v>
      </c>
      <c r="CE174" s="887">
        <v>25</v>
      </c>
      <c r="CF174" s="887">
        <v>25</v>
      </c>
      <c r="CG174" s="887">
        <v>25</v>
      </c>
      <c r="CH174" s="890">
        <f>CH171*1000000/(CH172*CH173*CH175)</f>
        <v>25.031813666822664</v>
      </c>
      <c r="CI174" s="891">
        <v>25</v>
      </c>
      <c r="CJ174" s="887">
        <v>25</v>
      </c>
      <c r="CK174" s="887"/>
      <c r="CL174" s="887"/>
      <c r="CM174" s="884"/>
      <c r="CN174" s="891"/>
      <c r="CO174" s="887"/>
      <c r="CP174" s="887"/>
      <c r="CQ174" s="887"/>
      <c r="CR174" s="884"/>
      <c r="CS174" s="891"/>
      <c r="CT174" s="874"/>
      <c r="CU174" s="874"/>
      <c r="CV174" s="887"/>
      <c r="CW174" s="884"/>
      <c r="CX174" s="891"/>
      <c r="CY174" s="887"/>
      <c r="CZ174" s="887"/>
      <c r="DA174" s="887"/>
      <c r="DB174" s="884"/>
      <c r="DC174" s="891"/>
      <c r="DD174" s="887"/>
      <c r="DE174" s="887"/>
      <c r="DF174" s="887"/>
      <c r="DG174" s="884"/>
      <c r="DH174" s="891"/>
      <c r="DI174" s="887"/>
      <c r="DJ174" s="887"/>
      <c r="DK174" s="887"/>
      <c r="DL174" s="884"/>
      <c r="DM174" s="891"/>
      <c r="DN174" s="887"/>
      <c r="DO174" s="887"/>
      <c r="DP174" s="887"/>
      <c r="DQ174" s="884"/>
      <c r="DR174" s="717"/>
      <c r="DS174" s="718"/>
      <c r="DT174"/>
      <c r="DU174"/>
      <c r="DV174"/>
      <c r="DW174"/>
      <c r="DX174"/>
      <c r="DY174"/>
    </row>
    <row r="175" spans="2:129" s="716" customFormat="1" hidden="1" outlineLevel="1">
      <c r="B175" s="717"/>
      <c r="C175" s="718" t="s">
        <v>197</v>
      </c>
      <c r="D175" s="718"/>
      <c r="E175" s="718"/>
      <c r="F175" s="718"/>
      <c r="G175" s="717"/>
      <c r="H175" s="718">
        <f>1000000*H22/(H166*H167*H168+H172*H173*H174)</f>
        <v>495.80522013105207</v>
      </c>
      <c r="I175" s="718">
        <f>1000000*I22/(I166*I167*I168+I172*I173*I174)</f>
        <v>494.44862385791532</v>
      </c>
      <c r="J175" s="883">
        <f>1000000*J22/(J166*J167*J168+J172*J173*J174)</f>
        <v>494.46506738850445</v>
      </c>
      <c r="K175" s="718">
        <f>SUM(G175:J175)</f>
        <v>1484.7189113774718</v>
      </c>
      <c r="L175" s="717">
        <f>1000000*L22/(L166*L167*L168+L172*L173*L174)</f>
        <v>495.51737626436113</v>
      </c>
      <c r="M175" s="718">
        <f>1000000*M22/(M166*M167*M168+M172*M173*M174)</f>
        <v>495.12644068219464</v>
      </c>
      <c r="N175" s="718">
        <f>1000000*N22/(N166*N167*N168+N172*N173*N174)</f>
        <v>493.07442579210755</v>
      </c>
      <c r="O175" s="718">
        <f>1000000*O22/(O166*O167*O168+O172*O173*O174)</f>
        <v>492.61878026880828</v>
      </c>
      <c r="P175" s="718">
        <f>SUM(L175:O175)</f>
        <v>1976.3370230074715</v>
      </c>
      <c r="Q175" s="717">
        <f>1000000*Q22/(Q166*Q167*Q168+Q172*Q173*Q174)</f>
        <v>495.8479670418813</v>
      </c>
      <c r="R175" s="718">
        <f>1000000*R22/(R166*R167*R168+R172*R173*R174)</f>
        <v>494.73104144584636</v>
      </c>
      <c r="S175" s="718">
        <f>1000000*S22/(S166*S167*S168+S172*S173*S174)</f>
        <v>494.96532613626425</v>
      </c>
      <c r="T175" s="883">
        <f>1000000*T22/(T166*T167*T168+T172*T173*T174)</f>
        <v>508.63839040462653</v>
      </c>
      <c r="U175" s="718">
        <f>SUM(Q175:T175)</f>
        <v>1994.1827250286183</v>
      </c>
      <c r="V175" s="718">
        <f>1000000*V22/(V166*V167*V168+V172*V173*V174)</f>
        <v>480.91049905931942</v>
      </c>
      <c r="W175" s="718">
        <f>1000000*W22/(W166*W167*W168+W172*W173*W174)</f>
        <v>478.9989027358821</v>
      </c>
      <c r="X175" s="718">
        <f>1000000*X22/(X166*X167*X168+X172*X173*X174)</f>
        <v>466.45280489321311</v>
      </c>
      <c r="Y175" s="883">
        <f>1000000*Y22/(Y166*Y167*Y168+Y172*Y173*Y174)</f>
        <v>446.13986008817477</v>
      </c>
      <c r="Z175" s="718">
        <f>SUM(V175:Y175)</f>
        <v>1872.5020667765896</v>
      </c>
      <c r="AA175" s="718">
        <f>1000000*AA22/(AA166*AA167*AA168+AA172*AA173*AA174)</f>
        <v>473.50730499411878</v>
      </c>
      <c r="AB175" s="718">
        <f>1000000*AB22/(AB166*AB167*AB168+AB172*AB173*AB174)</f>
        <v>490.10478899856389</v>
      </c>
      <c r="AC175" s="718">
        <f>1000000*AC22/(AC166*AC167*AC168+AC172*AC173*AC174)</f>
        <v>482.62415861627835</v>
      </c>
      <c r="AD175" s="718">
        <f>1000000*AD22/(AD166*AD167*AD168+AD172*AD173*AD174)</f>
        <v>450.76090749778893</v>
      </c>
      <c r="AE175" s="718">
        <f>SUM(AA175:AD175)</f>
        <v>1896.99716010675</v>
      </c>
      <c r="AF175" s="717">
        <f>1000000*AF22/(AF166*AF167*AF168+AF172*AF173*AF174)</f>
        <v>465.27440718133897</v>
      </c>
      <c r="AG175" s="718">
        <f>1000000*AG22/(AG166*AG167*AG168+AG172*AG173*AG174)</f>
        <v>479.80141447098651</v>
      </c>
      <c r="AH175" s="718">
        <f>1000000*AH22/(AH166*AH167*AH168+AH172*AH173*AH174)</f>
        <v>493.96342593213473</v>
      </c>
      <c r="AI175" s="718">
        <f>1000000*AI22/(AI166*AI167*AI168+AI172*AI173*AI174)</f>
        <v>471.27985249671787</v>
      </c>
      <c r="AJ175" s="718">
        <f>SUM(AF175:AI175)</f>
        <v>1910.319100081178</v>
      </c>
      <c r="AK175" s="717">
        <f>1000000*AK22/(AK166*AK167*AK168+AK172*AK173*AK174)</f>
        <v>455.42006652641885</v>
      </c>
      <c r="AL175" s="718">
        <f>1000000*AL22/(AL166*AL167*AL168+AL172*AL173*AL174)</f>
        <v>477.33347219529361</v>
      </c>
      <c r="AM175" s="718">
        <f>1000000*AM22/(AM166*AM167*AM168+AM172*AM173*AM174)</f>
        <v>476.80606486737156</v>
      </c>
      <c r="AN175" s="883">
        <f>1000000*AN22/(AN166*AN167*AN168+AN172*AN173*AN174)</f>
        <v>479.94886304739777</v>
      </c>
      <c r="AO175" s="718">
        <f>SUM(AK175:AN175)</f>
        <v>1889.5084666364817</v>
      </c>
      <c r="AP175" s="718">
        <f>1000000*AP22/(AP166*AP167*AP168+AP172*AP173*AP174)</f>
        <v>479.32442264427328</v>
      </c>
      <c r="AQ175" s="718">
        <f>1000000*AQ22/(AQ166*AQ167*AQ168+AQ172*AQ173*AQ174)</f>
        <v>481.21028098545264</v>
      </c>
      <c r="AR175" s="718">
        <f>1000000*AR22/(AR166*AR167*AR168+AR172*AR173*AR174)</f>
        <v>476.10167497365313</v>
      </c>
      <c r="AS175" s="883">
        <f>1000000*AS22/(AS166*AS167*AS168+AS172*AS173*AS174)</f>
        <v>480.28918081793421</v>
      </c>
      <c r="AT175" s="718">
        <f>SUM(AP175:AS175)</f>
        <v>1916.9255594213134</v>
      </c>
      <c r="AU175" s="718">
        <f>1000000*AU22/(AU166*AU167*AU168+AU172*AU173*AU174)</f>
        <v>474.54361036854328</v>
      </c>
      <c r="AV175" s="718">
        <f>1000000*AV22/(AV166*AV167*AV168+AV172*AV173*AV174)</f>
        <v>484.32510154930083</v>
      </c>
      <c r="AW175" s="718">
        <f>1000000*AW22/(AW166*AW167*AW168+AW172*AW173*AW174)</f>
        <v>474.56458486896582</v>
      </c>
      <c r="AX175" s="718">
        <f>1000000*AX22/(AX166*AX167*AX168+AX172*AX173*AX174)</f>
        <v>469.17245525579852</v>
      </c>
      <c r="AY175" s="718">
        <f>SUM(AU175:AX175)</f>
        <v>1902.6057520426084</v>
      </c>
      <c r="AZ175" s="717">
        <f>1000000*AZ22/(AZ166*AZ167*AZ168+AZ172*AZ173*AZ174)</f>
        <v>477.40676404698388</v>
      </c>
      <c r="BA175" s="718">
        <f>1000000*BA22/(BA166*BA167*BA168+BA172*BA173*BA174)</f>
        <v>486.30283742482368</v>
      </c>
      <c r="BB175" s="718">
        <f>1000000*BB22/(BB166*BB167*BB168+BB172*BB173*BB174)</f>
        <v>484.11076436911139</v>
      </c>
      <c r="BC175" s="718">
        <f>1000000*BC22/(BC166*BC167*BC168+BC172*BC173*BC174)</f>
        <v>471.88945021633776</v>
      </c>
      <c r="BD175" s="718">
        <f>SUM(AZ175:BC175)</f>
        <v>1919.7098160572566</v>
      </c>
      <c r="BE175" s="717">
        <f>1000000*BE22/(BE166*BE167*BE168+BE172*BE173*BE174)</f>
        <v>490.99877577123351</v>
      </c>
      <c r="BF175" s="718">
        <f>1000000*BF22/(BF166*BF167*BF168+BF172*BF173*BF174)</f>
        <v>496.96476848276285</v>
      </c>
      <c r="BG175" s="718">
        <f>1000000*BG22/(BG166*BG167*BG168+BG172*BG173*BG174)</f>
        <v>495.90519464477029</v>
      </c>
      <c r="BH175" s="883">
        <f>1000000*BH22/(BH166*BH167*BH168+BH172*BH173*BH174)</f>
        <v>493.59290783592087</v>
      </c>
      <c r="BI175" s="718">
        <f>SUM(BE175:BH175)</f>
        <v>1977.4616467346875</v>
      </c>
      <c r="BJ175" s="718">
        <f>1000000*BJ22/(BJ166*BJ167*BJ168+BJ172*BJ173*BJ174)</f>
        <v>483.78170578463187</v>
      </c>
      <c r="BK175" s="718">
        <f>1000000*BK22/(BK166*BK167*BK168+BK172*BK173*BK174)</f>
        <v>490.0660997501833</v>
      </c>
      <c r="BL175" s="718">
        <f>1000000*BL22/(BL166*BL167*BL168+BL172*BL173*BL174)</f>
        <v>489.40856608553088</v>
      </c>
      <c r="BM175" s="883">
        <f>1000000*BM22/(BM166*BM167*BM168+BM172*BM173*BM174)</f>
        <v>488.47704565325699</v>
      </c>
      <c r="BN175" s="718">
        <f>SUM(BJ175:BM175)</f>
        <v>1951.733417273603</v>
      </c>
      <c r="BO175" s="717">
        <f>1000000*BO22/(BO166*BO167*BO168+BO172*BO173*BO174)</f>
        <v>487.29325228282539</v>
      </c>
      <c r="BP175" s="718">
        <f>1000000*BP22/(BP166*BP167*BP168+BP172*BP173*BP174)</f>
        <v>491.64424130429501</v>
      </c>
      <c r="BQ175" s="718">
        <f>1000000*BQ22/(BQ166*BQ167*BQ168+BQ172*BQ173*BQ174)</f>
        <v>495.35180089542951</v>
      </c>
      <c r="BR175" s="718">
        <f>1000000*BR22/(BR166*BR167*BR168+BR172*BR173*BR174)</f>
        <v>493.99476515609132</v>
      </c>
      <c r="BS175" s="718">
        <f>SUM(BO175:BR175)</f>
        <v>1968.2840596386411</v>
      </c>
      <c r="BT175" s="717">
        <f>1000000*BT22/(BT166*BT167*BT168+BT172*BT173*BT174)</f>
        <v>493.20586941417139</v>
      </c>
      <c r="BU175" s="718">
        <f>1000000*BU22/(BU166*BU167*BU168+BU172*BU173*BU174)</f>
        <v>500.74678343684911</v>
      </c>
      <c r="BV175" s="718">
        <f>1000000*BV22/(BV166*BV167*BV168+BV172*BV173*BV174)</f>
        <v>490.20574161750585</v>
      </c>
      <c r="BW175" s="883">
        <f>1000000*BW22/(BW166*BW167*BW168+BW172*BW173*BW174)</f>
        <v>478.36397098055363</v>
      </c>
      <c r="BX175" s="718">
        <f>SUM(BT175:BW175)</f>
        <v>1962.5223654490799</v>
      </c>
      <c r="BY175" s="717">
        <f>1000000*BY22/(BY166*BY167*BY168+BY172*BY173*BY174)</f>
        <v>470.23647180661493</v>
      </c>
      <c r="BZ175" s="718">
        <f>1000000*BZ22/(BZ166*BZ167*BZ168+BZ172*BZ173*BZ174)</f>
        <v>496.9259446959465</v>
      </c>
      <c r="CA175" s="718">
        <f>1000000*CA22/(CA166*CA167*CA168+CA172*CA173*CA174)</f>
        <v>489.96449387817211</v>
      </c>
      <c r="CB175" s="718">
        <f>1000000*CB22/(CB166*CB167*CB168+CB172*CB173*CB174)</f>
        <v>492.91722349242372</v>
      </c>
      <c r="CC175" s="884">
        <f>SUM(BY175:CB175)</f>
        <v>1950.0441338731573</v>
      </c>
      <c r="CD175" s="718">
        <f>1000000*CD22/(CD166*CD167*CD168+CD172*CD173*CD174)</f>
        <v>478.41802406548197</v>
      </c>
      <c r="CE175" s="718">
        <f>1000000*CE22/(CE166*CE167*CE168+CE172*CE173*CE174)</f>
        <v>487.90752475779647</v>
      </c>
      <c r="CF175" s="718">
        <f>1000000*CF22/(CF166*CF167*CF168+CF172*CF173*CF174)</f>
        <v>493.75442738097894</v>
      </c>
      <c r="CG175" s="718">
        <f>1000000*CG22/(CG166*CG167*CG168+CG172*CG173*CG174)</f>
        <v>502.27795380794174</v>
      </c>
      <c r="CH175" s="884">
        <f>SUM(CD175:CG175)</f>
        <v>1962.3579300121992</v>
      </c>
      <c r="CI175" s="718">
        <f>1000000*CI22/(CI166*CI167*CI168+CI172*CI173*CI174)</f>
        <v>494.85844066246898</v>
      </c>
      <c r="CJ175" s="718">
        <f>1000000*CJ22/(CJ166*CJ167*CJ168+CJ172*CJ173*CJ174)</f>
        <v>495.55921440693999</v>
      </c>
      <c r="CK175" s="718"/>
      <c r="CL175" s="718"/>
      <c r="CM175" s="884"/>
      <c r="CN175" s="718"/>
      <c r="CO175" s="718"/>
      <c r="CP175" s="718"/>
      <c r="CQ175" s="718"/>
      <c r="CR175" s="884"/>
      <c r="CS175" s="718"/>
      <c r="CT175" s="874"/>
      <c r="CU175" s="874"/>
      <c r="CV175" s="718"/>
      <c r="CW175" s="884"/>
      <c r="CX175" s="718"/>
      <c r="CY175" s="718"/>
      <c r="CZ175" s="718"/>
      <c r="DA175" s="718"/>
      <c r="DB175" s="884"/>
      <c r="DC175" s="718"/>
      <c r="DD175" s="718"/>
      <c r="DE175" s="718"/>
      <c r="DF175" s="718"/>
      <c r="DG175" s="884"/>
      <c r="DH175" s="718"/>
      <c r="DI175" s="718"/>
      <c r="DJ175" s="718"/>
      <c r="DK175" s="718"/>
      <c r="DL175" s="884"/>
      <c r="DM175" s="718"/>
      <c r="DN175" s="718"/>
      <c r="DO175" s="718"/>
      <c r="DP175" s="718"/>
      <c r="DQ175" s="884"/>
      <c r="DR175" s="717"/>
      <c r="DS175" s="718"/>
      <c r="DT175"/>
      <c r="DU175"/>
      <c r="DV175"/>
      <c r="DW175"/>
      <c r="DX175"/>
      <c r="DY175"/>
    </row>
    <row r="176" spans="2:129" s="716" customFormat="1" hidden="1" outlineLevel="1">
      <c r="B176" s="717"/>
      <c r="C176" s="718"/>
      <c r="D176" s="718"/>
      <c r="E176" s="718"/>
      <c r="F176" s="718"/>
      <c r="G176" s="717"/>
      <c r="H176" s="718"/>
      <c r="I176" s="718"/>
      <c r="J176" s="883"/>
      <c r="K176" s="718"/>
      <c r="L176" s="717"/>
      <c r="M176" s="718"/>
      <c r="N176" s="718"/>
      <c r="O176" s="718"/>
      <c r="P176" s="718"/>
      <c r="Q176" s="717"/>
      <c r="R176" s="718"/>
      <c r="S176" s="718"/>
      <c r="T176" s="883"/>
      <c r="U176" s="718"/>
      <c r="V176" s="718"/>
      <c r="W176" s="718"/>
      <c r="X176" s="718"/>
      <c r="Y176" s="883"/>
      <c r="Z176" s="718"/>
      <c r="AA176" s="718"/>
      <c r="AB176" s="718"/>
      <c r="AC176" s="718"/>
      <c r="AD176" s="718"/>
      <c r="AE176" s="718"/>
      <c r="AF176" s="717"/>
      <c r="AG176" s="718"/>
      <c r="AH176" s="718"/>
      <c r="AI176" s="718"/>
      <c r="AJ176" s="718"/>
      <c r="AK176" s="717"/>
      <c r="AL176" s="718"/>
      <c r="AM176" s="718"/>
      <c r="AN176" s="883"/>
      <c r="AO176" s="718"/>
      <c r="AP176" s="718"/>
      <c r="AQ176" s="718"/>
      <c r="AR176" s="718"/>
      <c r="AS176" s="883"/>
      <c r="AT176" s="718"/>
      <c r="AU176" s="718"/>
      <c r="AV176" s="718"/>
      <c r="AW176" s="718"/>
      <c r="AX176" s="718"/>
      <c r="AY176" s="718"/>
      <c r="AZ176" s="717"/>
      <c r="BA176" s="718"/>
      <c r="BB176" s="718"/>
      <c r="BC176" s="718"/>
      <c r="BD176" s="718"/>
      <c r="BE176" s="717"/>
      <c r="BF176" s="718"/>
      <c r="BG176" s="718"/>
      <c r="BH176" s="883"/>
      <c r="BI176" s="718"/>
      <c r="BJ176" s="718"/>
      <c r="BK176" s="718"/>
      <c r="BL176" s="718"/>
      <c r="BM176" s="883"/>
      <c r="BN176" s="718"/>
      <c r="BO176" s="717"/>
      <c r="BP176" s="718"/>
      <c r="BQ176" s="718"/>
      <c r="BR176" s="718"/>
      <c r="BS176" s="718"/>
      <c r="BT176" s="717"/>
      <c r="BU176" s="718"/>
      <c r="BV176" s="718"/>
      <c r="BW176" s="883"/>
      <c r="BX176" s="718"/>
      <c r="BY176" s="717"/>
      <c r="BZ176" s="718"/>
      <c r="CA176" s="718"/>
      <c r="CB176" s="718"/>
      <c r="CC176" s="884"/>
      <c r="CD176" s="718"/>
      <c r="CE176" s="718"/>
      <c r="CF176" s="718"/>
      <c r="CG176" s="718"/>
      <c r="CH176" s="884"/>
      <c r="CI176" s="718"/>
      <c r="CJ176" s="718"/>
      <c r="CK176" s="718"/>
      <c r="CL176" s="718"/>
      <c r="CM176" s="884"/>
      <c r="CN176" s="718"/>
      <c r="CO176" s="718"/>
      <c r="CP176" s="718"/>
      <c r="CQ176" s="718"/>
      <c r="CR176" s="884"/>
      <c r="CS176" s="718"/>
      <c r="CT176" s="874"/>
      <c r="CU176" s="874"/>
      <c r="CV176" s="718"/>
      <c r="CW176" s="884"/>
      <c r="CX176" s="718"/>
      <c r="CY176" s="718"/>
      <c r="CZ176" s="718"/>
      <c r="DA176" s="718"/>
      <c r="DB176" s="884"/>
      <c r="DC176" s="718"/>
      <c r="DD176" s="718"/>
      <c r="DE176" s="718"/>
      <c r="DF176" s="718"/>
      <c r="DG176" s="884"/>
      <c r="DH176" s="718"/>
      <c r="DI176" s="718"/>
      <c r="DJ176" s="718"/>
      <c r="DK176" s="718"/>
      <c r="DL176" s="884"/>
      <c r="DM176" s="718"/>
      <c r="DN176" s="718"/>
      <c r="DO176" s="718"/>
      <c r="DP176" s="718"/>
      <c r="DQ176" s="884"/>
      <c r="DR176" s="717"/>
      <c r="DS176" s="718"/>
      <c r="DT176"/>
      <c r="DU176"/>
      <c r="DV176"/>
      <c r="DW176"/>
      <c r="DX176"/>
      <c r="DY176"/>
    </row>
    <row r="177" spans="1:129" s="716" customFormat="1" hidden="1" outlineLevel="1">
      <c r="B177" s="717" t="s">
        <v>264</v>
      </c>
      <c r="C177" s="718"/>
      <c r="D177" s="718"/>
      <c r="E177" s="718"/>
      <c r="F177" s="718"/>
      <c r="G177" s="717"/>
      <c r="H177" s="640">
        <f>H165/H$22</f>
        <v>0.59410051654136953</v>
      </c>
      <c r="I177" s="640">
        <f>I165/I$22</f>
        <v>0.59972552607502294</v>
      </c>
      <c r="J177" s="641">
        <f>J165/J$22</f>
        <v>0.57262799520669372</v>
      </c>
      <c r="K177" s="640">
        <f>AVERAGE(G177:J177)</f>
        <v>0.5888180126076954</v>
      </c>
      <c r="L177" s="639">
        <f>L165/L$22</f>
        <v>0.60270983730201499</v>
      </c>
      <c r="M177" s="640">
        <f>M165/M$22</f>
        <v>0.5990844890320568</v>
      </c>
      <c r="N177" s="640">
        <f>N165/N$22</f>
        <v>0.59741909723096931</v>
      </c>
      <c r="O177" s="640">
        <f>O165/O$22</f>
        <v>0.59146348142273619</v>
      </c>
      <c r="P177" s="640">
        <f>AVERAGE(L177:O177)</f>
        <v>0.5976692262469443</v>
      </c>
      <c r="Q177" s="639">
        <f>Q165/Q$22</f>
        <v>0.5943007835474019</v>
      </c>
      <c r="R177" s="640">
        <f>R165/R$22</f>
        <v>0.61431275916779104</v>
      </c>
      <c r="S177" s="640">
        <f>S165/S$22</f>
        <v>0.63289388065324881</v>
      </c>
      <c r="T177" s="641">
        <f>T165/T$22</f>
        <v>0.63059484264237531</v>
      </c>
      <c r="U177" s="640">
        <f>AVERAGE(Q177:T177)</f>
        <v>0.61802556650270424</v>
      </c>
      <c r="V177" s="640">
        <f>V165/V$22</f>
        <v>0.62753036437246956</v>
      </c>
      <c r="W177" s="640">
        <f>W165/W$22</f>
        <v>0.63088731247819507</v>
      </c>
      <c r="X177" s="640">
        <f>X165/X$22</f>
        <v>0.64469914040114618</v>
      </c>
      <c r="Y177" s="641">
        <f>Y165/Y$22</f>
        <v>0.64891222805701432</v>
      </c>
      <c r="Z177" s="640">
        <f>AVERAGE(V177:Y177)</f>
        <v>0.63800726132720631</v>
      </c>
      <c r="AA177" s="640">
        <f>AA165/AA$22</f>
        <v>0.63927611689620423</v>
      </c>
      <c r="AB177" s="640">
        <f>AB165/AB$22</f>
        <v>0.62243502051983579</v>
      </c>
      <c r="AC177" s="640">
        <f>AC165/AC$22</f>
        <v>0.65506287916265271</v>
      </c>
      <c r="AD177" s="640">
        <f>AD165/AD$22</f>
        <v>0.66153036055760339</v>
      </c>
      <c r="AE177" s="640">
        <f>AVERAGE(AA177:AD177)</f>
        <v>0.64457609428407403</v>
      </c>
      <c r="AF177" s="639">
        <f>AF165/AF$22</f>
        <v>0.66391597899474863</v>
      </c>
      <c r="AG177" s="640">
        <f>AG165/AG$22</f>
        <v>0.59962156010475665</v>
      </c>
      <c r="AH177" s="640">
        <f>AH165/AH$22</f>
        <v>0.62053241350758981</v>
      </c>
      <c r="AI177" s="640">
        <f>AI165/AI$22</f>
        <v>0.6649124169806192</v>
      </c>
      <c r="AJ177" s="640">
        <f>AVERAGE(AF177:AI177)</f>
        <v>0.63724559239692857</v>
      </c>
      <c r="AK177" s="639">
        <f>AK165/AK$22</f>
        <v>0.65706120504882126</v>
      </c>
      <c r="AL177" s="640">
        <f>AL165/AL$22</f>
        <v>0.62331883083089856</v>
      </c>
      <c r="AM177" s="640">
        <f>AM165/AM$22</f>
        <v>0.60439293061116151</v>
      </c>
      <c r="AN177" s="641">
        <f>AN165/AN$22</f>
        <v>0.61388388621553602</v>
      </c>
      <c r="AO177" s="640">
        <f>AVERAGE(AK177:AN177)</f>
        <v>0.62466421317660425</v>
      </c>
      <c r="AP177" s="640">
        <f>AP165/AP$22</f>
        <v>0.61178653850729214</v>
      </c>
      <c r="AQ177" s="640">
        <f>AQ165/AQ$22</f>
        <v>0.62297940841102684</v>
      </c>
      <c r="AR177" s="640">
        <f>AR165/AR$22</f>
        <v>0.62295120563479744</v>
      </c>
      <c r="AS177" s="641">
        <f>AS165/AS$22</f>
        <v>0.610576188292832</v>
      </c>
      <c r="AT177" s="640">
        <f>AVERAGE(AP177:AS177)</f>
        <v>0.61707333521148711</v>
      </c>
      <c r="AU177" s="640">
        <f>AU165/AU$22</f>
        <v>0.59814658803706833</v>
      </c>
      <c r="AV177" s="640">
        <f>AV165/AV$22</f>
        <v>0.58619217081850528</v>
      </c>
      <c r="AW177" s="640">
        <f>AW165/AW$22</f>
        <v>0.58954519720702014</v>
      </c>
      <c r="AX177" s="640">
        <f>AX165/AX$22</f>
        <v>0.58736482640865106</v>
      </c>
      <c r="AY177" s="640">
        <f>AVERAGE(AU177:AX177)</f>
        <v>0.59031219561781123</v>
      </c>
      <c r="AZ177" s="639">
        <f>AZ165/AZ$22</f>
        <v>0.58921879504179875</v>
      </c>
      <c r="BA177" s="640">
        <f>BA165/BA$22</f>
        <v>0.57956140109512144</v>
      </c>
      <c r="BB177" s="640">
        <f>BB165/BB$22</f>
        <v>0.57177020187976213</v>
      </c>
      <c r="BC177" s="640">
        <f>BC165/BC$22</f>
        <v>0.5847457627118644</v>
      </c>
      <c r="BD177" s="640">
        <f>AVERAGE(AZ177:BC177)</f>
        <v>0.58132404018213668</v>
      </c>
      <c r="BE177" s="639">
        <f>BE165/BE$22</f>
        <v>0.57703451430895136</v>
      </c>
      <c r="BF177" s="640">
        <f>BF165/BF$22</f>
        <v>0.57086484708977292</v>
      </c>
      <c r="BG177" s="640">
        <f>BG165/BG$22</f>
        <v>0.56622349140957828</v>
      </c>
      <c r="BH177" s="641">
        <f>BH165/BH$22</f>
        <v>0.55704150697219268</v>
      </c>
      <c r="BI177" s="640">
        <f>AVERAGE(BE177:BH177)</f>
        <v>0.56779108994512384</v>
      </c>
      <c r="BJ177" s="640">
        <f>BJ165/BJ$22</f>
        <v>0.555444138046294</v>
      </c>
      <c r="BK177" s="640">
        <f>BK165/BK$22</f>
        <v>0.55045339737484988</v>
      </c>
      <c r="BL177" s="640">
        <f>BL165/BL$22</f>
        <v>0.53802358941438388</v>
      </c>
      <c r="BM177" s="641">
        <f>BM165/BM$22</f>
        <v>0.5427870996890265</v>
      </c>
      <c r="BN177" s="640">
        <f>AVERAGE(BJ177:BM177)</f>
        <v>0.54667705613113859</v>
      </c>
      <c r="BO177" s="639">
        <f>BO165/BO$22</f>
        <v>0.53793915327646336</v>
      </c>
      <c r="BP177" s="640">
        <f>BP165/BP$22</f>
        <v>0.54470764617691148</v>
      </c>
      <c r="BQ177" s="640">
        <f>BQ165/BQ$22</f>
        <v>0.55484610715168958</v>
      </c>
      <c r="BR177" s="640">
        <f>BR165/BR$22</f>
        <v>0.55380626041859604</v>
      </c>
      <c r="BS177" s="640">
        <f>AVERAGE(BO177:BR177)</f>
        <v>0.54782479175591514</v>
      </c>
      <c r="BT177" s="639">
        <f>BT165/BT$22</f>
        <v>0.5456484424989082</v>
      </c>
      <c r="BU177" s="640">
        <f>BU165/BU$22</f>
        <v>0.54252080373452405</v>
      </c>
      <c r="BV177" s="640">
        <f>BV165/BV$22</f>
        <v>0.54431726245767542</v>
      </c>
      <c r="BW177" s="641">
        <f>BW165/BW$22</f>
        <v>0.55149748774230745</v>
      </c>
      <c r="BX177" s="640">
        <f>AVERAGE(BT177:BW177)</f>
        <v>0.54599599910835372</v>
      </c>
      <c r="BY177" s="639">
        <f>BY165/BY$22</f>
        <v>0.56711790599706535</v>
      </c>
      <c r="BZ177" s="640">
        <f>BZ165/BZ$22</f>
        <v>0.53516611487815668</v>
      </c>
      <c r="CA177" s="640">
        <f>CA165/CA$22</f>
        <v>0.54315669633682928</v>
      </c>
      <c r="CB177" s="640">
        <f>CB165/CB$22</f>
        <v>0.5503401017720253</v>
      </c>
      <c r="CC177" s="875">
        <f>AVERAGE(BY177:CB177)</f>
        <v>0.54894520474601916</v>
      </c>
      <c r="CD177" s="640">
        <f>CD165/CD$22</f>
        <v>0.53395286049953605</v>
      </c>
      <c r="CE177" s="640">
        <f>CE165/CE$22</f>
        <v>0.52573450612500627</v>
      </c>
      <c r="CF177" s="640">
        <f>CF165/CF$22</f>
        <v>0.51118100651362153</v>
      </c>
      <c r="CG177" s="640">
        <f>CG165/CG$22</f>
        <v>0.51649597981250717</v>
      </c>
      <c r="CH177" s="875">
        <f>AVERAGE(CD177:CG177)</f>
        <v>0.52184108823766773</v>
      </c>
      <c r="CI177" s="640">
        <f>CI165/CI$22</f>
        <v>0.50713169435767846</v>
      </c>
      <c r="CJ177" s="640">
        <f>CJ165/CJ$22</f>
        <v>0.51649597981250694</v>
      </c>
      <c r="CK177" s="640"/>
      <c r="CL177" s="640"/>
      <c r="CM177" s="884"/>
      <c r="CN177" s="640"/>
      <c r="CO177" s="640"/>
      <c r="CP177" s="640"/>
      <c r="CQ177" s="640"/>
      <c r="CR177" s="884"/>
      <c r="CS177" s="640"/>
      <c r="CT177" s="640"/>
      <c r="CU177" s="640"/>
      <c r="CV177" s="640"/>
      <c r="CW177" s="884"/>
      <c r="CX177" s="640"/>
      <c r="CY177" s="640"/>
      <c r="CZ177" s="640"/>
      <c r="DA177" s="640"/>
      <c r="DB177" s="884"/>
      <c r="DC177" s="640"/>
      <c r="DD177" s="640"/>
      <c r="DE177" s="640"/>
      <c r="DF177" s="640"/>
      <c r="DG177" s="884"/>
      <c r="DH177" s="640"/>
      <c r="DI177" s="640"/>
      <c r="DJ177" s="640"/>
      <c r="DK177" s="640"/>
      <c r="DL177" s="884"/>
      <c r="DM177" s="640"/>
      <c r="DN177" s="640"/>
      <c r="DO177" s="640"/>
      <c r="DP177" s="640"/>
      <c r="DQ177" s="884"/>
      <c r="DR177" s="717"/>
      <c r="DS177" s="718"/>
      <c r="DT177"/>
      <c r="DU177"/>
      <c r="DV177"/>
      <c r="DW177"/>
      <c r="DX177"/>
      <c r="DY177"/>
    </row>
    <row r="178" spans="1:129" s="716" customFormat="1" hidden="1" outlineLevel="1">
      <c r="B178" s="717" t="s">
        <v>265</v>
      </c>
      <c r="C178" s="718"/>
      <c r="D178" s="718"/>
      <c r="E178" s="718"/>
      <c r="F178" s="718"/>
      <c r="G178" s="717"/>
      <c r="H178" s="640">
        <f>H171/H$22</f>
        <v>0.40589948345863069</v>
      </c>
      <c r="I178" s="640">
        <f>I171/I$22</f>
        <v>0.40027447392497711</v>
      </c>
      <c r="J178" s="641">
        <f>J171/J$22</f>
        <v>0.42737200479330628</v>
      </c>
      <c r="K178" s="640">
        <f>AVERAGE(G178:J178)</f>
        <v>0.41118198739230466</v>
      </c>
      <c r="L178" s="639">
        <f>L171/L$22</f>
        <v>0.39729016269798512</v>
      </c>
      <c r="M178" s="640">
        <f>M171/M$22</f>
        <v>0.40091551096794315</v>
      </c>
      <c r="N178" s="640">
        <f>N171/N$22</f>
        <v>0.40258090276903075</v>
      </c>
      <c r="O178" s="640">
        <f>O171/O$22</f>
        <v>0.40853651857726392</v>
      </c>
      <c r="P178" s="640">
        <f>AVERAGE(L178:O178)</f>
        <v>0.4023307737530557</v>
      </c>
      <c r="Q178" s="639">
        <f>Q171/Q$22</f>
        <v>0.40569921645259821</v>
      </c>
      <c r="R178" s="640">
        <f>R171/R$22</f>
        <v>0.38568724083220907</v>
      </c>
      <c r="S178" s="640">
        <f>S171/S$22</f>
        <v>0.36710611934675114</v>
      </c>
      <c r="T178" s="641">
        <f>T171/T$22</f>
        <v>0.36940515735762475</v>
      </c>
      <c r="U178" s="640">
        <f>AVERAGE(Q178:T178)</f>
        <v>0.38197443349729576</v>
      </c>
      <c r="V178" s="640">
        <f>V171/V$22</f>
        <v>0.37246963562753033</v>
      </c>
      <c r="W178" s="640">
        <f>W171/W$22</f>
        <v>0.36911268752180487</v>
      </c>
      <c r="X178" s="640">
        <f>X171/X$22</f>
        <v>0.35530085959885377</v>
      </c>
      <c r="Y178" s="641">
        <f>Y171/Y$22</f>
        <v>0.35108777194298574</v>
      </c>
      <c r="Z178" s="640">
        <f>AVERAGE(V178:Y178)</f>
        <v>0.36199273867279369</v>
      </c>
      <c r="AA178" s="640">
        <f>AA171/AA$22</f>
        <v>0.36072388310379577</v>
      </c>
      <c r="AB178" s="640">
        <f>AB171/AB$22</f>
        <v>0.3775649794801641</v>
      </c>
      <c r="AC178" s="640">
        <f>AC171/AC$22</f>
        <v>0.3449371208373474</v>
      </c>
      <c r="AD178" s="640">
        <f>AD171/AD$22</f>
        <v>0.33846963944239666</v>
      </c>
      <c r="AE178" s="640">
        <f>AVERAGE(AA178:AD178)</f>
        <v>0.35542390571592597</v>
      </c>
      <c r="AF178" s="639">
        <f>AF171/AF$22</f>
        <v>0.33608402100525125</v>
      </c>
      <c r="AG178" s="640">
        <f>AG171/AG$22</f>
        <v>0.40037843989524352</v>
      </c>
      <c r="AH178" s="640">
        <f>AH171/AH$22</f>
        <v>0.37946758649241003</v>
      </c>
      <c r="AI178" s="640">
        <f>AI171/AI$22</f>
        <v>0.33508758301938085</v>
      </c>
      <c r="AJ178" s="640">
        <f>AVERAGE(AF178:AI178)</f>
        <v>0.36275440760307143</v>
      </c>
      <c r="AK178" s="639">
        <f>AK171/AK$22</f>
        <v>0.34293879495117885</v>
      </c>
      <c r="AL178" s="640">
        <f>AL171/AL$22</f>
        <v>0.37668116916910149</v>
      </c>
      <c r="AM178" s="640">
        <f>AM171/AM$22</f>
        <v>0.39560706938883844</v>
      </c>
      <c r="AN178" s="641">
        <f>AN171/AN$22</f>
        <v>0.38611611378446392</v>
      </c>
      <c r="AO178" s="640">
        <f>AVERAGE(AK178:AN178)</f>
        <v>0.37533578682339569</v>
      </c>
      <c r="AP178" s="640">
        <f>AP171/AP$22</f>
        <v>0.38821346149270775</v>
      </c>
      <c r="AQ178" s="640">
        <f>AQ171/AQ$22</f>
        <v>0.37702059158897311</v>
      </c>
      <c r="AR178" s="640">
        <f>AR171/AR$22</f>
        <v>0.37704879436520233</v>
      </c>
      <c r="AS178" s="641">
        <f>AS171/AS$22</f>
        <v>0.38942381170716794</v>
      </c>
      <c r="AT178" s="640">
        <f>AVERAGE(AP178:AS178)</f>
        <v>0.38292666478851278</v>
      </c>
      <c r="AU178" s="640">
        <f>AU171/AU$22</f>
        <v>0.40185341196293184</v>
      </c>
      <c r="AV178" s="640">
        <f>AV171/AV$22</f>
        <v>0.41380782918149461</v>
      </c>
      <c r="AW178" s="640">
        <f>AW171/AW$22</f>
        <v>0.4104548027929798</v>
      </c>
      <c r="AX178" s="640">
        <f>AX171/AX$22</f>
        <v>0.41263517359134883</v>
      </c>
      <c r="AY178" s="640">
        <f>AVERAGE(AU178:AX178)</f>
        <v>0.40968780438218877</v>
      </c>
      <c r="AZ178" s="639">
        <f>AZ171/AZ$22</f>
        <v>0.41078120495820125</v>
      </c>
      <c r="BA178" s="640">
        <f>BA171/BA$22</f>
        <v>0.42043859890487861</v>
      </c>
      <c r="BB178" s="640">
        <f>BB171/BB$22</f>
        <v>0.42822979812023804</v>
      </c>
      <c r="BC178" s="640">
        <f>BC171/BC$22</f>
        <v>0.4152542372881356</v>
      </c>
      <c r="BD178" s="640">
        <f>AVERAGE(AZ178:BC178)</f>
        <v>0.41867595981786337</v>
      </c>
      <c r="BE178" s="639">
        <f>BE171/BE$22</f>
        <v>0.42296548569104864</v>
      </c>
      <c r="BF178" s="640">
        <f>BF171/BF$22</f>
        <v>0.42913515291022697</v>
      </c>
      <c r="BG178" s="640">
        <f>BG171/BG$22</f>
        <v>0.43377650859042177</v>
      </c>
      <c r="BH178" s="641">
        <f>BH171/BH$22</f>
        <v>0.44295849302780721</v>
      </c>
      <c r="BI178" s="640">
        <f>AVERAGE(BE178:BH178)</f>
        <v>0.43220891005487616</v>
      </c>
      <c r="BJ178" s="640">
        <f>BJ171/BJ$22</f>
        <v>0.44455586195370606</v>
      </c>
      <c r="BK178" s="640">
        <f>BK171/BK$22</f>
        <v>0.44954660262515012</v>
      </c>
      <c r="BL178" s="640">
        <f>BL171/BL$22</f>
        <v>0.46197641058561595</v>
      </c>
      <c r="BM178" s="641">
        <f>BM171/BM$22</f>
        <v>0.45721290031097356</v>
      </c>
      <c r="BN178" s="640">
        <f>AVERAGE(BJ178:BM178)</f>
        <v>0.45332294386886141</v>
      </c>
      <c r="BO178" s="639">
        <f>BO171/BO$22</f>
        <v>0.46206084672353664</v>
      </c>
      <c r="BP178" s="640">
        <f>BP171/BP$22</f>
        <v>0.45529235382308847</v>
      </c>
      <c r="BQ178" s="640">
        <f>BQ171/BQ$22</f>
        <v>0.44515389284831036</v>
      </c>
      <c r="BR178" s="640">
        <f>BR171/BR$22</f>
        <v>0.44619373958140396</v>
      </c>
      <c r="BS178" s="640">
        <f>AVERAGE(BO178:BR178)</f>
        <v>0.45217520824408486</v>
      </c>
      <c r="BT178" s="639">
        <f>BT171/BT$22</f>
        <v>0.4543515575010918</v>
      </c>
      <c r="BU178" s="640">
        <f>BU171/BU$22</f>
        <v>0.4574791962654759</v>
      </c>
      <c r="BV178" s="640">
        <f>BV171/BV$22</f>
        <v>0.45568273754232463</v>
      </c>
      <c r="BW178" s="641">
        <f>BW171/BW$22</f>
        <v>0.44850251225769228</v>
      </c>
      <c r="BX178" s="640">
        <f>AVERAGE(BT178:BW178)</f>
        <v>0.45400400089164616</v>
      </c>
      <c r="BY178" s="639">
        <f>BY171/BY$22</f>
        <v>0.43288209400293459</v>
      </c>
      <c r="BZ178" s="640">
        <f>BZ171/BZ$22</f>
        <v>0.46483388512184326</v>
      </c>
      <c r="CA178" s="640">
        <f>CA171/CA$22</f>
        <v>0.45684330366317061</v>
      </c>
      <c r="CB178" s="640">
        <f>CB171/CB$22</f>
        <v>0.44965989822797481</v>
      </c>
      <c r="CC178" s="875">
        <f>AVERAGE(BY178:CB178)</f>
        <v>0.45105479525398084</v>
      </c>
      <c r="CD178" s="640">
        <f>CD171/CD$22</f>
        <v>0.46604713950046389</v>
      </c>
      <c r="CE178" s="640">
        <f>CE171/CE$22</f>
        <v>0.47426549387499389</v>
      </c>
      <c r="CF178" s="640">
        <f>CF171/CF$22</f>
        <v>0.48881899348637853</v>
      </c>
      <c r="CG178" s="640">
        <f>CG171/CG$22</f>
        <v>0.483504020187493</v>
      </c>
      <c r="CH178" s="875">
        <f>AVERAGE(CD178:CG178)</f>
        <v>0.47815891176233233</v>
      </c>
      <c r="CI178" s="640">
        <f>CI171/CI$22</f>
        <v>0.49286830564232142</v>
      </c>
      <c r="CJ178" s="640">
        <f>CJ171/CJ$22</f>
        <v>0.48350402018749294</v>
      </c>
      <c r="CK178" s="640"/>
      <c r="CL178" s="640"/>
      <c r="CM178" s="884"/>
      <c r="CN178" s="640"/>
      <c r="CO178" s="640"/>
      <c r="CP178" s="640"/>
      <c r="CQ178" s="640"/>
      <c r="CR178" s="884"/>
      <c r="CS178" s="640"/>
      <c r="CT178" s="640"/>
      <c r="CU178" s="640"/>
      <c r="CV178" s="640"/>
      <c r="CW178" s="884"/>
      <c r="CX178" s="640"/>
      <c r="CY178" s="640"/>
      <c r="CZ178" s="640"/>
      <c r="DA178" s="640"/>
      <c r="DB178" s="884"/>
      <c r="DC178" s="640"/>
      <c r="DD178" s="640"/>
      <c r="DE178" s="640"/>
      <c r="DF178" s="640"/>
      <c r="DG178" s="884"/>
      <c r="DH178" s="640"/>
      <c r="DI178" s="640"/>
      <c r="DJ178" s="640"/>
      <c r="DK178" s="640"/>
      <c r="DL178" s="884"/>
      <c r="DM178" s="640"/>
      <c r="DN178" s="640"/>
      <c r="DO178" s="640"/>
      <c r="DP178" s="640"/>
      <c r="DQ178" s="884"/>
      <c r="DR178" s="717"/>
      <c r="DS178" s="718"/>
      <c r="DT178"/>
      <c r="DU178"/>
      <c r="DV178"/>
      <c r="DW178"/>
      <c r="DX178"/>
      <c r="DY178"/>
    </row>
    <row r="179" spans="1:129" s="716" customFormat="1" hidden="1" outlineLevel="1">
      <c r="B179" s="717"/>
      <c r="C179" s="718"/>
      <c r="D179" s="718"/>
      <c r="E179" s="718"/>
      <c r="F179" s="718"/>
      <c r="G179" s="717"/>
      <c r="H179" s="718"/>
      <c r="I179" s="718"/>
      <c r="J179" s="883"/>
      <c r="K179" s="717"/>
      <c r="L179" s="717"/>
      <c r="M179" s="718"/>
      <c r="N179" s="718"/>
      <c r="O179" s="718"/>
      <c r="P179" s="718"/>
      <c r="Q179" s="717"/>
      <c r="R179" s="718"/>
      <c r="S179" s="718"/>
      <c r="T179" s="883"/>
      <c r="U179" s="718"/>
      <c r="V179" s="718"/>
      <c r="W179" s="718"/>
      <c r="X179" s="718"/>
      <c r="Y179" s="883"/>
      <c r="Z179" s="718"/>
      <c r="AA179" s="718"/>
      <c r="AB179" s="718"/>
      <c r="AC179" s="718"/>
      <c r="AD179" s="718"/>
      <c r="AE179" s="718"/>
      <c r="AF179" s="717"/>
      <c r="AG179" s="718"/>
      <c r="AH179" s="718"/>
      <c r="AI179" s="718"/>
      <c r="AJ179" s="718"/>
      <c r="AK179" s="717"/>
      <c r="AL179" s="718"/>
      <c r="AM179" s="718"/>
      <c r="AN179" s="883"/>
      <c r="AO179" s="718"/>
      <c r="AP179" s="718"/>
      <c r="AQ179" s="718"/>
      <c r="AR179" s="718"/>
      <c r="AS179" s="883"/>
      <c r="AT179" s="718"/>
      <c r="AU179" s="718"/>
      <c r="AV179" s="718"/>
      <c r="AW179" s="718"/>
      <c r="AX179" s="718"/>
      <c r="AY179" s="718"/>
      <c r="AZ179" s="717"/>
      <c r="BA179" s="718"/>
      <c r="BB179" s="718"/>
      <c r="BC179" s="718"/>
      <c r="BD179" s="718"/>
      <c r="BE179" s="717"/>
      <c r="BF179" s="718"/>
      <c r="BG179" s="718"/>
      <c r="BH179" s="883"/>
      <c r="BI179" s="718"/>
      <c r="BJ179" s="718"/>
      <c r="BK179" s="718"/>
      <c r="BL179" s="718"/>
      <c r="BM179" s="883"/>
      <c r="BN179" s="718"/>
      <c r="BO179" s="717"/>
      <c r="BP179" s="718"/>
      <c r="BQ179" s="718"/>
      <c r="BR179" s="718"/>
      <c r="BS179" s="718"/>
      <c r="BT179" s="717"/>
      <c r="BU179" s="718"/>
      <c r="BV179" s="718"/>
      <c r="BW179" s="883"/>
      <c r="BX179" s="718"/>
      <c r="BY179" s="717"/>
      <c r="BZ179" s="718"/>
      <c r="CA179" s="718"/>
      <c r="CB179" s="718"/>
      <c r="CC179" s="884"/>
      <c r="CD179" s="718"/>
      <c r="CE179" s="718"/>
      <c r="CF179" s="718"/>
      <c r="CG179" s="718"/>
      <c r="CH179" s="884"/>
      <c r="CI179" s="718"/>
      <c r="CJ179" s="640">
        <f>+CJ167*CJ162+CJ163*CJ180</f>
        <v>0.83131999999999995</v>
      </c>
      <c r="CK179" s="640">
        <f>+CK167*CK162+CK163*CK180</f>
        <v>0.81583000000000006</v>
      </c>
      <c r="CL179" s="640">
        <f>+CL167*CL162+CL163*CL180</f>
        <v>0.7984</v>
      </c>
      <c r="CM179" s="884"/>
      <c r="CN179" s="718"/>
      <c r="CO179" s="640"/>
      <c r="CP179" s="640"/>
      <c r="CQ179" s="640"/>
      <c r="CR179" s="884"/>
      <c r="CS179" s="718"/>
      <c r="CT179" s="718"/>
      <c r="CU179" s="718"/>
      <c r="CV179" s="718"/>
      <c r="CW179" s="884"/>
      <c r="CX179" s="718"/>
      <c r="CY179" s="718"/>
      <c r="CZ179" s="718"/>
      <c r="DA179" s="718"/>
      <c r="DB179" s="884"/>
      <c r="DC179" s="718"/>
      <c r="DD179" s="718"/>
      <c r="DE179" s="718"/>
      <c r="DF179" s="718"/>
      <c r="DG179" s="884"/>
      <c r="DH179" s="718"/>
      <c r="DI179" s="718"/>
      <c r="DJ179" s="718"/>
      <c r="DK179" s="718"/>
      <c r="DL179" s="884"/>
      <c r="DM179" s="718"/>
      <c r="DN179" s="718"/>
      <c r="DO179" s="718"/>
      <c r="DP179" s="718"/>
      <c r="DQ179" s="884"/>
      <c r="DR179" s="717"/>
      <c r="DS179" s="718"/>
      <c r="DT179"/>
      <c r="DU179"/>
      <c r="DV179"/>
      <c r="DW179"/>
      <c r="DX179"/>
      <c r="DY179"/>
    </row>
    <row r="180" spans="1:129" s="716" customFormat="1" hidden="1" outlineLevel="1">
      <c r="B180" s="717" t="s">
        <v>202</v>
      </c>
      <c r="C180" s="718"/>
      <c r="D180" s="718"/>
      <c r="E180" s="718"/>
      <c r="F180" s="718"/>
      <c r="G180" s="717"/>
      <c r="H180" s="718"/>
      <c r="I180" s="718"/>
      <c r="J180" s="883"/>
      <c r="K180" s="717"/>
      <c r="L180" s="717"/>
      <c r="M180" s="718"/>
      <c r="N180" s="718"/>
      <c r="O180" s="718"/>
      <c r="P180" s="640"/>
      <c r="Q180" s="717"/>
      <c r="R180" s="718"/>
      <c r="S180" s="718"/>
      <c r="T180" s="883"/>
      <c r="U180" s="640"/>
      <c r="V180" s="718"/>
      <c r="W180" s="718"/>
      <c r="X180" s="718"/>
      <c r="Y180" s="883"/>
      <c r="Z180" s="640"/>
      <c r="AA180" s="718"/>
      <c r="AB180" s="718"/>
      <c r="AC180" s="718"/>
      <c r="AD180" s="718"/>
      <c r="AE180" s="640"/>
      <c r="AF180" s="717"/>
      <c r="AG180" s="718"/>
      <c r="AH180" s="718"/>
      <c r="AI180" s="718"/>
      <c r="AJ180" s="640"/>
      <c r="AK180" s="717"/>
      <c r="AL180" s="718"/>
      <c r="AM180" s="718"/>
      <c r="AN180" s="883"/>
      <c r="AO180" s="640"/>
      <c r="AP180" s="718"/>
      <c r="AQ180" s="718"/>
      <c r="AR180" s="718"/>
      <c r="AS180" s="883"/>
      <c r="AT180" s="640"/>
      <c r="AU180" s="643">
        <v>0.69</v>
      </c>
      <c r="AV180" s="643">
        <v>0.69</v>
      </c>
      <c r="AW180" s="643">
        <v>0.73</v>
      </c>
      <c r="AX180" s="643">
        <v>0.75</v>
      </c>
      <c r="AY180" s="640">
        <f>AVERAGE(AU180:AX180)</f>
        <v>0.71499999999999997</v>
      </c>
      <c r="AZ180" s="642">
        <v>0.69</v>
      </c>
      <c r="BA180" s="643">
        <v>0.68</v>
      </c>
      <c r="BB180" s="643">
        <v>0.68</v>
      </c>
      <c r="BC180" s="643">
        <v>0.68</v>
      </c>
      <c r="BD180" s="640">
        <f>AVERAGE(AZ180:BC180)</f>
        <v>0.68250000000000011</v>
      </c>
      <c r="BE180" s="642">
        <v>0.7</v>
      </c>
      <c r="BF180" s="643">
        <v>0.7</v>
      </c>
      <c r="BG180" s="643">
        <v>0.7</v>
      </c>
      <c r="BH180" s="644">
        <v>0.7</v>
      </c>
      <c r="BI180" s="640">
        <f>AVERAGE(BE180:BH180)</f>
        <v>0.7</v>
      </c>
      <c r="BJ180" s="643">
        <v>0.68</v>
      </c>
      <c r="BK180" s="643">
        <v>0.7</v>
      </c>
      <c r="BL180" s="643">
        <v>0.78</v>
      </c>
      <c r="BM180" s="644">
        <v>0.77</v>
      </c>
      <c r="BN180" s="640">
        <f>AVERAGE(BJ180:BM180)</f>
        <v>0.73250000000000004</v>
      </c>
      <c r="BO180" s="642">
        <v>0.76</v>
      </c>
      <c r="BP180" s="643">
        <v>0.82</v>
      </c>
      <c r="BQ180" s="643">
        <v>0.83</v>
      </c>
      <c r="BR180" s="643">
        <v>0.82</v>
      </c>
      <c r="BS180" s="640">
        <f>AVERAGE(BO180:BR180)</f>
        <v>0.8075</v>
      </c>
      <c r="BT180" s="642">
        <v>0.8</v>
      </c>
      <c r="BU180" s="643">
        <v>0.8</v>
      </c>
      <c r="BV180" s="643">
        <v>0.81</v>
      </c>
      <c r="BW180" s="643">
        <v>0.8</v>
      </c>
      <c r="BX180" s="640">
        <f>AVERAGE(BT180:BW180)</f>
        <v>0.80249999999999999</v>
      </c>
      <c r="BY180" s="642">
        <v>0.78</v>
      </c>
      <c r="BZ180" s="643">
        <v>0.78</v>
      </c>
      <c r="CA180" s="643">
        <v>0.77</v>
      </c>
      <c r="CB180" s="643">
        <v>0.74</v>
      </c>
      <c r="CC180" s="875">
        <f>AVERAGE(BY180:CB180)</f>
        <v>0.76750000000000007</v>
      </c>
      <c r="CD180" s="643">
        <v>0.71</v>
      </c>
      <c r="CE180" s="643">
        <v>0.75</v>
      </c>
      <c r="CF180" s="643">
        <v>0.81</v>
      </c>
      <c r="CG180" s="643">
        <v>0.8</v>
      </c>
      <c r="CH180" s="875">
        <f>AVERAGE(CD180:CG180)</f>
        <v>0.76750000000000007</v>
      </c>
      <c r="CI180" s="643">
        <v>0.83</v>
      </c>
      <c r="CJ180" s="643">
        <v>0.82</v>
      </c>
      <c r="CK180" s="643">
        <v>0.8</v>
      </c>
      <c r="CL180" s="643">
        <v>0.76</v>
      </c>
      <c r="CM180" s="875">
        <f>AVERAGE(CI180:CL180)</f>
        <v>0.80249999999999999</v>
      </c>
      <c r="CN180" s="643">
        <v>0.76</v>
      </c>
      <c r="CO180" s="643">
        <v>0.78</v>
      </c>
      <c r="CP180" s="643">
        <v>0.81</v>
      </c>
      <c r="CQ180" s="643">
        <v>0.81</v>
      </c>
      <c r="CR180" s="875">
        <f>AVERAGE(CN180:CQ180)</f>
        <v>0.79</v>
      </c>
      <c r="CS180" s="643">
        <v>0.81</v>
      </c>
      <c r="CT180" s="643">
        <v>0.79</v>
      </c>
      <c r="CU180" s="643">
        <v>0.79</v>
      </c>
      <c r="CV180" s="643">
        <v>0.79</v>
      </c>
      <c r="CW180" s="875">
        <f>AVERAGE(CS180:CV180)</f>
        <v>0.79500000000000004</v>
      </c>
      <c r="CX180" s="643">
        <v>0.79</v>
      </c>
      <c r="CY180" s="643">
        <v>0.8</v>
      </c>
      <c r="CZ180" s="967"/>
      <c r="DA180" s="1058">
        <v>0.8</v>
      </c>
      <c r="DB180" s="1124"/>
      <c r="DC180" s="967"/>
      <c r="DD180" s="967"/>
      <c r="DE180" s="967"/>
      <c r="DF180" s="967"/>
      <c r="DG180" s="1124"/>
      <c r="DH180" s="967"/>
      <c r="DI180" s="967"/>
      <c r="DJ180" s="967"/>
      <c r="DK180" s="967"/>
      <c r="DL180" s="1124"/>
      <c r="DM180" s="967"/>
      <c r="DN180" s="967"/>
      <c r="DO180" s="967"/>
      <c r="DP180" s="967"/>
      <c r="DQ180" s="1124"/>
      <c r="DR180" s="717"/>
      <c r="DS180" s="718"/>
      <c r="DT180"/>
      <c r="DU180"/>
      <c r="DV180"/>
      <c r="DW180"/>
      <c r="DX180"/>
      <c r="DY180"/>
    </row>
    <row r="181" spans="1:129" s="365" customFormat="1" hidden="1" outlineLevel="1">
      <c r="A181" s="716"/>
      <c r="B181" s="717"/>
      <c r="C181" s="718"/>
      <c r="D181" s="718"/>
      <c r="E181" s="718"/>
      <c r="F181" s="718"/>
      <c r="G181" s="366"/>
      <c r="H181" s="367"/>
      <c r="I181" s="367"/>
      <c r="J181" s="368"/>
      <c r="K181" s="366"/>
      <c r="L181" s="366"/>
      <c r="M181" s="367"/>
      <c r="N181" s="367"/>
      <c r="O181" s="367"/>
      <c r="P181" s="367"/>
      <c r="Q181" s="366"/>
      <c r="R181" s="367"/>
      <c r="S181" s="367"/>
      <c r="T181" s="368"/>
      <c r="U181" s="367"/>
      <c r="V181" s="367"/>
      <c r="W181" s="367"/>
      <c r="X181" s="367"/>
      <c r="Y181" s="368"/>
      <c r="Z181" s="367"/>
      <c r="AA181" s="367"/>
      <c r="AB181" s="367"/>
      <c r="AC181" s="367"/>
      <c r="AD181" s="367"/>
      <c r="AE181" s="367"/>
      <c r="AF181" s="366"/>
      <c r="AG181" s="367"/>
      <c r="AH181" s="367"/>
      <c r="AI181" s="367"/>
      <c r="AJ181" s="367"/>
      <c r="AK181" s="366"/>
      <c r="AL181" s="367"/>
      <c r="AM181" s="367"/>
      <c r="AN181" s="368"/>
      <c r="AO181" s="367"/>
      <c r="AP181" s="367"/>
      <c r="AQ181" s="367"/>
      <c r="AR181" s="367"/>
      <c r="AS181" s="368"/>
      <c r="AT181" s="367"/>
      <c r="AU181" s="367"/>
      <c r="AV181" s="367"/>
      <c r="AW181" s="367"/>
      <c r="AX181" s="367"/>
      <c r="AY181" s="367"/>
      <c r="AZ181" s="366"/>
      <c r="BA181" s="367"/>
      <c r="BB181" s="367"/>
      <c r="BC181" s="367"/>
      <c r="BD181" s="367"/>
      <c r="BE181" s="366"/>
      <c r="BF181" s="367"/>
      <c r="BG181" s="367"/>
      <c r="BH181" s="368"/>
      <c r="BI181" s="367"/>
      <c r="BJ181" s="367"/>
      <c r="BK181" s="367"/>
      <c r="BL181" s="367"/>
      <c r="BM181" s="368"/>
      <c r="BN181" s="367"/>
      <c r="BO181" s="366"/>
      <c r="BP181" s="367"/>
      <c r="BQ181" s="367"/>
      <c r="BR181" s="367"/>
      <c r="BS181" s="367"/>
      <c r="BT181" s="366"/>
      <c r="BU181" s="367"/>
      <c r="BV181" s="367"/>
      <c r="BW181" s="367"/>
      <c r="BX181" s="367"/>
      <c r="BY181" s="366"/>
      <c r="BZ181" s="367"/>
      <c r="CA181" s="367"/>
      <c r="CB181" s="367"/>
      <c r="CC181" s="369"/>
      <c r="CD181" s="367"/>
      <c r="CE181" s="367"/>
      <c r="CF181" s="367"/>
      <c r="CG181" s="367"/>
      <c r="CH181" s="369"/>
      <c r="CI181" s="367"/>
      <c r="CJ181" s="367"/>
      <c r="CK181" s="367"/>
      <c r="CL181" s="367"/>
      <c r="CM181" s="369"/>
      <c r="CN181" s="367"/>
      <c r="CO181" s="367"/>
      <c r="CP181" s="367"/>
      <c r="CQ181" s="367"/>
      <c r="CR181" s="369"/>
      <c r="CS181" s="367"/>
      <c r="CT181" s="367"/>
      <c r="CU181" s="367"/>
      <c r="CV181" s="367"/>
      <c r="CW181" s="369"/>
      <c r="CX181" s="367"/>
      <c r="CY181" s="367"/>
      <c r="CZ181" s="367"/>
      <c r="DA181" s="367"/>
      <c r="DB181" s="369"/>
      <c r="DC181" s="367"/>
      <c r="DD181" s="367"/>
      <c r="DE181" s="367"/>
      <c r="DF181" s="367"/>
      <c r="DG181" s="369"/>
      <c r="DH181" s="367"/>
      <c r="DI181" s="367"/>
      <c r="DJ181" s="367"/>
      <c r="DK181" s="367"/>
      <c r="DL181" s="369"/>
      <c r="DM181" s="367"/>
      <c r="DN181" s="367"/>
      <c r="DO181" s="367"/>
      <c r="DP181" s="367"/>
      <c r="DQ181" s="369"/>
      <c r="DR181" s="366"/>
      <c r="DS181" s="367"/>
      <c r="DT181"/>
      <c r="DU181"/>
      <c r="DV181"/>
      <c r="DW181"/>
      <c r="DX181"/>
      <c r="DY181"/>
    </row>
    <row r="182" spans="1:129" s="365" customFormat="1" hidden="1" outlineLevel="1">
      <c r="A182" s="716"/>
      <c r="B182" s="729" t="s">
        <v>204</v>
      </c>
      <c r="C182" s="718"/>
      <c r="D182" s="718"/>
      <c r="E182" s="718"/>
      <c r="F182" s="718"/>
      <c r="G182" s="366"/>
      <c r="H182" s="367"/>
      <c r="I182" s="367"/>
      <c r="J182" s="368"/>
      <c r="K182" s="366"/>
      <c r="L182" s="366"/>
      <c r="M182" s="367"/>
      <c r="N182" s="367"/>
      <c r="O182" s="367"/>
      <c r="P182" s="367"/>
      <c r="Q182" s="366"/>
      <c r="R182" s="367"/>
      <c r="S182" s="367"/>
      <c r="T182" s="368"/>
      <c r="U182" s="367"/>
      <c r="V182" s="367"/>
      <c r="W182" s="367"/>
      <c r="X182" s="367"/>
      <c r="Y182" s="368"/>
      <c r="Z182" s="367"/>
      <c r="AA182" s="367"/>
      <c r="AB182" s="367"/>
      <c r="AC182" s="367"/>
      <c r="AD182" s="367"/>
      <c r="AE182" s="367"/>
      <c r="AF182" s="366"/>
      <c r="AG182" s="367"/>
      <c r="AH182" s="367"/>
      <c r="AI182" s="367"/>
      <c r="AJ182" s="367"/>
      <c r="AK182" s="366"/>
      <c r="AL182" s="367"/>
      <c r="AM182" s="367"/>
      <c r="AN182" s="368"/>
      <c r="AO182" s="367"/>
      <c r="AP182" s="367"/>
      <c r="AQ182" s="367"/>
      <c r="AR182" s="367"/>
      <c r="AS182" s="368"/>
      <c r="AT182" s="367"/>
      <c r="AU182" s="367"/>
      <c r="AV182" s="367"/>
      <c r="AW182" s="367"/>
      <c r="AX182" s="367"/>
      <c r="AY182" s="367"/>
      <c r="AZ182" s="366"/>
      <c r="BA182" s="367"/>
      <c r="BB182" s="367"/>
      <c r="BC182" s="367"/>
      <c r="BD182" s="367"/>
      <c r="BE182" s="366"/>
      <c r="BF182" s="367"/>
      <c r="BG182" s="367"/>
      <c r="BH182" s="368"/>
      <c r="BI182" s="367"/>
      <c r="BJ182" s="367"/>
      <c r="BK182" s="367"/>
      <c r="BL182" s="367"/>
      <c r="BM182" s="368"/>
      <c r="BN182" s="367"/>
      <c r="BO182" s="366"/>
      <c r="BP182" s="367"/>
      <c r="BQ182" s="367"/>
      <c r="BR182" s="367"/>
      <c r="BS182" s="367"/>
      <c r="BT182" s="366"/>
      <c r="BU182" s="367"/>
      <c r="BV182" s="367"/>
      <c r="BW182" s="367"/>
      <c r="BX182" s="367"/>
      <c r="BY182" s="366"/>
      <c r="BZ182" s="367"/>
      <c r="CA182" s="367"/>
      <c r="CB182" s="367"/>
      <c r="CC182" s="369"/>
      <c r="CD182" s="367"/>
      <c r="CE182" s="367"/>
      <c r="CF182" s="367"/>
      <c r="CG182" s="367"/>
      <c r="CH182" s="369"/>
      <c r="CI182" s="367"/>
      <c r="CJ182" s="367"/>
      <c r="CK182" s="367"/>
      <c r="CL182" s="367"/>
      <c r="CM182" s="369"/>
      <c r="CN182" s="367"/>
      <c r="CO182" s="367"/>
      <c r="CP182" s="367"/>
      <c r="CQ182" s="367"/>
      <c r="CR182" s="369"/>
      <c r="CS182" s="367"/>
      <c r="CT182" s="367"/>
      <c r="CU182" s="367"/>
      <c r="CV182" s="367"/>
      <c r="CW182" s="369"/>
      <c r="CX182" s="367"/>
      <c r="CY182" s="367"/>
      <c r="CZ182" s="367"/>
      <c r="DA182" s="367"/>
      <c r="DB182" s="369"/>
      <c r="DC182" s="367"/>
      <c r="DD182" s="367"/>
      <c r="DE182" s="367"/>
      <c r="DF182" s="367"/>
      <c r="DG182" s="369"/>
      <c r="DH182" s="367"/>
      <c r="DI182" s="367"/>
      <c r="DJ182" s="367"/>
      <c r="DK182" s="367"/>
      <c r="DL182" s="369"/>
      <c r="DM182" s="367"/>
      <c r="DN182" s="367"/>
      <c r="DO182" s="367"/>
      <c r="DP182" s="367"/>
      <c r="DQ182" s="369"/>
      <c r="DR182" s="366"/>
      <c r="DS182" s="367"/>
      <c r="DT182"/>
      <c r="DU182"/>
      <c r="DV182"/>
      <c r="DW182"/>
      <c r="DX182"/>
      <c r="DY182"/>
    </row>
    <row r="183" spans="1:129" s="365" customFormat="1" hidden="1" outlineLevel="1">
      <c r="A183" s="716"/>
      <c r="B183" s="729"/>
      <c r="C183" s="718" t="s">
        <v>205</v>
      </c>
      <c r="D183" s="718"/>
      <c r="E183" s="718"/>
      <c r="F183" s="718"/>
      <c r="G183" s="366"/>
      <c r="H183" s="367"/>
      <c r="I183" s="130">
        <f>I195*I$22</f>
        <v>4.05</v>
      </c>
      <c r="J183" s="131">
        <f>J195*J$22</f>
        <v>7.02</v>
      </c>
      <c r="K183" s="366"/>
      <c r="L183" s="129">
        <f>L195*L$22</f>
        <v>5.9235399999999991</v>
      </c>
      <c r="M183" s="130">
        <f>M195*M$22</f>
        <v>6.2344200000000001</v>
      </c>
      <c r="N183" s="130">
        <f>N195*N$22</f>
        <v>7.7778400000000012</v>
      </c>
      <c r="O183" s="130">
        <f>O195*O$22</f>
        <v>9.6416000000000004</v>
      </c>
      <c r="P183" s="130">
        <f>SUM(L183:O183)</f>
        <v>29.577400000000001</v>
      </c>
      <c r="Q183" s="129">
        <f>Q195*Q$22</f>
        <v>10.828000000000001</v>
      </c>
      <c r="R183" s="130">
        <f>R195*R$22</f>
        <v>15.264479999999999</v>
      </c>
      <c r="S183" s="130">
        <f>S195*S$22</f>
        <v>17.440289999999997</v>
      </c>
      <c r="T183" s="131">
        <f>T195*T$22</f>
        <v>19.294909999999998</v>
      </c>
      <c r="U183" s="130">
        <f>SUM(Q183:T183)</f>
        <v>62.827680000000001</v>
      </c>
      <c r="V183" s="130">
        <f>V195*V$22</f>
        <v>19.097760000000001</v>
      </c>
      <c r="W183" s="130">
        <f>W195*W$22</f>
        <v>19.526730000000001</v>
      </c>
      <c r="X183" s="130">
        <f>X195*X$22</f>
        <v>19.565860000000001</v>
      </c>
      <c r="Y183" s="131">
        <f>Y195*Y$22</f>
        <v>18.253619999999998</v>
      </c>
      <c r="Z183" s="130">
        <f>SUM(V183:Y183)</f>
        <v>76.443970000000007</v>
      </c>
      <c r="AA183" s="130">
        <f>AA195*AA$22</f>
        <v>20.9178</v>
      </c>
      <c r="AB183" s="130">
        <f>AB195*AB$22</f>
        <v>23.373939999999997</v>
      </c>
      <c r="AC183" s="130">
        <f>AC195*AC$22</f>
        <v>25.717859999999998</v>
      </c>
      <c r="AD183" s="130">
        <f>AD195*AD$22</f>
        <v>27.474509999999995</v>
      </c>
      <c r="AE183" s="130">
        <f>SUM(AA183:AD183)</f>
        <v>97.484109999999987</v>
      </c>
      <c r="AF183" s="129">
        <f>AF195*AF$22</f>
        <v>28.316080000000003</v>
      </c>
      <c r="AG183" s="130">
        <f>AG195*AG$22</f>
        <v>34.978400000000001</v>
      </c>
      <c r="AH183" s="130">
        <f>AH195*AH$22</f>
        <v>41.206620000000001</v>
      </c>
      <c r="AI183" s="130">
        <f>AI195*AI$22</f>
        <v>46.507939999999998</v>
      </c>
      <c r="AJ183" s="130">
        <f>SUM(AF183:AI183)</f>
        <v>151.00904</v>
      </c>
      <c r="AK183" s="129">
        <f>AK195*AK$22</f>
        <v>52.328128</v>
      </c>
      <c r="AL183" s="130">
        <f>AL195*AL$22</f>
        <v>62.423549999999999</v>
      </c>
      <c r="AM183" s="130">
        <f>AM195*AM$22</f>
        <v>73.051630000000003</v>
      </c>
      <c r="AN183" s="131">
        <f>AN195*AN$22</f>
        <v>82.934880000000007</v>
      </c>
      <c r="AO183" s="130">
        <f>SUM(AK183:AN183)</f>
        <v>270.73818800000004</v>
      </c>
      <c r="AP183" s="130">
        <f>AP195*AP$22</f>
        <v>87.206879999999998</v>
      </c>
      <c r="AQ183" s="130">
        <f>AQ195*AQ$22</f>
        <v>101.62127999999998</v>
      </c>
      <c r="AR183" s="130">
        <f>AR195*AR$22</f>
        <v>113.05727999999999</v>
      </c>
      <c r="AS183" s="131">
        <f>AS195*AS$22</f>
        <v>128.45100000000002</v>
      </c>
      <c r="AT183" s="130">
        <f>SUM(AP183:AS183)</f>
        <v>430.33643999999998</v>
      </c>
      <c r="AU183" s="130">
        <f>AU195*AU$22</f>
        <v>145.59429</v>
      </c>
      <c r="AV183" s="130">
        <f>AV195*AV$22</f>
        <v>165.04964000000001</v>
      </c>
      <c r="AW183" s="130">
        <f>AW195*AW$22</f>
        <v>181.21056000000002</v>
      </c>
      <c r="AX183" s="130">
        <f>AX195*AX$22</f>
        <v>207.97069999999999</v>
      </c>
      <c r="AY183" s="130">
        <f>SUM(AU183:AX183)</f>
        <v>699.82519000000002</v>
      </c>
      <c r="AZ183" s="129">
        <f>AZ195*AZ$22</f>
        <v>217.02300000000002</v>
      </c>
      <c r="BA183" s="130">
        <f>BA195*BA$22</f>
        <v>247.92671999999999</v>
      </c>
      <c r="BB183" s="130">
        <f>BB195*BB$22</f>
        <v>273.83013</v>
      </c>
      <c r="BC183" s="130">
        <f>BC195*BC$22</f>
        <v>295.87399999999997</v>
      </c>
      <c r="BD183" s="130">
        <f>SUM(AZ183:BC183)</f>
        <v>1034.6538499999999</v>
      </c>
      <c r="BE183" s="129">
        <f>BE195*BE$22</f>
        <v>310.06700000000001</v>
      </c>
      <c r="BF183" s="130">
        <f>BF195*BF$22</f>
        <v>322.15069</v>
      </c>
      <c r="BG183" s="130">
        <f>BG195*BG$22</f>
        <v>345.32121999999998</v>
      </c>
      <c r="BH183" s="131">
        <f>BH195*BH$22</f>
        <v>342.065</v>
      </c>
      <c r="BI183" s="130">
        <f>SUM(BE183:BH183)</f>
        <v>1319.60391</v>
      </c>
      <c r="BJ183" s="130">
        <f>BJ195*BJ$22</f>
        <v>335.63790000000006</v>
      </c>
      <c r="BK183" s="130">
        <f>BK195*BK$22</f>
        <v>346.36003199999999</v>
      </c>
      <c r="BL183" s="130">
        <f>BL195*BL$22</f>
        <v>378.94900000000007</v>
      </c>
      <c r="BM183" s="131">
        <f>BM195*BM$22</f>
        <v>394.77943999999985</v>
      </c>
      <c r="BN183" s="130">
        <f>SUM(BJ183:BM183)</f>
        <v>1455.7263719999999</v>
      </c>
      <c r="BO183" s="129">
        <f>BO195*BO$22</f>
        <v>432.83372000000003</v>
      </c>
      <c r="BP183" s="130">
        <f>BP195*BP$22</f>
        <v>530.47392000000002</v>
      </c>
      <c r="BQ183" s="130">
        <f>BQ195*BQ$22</f>
        <v>608.45650000000001</v>
      </c>
      <c r="BR183" s="130">
        <f>BR195*BR$22</f>
        <v>655.30099999999993</v>
      </c>
      <c r="BS183" s="130">
        <f>SUM(BO183:BR183)</f>
        <v>2227.0651399999997</v>
      </c>
      <c r="BT183" s="129">
        <f>BT195*BT$22</f>
        <v>685.62649999999996</v>
      </c>
      <c r="BU183" s="130">
        <f>BU195*BU$22</f>
        <v>757.47342000000003</v>
      </c>
      <c r="BV183" s="130">
        <f>BV195*BV$22</f>
        <v>816.48653999999999</v>
      </c>
      <c r="BW183" s="130">
        <f>BW195*BW$22</f>
        <v>848.49056999999993</v>
      </c>
      <c r="BX183" s="130">
        <f>SUM(BT183:BW183)</f>
        <v>3108.0770299999999</v>
      </c>
      <c r="BY183" s="129">
        <f>BY195*BY$22</f>
        <v>879.63338600000009</v>
      </c>
      <c r="BZ183" s="130">
        <f>BZ195*BZ$22</f>
        <v>926.33352000000002</v>
      </c>
      <c r="CA183" s="130">
        <f>CA195*CA$22</f>
        <v>968.54425600000002</v>
      </c>
      <c r="CB183" s="130">
        <f>CB195*CB$22</f>
        <v>981.90036000000009</v>
      </c>
      <c r="CC183" s="364">
        <f>SUM(BY183:CB183)</f>
        <v>3756.4115220000003</v>
      </c>
      <c r="CD183" s="130">
        <f>CD195*CD$22</f>
        <v>1004.306786</v>
      </c>
      <c r="CE183" s="130">
        <f>CE195*CE$22</f>
        <v>1091.4261999999999</v>
      </c>
      <c r="CF183" s="130">
        <f>CF195*CF$22</f>
        <v>1171.307284</v>
      </c>
      <c r="CG183" s="130">
        <f>CG195*CG$22</f>
        <v>1177.7439999999999</v>
      </c>
      <c r="CH183" s="364">
        <f>SUM(CD183:CG183)</f>
        <v>4444.7842700000001</v>
      </c>
      <c r="CI183" s="130">
        <f>CI195*CI$22</f>
        <v>1242.664524</v>
      </c>
      <c r="CJ183" s="130">
        <f>CJ195*CJ$22</f>
        <v>1308.8888799999997</v>
      </c>
      <c r="CK183" s="130">
        <f>CK195*CK$22</f>
        <v>1380.8398149999998</v>
      </c>
      <c r="CL183" s="130">
        <f>CL195*CL$22</f>
        <v>1491.7731200000001</v>
      </c>
      <c r="CM183" s="364">
        <f>SUM(CI183:CL183)</f>
        <v>5424.1663389999994</v>
      </c>
      <c r="CN183" s="130">
        <f>CN195*CN$22</f>
        <v>1639.1181999999999</v>
      </c>
      <c r="CO183" s="130">
        <f>CO195*CO$22</f>
        <v>1758.5069999999998</v>
      </c>
      <c r="CP183" s="130">
        <f>CP195*CP$22</f>
        <v>1854.8339999999996</v>
      </c>
      <c r="CQ183" s="130">
        <f>CQ195*CQ$22</f>
        <v>1887.78</v>
      </c>
      <c r="CR183" s="364">
        <f>SUM(CN183:CQ183)</f>
        <v>7140.2391999999991</v>
      </c>
      <c r="CS183" s="130">
        <f>CS195*CS$22</f>
        <v>1850.7559999999999</v>
      </c>
      <c r="CT183" s="130">
        <f>CT195*CT$22</f>
        <v>1937.6924999999999</v>
      </c>
      <c r="CU183" s="130">
        <f>CU195*CU$22</f>
        <v>1982.1368</v>
      </c>
      <c r="CV183" s="130">
        <f>CV195*CV$22</f>
        <v>1990.6499999999999</v>
      </c>
      <c r="CW183" s="364">
        <f>SUM(CS183:CV183)</f>
        <v>7761.2352999999994</v>
      </c>
      <c r="CX183" s="130">
        <f>CX195*CX$22</f>
        <v>2049.5879999999997</v>
      </c>
      <c r="CY183" s="130">
        <f>CY195*CY$22</f>
        <v>2154.29</v>
      </c>
      <c r="CZ183" s="130">
        <f>CZ195*CZ$22</f>
        <v>2199.3440000000005</v>
      </c>
      <c r="DA183" s="130">
        <f>DA195*DA$22</f>
        <v>2193.444</v>
      </c>
      <c r="DB183" s="369"/>
      <c r="DC183" s="130"/>
      <c r="DD183" s="130"/>
      <c r="DE183" s="130"/>
      <c r="DF183" s="367"/>
      <c r="DG183" s="369"/>
      <c r="DH183" s="130"/>
      <c r="DI183" s="130"/>
      <c r="DJ183" s="130"/>
      <c r="DK183" s="367"/>
      <c r="DL183" s="369"/>
      <c r="DM183" s="130"/>
      <c r="DN183" s="130"/>
      <c r="DO183" s="130"/>
      <c r="DP183" s="367"/>
      <c r="DQ183" s="369"/>
      <c r="DR183" s="366"/>
      <c r="DS183" s="367"/>
      <c r="DT183"/>
      <c r="DU183"/>
      <c r="DV183"/>
      <c r="DW183"/>
      <c r="DX183"/>
      <c r="DY183"/>
    </row>
    <row r="184" spans="1:129" s="365" customFormat="1" hidden="1" outlineLevel="1">
      <c r="A184" s="716"/>
      <c r="B184" s="729"/>
      <c r="C184" s="718"/>
      <c r="D184" s="725" t="s">
        <v>305</v>
      </c>
      <c r="E184" s="718"/>
      <c r="F184" s="718"/>
      <c r="G184" s="366"/>
      <c r="H184" s="367"/>
      <c r="I184" s="130"/>
      <c r="J184" s="131"/>
      <c r="K184" s="366"/>
      <c r="L184" s="129"/>
      <c r="M184" s="130"/>
      <c r="N184" s="130"/>
      <c r="O184" s="130"/>
      <c r="P184" s="64"/>
      <c r="Q184" s="129"/>
      <c r="R184" s="130"/>
      <c r="S184" s="130"/>
      <c r="T184" s="131"/>
      <c r="U184" s="64">
        <f>U183/P183-1</f>
        <v>1.1241785958197812</v>
      </c>
      <c r="V184" s="130"/>
      <c r="W184" s="130"/>
      <c r="X184" s="130"/>
      <c r="Y184" s="131"/>
      <c r="Z184" s="64">
        <f>Z183/U183-1</f>
        <v>0.216724380082155</v>
      </c>
      <c r="AA184" s="130"/>
      <c r="AB184" s="130"/>
      <c r="AC184" s="130"/>
      <c r="AD184" s="130"/>
      <c r="AE184" s="64">
        <f>AE183/Z183-1</f>
        <v>0.27523609775892033</v>
      </c>
      <c r="AF184" s="129"/>
      <c r="AG184" s="130"/>
      <c r="AH184" s="130"/>
      <c r="AI184" s="130"/>
      <c r="AJ184" s="64">
        <f>AJ183/AE183-1</f>
        <v>0.54906312423635018</v>
      </c>
      <c r="AK184" s="129"/>
      <c r="AL184" s="130"/>
      <c r="AM184" s="130"/>
      <c r="AN184" s="131"/>
      <c r="AO184" s="64">
        <f>AO183/AJ183-1</f>
        <v>0.79286079826744182</v>
      </c>
      <c r="AP184" s="130"/>
      <c r="AQ184" s="130"/>
      <c r="AR184" s="130"/>
      <c r="AS184" s="131"/>
      <c r="AT184" s="64">
        <f>AT183/AO183-1</f>
        <v>0.58949294585660716</v>
      </c>
      <c r="AU184" s="130"/>
      <c r="AV184" s="130"/>
      <c r="AW184" s="130"/>
      <c r="AX184" s="130"/>
      <c r="AY184" s="64">
        <f>AY183/AT183-1</f>
        <v>0.62622805077813082</v>
      </c>
      <c r="AZ184" s="129"/>
      <c r="BA184" s="130"/>
      <c r="BB184" s="130"/>
      <c r="BC184" s="130"/>
      <c r="BD184" s="64">
        <f>BD183/AY183-1</f>
        <v>0.47844613881360853</v>
      </c>
      <c r="BE184" s="129"/>
      <c r="BF184" s="130"/>
      <c r="BG184" s="130"/>
      <c r="BH184" s="131"/>
      <c r="BI184" s="64">
        <f>BI183/BD183-1</f>
        <v>0.27540617569827841</v>
      </c>
      <c r="BJ184" s="130"/>
      <c r="BK184" s="130"/>
      <c r="BL184" s="130"/>
      <c r="BM184" s="131"/>
      <c r="BN184" s="64">
        <f>BN183/BI183-1</f>
        <v>0.10315403051511107</v>
      </c>
      <c r="BO184" s="422">
        <f>BO183/BM183-1</f>
        <v>9.6393773698043139E-2</v>
      </c>
      <c r="BP184" s="423">
        <f>BP183/BO183-1</f>
        <v>0.22558362597073067</v>
      </c>
      <c r="BQ184" s="423">
        <f>BQ183/BP183-1</f>
        <v>0.14700549274882357</v>
      </c>
      <c r="BR184" s="423">
        <f>BR183/BQ183-1</f>
        <v>7.698906988420684E-2</v>
      </c>
      <c r="BS184" s="64">
        <f>BS183/BN183-1</f>
        <v>0.52986521563133437</v>
      </c>
      <c r="BT184" s="422">
        <f>BT183/BR183-1</f>
        <v>4.6277206962907158E-2</v>
      </c>
      <c r="BU184" s="423">
        <f>BU183/BT183-1</f>
        <v>0.10479017365869048</v>
      </c>
      <c r="BV184" s="423">
        <f>BV183/BU183-1</f>
        <v>7.7907842627666035E-2</v>
      </c>
      <c r="BW184" s="423">
        <f>BW183/BV183-1</f>
        <v>3.919725363751847E-2</v>
      </c>
      <c r="BX184" s="64">
        <f>BX183/BS183-1</f>
        <v>0.395593229033256</v>
      </c>
      <c r="BY184" s="422">
        <f>BY183/BW183-1</f>
        <v>3.6703785641365672E-2</v>
      </c>
      <c r="BZ184" s="423">
        <f>BZ183/BY183-1</f>
        <v>5.3090451935165595E-2</v>
      </c>
      <c r="CA184" s="423">
        <f>CA183/BZ183-1</f>
        <v>4.5567535977754536E-2</v>
      </c>
      <c r="CB184" s="423">
        <f>CB183/CA183-1</f>
        <v>1.3789874770575361E-2</v>
      </c>
      <c r="CC184" s="405">
        <f>CC183/BX183-1</f>
        <v>0.20859666145404399</v>
      </c>
      <c r="CD184" s="423">
        <f>CD183/CB183-1</f>
        <v>2.2819449826864124E-2</v>
      </c>
      <c r="CE184" s="423">
        <f>CE183/CD183-1</f>
        <v>8.6745818324083235E-2</v>
      </c>
      <c r="CF184" s="423">
        <f>CF183/CE183-1</f>
        <v>7.3189633893707251E-2</v>
      </c>
      <c r="CG184" s="423">
        <f>CG183/CF183-1</f>
        <v>5.4953265363626436E-3</v>
      </c>
      <c r="CH184" s="405">
        <f>CH183/CC183-1</f>
        <v>0.18325275172020938</v>
      </c>
      <c r="CI184" s="130"/>
      <c r="CJ184" s="130"/>
      <c r="CK184" s="130"/>
      <c r="CL184" s="130"/>
      <c r="CM184" s="405">
        <f>CM183/CH183-1</f>
        <v>0.22034411784849106</v>
      </c>
      <c r="CN184" s="130"/>
      <c r="CO184" s="130"/>
      <c r="CP184" s="130"/>
      <c r="CQ184" s="130"/>
      <c r="CR184" s="405">
        <f>CR183/CM183-1</f>
        <v>0.31637541213685849</v>
      </c>
      <c r="CS184" s="423">
        <f>CS183/CQ183-1</f>
        <v>-1.9612454841136162E-2</v>
      </c>
      <c r="CT184" s="64">
        <f>CT183/CO183-1</f>
        <v>0.10189638141901058</v>
      </c>
      <c r="CU184" s="64">
        <f>CU183/CP183-1</f>
        <v>6.8632988181152932E-2</v>
      </c>
      <c r="CV184" s="64">
        <f>CV183/CQ183-1</f>
        <v>5.4492578584368845E-2</v>
      </c>
      <c r="CW184" s="405">
        <f>CW183/CR183-1</f>
        <v>8.6971330036114347E-2</v>
      </c>
      <c r="CX184" s="423">
        <f>CX183/CV183-1</f>
        <v>2.9607414663552101E-2</v>
      </c>
      <c r="CY184" s="64">
        <f>CY183/CT183-1</f>
        <v>0.11178115206618178</v>
      </c>
      <c r="CZ184" s="64">
        <f>CZ183/CU183-1</f>
        <v>0.10958234567866376</v>
      </c>
      <c r="DA184" s="64">
        <f>DA183/CV183-1</f>
        <v>0.10187325747871312</v>
      </c>
      <c r="DB184" s="369"/>
      <c r="DC184" s="130"/>
      <c r="DD184" s="130"/>
      <c r="DE184" s="130"/>
      <c r="DF184" s="367"/>
      <c r="DG184" s="369"/>
      <c r="DH184" s="130"/>
      <c r="DI184" s="130"/>
      <c r="DJ184" s="130"/>
      <c r="DK184" s="367"/>
      <c r="DL184" s="369"/>
      <c r="DM184" s="130"/>
      <c r="DN184" s="130"/>
      <c r="DO184" s="130"/>
      <c r="DP184" s="367"/>
      <c r="DQ184" s="369"/>
      <c r="DR184" s="366"/>
      <c r="DS184" s="367"/>
      <c r="DT184"/>
      <c r="DU184"/>
      <c r="DV184"/>
      <c r="DW184"/>
      <c r="DX184"/>
      <c r="DY184"/>
    </row>
    <row r="185" spans="1:129" s="365" customFormat="1" hidden="1" outlineLevel="1">
      <c r="A185" s="716"/>
      <c r="B185" s="729"/>
      <c r="C185" s="718" t="s">
        <v>206</v>
      </c>
      <c r="D185" s="718"/>
      <c r="E185" s="718"/>
      <c r="F185" s="718"/>
      <c r="G185" s="366"/>
      <c r="H185" s="367"/>
      <c r="I185" s="130">
        <f>I196*I$22</f>
        <v>3.8879999999999999</v>
      </c>
      <c r="J185" s="131">
        <f>J196*J$22</f>
        <v>5.07</v>
      </c>
      <c r="K185" s="366"/>
      <c r="L185" s="129">
        <f>L196*L$22</f>
        <v>8.170399999999999</v>
      </c>
      <c r="M185" s="130">
        <f>M196*M$22</f>
        <v>9.4591200000000004</v>
      </c>
      <c r="N185" s="130">
        <f>N196*N$22</f>
        <v>11.209240000000001</v>
      </c>
      <c r="O185" s="130">
        <f>O196*O$22</f>
        <v>11.32888</v>
      </c>
      <c r="P185" s="130">
        <f>SUM(L185:O185)</f>
        <v>40.167639999999999</v>
      </c>
      <c r="Q185" s="129">
        <f>Q196*Q$22</f>
        <v>13.8057</v>
      </c>
      <c r="R185" s="130">
        <f>R196*R$22</f>
        <v>13.99244</v>
      </c>
      <c r="S185" s="130">
        <f>S196*S$22</f>
        <v>17.440289999999997</v>
      </c>
      <c r="T185" s="131">
        <f>T196*T$22</f>
        <v>19.294909999999998</v>
      </c>
      <c r="U185" s="130">
        <f>SUM(Q185:T185)</f>
        <v>64.533339999999995</v>
      </c>
      <c r="V185" s="130">
        <f>V196*V$22</f>
        <v>21.702000000000002</v>
      </c>
      <c r="W185" s="130">
        <f>W196*W$22</f>
        <v>23.159610000000001</v>
      </c>
      <c r="X185" s="130">
        <f>X196*X$22</f>
        <v>24.116060000000001</v>
      </c>
      <c r="Y185" s="131">
        <f>Y196*Y$22</f>
        <v>23.46894</v>
      </c>
      <c r="Z185" s="130">
        <f>SUM(V185:Y185)</f>
        <v>92.446610000000007</v>
      </c>
      <c r="AA185" s="130">
        <f>AA196*AA$22</f>
        <v>25.566200000000002</v>
      </c>
      <c r="AB185" s="130">
        <f>AB196*AB$22</f>
        <v>30.984060000000003</v>
      </c>
      <c r="AC185" s="130">
        <f>AC196*AC$22</f>
        <v>35.515140000000002</v>
      </c>
      <c r="AD185" s="130">
        <f>AD196*AD$22</f>
        <v>39.536490000000001</v>
      </c>
      <c r="AE185" s="130">
        <f>SUM(AA185:AD185)</f>
        <v>131.60189000000003</v>
      </c>
      <c r="AF185" s="129">
        <f>AF196*AF$22</f>
        <v>46.199920000000006</v>
      </c>
      <c r="AG185" s="130">
        <f>AG196*AG$22</f>
        <v>52.467599999999997</v>
      </c>
      <c r="AH185" s="130">
        <f>AH196*AH$22</f>
        <v>56.90438000000001</v>
      </c>
      <c r="AI185" s="130">
        <f>AI196*AI$22</f>
        <v>61.650060000000011</v>
      </c>
      <c r="AJ185" s="130">
        <f>SUM(AF185:AI185)</f>
        <v>217.22196000000002</v>
      </c>
      <c r="AK185" s="129">
        <f>AK196*AK$22</f>
        <v>67.415871999999993</v>
      </c>
      <c r="AL185" s="130">
        <f>AL196*AL$22</f>
        <v>76.295450000000002</v>
      </c>
      <c r="AM185" s="130">
        <f>AM196*AM$22</f>
        <v>82.377369999999999</v>
      </c>
      <c r="AN185" s="131">
        <f>AN196*AN$22</f>
        <v>89.846119999999999</v>
      </c>
      <c r="AO185" s="130">
        <f>SUM(AK185:AN185)</f>
        <v>315.93481199999997</v>
      </c>
      <c r="AP185" s="130">
        <f>AP196*AP$22</f>
        <v>94.474120000000013</v>
      </c>
      <c r="AQ185" s="130">
        <f>AQ196*AQ$22</f>
        <v>110.08972</v>
      </c>
      <c r="AR185" s="130">
        <f>AR196*AR$22</f>
        <v>122.47872000000001</v>
      </c>
      <c r="AS185" s="131">
        <f>AS196*AS$22</f>
        <v>128.45100000000002</v>
      </c>
      <c r="AT185" s="130">
        <f>SUM(AP185:AS185)</f>
        <v>455.49356000000006</v>
      </c>
      <c r="AU185" s="130">
        <f>AU196*AU$22</f>
        <v>139.88470999999998</v>
      </c>
      <c r="AV185" s="130">
        <f>AV196*AV$22</f>
        <v>171.78636</v>
      </c>
      <c r="AW185" s="130">
        <f>AW196*AW$22</f>
        <v>196.31144000000003</v>
      </c>
      <c r="AX185" s="130">
        <f>AX196*AX$22</f>
        <v>216.45930000000001</v>
      </c>
      <c r="AY185" s="130">
        <f>SUM(AU185:AX185)</f>
        <v>724.44181000000003</v>
      </c>
      <c r="AZ185" s="129">
        <f>AZ196*AZ$22</f>
        <v>243.24700000000001</v>
      </c>
      <c r="BA185" s="130">
        <f>BA196*BA$22</f>
        <v>268.58728000000002</v>
      </c>
      <c r="BB185" s="130">
        <f>BB196*BB$22</f>
        <v>285.00686999999999</v>
      </c>
      <c r="BC185" s="130">
        <f>BC196*BC$22</f>
        <v>304.08199999999999</v>
      </c>
      <c r="BD185" s="130">
        <f>SUM(AZ185:BC185)</f>
        <v>1100.9231500000001</v>
      </c>
      <c r="BE185" s="129">
        <f>BE196*BE$22</f>
        <v>333.03899999999999</v>
      </c>
      <c r="BF185" s="130">
        <f>BF196*BF$22</f>
        <v>363.27631000000002</v>
      </c>
      <c r="BG185" s="130">
        <f>BG196*BG$22</f>
        <v>389.40478000000002</v>
      </c>
      <c r="BH185" s="131">
        <f>BH196*BH$22</f>
        <v>410.97999999999996</v>
      </c>
      <c r="BI185" s="130">
        <f>SUM(BE185:BH185)</f>
        <v>1496.70009</v>
      </c>
      <c r="BJ185" s="130">
        <f>BJ196*BJ$22</f>
        <v>410.22410000000008</v>
      </c>
      <c r="BK185" s="130">
        <f>BK196*BK$22</f>
        <v>430.23196800000005</v>
      </c>
      <c r="BL185" s="130">
        <f>BL196*BL$22</f>
        <v>474.53900000000016</v>
      </c>
      <c r="BM185" s="131">
        <f>BM196*BM$22</f>
        <v>507.94155999999998</v>
      </c>
      <c r="BN185" s="130">
        <f>SUM(BJ185:BM185)</f>
        <v>1822.9366280000004</v>
      </c>
      <c r="BO185" s="129">
        <f>BO196*BO$22</f>
        <v>526.88627999999994</v>
      </c>
      <c r="BP185" s="130">
        <f>BP196*BP$22</f>
        <v>574.68007999999998</v>
      </c>
      <c r="BQ185" s="130">
        <f>BQ196*BQ$22</f>
        <v>608.45650000000001</v>
      </c>
      <c r="BR185" s="130">
        <f>BR196*BR$22</f>
        <v>655.30099999999993</v>
      </c>
      <c r="BS185" s="130">
        <f>SUM(BO185:BR185)</f>
        <v>2365.3238599999995</v>
      </c>
      <c r="BT185" s="129">
        <f>BT196*BT$22</f>
        <v>685.62649999999996</v>
      </c>
      <c r="BU185" s="130">
        <f>BU196*BU$22</f>
        <v>727.76857999999993</v>
      </c>
      <c r="BV185" s="130">
        <f>BV196*BV$22</f>
        <v>784.46745999999996</v>
      </c>
      <c r="BW185" s="130">
        <f>BW196*BW$22</f>
        <v>815.21642999999995</v>
      </c>
      <c r="BX185" s="130">
        <f>SUM(BT185:BW185)</f>
        <v>3013.0789699999996</v>
      </c>
      <c r="BY185" s="129">
        <f>BY196*BY$22</f>
        <v>831.71561400000007</v>
      </c>
      <c r="BZ185" s="130">
        <f>BZ196*BZ$22</f>
        <v>868.88648000000001</v>
      </c>
      <c r="CA185" s="130">
        <f>CA196*CA$22</f>
        <v>923.14374400000008</v>
      </c>
      <c r="CB185" s="130">
        <f>CB196*CB$22</f>
        <v>966.31464000000005</v>
      </c>
      <c r="CC185" s="364">
        <f>SUM(BY185:CB185)</f>
        <v>3590.0604780000003</v>
      </c>
      <c r="CD185" s="130">
        <f>CD196*CD$22</f>
        <v>1016.4312140000001</v>
      </c>
      <c r="CE185" s="130">
        <f>CE196*CE$22</f>
        <v>1069.8137999999999</v>
      </c>
      <c r="CF185" s="130">
        <f>CF196*CF$22</f>
        <v>1134.415716</v>
      </c>
      <c r="CG185" s="130">
        <f>CG196*CG$22</f>
        <v>1177.7439999999999</v>
      </c>
      <c r="CH185" s="364">
        <f>SUM(CD185:CG185)</f>
        <v>4398.4047300000002</v>
      </c>
      <c r="CI185" s="130">
        <f>CI196*CI$22</f>
        <v>1179.6834759999999</v>
      </c>
      <c r="CJ185" s="130">
        <f>CJ196*CJ$22</f>
        <v>1208.2051199999999</v>
      </c>
      <c r="CK185" s="130">
        <f>CK196*CK$22</f>
        <v>1200.1691849999997</v>
      </c>
      <c r="CL185" s="130">
        <f>CL196*CL$22</f>
        <v>1250.45688</v>
      </c>
      <c r="CM185" s="364">
        <f>SUM(CI185:CL185)</f>
        <v>4838.5146609999993</v>
      </c>
      <c r="CN185" s="130">
        <f>CN196*CN$22</f>
        <v>1272.2818000000002</v>
      </c>
      <c r="CO185" s="130">
        <f>CO196*CO$22</f>
        <v>1326.5929999999998</v>
      </c>
      <c r="CP185" s="130">
        <f>CP196*CP$22</f>
        <v>1332.1659999999999</v>
      </c>
      <c r="CQ185" s="130">
        <f>CQ196*CQ$22</f>
        <v>1351.1849999999999</v>
      </c>
      <c r="CR185" s="364">
        <f>SUM(CN185:CQ185)</f>
        <v>5282.2258000000002</v>
      </c>
      <c r="CS185" s="130">
        <f>CS196*CS$22</f>
        <v>1351.2439999999999</v>
      </c>
      <c r="CT185" s="130">
        <f>CT196*CT$22</f>
        <v>1432.2075</v>
      </c>
      <c r="CU185" s="130">
        <f>CU196*CU$22</f>
        <v>1471.0632000000003</v>
      </c>
      <c r="CV185" s="130">
        <f>CV196*CV$22</f>
        <v>1471.35</v>
      </c>
      <c r="CW185" s="364">
        <f>SUM(CS185:CV185)</f>
        <v>5725.8647000000001</v>
      </c>
      <c r="CX185" s="130">
        <f>CX196*CX$22</f>
        <v>1496.412</v>
      </c>
      <c r="CY185" s="130">
        <f>CY196*CY$22</f>
        <v>1515.7099999999998</v>
      </c>
      <c r="CZ185" s="130">
        <f>CZ196*CZ$22</f>
        <v>1566.6559999999999</v>
      </c>
      <c r="DA185" s="130">
        <f>DA196*DA$22</f>
        <v>1634.556</v>
      </c>
      <c r="DB185" s="369"/>
      <c r="DC185" s="130"/>
      <c r="DD185" s="130"/>
      <c r="DE185" s="130"/>
      <c r="DF185" s="367"/>
      <c r="DG185" s="369"/>
      <c r="DH185" s="130"/>
      <c r="DI185" s="130"/>
      <c r="DJ185" s="130"/>
      <c r="DK185" s="367"/>
      <c r="DL185" s="369"/>
      <c r="DM185" s="130"/>
      <c r="DN185" s="130"/>
      <c r="DO185" s="130"/>
      <c r="DP185" s="367"/>
      <c r="DQ185" s="369"/>
      <c r="DR185" s="366"/>
      <c r="DS185" s="367"/>
      <c r="DT185"/>
      <c r="DU185"/>
      <c r="DV185"/>
      <c r="DW185"/>
      <c r="DX185"/>
      <c r="DY185"/>
    </row>
    <row r="186" spans="1:129" s="365" customFormat="1" hidden="1" outlineLevel="1">
      <c r="A186" s="716"/>
      <c r="B186" s="729"/>
      <c r="C186" s="718"/>
      <c r="D186" s="725" t="s">
        <v>305</v>
      </c>
      <c r="E186" s="718"/>
      <c r="F186" s="718"/>
      <c r="G186" s="366"/>
      <c r="H186" s="367"/>
      <c r="I186" s="367"/>
      <c r="J186" s="368"/>
      <c r="K186" s="366"/>
      <c r="L186" s="366"/>
      <c r="M186" s="367"/>
      <c r="N186" s="367"/>
      <c r="O186" s="367"/>
      <c r="P186" s="64"/>
      <c r="Q186" s="366"/>
      <c r="R186" s="367"/>
      <c r="S186" s="367"/>
      <c r="T186" s="368"/>
      <c r="U186" s="64">
        <f>U185/P185-1</f>
        <v>0.60660023840086197</v>
      </c>
      <c r="V186" s="367"/>
      <c r="W186" s="367"/>
      <c r="X186" s="367"/>
      <c r="Y186" s="368"/>
      <c r="Z186" s="64">
        <f>Z185/U185-1</f>
        <v>0.43254029622517631</v>
      </c>
      <c r="AA186" s="367"/>
      <c r="AB186" s="367"/>
      <c r="AC186" s="367"/>
      <c r="AD186" s="367"/>
      <c r="AE186" s="64">
        <f>AE185/Z185-1</f>
        <v>0.42354478979813348</v>
      </c>
      <c r="AF186" s="366"/>
      <c r="AG186" s="367"/>
      <c r="AH186" s="367"/>
      <c r="AI186" s="367"/>
      <c r="AJ186" s="64">
        <f>AJ185/AE185-1</f>
        <v>0.65059909094010715</v>
      </c>
      <c r="AK186" s="366"/>
      <c r="AL186" s="367"/>
      <c r="AM186" s="367"/>
      <c r="AN186" s="368"/>
      <c r="AO186" s="64">
        <f>AO185/AJ185-1</f>
        <v>0.45443311532590869</v>
      </c>
      <c r="AP186" s="367"/>
      <c r="AQ186" s="367"/>
      <c r="AR186" s="367"/>
      <c r="AS186" s="368"/>
      <c r="AT186" s="64">
        <f>AT185/AO185-1</f>
        <v>0.4417327331436971</v>
      </c>
      <c r="AU186" s="367"/>
      <c r="AV186" s="367"/>
      <c r="AW186" s="367"/>
      <c r="AX186" s="367"/>
      <c r="AY186" s="64">
        <f>AY185/AT185-1</f>
        <v>0.59045456098215743</v>
      </c>
      <c r="AZ186" s="366"/>
      <c r="BA186" s="367"/>
      <c r="BB186" s="367"/>
      <c r="BC186" s="367"/>
      <c r="BD186" s="64">
        <f>BD185/AY185-1</f>
        <v>0.51968472112342612</v>
      </c>
      <c r="BE186" s="366"/>
      <c r="BF186" s="367"/>
      <c r="BG186" s="367"/>
      <c r="BH186" s="368"/>
      <c r="BI186" s="64">
        <f>BI185/BD185-1</f>
        <v>0.35949551973723137</v>
      </c>
      <c r="BJ186" s="367"/>
      <c r="BK186" s="367"/>
      <c r="BL186" s="367"/>
      <c r="BM186" s="368"/>
      <c r="BN186" s="64">
        <f>BN185/BI185-1</f>
        <v>0.21797054745951172</v>
      </c>
      <c r="BO186" s="422">
        <f>BO185/BM185-1</f>
        <v>3.7297046534250811E-2</v>
      </c>
      <c r="BP186" s="423">
        <f>BP185/BO185-1</f>
        <v>9.0709896640315035E-2</v>
      </c>
      <c r="BQ186" s="423">
        <f>BQ185/BP185-1</f>
        <v>5.877430099891412E-2</v>
      </c>
      <c r="BR186" s="423">
        <f>BR185/BQ185-1</f>
        <v>7.698906988420684E-2</v>
      </c>
      <c r="BS186" s="64">
        <f>BS185/BN185-1</f>
        <v>0.29753488062559197</v>
      </c>
      <c r="BT186" s="422">
        <f>BT185/BR185-1</f>
        <v>4.6277206962907158E-2</v>
      </c>
      <c r="BU186" s="423">
        <f>BU185/BT185-1</f>
        <v>6.1465068809329892E-2</v>
      </c>
      <c r="BV186" s="423">
        <f>BV185/BU185-1</f>
        <v>7.7907842627666035E-2</v>
      </c>
      <c r="BW186" s="423">
        <f>BW185/BV185-1</f>
        <v>3.9197253637518692E-2</v>
      </c>
      <c r="BX186" s="64">
        <f>BX185/BS185-1</f>
        <v>0.27385472279470435</v>
      </c>
      <c r="BY186" s="422">
        <f>BY185/BW185-1</f>
        <v>2.0239022905855997E-2</v>
      </c>
      <c r="BZ186" s="423">
        <f>BZ185/BY185-1</f>
        <v>4.4691797742298922E-2</v>
      </c>
      <c r="CA186" s="423">
        <f>CA185/BZ185-1</f>
        <v>6.244459460342866E-2</v>
      </c>
      <c r="CB186" s="423">
        <f>CB185/CA185-1</f>
        <v>4.6765085373313253E-2</v>
      </c>
      <c r="CC186" s="405">
        <f>CC185/BX185-1</f>
        <v>0.19149232852665676</v>
      </c>
      <c r="CD186" s="423">
        <f>CD185/CB185-1</f>
        <v>5.1863618665655364E-2</v>
      </c>
      <c r="CE186" s="423">
        <f>CE185/CD185-1</f>
        <v>5.2519624805619003E-2</v>
      </c>
      <c r="CF186" s="423">
        <f>CF185/CE185-1</f>
        <v>6.0386130745369027E-2</v>
      </c>
      <c r="CG186" s="423">
        <f>CG185/CF185-1</f>
        <v>3.8194361545675237E-2</v>
      </c>
      <c r="CH186" s="405">
        <f>CH185/CC185-1</f>
        <v>0.22516173667645933</v>
      </c>
      <c r="CI186" s="419"/>
      <c r="CJ186" s="419"/>
      <c r="CK186" s="419"/>
      <c r="CL186" s="423"/>
      <c r="CM186" s="405">
        <f>CM185/CH185-1</f>
        <v>0.10006126266602089</v>
      </c>
      <c r="CN186" s="419"/>
      <c r="CO186" s="419"/>
      <c r="CP186" s="419"/>
      <c r="CQ186" s="419"/>
      <c r="CR186" s="405">
        <f>CR185/CM185-1</f>
        <v>9.1703998042303558E-2</v>
      </c>
      <c r="CS186" s="423">
        <f>CS185/CQ185-1</f>
        <v>4.3665375207613266E-5</v>
      </c>
      <c r="CT186" s="64">
        <f>CT185/CO185-1</f>
        <v>7.9613340338747562E-2</v>
      </c>
      <c r="CU186" s="64">
        <f>CU185/CP185-1</f>
        <v>0.10426418329247289</v>
      </c>
      <c r="CV186" s="64">
        <f>CV185/CQ185-1</f>
        <v>8.8933047658166675E-2</v>
      </c>
      <c r="CW186" s="405">
        <f>CW185/CR185-1</f>
        <v>8.3987113917015854E-2</v>
      </c>
      <c r="CX186" s="423">
        <f>CX185/CV185-1</f>
        <v>1.7033336731573145E-2</v>
      </c>
      <c r="CY186" s="64">
        <f>CY185/CT185-1</f>
        <v>5.830335338978454E-2</v>
      </c>
      <c r="CZ186" s="64">
        <f>CZ185/CU185-1</f>
        <v>6.4982116335994045E-2</v>
      </c>
      <c r="DA186" s="64">
        <f>DA185/CV185-1</f>
        <v>0.11092262208176185</v>
      </c>
      <c r="DB186" s="369"/>
      <c r="DC186" s="423"/>
      <c r="DD186" s="367"/>
      <c r="DE186" s="367"/>
      <c r="DF186" s="367"/>
      <c r="DG186" s="369"/>
      <c r="DH186" s="423"/>
      <c r="DI186" s="367"/>
      <c r="DJ186" s="367"/>
      <c r="DK186" s="367"/>
      <c r="DL186" s="369"/>
      <c r="DM186" s="423"/>
      <c r="DN186" s="367"/>
      <c r="DO186" s="367"/>
      <c r="DP186" s="367"/>
      <c r="DQ186" s="369"/>
      <c r="DR186" s="366"/>
      <c r="DS186" s="367"/>
      <c r="DT186"/>
      <c r="DU186"/>
      <c r="DV186"/>
      <c r="DW186"/>
      <c r="DX186"/>
      <c r="DY186"/>
    </row>
    <row r="187" spans="1:129" s="365" customFormat="1" hidden="1" outlineLevel="1">
      <c r="A187" s="716"/>
      <c r="B187" s="729"/>
      <c r="C187" s="718"/>
      <c r="D187" s="725"/>
      <c r="E187" s="718"/>
      <c r="F187" s="718"/>
      <c r="G187" s="366"/>
      <c r="H187" s="367"/>
      <c r="I187" s="367"/>
      <c r="J187" s="368"/>
      <c r="K187" s="366"/>
      <c r="L187" s="366"/>
      <c r="M187" s="367"/>
      <c r="N187" s="367"/>
      <c r="O187" s="367"/>
      <c r="P187" s="437"/>
      <c r="Q187" s="366"/>
      <c r="R187" s="367"/>
      <c r="S187" s="367"/>
      <c r="T187" s="368"/>
      <c r="U187" s="437"/>
      <c r="V187" s="367"/>
      <c r="W187" s="367"/>
      <c r="X187" s="367"/>
      <c r="Y187" s="368"/>
      <c r="Z187" s="437"/>
      <c r="AA187" s="367"/>
      <c r="AB187" s="367"/>
      <c r="AC187" s="367"/>
      <c r="AD187" s="367"/>
      <c r="AE187" s="437"/>
      <c r="AF187" s="366"/>
      <c r="AG187" s="367"/>
      <c r="AH187" s="367"/>
      <c r="AI187" s="367"/>
      <c r="AJ187" s="437"/>
      <c r="AK187" s="366"/>
      <c r="AL187" s="367"/>
      <c r="AM187" s="367"/>
      <c r="AN187" s="368"/>
      <c r="AO187" s="437"/>
      <c r="AP187" s="367"/>
      <c r="AQ187" s="367"/>
      <c r="AR187" s="367"/>
      <c r="AS187" s="368"/>
      <c r="AT187" s="437"/>
      <c r="AU187" s="367"/>
      <c r="AV187" s="367"/>
      <c r="AW187" s="367"/>
      <c r="AX187" s="367"/>
      <c r="AY187" s="437"/>
      <c r="AZ187" s="366"/>
      <c r="BA187" s="367"/>
      <c r="BB187" s="367"/>
      <c r="BC187" s="367"/>
      <c r="BD187" s="437"/>
      <c r="BE187" s="366"/>
      <c r="BF187" s="367"/>
      <c r="BG187" s="367"/>
      <c r="BH187" s="368"/>
      <c r="BI187" s="437"/>
      <c r="BJ187" s="367"/>
      <c r="BK187" s="367"/>
      <c r="BL187" s="367"/>
      <c r="BM187" s="368"/>
      <c r="BN187" s="437"/>
      <c r="BO187" s="422"/>
      <c r="BP187" s="423"/>
      <c r="BQ187" s="423"/>
      <c r="BR187" s="424"/>
      <c r="BS187" s="437"/>
      <c r="BT187" s="422"/>
      <c r="BU187" s="423"/>
      <c r="BV187" s="423"/>
      <c r="BW187" s="424"/>
      <c r="BX187" s="437"/>
      <c r="BY187" s="422"/>
      <c r="BZ187" s="423"/>
      <c r="CA187" s="423"/>
      <c r="CB187" s="423"/>
      <c r="CC187" s="754"/>
      <c r="CD187" s="423"/>
      <c r="CE187" s="419"/>
      <c r="CF187" s="437"/>
      <c r="CG187" s="423"/>
      <c r="CH187" s="754"/>
      <c r="CI187" s="419"/>
      <c r="CJ187" s="419"/>
      <c r="CK187" s="419"/>
      <c r="CL187" s="423"/>
      <c r="CM187" s="754"/>
      <c r="CN187" s="419"/>
      <c r="CO187" s="419"/>
      <c r="CP187" s="419"/>
      <c r="CQ187" s="419"/>
      <c r="CR187" s="754"/>
      <c r="CS187" s="419"/>
      <c r="CT187" s="367"/>
      <c r="CU187" s="367"/>
      <c r="CV187" s="367"/>
      <c r="CW187" s="754"/>
      <c r="CX187" s="419"/>
      <c r="CY187" s="367"/>
      <c r="CZ187" s="367"/>
      <c r="DA187" s="367"/>
      <c r="DB187" s="369"/>
      <c r="DC187" s="423"/>
      <c r="DD187" s="367"/>
      <c r="DE187" s="367"/>
      <c r="DF187" s="367"/>
      <c r="DG187" s="369"/>
      <c r="DH187" s="423"/>
      <c r="DI187" s="367"/>
      <c r="DJ187" s="367"/>
      <c r="DK187" s="367"/>
      <c r="DL187" s="369"/>
      <c r="DM187" s="423"/>
      <c r="DN187" s="367"/>
      <c r="DO187" s="367"/>
      <c r="DP187" s="367"/>
      <c r="DQ187" s="369"/>
      <c r="DR187" s="366"/>
      <c r="DS187" s="367"/>
      <c r="DT187"/>
      <c r="DU187"/>
      <c r="DV187"/>
      <c r="DW187"/>
      <c r="DX187"/>
      <c r="DY187"/>
    </row>
    <row r="188" spans="1:129" s="365" customFormat="1" hidden="1" outlineLevel="1">
      <c r="A188" s="716"/>
      <c r="B188" s="730" t="s">
        <v>308</v>
      </c>
      <c r="C188" s="718"/>
      <c r="D188" s="725"/>
      <c r="E188" s="718"/>
      <c r="F188" s="718"/>
      <c r="G188" s="366"/>
      <c r="H188" s="367"/>
      <c r="I188" s="367"/>
      <c r="J188" s="368"/>
      <c r="K188" s="366"/>
      <c r="L188" s="366"/>
      <c r="M188" s="367"/>
      <c r="N188" s="367"/>
      <c r="O188" s="367"/>
      <c r="P188" s="130">
        <f>(P22*1000000)/AVERAGE(P149,K149)</f>
        <v>47039.153439153437</v>
      </c>
      <c r="Q188" s="366"/>
      <c r="R188" s="367"/>
      <c r="S188" s="367"/>
      <c r="T188" s="368"/>
      <c r="U188" s="130">
        <f>(U22*1000000)/AVERAGE(U149,P149)</f>
        <v>50959.836370397919</v>
      </c>
      <c r="V188" s="367"/>
      <c r="W188" s="367"/>
      <c r="X188" s="367"/>
      <c r="Y188" s="368"/>
      <c r="Z188" s="130">
        <f>(Z22*1000000)/AVERAGE(Z149,U149)</f>
        <v>50184.333098094576</v>
      </c>
      <c r="AA188" s="367"/>
      <c r="AB188" s="367"/>
      <c r="AC188" s="367"/>
      <c r="AD188" s="367"/>
      <c r="AE188" s="130">
        <f>(AE22*1000000)/AVERAGE(AE149,Z149)</f>
        <v>45476.129032258061</v>
      </c>
      <c r="AF188" s="366"/>
      <c r="AG188" s="367"/>
      <c r="AH188" s="367"/>
      <c r="AI188" s="367"/>
      <c r="AJ188" s="130">
        <f>(AJ22*1000000)/AVERAGE(AJ149,AE149)</f>
        <v>47853.281351526966</v>
      </c>
      <c r="AK188" s="366"/>
      <c r="AL188" s="367"/>
      <c r="AM188" s="367"/>
      <c r="AN188" s="368"/>
      <c r="AO188" s="130">
        <f>(AO22*1000000)/AVERAGE(AO149,AJ149)</f>
        <v>47764.950132302052</v>
      </c>
      <c r="AP188" s="367"/>
      <c r="AQ188" s="367"/>
      <c r="AR188" s="367"/>
      <c r="AS188" s="368"/>
      <c r="AT188" s="130">
        <f>(AT22*1000000)/AVERAGE(AT149,AO149)</f>
        <v>44710.662460567823</v>
      </c>
      <c r="AU188" s="367"/>
      <c r="AV188" s="367"/>
      <c r="AW188" s="367"/>
      <c r="AX188" s="367"/>
      <c r="AY188" s="130">
        <f>(AY22*1000000)/AVERAGE(AY149,AT149)</f>
        <v>45107.426761678544</v>
      </c>
      <c r="AZ188" s="366"/>
      <c r="BA188" s="367"/>
      <c r="BB188" s="367"/>
      <c r="BC188" s="367"/>
      <c r="BD188" s="130">
        <f>(BD22*1000000)/AVERAGE(BD149,AY149)</f>
        <v>45317.283819628654</v>
      </c>
      <c r="BE188" s="366"/>
      <c r="BF188" s="367"/>
      <c r="BG188" s="367"/>
      <c r="BH188" s="368"/>
      <c r="BI188" s="130">
        <f>(BI22*1000000)/AVERAGE(BI149,BD149)</f>
        <v>48102.069224659899</v>
      </c>
      <c r="BJ188" s="367"/>
      <c r="BK188" s="367"/>
      <c r="BL188" s="367"/>
      <c r="BM188" s="368"/>
      <c r="BN188" s="130">
        <f>(BN22*1000000)/AVERAGE(BN149,BI149)</f>
        <v>46805.613253674244</v>
      </c>
      <c r="BO188" s="422"/>
      <c r="BP188" s="423"/>
      <c r="BQ188" s="423"/>
      <c r="BR188" s="424"/>
      <c r="BS188" s="130">
        <f>(BS22*1000000)/AVERAGE(BS149,BN149)</f>
        <v>50355.142543859642</v>
      </c>
      <c r="BT188" s="422"/>
      <c r="BU188" s="423"/>
      <c r="BV188" s="423"/>
      <c r="BW188" s="424"/>
      <c r="BX188" s="130">
        <f>(BX22*1000000)/AVERAGE(BX149,BS149)</f>
        <v>50650.856433595356</v>
      </c>
      <c r="BY188" s="422"/>
      <c r="BZ188" s="423"/>
      <c r="CA188" s="423"/>
      <c r="CB188" s="423"/>
      <c r="CC188" s="364">
        <f>(CC22*1000000)/AVERAGE(CC149,BX149)</f>
        <v>49908.09782608696</v>
      </c>
      <c r="CD188" s="423"/>
      <c r="CE188" s="419"/>
      <c r="CF188" s="437"/>
      <c r="CG188" s="423"/>
      <c r="CH188" s="364">
        <f>(CH22*1000000)/AVERAGE(CH149,CC149)</f>
        <v>53905.449558061569</v>
      </c>
      <c r="CI188" s="419"/>
      <c r="CJ188" s="419"/>
      <c r="CK188" s="419"/>
      <c r="CL188" s="423"/>
      <c r="CM188" s="364">
        <f>(CM22*1000000)/AVERAGE(CM149,CH149)</f>
        <v>53605.019587359617</v>
      </c>
      <c r="CN188" s="419"/>
      <c r="CO188" s="419"/>
      <c r="CP188" s="419"/>
      <c r="CQ188" s="419"/>
      <c r="CR188" s="364">
        <f>(CR22*1000000)/AVERAGE(CR149,CM149)</f>
        <v>57322.25300092336</v>
      </c>
      <c r="CS188" s="419"/>
      <c r="CT188" s="367"/>
      <c r="CU188" s="367"/>
      <c r="CV188" s="367"/>
      <c r="CW188" s="364">
        <f>(CW22*1000000)/AVERAGE(CW149,CR149)</f>
        <v>55974.6835443038</v>
      </c>
      <c r="CX188" s="419"/>
      <c r="CY188" s="367"/>
      <c r="CZ188" s="367"/>
      <c r="DA188" s="367"/>
      <c r="DB188" s="369"/>
      <c r="DC188" s="423"/>
      <c r="DD188" s="367"/>
      <c r="DE188" s="367"/>
      <c r="DF188" s="367"/>
      <c r="DG188" s="369"/>
      <c r="DH188" s="423"/>
      <c r="DI188" s="367"/>
      <c r="DJ188" s="367"/>
      <c r="DK188" s="367"/>
      <c r="DL188" s="369"/>
      <c r="DM188" s="423"/>
      <c r="DN188" s="367"/>
      <c r="DO188" s="367"/>
      <c r="DP188" s="367"/>
      <c r="DQ188" s="369"/>
      <c r="DR188" s="366"/>
      <c r="DS188" s="367"/>
      <c r="DT188"/>
      <c r="DU188"/>
      <c r="DV188"/>
      <c r="DW188"/>
      <c r="DX188"/>
      <c r="DY188"/>
    </row>
    <row r="189" spans="1:129" s="365" customFormat="1" hidden="1" outlineLevel="1">
      <c r="A189" s="716"/>
      <c r="B189" s="729"/>
      <c r="C189" s="718"/>
      <c r="D189" s="725" t="s">
        <v>305</v>
      </c>
      <c r="E189" s="718"/>
      <c r="F189" s="718"/>
      <c r="G189" s="366"/>
      <c r="H189" s="367"/>
      <c r="I189" s="367"/>
      <c r="J189" s="368"/>
      <c r="K189" s="366"/>
      <c r="L189" s="366"/>
      <c r="M189" s="367"/>
      <c r="N189" s="367"/>
      <c r="O189" s="367"/>
      <c r="P189" s="64"/>
      <c r="Q189" s="366"/>
      <c r="R189" s="367"/>
      <c r="S189" s="367"/>
      <c r="T189" s="368"/>
      <c r="U189" s="64">
        <f>U188/P188-1</f>
        <v>8.3349351435841657E-2</v>
      </c>
      <c r="V189" s="367"/>
      <c r="W189" s="367"/>
      <c r="X189" s="367"/>
      <c r="Y189" s="368"/>
      <c r="Z189" s="64">
        <f>Z188/U188-1</f>
        <v>-1.5217930973456362E-2</v>
      </c>
      <c r="AA189" s="367"/>
      <c r="AB189" s="367"/>
      <c r="AC189" s="367"/>
      <c r="AD189" s="367"/>
      <c r="AE189" s="64">
        <f>AE188/Z188-1</f>
        <v>-9.3818205307888758E-2</v>
      </c>
      <c r="AF189" s="366"/>
      <c r="AG189" s="367"/>
      <c r="AH189" s="367"/>
      <c r="AI189" s="367"/>
      <c r="AJ189" s="64">
        <f>AJ188/AE188-1</f>
        <v>5.2272530003217632E-2</v>
      </c>
      <c r="AK189" s="366"/>
      <c r="AL189" s="367"/>
      <c r="AM189" s="367"/>
      <c r="AN189" s="368"/>
      <c r="AO189" s="64">
        <f>AO188/AJ188-1</f>
        <v>-1.8458759092410126E-3</v>
      </c>
      <c r="AP189" s="367"/>
      <c r="AQ189" s="367"/>
      <c r="AR189" s="367"/>
      <c r="AS189" s="368"/>
      <c r="AT189" s="64">
        <f>AT188/AO188-1</f>
        <v>-6.3944119344295114E-2</v>
      </c>
      <c r="AU189" s="367"/>
      <c r="AV189" s="367"/>
      <c r="AW189" s="367"/>
      <c r="AX189" s="367"/>
      <c r="AY189" s="64">
        <f>AY188/AT188-1</f>
        <v>8.8740421026112237E-3</v>
      </c>
      <c r="AZ189" s="366"/>
      <c r="BA189" s="367"/>
      <c r="BB189" s="367"/>
      <c r="BC189" s="367"/>
      <c r="BD189" s="64">
        <f>BD188/AY188-1</f>
        <v>4.6523837207312901E-3</v>
      </c>
      <c r="BE189" s="366"/>
      <c r="BF189" s="367"/>
      <c r="BG189" s="367"/>
      <c r="BH189" s="368"/>
      <c r="BI189" s="64">
        <f>BI188/BD188-1</f>
        <v>6.1450845468038473E-2</v>
      </c>
      <c r="BJ189" s="367"/>
      <c r="BK189" s="367"/>
      <c r="BL189" s="367"/>
      <c r="BM189" s="368"/>
      <c r="BN189" s="64">
        <f>BN188/BI188-1</f>
        <v>-2.6952187127971095E-2</v>
      </c>
      <c r="BO189" s="422"/>
      <c r="BP189" s="423"/>
      <c r="BQ189" s="423"/>
      <c r="BR189" s="424"/>
      <c r="BS189" s="64">
        <f>BS188/BN188-1</f>
        <v>7.5835547137217851E-2</v>
      </c>
      <c r="BT189" s="422"/>
      <c r="BU189" s="423"/>
      <c r="BV189" s="423"/>
      <c r="BW189" s="424"/>
      <c r="BX189" s="64">
        <f>BX188/BS188-1</f>
        <v>5.8725658353195875E-3</v>
      </c>
      <c r="BY189" s="422"/>
      <c r="BZ189" s="423"/>
      <c r="CA189" s="423"/>
      <c r="CB189" s="423"/>
      <c r="CC189" s="405">
        <f>CC188/BX188-1</f>
        <v>-1.4664285262030563E-2</v>
      </c>
      <c r="CD189" s="423"/>
      <c r="CE189" s="419"/>
      <c r="CF189" s="437"/>
      <c r="CG189" s="423"/>
      <c r="CH189" s="405">
        <f>CH188/CC188-1</f>
        <v>8.0094251355842916E-2</v>
      </c>
      <c r="CI189" s="419"/>
      <c r="CJ189" s="419"/>
      <c r="CK189" s="419"/>
      <c r="CL189" s="423"/>
      <c r="CM189" s="405">
        <f>CM188/CH188-1</f>
        <v>-5.5732764157426784E-3</v>
      </c>
      <c r="CN189" s="419"/>
      <c r="CO189" s="419"/>
      <c r="CP189" s="419"/>
      <c r="CQ189" s="419"/>
      <c r="CR189" s="405">
        <f>CR188/CM188-1</f>
        <v>6.9344875576545562E-2</v>
      </c>
      <c r="CS189" s="419"/>
      <c r="CT189" s="367"/>
      <c r="CU189" s="367"/>
      <c r="CV189" s="367"/>
      <c r="CW189" s="405">
        <f>CW188/CR188-1</f>
        <v>-2.3508661751272308E-2</v>
      </c>
      <c r="CX189" s="419"/>
      <c r="CY189" s="367"/>
      <c r="CZ189" s="367"/>
      <c r="DA189" s="367"/>
      <c r="DB189" s="369"/>
      <c r="DC189" s="423"/>
      <c r="DD189" s="367"/>
      <c r="DE189" s="367"/>
      <c r="DF189" s="367"/>
      <c r="DG189" s="369"/>
      <c r="DH189" s="423"/>
      <c r="DI189" s="367"/>
      <c r="DJ189" s="367"/>
      <c r="DK189" s="367"/>
      <c r="DL189" s="369"/>
      <c r="DM189" s="423"/>
      <c r="DN189" s="367"/>
      <c r="DO189" s="367"/>
      <c r="DP189" s="367"/>
      <c r="DQ189" s="369"/>
      <c r="DR189" s="366"/>
      <c r="DS189" s="367"/>
      <c r="DT189"/>
      <c r="DU189"/>
      <c r="DV189"/>
      <c r="DW189"/>
      <c r="DX189"/>
      <c r="DY189"/>
    </row>
    <row r="190" spans="1:129" s="365" customFormat="1" hidden="1" outlineLevel="1">
      <c r="A190" s="716"/>
      <c r="B190" s="729"/>
      <c r="C190" s="718"/>
      <c r="D190" s="725"/>
      <c r="E190" s="718"/>
      <c r="F190" s="718"/>
      <c r="G190" s="366"/>
      <c r="H190" s="367"/>
      <c r="I190" s="367"/>
      <c r="J190" s="368"/>
      <c r="K190" s="366"/>
      <c r="L190" s="366"/>
      <c r="M190" s="367"/>
      <c r="N190" s="367"/>
      <c r="O190" s="367"/>
      <c r="P190" s="437"/>
      <c r="Q190" s="366"/>
      <c r="R190" s="367"/>
      <c r="S190" s="367"/>
      <c r="T190" s="368"/>
      <c r="U190" s="437"/>
      <c r="V190" s="367"/>
      <c r="W190" s="367"/>
      <c r="X190" s="367"/>
      <c r="Y190" s="368"/>
      <c r="Z190" s="437"/>
      <c r="AA190" s="367"/>
      <c r="AB190" s="367"/>
      <c r="AC190" s="367"/>
      <c r="AD190" s="367"/>
      <c r="AE190" s="437"/>
      <c r="AF190" s="366"/>
      <c r="AG190" s="367"/>
      <c r="AH190" s="367"/>
      <c r="AI190" s="367"/>
      <c r="AJ190" s="437"/>
      <c r="AK190" s="366"/>
      <c r="AL190" s="367"/>
      <c r="AM190" s="367"/>
      <c r="AN190" s="368"/>
      <c r="AO190" s="437"/>
      <c r="AP190" s="367"/>
      <c r="AQ190" s="367"/>
      <c r="AR190" s="367"/>
      <c r="AS190" s="368"/>
      <c r="AT190" s="437"/>
      <c r="AU190" s="367"/>
      <c r="AV190" s="367"/>
      <c r="AW190" s="367"/>
      <c r="AX190" s="367"/>
      <c r="AY190" s="437"/>
      <c r="AZ190" s="366"/>
      <c r="BA190" s="367"/>
      <c r="BB190" s="367"/>
      <c r="BC190" s="367"/>
      <c r="BD190" s="437"/>
      <c r="BE190" s="366"/>
      <c r="BF190" s="367"/>
      <c r="BG190" s="367"/>
      <c r="BH190" s="368"/>
      <c r="BI190" s="437"/>
      <c r="BJ190" s="367"/>
      <c r="BK190" s="367"/>
      <c r="BL190" s="367"/>
      <c r="BM190" s="368"/>
      <c r="BN190" s="437"/>
      <c r="BO190" s="422"/>
      <c r="BP190" s="423"/>
      <c r="BQ190" s="423"/>
      <c r="BR190" s="424"/>
      <c r="BS190" s="437"/>
      <c r="BT190" s="422"/>
      <c r="BU190" s="423"/>
      <c r="BV190" s="423"/>
      <c r="BW190" s="424"/>
      <c r="BX190" s="437"/>
      <c r="BY190" s="422"/>
      <c r="BZ190" s="423"/>
      <c r="CA190" s="423"/>
      <c r="CB190" s="423"/>
      <c r="CC190" s="754"/>
      <c r="CD190" s="423"/>
      <c r="CE190" s="419"/>
      <c r="CF190" s="437"/>
      <c r="CG190" s="423"/>
      <c r="CH190" s="754"/>
      <c r="CI190" s="419"/>
      <c r="CJ190" s="419"/>
      <c r="CK190" s="419"/>
      <c r="CL190" s="423"/>
      <c r="CM190" s="754"/>
      <c r="CN190" s="419"/>
      <c r="CO190" s="419"/>
      <c r="CP190" s="419"/>
      <c r="CQ190" s="419"/>
      <c r="CR190" s="754"/>
      <c r="CS190" s="419"/>
      <c r="CT190" s="367"/>
      <c r="CU190" s="367"/>
      <c r="CV190" s="367"/>
      <c r="CW190" s="754"/>
      <c r="CX190" s="419"/>
      <c r="CY190" s="367"/>
      <c r="CZ190" s="367"/>
      <c r="DA190" s="367"/>
      <c r="DB190" s="369"/>
      <c r="DC190" s="423"/>
      <c r="DD190" s="367"/>
      <c r="DE190" s="367"/>
      <c r="DF190" s="367"/>
      <c r="DG190" s="369"/>
      <c r="DH190" s="423"/>
      <c r="DI190" s="367"/>
      <c r="DJ190" s="367"/>
      <c r="DK190" s="367"/>
      <c r="DL190" s="369"/>
      <c r="DM190" s="423"/>
      <c r="DN190" s="367"/>
      <c r="DO190" s="367"/>
      <c r="DP190" s="367"/>
      <c r="DQ190" s="369"/>
      <c r="DR190" s="366"/>
      <c r="DS190" s="367"/>
      <c r="DT190"/>
      <c r="DU190"/>
      <c r="DV190"/>
      <c r="DW190"/>
      <c r="DX190"/>
      <c r="DY190"/>
    </row>
    <row r="191" spans="1:129" s="365" customFormat="1" hidden="1" outlineLevel="1">
      <c r="A191" s="716"/>
      <c r="B191" s="730" t="s">
        <v>309</v>
      </c>
      <c r="C191" s="718"/>
      <c r="D191" s="725"/>
      <c r="E191" s="718"/>
      <c r="F191" s="718"/>
      <c r="G191" s="366"/>
      <c r="H191" s="367"/>
      <c r="I191" s="367"/>
      <c r="J191" s="368"/>
      <c r="K191" s="366"/>
      <c r="L191" s="366"/>
      <c r="M191" s="367"/>
      <c r="N191" s="367"/>
      <c r="O191" s="367"/>
      <c r="P191" s="130">
        <f>(P30+P46)*1000000/AVERAGE(P149,K149)</f>
        <v>38232.275132275136</v>
      </c>
      <c r="Q191" s="366"/>
      <c r="R191" s="367"/>
      <c r="S191" s="367"/>
      <c r="T191" s="368"/>
      <c r="U191" s="130">
        <f>(U30+U46)*1000000/AVERAGE(U149,P149)</f>
        <v>41243.213090368168</v>
      </c>
      <c r="V191" s="367"/>
      <c r="W191" s="367"/>
      <c r="X191" s="367"/>
      <c r="Y191" s="368"/>
      <c r="Z191" s="130">
        <f>(Z30+Z46)*1000000/AVERAGE(Z149,U149)</f>
        <v>40129.287226534943</v>
      </c>
      <c r="AA191" s="367"/>
      <c r="AB191" s="367"/>
      <c r="AC191" s="367"/>
      <c r="AD191" s="367"/>
      <c r="AE191" s="130">
        <f>(AE30+AE46)*1000000/AVERAGE(AE149,Z149)</f>
        <v>32972.765794999046</v>
      </c>
      <c r="AF191" s="366"/>
      <c r="AG191" s="367"/>
      <c r="AH191" s="367"/>
      <c r="AI191" s="367"/>
      <c r="AJ191" s="130">
        <f>(AJ30+AJ46)*1000000/AVERAGE(AJ149,AE149)</f>
        <v>35455.660518818418</v>
      </c>
      <c r="AK191" s="366"/>
      <c r="AL191" s="367"/>
      <c r="AM191" s="367"/>
      <c r="AN191" s="368"/>
      <c r="AO191" s="130">
        <f>(AO30+AO46)*1000000/AVERAGE(AO149,AJ149)</f>
        <v>36285.703549452788</v>
      </c>
      <c r="AP191" s="367"/>
      <c r="AQ191" s="367"/>
      <c r="AR191" s="367"/>
      <c r="AS191" s="368"/>
      <c r="AT191" s="130">
        <f>(AT30+AT46)*1000000/AVERAGE(AT149,AO149)</f>
        <v>34348.87454501335</v>
      </c>
      <c r="AU191" s="367"/>
      <c r="AV191" s="367"/>
      <c r="AW191" s="367"/>
      <c r="AX191" s="367"/>
      <c r="AY191" s="130">
        <f>(AY30+AY46)*1000000/AVERAGE(AY149,AT149)</f>
        <v>35958.511480601737</v>
      </c>
      <c r="AZ191" s="366"/>
      <c r="BA191" s="367"/>
      <c r="BB191" s="367"/>
      <c r="BC191" s="367"/>
      <c r="BD191" s="130">
        <f>(BD30+BD46)*1000000/AVERAGE(BD149,AY149)</f>
        <v>36333.517241379304</v>
      </c>
      <c r="BE191" s="366"/>
      <c r="BF191" s="367"/>
      <c r="BG191" s="367"/>
      <c r="BH191" s="368"/>
      <c r="BI191" s="130">
        <f>(BI30+BI46)*1000000/AVERAGE(BI149,BD149)</f>
        <v>38388.430104955718</v>
      </c>
      <c r="BJ191" s="367"/>
      <c r="BK191" s="367"/>
      <c r="BL191" s="367"/>
      <c r="BM191" s="368"/>
      <c r="BN191" s="130">
        <f>(BN30+BN46)*1000000/AVERAGE(BN149,BI149)</f>
        <v>37322.883430765833</v>
      </c>
      <c r="BO191" s="422"/>
      <c r="BP191" s="423"/>
      <c r="BQ191" s="423"/>
      <c r="BR191" s="424"/>
      <c r="BS191" s="130">
        <f>(BS30+BS46)*1000000/AVERAGE(BS149,BN149)</f>
        <v>40280.186403508771</v>
      </c>
      <c r="BT191" s="422"/>
      <c r="BU191" s="423"/>
      <c r="BV191" s="423"/>
      <c r="BW191" s="424"/>
      <c r="BX191" s="130">
        <f>(BX30+BX46)*1000000/AVERAGE(BX149,BS149)</f>
        <v>40500.256516342575</v>
      </c>
      <c r="BY191" s="422"/>
      <c r="BZ191" s="423"/>
      <c r="CA191" s="423"/>
      <c r="CB191" s="423"/>
      <c r="CC191" s="364">
        <f>(CC30+CC46)*1000000/AVERAGE(CC149,BX149)</f>
        <v>39821.671195652176</v>
      </c>
      <c r="CD191" s="423"/>
      <c r="CE191" s="419"/>
      <c r="CF191" s="437"/>
      <c r="CG191" s="423"/>
      <c r="CH191" s="364">
        <f>(CH30+CH46)*1000000/AVERAGE(CH149,CC149)</f>
        <v>42806.930813776286</v>
      </c>
      <c r="CI191" s="419"/>
      <c r="CJ191" s="419"/>
      <c r="CK191" s="419"/>
      <c r="CL191" s="423"/>
      <c r="CM191" s="364">
        <f>(CM30+CM46)*1000000/AVERAGE(CM149,CH149)</f>
        <v>42802.836249673543</v>
      </c>
      <c r="CN191" s="419"/>
      <c r="CO191" s="419"/>
      <c r="CP191" s="419"/>
      <c r="CQ191" s="419"/>
      <c r="CR191" s="364">
        <f>(CR30+CR46)*1000000/AVERAGE(CR149,CM149)</f>
        <v>46730.840258541095</v>
      </c>
      <c r="CS191" s="419"/>
      <c r="CT191" s="367"/>
      <c r="CU191" s="367"/>
      <c r="CV191" s="367"/>
      <c r="CW191" s="364">
        <f>(CW30+CW46)*1000000/AVERAGE(CW149,CR149)</f>
        <v>45792.073044200042</v>
      </c>
      <c r="CX191" s="419"/>
      <c r="CY191" s="367"/>
      <c r="CZ191" s="367"/>
      <c r="DA191" s="367"/>
      <c r="DB191" s="369"/>
      <c r="DC191" s="423"/>
      <c r="DD191" s="367"/>
      <c r="DE191" s="367"/>
      <c r="DF191" s="367"/>
      <c r="DG191" s="369"/>
      <c r="DH191" s="423"/>
      <c r="DI191" s="367"/>
      <c r="DJ191" s="367"/>
      <c r="DK191" s="367"/>
      <c r="DL191" s="369"/>
      <c r="DM191" s="423"/>
      <c r="DN191" s="367"/>
      <c r="DO191" s="367"/>
      <c r="DP191" s="367"/>
      <c r="DQ191" s="369"/>
      <c r="DR191" s="366"/>
      <c r="DS191" s="367"/>
      <c r="DT191"/>
      <c r="DU191"/>
      <c r="DV191"/>
      <c r="DW191"/>
      <c r="DX191"/>
      <c r="DY191"/>
    </row>
    <row r="192" spans="1:129" s="365" customFormat="1" hidden="1" outlineLevel="1">
      <c r="A192" s="716"/>
      <c r="B192" s="729"/>
      <c r="C192" s="718"/>
      <c r="D192" s="725" t="s">
        <v>305</v>
      </c>
      <c r="E192" s="718"/>
      <c r="F192" s="718"/>
      <c r="G192" s="366"/>
      <c r="H192" s="367"/>
      <c r="I192" s="367"/>
      <c r="J192" s="368"/>
      <c r="K192" s="366"/>
      <c r="L192" s="366"/>
      <c r="M192" s="367"/>
      <c r="N192" s="367"/>
      <c r="O192" s="367"/>
      <c r="P192" s="64"/>
      <c r="Q192" s="366"/>
      <c r="R192" s="367"/>
      <c r="S192" s="367"/>
      <c r="T192" s="368"/>
      <c r="U192" s="64">
        <f>U191/P191-1</f>
        <v>7.8753826385582926E-2</v>
      </c>
      <c r="V192" s="367"/>
      <c r="W192" s="367"/>
      <c r="X192" s="367"/>
      <c r="Y192" s="368"/>
      <c r="Z192" s="64">
        <f>Z191/U191-1</f>
        <v>-2.7008707139099419E-2</v>
      </c>
      <c r="AA192" s="367"/>
      <c r="AB192" s="367"/>
      <c r="AC192" s="367"/>
      <c r="AD192" s="367"/>
      <c r="AE192" s="64">
        <f>AE191/Z191-1</f>
        <v>-0.17833661961490677</v>
      </c>
      <c r="AF192" s="366"/>
      <c r="AG192" s="367"/>
      <c r="AH192" s="367"/>
      <c r="AI192" s="367"/>
      <c r="AJ192" s="64">
        <f>AJ191/AE191-1</f>
        <v>7.5301378697080645E-2</v>
      </c>
      <c r="AK192" s="366"/>
      <c r="AL192" s="367"/>
      <c r="AM192" s="367"/>
      <c r="AN192" s="368"/>
      <c r="AO192" s="64">
        <f>AO191/AJ191-1</f>
        <v>2.3410733814811291E-2</v>
      </c>
      <c r="AP192" s="367"/>
      <c r="AQ192" s="367"/>
      <c r="AR192" s="367"/>
      <c r="AS192" s="368"/>
      <c r="AT192" s="64">
        <f>AT191/AO191-1</f>
        <v>-5.3377193081010188E-2</v>
      </c>
      <c r="AU192" s="367"/>
      <c r="AV192" s="367"/>
      <c r="AW192" s="367"/>
      <c r="AX192" s="367"/>
      <c r="AY192" s="64">
        <f>AY191/AT191-1</f>
        <v>4.6861417059793187E-2</v>
      </c>
      <c r="AZ192" s="366"/>
      <c r="BA192" s="367"/>
      <c r="BB192" s="367"/>
      <c r="BC192" s="367"/>
      <c r="BD192" s="64">
        <f>BD191/AY191-1</f>
        <v>1.0428845503793083E-2</v>
      </c>
      <c r="BE192" s="366"/>
      <c r="BF192" s="367"/>
      <c r="BG192" s="367"/>
      <c r="BH192" s="368"/>
      <c r="BI192" s="64">
        <f>BI191/BD191-1</f>
        <v>5.6556948503629245E-2</v>
      </c>
      <c r="BJ192" s="367"/>
      <c r="BK192" s="367"/>
      <c r="BL192" s="367"/>
      <c r="BM192" s="368"/>
      <c r="BN192" s="64">
        <f>BN191/BI191-1</f>
        <v>-2.7756974465395712E-2</v>
      </c>
      <c r="BO192" s="422"/>
      <c r="BP192" s="423"/>
      <c r="BQ192" s="423"/>
      <c r="BR192" s="424"/>
      <c r="BS192" s="64">
        <f>BS191/BN191-1</f>
        <v>7.9235651185116884E-2</v>
      </c>
      <c r="BT192" s="422"/>
      <c r="BU192" s="423"/>
      <c r="BV192" s="423"/>
      <c r="BW192" s="424"/>
      <c r="BX192" s="64">
        <f>BX191/BS191-1</f>
        <v>5.4634829796773587E-3</v>
      </c>
      <c r="BY192" s="422"/>
      <c r="BZ192" s="423"/>
      <c r="CA192" s="423"/>
      <c r="CB192" s="423"/>
      <c r="CC192" s="405">
        <f>CC191/BX191-1</f>
        <v>-1.6755086981154799E-2</v>
      </c>
      <c r="CD192" s="423"/>
      <c r="CE192" s="419"/>
      <c r="CF192" s="437"/>
      <c r="CG192" s="423"/>
      <c r="CH192" s="405">
        <f>CH191/CC191-1</f>
        <v>7.4965704062416316E-2</v>
      </c>
      <c r="CI192" s="419"/>
      <c r="CJ192" s="419"/>
      <c r="CK192" s="419"/>
      <c r="CL192" s="423"/>
      <c r="CM192" s="405">
        <f>CM191/CH191-1</f>
        <v>-9.5651896197757047E-5</v>
      </c>
      <c r="CN192" s="419"/>
      <c r="CO192" s="419"/>
      <c r="CP192" s="419"/>
      <c r="CQ192" s="419"/>
      <c r="CR192" s="405">
        <f>CR191/CM191-1</f>
        <v>9.176971324879224E-2</v>
      </c>
      <c r="CS192" s="419"/>
      <c r="CT192" s="367"/>
      <c r="CU192" s="367"/>
      <c r="CV192" s="367"/>
      <c r="CW192" s="405">
        <f>CW191/CR191-1</f>
        <v>-2.0088815205274946E-2</v>
      </c>
      <c r="CX192" s="419"/>
      <c r="CY192" s="367"/>
      <c r="CZ192" s="367"/>
      <c r="DA192" s="367"/>
      <c r="DB192" s="369"/>
      <c r="DC192" s="423"/>
      <c r="DD192" s="367"/>
      <c r="DE192" s="367"/>
      <c r="DF192" s="367"/>
      <c r="DG192" s="369"/>
      <c r="DH192" s="423"/>
      <c r="DI192" s="367"/>
      <c r="DJ192" s="367"/>
      <c r="DK192" s="367"/>
      <c r="DL192" s="369"/>
      <c r="DM192" s="423"/>
      <c r="DN192" s="367"/>
      <c r="DO192" s="367"/>
      <c r="DP192" s="367"/>
      <c r="DQ192" s="369"/>
      <c r="DR192" s="366"/>
      <c r="DS192" s="367"/>
      <c r="DT192"/>
      <c r="DU192"/>
      <c r="DV192"/>
      <c r="DW192"/>
      <c r="DX192"/>
      <c r="DY192"/>
    </row>
    <row r="193" spans="1:129" s="365" customFormat="1" hidden="1" outlineLevel="1">
      <c r="A193" s="716"/>
      <c r="B193" s="729"/>
      <c r="C193" s="718"/>
      <c r="D193" s="725"/>
      <c r="E193" s="718"/>
      <c r="F193" s="718"/>
      <c r="G193" s="366"/>
      <c r="H193" s="367"/>
      <c r="I193" s="367"/>
      <c r="J193" s="368"/>
      <c r="K193" s="366"/>
      <c r="L193" s="366"/>
      <c r="M193" s="367"/>
      <c r="N193" s="367"/>
      <c r="O193" s="367"/>
      <c r="P193" s="367"/>
      <c r="Q193" s="366"/>
      <c r="R193" s="367"/>
      <c r="S193" s="367"/>
      <c r="T193" s="368"/>
      <c r="U193" s="367"/>
      <c r="V193" s="367"/>
      <c r="W193" s="367"/>
      <c r="X193" s="367"/>
      <c r="Y193" s="368"/>
      <c r="Z193" s="367"/>
      <c r="AA193" s="367"/>
      <c r="AB193" s="367"/>
      <c r="AC193" s="367"/>
      <c r="AD193" s="367"/>
      <c r="AE193" s="367"/>
      <c r="AF193" s="366"/>
      <c r="AG193" s="367"/>
      <c r="AH193" s="367"/>
      <c r="AI193" s="367"/>
      <c r="AJ193" s="367"/>
      <c r="AK193" s="366"/>
      <c r="AL193" s="367"/>
      <c r="AM193" s="367"/>
      <c r="AN193" s="368"/>
      <c r="AO193" s="367"/>
      <c r="AP193" s="367"/>
      <c r="AQ193" s="367"/>
      <c r="AR193" s="367"/>
      <c r="AS193" s="368"/>
      <c r="AT193" s="367"/>
      <c r="AU193" s="367"/>
      <c r="AV193" s="367"/>
      <c r="AW193" s="367"/>
      <c r="AX193" s="367"/>
      <c r="AY193" s="367"/>
      <c r="AZ193" s="366"/>
      <c r="BA193" s="367"/>
      <c r="BB193" s="367"/>
      <c r="BC193" s="367"/>
      <c r="BD193" s="367"/>
      <c r="BE193" s="366"/>
      <c r="BF193" s="367"/>
      <c r="BG193" s="367"/>
      <c r="BH193" s="368"/>
      <c r="BI193" s="367"/>
      <c r="BJ193" s="367"/>
      <c r="BK193" s="367"/>
      <c r="BL193" s="367"/>
      <c r="BM193" s="368"/>
      <c r="BN193" s="367"/>
      <c r="BO193" s="422"/>
      <c r="BP193" s="423"/>
      <c r="BQ193" s="423"/>
      <c r="BR193" s="424"/>
      <c r="BS193" s="367"/>
      <c r="BT193" s="422"/>
      <c r="BU193" s="423"/>
      <c r="BV193" s="423"/>
      <c r="BW193" s="424"/>
      <c r="BX193" s="367"/>
      <c r="BY193" s="422"/>
      <c r="BZ193" s="423"/>
      <c r="CA193" s="423"/>
      <c r="CB193" s="423"/>
      <c r="CC193" s="369"/>
      <c r="CD193" s="423"/>
      <c r="CE193" s="419"/>
      <c r="CF193" s="437"/>
      <c r="CG193" s="423"/>
      <c r="CH193" s="369"/>
      <c r="CI193" s="419"/>
      <c r="CJ193" s="419"/>
      <c r="CK193" s="419"/>
      <c r="CL193" s="423"/>
      <c r="CM193" s="369"/>
      <c r="CN193" s="419"/>
      <c r="CO193" s="419"/>
      <c r="CP193" s="419"/>
      <c r="CQ193" s="419"/>
      <c r="CR193" s="369"/>
      <c r="CS193" s="419"/>
      <c r="CT193" s="367"/>
      <c r="CU193" s="367"/>
      <c r="CV193" s="367"/>
      <c r="CW193" s="369"/>
      <c r="CX193" s="419"/>
      <c r="CY193" s="367"/>
      <c r="CZ193" s="367"/>
      <c r="DA193" s="367"/>
      <c r="DB193" s="369"/>
      <c r="DC193" s="423"/>
      <c r="DD193" s="367"/>
      <c r="DE193" s="367"/>
      <c r="DF193" s="367"/>
      <c r="DG193" s="369"/>
      <c r="DH193" s="423"/>
      <c r="DI193" s="367"/>
      <c r="DJ193" s="367"/>
      <c r="DK193" s="367"/>
      <c r="DL193" s="369"/>
      <c r="DM193" s="423"/>
      <c r="DN193" s="367"/>
      <c r="DO193" s="367"/>
      <c r="DP193" s="367"/>
      <c r="DQ193" s="369"/>
      <c r="DR193" s="366"/>
      <c r="DS193" s="367"/>
      <c r="DT193"/>
      <c r="DU193"/>
      <c r="DV193"/>
      <c r="DW193"/>
      <c r="DX193"/>
      <c r="DY193"/>
    </row>
    <row r="194" spans="1:129" s="365" customFormat="1" hidden="1" outlineLevel="1">
      <c r="A194" s="716"/>
      <c r="B194" s="729" t="s">
        <v>214</v>
      </c>
      <c r="C194" s="718"/>
      <c r="D194" s="718"/>
      <c r="E194" s="718"/>
      <c r="F194" s="718"/>
      <c r="G194" s="366"/>
      <c r="H194" s="367"/>
      <c r="I194" s="367"/>
      <c r="J194" s="368"/>
      <c r="K194" s="366"/>
      <c r="L194" s="366"/>
      <c r="M194" s="367"/>
      <c r="N194" s="367"/>
      <c r="O194" s="367"/>
      <c r="P194" s="367"/>
      <c r="Q194" s="366"/>
      <c r="R194" s="367"/>
      <c r="S194" s="367"/>
      <c r="T194" s="368"/>
      <c r="U194" s="367"/>
      <c r="V194" s="367"/>
      <c r="W194" s="367"/>
      <c r="X194" s="367"/>
      <c r="Y194" s="368"/>
      <c r="Z194" s="367"/>
      <c r="AA194" s="367"/>
      <c r="AB194" s="367"/>
      <c r="AC194" s="367"/>
      <c r="AD194" s="367"/>
      <c r="AE194" s="367"/>
      <c r="AF194" s="366"/>
      <c r="AG194" s="367"/>
      <c r="AH194" s="367"/>
      <c r="AI194" s="367"/>
      <c r="AJ194" s="367"/>
      <c r="AK194" s="366"/>
      <c r="AL194" s="367"/>
      <c r="AM194" s="367"/>
      <c r="AN194" s="368"/>
      <c r="AO194" s="367"/>
      <c r="AP194" s="367"/>
      <c r="AQ194" s="367"/>
      <c r="AR194" s="367"/>
      <c r="AS194" s="368"/>
      <c r="AT194" s="367"/>
      <c r="AU194" s="367"/>
      <c r="AV194" s="367"/>
      <c r="AW194" s="367"/>
      <c r="AX194" s="367"/>
      <c r="AY194" s="367"/>
      <c r="AZ194" s="366"/>
      <c r="BA194" s="367"/>
      <c r="BB194" s="367"/>
      <c r="BC194" s="367"/>
      <c r="BD194" s="367"/>
      <c r="BE194" s="366"/>
      <c r="BF194" s="367"/>
      <c r="BG194" s="367"/>
      <c r="BH194" s="368"/>
      <c r="BI194" s="367"/>
      <c r="BJ194" s="367"/>
      <c r="BK194" s="367"/>
      <c r="BL194" s="367"/>
      <c r="BM194" s="368"/>
      <c r="BN194" s="367"/>
      <c r="BO194" s="422"/>
      <c r="BP194" s="423"/>
      <c r="BQ194" s="423"/>
      <c r="BR194" s="424"/>
      <c r="BS194" s="367"/>
      <c r="BT194" s="422"/>
      <c r="BU194" s="423"/>
      <c r="BV194" s="423"/>
      <c r="BW194" s="424"/>
      <c r="BX194" s="367"/>
      <c r="BY194" s="422"/>
      <c r="BZ194" s="423"/>
      <c r="CA194" s="423"/>
      <c r="CB194" s="423"/>
      <c r="CC194" s="369"/>
      <c r="CD194" s="423"/>
      <c r="CE194" s="419"/>
      <c r="CF194" s="367"/>
      <c r="CG194" s="423"/>
      <c r="CH194" s="369"/>
      <c r="CI194" s="419"/>
      <c r="CJ194" s="419"/>
      <c r="CK194" s="419"/>
      <c r="CL194" s="423"/>
      <c r="CM194" s="369"/>
      <c r="CN194" s="419"/>
      <c r="CO194" s="419"/>
      <c r="CP194" s="419"/>
      <c r="CQ194" s="419"/>
      <c r="CR194" s="369"/>
      <c r="CS194" s="419"/>
      <c r="CT194" s="367"/>
      <c r="CU194" s="367"/>
      <c r="CV194" s="367"/>
      <c r="CW194" s="369"/>
      <c r="CX194" s="419"/>
      <c r="CY194" s="367"/>
      <c r="CZ194" s="367"/>
      <c r="DA194" s="367"/>
      <c r="DB194" s="369"/>
      <c r="DC194" s="423"/>
      <c r="DD194" s="367"/>
      <c r="DE194" s="367"/>
      <c r="DF194" s="367"/>
      <c r="DG194" s="369"/>
      <c r="DH194" s="423"/>
      <c r="DI194" s="367"/>
      <c r="DJ194" s="367"/>
      <c r="DK194" s="367"/>
      <c r="DL194" s="369"/>
      <c r="DM194" s="423"/>
      <c r="DN194" s="367"/>
      <c r="DO194" s="367"/>
      <c r="DP194" s="367"/>
      <c r="DQ194" s="369"/>
      <c r="DR194" s="366"/>
      <c r="DS194" s="367"/>
      <c r="DT194"/>
      <c r="DU194"/>
      <c r="DV194"/>
      <c r="DW194"/>
      <c r="DX194"/>
      <c r="DY194"/>
    </row>
    <row r="195" spans="1:129" s="365" customFormat="1" hidden="1" outlineLevel="1">
      <c r="A195" s="716"/>
      <c r="B195" s="717"/>
      <c r="C195" s="718" t="s">
        <v>205</v>
      </c>
      <c r="D195" s="718"/>
      <c r="E195" s="718"/>
      <c r="F195" s="718"/>
      <c r="G195" s="379"/>
      <c r="H195" s="309"/>
      <c r="I195" s="309">
        <v>0.25</v>
      </c>
      <c r="J195" s="308">
        <v>0.36</v>
      </c>
      <c r="K195" s="366"/>
      <c r="L195" s="379">
        <v>0.28999999999999998</v>
      </c>
      <c r="M195" s="309">
        <v>0.28999999999999998</v>
      </c>
      <c r="N195" s="309">
        <v>0.34</v>
      </c>
      <c r="O195" s="309">
        <v>0.4</v>
      </c>
      <c r="P195" s="64">
        <f>P183/P$22</f>
        <v>0.33268919283721771</v>
      </c>
      <c r="Q195" s="379">
        <v>0.4</v>
      </c>
      <c r="R195" s="309">
        <v>0.48</v>
      </c>
      <c r="S195" s="309">
        <v>0.47</v>
      </c>
      <c r="T195" s="308">
        <v>0.47</v>
      </c>
      <c r="U195" s="64">
        <f>U183/U$22</f>
        <v>0.45849245791098364</v>
      </c>
      <c r="V195" s="309">
        <v>0.44</v>
      </c>
      <c r="W195" s="309">
        <v>0.43</v>
      </c>
      <c r="X195" s="309">
        <v>0.43</v>
      </c>
      <c r="Y195" s="308">
        <v>0.42</v>
      </c>
      <c r="Z195" s="64">
        <f>Z183/Z$22</f>
        <v>0.42999679375400779</v>
      </c>
      <c r="AA195" s="309">
        <v>0.45</v>
      </c>
      <c r="AB195" s="309">
        <v>0.43</v>
      </c>
      <c r="AC195" s="309">
        <v>0.42</v>
      </c>
      <c r="AD195" s="309">
        <v>0.41</v>
      </c>
      <c r="AE195" s="64">
        <f>AE183/AE$22</f>
        <v>0.42553499559117536</v>
      </c>
      <c r="AF195" s="379">
        <v>0.38</v>
      </c>
      <c r="AG195" s="309">
        <v>0.4</v>
      </c>
      <c r="AH195" s="309">
        <v>0.42</v>
      </c>
      <c r="AI195" s="309">
        <v>0.43</v>
      </c>
      <c r="AJ195" s="64">
        <f>AJ183/AJ$22</f>
        <v>0.41009322952168614</v>
      </c>
      <c r="AK195" s="379">
        <v>0.437</v>
      </c>
      <c r="AL195" s="309">
        <v>0.45</v>
      </c>
      <c r="AM195" s="309">
        <v>0.47</v>
      </c>
      <c r="AN195" s="308">
        <v>0.48</v>
      </c>
      <c r="AO195" s="64">
        <f>AO183/AO$22</f>
        <v>0.46148056583480068</v>
      </c>
      <c r="AP195" s="309">
        <v>0.48</v>
      </c>
      <c r="AQ195" s="309">
        <v>0.48</v>
      </c>
      <c r="AR195" s="309">
        <v>0.48</v>
      </c>
      <c r="AS195" s="308">
        <v>0.5</v>
      </c>
      <c r="AT195" s="64">
        <f>AT183/AT$22</f>
        <v>0.48580025512795905</v>
      </c>
      <c r="AU195" s="309">
        <v>0.51</v>
      </c>
      <c r="AV195" s="309">
        <v>0.49</v>
      </c>
      <c r="AW195" s="309">
        <v>0.48</v>
      </c>
      <c r="AX195" s="309">
        <v>0.49</v>
      </c>
      <c r="AY195" s="64">
        <f>AY183/AY$22</f>
        <v>0.49135814422436241</v>
      </c>
      <c r="AZ195" s="379">
        <v>0.47151237317226846</v>
      </c>
      <c r="BA195" s="309">
        <v>0.48</v>
      </c>
      <c r="BB195" s="309">
        <v>0.49</v>
      </c>
      <c r="BC195" s="309">
        <v>0.49315949836321332</v>
      </c>
      <c r="BD195" s="64">
        <f>BD183/BD$22</f>
        <v>0.48448445080650326</v>
      </c>
      <c r="BE195" s="379">
        <v>0.48213980276968338</v>
      </c>
      <c r="BF195" s="309">
        <v>0.47</v>
      </c>
      <c r="BG195" s="309">
        <v>0.47</v>
      </c>
      <c r="BH195" s="308">
        <v>0.45424244235072275</v>
      </c>
      <c r="BI195" s="64">
        <f>BI183/BI$22</f>
        <v>0.46855875999181906</v>
      </c>
      <c r="BJ195" s="309">
        <v>0.45</v>
      </c>
      <c r="BK195" s="309">
        <v>0.44600000000000001</v>
      </c>
      <c r="BL195" s="309">
        <v>0.44400038430534466</v>
      </c>
      <c r="BM195" s="308">
        <v>0.43732165309104359</v>
      </c>
      <c r="BN195" s="64">
        <f>BN183/BN$22</f>
        <v>0.44399999999999989</v>
      </c>
      <c r="BO195" s="379">
        <v>0.45100000000000001</v>
      </c>
      <c r="BP195" s="309">
        <v>0.48</v>
      </c>
      <c r="BQ195" s="309">
        <v>0.5</v>
      </c>
      <c r="BR195" s="309">
        <v>0.5</v>
      </c>
      <c r="BS195" s="64">
        <f>BS183/BS$22</f>
        <v>0.48494697204439785</v>
      </c>
      <c r="BT195" s="379">
        <v>0.5</v>
      </c>
      <c r="BU195" s="309">
        <v>0.51</v>
      </c>
      <c r="BV195" s="309">
        <v>0.51</v>
      </c>
      <c r="BW195" s="309">
        <v>0.51</v>
      </c>
      <c r="BX195" s="64">
        <f>BX183/BX$22</f>
        <v>0.50775981366918277</v>
      </c>
      <c r="BY195" s="554">
        <v>0.51400000000000001</v>
      </c>
      <c r="BZ195" s="309">
        <v>0.51600000000000001</v>
      </c>
      <c r="CA195" s="309">
        <v>0.51200000000000001</v>
      </c>
      <c r="CB195" s="309">
        <v>0.504</v>
      </c>
      <c r="CC195" s="405">
        <f>CC183/CC$22</f>
        <v>0.51132183203039505</v>
      </c>
      <c r="CD195" s="309">
        <v>0.497</v>
      </c>
      <c r="CE195" s="309">
        <v>0.505</v>
      </c>
      <c r="CF195" s="309">
        <v>0.50800000000000001</v>
      </c>
      <c r="CG195" s="309">
        <v>0.5</v>
      </c>
      <c r="CH195" s="405">
        <f>CH183/CH$22</f>
        <v>0.50262233115225741</v>
      </c>
      <c r="CI195" s="309">
        <v>0.51300000000000001</v>
      </c>
      <c r="CJ195" s="309">
        <v>0.52</v>
      </c>
      <c r="CK195" s="309">
        <v>0.53500000000000003</v>
      </c>
      <c r="CL195" s="309">
        <v>0.54400000000000004</v>
      </c>
      <c r="CM195" s="405">
        <f>CM183/CM$22</f>
        <v>0.52853307425223484</v>
      </c>
      <c r="CN195" s="309">
        <v>0.56299999999999994</v>
      </c>
      <c r="CO195" s="309">
        <v>0.56999999999999995</v>
      </c>
      <c r="CP195" s="309">
        <v>0.58199999999999996</v>
      </c>
      <c r="CQ195" s="309">
        <v>0.58399999999999996</v>
      </c>
      <c r="CR195" s="405">
        <f>CR183/CR$22</f>
        <v>0.57508369845360818</v>
      </c>
      <c r="CS195" s="309">
        <v>0.57799999999999996</v>
      </c>
      <c r="CT195" s="309">
        <v>0.57499999999999996</v>
      </c>
      <c r="CU195" s="309">
        <v>0.57399999999999995</v>
      </c>
      <c r="CV195" s="309">
        <v>0.57499999999999996</v>
      </c>
      <c r="CW195" s="405">
        <f>CW183/CW$22</f>
        <v>0.57545619888634314</v>
      </c>
      <c r="CX195" s="309">
        <v>0.57799999999999996</v>
      </c>
      <c r="CY195" s="309">
        <f>1-CY196</f>
        <v>0.58699999999999997</v>
      </c>
      <c r="CZ195" s="309">
        <f>1-CZ196</f>
        <v>0.58400000000000007</v>
      </c>
      <c r="DA195" s="64">
        <f>1-DA196</f>
        <v>0.57299999999999995</v>
      </c>
      <c r="DB195" s="858"/>
      <c r="DC195" s="309"/>
      <c r="DD195" s="309"/>
      <c r="DE195" s="309"/>
      <c r="DF195" s="367"/>
      <c r="DG195" s="369"/>
      <c r="DH195" s="309"/>
      <c r="DI195" s="309"/>
      <c r="DJ195" s="309"/>
      <c r="DK195" s="367"/>
      <c r="DL195" s="369"/>
      <c r="DM195" s="309"/>
      <c r="DN195" s="309"/>
      <c r="DO195" s="309"/>
      <c r="DP195" s="367"/>
      <c r="DQ195" s="369"/>
      <c r="DR195" s="366"/>
      <c r="DS195" s="367"/>
      <c r="DT195"/>
      <c r="DU195"/>
      <c r="DV195"/>
      <c r="DW195"/>
      <c r="DX195"/>
      <c r="DY195"/>
    </row>
    <row r="196" spans="1:129" s="365" customFormat="1" hidden="1" outlineLevel="1">
      <c r="A196" s="716"/>
      <c r="B196" s="717"/>
      <c r="C196" s="718" t="s">
        <v>206</v>
      </c>
      <c r="D196" s="718"/>
      <c r="E196" s="718"/>
      <c r="F196" s="718"/>
      <c r="G196" s="379"/>
      <c r="H196" s="309"/>
      <c r="I196" s="309">
        <v>0.24</v>
      </c>
      <c r="J196" s="308">
        <v>0.26</v>
      </c>
      <c r="K196" s="366"/>
      <c r="L196" s="379">
        <v>0.4</v>
      </c>
      <c r="M196" s="309">
        <v>0.44</v>
      </c>
      <c r="N196" s="309">
        <v>0.49</v>
      </c>
      <c r="O196" s="309">
        <v>0.47</v>
      </c>
      <c r="P196" s="64">
        <f>P185/P$22</f>
        <v>0.45180914244578424</v>
      </c>
      <c r="Q196" s="379">
        <v>0.51</v>
      </c>
      <c r="R196" s="309">
        <v>0.44</v>
      </c>
      <c r="S196" s="309">
        <v>0.47</v>
      </c>
      <c r="T196" s="308">
        <v>0.47</v>
      </c>
      <c r="U196" s="64">
        <f>U185/U$22</f>
        <v>0.47093971437120064</v>
      </c>
      <c r="V196" s="309">
        <v>0.5</v>
      </c>
      <c r="W196" s="309">
        <v>0.51</v>
      </c>
      <c r="X196" s="309">
        <v>0.53</v>
      </c>
      <c r="Y196" s="308">
        <v>0.54</v>
      </c>
      <c r="Z196" s="64">
        <f>Z185/Z$22</f>
        <v>0.52001153123558597</v>
      </c>
      <c r="AA196" s="309">
        <f>1-AA195</f>
        <v>0.55000000000000004</v>
      </c>
      <c r="AB196" s="309">
        <f>1-AB195</f>
        <v>0.57000000000000006</v>
      </c>
      <c r="AC196" s="309">
        <f>1-AC195</f>
        <v>0.58000000000000007</v>
      </c>
      <c r="AD196" s="309">
        <f>1-AD195</f>
        <v>0.59000000000000008</v>
      </c>
      <c r="AE196" s="64">
        <f>AE185/AE$22</f>
        <v>0.57446500440882475</v>
      </c>
      <c r="AF196" s="379">
        <f>1-AF195</f>
        <v>0.62</v>
      </c>
      <c r="AG196" s="309">
        <f>1-AG195</f>
        <v>0.6</v>
      </c>
      <c r="AH196" s="309">
        <f>1-AH195</f>
        <v>0.58000000000000007</v>
      </c>
      <c r="AI196" s="309">
        <f>1-AI195</f>
        <v>0.57000000000000006</v>
      </c>
      <c r="AJ196" s="64">
        <f>AJ185/AJ$22</f>
        <v>0.58990677047831397</v>
      </c>
      <c r="AK196" s="379">
        <f>1-AK195</f>
        <v>0.56299999999999994</v>
      </c>
      <c r="AL196" s="309">
        <f>1-AL195</f>
        <v>0.55000000000000004</v>
      </c>
      <c r="AM196" s="309">
        <f>1-AM195</f>
        <v>0.53</v>
      </c>
      <c r="AN196" s="308">
        <f>1-AN195</f>
        <v>0.52</v>
      </c>
      <c r="AO196" s="64">
        <f>AO185/AO$22</f>
        <v>0.53851943416519932</v>
      </c>
      <c r="AP196" s="309">
        <f>1-AP195</f>
        <v>0.52</v>
      </c>
      <c r="AQ196" s="309">
        <f>1-AQ195</f>
        <v>0.52</v>
      </c>
      <c r="AR196" s="309">
        <f>1-AR195</f>
        <v>0.52</v>
      </c>
      <c r="AS196" s="308">
        <f>1-AS195</f>
        <v>0.5</v>
      </c>
      <c r="AT196" s="64">
        <f>AT185/AT$22</f>
        <v>0.51419974487204101</v>
      </c>
      <c r="AU196" s="309">
        <f>1-AU195</f>
        <v>0.49</v>
      </c>
      <c r="AV196" s="309">
        <f>1-AV195</f>
        <v>0.51</v>
      </c>
      <c r="AW196" s="309">
        <f>1-AW195</f>
        <v>0.52</v>
      </c>
      <c r="AX196" s="309">
        <f>1-AX195</f>
        <v>0.51</v>
      </c>
      <c r="AY196" s="64">
        <f>AY185/AY$22</f>
        <v>0.50864185577563759</v>
      </c>
      <c r="AZ196" s="379">
        <f>1-AZ195</f>
        <v>0.52848762682773154</v>
      </c>
      <c r="BA196" s="309">
        <f>1-BA195</f>
        <v>0.52</v>
      </c>
      <c r="BB196" s="309">
        <f>1-BB195</f>
        <v>0.51</v>
      </c>
      <c r="BC196" s="309">
        <f>1-BC195</f>
        <v>0.50684050163678673</v>
      </c>
      <c r="BD196" s="64">
        <f>BD185/BD$22</f>
        <v>0.51551554919349662</v>
      </c>
      <c r="BE196" s="379">
        <f>1-BE195</f>
        <v>0.51786019723031662</v>
      </c>
      <c r="BF196" s="309">
        <f>1-BF195</f>
        <v>0.53</v>
      </c>
      <c r="BG196" s="309">
        <f>1-BG195</f>
        <v>0.53</v>
      </c>
      <c r="BH196" s="308">
        <f>1-BH195</f>
        <v>0.54575755764927725</v>
      </c>
      <c r="BI196" s="64">
        <f>BI185/BI$22</f>
        <v>0.53144124000818094</v>
      </c>
      <c r="BJ196" s="309">
        <f>1-BJ195</f>
        <v>0.55000000000000004</v>
      </c>
      <c r="BK196" s="309">
        <f>1-BK195</f>
        <v>0.55400000000000005</v>
      </c>
      <c r="BL196" s="309">
        <f>1-BL195</f>
        <v>0.55599961569465539</v>
      </c>
      <c r="BM196" s="308">
        <f>1-BM195</f>
        <v>0.56267834690895646</v>
      </c>
      <c r="BN196" s="64">
        <f>BN185/BN$22</f>
        <v>0.55600000000000005</v>
      </c>
      <c r="BO196" s="379">
        <f>1-BO195</f>
        <v>0.54899999999999993</v>
      </c>
      <c r="BP196" s="309">
        <f>1-BP195</f>
        <v>0.52</v>
      </c>
      <c r="BQ196" s="309">
        <f>1-BQ195</f>
        <v>0.5</v>
      </c>
      <c r="BR196" s="309">
        <f>1-BR195</f>
        <v>0.5</v>
      </c>
      <c r="BS196" s="64">
        <f>BS185/BS$22</f>
        <v>0.51505302795560215</v>
      </c>
      <c r="BT196" s="379">
        <f>1-BT195</f>
        <v>0.5</v>
      </c>
      <c r="BU196" s="309">
        <f>1-BU195</f>
        <v>0.49</v>
      </c>
      <c r="BV196" s="309">
        <f>1-BV195</f>
        <v>0.49</v>
      </c>
      <c r="BW196" s="309">
        <f>1-BW195</f>
        <v>0.49</v>
      </c>
      <c r="BX196" s="64">
        <f>BX185/BX$22</f>
        <v>0.49224018633081723</v>
      </c>
      <c r="BY196" s="379">
        <f>1-BY195</f>
        <v>0.48599999999999999</v>
      </c>
      <c r="BZ196" s="309">
        <f>1-BZ195</f>
        <v>0.48399999999999999</v>
      </c>
      <c r="CA196" s="309">
        <f>1-CA195</f>
        <v>0.48799999999999999</v>
      </c>
      <c r="CB196" s="309">
        <f>1-CB195</f>
        <v>0.496</v>
      </c>
      <c r="CC196" s="405">
        <f>CC185/CC$22</f>
        <v>0.488678167969605</v>
      </c>
      <c r="CD196" s="309">
        <f>1-CD195</f>
        <v>0.503</v>
      </c>
      <c r="CE196" s="309">
        <v>0.495</v>
      </c>
      <c r="CF196" s="309">
        <f>1-CF195</f>
        <v>0.49199999999999999</v>
      </c>
      <c r="CG196" s="309">
        <v>0.5</v>
      </c>
      <c r="CH196" s="405">
        <f>CH185/CH$22</f>
        <v>0.49737766884774259</v>
      </c>
      <c r="CI196" s="309">
        <f>1-CI195</f>
        <v>0.48699999999999999</v>
      </c>
      <c r="CJ196" s="309">
        <f>1-CJ195</f>
        <v>0.48</v>
      </c>
      <c r="CK196" s="309">
        <f>1-CK195</f>
        <v>0.46499999999999997</v>
      </c>
      <c r="CL196" s="309">
        <f>1-CL195</f>
        <v>0.45599999999999996</v>
      </c>
      <c r="CM196" s="405">
        <f>CM185/CM$22</f>
        <v>0.47146692574776511</v>
      </c>
      <c r="CN196" s="309">
        <f>1-CN195</f>
        <v>0.43700000000000006</v>
      </c>
      <c r="CO196" s="309">
        <v>0.43</v>
      </c>
      <c r="CP196" s="309">
        <f>1-CP195</f>
        <v>0.41800000000000004</v>
      </c>
      <c r="CQ196" s="309">
        <v>0.41799999999999998</v>
      </c>
      <c r="CR196" s="405">
        <f>CR185/CR$22</f>
        <v>0.42543700064432993</v>
      </c>
      <c r="CS196" s="309">
        <v>0.42199999999999999</v>
      </c>
      <c r="CT196" s="309">
        <v>0.42499999999999999</v>
      </c>
      <c r="CU196" s="309">
        <f>1-CU195</f>
        <v>0.42600000000000005</v>
      </c>
      <c r="CV196" s="309">
        <v>0.42499999999999999</v>
      </c>
      <c r="CW196" s="405">
        <f>CW185/CW$22</f>
        <v>0.42454380111365675</v>
      </c>
      <c r="CX196" s="309">
        <v>0.42199999999999999</v>
      </c>
      <c r="CY196" s="309">
        <v>0.41299999999999998</v>
      </c>
      <c r="CZ196" s="309">
        <v>0.41599999999999998</v>
      </c>
      <c r="DA196" s="473">
        <v>0.42699999999999999</v>
      </c>
      <c r="DB196" s="858"/>
      <c r="DC196" s="309"/>
      <c r="DD196" s="309"/>
      <c r="DE196" s="309"/>
      <c r="DF196" s="367"/>
      <c r="DG196" s="369"/>
      <c r="DH196" s="309"/>
      <c r="DI196" s="309"/>
      <c r="DJ196" s="309"/>
      <c r="DK196" s="367"/>
      <c r="DL196" s="369"/>
      <c r="DM196" s="309"/>
      <c r="DN196" s="309"/>
      <c r="DO196" s="309"/>
      <c r="DP196" s="367"/>
      <c r="DQ196" s="369"/>
      <c r="DR196" s="366"/>
      <c r="DS196" s="367"/>
      <c r="DT196"/>
      <c r="DU196"/>
      <c r="DV196"/>
      <c r="DW196"/>
      <c r="DX196"/>
      <c r="DY196"/>
    </row>
    <row r="197" spans="1:129" s="365" customFormat="1" hidden="1" outlineLevel="2">
      <c r="A197" s="716"/>
      <c r="B197" s="717"/>
      <c r="C197" s="718" t="s">
        <v>212</v>
      </c>
      <c r="D197" s="718"/>
      <c r="E197" s="718"/>
      <c r="F197" s="718"/>
      <c r="G197" s="379"/>
      <c r="H197" s="309"/>
      <c r="I197" s="309">
        <v>0.02</v>
      </c>
      <c r="J197" s="308">
        <v>0.04</v>
      </c>
      <c r="K197" s="366"/>
      <c r="L197" s="379">
        <v>0.05</v>
      </c>
      <c r="M197" s="309">
        <v>7.0000000000000007E-2</v>
      </c>
      <c r="N197" s="309">
        <v>0.06</v>
      </c>
      <c r="O197" s="309">
        <v>0.06</v>
      </c>
      <c r="P197" s="367"/>
      <c r="Q197" s="379">
        <v>7.0000000000000007E-2</v>
      </c>
      <c r="R197" s="309">
        <v>0.08</v>
      </c>
      <c r="S197" s="309">
        <v>0.06</v>
      </c>
      <c r="T197" s="308">
        <v>0.06</v>
      </c>
      <c r="U197" s="367"/>
      <c r="V197" s="309">
        <v>0.06</v>
      </c>
      <c r="W197" s="309">
        <v>0.06</v>
      </c>
      <c r="X197" s="309">
        <v>0.04</v>
      </c>
      <c r="Y197" s="308">
        <v>0.04</v>
      </c>
      <c r="Z197" s="367"/>
      <c r="AA197" s="309"/>
      <c r="AB197" s="309"/>
      <c r="AC197" s="309"/>
      <c r="AD197" s="309"/>
      <c r="AE197" s="367"/>
      <c r="AF197" s="379"/>
      <c r="AG197" s="309"/>
      <c r="AH197" s="309"/>
      <c r="AI197" s="309"/>
      <c r="AJ197" s="367"/>
      <c r="AK197" s="379"/>
      <c r="AL197" s="309"/>
      <c r="AM197" s="309"/>
      <c r="AN197" s="308"/>
      <c r="AO197" s="367"/>
      <c r="AP197" s="309"/>
      <c r="AQ197" s="309"/>
      <c r="AR197" s="309"/>
      <c r="AS197" s="308"/>
      <c r="AT197" s="367"/>
      <c r="AU197" s="309"/>
      <c r="AV197" s="309"/>
      <c r="AW197" s="309"/>
      <c r="AX197" s="309"/>
      <c r="AY197" s="367"/>
      <c r="AZ197" s="379"/>
      <c r="BA197" s="309"/>
      <c r="BB197" s="309"/>
      <c r="BC197" s="309"/>
      <c r="BD197" s="367"/>
      <c r="BE197" s="379"/>
      <c r="BF197" s="309"/>
      <c r="BG197" s="309"/>
      <c r="BH197" s="308"/>
      <c r="BI197" s="367"/>
      <c r="BJ197" s="309"/>
      <c r="BK197" s="309"/>
      <c r="BL197" s="309"/>
      <c r="BM197" s="308"/>
      <c r="BN197" s="367"/>
      <c r="BO197" s="379"/>
      <c r="BP197" s="309"/>
      <c r="BQ197" s="309"/>
      <c r="BR197" s="309"/>
      <c r="BS197" s="367"/>
      <c r="BT197" s="379"/>
      <c r="BU197" s="309"/>
      <c r="BV197" s="309"/>
      <c r="BW197" s="309"/>
      <c r="BX197" s="367"/>
      <c r="BY197" s="379"/>
      <c r="BZ197" s="309"/>
      <c r="CA197" s="309"/>
      <c r="CB197" s="309"/>
      <c r="CC197" s="369"/>
      <c r="CD197" s="367"/>
      <c r="CE197" s="367"/>
      <c r="CF197" s="367"/>
      <c r="CG197" s="309"/>
      <c r="CH197" s="369"/>
      <c r="CI197" s="367"/>
      <c r="CJ197" s="367"/>
      <c r="CK197" s="367"/>
      <c r="CL197" s="309"/>
      <c r="CM197" s="369"/>
      <c r="CN197" s="367"/>
      <c r="CO197" s="367"/>
      <c r="CP197" s="367"/>
      <c r="CQ197" s="367"/>
      <c r="CR197" s="369"/>
      <c r="CS197" s="367"/>
      <c r="CT197" s="367"/>
      <c r="CU197" s="367"/>
      <c r="CV197" s="367"/>
      <c r="CW197" s="369"/>
      <c r="CX197" s="367"/>
      <c r="CY197" s="367"/>
      <c r="CZ197" s="367"/>
      <c r="DA197" s="367"/>
      <c r="DB197" s="369"/>
      <c r="DC197" s="367"/>
      <c r="DD197" s="367"/>
      <c r="DE197" s="367"/>
      <c r="DF197" s="367"/>
      <c r="DG197" s="369"/>
      <c r="DH197" s="367"/>
      <c r="DI197" s="367"/>
      <c r="DJ197" s="367"/>
      <c r="DK197" s="367"/>
      <c r="DL197" s="369"/>
      <c r="DM197" s="367"/>
      <c r="DN197" s="367"/>
      <c r="DO197" s="367"/>
      <c r="DP197" s="367"/>
      <c r="DQ197" s="369"/>
      <c r="DR197" s="366"/>
      <c r="DS197" s="367"/>
      <c r="DT197"/>
      <c r="DU197"/>
      <c r="DV197"/>
      <c r="DW197"/>
      <c r="DX197"/>
      <c r="DY197"/>
    </row>
    <row r="198" spans="1:129" s="365" customFormat="1" hidden="1" outlineLevel="2">
      <c r="A198" s="716"/>
      <c r="B198" s="717"/>
      <c r="C198" s="718" t="s">
        <v>213</v>
      </c>
      <c r="D198" s="718"/>
      <c r="E198" s="718"/>
      <c r="F198" s="718"/>
      <c r="G198" s="379"/>
      <c r="H198" s="309"/>
      <c r="I198" s="309">
        <v>0.49</v>
      </c>
      <c r="J198" s="308">
        <v>0.34</v>
      </c>
      <c r="K198" s="366"/>
      <c r="L198" s="379">
        <v>0.26</v>
      </c>
      <c r="M198" s="309">
        <v>0.2</v>
      </c>
      <c r="N198" s="309">
        <v>0.11</v>
      </c>
      <c r="O198" s="309">
        <v>7.0000000000000007E-2</v>
      </c>
      <c r="P198" s="367"/>
      <c r="Q198" s="379">
        <v>0.02</v>
      </c>
      <c r="R198" s="309"/>
      <c r="S198" s="309"/>
      <c r="T198" s="308"/>
      <c r="U198" s="367"/>
      <c r="V198" s="309"/>
      <c r="W198" s="309"/>
      <c r="X198" s="309"/>
      <c r="Y198" s="308"/>
      <c r="Z198" s="367"/>
      <c r="AA198" s="309"/>
      <c r="AB198" s="309"/>
      <c r="AC198" s="309"/>
      <c r="AD198" s="309"/>
      <c r="AE198" s="367"/>
      <c r="AF198" s="379"/>
      <c r="AG198" s="309"/>
      <c r="AH198" s="309"/>
      <c r="AI198" s="309"/>
      <c r="AJ198" s="367"/>
      <c r="AK198" s="379"/>
      <c r="AL198" s="309"/>
      <c r="AM198" s="309"/>
      <c r="AN198" s="308"/>
      <c r="AO198" s="367"/>
      <c r="AP198" s="309"/>
      <c r="AQ198" s="309"/>
      <c r="AR198" s="309"/>
      <c r="AS198" s="308"/>
      <c r="AT198" s="367"/>
      <c r="AU198" s="309"/>
      <c r="AV198" s="309"/>
      <c r="AW198" s="309"/>
      <c r="AX198" s="309"/>
      <c r="AY198" s="367"/>
      <c r="AZ198" s="379"/>
      <c r="BA198" s="309"/>
      <c r="BB198" s="309"/>
      <c r="BC198" s="309"/>
      <c r="BD198" s="367"/>
      <c r="BE198" s="379"/>
      <c r="BF198" s="309"/>
      <c r="BG198" s="309"/>
      <c r="BH198" s="308"/>
      <c r="BI198" s="367"/>
      <c r="BJ198" s="309"/>
      <c r="BK198" s="309"/>
      <c r="BL198" s="309"/>
      <c r="BM198" s="308"/>
      <c r="BN198" s="367"/>
      <c r="BO198" s="379"/>
      <c r="BP198" s="309"/>
      <c r="BQ198" s="309"/>
      <c r="BR198" s="309"/>
      <c r="BS198" s="367"/>
      <c r="BT198" s="379"/>
      <c r="BU198" s="309"/>
      <c r="BV198" s="309"/>
      <c r="BW198" s="309"/>
      <c r="BX198" s="367"/>
      <c r="BY198" s="379"/>
      <c r="BZ198" s="309"/>
      <c r="CA198" s="309"/>
      <c r="CB198" s="309"/>
      <c r="CC198" s="369"/>
      <c r="CD198" s="367"/>
      <c r="CE198" s="367"/>
      <c r="CF198" s="367"/>
      <c r="CG198" s="309"/>
      <c r="CH198" s="369"/>
      <c r="CI198" s="367"/>
      <c r="CJ198" s="367"/>
      <c r="CK198" s="367"/>
      <c r="CL198" s="309"/>
      <c r="CM198" s="369"/>
      <c r="CN198" s="367"/>
      <c r="CO198" s="367"/>
      <c r="CP198" s="367"/>
      <c r="CQ198" s="367"/>
      <c r="CR198" s="369"/>
      <c r="CS198" s="367"/>
      <c r="CT198" s="367"/>
      <c r="CU198" s="367"/>
      <c r="CV198" s="367"/>
      <c r="CW198" s="369"/>
      <c r="CX198" s="367"/>
      <c r="CY198" s="367"/>
      <c r="CZ198" s="367"/>
      <c r="DA198" s="367"/>
      <c r="DB198" s="369"/>
      <c r="DC198" s="367"/>
      <c r="DD198" s="367"/>
      <c r="DE198" s="367"/>
      <c r="DF198" s="367"/>
      <c r="DG198" s="369"/>
      <c r="DH198" s="367"/>
      <c r="DI198" s="367"/>
      <c r="DJ198" s="367"/>
      <c r="DK198" s="367"/>
      <c r="DL198" s="369"/>
      <c r="DM198" s="367"/>
      <c r="DN198" s="367"/>
      <c r="DO198" s="367"/>
      <c r="DP198" s="367"/>
      <c r="DQ198" s="369"/>
      <c r="DR198" s="366"/>
      <c r="DS198" s="367"/>
      <c r="DT198"/>
      <c r="DU198"/>
      <c r="DV198"/>
      <c r="DW198"/>
      <c r="DX198"/>
      <c r="DY198"/>
    </row>
    <row r="199" spans="1:129" s="365" customFormat="1" hidden="1" outlineLevel="1">
      <c r="A199" s="716"/>
      <c r="B199" s="717"/>
      <c r="C199" s="718"/>
      <c r="D199" s="718"/>
      <c r="E199" s="718"/>
      <c r="F199" s="718"/>
      <c r="G199" s="366"/>
      <c r="H199" s="367"/>
      <c r="I199" s="367"/>
      <c r="J199" s="368"/>
      <c r="K199" s="366"/>
      <c r="L199" s="366"/>
      <c r="M199" s="367"/>
      <c r="N199" s="367"/>
      <c r="O199" s="367"/>
      <c r="P199" s="367"/>
      <c r="Q199" s="366"/>
      <c r="R199" s="367"/>
      <c r="S199" s="367"/>
      <c r="T199" s="368"/>
      <c r="U199" s="367"/>
      <c r="V199" s="367"/>
      <c r="W199" s="367"/>
      <c r="X199" s="367"/>
      <c r="Y199" s="368"/>
      <c r="Z199" s="367"/>
      <c r="AA199" s="367"/>
      <c r="AB199" s="367"/>
      <c r="AC199" s="367"/>
      <c r="AD199" s="367"/>
      <c r="AE199" s="367"/>
      <c r="AF199" s="366"/>
      <c r="AG199" s="367"/>
      <c r="AH199" s="367"/>
      <c r="AI199" s="367"/>
      <c r="AJ199" s="367"/>
      <c r="AK199" s="366"/>
      <c r="AL199" s="367"/>
      <c r="AM199" s="367"/>
      <c r="AN199" s="368"/>
      <c r="AO199" s="367"/>
      <c r="AP199" s="367"/>
      <c r="AQ199" s="367"/>
      <c r="AR199" s="367"/>
      <c r="AS199" s="368"/>
      <c r="AT199" s="367"/>
      <c r="AU199" s="367"/>
      <c r="AV199" s="367"/>
      <c r="AW199" s="367"/>
      <c r="AX199" s="367"/>
      <c r="AY199" s="367"/>
      <c r="AZ199" s="366"/>
      <c r="BA199" s="367"/>
      <c r="BB199" s="367"/>
      <c r="BC199" s="367"/>
      <c r="BD199" s="367"/>
      <c r="BE199" s="366"/>
      <c r="BF199" s="367"/>
      <c r="BG199" s="367"/>
      <c r="BH199" s="368"/>
      <c r="BI199" s="367"/>
      <c r="BJ199" s="367"/>
      <c r="BK199" s="367"/>
      <c r="BL199" s="367"/>
      <c r="BM199" s="368"/>
      <c r="BN199" s="367"/>
      <c r="BO199" s="366"/>
      <c r="BP199" s="367"/>
      <c r="BQ199" s="367"/>
      <c r="BR199" s="367"/>
      <c r="BS199" s="367"/>
      <c r="BT199" s="366"/>
      <c r="BU199" s="367"/>
      <c r="BV199" s="367"/>
      <c r="BW199" s="367"/>
      <c r="BX199" s="367"/>
      <c r="BY199" s="366"/>
      <c r="BZ199" s="367"/>
      <c r="CA199" s="367"/>
      <c r="CB199" s="367"/>
      <c r="CC199" s="369"/>
      <c r="CD199" s="367"/>
      <c r="CE199" s="367"/>
      <c r="CF199" s="367"/>
      <c r="CG199" s="367"/>
      <c r="CH199" s="369"/>
      <c r="CI199" s="367"/>
      <c r="CJ199" s="367"/>
      <c r="CK199" s="367"/>
      <c r="CL199" s="367"/>
      <c r="CM199" s="369"/>
      <c r="CN199" s="367"/>
      <c r="CO199" s="367"/>
      <c r="CP199" s="367"/>
      <c r="CQ199" s="367"/>
      <c r="CR199" s="369"/>
      <c r="CS199" s="367"/>
      <c r="CT199" s="367"/>
      <c r="CU199" s="367"/>
      <c r="CV199" s="367"/>
      <c r="CW199" s="369"/>
      <c r="CX199" s="367"/>
      <c r="CY199" s="367"/>
      <c r="CZ199" s="367"/>
      <c r="DA199" s="367"/>
      <c r="DB199" s="369"/>
      <c r="DC199" s="367"/>
      <c r="DD199" s="367"/>
      <c r="DE199" s="367"/>
      <c r="DF199" s="367"/>
      <c r="DG199" s="369"/>
      <c r="DH199" s="367"/>
      <c r="DI199" s="367"/>
      <c r="DJ199" s="367"/>
      <c r="DK199" s="367"/>
      <c r="DL199" s="369"/>
      <c r="DM199" s="367"/>
      <c r="DN199" s="367"/>
      <c r="DO199" s="367"/>
      <c r="DP199" s="367"/>
      <c r="DQ199" s="369"/>
      <c r="DR199" s="366"/>
      <c r="DS199" s="367"/>
      <c r="DT199"/>
      <c r="DU199"/>
      <c r="DV199"/>
      <c r="DW199"/>
      <c r="DX199"/>
      <c r="DY199"/>
    </row>
    <row r="200" spans="1:129" s="365" customFormat="1" hidden="1" outlineLevel="1">
      <c r="A200" s="716"/>
      <c r="B200" s="730" t="s">
        <v>268</v>
      </c>
      <c r="C200" s="718"/>
      <c r="D200" s="718"/>
      <c r="E200" s="718"/>
      <c r="F200" s="718"/>
      <c r="G200" s="366"/>
      <c r="H200" s="367"/>
      <c r="I200" s="367"/>
      <c r="J200" s="368"/>
      <c r="K200" s="366"/>
      <c r="L200" s="366"/>
      <c r="M200" s="367"/>
      <c r="N200" s="367"/>
      <c r="O200" s="367"/>
      <c r="P200" s="367"/>
      <c r="Q200" s="366"/>
      <c r="R200" s="367"/>
      <c r="S200" s="367"/>
      <c r="T200" s="368"/>
      <c r="U200" s="367"/>
      <c r="V200" s="367"/>
      <c r="W200" s="367"/>
      <c r="X200" s="367"/>
      <c r="Y200" s="368"/>
      <c r="Z200" s="367"/>
      <c r="AA200" s="367"/>
      <c r="AB200" s="367"/>
      <c r="AC200" s="367"/>
      <c r="AD200" s="367"/>
      <c r="AE200" s="367"/>
      <c r="AF200" s="366"/>
      <c r="AG200" s="367"/>
      <c r="AH200" s="367"/>
      <c r="AI200" s="367"/>
      <c r="AJ200" s="367"/>
      <c r="AK200" s="366"/>
      <c r="AL200" s="367"/>
      <c r="AM200" s="367"/>
      <c r="AN200" s="368"/>
      <c r="AO200" s="367"/>
      <c r="AP200" s="367"/>
      <c r="AQ200" s="367"/>
      <c r="AR200" s="367"/>
      <c r="AS200" s="368"/>
      <c r="AT200" s="367"/>
      <c r="AU200" s="367"/>
      <c r="AV200" s="367"/>
      <c r="AW200" s="367"/>
      <c r="AX200" s="367"/>
      <c r="AY200" s="367"/>
      <c r="AZ200" s="366"/>
      <c r="BA200" s="367"/>
      <c r="BB200" s="367"/>
      <c r="BC200" s="367"/>
      <c r="BD200" s="367"/>
      <c r="BE200" s="366"/>
      <c r="BF200" s="367"/>
      <c r="BG200" s="367"/>
      <c r="BH200" s="368"/>
      <c r="BI200" s="367"/>
      <c r="BJ200" s="367"/>
      <c r="BK200" s="367"/>
      <c r="BL200" s="367"/>
      <c r="BM200" s="368"/>
      <c r="BN200" s="367"/>
      <c r="BO200" s="366"/>
      <c r="BP200" s="367"/>
      <c r="BQ200" s="367"/>
      <c r="BR200" s="367"/>
      <c r="BS200" s="367"/>
      <c r="BT200" s="366"/>
      <c r="BU200" s="367"/>
      <c r="BV200" s="367"/>
      <c r="BW200" s="367"/>
      <c r="BX200" s="367"/>
      <c r="BY200" s="366"/>
      <c r="BZ200" s="367"/>
      <c r="CA200" s="367"/>
      <c r="CB200" s="367"/>
      <c r="CC200" s="369"/>
      <c r="CD200" s="367"/>
      <c r="CE200" s="367"/>
      <c r="CF200" s="367"/>
      <c r="CG200" s="367"/>
      <c r="CH200" s="369"/>
      <c r="CI200" s="367"/>
      <c r="CJ200" s="367"/>
      <c r="CK200" s="367"/>
      <c r="CL200" s="367"/>
      <c r="CM200" s="369"/>
      <c r="CN200" s="367"/>
      <c r="CO200" s="367"/>
      <c r="CP200" s="367"/>
      <c r="CQ200" s="367"/>
      <c r="CR200" s="369"/>
      <c r="CS200" s="367"/>
      <c r="CT200" s="367"/>
      <c r="CU200" s="367"/>
      <c r="CV200" s="367"/>
      <c r="CW200" s="369"/>
      <c r="CX200" s="367"/>
      <c r="CY200" s="367"/>
      <c r="CZ200" s="367"/>
      <c r="DA200" s="367"/>
      <c r="DB200" s="369"/>
      <c r="DC200" s="367"/>
      <c r="DD200" s="367"/>
      <c r="DE200" s="367"/>
      <c r="DF200" s="367"/>
      <c r="DG200" s="369"/>
      <c r="DH200" s="367"/>
      <c r="DI200" s="367"/>
      <c r="DJ200" s="367"/>
      <c r="DK200" s="367"/>
      <c r="DL200" s="369"/>
      <c r="DM200" s="367"/>
      <c r="DN200" s="367"/>
      <c r="DO200" s="367"/>
      <c r="DP200" s="367"/>
      <c r="DQ200" s="369"/>
      <c r="DR200" s="366"/>
      <c r="DS200" s="367"/>
      <c r="DT200"/>
      <c r="DU200"/>
      <c r="DV200"/>
      <c r="DW200"/>
      <c r="DX200"/>
      <c r="DY200"/>
    </row>
    <row r="201" spans="1:129" s="365" customFormat="1" hidden="1" outlineLevel="1">
      <c r="A201" s="716"/>
      <c r="B201" s="717"/>
      <c r="C201" s="718" t="s">
        <v>205</v>
      </c>
      <c r="D201" s="718"/>
      <c r="E201" s="718"/>
      <c r="F201" s="718"/>
      <c r="G201" s="366"/>
      <c r="H201" s="367"/>
      <c r="I201" s="367"/>
      <c r="J201" s="368"/>
      <c r="K201" s="366"/>
      <c r="L201" s="455"/>
      <c r="M201" s="437"/>
      <c r="N201" s="437">
        <f>N183/I183-1</f>
        <v>0.92045432098765478</v>
      </c>
      <c r="O201" s="437">
        <f>O183/J183-1</f>
        <v>0.37344729344729366</v>
      </c>
      <c r="P201" s="437"/>
      <c r="Q201" s="455">
        <f t="shared" ref="Q201:AV201" si="310">Q183/L183-1</f>
        <v>0.82796098279069663</v>
      </c>
      <c r="R201" s="437">
        <f t="shared" si="310"/>
        <v>1.4484202219292248</v>
      </c>
      <c r="S201" s="437">
        <f t="shared" si="310"/>
        <v>1.2423050615595068</v>
      </c>
      <c r="T201" s="457">
        <f t="shared" si="310"/>
        <v>1.0012145287089278</v>
      </c>
      <c r="U201" s="437">
        <f t="shared" si="310"/>
        <v>1.1241785958197812</v>
      </c>
      <c r="V201" s="437">
        <f t="shared" si="310"/>
        <v>0.76373845585519007</v>
      </c>
      <c r="W201" s="437">
        <f t="shared" si="310"/>
        <v>0.27922667526178424</v>
      </c>
      <c r="X201" s="437">
        <f t="shared" si="310"/>
        <v>0.12187698713725537</v>
      </c>
      <c r="Y201" s="457">
        <f t="shared" si="310"/>
        <v>-5.396708251036153E-2</v>
      </c>
      <c r="Z201" s="437">
        <f t="shared" si="310"/>
        <v>0.216724380082155</v>
      </c>
      <c r="AA201" s="437">
        <f t="shared" si="310"/>
        <v>9.530122904466265E-2</v>
      </c>
      <c r="AB201" s="437">
        <f t="shared" si="310"/>
        <v>0.19702274779238493</v>
      </c>
      <c r="AC201" s="437">
        <f t="shared" si="310"/>
        <v>0.31442522843360821</v>
      </c>
      <c r="AD201" s="437">
        <f t="shared" si="310"/>
        <v>0.50515404615632398</v>
      </c>
      <c r="AE201" s="437">
        <f t="shared" si="310"/>
        <v>0.27523609775892033</v>
      </c>
      <c r="AF201" s="455">
        <f t="shared" si="310"/>
        <v>0.35368346575643717</v>
      </c>
      <c r="AG201" s="437">
        <f t="shared" si="310"/>
        <v>0.49647000035081823</v>
      </c>
      <c r="AH201" s="437">
        <f t="shared" si="310"/>
        <v>0.60225695295020665</v>
      </c>
      <c r="AI201" s="437">
        <f t="shared" si="310"/>
        <v>0.69276685917237502</v>
      </c>
      <c r="AJ201" s="437">
        <f t="shared" si="310"/>
        <v>0.54906312423635018</v>
      </c>
      <c r="AK201" s="455">
        <f t="shared" si="310"/>
        <v>0.84800042943797282</v>
      </c>
      <c r="AL201" s="437">
        <f t="shared" si="310"/>
        <v>0.78463137250417403</v>
      </c>
      <c r="AM201" s="437">
        <f t="shared" si="310"/>
        <v>0.77281296063593663</v>
      </c>
      <c r="AN201" s="457">
        <f t="shared" si="310"/>
        <v>0.78324131320372414</v>
      </c>
      <c r="AO201" s="437">
        <f t="shared" si="310"/>
        <v>0.79286079826744182</v>
      </c>
      <c r="AP201" s="437">
        <f t="shared" si="310"/>
        <v>0.66653926545967779</v>
      </c>
      <c r="AQ201" s="437">
        <f t="shared" si="310"/>
        <v>0.62793176613633772</v>
      </c>
      <c r="AR201" s="437">
        <f t="shared" si="310"/>
        <v>0.54763528206009893</v>
      </c>
      <c r="AS201" s="457">
        <f t="shared" si="310"/>
        <v>0.54881757832169065</v>
      </c>
      <c r="AT201" s="437">
        <f t="shared" si="310"/>
        <v>0.58949294585660716</v>
      </c>
      <c r="AU201" s="437">
        <f t="shared" si="310"/>
        <v>0.66952756479763997</v>
      </c>
      <c r="AV201" s="437">
        <f t="shared" si="310"/>
        <v>0.62416415144544568</v>
      </c>
      <c r="AW201" s="437">
        <f t="shared" ref="AW201:CB201" si="311">AW183/AR183-1</f>
        <v>0.60282080021737672</v>
      </c>
      <c r="AX201" s="437">
        <f t="shared" si="311"/>
        <v>0.619066414430405</v>
      </c>
      <c r="AY201" s="437">
        <f t="shared" si="311"/>
        <v>0.62622805077813082</v>
      </c>
      <c r="AZ201" s="455">
        <f t="shared" si="311"/>
        <v>0.49060103936768407</v>
      </c>
      <c r="BA201" s="437">
        <f t="shared" si="311"/>
        <v>0.50213426699991581</v>
      </c>
      <c r="BB201" s="437">
        <f t="shared" si="311"/>
        <v>0.51111574292359108</v>
      </c>
      <c r="BC201" s="437">
        <f t="shared" si="311"/>
        <v>0.42267155902249676</v>
      </c>
      <c r="BD201" s="437">
        <f t="shared" si="311"/>
        <v>0.47844613881360853</v>
      </c>
      <c r="BE201" s="455">
        <f t="shared" si="311"/>
        <v>0.4287287522520653</v>
      </c>
      <c r="BF201" s="437">
        <f t="shared" si="311"/>
        <v>0.2993786631791846</v>
      </c>
      <c r="BG201" s="437">
        <f t="shared" si="311"/>
        <v>0.2610782458453349</v>
      </c>
      <c r="BH201" s="457">
        <f t="shared" si="311"/>
        <v>0.15611713094087354</v>
      </c>
      <c r="BI201" s="437">
        <f t="shared" si="311"/>
        <v>0.27540617569827841</v>
      </c>
      <c r="BJ201" s="437">
        <f t="shared" si="311"/>
        <v>8.2468950259137808E-2</v>
      </c>
      <c r="BK201" s="437">
        <f t="shared" si="311"/>
        <v>7.5149123535945161E-2</v>
      </c>
      <c r="BL201" s="437">
        <f t="shared" si="311"/>
        <v>9.7381157173023203E-2</v>
      </c>
      <c r="BM201" s="457">
        <f t="shared" si="311"/>
        <v>0.15410650022656469</v>
      </c>
      <c r="BN201" s="437">
        <f t="shared" si="311"/>
        <v>0.10315403051511107</v>
      </c>
      <c r="BO201" s="455">
        <f t="shared" si="311"/>
        <v>0.28958535373984873</v>
      </c>
      <c r="BP201" s="437">
        <f t="shared" si="311"/>
        <v>0.53156793795422685</v>
      </c>
      <c r="BQ201" s="437">
        <f t="shared" si="311"/>
        <v>0.60564218404059611</v>
      </c>
      <c r="BR201" s="437">
        <f t="shared" si="311"/>
        <v>0.65991673730526634</v>
      </c>
      <c r="BS201" s="437">
        <f t="shared" si="311"/>
        <v>0.52986521563133437</v>
      </c>
      <c r="BT201" s="455">
        <f t="shared" si="311"/>
        <v>0.58404132653990071</v>
      </c>
      <c r="BU201" s="437">
        <f t="shared" si="311"/>
        <v>0.42791830369342199</v>
      </c>
      <c r="BV201" s="437">
        <f t="shared" si="311"/>
        <v>0.34189796641173187</v>
      </c>
      <c r="BW201" s="437">
        <f t="shared" si="311"/>
        <v>0.29481043062653645</v>
      </c>
      <c r="BX201" s="437">
        <f t="shared" si="311"/>
        <v>0.395593229033256</v>
      </c>
      <c r="BY201" s="455">
        <f t="shared" si="311"/>
        <v>0.28296293390060057</v>
      </c>
      <c r="BZ201" s="437">
        <f t="shared" si="311"/>
        <v>0.22292544601763042</v>
      </c>
      <c r="CA201" s="437">
        <f t="shared" si="311"/>
        <v>0.1862341980554878</v>
      </c>
      <c r="CB201" s="437">
        <f t="shared" si="311"/>
        <v>0.15723190653727626</v>
      </c>
      <c r="CC201" s="754">
        <f t="shared" ref="CC201:CZ201" si="312">CC183/BX183-1</f>
        <v>0.20859666145404399</v>
      </c>
      <c r="CD201" s="437">
        <f t="shared" si="312"/>
        <v>0.14173336526815272</v>
      </c>
      <c r="CE201" s="437">
        <f t="shared" si="312"/>
        <v>0.17822164094849979</v>
      </c>
      <c r="CF201" s="437">
        <f t="shared" si="312"/>
        <v>0.20934823240539657</v>
      </c>
      <c r="CG201" s="437">
        <f t="shared" si="312"/>
        <v>0.19945367980107442</v>
      </c>
      <c r="CH201" s="754">
        <f t="shared" si="312"/>
        <v>0.18325275172020938</v>
      </c>
      <c r="CI201" s="437">
        <f t="shared" si="312"/>
        <v>0.23733558442768499</v>
      </c>
      <c r="CJ201" s="437">
        <f t="shared" si="312"/>
        <v>0.19924634391221319</v>
      </c>
      <c r="CK201" s="437">
        <f t="shared" si="312"/>
        <v>0.17888775546963975</v>
      </c>
      <c r="CL201" s="437">
        <f t="shared" si="312"/>
        <v>0.26663614503661259</v>
      </c>
      <c r="CM201" s="754">
        <f t="shared" si="312"/>
        <v>0.22034411784849106</v>
      </c>
      <c r="CN201" s="437">
        <f t="shared" si="312"/>
        <v>0.31903516061105464</v>
      </c>
      <c r="CO201" s="437">
        <f t="shared" si="312"/>
        <v>0.34351129944659631</v>
      </c>
      <c r="CP201" s="437">
        <f t="shared" si="312"/>
        <v>0.34326514911506933</v>
      </c>
      <c r="CQ201" s="437">
        <f t="shared" si="312"/>
        <v>0.26546052793872565</v>
      </c>
      <c r="CR201" s="754">
        <f t="shared" si="312"/>
        <v>0.31637541213685849</v>
      </c>
      <c r="CS201" s="437">
        <f t="shared" si="312"/>
        <v>0.12911686295716795</v>
      </c>
      <c r="CT201" s="437">
        <f t="shared" si="312"/>
        <v>0.10189638141901058</v>
      </c>
      <c r="CU201" s="437">
        <f t="shared" si="312"/>
        <v>6.8632988181152932E-2</v>
      </c>
      <c r="CV201" s="437">
        <f t="shared" si="312"/>
        <v>5.4492578584368845E-2</v>
      </c>
      <c r="CW201" s="754">
        <f t="shared" si="312"/>
        <v>8.6971330036114347E-2</v>
      </c>
      <c r="CX201" s="437">
        <f t="shared" si="312"/>
        <v>0.10743285446595863</v>
      </c>
      <c r="CY201" s="437">
        <f t="shared" si="312"/>
        <v>0.11178115206618178</v>
      </c>
      <c r="CZ201" s="437">
        <f t="shared" si="312"/>
        <v>0.10958234567866376</v>
      </c>
      <c r="DA201" s="367"/>
      <c r="DB201" s="369"/>
      <c r="DC201" s="437"/>
      <c r="DD201" s="437"/>
      <c r="DE201" s="437"/>
      <c r="DF201" s="367"/>
      <c r="DG201" s="369"/>
      <c r="DH201" s="437"/>
      <c r="DI201" s="437"/>
      <c r="DJ201" s="437"/>
      <c r="DK201" s="367"/>
      <c r="DL201" s="369"/>
      <c r="DM201" s="437"/>
      <c r="DN201" s="437"/>
      <c r="DO201" s="437"/>
      <c r="DP201" s="367"/>
      <c r="DQ201" s="369"/>
      <c r="DR201" s="366"/>
      <c r="DS201" s="367"/>
      <c r="DT201"/>
      <c r="DU201"/>
      <c r="DV201"/>
      <c r="DW201"/>
      <c r="DX201"/>
      <c r="DY201"/>
    </row>
    <row r="202" spans="1:129" s="365" customFormat="1" hidden="1" outlineLevel="1">
      <c r="A202" s="716"/>
      <c r="B202" s="717"/>
      <c r="C202" s="718" t="s">
        <v>206</v>
      </c>
      <c r="D202" s="718"/>
      <c r="E202" s="718"/>
      <c r="F202" s="718"/>
      <c r="G202" s="366"/>
      <c r="H202" s="367"/>
      <c r="I202" s="367"/>
      <c r="J202" s="368"/>
      <c r="K202" s="366"/>
      <c r="L202" s="455"/>
      <c r="M202" s="437"/>
      <c r="N202" s="437">
        <f>N185/I185-1</f>
        <v>1.8830349794238685</v>
      </c>
      <c r="O202" s="437">
        <f>O185/J185-1</f>
        <v>1.2344930966469425</v>
      </c>
      <c r="P202" s="437"/>
      <c r="Q202" s="455">
        <f t="shared" ref="Q202:AV202" si="313">Q185/L185-1</f>
        <v>0.68972143346714998</v>
      </c>
      <c r="R202" s="437">
        <f t="shared" si="313"/>
        <v>0.47925388408224023</v>
      </c>
      <c r="S202" s="437">
        <f t="shared" si="313"/>
        <v>0.55588514475557615</v>
      </c>
      <c r="T202" s="457">
        <f t="shared" si="313"/>
        <v>0.70316130102887464</v>
      </c>
      <c r="U202" s="437">
        <f t="shared" si="313"/>
        <v>0.60660023840086197</v>
      </c>
      <c r="V202" s="437">
        <f t="shared" si="313"/>
        <v>0.57195940807057966</v>
      </c>
      <c r="W202" s="437">
        <f t="shared" si="313"/>
        <v>0.65515163902793216</v>
      </c>
      <c r="X202" s="437">
        <f t="shared" si="313"/>
        <v>0.38277861205289621</v>
      </c>
      <c r="Y202" s="457">
        <f t="shared" si="313"/>
        <v>0.21632803677239232</v>
      </c>
      <c r="Z202" s="437">
        <f t="shared" si="313"/>
        <v>0.43254029622517631</v>
      </c>
      <c r="AA202" s="437">
        <f t="shared" si="313"/>
        <v>0.17805732190581502</v>
      </c>
      <c r="AB202" s="437">
        <f t="shared" si="313"/>
        <v>0.33784895341501864</v>
      </c>
      <c r="AC202" s="437">
        <f t="shared" si="313"/>
        <v>0.47267588486676515</v>
      </c>
      <c r="AD202" s="437">
        <f t="shared" si="313"/>
        <v>0.6846304093836364</v>
      </c>
      <c r="AE202" s="437">
        <f t="shared" si="313"/>
        <v>0.42354478979813348</v>
      </c>
      <c r="AF202" s="455">
        <f t="shared" si="313"/>
        <v>0.80707027246911944</v>
      </c>
      <c r="AG202" s="437">
        <f t="shared" si="313"/>
        <v>0.69337394776539907</v>
      </c>
      <c r="AH202" s="437">
        <f t="shared" si="313"/>
        <v>0.60225695295020687</v>
      </c>
      <c r="AI202" s="437">
        <f t="shared" si="313"/>
        <v>0.55932051631290514</v>
      </c>
      <c r="AJ202" s="437">
        <f t="shared" si="313"/>
        <v>0.65059909094010715</v>
      </c>
      <c r="AK202" s="455">
        <f t="shared" si="313"/>
        <v>0.45922053544681418</v>
      </c>
      <c r="AL202" s="437">
        <f t="shared" si="313"/>
        <v>0.45414408129969752</v>
      </c>
      <c r="AM202" s="437">
        <f t="shared" si="313"/>
        <v>0.44764550637402567</v>
      </c>
      <c r="AN202" s="457">
        <f t="shared" si="313"/>
        <v>0.45735657029368637</v>
      </c>
      <c r="AO202" s="437">
        <f t="shared" si="313"/>
        <v>0.45443311532590869</v>
      </c>
      <c r="AP202" s="437">
        <f t="shared" si="313"/>
        <v>0.40136316860219545</v>
      </c>
      <c r="AQ202" s="437">
        <f t="shared" si="313"/>
        <v>0.44293951998448122</v>
      </c>
      <c r="AR202" s="437">
        <f t="shared" si="313"/>
        <v>0.48680056185333442</v>
      </c>
      <c r="AS202" s="457">
        <f t="shared" si="313"/>
        <v>0.42967776460463769</v>
      </c>
      <c r="AT202" s="437">
        <f t="shared" si="313"/>
        <v>0.4417327331436971</v>
      </c>
      <c r="AU202" s="437">
        <f t="shared" si="313"/>
        <v>0.48066698054451273</v>
      </c>
      <c r="AV202" s="437">
        <f t="shared" si="313"/>
        <v>0.56042144534476068</v>
      </c>
      <c r="AW202" s="437">
        <f t="shared" ref="AW202:CB202" si="314">AW185/AR185-1</f>
        <v>0.60282080021737672</v>
      </c>
      <c r="AX202" s="437">
        <f t="shared" si="314"/>
        <v>0.68515075787654411</v>
      </c>
      <c r="AY202" s="437">
        <f t="shared" si="314"/>
        <v>0.59045456098215743</v>
      </c>
      <c r="AZ202" s="455">
        <f t="shared" si="314"/>
        <v>0.73891056427825497</v>
      </c>
      <c r="BA202" s="437">
        <f t="shared" si="314"/>
        <v>0.56349596091331122</v>
      </c>
      <c r="BB202" s="437">
        <f t="shared" si="314"/>
        <v>0.4518097875498237</v>
      </c>
      <c r="BC202" s="437">
        <f t="shared" si="314"/>
        <v>0.40479988616797691</v>
      </c>
      <c r="BD202" s="437">
        <f t="shared" si="314"/>
        <v>0.51968472112342612</v>
      </c>
      <c r="BE202" s="455">
        <f t="shared" si="314"/>
        <v>0.36913918773921139</v>
      </c>
      <c r="BF202" s="437">
        <f t="shared" si="314"/>
        <v>0.3525447295940447</v>
      </c>
      <c r="BG202" s="437">
        <f t="shared" si="314"/>
        <v>0.36629962639146219</v>
      </c>
      <c r="BH202" s="457">
        <f t="shared" si="314"/>
        <v>0.35154333370603963</v>
      </c>
      <c r="BI202" s="437">
        <f t="shared" si="314"/>
        <v>0.35949551973723137</v>
      </c>
      <c r="BJ202" s="437">
        <f t="shared" si="314"/>
        <v>0.23175994403057931</v>
      </c>
      <c r="BK202" s="437">
        <f t="shared" si="314"/>
        <v>0.1843105541343999</v>
      </c>
      <c r="BL202" s="437">
        <f t="shared" si="314"/>
        <v>0.2186265407425152</v>
      </c>
      <c r="BM202" s="457">
        <f t="shared" si="314"/>
        <v>0.23592768504550099</v>
      </c>
      <c r="BN202" s="437">
        <f t="shared" si="314"/>
        <v>0.21797054745951172</v>
      </c>
      <c r="BO202" s="455">
        <f t="shared" si="314"/>
        <v>0.28438646096121567</v>
      </c>
      <c r="BP202" s="437">
        <f t="shared" si="314"/>
        <v>0.33574472085719087</v>
      </c>
      <c r="BQ202" s="437">
        <f t="shared" si="314"/>
        <v>0.282205466779337</v>
      </c>
      <c r="BR202" s="437">
        <f t="shared" si="314"/>
        <v>0.29011101198334699</v>
      </c>
      <c r="BS202" s="437">
        <f t="shared" si="314"/>
        <v>0.29753488062559197</v>
      </c>
      <c r="BT202" s="455">
        <f t="shared" si="314"/>
        <v>0.30127985112840672</v>
      </c>
      <c r="BU202" s="437">
        <f t="shared" si="314"/>
        <v>0.26638908381860027</v>
      </c>
      <c r="BV202" s="437">
        <f t="shared" si="314"/>
        <v>0.28927451674852667</v>
      </c>
      <c r="BW202" s="437">
        <f t="shared" si="314"/>
        <v>0.24403355099412338</v>
      </c>
      <c r="BX202" s="437">
        <f t="shared" si="314"/>
        <v>0.27385472279470435</v>
      </c>
      <c r="BY202" s="455">
        <f t="shared" si="314"/>
        <v>0.21307390248189084</v>
      </c>
      <c r="BZ202" s="437">
        <f t="shared" si="314"/>
        <v>0.19390490861806664</v>
      </c>
      <c r="CA202" s="437">
        <f t="shared" si="314"/>
        <v>0.17677761165517314</v>
      </c>
      <c r="CB202" s="437">
        <f t="shared" si="314"/>
        <v>0.18534735616160258</v>
      </c>
      <c r="CC202" s="754">
        <f t="shared" ref="CC202:CZ202" si="315">CC185/BX185-1</f>
        <v>0.19149232852665676</v>
      </c>
      <c r="CD202" s="437">
        <f t="shared" si="315"/>
        <v>0.22208985486233757</v>
      </c>
      <c r="CE202" s="437">
        <f t="shared" si="315"/>
        <v>0.23124691731881919</v>
      </c>
      <c r="CF202" s="437">
        <f t="shared" si="315"/>
        <v>0.2288614025423108</v>
      </c>
      <c r="CG202" s="437">
        <f t="shared" si="315"/>
        <v>0.21879970689464034</v>
      </c>
      <c r="CH202" s="754">
        <f t="shared" si="315"/>
        <v>0.22516173667645933</v>
      </c>
      <c r="CI202" s="437">
        <f t="shared" si="315"/>
        <v>0.16061319226664339</v>
      </c>
      <c r="CJ202" s="437">
        <f t="shared" si="315"/>
        <v>0.12936019333457827</v>
      </c>
      <c r="CK202" s="437">
        <f t="shared" si="315"/>
        <v>5.7962410139952514E-2</v>
      </c>
      <c r="CL202" s="437">
        <f t="shared" si="315"/>
        <v>6.1739121574807543E-2</v>
      </c>
      <c r="CM202" s="754">
        <f t="shared" si="315"/>
        <v>0.10006126266602089</v>
      </c>
      <c r="CN202" s="437">
        <f t="shared" si="315"/>
        <v>7.8494211272651881E-2</v>
      </c>
      <c r="CO202" s="437">
        <f t="shared" si="315"/>
        <v>9.7986573670536981E-2</v>
      </c>
      <c r="CP202" s="437">
        <f t="shared" si="315"/>
        <v>0.10998183976869913</v>
      </c>
      <c r="CQ202" s="437">
        <f t="shared" si="315"/>
        <v>8.0553053536720043E-2</v>
      </c>
      <c r="CR202" s="754">
        <f t="shared" si="315"/>
        <v>9.1703998042303558E-2</v>
      </c>
      <c r="CS202" s="437">
        <f t="shared" si="315"/>
        <v>6.2063451666132252E-2</v>
      </c>
      <c r="CT202" s="437">
        <f t="shared" si="315"/>
        <v>7.9613340338747562E-2</v>
      </c>
      <c r="CU202" s="437">
        <f t="shared" si="315"/>
        <v>0.10426418329247289</v>
      </c>
      <c r="CV202" s="437">
        <f t="shared" si="315"/>
        <v>8.8933047658166675E-2</v>
      </c>
      <c r="CW202" s="754">
        <f t="shared" si="315"/>
        <v>8.3987113917015854E-2</v>
      </c>
      <c r="CX202" s="437">
        <f t="shared" si="315"/>
        <v>0.10743285446595885</v>
      </c>
      <c r="CY202" s="437">
        <f t="shared" si="315"/>
        <v>5.830335338978454E-2</v>
      </c>
      <c r="CZ202" s="437">
        <f t="shared" si="315"/>
        <v>6.4982116335994045E-2</v>
      </c>
      <c r="DA202" s="367"/>
      <c r="DB202" s="369"/>
      <c r="DC202" s="437"/>
      <c r="DD202" s="437"/>
      <c r="DE202" s="437"/>
      <c r="DF202" s="367"/>
      <c r="DG202" s="369"/>
      <c r="DH202" s="437"/>
      <c r="DI202" s="437"/>
      <c r="DJ202" s="437"/>
      <c r="DK202" s="367"/>
      <c r="DL202" s="369"/>
      <c r="DM202" s="437"/>
      <c r="DN202" s="437"/>
      <c r="DO202" s="437"/>
      <c r="DP202" s="367"/>
      <c r="DQ202" s="369"/>
      <c r="DR202" s="366"/>
      <c r="DS202" s="367"/>
      <c r="DT202"/>
      <c r="DU202"/>
      <c r="DV202"/>
      <c r="DW202"/>
      <c r="DX202"/>
      <c r="DY202"/>
    </row>
    <row r="203" spans="1:129" s="365" customFormat="1" hidden="1" outlineLevel="1">
      <c r="A203" s="716"/>
      <c r="B203" s="717"/>
      <c r="C203" s="718"/>
      <c r="D203" s="718"/>
      <c r="E203" s="718"/>
      <c r="F203" s="718"/>
      <c r="G203" s="366"/>
      <c r="H203" s="367"/>
      <c r="I203" s="367"/>
      <c r="J203" s="368"/>
      <c r="K203" s="366"/>
      <c r="L203" s="366"/>
      <c r="M203" s="367"/>
      <c r="N203" s="367"/>
      <c r="O203" s="367"/>
      <c r="P203" s="367"/>
      <c r="Q203" s="366"/>
      <c r="R203" s="367"/>
      <c r="S203" s="367"/>
      <c r="T203" s="368"/>
      <c r="U203" s="367"/>
      <c r="V203" s="367"/>
      <c r="W203" s="367"/>
      <c r="X203" s="367"/>
      <c r="Y203" s="368"/>
      <c r="Z203" s="367"/>
      <c r="AA203" s="367"/>
      <c r="AB203" s="367"/>
      <c r="AC203" s="367"/>
      <c r="AD203" s="367"/>
      <c r="AE203" s="367"/>
      <c r="AF203" s="366"/>
      <c r="AG203" s="367"/>
      <c r="AH203" s="367"/>
      <c r="AI203" s="367"/>
      <c r="AJ203" s="367"/>
      <c r="AK203" s="366"/>
      <c r="AL203" s="367"/>
      <c r="AM203" s="367"/>
      <c r="AN203" s="368"/>
      <c r="AO203" s="367"/>
      <c r="AP203" s="367"/>
      <c r="AQ203" s="367"/>
      <c r="AR203" s="367"/>
      <c r="AS203" s="368"/>
      <c r="AT203" s="367"/>
      <c r="AU203" s="367"/>
      <c r="AV203" s="367"/>
      <c r="AW203" s="367"/>
      <c r="AX203" s="367"/>
      <c r="AY203" s="367"/>
      <c r="AZ203" s="366"/>
      <c r="BA203" s="367"/>
      <c r="BB203" s="367"/>
      <c r="BC203" s="367"/>
      <c r="BD203" s="367"/>
      <c r="BE203" s="366"/>
      <c r="BF203" s="367"/>
      <c r="BG203" s="367"/>
      <c r="BH203" s="368"/>
      <c r="BI203" s="367"/>
      <c r="BJ203" s="367"/>
      <c r="BK203" s="367"/>
      <c r="BL203" s="367"/>
      <c r="BM203" s="368"/>
      <c r="BN203" s="367"/>
      <c r="BO203" s="366"/>
      <c r="BP203" s="367"/>
      <c r="BQ203" s="367"/>
      <c r="BR203" s="367"/>
      <c r="BS203" s="367"/>
      <c r="BT203" s="366"/>
      <c r="BU203" s="367"/>
      <c r="BV203" s="367"/>
      <c r="BW203" s="367"/>
      <c r="BX203" s="367"/>
      <c r="BY203" s="366"/>
      <c r="BZ203" s="367"/>
      <c r="CA203" s="367"/>
      <c r="CB203" s="367"/>
      <c r="CC203" s="369"/>
      <c r="CD203" s="367"/>
      <c r="CE203" s="367"/>
      <c r="CF203" s="367"/>
      <c r="CG203" s="367"/>
      <c r="CH203" s="369"/>
      <c r="CI203" s="367"/>
      <c r="CJ203" s="367"/>
      <c r="CK203" s="367"/>
      <c r="CL203" s="367"/>
      <c r="CM203" s="369"/>
      <c r="CN203" s="367"/>
      <c r="CO203" s="367"/>
      <c r="CP203" s="367"/>
      <c r="CQ203" s="367"/>
      <c r="CR203" s="369"/>
      <c r="CS203" s="367"/>
      <c r="CT203" s="367"/>
      <c r="CU203" s="367"/>
      <c r="CV203" s="367"/>
      <c r="CW203" s="369"/>
      <c r="CX203" s="367"/>
      <c r="CY203" s="367"/>
      <c r="CZ203" s="367"/>
      <c r="DA203" s="367"/>
      <c r="DB203" s="369"/>
      <c r="DC203" s="367"/>
      <c r="DD203" s="367"/>
      <c r="DE203" s="367"/>
      <c r="DF203" s="367"/>
      <c r="DG203" s="369"/>
      <c r="DH203" s="367"/>
      <c r="DI203" s="367"/>
      <c r="DJ203" s="367"/>
      <c r="DK203" s="367"/>
      <c r="DL203" s="369"/>
      <c r="DM203" s="367"/>
      <c r="DN203" s="367"/>
      <c r="DO203" s="367"/>
      <c r="DP203" s="367"/>
      <c r="DQ203" s="369"/>
      <c r="DR203" s="366"/>
      <c r="DS203" s="367"/>
      <c r="DT203"/>
      <c r="DU203"/>
      <c r="DV203"/>
      <c r="DW203"/>
      <c r="DX203"/>
      <c r="DY203"/>
    </row>
    <row r="204" spans="1:129" s="365" customFormat="1" hidden="1" outlineLevel="1">
      <c r="A204" s="716"/>
      <c r="B204" s="717" t="s">
        <v>267</v>
      </c>
      <c r="C204" s="718"/>
      <c r="D204" s="718"/>
      <c r="E204" s="718"/>
      <c r="F204" s="718"/>
      <c r="G204" s="379"/>
      <c r="H204" s="309"/>
      <c r="I204" s="309"/>
      <c r="J204" s="308"/>
      <c r="K204" s="366"/>
      <c r="L204" s="379"/>
      <c r="M204" s="309"/>
      <c r="N204" s="309"/>
      <c r="O204" s="309"/>
      <c r="P204" s="64"/>
      <c r="Q204" s="379"/>
      <c r="R204" s="309"/>
      <c r="S204" s="309"/>
      <c r="T204" s="308"/>
      <c r="U204" s="473">
        <v>0.15</v>
      </c>
      <c r="V204" s="309">
        <v>0.2</v>
      </c>
      <c r="W204" s="309">
        <v>0.24</v>
      </c>
      <c r="X204" s="309">
        <v>0.25</v>
      </c>
      <c r="Y204" s="308">
        <v>0.24</v>
      </c>
      <c r="Z204" s="473">
        <v>0.24</v>
      </c>
      <c r="AA204" s="309">
        <v>0.26</v>
      </c>
      <c r="AB204" s="309">
        <v>0.25</v>
      </c>
      <c r="AC204" s="309">
        <v>0.27</v>
      </c>
      <c r="AD204" s="309">
        <v>0.21</v>
      </c>
      <c r="AE204" s="473">
        <v>0.25</v>
      </c>
      <c r="AF204" s="379">
        <v>0.23</v>
      </c>
      <c r="AG204" s="309">
        <v>0.26</v>
      </c>
      <c r="AH204" s="309">
        <v>0.26</v>
      </c>
      <c r="AI204" s="309">
        <v>0.24</v>
      </c>
      <c r="AJ204" s="473">
        <v>0.26</v>
      </c>
      <c r="AK204" s="379">
        <v>0.23</v>
      </c>
      <c r="AL204" s="309">
        <v>0.23499999999999999</v>
      </c>
      <c r="AM204" s="309">
        <v>0.22900000000000001</v>
      </c>
      <c r="AN204" s="308">
        <v>0.25</v>
      </c>
      <c r="AO204" s="473">
        <v>0.24</v>
      </c>
      <c r="AP204" s="309">
        <v>0.25700000000000001</v>
      </c>
      <c r="AQ204" s="309">
        <v>0.254</v>
      </c>
      <c r="AR204" s="309">
        <v>0.24199999999999999</v>
      </c>
      <c r="AS204" s="308">
        <v>0.25700000000000001</v>
      </c>
      <c r="AT204" s="473">
        <v>0.25</v>
      </c>
      <c r="AU204" s="309">
        <v>0.25900000000000001</v>
      </c>
      <c r="AV204" s="309">
        <v>0.252</v>
      </c>
      <c r="AW204" s="309">
        <v>0.24199999999999999</v>
      </c>
      <c r="AX204" s="309">
        <v>0.247</v>
      </c>
      <c r="AY204" s="401">
        <v>0.249</v>
      </c>
      <c r="AZ204" s="379">
        <v>0.253</v>
      </c>
      <c r="BA204" s="309">
        <v>0.24</v>
      </c>
      <c r="BB204" s="309">
        <v>0.24</v>
      </c>
      <c r="BC204" s="309">
        <v>0.25600000000000001</v>
      </c>
      <c r="BD204" s="401">
        <v>0.247</v>
      </c>
      <c r="BE204" s="379">
        <v>0.26800000000000002</v>
      </c>
      <c r="BF204" s="309">
        <v>0.25700000000000001</v>
      </c>
      <c r="BG204" s="309">
        <v>0.26300000000000001</v>
      </c>
      <c r="BH204" s="308">
        <v>0.27800000000000002</v>
      </c>
      <c r="BI204" s="401">
        <v>0.26700000000000002</v>
      </c>
      <c r="BJ204" s="309">
        <v>0.29099999999999998</v>
      </c>
      <c r="BK204" s="309">
        <v>0.3</v>
      </c>
      <c r="BL204" s="309">
        <v>0.31</v>
      </c>
      <c r="BM204" s="308">
        <v>0.34</v>
      </c>
      <c r="BN204" s="401">
        <v>0.30299999999999999</v>
      </c>
      <c r="BO204" s="379">
        <v>0.31</v>
      </c>
      <c r="BP204" s="309">
        <v>0.313</v>
      </c>
      <c r="BQ204" s="309">
        <v>0.312</v>
      </c>
      <c r="BR204" s="309">
        <v>0.32300000000000001</v>
      </c>
      <c r="BS204" s="473">
        <v>0.315</v>
      </c>
      <c r="BT204" s="379">
        <v>0.318</v>
      </c>
      <c r="BU204" s="309">
        <v>0.31900000000000001</v>
      </c>
      <c r="BV204" s="309">
        <v>0.31</v>
      </c>
      <c r="BW204" s="309">
        <v>0.32300000000000001</v>
      </c>
      <c r="BX204" s="379">
        <v>0.317</v>
      </c>
      <c r="BY204" s="379">
        <v>0.313</v>
      </c>
      <c r="BZ204" s="309">
        <v>0.33400000000000002</v>
      </c>
      <c r="CA204" s="309">
        <v>0.33500000000000002</v>
      </c>
      <c r="CB204" s="309">
        <v>0.34200000000000003</v>
      </c>
      <c r="CC204" s="755">
        <v>0.33100000000000002</v>
      </c>
      <c r="CD204" s="309">
        <v>0.32900000000000001</v>
      </c>
      <c r="CE204" s="309">
        <v>0.32400000000000001</v>
      </c>
      <c r="CF204" s="309">
        <v>0.34899999999999998</v>
      </c>
      <c r="CG204" s="309">
        <v>0.35</v>
      </c>
      <c r="CH204" s="755">
        <v>0.34</v>
      </c>
      <c r="CI204" s="309">
        <v>0.36</v>
      </c>
      <c r="CJ204" s="309">
        <v>0.35</v>
      </c>
      <c r="CK204" s="309">
        <v>0.35</v>
      </c>
      <c r="CL204" s="309">
        <v>0.36</v>
      </c>
      <c r="CM204" s="755">
        <v>0.35499999999999998</v>
      </c>
      <c r="CN204" s="309">
        <v>0.36</v>
      </c>
      <c r="CO204" s="309">
        <v>0.35</v>
      </c>
      <c r="CP204" s="309">
        <v>0.37</v>
      </c>
      <c r="CQ204" s="309">
        <v>0.37</v>
      </c>
      <c r="CR204" s="755">
        <v>0.36499999999999999</v>
      </c>
      <c r="CS204" s="309">
        <v>0.37</v>
      </c>
      <c r="CT204" s="309">
        <v>0.376</v>
      </c>
      <c r="CU204" s="309">
        <v>0.375</v>
      </c>
      <c r="CV204" s="309">
        <v>0.39300000000000002</v>
      </c>
      <c r="CW204" s="755">
        <v>0.379</v>
      </c>
      <c r="CX204" s="309">
        <v>0.38</v>
      </c>
      <c r="CY204" s="309">
        <v>0.38</v>
      </c>
      <c r="CZ204" s="309"/>
      <c r="DA204" s="367"/>
      <c r="DB204" s="369"/>
      <c r="DC204" s="309"/>
      <c r="DD204" s="309"/>
      <c r="DE204" s="309"/>
      <c r="DF204" s="367"/>
      <c r="DG204" s="369"/>
      <c r="DH204" s="309"/>
      <c r="DI204" s="309"/>
      <c r="DJ204" s="309"/>
      <c r="DK204" s="367"/>
      <c r="DL204" s="369"/>
      <c r="DM204" s="309"/>
      <c r="DN204" s="309"/>
      <c r="DO204" s="309"/>
      <c r="DP204" s="367"/>
      <c r="DQ204" s="369"/>
      <c r="DR204" s="366"/>
      <c r="DS204" s="367"/>
      <c r="DT204"/>
      <c r="DU204"/>
      <c r="DV204"/>
      <c r="DW204"/>
      <c r="DX204"/>
      <c r="DY204"/>
    </row>
    <row r="205" spans="1:129" s="365" customFormat="1" hidden="1" outlineLevel="1">
      <c r="A205" s="716"/>
      <c r="B205" s="717"/>
      <c r="C205" s="718"/>
      <c r="D205" s="718"/>
      <c r="E205" s="718"/>
      <c r="F205" s="718"/>
      <c r="G205" s="366"/>
      <c r="H205" s="367"/>
      <c r="I205" s="367"/>
      <c r="J205" s="368"/>
      <c r="K205" s="366"/>
      <c r="L205" s="366"/>
      <c r="M205" s="367"/>
      <c r="N205" s="367"/>
      <c r="O205" s="367"/>
      <c r="P205" s="367"/>
      <c r="Q205" s="366"/>
      <c r="R205" s="367"/>
      <c r="S205" s="367"/>
      <c r="T205" s="368"/>
      <c r="U205" s="367"/>
      <c r="V205" s="367"/>
      <c r="W205" s="367"/>
      <c r="X205" s="367"/>
      <c r="Y205" s="368"/>
      <c r="Z205" s="367"/>
      <c r="AA205" s="367"/>
      <c r="AB205" s="367"/>
      <c r="AC205" s="367"/>
      <c r="AD205" s="367"/>
      <c r="AE205" s="367"/>
      <c r="AF205" s="366"/>
      <c r="AG205" s="367"/>
      <c r="AH205" s="367"/>
      <c r="AI205" s="367"/>
      <c r="AJ205" s="367"/>
      <c r="AK205" s="366"/>
      <c r="AL205" s="367"/>
      <c r="AM205" s="367"/>
      <c r="AN205" s="368"/>
      <c r="AO205" s="367"/>
      <c r="AP205" s="367"/>
      <c r="AQ205" s="367"/>
      <c r="AR205" s="367"/>
      <c r="AS205" s="368"/>
      <c r="AT205" s="367"/>
      <c r="AU205" s="367"/>
      <c r="AV205" s="367"/>
      <c r="AW205" s="367"/>
      <c r="AX205" s="367"/>
      <c r="AY205" s="367"/>
      <c r="AZ205" s="366"/>
      <c r="BA205" s="367"/>
      <c r="BB205" s="367"/>
      <c r="BC205" s="367"/>
      <c r="BD205" s="367"/>
      <c r="BE205" s="366"/>
      <c r="BF205" s="367"/>
      <c r="BG205" s="367"/>
      <c r="BH205" s="368"/>
      <c r="BI205" s="367"/>
      <c r="BJ205" s="367"/>
      <c r="BK205" s="367"/>
      <c r="BL205" s="367"/>
      <c r="BM205" s="368"/>
      <c r="BN205" s="367"/>
      <c r="BO205" s="366"/>
      <c r="BP205" s="367"/>
      <c r="BQ205" s="367"/>
      <c r="BR205" s="367"/>
      <c r="BS205" s="367"/>
      <c r="BT205" s="366"/>
      <c r="BU205" s="367"/>
      <c r="BV205" s="367"/>
      <c r="BW205" s="367"/>
      <c r="BX205" s="367"/>
      <c r="BY205" s="366"/>
      <c r="BZ205" s="367"/>
      <c r="CA205" s="367"/>
      <c r="CB205" s="367"/>
      <c r="CC205" s="369"/>
      <c r="CD205" s="367"/>
      <c r="CE205" s="367"/>
      <c r="CF205" s="367"/>
      <c r="CG205" s="367"/>
      <c r="CH205" s="369"/>
      <c r="CI205" s="367"/>
      <c r="CJ205" s="367"/>
      <c r="CK205" s="367"/>
      <c r="CL205" s="367"/>
      <c r="CM205" s="369"/>
      <c r="CN205" s="367"/>
      <c r="CO205" s="367"/>
      <c r="CP205" s="367"/>
      <c r="CQ205" s="367"/>
      <c r="CR205" s="369"/>
      <c r="CS205" s="367"/>
      <c r="CT205" s="367"/>
      <c r="CU205" s="367"/>
      <c r="CV205" s="367"/>
      <c r="CW205" s="369"/>
      <c r="CX205" s="367"/>
      <c r="CY205" s="367"/>
      <c r="CZ205" s="367"/>
      <c r="DA205" s="367"/>
      <c r="DB205" s="369"/>
      <c r="DC205" s="367"/>
      <c r="DD205" s="367"/>
      <c r="DE205" s="367"/>
      <c r="DF205" s="367"/>
      <c r="DG205" s="369"/>
      <c r="DH205" s="367"/>
      <c r="DI205" s="367"/>
      <c r="DJ205" s="367"/>
      <c r="DK205" s="367"/>
      <c r="DL205" s="369"/>
      <c r="DM205" s="367"/>
      <c r="DN205" s="367"/>
      <c r="DO205" s="367"/>
      <c r="DP205" s="367"/>
      <c r="DQ205" s="369"/>
      <c r="DR205" s="366"/>
      <c r="DS205" s="367"/>
      <c r="DT205"/>
      <c r="DU205"/>
      <c r="DV205"/>
      <c r="DW205"/>
      <c r="DX205"/>
      <c r="DY205"/>
    </row>
    <row r="206" spans="1:129" s="365" customFormat="1" hidden="1" outlineLevel="2">
      <c r="A206" s="716"/>
      <c r="B206" s="717" t="s">
        <v>207</v>
      </c>
      <c r="C206" s="718"/>
      <c r="D206" s="718"/>
      <c r="E206" s="718"/>
      <c r="F206" s="718"/>
      <c r="G206" s="366"/>
      <c r="H206" s="367"/>
      <c r="I206" s="367"/>
      <c r="J206" s="368"/>
      <c r="K206" s="366"/>
      <c r="L206" s="366"/>
      <c r="M206" s="367"/>
      <c r="N206" s="367"/>
      <c r="O206" s="367"/>
      <c r="P206" s="367"/>
      <c r="Q206" s="366"/>
      <c r="R206" s="367"/>
      <c r="S206" s="367"/>
      <c r="T206" s="368"/>
      <c r="U206" s="367"/>
      <c r="V206" s="367"/>
      <c r="W206" s="367"/>
      <c r="X206" s="367"/>
      <c r="Y206" s="368"/>
      <c r="Z206" s="367"/>
      <c r="AA206" s="367"/>
      <c r="AB206" s="367"/>
      <c r="AC206" s="367"/>
      <c r="AD206" s="367"/>
      <c r="AE206" s="367"/>
      <c r="AF206" s="366"/>
      <c r="AG206" s="367"/>
      <c r="AH206" s="367"/>
      <c r="AI206" s="367"/>
      <c r="AJ206" s="367"/>
      <c r="AK206" s="366"/>
      <c r="AL206" s="367"/>
      <c r="AM206" s="367"/>
      <c r="AN206" s="368"/>
      <c r="AO206" s="367"/>
      <c r="AP206" s="367"/>
      <c r="AQ206" s="367"/>
      <c r="AR206" s="367"/>
      <c r="AS206" s="368"/>
      <c r="AT206" s="367"/>
      <c r="AU206" s="367"/>
      <c r="AV206" s="367"/>
      <c r="AW206" s="367"/>
      <c r="AX206" s="367"/>
      <c r="AY206" s="367"/>
      <c r="AZ206" s="366"/>
      <c r="BA206" s="367"/>
      <c r="BB206" s="367"/>
      <c r="BC206" s="367"/>
      <c r="BD206" s="367"/>
      <c r="BE206" s="366"/>
      <c r="BF206" s="367"/>
      <c r="BG206" s="367"/>
      <c r="BH206" s="368"/>
      <c r="BI206" s="367"/>
      <c r="BJ206" s="367"/>
      <c r="BK206" s="367"/>
      <c r="BL206" s="367"/>
      <c r="BM206" s="368"/>
      <c r="BN206" s="367"/>
      <c r="BO206" s="366"/>
      <c r="BP206" s="367"/>
      <c r="BQ206" s="367"/>
      <c r="BR206" s="367"/>
      <c r="BS206" s="367"/>
      <c r="BT206" s="366"/>
      <c r="BU206" s="367"/>
      <c r="BV206" s="367"/>
      <c r="BW206" s="367"/>
      <c r="BX206" s="367"/>
      <c r="BY206" s="366"/>
      <c r="BZ206" s="367"/>
      <c r="CA206" s="367"/>
      <c r="CB206" s="367"/>
      <c r="CC206" s="369"/>
      <c r="CD206" s="367"/>
      <c r="CE206" s="367"/>
      <c r="CF206" s="367"/>
      <c r="CG206" s="367"/>
      <c r="CH206" s="369"/>
      <c r="CI206" s="367"/>
      <c r="CJ206" s="367"/>
      <c r="CK206" s="367"/>
      <c r="CL206" s="367"/>
      <c r="CM206" s="369"/>
      <c r="CN206" s="367"/>
      <c r="CO206" s="367"/>
      <c r="CP206" s="473"/>
      <c r="CQ206" s="367"/>
      <c r="CR206" s="369"/>
      <c r="CS206" s="367"/>
      <c r="CT206" s="367"/>
      <c r="CU206" s="367"/>
      <c r="CV206" s="367"/>
      <c r="CW206" s="369"/>
      <c r="CX206" s="367"/>
      <c r="CY206" s="367"/>
      <c r="CZ206" s="367"/>
      <c r="DA206" s="367"/>
      <c r="DB206" s="369"/>
      <c r="DC206" s="367"/>
      <c r="DD206" s="367"/>
      <c r="DE206" s="367"/>
      <c r="DF206" s="367"/>
      <c r="DG206" s="369"/>
      <c r="DH206" s="367"/>
      <c r="DI206" s="367"/>
      <c r="DJ206" s="367"/>
      <c r="DK206" s="367"/>
      <c r="DL206" s="369"/>
      <c r="DM206" s="367"/>
      <c r="DN206" s="367"/>
      <c r="DO206" s="367"/>
      <c r="DP206" s="367"/>
      <c r="DQ206" s="369"/>
      <c r="DR206" s="366"/>
      <c r="DS206" s="367"/>
      <c r="DT206"/>
      <c r="DU206"/>
      <c r="DV206"/>
      <c r="DW206"/>
      <c r="DX206"/>
      <c r="DY206"/>
    </row>
    <row r="207" spans="1:129" s="365" customFormat="1" hidden="1" outlineLevel="2">
      <c r="A207" s="716"/>
      <c r="B207" s="717"/>
      <c r="C207" s="718" t="s">
        <v>208</v>
      </c>
      <c r="D207" s="718"/>
      <c r="E207" s="718"/>
      <c r="F207" s="718"/>
      <c r="G207" s="400"/>
      <c r="H207" s="401"/>
      <c r="I207" s="401"/>
      <c r="J207" s="402"/>
      <c r="K207" s="366"/>
      <c r="L207" s="400"/>
      <c r="M207" s="401"/>
      <c r="N207" s="401"/>
      <c r="O207" s="401"/>
      <c r="P207" s="401"/>
      <c r="Q207" s="400"/>
      <c r="R207" s="401"/>
      <c r="S207" s="401"/>
      <c r="T207" s="402"/>
      <c r="U207" s="401">
        <v>0.4</v>
      </c>
      <c r="V207" s="401"/>
      <c r="W207" s="401"/>
      <c r="X207" s="401"/>
      <c r="Y207" s="402"/>
      <c r="Z207" s="401">
        <v>0.35</v>
      </c>
      <c r="AA207" s="401"/>
      <c r="AB207" s="401"/>
      <c r="AC207" s="401"/>
      <c r="AD207" s="401"/>
      <c r="AE207" s="401">
        <v>0.38</v>
      </c>
      <c r="AF207" s="400"/>
      <c r="AG207" s="401"/>
      <c r="AH207" s="401"/>
      <c r="AI207" s="401"/>
      <c r="AJ207" s="401">
        <v>0.36</v>
      </c>
      <c r="AK207" s="400"/>
      <c r="AL207" s="401"/>
      <c r="AM207" s="401"/>
      <c r="AN207" s="402"/>
      <c r="AO207" s="401">
        <v>0.38</v>
      </c>
      <c r="AP207" s="401"/>
      <c r="AQ207" s="401"/>
      <c r="AR207" s="401"/>
      <c r="AS207" s="402"/>
      <c r="AT207" s="401">
        <v>0.34</v>
      </c>
      <c r="AU207" s="401">
        <v>0.3</v>
      </c>
      <c r="AV207" s="401">
        <v>0.3</v>
      </c>
      <c r="AW207" s="401">
        <v>0.29399999999999998</v>
      </c>
      <c r="AX207" s="401">
        <v>0.28999999999999998</v>
      </c>
      <c r="AY207" s="401">
        <v>0.28899999999999998</v>
      </c>
      <c r="AZ207" s="400">
        <v>0.26</v>
      </c>
      <c r="BA207" s="401">
        <v>0.25</v>
      </c>
      <c r="BB207" s="401">
        <v>0.23599999999999999</v>
      </c>
      <c r="BC207" s="401">
        <v>0.22500000000000001</v>
      </c>
      <c r="BD207" s="401">
        <v>0.23899999999999999</v>
      </c>
      <c r="BE207" s="400">
        <v>0.20399999999999999</v>
      </c>
      <c r="BF207" s="401">
        <v>0.19900000000000001</v>
      </c>
      <c r="BG207" s="401">
        <v>0.19</v>
      </c>
      <c r="BH207" s="402">
        <v>0.187</v>
      </c>
      <c r="BI207" s="401">
        <v>0.19400000000000001</v>
      </c>
      <c r="BJ207" s="401">
        <v>0.17599999999999999</v>
      </c>
      <c r="BK207" s="401">
        <v>0.17599999999999999</v>
      </c>
      <c r="BL207" s="401">
        <v>0.17899999999999999</v>
      </c>
      <c r="BM207" s="402">
        <f>(17.4%*SUM(BJ$22:BM$22)-SUMPRODUCT(BJ207:BL207,BJ$22:BL$22))/BM$22</f>
        <v>0.16589965892008723</v>
      </c>
      <c r="BN207" s="401">
        <v>0.17399999999999999</v>
      </c>
      <c r="BO207" s="400">
        <v>0.17599999999999999</v>
      </c>
      <c r="BP207" s="401">
        <v>0.187</v>
      </c>
      <c r="BQ207" s="401">
        <v>0.17899999999999999</v>
      </c>
      <c r="BR207" s="401">
        <v>0.17699999999999999</v>
      </c>
      <c r="BS207" s="599">
        <v>0.17899999999999999</v>
      </c>
      <c r="BT207" s="400">
        <v>0.17</v>
      </c>
      <c r="BU207" s="401">
        <v>0.16900000000000001</v>
      </c>
      <c r="BV207" s="401">
        <v>0.16300000000000001</v>
      </c>
      <c r="BW207" s="401">
        <v>0.17699999999999999</v>
      </c>
      <c r="BX207" s="309">
        <v>0.16300000000000001</v>
      </c>
      <c r="BY207" s="400">
        <v>0.14499999999999999</v>
      </c>
      <c r="BZ207" s="401">
        <v>0.14799999999999999</v>
      </c>
      <c r="CA207" s="401">
        <v>0.14000000000000001</v>
      </c>
      <c r="CB207" s="401"/>
      <c r="CC207" s="755">
        <v>0.14000000000000001</v>
      </c>
      <c r="CD207" s="367"/>
      <c r="CE207" s="367"/>
      <c r="CF207" s="367"/>
      <c r="CG207" s="401"/>
      <c r="CH207" s="755">
        <v>0.13200000000000001</v>
      </c>
      <c r="CI207" s="367"/>
      <c r="CJ207" s="473">
        <v>0.127</v>
      </c>
      <c r="CK207" s="473">
        <v>0.11899999999999999</v>
      </c>
      <c r="CL207" s="309">
        <v>0.11600000000000001</v>
      </c>
      <c r="CM207" s="755">
        <v>0.122</v>
      </c>
      <c r="CN207" s="309">
        <v>0.112</v>
      </c>
      <c r="CO207" s="473">
        <v>0.108</v>
      </c>
      <c r="CP207" s="473">
        <v>0.109</v>
      </c>
      <c r="CQ207" s="473"/>
      <c r="CR207" s="755">
        <v>0.11</v>
      </c>
      <c r="CS207" s="309"/>
      <c r="CT207" s="367"/>
      <c r="CU207" s="473"/>
      <c r="CV207" s="367"/>
      <c r="CW207" s="369"/>
      <c r="CX207" s="309">
        <v>0.09</v>
      </c>
      <c r="CY207" s="309">
        <v>0.09</v>
      </c>
      <c r="CZ207" s="473"/>
      <c r="DA207" s="367"/>
      <c r="DB207" s="369"/>
      <c r="DC207" s="367"/>
      <c r="DD207" s="367"/>
      <c r="DE207" s="473"/>
      <c r="DF207" s="367"/>
      <c r="DG207" s="369"/>
      <c r="DH207" s="367"/>
      <c r="DI207" s="367"/>
      <c r="DJ207" s="473"/>
      <c r="DK207" s="367"/>
      <c r="DL207" s="369"/>
      <c r="DM207" s="367"/>
      <c r="DN207" s="367"/>
      <c r="DO207" s="473"/>
      <c r="DP207" s="367"/>
      <c r="DQ207" s="369"/>
      <c r="DR207" s="366"/>
      <c r="DS207" s="367"/>
      <c r="DT207"/>
      <c r="DU207"/>
      <c r="DV207"/>
      <c r="DW207"/>
      <c r="DX207"/>
      <c r="DY207"/>
    </row>
    <row r="208" spans="1:129" s="365" customFormat="1" hidden="1" outlineLevel="2">
      <c r="A208" s="716"/>
      <c r="B208" s="717"/>
      <c r="C208" s="718" t="s">
        <v>209</v>
      </c>
      <c r="D208" s="718"/>
      <c r="E208" s="718"/>
      <c r="F208" s="718"/>
      <c r="G208" s="400"/>
      <c r="H208" s="401"/>
      <c r="I208" s="401"/>
      <c r="J208" s="402"/>
      <c r="K208" s="366"/>
      <c r="L208" s="400"/>
      <c r="M208" s="401"/>
      <c r="N208" s="401"/>
      <c r="O208" s="401"/>
      <c r="P208" s="401"/>
      <c r="Q208" s="400"/>
      <c r="R208" s="401"/>
      <c r="S208" s="401"/>
      <c r="T208" s="402"/>
      <c r="U208" s="401">
        <v>0.59</v>
      </c>
      <c r="V208" s="401"/>
      <c r="W208" s="401"/>
      <c r="X208" s="401"/>
      <c r="Y208" s="402"/>
      <c r="Z208" s="401">
        <v>0.53</v>
      </c>
      <c r="AA208" s="401"/>
      <c r="AB208" s="401"/>
      <c r="AC208" s="401"/>
      <c r="AD208" s="401"/>
      <c r="AE208" s="401">
        <v>0.54</v>
      </c>
      <c r="AF208" s="400"/>
      <c r="AG208" s="401"/>
      <c r="AH208" s="401"/>
      <c r="AI208" s="401"/>
      <c r="AJ208" s="401">
        <v>0.54</v>
      </c>
      <c r="AK208" s="400"/>
      <c r="AL208" s="401"/>
      <c r="AM208" s="401"/>
      <c r="AN208" s="402"/>
      <c r="AO208" s="401">
        <v>0.52</v>
      </c>
      <c r="AP208" s="401"/>
      <c r="AQ208" s="401"/>
      <c r="AR208" s="401"/>
      <c r="AS208" s="402"/>
      <c r="AT208" s="401">
        <v>0.46</v>
      </c>
      <c r="AU208" s="401">
        <v>0.42</v>
      </c>
      <c r="AV208" s="401">
        <v>0.41</v>
      </c>
      <c r="AW208" s="401">
        <v>0.39600000000000002</v>
      </c>
      <c r="AX208" s="401">
        <v>0.39</v>
      </c>
      <c r="AY208" s="401">
        <v>0.38600000000000001</v>
      </c>
      <c r="AZ208" s="400">
        <v>0.36</v>
      </c>
      <c r="BA208" s="401">
        <v>0.35</v>
      </c>
      <c r="BB208" s="401">
        <v>0.34200000000000003</v>
      </c>
      <c r="BC208" s="401">
        <v>0.33200000000000002</v>
      </c>
      <c r="BD208" s="401">
        <v>0.34300000000000003</v>
      </c>
      <c r="BE208" s="400">
        <v>0.308</v>
      </c>
      <c r="BF208" s="401">
        <v>0.307</v>
      </c>
      <c r="BG208" s="401">
        <v>0.29699999999999999</v>
      </c>
      <c r="BH208" s="402">
        <v>0.29799999999999999</v>
      </c>
      <c r="BI208" s="401">
        <v>0.3</v>
      </c>
      <c r="BJ208" s="401">
        <v>0.29299999999999998</v>
      </c>
      <c r="BK208" s="401">
        <v>0.29099999999999998</v>
      </c>
      <c r="BL208" s="401">
        <v>0.30199999999999999</v>
      </c>
      <c r="BM208" s="402">
        <f>(29.4%*SUM(BJ$22:BM$22)-SUMPRODUCT(BJ208:BL208,BJ$22:BL$22))/BM$22</f>
        <v>0.28984338239611146</v>
      </c>
      <c r="BN208" s="401">
        <v>0.29399999999999998</v>
      </c>
      <c r="BO208" s="400">
        <v>0.30299999999999999</v>
      </c>
      <c r="BP208" s="401">
        <v>0.311</v>
      </c>
      <c r="BQ208" s="401">
        <v>0.30299999999999999</v>
      </c>
      <c r="BR208" s="401">
        <v>0.29699999999999999</v>
      </c>
      <c r="BS208" s="401">
        <v>0.30299999999999999</v>
      </c>
      <c r="BT208" s="400">
        <v>0.28799999999999998</v>
      </c>
      <c r="BU208" s="401">
        <v>0.28299999999999997</v>
      </c>
      <c r="BV208" s="401">
        <v>0.27800000000000002</v>
      </c>
      <c r="BW208" s="401">
        <v>0.29699999999999999</v>
      </c>
      <c r="BX208" s="309">
        <v>0.27700000000000002</v>
      </c>
      <c r="BY208" s="400">
        <v>0.25900000000000001</v>
      </c>
      <c r="BZ208" s="401">
        <v>0.26</v>
      </c>
      <c r="CA208" s="401">
        <v>0.25</v>
      </c>
      <c r="CB208" s="401"/>
      <c r="CC208" s="755">
        <v>0.25</v>
      </c>
      <c r="CD208" s="367"/>
      <c r="CE208" s="367"/>
      <c r="CF208" s="367"/>
      <c r="CG208" s="401"/>
      <c r="CH208" s="755">
        <v>0.22600000000000001</v>
      </c>
      <c r="CI208" s="367"/>
      <c r="CJ208" s="473">
        <v>0.219</v>
      </c>
      <c r="CK208" s="473">
        <v>0.21</v>
      </c>
      <c r="CL208" s="309">
        <v>0.20100000000000001</v>
      </c>
      <c r="CM208" s="755">
        <v>0.21299999999999999</v>
      </c>
      <c r="CN208" s="309">
        <v>0.19</v>
      </c>
      <c r="CO208" s="473">
        <v>0.185</v>
      </c>
      <c r="CP208" s="473">
        <v>0.184</v>
      </c>
      <c r="CQ208" s="473"/>
      <c r="CR208" s="755">
        <v>0.186</v>
      </c>
      <c r="CS208" s="309"/>
      <c r="CT208" s="367"/>
      <c r="CU208" s="473"/>
      <c r="CV208" s="367"/>
      <c r="CW208" s="369"/>
      <c r="CX208" s="309">
        <v>0.151</v>
      </c>
      <c r="CY208" s="309">
        <v>0.151</v>
      </c>
      <c r="CZ208" s="473"/>
      <c r="DA208" s="367"/>
      <c r="DB208" s="369"/>
      <c r="DC208" s="367"/>
      <c r="DD208" s="367"/>
      <c r="DE208" s="473"/>
      <c r="DF208" s="367"/>
      <c r="DG208" s="369"/>
      <c r="DH208" s="367"/>
      <c r="DI208" s="367"/>
      <c r="DJ208" s="473"/>
      <c r="DK208" s="367"/>
      <c r="DL208" s="369"/>
      <c r="DM208" s="367"/>
      <c r="DN208" s="367"/>
      <c r="DO208" s="473"/>
      <c r="DP208" s="367"/>
      <c r="DQ208" s="369"/>
      <c r="DR208" s="366"/>
      <c r="DS208" s="367"/>
      <c r="DT208"/>
      <c r="DU208"/>
      <c r="DV208"/>
      <c r="DW208"/>
      <c r="DX208"/>
      <c r="DY208"/>
    </row>
    <row r="209" spans="1:129" s="365" customFormat="1" hidden="1" outlineLevel="2">
      <c r="A209" s="716"/>
      <c r="B209" s="717"/>
      <c r="C209" s="718"/>
      <c r="D209" s="718"/>
      <c r="E209" s="718"/>
      <c r="F209" s="718"/>
      <c r="G209" s="366"/>
      <c r="H209" s="367"/>
      <c r="I209" s="367"/>
      <c r="J209" s="368"/>
      <c r="K209" s="366"/>
      <c r="L209" s="366"/>
      <c r="M209" s="367"/>
      <c r="N209" s="367"/>
      <c r="O209" s="367"/>
      <c r="P209" s="367"/>
      <c r="Q209" s="366"/>
      <c r="R209" s="367"/>
      <c r="S209" s="367"/>
      <c r="T209" s="368"/>
      <c r="U209" s="367"/>
      <c r="V209" s="367"/>
      <c r="W209" s="367"/>
      <c r="X209" s="367"/>
      <c r="Y209" s="368"/>
      <c r="Z209" s="367"/>
      <c r="AA209" s="367"/>
      <c r="AB209" s="367"/>
      <c r="AC209" s="367"/>
      <c r="AD209" s="367"/>
      <c r="AE209" s="367"/>
      <c r="AF209" s="366"/>
      <c r="AG209" s="367"/>
      <c r="AH209" s="367"/>
      <c r="AI209" s="367"/>
      <c r="AJ209" s="367"/>
      <c r="AK209" s="366"/>
      <c r="AL209" s="367"/>
      <c r="AM209" s="367"/>
      <c r="AN209" s="368"/>
      <c r="AO209" s="367"/>
      <c r="AP209" s="367"/>
      <c r="AQ209" s="367"/>
      <c r="AR209" s="367"/>
      <c r="AS209" s="368"/>
      <c r="AT209" s="367"/>
      <c r="AU209" s="367"/>
      <c r="AV209" s="367"/>
      <c r="AW209" s="367"/>
      <c r="AX209" s="367"/>
      <c r="AY209" s="367"/>
      <c r="AZ209" s="366"/>
      <c r="BA209" s="367"/>
      <c r="BB209" s="367"/>
      <c r="BC209" s="367"/>
      <c r="BD209" s="367"/>
      <c r="BE209" s="366"/>
      <c r="BF209" s="367"/>
      <c r="BG209" s="367"/>
      <c r="BH209" s="368"/>
      <c r="BI209" s="367"/>
      <c r="BJ209" s="367"/>
      <c r="BK209" s="367"/>
      <c r="BL209" s="367"/>
      <c r="BM209" s="368"/>
      <c r="BN209" s="367"/>
      <c r="BO209" s="366"/>
      <c r="BP209" s="367"/>
      <c r="BQ209" s="367"/>
      <c r="BR209" s="367"/>
      <c r="BS209" s="367"/>
      <c r="BT209" s="366"/>
      <c r="BU209" s="367"/>
      <c r="BV209" s="367"/>
      <c r="BW209" s="367"/>
      <c r="BX209" s="367"/>
      <c r="BY209" s="366"/>
      <c r="BZ209" s="367"/>
      <c r="CA209" s="367"/>
      <c r="CB209" s="367"/>
      <c r="CC209" s="369"/>
      <c r="CD209" s="367"/>
      <c r="CE209" s="367"/>
      <c r="CF209" s="367"/>
      <c r="CG209" s="367"/>
      <c r="CH209" s="369"/>
      <c r="CI209" s="367"/>
      <c r="CJ209" s="367"/>
      <c r="CK209" s="367"/>
      <c r="CL209" s="367"/>
      <c r="CM209" s="369"/>
      <c r="CN209" s="367"/>
      <c r="CO209" s="367"/>
      <c r="CP209" s="367"/>
      <c r="CQ209" s="367"/>
      <c r="CR209" s="369"/>
      <c r="CS209" s="367"/>
      <c r="CT209" s="367"/>
      <c r="CU209" s="367"/>
      <c r="CV209" s="367"/>
      <c r="CW209" s="369"/>
      <c r="CX209" s="367"/>
      <c r="CY209" s="367"/>
      <c r="CZ209" s="367"/>
      <c r="DA209" s="367"/>
      <c r="DB209" s="369"/>
      <c r="DC209" s="367"/>
      <c r="DD209" s="367"/>
      <c r="DE209" s="367"/>
      <c r="DF209" s="367"/>
      <c r="DG209" s="369"/>
      <c r="DH209" s="367"/>
      <c r="DI209" s="367"/>
      <c r="DJ209" s="367"/>
      <c r="DK209" s="367"/>
      <c r="DL209" s="369"/>
      <c r="DM209" s="367"/>
      <c r="DN209" s="367"/>
      <c r="DO209" s="367"/>
      <c r="DP209" s="367"/>
      <c r="DQ209" s="369"/>
      <c r="DR209" s="366"/>
      <c r="DS209" s="367"/>
      <c r="DT209"/>
      <c r="DU209"/>
      <c r="DV209"/>
      <c r="DW209"/>
      <c r="DX209"/>
      <c r="DY209"/>
    </row>
    <row r="210" spans="1:129" s="365" customFormat="1" hidden="1" outlineLevel="2">
      <c r="A210" s="716"/>
      <c r="B210" s="731" t="s">
        <v>215</v>
      </c>
      <c r="C210" s="718"/>
      <c r="D210" s="718"/>
      <c r="E210" s="718"/>
      <c r="F210" s="718"/>
      <c r="G210" s="366"/>
      <c r="H210" s="367"/>
      <c r="I210" s="367"/>
      <c r="J210" s="368"/>
      <c r="K210" s="366"/>
      <c r="L210" s="366"/>
      <c r="M210" s="367"/>
      <c r="N210" s="367"/>
      <c r="O210" s="367"/>
      <c r="P210" s="367"/>
      <c r="Q210" s="366"/>
      <c r="R210" s="367"/>
      <c r="S210" s="367"/>
      <c r="T210" s="368"/>
      <c r="U210" s="367"/>
      <c r="V210" s="367"/>
      <c r="W210" s="367"/>
      <c r="X210" s="367"/>
      <c r="Y210" s="368"/>
      <c r="Z210" s="367"/>
      <c r="AA210" s="367"/>
      <c r="AB210" s="367"/>
      <c r="AC210" s="367"/>
      <c r="AD210" s="367"/>
      <c r="AE210" s="367"/>
      <c r="AF210" s="366"/>
      <c r="AG210" s="367"/>
      <c r="AH210" s="367"/>
      <c r="AI210" s="367"/>
      <c r="AJ210" s="367"/>
      <c r="AK210" s="366"/>
      <c r="AL210" s="367"/>
      <c r="AM210" s="367"/>
      <c r="AN210" s="368"/>
      <c r="AO210" s="367"/>
      <c r="AP210" s="367"/>
      <c r="AQ210" s="367"/>
      <c r="AR210" s="367"/>
      <c r="AS210" s="368"/>
      <c r="AT210" s="367"/>
      <c r="AU210" s="367"/>
      <c r="AV210" s="367"/>
      <c r="AW210" s="367"/>
      <c r="AX210" s="367"/>
      <c r="AY210" s="367"/>
      <c r="AZ210" s="366"/>
      <c r="BA210" s="367"/>
      <c r="BB210" s="367"/>
      <c r="BC210" s="367"/>
      <c r="BD210" s="367"/>
      <c r="BE210" s="366"/>
      <c r="BF210" s="367"/>
      <c r="BG210" s="367"/>
      <c r="BH210" s="368"/>
      <c r="BI210" s="367"/>
      <c r="BJ210" s="367"/>
      <c r="BK210" s="367"/>
      <c r="BL210" s="367"/>
      <c r="BM210" s="368"/>
      <c r="BN210" s="367"/>
      <c r="BO210" s="366"/>
      <c r="BP210" s="367"/>
      <c r="BQ210" s="367"/>
      <c r="BR210" s="367"/>
      <c r="BS210" s="367"/>
      <c r="BT210" s="366"/>
      <c r="BU210" s="367"/>
      <c r="BV210" s="367"/>
      <c r="BW210" s="367"/>
      <c r="BX210" s="367"/>
      <c r="BY210" s="366"/>
      <c r="BZ210" s="367"/>
      <c r="CA210" s="367"/>
      <c r="CB210" s="367"/>
      <c r="CC210" s="369"/>
      <c r="CD210" s="367"/>
      <c r="CE210" s="367"/>
      <c r="CF210" s="367"/>
      <c r="CG210" s="367"/>
      <c r="CH210" s="369"/>
      <c r="CI210" s="367"/>
      <c r="CJ210" s="367"/>
      <c r="CK210" s="367"/>
      <c r="CL210" s="367"/>
      <c r="CM210" s="369"/>
      <c r="CN210" s="367"/>
      <c r="CO210" s="367"/>
      <c r="CP210" s="367"/>
      <c r="CQ210" s="367"/>
      <c r="CR210" s="369"/>
      <c r="CS210" s="367"/>
      <c r="CT210" s="367"/>
      <c r="CU210" s="367"/>
      <c r="CV210" s="367"/>
      <c r="CW210" s="369"/>
      <c r="CX210" s="367"/>
      <c r="CY210" s="367"/>
      <c r="CZ210" s="367"/>
      <c r="DA210" s="367"/>
      <c r="DB210" s="369"/>
      <c r="DC210" s="367"/>
      <c r="DD210" s="367"/>
      <c r="DE210" s="367"/>
      <c r="DF210" s="367"/>
      <c r="DG210" s="369"/>
      <c r="DH210" s="367"/>
      <c r="DI210" s="367"/>
      <c r="DJ210" s="367"/>
      <c r="DK210" s="367"/>
      <c r="DL210" s="369"/>
      <c r="DM210" s="367"/>
      <c r="DN210" s="367"/>
      <c r="DO210" s="367"/>
      <c r="DP210" s="367"/>
      <c r="DQ210" s="369"/>
      <c r="DR210" s="366"/>
      <c r="DS210" s="367"/>
      <c r="DT210"/>
      <c r="DU210"/>
      <c r="DV210"/>
      <c r="DW210"/>
      <c r="DX210"/>
      <c r="DY210"/>
    </row>
    <row r="211" spans="1:129" s="365" customFormat="1" hidden="1" outlineLevel="2">
      <c r="A211" s="716"/>
      <c r="B211" s="717"/>
      <c r="C211" s="718" t="s">
        <v>208</v>
      </c>
      <c r="D211" s="718"/>
      <c r="E211" s="718"/>
      <c r="F211" s="718"/>
      <c r="G211" s="366"/>
      <c r="H211" s="367"/>
      <c r="I211" s="367"/>
      <c r="J211" s="368"/>
      <c r="K211" s="366"/>
      <c r="L211" s="366"/>
      <c r="M211" s="367"/>
      <c r="N211" s="367"/>
      <c r="O211" s="367"/>
      <c r="P211" s="367"/>
      <c r="Q211" s="366"/>
      <c r="R211" s="367"/>
      <c r="S211" s="367"/>
      <c r="T211" s="368"/>
      <c r="U211" s="367"/>
      <c r="V211" s="367"/>
      <c r="W211" s="367"/>
      <c r="X211" s="367"/>
      <c r="Y211" s="368"/>
      <c r="Z211" s="367"/>
      <c r="AA211" s="367"/>
      <c r="AB211" s="367"/>
      <c r="AC211" s="367"/>
      <c r="AD211" s="367"/>
      <c r="AE211" s="367"/>
      <c r="AF211" s="366"/>
      <c r="AG211" s="367"/>
      <c r="AH211" s="367"/>
      <c r="AI211" s="367"/>
      <c r="AJ211" s="367"/>
      <c r="AK211" s="366"/>
      <c r="AL211" s="367"/>
      <c r="AM211" s="367"/>
      <c r="AN211" s="368"/>
      <c r="AO211" s="367"/>
      <c r="AP211" s="367"/>
      <c r="AQ211" s="367"/>
      <c r="AR211" s="367"/>
      <c r="AS211" s="368"/>
      <c r="AT211" s="367"/>
      <c r="AU211" s="367"/>
      <c r="AV211" s="367"/>
      <c r="AW211" s="367"/>
      <c r="AX211" s="367"/>
      <c r="AY211" s="367"/>
      <c r="AZ211" s="366"/>
      <c r="BA211" s="367"/>
      <c r="BB211" s="367"/>
      <c r="BC211" s="367"/>
      <c r="BD211" s="367"/>
      <c r="BE211" s="366"/>
      <c r="BF211" s="367"/>
      <c r="BG211" s="367"/>
      <c r="BH211" s="368"/>
      <c r="BI211" s="367"/>
      <c r="BJ211" s="367"/>
      <c r="BK211" s="367"/>
      <c r="BL211" s="367"/>
      <c r="BM211" s="368"/>
      <c r="BN211" s="367"/>
      <c r="BO211" s="366"/>
      <c r="BP211" s="367"/>
      <c r="BQ211" s="367"/>
      <c r="BR211" s="367"/>
      <c r="BS211" s="367"/>
      <c r="BT211" s="366"/>
      <c r="BU211" s="367"/>
      <c r="BV211" s="367"/>
      <c r="BW211" s="367"/>
      <c r="BX211" s="367"/>
      <c r="BY211" s="366"/>
      <c r="BZ211" s="367"/>
      <c r="CA211" s="367"/>
      <c r="CB211" s="367"/>
      <c r="CC211" s="405">
        <f>((CC207*CC22)-(BX207*BX22))/(BX207*BX22)</f>
        <v>3.0827061348174069E-2</v>
      </c>
      <c r="CD211" s="367"/>
      <c r="CE211" s="367"/>
      <c r="CF211" s="367"/>
      <c r="CG211" s="367"/>
      <c r="CH211" s="405">
        <f>((CH207*CH22)-(CC207*CC22))/(CC207*CC22)</f>
        <v>0.13494802869808989</v>
      </c>
      <c r="CI211" s="367"/>
      <c r="CJ211" s="367"/>
      <c r="CK211" s="367"/>
      <c r="CL211" s="367"/>
      <c r="CM211" s="405">
        <f>((CM207*CM22)-(CH207*CH22))/(CH207*CH22)</f>
        <v>7.2600072967643772E-2</v>
      </c>
      <c r="CN211" s="367"/>
      <c r="CO211" s="367"/>
      <c r="CP211" s="367"/>
      <c r="CQ211" s="367"/>
      <c r="CR211" s="405">
        <f>((CR207*CR22)-(CM207*CM22))/(CM207*CM22)</f>
        <v>9.0821598991594615E-2</v>
      </c>
      <c r="CS211" s="367"/>
      <c r="CT211" s="367"/>
      <c r="CU211" s="367"/>
      <c r="CV211" s="367"/>
      <c r="CW211" s="369"/>
      <c r="CX211" s="367"/>
      <c r="CY211" s="367"/>
      <c r="CZ211" s="367"/>
      <c r="DA211" s="367"/>
      <c r="DB211" s="369"/>
      <c r="DC211" s="367"/>
      <c r="DD211" s="367"/>
      <c r="DE211" s="367"/>
      <c r="DF211" s="367"/>
      <c r="DG211" s="369"/>
      <c r="DH211" s="367"/>
      <c r="DI211" s="367"/>
      <c r="DJ211" s="367"/>
      <c r="DK211" s="367"/>
      <c r="DL211" s="369"/>
      <c r="DM211" s="367"/>
      <c r="DN211" s="367"/>
      <c r="DO211" s="367"/>
      <c r="DP211" s="367"/>
      <c r="DQ211" s="369"/>
      <c r="DR211" s="366"/>
      <c r="DS211" s="367"/>
      <c r="DT211"/>
      <c r="DU211"/>
      <c r="DV211"/>
      <c r="DW211"/>
      <c r="DX211"/>
      <c r="DY211"/>
    </row>
    <row r="212" spans="1:129" s="365" customFormat="1" hidden="1" outlineLevel="2">
      <c r="A212" s="716"/>
      <c r="B212" s="717"/>
      <c r="C212" s="718" t="s">
        <v>209</v>
      </c>
      <c r="D212" s="718"/>
      <c r="E212" s="718"/>
      <c r="F212" s="718"/>
      <c r="G212" s="366"/>
      <c r="H212" s="367"/>
      <c r="I212" s="367"/>
      <c r="J212" s="368"/>
      <c r="K212" s="366"/>
      <c r="L212" s="366"/>
      <c r="M212" s="367"/>
      <c r="N212" s="367"/>
      <c r="O212" s="367"/>
      <c r="P212" s="367"/>
      <c r="Q212" s="366"/>
      <c r="R212" s="367"/>
      <c r="S212" s="367"/>
      <c r="T212" s="368"/>
      <c r="U212" s="367"/>
      <c r="V212" s="367"/>
      <c r="W212" s="367"/>
      <c r="X212" s="367"/>
      <c r="Y212" s="368"/>
      <c r="Z212" s="367"/>
      <c r="AA212" s="367"/>
      <c r="AB212" s="367"/>
      <c r="AC212" s="367"/>
      <c r="AD212" s="367"/>
      <c r="AE212" s="367"/>
      <c r="AF212" s="366"/>
      <c r="AG212" s="367"/>
      <c r="AH212" s="367"/>
      <c r="AI212" s="367"/>
      <c r="AJ212" s="367"/>
      <c r="AK212" s="366"/>
      <c r="AL212" s="367"/>
      <c r="AM212" s="367"/>
      <c r="AN212" s="368"/>
      <c r="AO212" s="367"/>
      <c r="AP212" s="367"/>
      <c r="AQ212" s="367"/>
      <c r="AR212" s="367"/>
      <c r="AS212" s="368"/>
      <c r="AT212" s="367"/>
      <c r="AU212" s="367"/>
      <c r="AV212" s="367"/>
      <c r="AW212" s="367"/>
      <c r="AX212" s="367"/>
      <c r="AY212" s="367"/>
      <c r="AZ212" s="366"/>
      <c r="BA212" s="367"/>
      <c r="BB212" s="367"/>
      <c r="BC212" s="367"/>
      <c r="BD212" s="367"/>
      <c r="BE212" s="366"/>
      <c r="BF212" s="367"/>
      <c r="BG212" s="367"/>
      <c r="BH212" s="368"/>
      <c r="BI212" s="367"/>
      <c r="BJ212" s="367"/>
      <c r="BK212" s="367"/>
      <c r="BL212" s="367"/>
      <c r="BM212" s="368"/>
      <c r="BN212" s="367"/>
      <c r="BO212" s="366"/>
      <c r="BP212" s="367"/>
      <c r="BQ212" s="367"/>
      <c r="BR212" s="367"/>
      <c r="BS212" s="367"/>
      <c r="BT212" s="366"/>
      <c r="BU212" s="367"/>
      <c r="BV212" s="367"/>
      <c r="BW212" s="367"/>
      <c r="BX212" s="367"/>
      <c r="BY212" s="366"/>
      <c r="BZ212" s="367"/>
      <c r="CA212" s="367"/>
      <c r="CB212" s="367"/>
      <c r="CC212" s="405">
        <f>((CC208*CC10)-(BX208*BX10))/(BX208*BX10)</f>
        <v>8.7813362769678827E-2</v>
      </c>
      <c r="CD212" s="367"/>
      <c r="CE212" s="367"/>
      <c r="CF212" s="367"/>
      <c r="CG212" s="367"/>
      <c r="CH212" s="405">
        <f>((CH208*CH10)-(CC208*CC10))/(CC208*CC10)</f>
        <v>0.10714698428271044</v>
      </c>
      <c r="CI212" s="367"/>
      <c r="CJ212" s="367"/>
      <c r="CK212" s="367"/>
      <c r="CL212" s="367"/>
      <c r="CM212" s="405">
        <f>((CM208*CM10)-(CH208*CH10))/(CH208*CH10)</f>
        <v>8.6487442353108526E-2</v>
      </c>
      <c r="CN212" s="367"/>
      <c r="CO212" s="367"/>
      <c r="CP212" s="367"/>
      <c r="CQ212" s="367"/>
      <c r="CR212" s="405">
        <f>((CR208*CR10)-(CM208*CM10))/(CM208*CM10)</f>
        <v>1.9394088563456431E-2</v>
      </c>
      <c r="CS212" s="367"/>
      <c r="CT212" s="367"/>
      <c r="CU212" s="367"/>
      <c r="CV212" s="367"/>
      <c r="CW212" s="369"/>
      <c r="CX212" s="367"/>
      <c r="CY212" s="367"/>
      <c r="CZ212" s="367"/>
      <c r="DA212" s="367"/>
      <c r="DB212" s="369"/>
      <c r="DC212" s="367"/>
      <c r="DD212" s="367"/>
      <c r="DE212" s="367"/>
      <c r="DF212" s="367"/>
      <c r="DG212" s="369"/>
      <c r="DH212" s="367"/>
      <c r="DI212" s="367"/>
      <c r="DJ212" s="367"/>
      <c r="DK212" s="367"/>
      <c r="DL212" s="369"/>
      <c r="DM212" s="367"/>
      <c r="DN212" s="367"/>
      <c r="DO212" s="367"/>
      <c r="DP212" s="367"/>
      <c r="DQ212" s="369"/>
      <c r="DR212" s="366"/>
      <c r="DS212" s="367"/>
      <c r="DT212"/>
      <c r="DU212"/>
      <c r="DV212"/>
      <c r="DW212"/>
      <c r="DX212"/>
      <c r="DY212"/>
    </row>
    <row r="213" spans="1:129" s="365" customFormat="1" hidden="1" outlineLevel="2">
      <c r="A213" s="716"/>
      <c r="B213" s="717"/>
      <c r="C213" s="718"/>
      <c r="D213" s="718"/>
      <c r="E213" s="718"/>
      <c r="F213" s="718"/>
      <c r="G213" s="366"/>
      <c r="H213" s="367"/>
      <c r="I213" s="367"/>
      <c r="J213" s="368"/>
      <c r="K213" s="366"/>
      <c r="L213" s="366"/>
      <c r="M213" s="367"/>
      <c r="N213" s="367"/>
      <c r="O213" s="367"/>
      <c r="P213" s="367"/>
      <c r="Q213" s="366"/>
      <c r="R213" s="367"/>
      <c r="S213" s="367"/>
      <c r="T213" s="368"/>
      <c r="U213" s="367"/>
      <c r="V213" s="367"/>
      <c r="W213" s="367"/>
      <c r="X213" s="367"/>
      <c r="Y213" s="368"/>
      <c r="Z213" s="367"/>
      <c r="AA213" s="367"/>
      <c r="AB213" s="367"/>
      <c r="AC213" s="367"/>
      <c r="AD213" s="367"/>
      <c r="AE213" s="367"/>
      <c r="AF213" s="366"/>
      <c r="AG213" s="367"/>
      <c r="AH213" s="367"/>
      <c r="AI213" s="367"/>
      <c r="AJ213" s="367"/>
      <c r="AK213" s="366"/>
      <c r="AL213" s="367"/>
      <c r="AM213" s="367"/>
      <c r="AN213" s="368"/>
      <c r="AO213" s="367"/>
      <c r="AP213" s="367"/>
      <c r="AQ213" s="367"/>
      <c r="AR213" s="367"/>
      <c r="AS213" s="368"/>
      <c r="AT213" s="367"/>
      <c r="AU213" s="367"/>
      <c r="AV213" s="367"/>
      <c r="AW213" s="367"/>
      <c r="AX213" s="367"/>
      <c r="AY213" s="367"/>
      <c r="AZ213" s="366"/>
      <c r="BA213" s="367"/>
      <c r="BB213" s="367"/>
      <c r="BC213" s="367"/>
      <c r="BD213" s="367"/>
      <c r="BE213" s="366"/>
      <c r="BF213" s="367"/>
      <c r="BG213" s="367"/>
      <c r="BH213" s="368"/>
      <c r="BI213" s="367"/>
      <c r="BJ213" s="367"/>
      <c r="BK213" s="367"/>
      <c r="BL213" s="367"/>
      <c r="BM213" s="368"/>
      <c r="BN213" s="367"/>
      <c r="BO213" s="366"/>
      <c r="BP213" s="367"/>
      <c r="BQ213" s="367"/>
      <c r="BR213" s="367"/>
      <c r="BS213" s="367"/>
      <c r="BT213" s="366"/>
      <c r="BU213" s="367"/>
      <c r="BV213" s="367"/>
      <c r="BW213" s="367"/>
      <c r="BX213" s="367"/>
      <c r="BY213" s="366"/>
      <c r="BZ213" s="367"/>
      <c r="CA213" s="367"/>
      <c r="CB213" s="367"/>
      <c r="CC213" s="369"/>
      <c r="CD213" s="367"/>
      <c r="CE213" s="367"/>
      <c r="CF213" s="367"/>
      <c r="CG213" s="367"/>
      <c r="CH213" s="369"/>
      <c r="CI213" s="367"/>
      <c r="CJ213" s="367"/>
      <c r="CK213" s="367"/>
      <c r="CL213" s="367"/>
      <c r="CM213" s="369"/>
      <c r="CN213" s="367"/>
      <c r="CO213" s="367"/>
      <c r="CP213" s="367"/>
      <c r="CQ213" s="367"/>
      <c r="CR213" s="369"/>
      <c r="CS213" s="367"/>
      <c r="CT213" s="367"/>
      <c r="CU213" s="367"/>
      <c r="CV213" s="367"/>
      <c r="CW213" s="369"/>
      <c r="CX213" s="367"/>
      <c r="CY213" s="367"/>
      <c r="CZ213" s="367"/>
      <c r="DA213" s="367"/>
      <c r="DB213" s="369"/>
      <c r="DC213" s="367"/>
      <c r="DD213" s="367"/>
      <c r="DE213" s="367"/>
      <c r="DF213" s="367"/>
      <c r="DG213" s="369"/>
      <c r="DH213" s="367"/>
      <c r="DI213" s="367"/>
      <c r="DJ213" s="367"/>
      <c r="DK213" s="367"/>
      <c r="DL213" s="369"/>
      <c r="DM213" s="367"/>
      <c r="DN213" s="367"/>
      <c r="DO213" s="367"/>
      <c r="DP213" s="367"/>
      <c r="DQ213" s="369"/>
      <c r="DR213" s="366"/>
      <c r="DS213" s="367"/>
      <c r="DT213"/>
      <c r="DU213"/>
      <c r="DV213"/>
      <c r="DW213"/>
      <c r="DX213"/>
      <c r="DY213"/>
    </row>
    <row r="214" spans="1:129" s="365" customFormat="1" hidden="1" outlineLevel="1">
      <c r="A214" s="716"/>
      <c r="B214" s="717"/>
      <c r="C214" s="718" t="s">
        <v>210</v>
      </c>
      <c r="D214" s="718"/>
      <c r="E214" s="718"/>
      <c r="F214" s="718"/>
      <c r="G214" s="366"/>
      <c r="H214" s="367"/>
      <c r="I214" s="367"/>
      <c r="J214" s="368"/>
      <c r="K214" s="366"/>
      <c r="L214" s="366"/>
      <c r="M214" s="367"/>
      <c r="N214" s="367"/>
      <c r="O214" s="367"/>
      <c r="P214" s="367"/>
      <c r="Q214" s="366"/>
      <c r="R214" s="367"/>
      <c r="S214" s="367"/>
      <c r="T214" s="368"/>
      <c r="U214" s="367"/>
      <c r="V214" s="367"/>
      <c r="W214" s="367"/>
      <c r="X214" s="367"/>
      <c r="Y214" s="368"/>
      <c r="Z214" s="367"/>
      <c r="AA214" s="367"/>
      <c r="AB214" s="367"/>
      <c r="AC214" s="367"/>
      <c r="AD214" s="367"/>
      <c r="AE214" s="367"/>
      <c r="AF214" s="366"/>
      <c r="AG214" s="367"/>
      <c r="AH214" s="367"/>
      <c r="AI214" s="367"/>
      <c r="AJ214" s="367"/>
      <c r="AK214" s="370">
        <v>193</v>
      </c>
      <c r="AL214" s="371">
        <v>213</v>
      </c>
      <c r="AM214" s="371">
        <v>219</v>
      </c>
      <c r="AN214" s="372">
        <v>133</v>
      </c>
      <c r="AO214" s="367">
        <f>AN214</f>
        <v>133</v>
      </c>
      <c r="AP214" s="371">
        <v>233</v>
      </c>
      <c r="AQ214" s="371">
        <v>246</v>
      </c>
      <c r="AR214" s="371">
        <v>247</v>
      </c>
      <c r="AS214" s="372">
        <v>250</v>
      </c>
      <c r="AT214" s="367">
        <f>AS214</f>
        <v>250</v>
      </c>
      <c r="AU214" s="371">
        <v>260</v>
      </c>
      <c r="AV214" s="371">
        <v>270</v>
      </c>
      <c r="AW214" s="371">
        <v>330</v>
      </c>
      <c r="AX214" s="371">
        <v>400</v>
      </c>
      <c r="AY214" s="367">
        <f>AX214</f>
        <v>400</v>
      </c>
      <c r="AZ214" s="370">
        <v>420</v>
      </c>
      <c r="BA214" s="371">
        <v>430</v>
      </c>
      <c r="BB214" s="371">
        <v>445</v>
      </c>
      <c r="BC214" s="371">
        <v>500</v>
      </c>
      <c r="BD214" s="367">
        <f>BC214</f>
        <v>500</v>
      </c>
      <c r="BE214" s="370">
        <v>505</v>
      </c>
      <c r="BF214" s="371">
        <v>520</v>
      </c>
      <c r="BG214" s="371">
        <v>551</v>
      </c>
      <c r="BH214" s="372">
        <v>565</v>
      </c>
      <c r="BI214" s="367">
        <f>BH214</f>
        <v>565</v>
      </c>
      <c r="BJ214" s="371">
        <v>560</v>
      </c>
      <c r="BK214" s="371">
        <v>569</v>
      </c>
      <c r="BL214" s="371">
        <v>570</v>
      </c>
      <c r="BM214" s="372">
        <v>589</v>
      </c>
      <c r="BN214" s="367">
        <f>BM214</f>
        <v>589</v>
      </c>
      <c r="BO214" s="370">
        <v>597</v>
      </c>
      <c r="BP214" s="371">
        <v>662</v>
      </c>
      <c r="BQ214" s="371">
        <v>697</v>
      </c>
      <c r="BR214" s="371">
        <v>712</v>
      </c>
      <c r="BS214" s="367">
        <f>BR214</f>
        <v>712</v>
      </c>
      <c r="BT214" s="370">
        <v>714</v>
      </c>
      <c r="BU214" s="371">
        <v>721</v>
      </c>
      <c r="BV214" s="371">
        <v>777</v>
      </c>
      <c r="BW214" s="371">
        <v>785</v>
      </c>
      <c r="BX214" s="367">
        <f>BW214</f>
        <v>785</v>
      </c>
      <c r="BY214" s="370">
        <v>805</v>
      </c>
      <c r="BZ214" s="371">
        <v>815</v>
      </c>
      <c r="CA214" s="371">
        <v>821</v>
      </c>
      <c r="CB214" s="371">
        <v>821</v>
      </c>
      <c r="CC214" s="369">
        <f>CB214</f>
        <v>821</v>
      </c>
      <c r="CD214" s="371">
        <v>1000</v>
      </c>
      <c r="CE214" s="371">
        <v>1100</v>
      </c>
      <c r="CF214" s="371">
        <v>1133</v>
      </c>
      <c r="CG214" s="371">
        <v>1197</v>
      </c>
      <c r="CH214" s="369">
        <f>CG214</f>
        <v>1197</v>
      </c>
      <c r="CI214" s="371">
        <v>1223</v>
      </c>
      <c r="CJ214" s="371">
        <v>1242</v>
      </c>
      <c r="CK214" s="371">
        <v>1255</v>
      </c>
      <c r="CL214" s="367"/>
      <c r="CM214" s="369"/>
      <c r="CN214" s="371"/>
      <c r="CO214" s="371"/>
      <c r="CP214" s="371"/>
      <c r="CQ214" s="367"/>
      <c r="CR214" s="369"/>
      <c r="CS214" s="371"/>
      <c r="CT214" s="371"/>
      <c r="CU214" s="371"/>
      <c r="CV214" s="367"/>
      <c r="CW214" s="369"/>
      <c r="CX214" s="371"/>
      <c r="CY214" s="371"/>
      <c r="CZ214" s="371"/>
      <c r="DA214" s="367"/>
      <c r="DB214" s="369"/>
      <c r="DC214" s="371"/>
      <c r="DD214" s="371"/>
      <c r="DE214" s="371"/>
      <c r="DF214" s="367"/>
      <c r="DG214" s="369"/>
      <c r="DH214" s="371"/>
      <c r="DI214" s="371"/>
      <c r="DJ214" s="371"/>
      <c r="DK214" s="367"/>
      <c r="DL214" s="369"/>
      <c r="DM214" s="371"/>
      <c r="DN214" s="371"/>
      <c r="DO214" s="371"/>
      <c r="DP214" s="367"/>
      <c r="DQ214" s="369"/>
      <c r="DR214" s="366"/>
      <c r="DS214" s="367"/>
      <c r="DT214"/>
      <c r="DU214"/>
      <c r="DV214"/>
      <c r="DW214"/>
      <c r="DX214"/>
      <c r="DY214"/>
    </row>
    <row r="215" spans="1:129" s="365" customFormat="1" hidden="1" outlineLevel="1">
      <c r="A215" s="716"/>
      <c r="B215" s="717"/>
      <c r="C215" s="718" t="s">
        <v>211</v>
      </c>
      <c r="D215" s="718"/>
      <c r="E215" s="718"/>
      <c r="F215" s="718"/>
      <c r="G215" s="366"/>
      <c r="H215" s="367"/>
      <c r="I215" s="367"/>
      <c r="J215" s="368"/>
      <c r="K215" s="366"/>
      <c r="L215" s="366"/>
      <c r="M215" s="367"/>
      <c r="N215" s="367"/>
      <c r="O215" s="367"/>
      <c r="P215" s="367"/>
      <c r="Q215" s="366"/>
      <c r="R215" s="367"/>
      <c r="S215" s="367"/>
      <c r="T215" s="368"/>
      <c r="U215" s="367"/>
      <c r="V215" s="367"/>
      <c r="W215" s="367"/>
      <c r="X215" s="367"/>
      <c r="Y215" s="368"/>
      <c r="Z215" s="367"/>
      <c r="AA215" s="367"/>
      <c r="AB215" s="367"/>
      <c r="AC215" s="367"/>
      <c r="AD215" s="367"/>
      <c r="AE215" s="367"/>
      <c r="AF215" s="366"/>
      <c r="AG215" s="367"/>
      <c r="AH215" s="367"/>
      <c r="AI215" s="367"/>
      <c r="AJ215" s="367"/>
      <c r="AK215" s="370"/>
      <c r="AL215" s="371"/>
      <c r="AM215" s="371"/>
      <c r="AN215" s="372"/>
      <c r="AO215" s="367"/>
      <c r="AP215" s="371"/>
      <c r="AQ215" s="371"/>
      <c r="AR215" s="371"/>
      <c r="AS215" s="372"/>
      <c r="AT215" s="367"/>
      <c r="AU215" s="371">
        <v>72</v>
      </c>
      <c r="AV215" s="371">
        <v>77</v>
      </c>
      <c r="AW215" s="371">
        <v>82</v>
      </c>
      <c r="AX215" s="371">
        <v>87</v>
      </c>
      <c r="AY215" s="367">
        <f>AX215</f>
        <v>87</v>
      </c>
      <c r="AZ215" s="370">
        <v>92</v>
      </c>
      <c r="BA215" s="371">
        <v>97</v>
      </c>
      <c r="BB215" s="371">
        <v>102</v>
      </c>
      <c r="BC215" s="371">
        <v>107</v>
      </c>
      <c r="BD215" s="367">
        <f>BC215</f>
        <v>107</v>
      </c>
      <c r="BE215" s="370">
        <v>113</v>
      </c>
      <c r="BF215" s="371">
        <v>118</v>
      </c>
      <c r="BG215" s="371">
        <v>124</v>
      </c>
      <c r="BH215" s="372">
        <v>128</v>
      </c>
      <c r="BI215" s="367">
        <f>BH215</f>
        <v>128</v>
      </c>
      <c r="BJ215" s="371">
        <v>129</v>
      </c>
      <c r="BK215" s="371">
        <v>134</v>
      </c>
      <c r="BL215" s="371">
        <v>139</v>
      </c>
      <c r="BM215" s="372">
        <v>144</v>
      </c>
      <c r="BN215" s="367">
        <f>BM215</f>
        <v>144</v>
      </c>
      <c r="BO215" s="370">
        <v>149</v>
      </c>
      <c r="BP215" s="371">
        <v>155</v>
      </c>
      <c r="BQ215" s="371">
        <v>160</v>
      </c>
      <c r="BR215" s="371">
        <v>166</v>
      </c>
      <c r="BS215" s="367">
        <f>BR215</f>
        <v>166</v>
      </c>
      <c r="BT215" s="370">
        <v>173</v>
      </c>
      <c r="BU215" s="371">
        <v>179</v>
      </c>
      <c r="BV215" s="371">
        <v>185</v>
      </c>
      <c r="BW215" s="371">
        <v>191</v>
      </c>
      <c r="BX215" s="367">
        <f>BW215</f>
        <v>191</v>
      </c>
      <c r="BY215" s="370">
        <v>196</v>
      </c>
      <c r="BZ215" s="371">
        <v>202</v>
      </c>
      <c r="CA215" s="371">
        <v>208</v>
      </c>
      <c r="CB215" s="371">
        <v>214</v>
      </c>
      <c r="CC215" s="369">
        <f>CB215</f>
        <v>214</v>
      </c>
      <c r="CD215" s="371">
        <v>221</v>
      </c>
      <c r="CE215" s="371">
        <f>CD215+8</f>
        <v>229</v>
      </c>
      <c r="CF215" s="371">
        <v>236</v>
      </c>
      <c r="CG215" s="371">
        <v>243</v>
      </c>
      <c r="CH215" s="369">
        <f>CG215</f>
        <v>243</v>
      </c>
      <c r="CI215" s="371">
        <v>250</v>
      </c>
      <c r="CJ215" s="371">
        <v>257</v>
      </c>
      <c r="CK215" s="371">
        <v>264</v>
      </c>
      <c r="CL215" s="371">
        <v>271</v>
      </c>
      <c r="CM215" s="369">
        <f>CL215</f>
        <v>271</v>
      </c>
      <c r="CN215" s="371">
        <v>278</v>
      </c>
      <c r="CO215" s="371">
        <v>285</v>
      </c>
      <c r="CP215" s="371">
        <v>292</v>
      </c>
      <c r="CQ215" s="371">
        <v>300</v>
      </c>
      <c r="CR215" s="369">
        <f>CQ215</f>
        <v>300</v>
      </c>
      <c r="CS215" s="551">
        <v>308</v>
      </c>
      <c r="CT215" s="371">
        <v>315</v>
      </c>
      <c r="CU215" s="371">
        <v>322</v>
      </c>
      <c r="CV215" s="371">
        <v>329</v>
      </c>
      <c r="CW215" s="369">
        <f>CV215</f>
        <v>329</v>
      </c>
      <c r="CX215" s="371">
        <v>322</v>
      </c>
      <c r="CY215" s="371">
        <v>343</v>
      </c>
      <c r="CZ215" s="371">
        <f>+DA215-7</f>
        <v>350</v>
      </c>
      <c r="DA215" s="1064">
        <v>357</v>
      </c>
      <c r="DB215" s="369"/>
      <c r="DC215" s="371"/>
      <c r="DD215" s="371"/>
      <c r="DE215" s="371"/>
      <c r="DF215" s="367"/>
      <c r="DG215" s="369"/>
      <c r="DH215" s="371"/>
      <c r="DI215" s="371"/>
      <c r="DJ215" s="371"/>
      <c r="DK215" s="367"/>
      <c r="DL215" s="369"/>
      <c r="DM215" s="371"/>
      <c r="DN215" s="371"/>
      <c r="DO215" s="371"/>
      <c r="DP215" s="367"/>
      <c r="DQ215" s="369"/>
      <c r="DR215" s="366"/>
      <c r="DS215" s="367"/>
      <c r="DT215"/>
      <c r="DU215"/>
      <c r="DV215"/>
      <c r="DW215"/>
      <c r="DX215"/>
      <c r="DY215"/>
    </row>
    <row r="216" spans="1:129" s="365" customFormat="1" hidden="1" outlineLevel="1">
      <c r="A216" s="716"/>
      <c r="B216" s="717"/>
      <c r="C216" s="718"/>
      <c r="D216" s="718"/>
      <c r="E216" s="718"/>
      <c r="F216" s="718"/>
      <c r="G216" s="366"/>
      <c r="H216" s="367"/>
      <c r="I216" s="367"/>
      <c r="J216" s="368"/>
      <c r="K216" s="366"/>
      <c r="L216" s="366"/>
      <c r="M216" s="367"/>
      <c r="N216" s="367"/>
      <c r="O216" s="367"/>
      <c r="P216" s="367"/>
      <c r="Q216" s="366"/>
      <c r="R216" s="367"/>
      <c r="S216" s="367"/>
      <c r="T216" s="368"/>
      <c r="U216" s="367"/>
      <c r="V216" s="367"/>
      <c r="W216" s="367"/>
      <c r="X216" s="367"/>
      <c r="Y216" s="368"/>
      <c r="Z216" s="367"/>
      <c r="AA216" s="367"/>
      <c r="AB216" s="367"/>
      <c r="AC216" s="367"/>
      <c r="AD216" s="367"/>
      <c r="AE216" s="367"/>
      <c r="AF216" s="366"/>
      <c r="AG216" s="367"/>
      <c r="AH216" s="367"/>
      <c r="AI216" s="367"/>
      <c r="AJ216" s="367"/>
      <c r="AK216" s="370"/>
      <c r="AL216" s="371"/>
      <c r="AM216" s="371"/>
      <c r="AN216" s="372"/>
      <c r="AO216" s="367"/>
      <c r="AP216" s="371"/>
      <c r="AQ216" s="371"/>
      <c r="AR216" s="371"/>
      <c r="AS216" s="372"/>
      <c r="AT216" s="367"/>
      <c r="AU216" s="371"/>
      <c r="AV216" s="371"/>
      <c r="AW216" s="371"/>
      <c r="AX216" s="371"/>
      <c r="AY216" s="367"/>
      <c r="AZ216" s="370"/>
      <c r="BA216" s="371"/>
      <c r="BB216" s="371"/>
      <c r="BC216" s="371"/>
      <c r="BD216" s="367"/>
      <c r="BE216" s="370"/>
      <c r="BF216" s="371"/>
      <c r="BG216" s="371"/>
      <c r="BH216" s="372"/>
      <c r="BI216" s="367"/>
      <c r="BJ216" s="371"/>
      <c r="BK216" s="371"/>
      <c r="BL216" s="371"/>
      <c r="BM216" s="372"/>
      <c r="BN216" s="367"/>
      <c r="BO216" s="371"/>
      <c r="BP216" s="371"/>
      <c r="BQ216" s="371"/>
      <c r="BR216" s="371"/>
      <c r="BS216" s="367"/>
      <c r="BT216" s="370"/>
      <c r="BU216" s="371"/>
      <c r="BV216" s="371"/>
      <c r="BW216" s="371"/>
      <c r="BX216" s="367"/>
      <c r="BY216" s="370"/>
      <c r="BZ216" s="371"/>
      <c r="CA216" s="371"/>
      <c r="CB216" s="371"/>
      <c r="CC216" s="369"/>
      <c r="CD216" s="371"/>
      <c r="CE216" s="371"/>
      <c r="CF216" s="371"/>
      <c r="CG216" s="371"/>
      <c r="CH216" s="369"/>
      <c r="CI216" s="371"/>
      <c r="CJ216" s="371"/>
      <c r="CK216" s="371"/>
      <c r="CL216" s="371"/>
      <c r="CM216" s="369"/>
      <c r="CN216" s="371"/>
      <c r="CO216" s="371"/>
      <c r="CP216" s="371"/>
      <c r="CQ216" s="371"/>
      <c r="CR216" s="369"/>
      <c r="CS216" s="551"/>
      <c r="CT216" s="371"/>
      <c r="CU216" s="371"/>
      <c r="CV216" s="371"/>
      <c r="CW216" s="369"/>
      <c r="CX216" s="371"/>
      <c r="CY216" s="371"/>
      <c r="CZ216" s="371"/>
      <c r="DA216" s="1064"/>
      <c r="DB216" s="369"/>
      <c r="DC216" s="371"/>
      <c r="DD216" s="371"/>
      <c r="DE216" s="371"/>
      <c r="DF216" s="367"/>
      <c r="DG216" s="369"/>
      <c r="DH216" s="371"/>
      <c r="DI216" s="371"/>
      <c r="DJ216" s="371"/>
      <c r="DK216" s="367"/>
      <c r="DL216" s="369"/>
      <c r="DM216" s="371"/>
      <c r="DN216" s="371"/>
      <c r="DO216" s="371"/>
      <c r="DP216" s="367"/>
      <c r="DQ216" s="369"/>
      <c r="DR216" s="366"/>
      <c r="DS216" s="367"/>
      <c r="DT216"/>
      <c r="DU216"/>
      <c r="DV216"/>
      <c r="DW216"/>
      <c r="DX216"/>
      <c r="DY216"/>
    </row>
    <row r="217" spans="1:129" s="365" customFormat="1" hidden="1" outlineLevel="1">
      <c r="A217" s="716"/>
      <c r="B217" s="717"/>
      <c r="C217" s="718"/>
      <c r="D217" s="718"/>
      <c r="E217" s="718"/>
      <c r="F217" s="718"/>
      <c r="G217" s="366"/>
      <c r="H217" s="367"/>
      <c r="I217" s="367"/>
      <c r="J217" s="368"/>
      <c r="K217" s="366"/>
      <c r="L217" s="366"/>
      <c r="M217" s="367"/>
      <c r="N217" s="367"/>
      <c r="O217" s="367"/>
      <c r="P217" s="367"/>
      <c r="Q217" s="366"/>
      <c r="R217" s="367"/>
      <c r="S217" s="367"/>
      <c r="T217" s="368"/>
      <c r="U217" s="367"/>
      <c r="V217" s="367"/>
      <c r="W217" s="367"/>
      <c r="X217" s="367"/>
      <c r="Y217" s="368"/>
      <c r="Z217" s="367"/>
      <c r="AA217" s="367"/>
      <c r="AB217" s="367"/>
      <c r="AC217" s="367"/>
      <c r="AD217" s="367"/>
      <c r="AE217" s="367"/>
      <c r="AF217" s="366"/>
      <c r="AG217" s="367"/>
      <c r="AH217" s="367"/>
      <c r="AI217" s="367"/>
      <c r="AJ217" s="367"/>
      <c r="AK217" s="370"/>
      <c r="AL217" s="371"/>
      <c r="AM217" s="371"/>
      <c r="AN217" s="372"/>
      <c r="AO217" s="367"/>
      <c r="AP217" s="371"/>
      <c r="AQ217" s="371"/>
      <c r="AR217" s="371"/>
      <c r="AS217" s="372"/>
      <c r="AT217" s="367"/>
      <c r="AU217" s="371"/>
      <c r="AV217" s="371"/>
      <c r="AW217" s="371"/>
      <c r="AX217" s="371"/>
      <c r="AY217" s="367"/>
      <c r="AZ217" s="370"/>
      <c r="BA217" s="371"/>
      <c r="BB217" s="371"/>
      <c r="BC217" s="371"/>
      <c r="BD217" s="367"/>
      <c r="BE217" s="370"/>
      <c r="BF217" s="371"/>
      <c r="BG217" s="371"/>
      <c r="BH217" s="372"/>
      <c r="BI217" s="367"/>
      <c r="BJ217" s="371"/>
      <c r="BK217" s="371"/>
      <c r="BL217" s="371"/>
      <c r="BM217" s="372"/>
      <c r="BN217" s="367"/>
      <c r="BO217" s="371"/>
      <c r="BP217" s="371"/>
      <c r="BQ217" s="371"/>
      <c r="BR217" s="371"/>
      <c r="BS217" s="367"/>
      <c r="BT217" s="370"/>
      <c r="BU217" s="371"/>
      <c r="BV217" s="371"/>
      <c r="BW217" s="371"/>
      <c r="BX217" s="367"/>
      <c r="BY217" s="370"/>
      <c r="BZ217" s="371"/>
      <c r="CA217" s="371"/>
      <c r="CB217" s="371"/>
      <c r="CC217" s="369"/>
      <c r="CD217" s="371"/>
      <c r="CE217" s="371"/>
      <c r="CF217" s="371"/>
      <c r="CG217" s="371"/>
      <c r="CH217" s="369"/>
      <c r="CI217" s="371"/>
      <c r="CJ217" s="371"/>
      <c r="CK217" s="371"/>
      <c r="CL217" s="371"/>
      <c r="CM217" s="369"/>
      <c r="CN217" s="371"/>
      <c r="CO217" s="371"/>
      <c r="CP217" s="371"/>
      <c r="CQ217" s="371"/>
      <c r="CR217" s="369"/>
      <c r="CS217" s="551"/>
      <c r="CT217" s="371"/>
      <c r="CU217" s="371"/>
      <c r="CV217" s="371"/>
      <c r="CW217" s="369"/>
      <c r="CX217" s="371"/>
      <c r="CY217" s="371"/>
      <c r="CZ217" s="371"/>
      <c r="DA217" s="367"/>
      <c r="DB217" s="64"/>
      <c r="DC217" s="371"/>
      <c r="DD217" s="371"/>
      <c r="DE217" s="371"/>
      <c r="DF217" s="367"/>
      <c r="DG217" s="64"/>
      <c r="DH217" s="371"/>
      <c r="DI217" s="371"/>
      <c r="DJ217" s="371"/>
      <c r="DK217" s="367"/>
      <c r="DL217" s="369"/>
      <c r="DM217" s="371"/>
      <c r="DN217" s="371"/>
      <c r="DO217" s="371"/>
      <c r="DP217" s="367"/>
      <c r="DQ217" s="369"/>
      <c r="DR217" s="366"/>
      <c r="DS217" s="367"/>
      <c r="DT217"/>
      <c r="DU217"/>
      <c r="DV217"/>
      <c r="DW217"/>
      <c r="DX217"/>
      <c r="DY217"/>
    </row>
    <row r="218" spans="1:129" s="365" customFormat="1" hidden="1" outlineLevel="1">
      <c r="A218" s="716"/>
      <c r="B218" s="717"/>
      <c r="C218" s="175" t="s">
        <v>297</v>
      </c>
      <c r="D218" s="718"/>
      <c r="E218" s="718"/>
      <c r="F218" s="718"/>
      <c r="G218" s="366"/>
      <c r="H218" s="367"/>
      <c r="I218" s="367"/>
      <c r="J218" s="368"/>
      <c r="K218" s="366"/>
      <c r="L218" s="366"/>
      <c r="M218" s="367"/>
      <c r="N218" s="367"/>
      <c r="O218" s="367"/>
      <c r="P218" s="367"/>
      <c r="Q218" s="366"/>
      <c r="R218" s="367"/>
      <c r="S218" s="367"/>
      <c r="T218" s="368"/>
      <c r="U218" s="367"/>
      <c r="V218" s="367"/>
      <c r="W218" s="367"/>
      <c r="X218" s="367"/>
      <c r="Y218" s="368"/>
      <c r="Z218" s="367"/>
      <c r="AA218" s="367"/>
      <c r="AB218" s="367"/>
      <c r="AC218" s="367"/>
      <c r="AD218" s="367"/>
      <c r="AE218" s="367"/>
      <c r="AF218" s="366"/>
      <c r="AG218" s="367"/>
      <c r="AH218" s="367"/>
      <c r="AI218" s="367"/>
      <c r="AJ218" s="367"/>
      <c r="AK218" s="370"/>
      <c r="AL218" s="371"/>
      <c r="AM218" s="371"/>
      <c r="AN218" s="372"/>
      <c r="AO218" s="367"/>
      <c r="AP218" s="371"/>
      <c r="AQ218" s="371"/>
      <c r="AR218" s="371"/>
      <c r="AS218" s="372"/>
      <c r="AT218" s="367"/>
      <c r="AU218" s="371"/>
      <c r="AV218" s="371"/>
      <c r="AW218" s="371"/>
      <c r="AX218" s="371"/>
      <c r="AY218" s="367"/>
      <c r="AZ218" s="370"/>
      <c r="BA218" s="371"/>
      <c r="BB218" s="371"/>
      <c r="BC218" s="371"/>
      <c r="BD218" s="367"/>
      <c r="BE218" s="370"/>
      <c r="BF218" s="371"/>
      <c r="BG218" s="371"/>
      <c r="BH218" s="372"/>
      <c r="BI218" s="367"/>
      <c r="BJ218" s="371"/>
      <c r="BK218" s="371"/>
      <c r="BL218" s="371"/>
      <c r="BM218" s="372"/>
      <c r="BN218" s="367"/>
      <c r="BO218" s="371"/>
      <c r="BP218" s="371"/>
      <c r="BQ218" s="371"/>
      <c r="BR218" s="371"/>
      <c r="BS218" s="367"/>
      <c r="BT218" s="370"/>
      <c r="BU218" s="371"/>
      <c r="BV218" s="371"/>
      <c r="BW218" s="371"/>
      <c r="BX218" s="367"/>
      <c r="BY218" s="370"/>
      <c r="BZ218" s="371"/>
      <c r="CA218" s="371"/>
      <c r="CB218" s="371"/>
      <c r="CC218" s="369"/>
      <c r="CD218" s="371"/>
      <c r="CE218" s="371"/>
      <c r="CF218" s="371"/>
      <c r="CG218" s="371"/>
      <c r="CH218" s="369"/>
      <c r="CI218" s="371"/>
      <c r="CJ218" s="371"/>
      <c r="CK218" s="371"/>
      <c r="CL218" s="371"/>
      <c r="CM218" s="266">
        <f>CM185</f>
        <v>4838.5146609999993</v>
      </c>
      <c r="CN218" s="371"/>
      <c r="CO218" s="371"/>
      <c r="CP218" s="371"/>
      <c r="CQ218" s="371"/>
      <c r="CR218" s="352">
        <f>CR185</f>
        <v>5282.2258000000002</v>
      </c>
      <c r="CS218" s="130">
        <f t="shared" ref="CS218:CV218" si="316">CS185</f>
        <v>1351.2439999999999</v>
      </c>
      <c r="CT218" s="130">
        <f t="shared" si="316"/>
        <v>1432.2075</v>
      </c>
      <c r="CU218" s="130">
        <f t="shared" si="316"/>
        <v>1471.0632000000003</v>
      </c>
      <c r="CV218" s="130">
        <f t="shared" si="316"/>
        <v>1471.35</v>
      </c>
      <c r="CW218" s="667">
        <f>CW185</f>
        <v>5725.8647000000001</v>
      </c>
      <c r="CX218" s="130">
        <f t="shared" ref="CX218:CY218" si="317">CX185</f>
        <v>1496.412</v>
      </c>
      <c r="CY218" s="130">
        <f t="shared" si="317"/>
        <v>1515.7099999999998</v>
      </c>
      <c r="CZ218" s="130">
        <f>CZ185</f>
        <v>1566.6559999999999</v>
      </c>
      <c r="DA218" s="130">
        <f>CZ218</f>
        <v>1566.6559999999999</v>
      </c>
      <c r="DB218" s="369"/>
      <c r="DC218" s="130"/>
      <c r="DD218" s="130"/>
      <c r="DE218" s="130"/>
      <c r="DF218" s="130"/>
      <c r="DG218" s="369"/>
      <c r="DH218" s="371"/>
      <c r="DI218" s="371"/>
      <c r="DJ218" s="371"/>
      <c r="DK218" s="367"/>
      <c r="DL218" s="369"/>
      <c r="DM218" s="371"/>
      <c r="DN218" s="371"/>
      <c r="DO218" s="371"/>
      <c r="DP218" s="367"/>
      <c r="DQ218" s="369"/>
      <c r="DR218" s="366"/>
      <c r="DS218" s="367"/>
      <c r="DT218"/>
      <c r="DU218"/>
      <c r="DV218"/>
      <c r="DW218"/>
      <c r="DX218"/>
      <c r="DY218"/>
    </row>
    <row r="219" spans="1:129" s="365" customFormat="1" hidden="1" outlineLevel="1">
      <c r="A219" s="716"/>
      <c r="B219" s="717"/>
      <c r="C219" s="1" t="s">
        <v>338</v>
      </c>
      <c r="D219" s="718"/>
      <c r="E219" s="718"/>
      <c r="F219" s="718"/>
      <c r="G219" s="366"/>
      <c r="H219" s="367"/>
      <c r="I219" s="367"/>
      <c r="J219" s="368"/>
      <c r="K219" s="366"/>
      <c r="L219" s="366"/>
      <c r="M219" s="367"/>
      <c r="N219" s="367"/>
      <c r="O219" s="367"/>
      <c r="P219" s="367"/>
      <c r="Q219" s="366"/>
      <c r="R219" s="367"/>
      <c r="S219" s="367"/>
      <c r="T219" s="368"/>
      <c r="U219" s="367"/>
      <c r="V219" s="367"/>
      <c r="W219" s="367"/>
      <c r="X219" s="367"/>
      <c r="Y219" s="368"/>
      <c r="Z219" s="367"/>
      <c r="AA219" s="367"/>
      <c r="AB219" s="367"/>
      <c r="AC219" s="367"/>
      <c r="AD219" s="367"/>
      <c r="AE219" s="367"/>
      <c r="AF219" s="366"/>
      <c r="AG219" s="367"/>
      <c r="AH219" s="367"/>
      <c r="AI219" s="367"/>
      <c r="AJ219" s="367"/>
      <c r="AK219" s="370"/>
      <c r="AL219" s="371"/>
      <c r="AM219" s="371"/>
      <c r="AN219" s="372"/>
      <c r="AO219" s="367"/>
      <c r="AP219" s="371"/>
      <c r="AQ219" s="371"/>
      <c r="AR219" s="371"/>
      <c r="AS219" s="372"/>
      <c r="AT219" s="367"/>
      <c r="AU219" s="371"/>
      <c r="AV219" s="371"/>
      <c r="AW219" s="371"/>
      <c r="AX219" s="371"/>
      <c r="AY219" s="367"/>
      <c r="AZ219" s="370"/>
      <c r="BA219" s="371"/>
      <c r="BB219" s="371"/>
      <c r="BC219" s="371"/>
      <c r="BD219" s="367"/>
      <c r="BE219" s="370"/>
      <c r="BF219" s="371"/>
      <c r="BG219" s="371"/>
      <c r="BH219" s="372"/>
      <c r="BI219" s="367"/>
      <c r="BJ219" s="371"/>
      <c r="BK219" s="371"/>
      <c r="BL219" s="371"/>
      <c r="BM219" s="372"/>
      <c r="BN219" s="367"/>
      <c r="BO219" s="371"/>
      <c r="BP219" s="371"/>
      <c r="BQ219" s="371"/>
      <c r="BR219" s="371"/>
      <c r="BS219" s="367"/>
      <c r="BT219" s="370"/>
      <c r="BU219" s="371"/>
      <c r="BV219" s="371"/>
      <c r="BW219" s="371"/>
      <c r="BX219" s="367"/>
      <c r="BY219" s="370"/>
      <c r="BZ219" s="371"/>
      <c r="CA219" s="371"/>
      <c r="CB219" s="371"/>
      <c r="CC219" s="369"/>
      <c r="CD219" s="371"/>
      <c r="CE219" s="371"/>
      <c r="CF219" s="371"/>
      <c r="CG219" s="371"/>
      <c r="CH219" s="369"/>
      <c r="CI219" s="371"/>
      <c r="CJ219" s="371"/>
      <c r="CK219" s="371"/>
      <c r="CL219" s="371"/>
      <c r="CM219" s="953">
        <f>CM218/SUM(CM183,CM185)</f>
        <v>0.47146692574776511</v>
      </c>
      <c r="CN219" s="371"/>
      <c r="CO219" s="371"/>
      <c r="CP219" s="371"/>
      <c r="CQ219" s="371"/>
      <c r="CR219" s="955">
        <f>CR218/SUM(CR183,CR185)</f>
        <v>0.42521559126952663</v>
      </c>
      <c r="CS219" s="551"/>
      <c r="CT219" s="371"/>
      <c r="CU219" s="371"/>
      <c r="CV219" s="371"/>
      <c r="CW219" s="964">
        <f>CW218/SUM(CW183,CW185)</f>
        <v>0.4245438011136568</v>
      </c>
      <c r="CX219" s="64">
        <f>CX218/CS218-1</f>
        <v>0.10743285446595885</v>
      </c>
      <c r="CY219" s="64">
        <f t="shared" ref="CY219:DA219" si="318">CY218/CT218-1</f>
        <v>5.830335338978454E-2</v>
      </c>
      <c r="CZ219" s="64">
        <f t="shared" si="318"/>
        <v>6.4982116335994045E-2</v>
      </c>
      <c r="DA219" s="64">
        <f t="shared" si="318"/>
        <v>6.477452679512008E-2</v>
      </c>
      <c r="DB219" s="369"/>
      <c r="DC219" s="309"/>
      <c r="DD219" s="309"/>
      <c r="DE219" s="309"/>
      <c r="DF219" s="309"/>
      <c r="DG219" s="369"/>
      <c r="DH219" s="371"/>
      <c r="DI219" s="371"/>
      <c r="DJ219" s="371"/>
      <c r="DK219" s="367"/>
      <c r="DL219" s="405"/>
      <c r="DM219" s="371"/>
      <c r="DN219" s="371"/>
      <c r="DO219" s="371"/>
      <c r="DP219" s="367"/>
      <c r="DQ219" s="405"/>
      <c r="DR219" s="366"/>
      <c r="DS219" s="367"/>
      <c r="DT219"/>
      <c r="DU219"/>
      <c r="DV219"/>
      <c r="DW219"/>
      <c r="DX219"/>
      <c r="DY219"/>
    </row>
    <row r="220" spans="1:129" s="365" customFormat="1" hidden="1" outlineLevel="1">
      <c r="A220" s="716"/>
      <c r="B220" s="717"/>
      <c r="C220" s="1" t="s">
        <v>269</v>
      </c>
      <c r="D220" s="718"/>
      <c r="E220" s="718"/>
      <c r="F220" s="718"/>
      <c r="G220" s="366"/>
      <c r="H220" s="367"/>
      <c r="I220" s="367"/>
      <c r="J220" s="368"/>
      <c r="K220" s="366"/>
      <c r="L220" s="366"/>
      <c r="M220" s="367"/>
      <c r="N220" s="367"/>
      <c r="O220" s="367"/>
      <c r="P220" s="367"/>
      <c r="Q220" s="366"/>
      <c r="R220" s="367"/>
      <c r="S220" s="367"/>
      <c r="T220" s="368"/>
      <c r="U220" s="367"/>
      <c r="V220" s="367"/>
      <c r="W220" s="367"/>
      <c r="X220" s="367"/>
      <c r="Y220" s="368"/>
      <c r="Z220" s="367"/>
      <c r="AA220" s="367"/>
      <c r="AB220" s="367"/>
      <c r="AC220" s="367"/>
      <c r="AD220" s="367"/>
      <c r="AE220" s="367"/>
      <c r="AF220" s="366"/>
      <c r="AG220" s="367"/>
      <c r="AH220" s="367"/>
      <c r="AI220" s="367"/>
      <c r="AJ220" s="367"/>
      <c r="AK220" s="370"/>
      <c r="AL220" s="371"/>
      <c r="AM220" s="371"/>
      <c r="AN220" s="372"/>
      <c r="AO220" s="367"/>
      <c r="AP220" s="371"/>
      <c r="AQ220" s="371"/>
      <c r="AR220" s="371"/>
      <c r="AS220" s="372"/>
      <c r="AT220" s="367"/>
      <c r="AU220" s="371"/>
      <c r="AV220" s="371"/>
      <c r="AW220" s="371"/>
      <c r="AX220" s="371"/>
      <c r="AY220" s="367"/>
      <c r="AZ220" s="370"/>
      <c r="BA220" s="371"/>
      <c r="BB220" s="371"/>
      <c r="BC220" s="371"/>
      <c r="BD220" s="367"/>
      <c r="BE220" s="370"/>
      <c r="BF220" s="371"/>
      <c r="BG220" s="371"/>
      <c r="BH220" s="372"/>
      <c r="BI220" s="367"/>
      <c r="BJ220" s="371"/>
      <c r="BK220" s="371"/>
      <c r="BL220" s="371"/>
      <c r="BM220" s="372"/>
      <c r="BN220" s="367"/>
      <c r="BO220" s="371"/>
      <c r="BP220" s="371"/>
      <c r="BQ220" s="371"/>
      <c r="BR220" s="371"/>
      <c r="BS220" s="367"/>
      <c r="BT220" s="370"/>
      <c r="BU220" s="371"/>
      <c r="BV220" s="371"/>
      <c r="BW220" s="371"/>
      <c r="BX220" s="367"/>
      <c r="BY220" s="370"/>
      <c r="BZ220" s="371"/>
      <c r="CA220" s="371"/>
      <c r="CB220" s="371"/>
      <c r="CC220" s="369"/>
      <c r="CD220" s="371"/>
      <c r="CE220" s="371"/>
      <c r="CF220" s="371"/>
      <c r="CG220" s="371"/>
      <c r="CH220" s="369"/>
      <c r="CI220" s="371"/>
      <c r="CJ220" s="371"/>
      <c r="CK220" s="371"/>
      <c r="CL220" s="371"/>
      <c r="CM220" s="953"/>
      <c r="CN220" s="371"/>
      <c r="CO220" s="371"/>
      <c r="CP220" s="371"/>
      <c r="CQ220" s="371"/>
      <c r="CR220" s="955">
        <f>CR218/CM218-1</f>
        <v>9.1703998042303558E-2</v>
      </c>
      <c r="CS220" s="551"/>
      <c r="CT220" s="371"/>
      <c r="CU220" s="371"/>
      <c r="CV220" s="371"/>
      <c r="CW220" s="964">
        <f>CW218/CR218-1</f>
        <v>8.3987113917015854E-2</v>
      </c>
      <c r="CX220" s="64">
        <f>CX153</f>
        <v>0.12103004291845498</v>
      </c>
      <c r="CY220" s="64">
        <f t="shared" ref="CY220:CZ220" si="319">CY153</f>
        <v>5.1166598444535305E-2</v>
      </c>
      <c r="CZ220" s="64">
        <f t="shared" si="319"/>
        <v>1.1727912431587217E-3</v>
      </c>
      <c r="DA220" s="367"/>
      <c r="DB220" s="964"/>
      <c r="DC220" s="309"/>
      <c r="DD220" s="309"/>
      <c r="DE220" s="309"/>
      <c r="DF220" s="309"/>
      <c r="DG220" s="964"/>
      <c r="DH220" s="371"/>
      <c r="DI220" s="371"/>
      <c r="DJ220" s="371"/>
      <c r="DK220" s="367"/>
      <c r="DL220" s="369"/>
      <c r="DM220" s="371"/>
      <c r="DN220" s="371"/>
      <c r="DO220" s="371"/>
      <c r="DP220" s="367"/>
      <c r="DQ220" s="369"/>
      <c r="DR220" s="366"/>
      <c r="DS220" s="367"/>
      <c r="DT220"/>
      <c r="DU220"/>
      <c r="DV220"/>
      <c r="DW220"/>
      <c r="DX220"/>
      <c r="DY220"/>
    </row>
    <row r="221" spans="1:129" s="365" customFormat="1" hidden="1" outlineLevel="1">
      <c r="A221" s="716"/>
      <c r="B221" s="717"/>
      <c r="C221" s="1" t="s">
        <v>298</v>
      </c>
      <c r="D221" s="718"/>
      <c r="E221" s="718"/>
      <c r="F221" s="718"/>
      <c r="G221" s="366"/>
      <c r="H221" s="367"/>
      <c r="I221" s="367"/>
      <c r="J221" s="368"/>
      <c r="K221" s="366"/>
      <c r="L221" s="366"/>
      <c r="M221" s="367"/>
      <c r="N221" s="367"/>
      <c r="O221" s="367"/>
      <c r="P221" s="367"/>
      <c r="Q221" s="366"/>
      <c r="R221" s="367"/>
      <c r="S221" s="367"/>
      <c r="T221" s="368"/>
      <c r="U221" s="367"/>
      <c r="V221" s="367"/>
      <c r="W221" s="367"/>
      <c r="X221" s="367"/>
      <c r="Y221" s="368"/>
      <c r="Z221" s="367"/>
      <c r="AA221" s="367"/>
      <c r="AB221" s="367"/>
      <c r="AC221" s="367"/>
      <c r="AD221" s="367"/>
      <c r="AE221" s="367"/>
      <c r="AF221" s="366"/>
      <c r="AG221" s="367"/>
      <c r="AH221" s="367"/>
      <c r="AI221" s="367"/>
      <c r="AJ221" s="367"/>
      <c r="AK221" s="370"/>
      <c r="AL221" s="371"/>
      <c r="AM221" s="371"/>
      <c r="AN221" s="372"/>
      <c r="AO221" s="367"/>
      <c r="AP221" s="371"/>
      <c r="AQ221" s="371"/>
      <c r="AR221" s="371"/>
      <c r="AS221" s="372"/>
      <c r="AT221" s="367"/>
      <c r="AU221" s="371"/>
      <c r="AV221" s="371"/>
      <c r="AW221" s="371"/>
      <c r="AX221" s="371"/>
      <c r="AY221" s="367"/>
      <c r="AZ221" s="370"/>
      <c r="BA221" s="371"/>
      <c r="BB221" s="371"/>
      <c r="BC221" s="371"/>
      <c r="BD221" s="367"/>
      <c r="BE221" s="370"/>
      <c r="BF221" s="371"/>
      <c r="BG221" s="371"/>
      <c r="BH221" s="372"/>
      <c r="BI221" s="367"/>
      <c r="BJ221" s="371"/>
      <c r="BK221" s="371"/>
      <c r="BL221" s="371"/>
      <c r="BM221" s="372"/>
      <c r="BN221" s="367"/>
      <c r="BO221" s="371"/>
      <c r="BP221" s="371"/>
      <c r="BQ221" s="371"/>
      <c r="BR221" s="371"/>
      <c r="BS221" s="367"/>
      <c r="BT221" s="370"/>
      <c r="BU221" s="371"/>
      <c r="BV221" s="371"/>
      <c r="BW221" s="371"/>
      <c r="BX221" s="367"/>
      <c r="BY221" s="370"/>
      <c r="BZ221" s="371"/>
      <c r="CA221" s="371"/>
      <c r="CB221" s="371"/>
      <c r="CC221" s="369"/>
      <c r="CD221" s="371"/>
      <c r="CE221" s="371"/>
      <c r="CF221" s="371"/>
      <c r="CG221" s="371"/>
      <c r="CH221" s="369"/>
      <c r="CI221" s="371"/>
      <c r="CJ221" s="371"/>
      <c r="CK221" s="371"/>
      <c r="CL221" s="371"/>
      <c r="CM221" s="266">
        <f>CM218-CM224-CM227</f>
        <v>3196.4857009999996</v>
      </c>
      <c r="CN221" s="371"/>
      <c r="CO221" s="371"/>
      <c r="CP221" s="371"/>
      <c r="CQ221" s="371"/>
      <c r="CR221" s="352">
        <f>CR218-CR224-CR227</f>
        <v>3418.8560500000003</v>
      </c>
      <c r="CS221" s="551"/>
      <c r="CT221" s="371"/>
      <c r="CU221" s="371"/>
      <c r="CV221" s="371"/>
      <c r="CW221" s="667">
        <f>CW218-CW224-CW227</f>
        <v>3702.7997000000009</v>
      </c>
      <c r="CX221" s="371"/>
      <c r="CY221" s="371"/>
      <c r="CZ221" s="371"/>
      <c r="DA221" s="367"/>
      <c r="DB221" s="369"/>
      <c r="DC221" s="371"/>
      <c r="DD221" s="371"/>
      <c r="DE221" s="371"/>
      <c r="DF221" s="367"/>
      <c r="DG221" s="369"/>
      <c r="DH221" s="371"/>
      <c r="DI221" s="371"/>
      <c r="DJ221" s="371"/>
      <c r="DK221" s="367"/>
      <c r="DL221" s="369"/>
      <c r="DM221" s="371"/>
      <c r="DN221" s="371"/>
      <c r="DO221" s="371"/>
      <c r="DP221" s="367"/>
      <c r="DQ221" s="369"/>
      <c r="DR221" s="366"/>
      <c r="DS221" s="367"/>
      <c r="DT221"/>
      <c r="DU221"/>
      <c r="DV221"/>
      <c r="DW221"/>
      <c r="DX221"/>
      <c r="DY221"/>
    </row>
    <row r="222" spans="1:129" s="365" customFormat="1" hidden="1" outlineLevel="1">
      <c r="A222" s="716"/>
      <c r="B222" s="717"/>
      <c r="C222" s="1" t="s">
        <v>338</v>
      </c>
      <c r="D222" s="718"/>
      <c r="E222" s="718"/>
      <c r="F222" s="718"/>
      <c r="G222" s="366"/>
      <c r="H222" s="367"/>
      <c r="I222" s="367"/>
      <c r="J222" s="368"/>
      <c r="K222" s="366"/>
      <c r="L222" s="366"/>
      <c r="M222" s="367"/>
      <c r="N222" s="367"/>
      <c r="O222" s="367"/>
      <c r="P222" s="367"/>
      <c r="Q222" s="366"/>
      <c r="R222" s="367"/>
      <c r="S222" s="367"/>
      <c r="T222" s="368"/>
      <c r="U222" s="367"/>
      <c r="V222" s="367"/>
      <c r="W222" s="367"/>
      <c r="X222" s="367"/>
      <c r="Y222" s="368"/>
      <c r="Z222" s="367"/>
      <c r="AA222" s="367"/>
      <c r="AB222" s="367"/>
      <c r="AC222" s="367"/>
      <c r="AD222" s="367"/>
      <c r="AE222" s="367"/>
      <c r="AF222" s="366"/>
      <c r="AG222" s="367"/>
      <c r="AH222" s="367"/>
      <c r="AI222" s="367"/>
      <c r="AJ222" s="367"/>
      <c r="AK222" s="370"/>
      <c r="AL222" s="371"/>
      <c r="AM222" s="371"/>
      <c r="AN222" s="372"/>
      <c r="AO222" s="367"/>
      <c r="AP222" s="371"/>
      <c r="AQ222" s="371"/>
      <c r="AR222" s="371"/>
      <c r="AS222" s="372"/>
      <c r="AT222" s="367"/>
      <c r="AU222" s="371"/>
      <c r="AV222" s="371"/>
      <c r="AW222" s="371"/>
      <c r="AX222" s="371"/>
      <c r="AY222" s="367"/>
      <c r="AZ222" s="370"/>
      <c r="BA222" s="371"/>
      <c r="BB222" s="371"/>
      <c r="BC222" s="371"/>
      <c r="BD222" s="367"/>
      <c r="BE222" s="370"/>
      <c r="BF222" s="371"/>
      <c r="BG222" s="371"/>
      <c r="BH222" s="372"/>
      <c r="BI222" s="367"/>
      <c r="BJ222" s="371"/>
      <c r="BK222" s="371"/>
      <c r="BL222" s="371"/>
      <c r="BM222" s="372"/>
      <c r="BN222" s="367"/>
      <c r="BO222" s="371"/>
      <c r="BP222" s="371"/>
      <c r="BQ222" s="371"/>
      <c r="BR222" s="371"/>
      <c r="BS222" s="367"/>
      <c r="BT222" s="370"/>
      <c r="BU222" s="371"/>
      <c r="BV222" s="371"/>
      <c r="BW222" s="371"/>
      <c r="BX222" s="367"/>
      <c r="BY222" s="370"/>
      <c r="BZ222" s="371"/>
      <c r="CA222" s="371"/>
      <c r="CB222" s="371"/>
      <c r="CC222" s="369"/>
      <c r="CD222" s="371"/>
      <c r="CE222" s="371"/>
      <c r="CF222" s="371"/>
      <c r="CG222" s="371"/>
      <c r="CH222" s="369"/>
      <c r="CI222" s="371"/>
      <c r="CJ222" s="371"/>
      <c r="CK222" s="371"/>
      <c r="CL222" s="371"/>
      <c r="CM222" s="953">
        <f>CM221/SUM(CM183,CM185)</f>
        <v>0.31146692574776513</v>
      </c>
      <c r="CN222" s="371"/>
      <c r="CO222" s="371"/>
      <c r="CP222" s="371"/>
      <c r="CQ222" s="371"/>
      <c r="CR222" s="955">
        <f>CR221/SUM(CR183,CR185)</f>
        <v>0.27521559126952666</v>
      </c>
      <c r="CS222" s="551"/>
      <c r="CT222" s="371"/>
      <c r="CU222" s="371"/>
      <c r="CV222" s="371"/>
      <c r="CW222" s="964">
        <f>CW221/SUM(CW183,CW185)</f>
        <v>0.27454380111365684</v>
      </c>
      <c r="CX222" s="371"/>
      <c r="CY222" s="371"/>
      <c r="CZ222" s="371"/>
      <c r="DA222" s="367"/>
      <c r="DB222" s="369"/>
      <c r="DC222" s="371"/>
      <c r="DD222" s="371"/>
      <c r="DE222" s="371"/>
      <c r="DF222" s="367"/>
      <c r="DG222" s="369"/>
      <c r="DH222" s="371"/>
      <c r="DI222" s="371"/>
      <c r="DJ222" s="371"/>
      <c r="DK222" s="367"/>
      <c r="DL222" s="405"/>
      <c r="DM222" s="371"/>
      <c r="DN222" s="371"/>
      <c r="DO222" s="371"/>
      <c r="DP222" s="367"/>
      <c r="DQ222" s="405"/>
      <c r="DR222" s="366"/>
      <c r="DS222" s="367"/>
      <c r="DT222"/>
      <c r="DU222"/>
      <c r="DV222"/>
      <c r="DW222"/>
      <c r="DX222"/>
      <c r="DY222"/>
    </row>
    <row r="223" spans="1:129" s="365" customFormat="1" hidden="1" outlineLevel="1">
      <c r="A223" s="716"/>
      <c r="B223" s="717"/>
      <c r="C223" s="1" t="s">
        <v>269</v>
      </c>
      <c r="D223" s="718"/>
      <c r="E223" s="718"/>
      <c r="F223" s="718"/>
      <c r="G223" s="366"/>
      <c r="H223" s="367"/>
      <c r="I223" s="367"/>
      <c r="J223" s="368"/>
      <c r="K223" s="366"/>
      <c r="L223" s="366"/>
      <c r="M223" s="367"/>
      <c r="N223" s="367"/>
      <c r="O223" s="367"/>
      <c r="P223" s="367"/>
      <c r="Q223" s="366"/>
      <c r="R223" s="367"/>
      <c r="S223" s="367"/>
      <c r="T223" s="368"/>
      <c r="U223" s="367"/>
      <c r="V223" s="367"/>
      <c r="W223" s="367"/>
      <c r="X223" s="367"/>
      <c r="Y223" s="368"/>
      <c r="Z223" s="367"/>
      <c r="AA223" s="367"/>
      <c r="AB223" s="367"/>
      <c r="AC223" s="367"/>
      <c r="AD223" s="367"/>
      <c r="AE223" s="367"/>
      <c r="AF223" s="366"/>
      <c r="AG223" s="367"/>
      <c r="AH223" s="367"/>
      <c r="AI223" s="367"/>
      <c r="AJ223" s="367"/>
      <c r="AK223" s="370"/>
      <c r="AL223" s="371"/>
      <c r="AM223" s="371"/>
      <c r="AN223" s="372"/>
      <c r="AO223" s="367"/>
      <c r="AP223" s="371"/>
      <c r="AQ223" s="371"/>
      <c r="AR223" s="371"/>
      <c r="AS223" s="372"/>
      <c r="AT223" s="367"/>
      <c r="AU223" s="371"/>
      <c r="AV223" s="371"/>
      <c r="AW223" s="371"/>
      <c r="AX223" s="371"/>
      <c r="AY223" s="367"/>
      <c r="AZ223" s="370"/>
      <c r="BA223" s="371"/>
      <c r="BB223" s="371"/>
      <c r="BC223" s="371"/>
      <c r="BD223" s="367"/>
      <c r="BE223" s="370"/>
      <c r="BF223" s="371"/>
      <c r="BG223" s="371"/>
      <c r="BH223" s="372"/>
      <c r="BI223" s="367"/>
      <c r="BJ223" s="371"/>
      <c r="BK223" s="371"/>
      <c r="BL223" s="371"/>
      <c r="BM223" s="372"/>
      <c r="BN223" s="367"/>
      <c r="BO223" s="371"/>
      <c r="BP223" s="371"/>
      <c r="BQ223" s="371"/>
      <c r="BR223" s="371"/>
      <c r="BS223" s="367"/>
      <c r="BT223" s="370"/>
      <c r="BU223" s="371"/>
      <c r="BV223" s="371"/>
      <c r="BW223" s="371"/>
      <c r="BX223" s="367"/>
      <c r="BY223" s="370"/>
      <c r="BZ223" s="371"/>
      <c r="CA223" s="371"/>
      <c r="CB223" s="371"/>
      <c r="CC223" s="369"/>
      <c r="CD223" s="371"/>
      <c r="CE223" s="371"/>
      <c r="CF223" s="371"/>
      <c r="CG223" s="371"/>
      <c r="CH223" s="369"/>
      <c r="CI223" s="371"/>
      <c r="CJ223" s="371"/>
      <c r="CK223" s="371"/>
      <c r="CL223" s="371"/>
      <c r="CM223" s="266"/>
      <c r="CN223" s="371"/>
      <c r="CO223" s="371"/>
      <c r="CP223" s="371"/>
      <c r="CQ223" s="371"/>
      <c r="CR223" s="955">
        <f>CR221/CM221-1</f>
        <v>6.9567133971671913E-2</v>
      </c>
      <c r="CS223" s="551"/>
      <c r="CT223" s="371"/>
      <c r="CU223" s="371"/>
      <c r="CV223" s="371"/>
      <c r="CW223" s="964">
        <f>CW221/CR221-1</f>
        <v>8.3052239066924383E-2</v>
      </c>
      <c r="CX223" s="371"/>
      <c r="CY223" s="371"/>
      <c r="CZ223" s="371"/>
      <c r="DA223" s="367"/>
      <c r="DB223" s="369"/>
      <c r="DC223" s="371"/>
      <c r="DD223" s="371"/>
      <c r="DE223" s="371"/>
      <c r="DF223" s="367"/>
      <c r="DG223" s="369"/>
      <c r="DH223" s="371"/>
      <c r="DI223" s="371"/>
      <c r="DJ223" s="371"/>
      <c r="DK223" s="367"/>
      <c r="DL223" s="369"/>
      <c r="DM223" s="371"/>
      <c r="DN223" s="371"/>
      <c r="DO223" s="371"/>
      <c r="DP223" s="367"/>
      <c r="DQ223" s="369"/>
      <c r="DR223" s="366"/>
      <c r="DS223" s="367"/>
      <c r="DT223"/>
      <c r="DU223"/>
      <c r="DV223"/>
      <c r="DW223"/>
      <c r="DX223"/>
      <c r="DY223"/>
    </row>
    <row r="224" spans="1:129" s="365" customFormat="1" hidden="1" outlineLevel="1">
      <c r="A224" s="716"/>
      <c r="B224" s="717"/>
      <c r="C224" s="1" t="s">
        <v>303</v>
      </c>
      <c r="D224" s="718"/>
      <c r="E224" s="718"/>
      <c r="F224" s="718"/>
      <c r="G224" s="366"/>
      <c r="H224" s="367"/>
      <c r="I224" s="367"/>
      <c r="J224" s="368"/>
      <c r="K224" s="366"/>
      <c r="L224" s="366"/>
      <c r="M224" s="367"/>
      <c r="N224" s="367"/>
      <c r="O224" s="367"/>
      <c r="P224" s="367"/>
      <c r="Q224" s="366"/>
      <c r="R224" s="367"/>
      <c r="S224" s="367"/>
      <c r="T224" s="368"/>
      <c r="U224" s="367"/>
      <c r="V224" s="367"/>
      <c r="W224" s="367"/>
      <c r="X224" s="367"/>
      <c r="Y224" s="368"/>
      <c r="Z224" s="367"/>
      <c r="AA224" s="367"/>
      <c r="AB224" s="367"/>
      <c r="AC224" s="367"/>
      <c r="AD224" s="367"/>
      <c r="AE224" s="367"/>
      <c r="AF224" s="366"/>
      <c r="AG224" s="367"/>
      <c r="AH224" s="367"/>
      <c r="AI224" s="367"/>
      <c r="AJ224" s="367"/>
      <c r="AK224" s="370"/>
      <c r="AL224" s="371"/>
      <c r="AM224" s="371"/>
      <c r="AN224" s="372"/>
      <c r="AO224" s="367"/>
      <c r="AP224" s="371"/>
      <c r="AQ224" s="371"/>
      <c r="AR224" s="371"/>
      <c r="AS224" s="372"/>
      <c r="AT224" s="367"/>
      <c r="AU224" s="371"/>
      <c r="AV224" s="371"/>
      <c r="AW224" s="371"/>
      <c r="AX224" s="371"/>
      <c r="AY224" s="367"/>
      <c r="AZ224" s="370"/>
      <c r="BA224" s="371"/>
      <c r="BB224" s="371"/>
      <c r="BC224" s="371"/>
      <c r="BD224" s="367"/>
      <c r="BE224" s="370"/>
      <c r="BF224" s="371"/>
      <c r="BG224" s="371"/>
      <c r="BH224" s="372"/>
      <c r="BI224" s="367"/>
      <c r="BJ224" s="371"/>
      <c r="BK224" s="371"/>
      <c r="BL224" s="371"/>
      <c r="BM224" s="372"/>
      <c r="BN224" s="367"/>
      <c r="BO224" s="371"/>
      <c r="BP224" s="371"/>
      <c r="BQ224" s="371"/>
      <c r="BR224" s="371"/>
      <c r="BS224" s="367"/>
      <c r="BT224" s="370"/>
      <c r="BU224" s="371"/>
      <c r="BV224" s="371"/>
      <c r="BW224" s="371"/>
      <c r="BX224" s="367"/>
      <c r="BY224" s="370"/>
      <c r="BZ224" s="371"/>
      <c r="CA224" s="371"/>
      <c r="CB224" s="371"/>
      <c r="CC224" s="369"/>
      <c r="CD224" s="371"/>
      <c r="CE224" s="371"/>
      <c r="CF224" s="371"/>
      <c r="CG224" s="371"/>
      <c r="CH224" s="369"/>
      <c r="CI224" s="371"/>
      <c r="CJ224" s="371"/>
      <c r="CK224" s="371"/>
      <c r="CL224" s="371"/>
      <c r="CM224" s="266">
        <f>CM225*SUM(CM183,CM185)</f>
        <v>821.01447999999993</v>
      </c>
      <c r="CN224" s="371"/>
      <c r="CO224" s="371"/>
      <c r="CP224" s="371"/>
      <c r="CQ224" s="371"/>
      <c r="CR224" s="352">
        <f>CR225*SUM(CR183,CR185)</f>
        <v>931.68487499999992</v>
      </c>
      <c r="CS224" s="551"/>
      <c r="CT224" s="371"/>
      <c r="CU224" s="371"/>
      <c r="CV224" s="371"/>
      <c r="CW224" s="667">
        <f>CW225*SUM(CW183,CW185)</f>
        <v>1011.5324999999998</v>
      </c>
      <c r="CX224" s="371"/>
      <c r="CY224" s="371"/>
      <c r="CZ224" s="371"/>
      <c r="DA224" s="367"/>
      <c r="DB224" s="369"/>
      <c r="DC224" s="371"/>
      <c r="DD224" s="371"/>
      <c r="DE224" s="371"/>
      <c r="DF224" s="367"/>
      <c r="DG224" s="369"/>
      <c r="DH224" s="371"/>
      <c r="DI224" s="371"/>
      <c r="DJ224" s="371"/>
      <c r="DK224" s="367"/>
      <c r="DL224" s="369"/>
      <c r="DM224" s="371"/>
      <c r="DN224" s="371"/>
      <c r="DO224" s="371"/>
      <c r="DP224" s="367"/>
      <c r="DQ224" s="369"/>
      <c r="DR224" s="366"/>
      <c r="DS224" s="367"/>
      <c r="DT224"/>
      <c r="DU224"/>
      <c r="DV224"/>
      <c r="DW224"/>
      <c r="DX224"/>
      <c r="DY224"/>
    </row>
    <row r="225" spans="1:129" s="365" customFormat="1" hidden="1" outlineLevel="1">
      <c r="A225" s="716"/>
      <c r="B225" s="717"/>
      <c r="C225" s="1" t="s">
        <v>338</v>
      </c>
      <c r="D225" s="718"/>
      <c r="E225" s="718"/>
      <c r="F225" s="718"/>
      <c r="G225" s="366"/>
      <c r="H225" s="367"/>
      <c r="I225" s="367"/>
      <c r="J225" s="368"/>
      <c r="K225" s="366"/>
      <c r="L225" s="366"/>
      <c r="M225" s="367"/>
      <c r="N225" s="367"/>
      <c r="O225" s="367"/>
      <c r="P225" s="367"/>
      <c r="Q225" s="366"/>
      <c r="R225" s="367"/>
      <c r="S225" s="367"/>
      <c r="T225" s="368"/>
      <c r="U225" s="367"/>
      <c r="V225" s="367"/>
      <c r="W225" s="367"/>
      <c r="X225" s="367"/>
      <c r="Y225" s="368"/>
      <c r="Z225" s="367"/>
      <c r="AA225" s="367"/>
      <c r="AB225" s="367"/>
      <c r="AC225" s="367"/>
      <c r="AD225" s="367"/>
      <c r="AE225" s="367"/>
      <c r="AF225" s="366"/>
      <c r="AG225" s="367"/>
      <c r="AH225" s="367"/>
      <c r="AI225" s="367"/>
      <c r="AJ225" s="367"/>
      <c r="AK225" s="370"/>
      <c r="AL225" s="371"/>
      <c r="AM225" s="371"/>
      <c r="AN225" s="372"/>
      <c r="AO225" s="367"/>
      <c r="AP225" s="371"/>
      <c r="AQ225" s="371"/>
      <c r="AR225" s="371"/>
      <c r="AS225" s="372"/>
      <c r="AT225" s="367"/>
      <c r="AU225" s="371"/>
      <c r="AV225" s="371"/>
      <c r="AW225" s="371"/>
      <c r="AX225" s="371"/>
      <c r="AY225" s="367"/>
      <c r="AZ225" s="370"/>
      <c r="BA225" s="371"/>
      <c r="BB225" s="371"/>
      <c r="BC225" s="371"/>
      <c r="BD225" s="367"/>
      <c r="BE225" s="370"/>
      <c r="BF225" s="371"/>
      <c r="BG225" s="371"/>
      <c r="BH225" s="372"/>
      <c r="BI225" s="367"/>
      <c r="BJ225" s="371"/>
      <c r="BK225" s="371"/>
      <c r="BL225" s="371"/>
      <c r="BM225" s="372"/>
      <c r="BN225" s="367"/>
      <c r="BO225" s="371"/>
      <c r="BP225" s="371"/>
      <c r="BQ225" s="371"/>
      <c r="BR225" s="371"/>
      <c r="BS225" s="367"/>
      <c r="BT225" s="370"/>
      <c r="BU225" s="371"/>
      <c r="BV225" s="371"/>
      <c r="BW225" s="371"/>
      <c r="BX225" s="367"/>
      <c r="BY225" s="370"/>
      <c r="BZ225" s="371"/>
      <c r="CA225" s="371"/>
      <c r="CB225" s="371"/>
      <c r="CC225" s="369"/>
      <c r="CD225" s="371"/>
      <c r="CE225" s="371"/>
      <c r="CF225" s="371"/>
      <c r="CG225" s="371"/>
      <c r="CH225" s="369"/>
      <c r="CI225" s="371"/>
      <c r="CJ225" s="371"/>
      <c r="CK225" s="371"/>
      <c r="CL225" s="371"/>
      <c r="CM225" s="954">
        <v>0.08</v>
      </c>
      <c r="CN225" s="371"/>
      <c r="CO225" s="371"/>
      <c r="CP225" s="371"/>
      <c r="CQ225" s="371"/>
      <c r="CR225" s="956">
        <v>7.4999999999999997E-2</v>
      </c>
      <c r="CS225" s="551"/>
      <c r="CT225" s="371"/>
      <c r="CU225" s="371"/>
      <c r="CV225" s="371"/>
      <c r="CW225" s="965">
        <v>7.4999999999999997E-2</v>
      </c>
      <c r="CX225" s="371"/>
      <c r="CY225" s="371"/>
      <c r="CZ225" s="371"/>
      <c r="DA225" s="367"/>
      <c r="DB225" s="369"/>
      <c r="DC225" s="371"/>
      <c r="DD225" s="371"/>
      <c r="DE225" s="371"/>
      <c r="DF225" s="367"/>
      <c r="DG225" s="369"/>
      <c r="DH225" s="371"/>
      <c r="DI225" s="371"/>
      <c r="DJ225" s="371"/>
      <c r="DK225" s="367"/>
      <c r="DL225" s="405"/>
      <c r="DM225" s="371"/>
      <c r="DN225" s="371"/>
      <c r="DO225" s="371"/>
      <c r="DP225" s="367"/>
      <c r="DQ225" s="405"/>
      <c r="DR225" s="954"/>
      <c r="DS225" s="367"/>
      <c r="DT225"/>
      <c r="DU225"/>
      <c r="DV225"/>
      <c r="DW225"/>
      <c r="DX225"/>
      <c r="DY225"/>
    </row>
    <row r="226" spans="1:129" s="365" customFormat="1" hidden="1" outlineLevel="1">
      <c r="A226" s="716"/>
      <c r="B226" s="717"/>
      <c r="C226" s="1" t="s">
        <v>269</v>
      </c>
      <c r="D226" s="718"/>
      <c r="E226" s="718"/>
      <c r="F226" s="718"/>
      <c r="G226" s="366"/>
      <c r="H226" s="367"/>
      <c r="I226" s="367"/>
      <c r="J226" s="368"/>
      <c r="K226" s="366"/>
      <c r="L226" s="366"/>
      <c r="M226" s="367"/>
      <c r="N226" s="367"/>
      <c r="O226" s="367"/>
      <c r="P226" s="367"/>
      <c r="Q226" s="366"/>
      <c r="R226" s="367"/>
      <c r="S226" s="367"/>
      <c r="T226" s="368"/>
      <c r="U226" s="367"/>
      <c r="V226" s="367"/>
      <c r="W226" s="367"/>
      <c r="X226" s="367"/>
      <c r="Y226" s="368"/>
      <c r="Z226" s="367"/>
      <c r="AA226" s="367"/>
      <c r="AB226" s="367"/>
      <c r="AC226" s="367"/>
      <c r="AD226" s="367"/>
      <c r="AE226" s="367"/>
      <c r="AF226" s="366"/>
      <c r="AG226" s="367"/>
      <c r="AH226" s="367"/>
      <c r="AI226" s="367"/>
      <c r="AJ226" s="367"/>
      <c r="AK226" s="370"/>
      <c r="AL226" s="371"/>
      <c r="AM226" s="371"/>
      <c r="AN226" s="372"/>
      <c r="AO226" s="367"/>
      <c r="AP226" s="371"/>
      <c r="AQ226" s="371"/>
      <c r="AR226" s="371"/>
      <c r="AS226" s="372"/>
      <c r="AT226" s="367"/>
      <c r="AU226" s="371"/>
      <c r="AV226" s="371"/>
      <c r="AW226" s="371"/>
      <c r="AX226" s="371"/>
      <c r="AY226" s="367"/>
      <c r="AZ226" s="370"/>
      <c r="BA226" s="371"/>
      <c r="BB226" s="371"/>
      <c r="BC226" s="371"/>
      <c r="BD226" s="367"/>
      <c r="BE226" s="370"/>
      <c r="BF226" s="371"/>
      <c r="BG226" s="371"/>
      <c r="BH226" s="372"/>
      <c r="BI226" s="367"/>
      <c r="BJ226" s="371"/>
      <c r="BK226" s="371"/>
      <c r="BL226" s="371"/>
      <c r="BM226" s="372"/>
      <c r="BN226" s="367"/>
      <c r="BO226" s="371"/>
      <c r="BP226" s="371"/>
      <c r="BQ226" s="371"/>
      <c r="BR226" s="371"/>
      <c r="BS226" s="367"/>
      <c r="BT226" s="370"/>
      <c r="BU226" s="371"/>
      <c r="BV226" s="371"/>
      <c r="BW226" s="371"/>
      <c r="BX226" s="367"/>
      <c r="BY226" s="370"/>
      <c r="BZ226" s="371"/>
      <c r="CA226" s="371"/>
      <c r="CB226" s="371"/>
      <c r="CC226" s="369"/>
      <c r="CD226" s="371"/>
      <c r="CE226" s="371"/>
      <c r="CF226" s="371"/>
      <c r="CG226" s="371"/>
      <c r="CH226" s="369"/>
      <c r="CI226" s="371"/>
      <c r="CJ226" s="371"/>
      <c r="CK226" s="371"/>
      <c r="CL226" s="371"/>
      <c r="CM226" s="266"/>
      <c r="CN226" s="371"/>
      <c r="CO226" s="371"/>
      <c r="CP226" s="371"/>
      <c r="CQ226" s="371"/>
      <c r="CR226" s="955">
        <f>CR224/CM224-1</f>
        <v>0.13479712927840204</v>
      </c>
      <c r="CS226" s="551"/>
      <c r="CT226" s="371"/>
      <c r="CU226" s="371"/>
      <c r="CV226" s="371"/>
      <c r="CW226" s="964">
        <f>CW224/CR224-1</f>
        <v>8.570239481455566E-2</v>
      </c>
      <c r="CX226" s="371"/>
      <c r="CY226" s="371"/>
      <c r="CZ226" s="371"/>
      <c r="DA226" s="367"/>
      <c r="DB226" s="369"/>
      <c r="DC226" s="371"/>
      <c r="DD226" s="371"/>
      <c r="DE226" s="371"/>
      <c r="DF226" s="367"/>
      <c r="DG226" s="369"/>
      <c r="DH226" s="371"/>
      <c r="DI226" s="371"/>
      <c r="DJ226" s="371"/>
      <c r="DK226" s="367"/>
      <c r="DL226" s="369"/>
      <c r="DM226" s="371"/>
      <c r="DN226" s="371"/>
      <c r="DO226" s="371"/>
      <c r="DP226" s="367"/>
      <c r="DQ226" s="369"/>
      <c r="DR226" s="366"/>
      <c r="DS226" s="367"/>
      <c r="DT226"/>
      <c r="DU226"/>
      <c r="DV226"/>
      <c r="DW226"/>
      <c r="DX226"/>
      <c r="DY226"/>
    </row>
    <row r="227" spans="1:129" s="365" customFormat="1" hidden="1" outlineLevel="1">
      <c r="A227" s="716"/>
      <c r="B227" s="717"/>
      <c r="C227" s="1" t="s">
        <v>299</v>
      </c>
      <c r="D227" s="718"/>
      <c r="E227" s="718"/>
      <c r="F227" s="718"/>
      <c r="G227" s="366"/>
      <c r="H227" s="367"/>
      <c r="I227" s="367"/>
      <c r="J227" s="368"/>
      <c r="K227" s="366"/>
      <c r="L227" s="366"/>
      <c r="M227" s="367"/>
      <c r="N227" s="367"/>
      <c r="O227" s="367"/>
      <c r="P227" s="367"/>
      <c r="Q227" s="366"/>
      <c r="R227" s="367"/>
      <c r="S227" s="367"/>
      <c r="T227" s="368"/>
      <c r="U227" s="367"/>
      <c r="V227" s="367"/>
      <c r="W227" s="367"/>
      <c r="X227" s="367"/>
      <c r="Y227" s="368"/>
      <c r="Z227" s="367"/>
      <c r="AA227" s="367"/>
      <c r="AB227" s="367"/>
      <c r="AC227" s="367"/>
      <c r="AD227" s="367"/>
      <c r="AE227" s="367"/>
      <c r="AF227" s="366"/>
      <c r="AG227" s="367"/>
      <c r="AH227" s="367"/>
      <c r="AI227" s="367"/>
      <c r="AJ227" s="367"/>
      <c r="AK227" s="370"/>
      <c r="AL227" s="371"/>
      <c r="AM227" s="371"/>
      <c r="AN227" s="372"/>
      <c r="AO227" s="367"/>
      <c r="AP227" s="371"/>
      <c r="AQ227" s="371"/>
      <c r="AR227" s="371"/>
      <c r="AS227" s="372"/>
      <c r="AT227" s="367"/>
      <c r="AU227" s="371"/>
      <c r="AV227" s="371"/>
      <c r="AW227" s="371"/>
      <c r="AX227" s="371"/>
      <c r="AY227" s="367"/>
      <c r="AZ227" s="370"/>
      <c r="BA227" s="371"/>
      <c r="BB227" s="371"/>
      <c r="BC227" s="371"/>
      <c r="BD227" s="367"/>
      <c r="BE227" s="370"/>
      <c r="BF227" s="371"/>
      <c r="BG227" s="371"/>
      <c r="BH227" s="372"/>
      <c r="BI227" s="367"/>
      <c r="BJ227" s="371"/>
      <c r="BK227" s="371"/>
      <c r="BL227" s="371"/>
      <c r="BM227" s="372"/>
      <c r="BN227" s="367"/>
      <c r="BO227" s="371"/>
      <c r="BP227" s="371"/>
      <c r="BQ227" s="371"/>
      <c r="BR227" s="371"/>
      <c r="BS227" s="367"/>
      <c r="BT227" s="370"/>
      <c r="BU227" s="371"/>
      <c r="BV227" s="371"/>
      <c r="BW227" s="371"/>
      <c r="BX227" s="367"/>
      <c r="BY227" s="370"/>
      <c r="BZ227" s="371"/>
      <c r="CA227" s="371"/>
      <c r="CB227" s="371"/>
      <c r="CC227" s="369"/>
      <c r="CD227" s="371"/>
      <c r="CE227" s="371"/>
      <c r="CF227" s="371"/>
      <c r="CG227" s="371"/>
      <c r="CH227" s="369"/>
      <c r="CI227" s="371"/>
      <c r="CJ227" s="371"/>
      <c r="CK227" s="371"/>
      <c r="CL227" s="371"/>
      <c r="CM227" s="266">
        <f>CM228*SUM(CM183,CM185)</f>
        <v>821.01447999999993</v>
      </c>
      <c r="CN227" s="371"/>
      <c r="CO227" s="371"/>
      <c r="CP227" s="371"/>
      <c r="CQ227" s="371"/>
      <c r="CR227" s="352">
        <f>CR228*SUM(CR183,CR185)</f>
        <v>931.68487499999992</v>
      </c>
      <c r="CS227" s="551"/>
      <c r="CT227" s="371"/>
      <c r="CU227" s="371"/>
      <c r="CV227" s="371"/>
      <c r="CW227" s="667">
        <f>CW228*SUM(CW183,CW185)</f>
        <v>1011.5324999999998</v>
      </c>
      <c r="CX227" s="371"/>
      <c r="CY227" s="371"/>
      <c r="CZ227" s="371"/>
      <c r="DA227" s="367"/>
      <c r="DB227" s="369"/>
      <c r="DC227" s="371"/>
      <c r="DD227" s="371"/>
      <c r="DE227" s="371"/>
      <c r="DF227" s="367"/>
      <c r="DG227" s="369"/>
      <c r="DH227" s="371"/>
      <c r="DI227" s="371"/>
      <c r="DJ227" s="371"/>
      <c r="DK227" s="367"/>
      <c r="DL227" s="369"/>
      <c r="DM227" s="371"/>
      <c r="DN227" s="371"/>
      <c r="DO227" s="371"/>
      <c r="DP227" s="367"/>
      <c r="DQ227" s="369"/>
      <c r="DR227" s="366"/>
      <c r="DS227" s="367"/>
      <c r="DT227"/>
      <c r="DU227"/>
      <c r="DV227"/>
      <c r="DW227"/>
      <c r="DX227"/>
      <c r="DY227"/>
    </row>
    <row r="228" spans="1:129" s="365" customFormat="1" hidden="1" outlineLevel="1">
      <c r="A228" s="716"/>
      <c r="B228" s="717"/>
      <c r="C228" s="1" t="s">
        <v>338</v>
      </c>
      <c r="D228" s="718"/>
      <c r="E228" s="718"/>
      <c r="F228" s="718"/>
      <c r="G228" s="366"/>
      <c r="H228" s="367"/>
      <c r="I228" s="367"/>
      <c r="J228" s="368"/>
      <c r="K228" s="366"/>
      <c r="L228" s="366"/>
      <c r="M228" s="367"/>
      <c r="N228" s="367"/>
      <c r="O228" s="367"/>
      <c r="P228" s="367"/>
      <c r="Q228" s="366"/>
      <c r="R228" s="367"/>
      <c r="S228" s="367"/>
      <c r="T228" s="368"/>
      <c r="U228" s="367"/>
      <c r="V228" s="367"/>
      <c r="W228" s="367"/>
      <c r="X228" s="367"/>
      <c r="Y228" s="368"/>
      <c r="Z228" s="367"/>
      <c r="AA228" s="367"/>
      <c r="AB228" s="367"/>
      <c r="AC228" s="367"/>
      <c r="AD228" s="367"/>
      <c r="AE228" s="367"/>
      <c r="AF228" s="366"/>
      <c r="AG228" s="367"/>
      <c r="AH228" s="367"/>
      <c r="AI228" s="367"/>
      <c r="AJ228" s="367"/>
      <c r="AK228" s="370"/>
      <c r="AL228" s="371"/>
      <c r="AM228" s="371"/>
      <c r="AN228" s="372"/>
      <c r="AO228" s="367"/>
      <c r="AP228" s="371"/>
      <c r="AQ228" s="371"/>
      <c r="AR228" s="371"/>
      <c r="AS228" s="372"/>
      <c r="AT228" s="367"/>
      <c r="AU228" s="371"/>
      <c r="AV228" s="371"/>
      <c r="AW228" s="371"/>
      <c r="AX228" s="371"/>
      <c r="AY228" s="367"/>
      <c r="AZ228" s="370"/>
      <c r="BA228" s="371"/>
      <c r="BB228" s="371"/>
      <c r="BC228" s="371"/>
      <c r="BD228" s="367"/>
      <c r="BE228" s="370"/>
      <c r="BF228" s="371"/>
      <c r="BG228" s="371"/>
      <c r="BH228" s="372"/>
      <c r="BI228" s="367"/>
      <c r="BJ228" s="371"/>
      <c r="BK228" s="371"/>
      <c r="BL228" s="371"/>
      <c r="BM228" s="372"/>
      <c r="BN228" s="367"/>
      <c r="BO228" s="371"/>
      <c r="BP228" s="371"/>
      <c r="BQ228" s="371"/>
      <c r="BR228" s="371"/>
      <c r="BS228" s="367"/>
      <c r="BT228" s="370"/>
      <c r="BU228" s="371"/>
      <c r="BV228" s="371"/>
      <c r="BW228" s="371"/>
      <c r="BX228" s="367"/>
      <c r="BY228" s="370"/>
      <c r="BZ228" s="371"/>
      <c r="CA228" s="371"/>
      <c r="CB228" s="371"/>
      <c r="CC228" s="369"/>
      <c r="CD228" s="371"/>
      <c r="CE228" s="371"/>
      <c r="CF228" s="371"/>
      <c r="CG228" s="371"/>
      <c r="CH228" s="369"/>
      <c r="CI228" s="371"/>
      <c r="CJ228" s="371"/>
      <c r="CK228" s="371"/>
      <c r="CL228" s="371"/>
      <c r="CM228" s="954">
        <v>0.08</v>
      </c>
      <c r="CN228" s="371"/>
      <c r="CO228" s="371"/>
      <c r="CP228" s="371"/>
      <c r="CQ228" s="371"/>
      <c r="CR228" s="956">
        <v>7.4999999999999997E-2</v>
      </c>
      <c r="CS228" s="551"/>
      <c r="CT228" s="371"/>
      <c r="CU228" s="371"/>
      <c r="CV228" s="371"/>
      <c r="CW228" s="965">
        <v>7.4999999999999997E-2</v>
      </c>
      <c r="CX228" s="371"/>
      <c r="CY228" s="371"/>
      <c r="CZ228" s="371"/>
      <c r="DA228" s="367"/>
      <c r="DB228" s="369"/>
      <c r="DC228" s="371"/>
      <c r="DD228" s="371"/>
      <c r="DE228" s="371"/>
      <c r="DF228" s="367"/>
      <c r="DG228" s="369"/>
      <c r="DH228" s="371"/>
      <c r="DI228" s="371"/>
      <c r="DJ228" s="371"/>
      <c r="DK228" s="367"/>
      <c r="DL228" s="405"/>
      <c r="DM228" s="371"/>
      <c r="DN228" s="371"/>
      <c r="DO228" s="371"/>
      <c r="DP228" s="367"/>
      <c r="DQ228" s="405"/>
      <c r="DR228" s="954"/>
      <c r="DS228" s="367"/>
      <c r="DT228"/>
      <c r="DU228"/>
      <c r="DV228"/>
      <c r="DW228"/>
      <c r="DX228"/>
      <c r="DY228"/>
    </row>
    <row r="229" spans="1:129" s="365" customFormat="1" hidden="1" outlineLevel="1">
      <c r="A229" s="716"/>
      <c r="B229" s="717"/>
      <c r="C229" s="1" t="s">
        <v>269</v>
      </c>
      <c r="D229" s="718"/>
      <c r="E229" s="718"/>
      <c r="F229" s="718"/>
      <c r="G229" s="366"/>
      <c r="H229" s="367"/>
      <c r="I229" s="367"/>
      <c r="J229" s="368"/>
      <c r="K229" s="366"/>
      <c r="L229" s="366"/>
      <c r="M229" s="367"/>
      <c r="N229" s="367"/>
      <c r="O229" s="367"/>
      <c r="P229" s="367"/>
      <c r="Q229" s="366"/>
      <c r="R229" s="367"/>
      <c r="S229" s="367"/>
      <c r="T229" s="368"/>
      <c r="U229" s="367"/>
      <c r="V229" s="367"/>
      <c r="W229" s="367"/>
      <c r="X229" s="367"/>
      <c r="Y229" s="368"/>
      <c r="Z229" s="367"/>
      <c r="AA229" s="367"/>
      <c r="AB229" s="367"/>
      <c r="AC229" s="367"/>
      <c r="AD229" s="367"/>
      <c r="AE229" s="367"/>
      <c r="AF229" s="366"/>
      <c r="AG229" s="367"/>
      <c r="AH229" s="367"/>
      <c r="AI229" s="367"/>
      <c r="AJ229" s="367"/>
      <c r="AK229" s="370"/>
      <c r="AL229" s="371"/>
      <c r="AM229" s="371"/>
      <c r="AN229" s="372"/>
      <c r="AO229" s="367"/>
      <c r="AP229" s="371"/>
      <c r="AQ229" s="371"/>
      <c r="AR229" s="371"/>
      <c r="AS229" s="372"/>
      <c r="AT229" s="367"/>
      <c r="AU229" s="371"/>
      <c r="AV229" s="371"/>
      <c r="AW229" s="371"/>
      <c r="AX229" s="371"/>
      <c r="AY229" s="367"/>
      <c r="AZ229" s="370"/>
      <c r="BA229" s="371"/>
      <c r="BB229" s="371"/>
      <c r="BC229" s="371"/>
      <c r="BD229" s="367"/>
      <c r="BE229" s="370"/>
      <c r="BF229" s="371"/>
      <c r="BG229" s="371"/>
      <c r="BH229" s="372"/>
      <c r="BI229" s="367"/>
      <c r="BJ229" s="371"/>
      <c r="BK229" s="371"/>
      <c r="BL229" s="371"/>
      <c r="BM229" s="372"/>
      <c r="BN229" s="367"/>
      <c r="BO229" s="371"/>
      <c r="BP229" s="371"/>
      <c r="BQ229" s="371"/>
      <c r="BR229" s="371"/>
      <c r="BS229" s="367"/>
      <c r="BT229" s="370"/>
      <c r="BU229" s="371"/>
      <c r="BV229" s="371"/>
      <c r="BW229" s="371"/>
      <c r="BX229" s="367"/>
      <c r="BY229" s="370"/>
      <c r="BZ229" s="371"/>
      <c r="CA229" s="371"/>
      <c r="CB229" s="371"/>
      <c r="CC229" s="369"/>
      <c r="CD229" s="371"/>
      <c r="CE229" s="371"/>
      <c r="CF229" s="371"/>
      <c r="CG229" s="371"/>
      <c r="CH229" s="369"/>
      <c r="CI229" s="371"/>
      <c r="CJ229" s="371"/>
      <c r="CK229" s="371"/>
      <c r="CL229" s="371"/>
      <c r="CM229" s="954"/>
      <c r="CN229" s="371"/>
      <c r="CO229" s="371"/>
      <c r="CP229" s="371"/>
      <c r="CQ229" s="371"/>
      <c r="CR229" s="955">
        <f>CR227/CM227-1</f>
        <v>0.13479712927840204</v>
      </c>
      <c r="CS229" s="551"/>
      <c r="CT229" s="371"/>
      <c r="CU229" s="371"/>
      <c r="CV229" s="371"/>
      <c r="CW229" s="964">
        <f>CW227/CR227-1</f>
        <v>8.570239481455566E-2</v>
      </c>
      <c r="CX229" s="371"/>
      <c r="CY229" s="371"/>
      <c r="CZ229" s="371"/>
      <c r="DA229" s="367"/>
      <c r="DB229" s="369"/>
      <c r="DC229" s="371"/>
      <c r="DD229" s="371"/>
      <c r="DE229" s="371"/>
      <c r="DF229" s="367"/>
      <c r="DG229" s="369"/>
      <c r="DH229" s="371"/>
      <c r="DI229" s="371"/>
      <c r="DJ229" s="371"/>
      <c r="DK229" s="367"/>
      <c r="DL229" s="369"/>
      <c r="DM229" s="371"/>
      <c r="DN229" s="371"/>
      <c r="DO229" s="371"/>
      <c r="DP229" s="367"/>
      <c r="DQ229" s="369"/>
      <c r="DR229" s="366"/>
      <c r="DS229" s="367"/>
      <c r="DT229"/>
      <c r="DU229"/>
      <c r="DV229"/>
      <c r="DW229"/>
      <c r="DX229"/>
      <c r="DY229"/>
    </row>
    <row r="230" spans="1:129" s="365" customFormat="1" hidden="1" outlineLevel="1">
      <c r="A230" s="716"/>
      <c r="B230" s="717"/>
      <c r="C230" s="175" t="s">
        <v>296</v>
      </c>
      <c r="D230" s="718"/>
      <c r="E230" s="718"/>
      <c r="F230" s="718"/>
      <c r="G230" s="366"/>
      <c r="H230" s="367"/>
      <c r="I230" s="367"/>
      <c r="J230" s="368"/>
      <c r="K230" s="366"/>
      <c r="L230" s="366"/>
      <c r="M230" s="367"/>
      <c r="N230" s="367"/>
      <c r="O230" s="367"/>
      <c r="P230" s="367"/>
      <c r="Q230" s="366"/>
      <c r="R230" s="367"/>
      <c r="S230" s="367"/>
      <c r="T230" s="368"/>
      <c r="U230" s="367"/>
      <c r="V230" s="367"/>
      <c r="W230" s="367"/>
      <c r="X230" s="367"/>
      <c r="Y230" s="368"/>
      <c r="Z230" s="367"/>
      <c r="AA230" s="367"/>
      <c r="AB230" s="367"/>
      <c r="AC230" s="367"/>
      <c r="AD230" s="367"/>
      <c r="AE230" s="367"/>
      <c r="AF230" s="366"/>
      <c r="AG230" s="367"/>
      <c r="AH230" s="367"/>
      <c r="AI230" s="367"/>
      <c r="AJ230" s="367"/>
      <c r="AK230" s="370"/>
      <c r="AL230" s="371"/>
      <c r="AM230" s="371"/>
      <c r="AN230" s="372"/>
      <c r="AO230" s="367"/>
      <c r="AP230" s="371"/>
      <c r="AQ230" s="371"/>
      <c r="AR230" s="371"/>
      <c r="AS230" s="372"/>
      <c r="AT230" s="367"/>
      <c r="AU230" s="371"/>
      <c r="AV230" s="371"/>
      <c r="AW230" s="371"/>
      <c r="AX230" s="371"/>
      <c r="AY230" s="367"/>
      <c r="AZ230" s="370"/>
      <c r="BA230" s="371"/>
      <c r="BB230" s="371"/>
      <c r="BC230" s="371"/>
      <c r="BD230" s="367"/>
      <c r="BE230" s="370"/>
      <c r="BF230" s="371"/>
      <c r="BG230" s="371"/>
      <c r="BH230" s="372"/>
      <c r="BI230" s="367"/>
      <c r="BJ230" s="371"/>
      <c r="BK230" s="371"/>
      <c r="BL230" s="371"/>
      <c r="BM230" s="372"/>
      <c r="BN230" s="367"/>
      <c r="BO230" s="371"/>
      <c r="BP230" s="371"/>
      <c r="BQ230" s="371"/>
      <c r="BR230" s="371"/>
      <c r="BS230" s="367"/>
      <c r="BT230" s="370"/>
      <c r="BU230" s="371"/>
      <c r="BV230" s="371"/>
      <c r="BW230" s="371"/>
      <c r="BX230" s="367"/>
      <c r="BY230" s="370"/>
      <c r="BZ230" s="371"/>
      <c r="CA230" s="371"/>
      <c r="CB230" s="371"/>
      <c r="CC230" s="369"/>
      <c r="CD230" s="371"/>
      <c r="CE230" s="371"/>
      <c r="CF230" s="371"/>
      <c r="CG230" s="371"/>
      <c r="CH230" s="369"/>
      <c r="CI230" s="371"/>
      <c r="CJ230" s="371"/>
      <c r="CK230" s="371"/>
      <c r="CL230" s="371"/>
      <c r="CM230" s="266">
        <f>CM183</f>
        <v>5424.1663389999994</v>
      </c>
      <c r="CN230" s="371"/>
      <c r="CO230" s="371"/>
      <c r="CP230" s="371"/>
      <c r="CQ230" s="371"/>
      <c r="CR230" s="352">
        <f>CR183</f>
        <v>7140.2391999999991</v>
      </c>
      <c r="CS230" s="130">
        <f t="shared" ref="CS230:CV230" si="320">CS183</f>
        <v>1850.7559999999999</v>
      </c>
      <c r="CT230" s="130">
        <f t="shared" si="320"/>
        <v>1937.6924999999999</v>
      </c>
      <c r="CU230" s="130">
        <f t="shared" si="320"/>
        <v>1982.1368</v>
      </c>
      <c r="CV230" s="130">
        <f t="shared" si="320"/>
        <v>1990.6499999999999</v>
      </c>
      <c r="CW230" s="667">
        <f>CW183</f>
        <v>7761.2352999999994</v>
      </c>
      <c r="CX230" s="130">
        <f t="shared" ref="CX230:CZ230" si="321">CX183</f>
        <v>2049.5879999999997</v>
      </c>
      <c r="CY230" s="130">
        <f t="shared" si="321"/>
        <v>2154.29</v>
      </c>
      <c r="CZ230" s="130">
        <f t="shared" si="321"/>
        <v>2199.3440000000005</v>
      </c>
      <c r="DA230" s="130">
        <f>CZ230</f>
        <v>2199.3440000000005</v>
      </c>
      <c r="DB230" s="369"/>
      <c r="DC230" s="130"/>
      <c r="DD230" s="130"/>
      <c r="DE230" s="130"/>
      <c r="DF230" s="130"/>
      <c r="DG230" s="369"/>
      <c r="DH230" s="371"/>
      <c r="DI230" s="371"/>
      <c r="DJ230" s="371"/>
      <c r="DK230" s="367"/>
      <c r="DL230" s="369"/>
      <c r="DM230" s="371"/>
      <c r="DN230" s="371"/>
      <c r="DO230" s="371"/>
      <c r="DP230" s="367"/>
      <c r="DQ230" s="369"/>
      <c r="DR230" s="366"/>
      <c r="DS230" s="367"/>
      <c r="DT230"/>
      <c r="DU230"/>
      <c r="DV230"/>
      <c r="DW230"/>
      <c r="DX230"/>
      <c r="DY230"/>
    </row>
    <row r="231" spans="1:129" s="365" customFormat="1" hidden="1" outlineLevel="1">
      <c r="A231" s="716"/>
      <c r="B231" s="717"/>
      <c r="C231" s="1" t="s">
        <v>338</v>
      </c>
      <c r="D231" s="718"/>
      <c r="E231" s="718"/>
      <c r="F231" s="718"/>
      <c r="G231" s="366"/>
      <c r="H231" s="367"/>
      <c r="I231" s="367"/>
      <c r="J231" s="368"/>
      <c r="K231" s="366"/>
      <c r="L231" s="366"/>
      <c r="M231" s="367"/>
      <c r="N231" s="367"/>
      <c r="O231" s="367"/>
      <c r="P231" s="367"/>
      <c r="Q231" s="366"/>
      <c r="R231" s="367"/>
      <c r="S231" s="367"/>
      <c r="T231" s="368"/>
      <c r="U231" s="367"/>
      <c r="V231" s="367"/>
      <c r="W231" s="367"/>
      <c r="X231" s="367"/>
      <c r="Y231" s="368"/>
      <c r="Z231" s="367"/>
      <c r="AA231" s="367"/>
      <c r="AB231" s="367"/>
      <c r="AC231" s="367"/>
      <c r="AD231" s="367"/>
      <c r="AE231" s="367"/>
      <c r="AF231" s="366"/>
      <c r="AG231" s="367"/>
      <c r="AH231" s="367"/>
      <c r="AI231" s="367"/>
      <c r="AJ231" s="367"/>
      <c r="AK231" s="370"/>
      <c r="AL231" s="371"/>
      <c r="AM231" s="371"/>
      <c r="AN231" s="372"/>
      <c r="AO231" s="367"/>
      <c r="AP231" s="371"/>
      <c r="AQ231" s="371"/>
      <c r="AR231" s="371"/>
      <c r="AS231" s="372"/>
      <c r="AT231" s="367"/>
      <c r="AU231" s="371"/>
      <c r="AV231" s="371"/>
      <c r="AW231" s="371"/>
      <c r="AX231" s="371"/>
      <c r="AY231" s="367"/>
      <c r="AZ231" s="370"/>
      <c r="BA231" s="371"/>
      <c r="BB231" s="371"/>
      <c r="BC231" s="371"/>
      <c r="BD231" s="367"/>
      <c r="BE231" s="370"/>
      <c r="BF231" s="371"/>
      <c r="BG231" s="371"/>
      <c r="BH231" s="372"/>
      <c r="BI231" s="367"/>
      <c r="BJ231" s="371"/>
      <c r="BK231" s="371"/>
      <c r="BL231" s="371"/>
      <c r="BM231" s="372"/>
      <c r="BN231" s="367"/>
      <c r="BO231" s="371"/>
      <c r="BP231" s="371"/>
      <c r="BQ231" s="371"/>
      <c r="BR231" s="371"/>
      <c r="BS231" s="367"/>
      <c r="BT231" s="370"/>
      <c r="BU231" s="371"/>
      <c r="BV231" s="371"/>
      <c r="BW231" s="371"/>
      <c r="BX231" s="367"/>
      <c r="BY231" s="370"/>
      <c r="BZ231" s="371"/>
      <c r="CA231" s="371"/>
      <c r="CB231" s="371"/>
      <c r="CC231" s="369"/>
      <c r="CD231" s="371"/>
      <c r="CE231" s="371"/>
      <c r="CF231" s="371"/>
      <c r="CG231" s="371"/>
      <c r="CH231" s="369"/>
      <c r="CI231" s="371"/>
      <c r="CJ231" s="371"/>
      <c r="CK231" s="371"/>
      <c r="CL231" s="371"/>
      <c r="CM231" s="953">
        <f>CM230/SUM(CM183,CM185)</f>
        <v>0.52853307425223484</v>
      </c>
      <c r="CN231" s="371"/>
      <c r="CO231" s="371"/>
      <c r="CP231" s="371"/>
      <c r="CQ231" s="371"/>
      <c r="CR231" s="955">
        <f>CR230/SUM(CR183,CR185)</f>
        <v>0.57478440873047332</v>
      </c>
      <c r="CS231" s="551"/>
      <c r="CT231" s="371"/>
      <c r="CU231" s="371"/>
      <c r="CV231" s="371"/>
      <c r="CW231" s="964">
        <f>CW230/SUM(CW183,CW185)</f>
        <v>0.57545619888634325</v>
      </c>
      <c r="CX231" s="64">
        <f t="shared" ref="CX231" si="322">CX230/CS230-1</f>
        <v>0.10743285446595863</v>
      </c>
      <c r="CY231" s="64">
        <f t="shared" ref="CY231" si="323">CY230/CT230-1</f>
        <v>0.11178115206618178</v>
      </c>
      <c r="CZ231" s="64">
        <f t="shared" ref="CZ231" si="324">CZ230/CU230-1</f>
        <v>0.10958234567866376</v>
      </c>
      <c r="DA231" s="64">
        <f t="shared" ref="DA231" si="325">DA230/CV230-1</f>
        <v>0.10483711350563918</v>
      </c>
      <c r="DB231" s="369"/>
      <c r="DC231" s="309"/>
      <c r="DD231" s="309"/>
      <c r="DE231" s="309"/>
      <c r="DF231" s="309"/>
      <c r="DG231" s="369"/>
      <c r="DH231" s="371"/>
      <c r="DI231" s="371"/>
      <c r="DJ231" s="371"/>
      <c r="DK231" s="367"/>
      <c r="DL231" s="405"/>
      <c r="DM231" s="371"/>
      <c r="DN231" s="371"/>
      <c r="DO231" s="371"/>
      <c r="DP231" s="367"/>
      <c r="DQ231" s="405"/>
      <c r="DR231" s="366"/>
      <c r="DS231" s="367"/>
      <c r="DT231"/>
      <c r="DU231"/>
      <c r="DV231"/>
      <c r="DW231"/>
      <c r="DX231"/>
      <c r="DY231"/>
    </row>
    <row r="232" spans="1:129" s="365" customFormat="1" hidden="1" outlineLevel="1">
      <c r="A232" s="716"/>
      <c r="B232" s="717"/>
      <c r="C232" s="1" t="s">
        <v>269</v>
      </c>
      <c r="D232" s="718"/>
      <c r="E232" s="718"/>
      <c r="F232" s="718"/>
      <c r="G232" s="366"/>
      <c r="H232" s="367"/>
      <c r="I232" s="367"/>
      <c r="J232" s="368"/>
      <c r="K232" s="366"/>
      <c r="L232" s="366"/>
      <c r="M232" s="367"/>
      <c r="N232" s="367"/>
      <c r="O232" s="367"/>
      <c r="P232" s="367"/>
      <c r="Q232" s="366"/>
      <c r="R232" s="367"/>
      <c r="S232" s="367"/>
      <c r="T232" s="368"/>
      <c r="U232" s="367"/>
      <c r="V232" s="367"/>
      <c r="W232" s="367"/>
      <c r="X232" s="367"/>
      <c r="Y232" s="368"/>
      <c r="Z232" s="367"/>
      <c r="AA232" s="367"/>
      <c r="AB232" s="367"/>
      <c r="AC232" s="367"/>
      <c r="AD232" s="367"/>
      <c r="AE232" s="367"/>
      <c r="AF232" s="366"/>
      <c r="AG232" s="367"/>
      <c r="AH232" s="367"/>
      <c r="AI232" s="367"/>
      <c r="AJ232" s="367"/>
      <c r="AK232" s="370"/>
      <c r="AL232" s="371"/>
      <c r="AM232" s="371"/>
      <c r="AN232" s="372"/>
      <c r="AO232" s="367"/>
      <c r="AP232" s="371"/>
      <c r="AQ232" s="371"/>
      <c r="AR232" s="371"/>
      <c r="AS232" s="372"/>
      <c r="AT232" s="367"/>
      <c r="AU232" s="371"/>
      <c r="AV232" s="371"/>
      <c r="AW232" s="371"/>
      <c r="AX232" s="371"/>
      <c r="AY232" s="367"/>
      <c r="AZ232" s="370"/>
      <c r="BA232" s="371"/>
      <c r="BB232" s="371"/>
      <c r="BC232" s="371"/>
      <c r="BD232" s="367"/>
      <c r="BE232" s="370"/>
      <c r="BF232" s="371"/>
      <c r="BG232" s="371"/>
      <c r="BH232" s="372"/>
      <c r="BI232" s="367"/>
      <c r="BJ232" s="371"/>
      <c r="BK232" s="371"/>
      <c r="BL232" s="371"/>
      <c r="BM232" s="372"/>
      <c r="BN232" s="367"/>
      <c r="BO232" s="371"/>
      <c r="BP232" s="371"/>
      <c r="BQ232" s="371"/>
      <c r="BR232" s="371"/>
      <c r="BS232" s="367"/>
      <c r="BT232" s="370"/>
      <c r="BU232" s="371"/>
      <c r="BV232" s="371"/>
      <c r="BW232" s="371"/>
      <c r="BX232" s="367"/>
      <c r="BY232" s="370"/>
      <c r="BZ232" s="371"/>
      <c r="CA232" s="371"/>
      <c r="CB232" s="371"/>
      <c r="CC232" s="369"/>
      <c r="CD232" s="371"/>
      <c r="CE232" s="371"/>
      <c r="CF232" s="371"/>
      <c r="CG232" s="371"/>
      <c r="CH232" s="369"/>
      <c r="CI232" s="371"/>
      <c r="CJ232" s="371"/>
      <c r="CK232" s="371"/>
      <c r="CL232" s="371"/>
      <c r="CM232" s="953"/>
      <c r="CN232" s="371"/>
      <c r="CO232" s="371"/>
      <c r="CP232" s="371"/>
      <c r="CQ232" s="371"/>
      <c r="CR232" s="955">
        <f>CR230/CM230-1</f>
        <v>0.31637541213685849</v>
      </c>
      <c r="CS232" s="551"/>
      <c r="CT232" s="371"/>
      <c r="CU232" s="371"/>
      <c r="CV232" s="371"/>
      <c r="CW232" s="964">
        <f>CW230/CR230-1</f>
        <v>8.6971330036114347E-2</v>
      </c>
      <c r="CX232" s="371"/>
      <c r="CY232" s="371"/>
      <c r="CZ232" s="371"/>
      <c r="DA232" s="367"/>
      <c r="DB232" s="964"/>
      <c r="DC232" s="309"/>
      <c r="DD232" s="309"/>
      <c r="DE232" s="309"/>
      <c r="DF232" s="309"/>
      <c r="DG232" s="964"/>
      <c r="DH232" s="371"/>
      <c r="DI232" s="371"/>
      <c r="DJ232" s="371"/>
      <c r="DK232" s="367"/>
      <c r="DL232" s="369"/>
      <c r="DM232" s="371"/>
      <c r="DN232" s="371"/>
      <c r="DO232" s="371"/>
      <c r="DP232" s="367"/>
      <c r="DQ232" s="369"/>
      <c r="DR232" s="366"/>
      <c r="DS232" s="367"/>
      <c r="DT232"/>
      <c r="DU232"/>
      <c r="DV232"/>
      <c r="DW232"/>
      <c r="DX232"/>
      <c r="DY232"/>
    </row>
    <row r="233" spans="1:129" s="365" customFormat="1" hidden="1" outlineLevel="1">
      <c r="A233" s="716"/>
      <c r="B233" s="717"/>
      <c r="C233" s="1" t="s">
        <v>302</v>
      </c>
      <c r="D233" s="718"/>
      <c r="E233" s="718"/>
      <c r="F233" s="718"/>
      <c r="G233" s="366"/>
      <c r="H233" s="367"/>
      <c r="I233" s="367"/>
      <c r="J233" s="368"/>
      <c r="K233" s="366"/>
      <c r="L233" s="366"/>
      <c r="M233" s="367"/>
      <c r="N233" s="367"/>
      <c r="O233" s="367"/>
      <c r="P233" s="367"/>
      <c r="Q233" s="366"/>
      <c r="R233" s="367"/>
      <c r="S233" s="367"/>
      <c r="T233" s="368"/>
      <c r="U233" s="367"/>
      <c r="V233" s="367"/>
      <c r="W233" s="367"/>
      <c r="X233" s="367"/>
      <c r="Y233" s="368"/>
      <c r="Z233" s="367"/>
      <c r="AA233" s="367"/>
      <c r="AB233" s="367"/>
      <c r="AC233" s="367"/>
      <c r="AD233" s="367"/>
      <c r="AE233" s="367"/>
      <c r="AF233" s="366"/>
      <c r="AG233" s="367"/>
      <c r="AH233" s="367"/>
      <c r="AI233" s="367"/>
      <c r="AJ233" s="367"/>
      <c r="AK233" s="370"/>
      <c r="AL233" s="371"/>
      <c r="AM233" s="371"/>
      <c r="AN233" s="372"/>
      <c r="AO233" s="367"/>
      <c r="AP233" s="371"/>
      <c r="AQ233" s="371"/>
      <c r="AR233" s="371"/>
      <c r="AS233" s="372"/>
      <c r="AT233" s="367"/>
      <c r="AU233" s="371"/>
      <c r="AV233" s="371"/>
      <c r="AW233" s="371"/>
      <c r="AX233" s="371"/>
      <c r="AY233" s="367"/>
      <c r="AZ233" s="370"/>
      <c r="BA233" s="371"/>
      <c r="BB233" s="371"/>
      <c r="BC233" s="371"/>
      <c r="BD233" s="367"/>
      <c r="BE233" s="370"/>
      <c r="BF233" s="371"/>
      <c r="BG233" s="371"/>
      <c r="BH233" s="372"/>
      <c r="BI233" s="367"/>
      <c r="BJ233" s="371"/>
      <c r="BK233" s="371"/>
      <c r="BL233" s="371"/>
      <c r="BM233" s="372"/>
      <c r="BN233" s="367"/>
      <c r="BO233" s="371"/>
      <c r="BP233" s="371"/>
      <c r="BQ233" s="371"/>
      <c r="BR233" s="371"/>
      <c r="BS233" s="367"/>
      <c r="BT233" s="370"/>
      <c r="BU233" s="371"/>
      <c r="BV233" s="371"/>
      <c r="BW233" s="371"/>
      <c r="BX233" s="367"/>
      <c r="BY233" s="370"/>
      <c r="BZ233" s="371"/>
      <c r="CA233" s="371"/>
      <c r="CB233" s="371"/>
      <c r="CC233" s="369"/>
      <c r="CD233" s="371"/>
      <c r="CE233" s="371"/>
      <c r="CF233" s="371"/>
      <c r="CG233" s="371"/>
      <c r="CH233" s="369"/>
      <c r="CI233" s="371"/>
      <c r="CJ233" s="371"/>
      <c r="CK233" s="371"/>
      <c r="CL233" s="371"/>
      <c r="CM233" s="266">
        <f>CM234*SUM(CM183,CM185)</f>
        <v>821.01447999999993</v>
      </c>
      <c r="CN233" s="371"/>
      <c r="CO233" s="371"/>
      <c r="CP233" s="371"/>
      <c r="CQ233" s="371"/>
      <c r="CR233" s="352">
        <f>CR234*SUM(CR183,CR185)</f>
        <v>869.57255000000009</v>
      </c>
      <c r="CS233" s="551"/>
      <c r="CT233" s="371"/>
      <c r="CU233" s="371"/>
      <c r="CV233" s="371"/>
      <c r="CW233" s="667">
        <f>CW234*SUM(CW183,CW185)</f>
        <v>944.09699999999998</v>
      </c>
      <c r="CX233" s="371"/>
      <c r="CY233" s="371"/>
      <c r="CZ233" s="371"/>
      <c r="DA233" s="367"/>
      <c r="DB233" s="369"/>
      <c r="DC233" s="371"/>
      <c r="DD233" s="371"/>
      <c r="DE233" s="371"/>
      <c r="DF233" s="367"/>
      <c r="DG233" s="369"/>
      <c r="DH233" s="371"/>
      <c r="DI233" s="371"/>
      <c r="DJ233" s="371"/>
      <c r="DK233" s="367"/>
      <c r="DL233" s="369"/>
      <c r="DM233" s="371"/>
      <c r="DN233" s="371"/>
      <c r="DO233" s="371"/>
      <c r="DP233" s="367"/>
      <c r="DQ233" s="369"/>
      <c r="DR233" s="366"/>
      <c r="DS233" s="367"/>
      <c r="DT233"/>
      <c r="DU233"/>
      <c r="DV233"/>
      <c r="DW233"/>
      <c r="DX233"/>
      <c r="DY233"/>
    </row>
    <row r="234" spans="1:129" s="365" customFormat="1" hidden="1" outlineLevel="1">
      <c r="A234" s="716"/>
      <c r="B234" s="717"/>
      <c r="C234" s="1" t="s">
        <v>338</v>
      </c>
      <c r="D234" s="718"/>
      <c r="E234" s="718"/>
      <c r="F234" s="718"/>
      <c r="G234" s="366"/>
      <c r="H234" s="367"/>
      <c r="I234" s="367"/>
      <c r="J234" s="368"/>
      <c r="K234" s="366"/>
      <c r="L234" s="366"/>
      <c r="M234" s="367"/>
      <c r="N234" s="367"/>
      <c r="O234" s="367"/>
      <c r="P234" s="367"/>
      <c r="Q234" s="366"/>
      <c r="R234" s="367"/>
      <c r="S234" s="367"/>
      <c r="T234" s="368"/>
      <c r="U234" s="367"/>
      <c r="V234" s="367"/>
      <c r="W234" s="367"/>
      <c r="X234" s="367"/>
      <c r="Y234" s="368"/>
      <c r="Z234" s="367"/>
      <c r="AA234" s="367"/>
      <c r="AB234" s="367"/>
      <c r="AC234" s="367"/>
      <c r="AD234" s="367"/>
      <c r="AE234" s="367"/>
      <c r="AF234" s="366"/>
      <c r="AG234" s="367"/>
      <c r="AH234" s="367"/>
      <c r="AI234" s="367"/>
      <c r="AJ234" s="367"/>
      <c r="AK234" s="370"/>
      <c r="AL234" s="371"/>
      <c r="AM234" s="371"/>
      <c r="AN234" s="372"/>
      <c r="AO234" s="367"/>
      <c r="AP234" s="371"/>
      <c r="AQ234" s="371"/>
      <c r="AR234" s="371"/>
      <c r="AS234" s="372"/>
      <c r="AT234" s="367"/>
      <c r="AU234" s="371"/>
      <c r="AV234" s="371"/>
      <c r="AW234" s="371"/>
      <c r="AX234" s="371"/>
      <c r="AY234" s="367"/>
      <c r="AZ234" s="370"/>
      <c r="BA234" s="371"/>
      <c r="BB234" s="371"/>
      <c r="BC234" s="371"/>
      <c r="BD234" s="367"/>
      <c r="BE234" s="370"/>
      <c r="BF234" s="371"/>
      <c r="BG234" s="371"/>
      <c r="BH234" s="372"/>
      <c r="BI234" s="367"/>
      <c r="BJ234" s="371"/>
      <c r="BK234" s="371"/>
      <c r="BL234" s="371"/>
      <c r="BM234" s="372"/>
      <c r="BN234" s="367"/>
      <c r="BO234" s="371"/>
      <c r="BP234" s="371"/>
      <c r="BQ234" s="371"/>
      <c r="BR234" s="371"/>
      <c r="BS234" s="367"/>
      <c r="BT234" s="370"/>
      <c r="BU234" s="371"/>
      <c r="BV234" s="371"/>
      <c r="BW234" s="371"/>
      <c r="BX234" s="367"/>
      <c r="BY234" s="370"/>
      <c r="BZ234" s="371"/>
      <c r="CA234" s="371"/>
      <c r="CB234" s="371"/>
      <c r="CC234" s="369"/>
      <c r="CD234" s="371"/>
      <c r="CE234" s="371"/>
      <c r="CF234" s="371"/>
      <c r="CG234" s="371"/>
      <c r="CH234" s="369"/>
      <c r="CI234" s="371"/>
      <c r="CJ234" s="371"/>
      <c r="CK234" s="371"/>
      <c r="CL234" s="371"/>
      <c r="CM234" s="954">
        <v>0.08</v>
      </c>
      <c r="CN234" s="371"/>
      <c r="CO234" s="371"/>
      <c r="CP234" s="371"/>
      <c r="CQ234" s="371"/>
      <c r="CR234" s="956">
        <v>7.0000000000000007E-2</v>
      </c>
      <c r="CS234" s="551"/>
      <c r="CT234" s="371"/>
      <c r="CU234" s="371"/>
      <c r="CV234" s="371"/>
      <c r="CW234" s="965">
        <v>7.0000000000000007E-2</v>
      </c>
      <c r="CX234" s="371"/>
      <c r="CY234" s="371"/>
      <c r="CZ234" s="371"/>
      <c r="DA234" s="367"/>
      <c r="DB234" s="369"/>
      <c r="DC234" s="371"/>
      <c r="DD234" s="371"/>
      <c r="DE234" s="371"/>
      <c r="DF234" s="367"/>
      <c r="DG234" s="369"/>
      <c r="DH234" s="371"/>
      <c r="DI234" s="371"/>
      <c r="DJ234" s="371"/>
      <c r="DK234" s="367"/>
      <c r="DL234" s="405"/>
      <c r="DM234" s="371"/>
      <c r="DN234" s="371"/>
      <c r="DO234" s="371"/>
      <c r="DP234" s="367"/>
      <c r="DQ234" s="405"/>
      <c r="DR234" s="487"/>
      <c r="DS234" s="367"/>
      <c r="DT234"/>
      <c r="DU234"/>
      <c r="DV234"/>
      <c r="DW234"/>
      <c r="DX234"/>
      <c r="DY234"/>
    </row>
    <row r="235" spans="1:129" s="365" customFormat="1" hidden="1" outlineLevel="1">
      <c r="A235" s="716"/>
      <c r="B235" s="717"/>
      <c r="C235" s="1" t="s">
        <v>269</v>
      </c>
      <c r="D235" s="718"/>
      <c r="E235" s="718"/>
      <c r="F235" s="718"/>
      <c r="G235" s="366"/>
      <c r="H235" s="367"/>
      <c r="I235" s="367"/>
      <c r="J235" s="368"/>
      <c r="K235" s="366"/>
      <c r="L235" s="366"/>
      <c r="M235" s="367"/>
      <c r="N235" s="367"/>
      <c r="O235" s="367"/>
      <c r="P235" s="367"/>
      <c r="Q235" s="366"/>
      <c r="R235" s="367"/>
      <c r="S235" s="367"/>
      <c r="T235" s="368"/>
      <c r="U235" s="367"/>
      <c r="V235" s="367"/>
      <c r="W235" s="367"/>
      <c r="X235" s="367"/>
      <c r="Y235" s="368"/>
      <c r="Z235" s="367"/>
      <c r="AA235" s="367"/>
      <c r="AB235" s="367"/>
      <c r="AC235" s="367"/>
      <c r="AD235" s="367"/>
      <c r="AE235" s="367"/>
      <c r="AF235" s="366"/>
      <c r="AG235" s="367"/>
      <c r="AH235" s="367"/>
      <c r="AI235" s="367"/>
      <c r="AJ235" s="367"/>
      <c r="AK235" s="370"/>
      <c r="AL235" s="371"/>
      <c r="AM235" s="371"/>
      <c r="AN235" s="372"/>
      <c r="AO235" s="367"/>
      <c r="AP235" s="371"/>
      <c r="AQ235" s="371"/>
      <c r="AR235" s="371"/>
      <c r="AS235" s="372"/>
      <c r="AT235" s="367"/>
      <c r="AU235" s="371"/>
      <c r="AV235" s="371"/>
      <c r="AW235" s="371"/>
      <c r="AX235" s="371"/>
      <c r="AY235" s="367"/>
      <c r="AZ235" s="370"/>
      <c r="BA235" s="371"/>
      <c r="BB235" s="371"/>
      <c r="BC235" s="371"/>
      <c r="BD235" s="367"/>
      <c r="BE235" s="370"/>
      <c r="BF235" s="371"/>
      <c r="BG235" s="371"/>
      <c r="BH235" s="372"/>
      <c r="BI235" s="367"/>
      <c r="BJ235" s="371"/>
      <c r="BK235" s="371"/>
      <c r="BL235" s="371"/>
      <c r="BM235" s="372"/>
      <c r="BN235" s="367"/>
      <c r="BO235" s="371"/>
      <c r="BP235" s="371"/>
      <c r="BQ235" s="371"/>
      <c r="BR235" s="371"/>
      <c r="BS235" s="367"/>
      <c r="BT235" s="370"/>
      <c r="BU235" s="371"/>
      <c r="BV235" s="371"/>
      <c r="BW235" s="371"/>
      <c r="BX235" s="367"/>
      <c r="BY235" s="370"/>
      <c r="BZ235" s="371"/>
      <c r="CA235" s="371"/>
      <c r="CB235" s="371"/>
      <c r="CC235" s="369"/>
      <c r="CD235" s="371"/>
      <c r="CE235" s="371"/>
      <c r="CF235" s="371"/>
      <c r="CG235" s="371"/>
      <c r="CH235" s="369"/>
      <c r="CI235" s="371"/>
      <c r="CJ235" s="371"/>
      <c r="CK235" s="371"/>
      <c r="CL235" s="371"/>
      <c r="CM235" s="954"/>
      <c r="CN235" s="371"/>
      <c r="CO235" s="371"/>
      <c r="CP235" s="371"/>
      <c r="CQ235" s="371"/>
      <c r="CR235" s="955">
        <f>CR233/CM233-1</f>
        <v>5.9143987326508718E-2</v>
      </c>
      <c r="CS235" s="551"/>
      <c r="CT235" s="371"/>
      <c r="CU235" s="371"/>
      <c r="CV235" s="371"/>
      <c r="CW235" s="964">
        <f>CW233/CR233-1</f>
        <v>8.570239481455566E-2</v>
      </c>
      <c r="CX235" s="371"/>
      <c r="CY235" s="371"/>
      <c r="CZ235" s="371"/>
      <c r="DA235" s="367"/>
      <c r="DB235" s="369"/>
      <c r="DC235" s="371"/>
      <c r="DD235" s="371"/>
      <c r="DE235" s="371"/>
      <c r="DF235" s="367"/>
      <c r="DG235" s="369"/>
      <c r="DH235" s="371"/>
      <c r="DI235" s="371"/>
      <c r="DJ235" s="371"/>
      <c r="DK235" s="367"/>
      <c r="DL235" s="369"/>
      <c r="DM235" s="371"/>
      <c r="DN235" s="371"/>
      <c r="DO235" s="371"/>
      <c r="DP235" s="367"/>
      <c r="DQ235" s="369"/>
      <c r="DR235" s="366"/>
      <c r="DS235" s="367"/>
      <c r="DT235"/>
      <c r="DU235"/>
      <c r="DV235"/>
      <c r="DW235"/>
      <c r="DX235"/>
      <c r="DY235"/>
    </row>
    <row r="236" spans="1:129" s="365" customFormat="1" hidden="1" outlineLevel="1">
      <c r="A236" s="716"/>
      <c r="B236" s="717"/>
      <c r="C236" s="1" t="s">
        <v>300</v>
      </c>
      <c r="D236" s="718"/>
      <c r="E236" s="718"/>
      <c r="F236" s="718"/>
      <c r="G236" s="366"/>
      <c r="H236" s="367"/>
      <c r="I236" s="367"/>
      <c r="J236" s="368"/>
      <c r="K236" s="366"/>
      <c r="L236" s="366"/>
      <c r="M236" s="367"/>
      <c r="N236" s="367"/>
      <c r="O236" s="367"/>
      <c r="P236" s="367"/>
      <c r="Q236" s="366"/>
      <c r="R236" s="367"/>
      <c r="S236" s="367"/>
      <c r="T236" s="368"/>
      <c r="U236" s="367"/>
      <c r="V236" s="367"/>
      <c r="W236" s="367"/>
      <c r="X236" s="367"/>
      <c r="Y236" s="368"/>
      <c r="Z236" s="367"/>
      <c r="AA236" s="367"/>
      <c r="AB236" s="367"/>
      <c r="AC236" s="367"/>
      <c r="AD236" s="367"/>
      <c r="AE236" s="367"/>
      <c r="AF236" s="366"/>
      <c r="AG236" s="367"/>
      <c r="AH236" s="367"/>
      <c r="AI236" s="367"/>
      <c r="AJ236" s="367"/>
      <c r="AK236" s="370"/>
      <c r="AL236" s="371"/>
      <c r="AM236" s="371"/>
      <c r="AN236" s="372"/>
      <c r="AO236" s="367"/>
      <c r="AP236" s="371"/>
      <c r="AQ236" s="371"/>
      <c r="AR236" s="371"/>
      <c r="AS236" s="372"/>
      <c r="AT236" s="367"/>
      <c r="AU236" s="371"/>
      <c r="AV236" s="371"/>
      <c r="AW236" s="371"/>
      <c r="AX236" s="371"/>
      <c r="AY236" s="367"/>
      <c r="AZ236" s="370"/>
      <c r="BA236" s="371"/>
      <c r="BB236" s="371"/>
      <c r="BC236" s="371"/>
      <c r="BD236" s="367"/>
      <c r="BE236" s="370"/>
      <c r="BF236" s="371"/>
      <c r="BG236" s="371"/>
      <c r="BH236" s="372"/>
      <c r="BI236" s="367"/>
      <c r="BJ236" s="371"/>
      <c r="BK236" s="371"/>
      <c r="BL236" s="371"/>
      <c r="BM236" s="372"/>
      <c r="BN236" s="367"/>
      <c r="BO236" s="371"/>
      <c r="BP236" s="371"/>
      <c r="BQ236" s="371"/>
      <c r="BR236" s="371"/>
      <c r="BS236" s="367"/>
      <c r="BT236" s="370"/>
      <c r="BU236" s="371"/>
      <c r="BV236" s="371"/>
      <c r="BW236" s="371"/>
      <c r="BX236" s="367"/>
      <c r="BY236" s="370"/>
      <c r="BZ236" s="371"/>
      <c r="CA236" s="371"/>
      <c r="CB236" s="371"/>
      <c r="CC236" s="369"/>
      <c r="CD236" s="371"/>
      <c r="CE236" s="371"/>
      <c r="CF236" s="371"/>
      <c r="CG236" s="371"/>
      <c r="CH236" s="369"/>
      <c r="CI236" s="371"/>
      <c r="CJ236" s="371"/>
      <c r="CK236" s="371"/>
      <c r="CL236" s="371"/>
      <c r="CM236" s="266">
        <f>CM237*SUM(CM183,CM185)</f>
        <v>513.13405</v>
      </c>
      <c r="CN236" s="371"/>
      <c r="CO236" s="371"/>
      <c r="CP236" s="371"/>
      <c r="CQ236" s="371"/>
      <c r="CR236" s="352">
        <f>CR237*SUM(CR183,CR185)</f>
        <v>621.1232500000001</v>
      </c>
      <c r="CS236" s="551"/>
      <c r="CT236" s="371"/>
      <c r="CU236" s="371"/>
      <c r="CV236" s="371"/>
      <c r="CW236" s="667">
        <f>CW237*SUM(CW183,CW185)</f>
        <v>674.35500000000002</v>
      </c>
      <c r="CX236" s="371"/>
      <c r="CY236" s="371"/>
      <c r="CZ236" s="371"/>
      <c r="DA236" s="367"/>
      <c r="DB236" s="369"/>
      <c r="DC236" s="371"/>
      <c r="DD236" s="371"/>
      <c r="DE236" s="371"/>
      <c r="DF236" s="367"/>
      <c r="DG236" s="369"/>
      <c r="DH236" s="371"/>
      <c r="DI236" s="371"/>
      <c r="DJ236" s="371"/>
      <c r="DK236" s="367"/>
      <c r="DL236" s="369"/>
      <c r="DM236" s="371"/>
      <c r="DN236" s="371"/>
      <c r="DO236" s="371"/>
      <c r="DP236" s="367"/>
      <c r="DQ236" s="369"/>
      <c r="DR236" s="366"/>
      <c r="DS236" s="367"/>
      <c r="DT236"/>
      <c r="DU236"/>
      <c r="DV236"/>
      <c r="DW236"/>
      <c r="DX236"/>
      <c r="DY236"/>
    </row>
    <row r="237" spans="1:129" s="365" customFormat="1" hidden="1" outlineLevel="1">
      <c r="A237" s="716"/>
      <c r="B237" s="717"/>
      <c r="C237" s="1" t="s">
        <v>338</v>
      </c>
      <c r="D237" s="718"/>
      <c r="E237" s="718"/>
      <c r="F237" s="718"/>
      <c r="G237" s="366"/>
      <c r="H237" s="367"/>
      <c r="I237" s="367"/>
      <c r="J237" s="368"/>
      <c r="K237" s="366"/>
      <c r="L237" s="366"/>
      <c r="M237" s="367"/>
      <c r="N237" s="367"/>
      <c r="O237" s="367"/>
      <c r="P237" s="367"/>
      <c r="Q237" s="366"/>
      <c r="R237" s="367"/>
      <c r="S237" s="367"/>
      <c r="T237" s="368"/>
      <c r="U237" s="367"/>
      <c r="V237" s="367"/>
      <c r="W237" s="367"/>
      <c r="X237" s="367"/>
      <c r="Y237" s="368"/>
      <c r="Z237" s="367"/>
      <c r="AA237" s="367"/>
      <c r="AB237" s="367"/>
      <c r="AC237" s="367"/>
      <c r="AD237" s="367"/>
      <c r="AE237" s="367"/>
      <c r="AF237" s="366"/>
      <c r="AG237" s="367"/>
      <c r="AH237" s="367"/>
      <c r="AI237" s="367"/>
      <c r="AJ237" s="367"/>
      <c r="AK237" s="370"/>
      <c r="AL237" s="371"/>
      <c r="AM237" s="371"/>
      <c r="AN237" s="372"/>
      <c r="AO237" s="367"/>
      <c r="AP237" s="371"/>
      <c r="AQ237" s="371"/>
      <c r="AR237" s="371"/>
      <c r="AS237" s="372"/>
      <c r="AT237" s="367"/>
      <c r="AU237" s="371"/>
      <c r="AV237" s="371"/>
      <c r="AW237" s="371"/>
      <c r="AX237" s="371"/>
      <c r="AY237" s="367"/>
      <c r="AZ237" s="370"/>
      <c r="BA237" s="371"/>
      <c r="BB237" s="371"/>
      <c r="BC237" s="371"/>
      <c r="BD237" s="367"/>
      <c r="BE237" s="370"/>
      <c r="BF237" s="371"/>
      <c r="BG237" s="371"/>
      <c r="BH237" s="372"/>
      <c r="BI237" s="367"/>
      <c r="BJ237" s="371"/>
      <c r="BK237" s="371"/>
      <c r="BL237" s="371"/>
      <c r="BM237" s="372"/>
      <c r="BN237" s="367"/>
      <c r="BO237" s="371"/>
      <c r="BP237" s="371"/>
      <c r="BQ237" s="371"/>
      <c r="BR237" s="371"/>
      <c r="BS237" s="367"/>
      <c r="BT237" s="370"/>
      <c r="BU237" s="371"/>
      <c r="BV237" s="371"/>
      <c r="BW237" s="371"/>
      <c r="BX237" s="367"/>
      <c r="BY237" s="370"/>
      <c r="BZ237" s="371"/>
      <c r="CA237" s="371"/>
      <c r="CB237" s="371"/>
      <c r="CC237" s="369"/>
      <c r="CD237" s="371"/>
      <c r="CE237" s="371"/>
      <c r="CF237" s="371"/>
      <c r="CG237" s="371"/>
      <c r="CH237" s="369"/>
      <c r="CI237" s="371"/>
      <c r="CJ237" s="371"/>
      <c r="CK237" s="371"/>
      <c r="CL237" s="371"/>
      <c r="CM237" s="954">
        <v>0.05</v>
      </c>
      <c r="CN237" s="371"/>
      <c r="CO237" s="371"/>
      <c r="CP237" s="371"/>
      <c r="CQ237" s="371"/>
      <c r="CR237" s="956">
        <v>0.05</v>
      </c>
      <c r="CS237" s="551"/>
      <c r="CT237" s="371"/>
      <c r="CU237" s="371"/>
      <c r="CV237" s="371"/>
      <c r="CW237" s="965">
        <v>0.05</v>
      </c>
      <c r="CX237" s="371"/>
      <c r="CY237" s="371"/>
      <c r="CZ237" s="371"/>
      <c r="DA237" s="367"/>
      <c r="DB237" s="369"/>
      <c r="DC237" s="371"/>
      <c r="DD237" s="371"/>
      <c r="DE237" s="371"/>
      <c r="DF237" s="367"/>
      <c r="DG237" s="369"/>
      <c r="DH237" s="371"/>
      <c r="DI237" s="371"/>
      <c r="DJ237" s="371"/>
      <c r="DK237" s="367"/>
      <c r="DL237" s="405"/>
      <c r="DM237" s="371"/>
      <c r="DN237" s="371"/>
      <c r="DO237" s="371"/>
      <c r="DP237" s="367"/>
      <c r="DQ237" s="405"/>
      <c r="DR237" s="366"/>
      <c r="DS237" s="367"/>
      <c r="DT237"/>
      <c r="DU237"/>
      <c r="DV237"/>
      <c r="DW237"/>
      <c r="DX237"/>
      <c r="DY237"/>
    </row>
    <row r="238" spans="1:129" s="365" customFormat="1" hidden="1" outlineLevel="1">
      <c r="A238" s="716"/>
      <c r="B238" s="717"/>
      <c r="C238" s="1" t="s">
        <v>269</v>
      </c>
      <c r="D238" s="718"/>
      <c r="E238" s="718"/>
      <c r="F238" s="718"/>
      <c r="G238" s="366"/>
      <c r="H238" s="367"/>
      <c r="I238" s="367"/>
      <c r="J238" s="368"/>
      <c r="K238" s="366"/>
      <c r="L238" s="366"/>
      <c r="M238" s="367"/>
      <c r="N238" s="367"/>
      <c r="O238" s="367"/>
      <c r="P238" s="367"/>
      <c r="Q238" s="366"/>
      <c r="R238" s="367"/>
      <c r="S238" s="367"/>
      <c r="T238" s="368"/>
      <c r="U238" s="367"/>
      <c r="V238" s="367"/>
      <c r="W238" s="367"/>
      <c r="X238" s="367"/>
      <c r="Y238" s="368"/>
      <c r="Z238" s="367"/>
      <c r="AA238" s="367"/>
      <c r="AB238" s="367"/>
      <c r="AC238" s="367"/>
      <c r="AD238" s="367"/>
      <c r="AE238" s="367"/>
      <c r="AF238" s="366"/>
      <c r="AG238" s="367"/>
      <c r="AH238" s="367"/>
      <c r="AI238" s="367"/>
      <c r="AJ238" s="367"/>
      <c r="AK238" s="370"/>
      <c r="AL238" s="371"/>
      <c r="AM238" s="371"/>
      <c r="AN238" s="372"/>
      <c r="AO238" s="367"/>
      <c r="AP238" s="371"/>
      <c r="AQ238" s="371"/>
      <c r="AR238" s="371"/>
      <c r="AS238" s="372"/>
      <c r="AT238" s="367"/>
      <c r="AU238" s="371"/>
      <c r="AV238" s="371"/>
      <c r="AW238" s="371"/>
      <c r="AX238" s="371"/>
      <c r="AY238" s="367"/>
      <c r="AZ238" s="370"/>
      <c r="BA238" s="371"/>
      <c r="BB238" s="371"/>
      <c r="BC238" s="371"/>
      <c r="BD238" s="367"/>
      <c r="BE238" s="370"/>
      <c r="BF238" s="371"/>
      <c r="BG238" s="371"/>
      <c r="BH238" s="372"/>
      <c r="BI238" s="367"/>
      <c r="BJ238" s="371"/>
      <c r="BK238" s="371"/>
      <c r="BL238" s="371"/>
      <c r="BM238" s="372"/>
      <c r="BN238" s="367"/>
      <c r="BO238" s="371"/>
      <c r="BP238" s="371"/>
      <c r="BQ238" s="371"/>
      <c r="BR238" s="371"/>
      <c r="BS238" s="367"/>
      <c r="BT238" s="370"/>
      <c r="BU238" s="371"/>
      <c r="BV238" s="371"/>
      <c r="BW238" s="371"/>
      <c r="BX238" s="367"/>
      <c r="BY238" s="370"/>
      <c r="BZ238" s="371"/>
      <c r="CA238" s="371"/>
      <c r="CB238" s="371"/>
      <c r="CC238" s="369"/>
      <c r="CD238" s="371"/>
      <c r="CE238" s="371"/>
      <c r="CF238" s="371"/>
      <c r="CG238" s="371"/>
      <c r="CH238" s="369"/>
      <c r="CI238" s="371"/>
      <c r="CJ238" s="371"/>
      <c r="CK238" s="371"/>
      <c r="CL238" s="371"/>
      <c r="CM238" s="266"/>
      <c r="CN238" s="371"/>
      <c r="CO238" s="371"/>
      <c r="CP238" s="371"/>
      <c r="CQ238" s="371"/>
      <c r="CR238" s="955">
        <f>CR236/CM236-1</f>
        <v>0.21045027123029558</v>
      </c>
      <c r="CS238" s="551"/>
      <c r="CT238" s="371"/>
      <c r="CU238" s="371"/>
      <c r="CV238" s="371"/>
      <c r="CW238" s="964">
        <f>CW236/CR236-1</f>
        <v>8.570239481455566E-2</v>
      </c>
      <c r="CX238" s="371"/>
      <c r="CY238" s="371"/>
      <c r="CZ238" s="371"/>
      <c r="DA238" s="367"/>
      <c r="DB238" s="369"/>
      <c r="DC238" s="371"/>
      <c r="DD238" s="371"/>
      <c r="DE238" s="371"/>
      <c r="DF238" s="367"/>
      <c r="DG238" s="369"/>
      <c r="DH238" s="371"/>
      <c r="DI238" s="371"/>
      <c r="DJ238" s="371"/>
      <c r="DK238" s="367"/>
      <c r="DL238" s="369"/>
      <c r="DM238" s="371"/>
      <c r="DN238" s="371"/>
      <c r="DO238" s="371"/>
      <c r="DP238" s="367"/>
      <c r="DQ238" s="369"/>
      <c r="DR238" s="366"/>
      <c r="DS238" s="367"/>
      <c r="DT238"/>
      <c r="DU238"/>
      <c r="DV238"/>
      <c r="DW238"/>
      <c r="DX238"/>
      <c r="DY238"/>
    </row>
    <row r="239" spans="1:129" s="365" customFormat="1" hidden="1" outlineLevel="1">
      <c r="A239" s="716"/>
      <c r="B239" s="717"/>
      <c r="C239" s="1" t="s">
        <v>304</v>
      </c>
      <c r="D239" s="718"/>
      <c r="E239" s="718"/>
      <c r="F239" s="718"/>
      <c r="G239" s="366"/>
      <c r="H239" s="367"/>
      <c r="I239" s="367"/>
      <c r="J239" s="368"/>
      <c r="K239" s="366"/>
      <c r="L239" s="366"/>
      <c r="M239" s="367"/>
      <c r="N239" s="367"/>
      <c r="O239" s="367"/>
      <c r="P239" s="367"/>
      <c r="Q239" s="366"/>
      <c r="R239" s="367"/>
      <c r="S239" s="367"/>
      <c r="T239" s="368"/>
      <c r="U239" s="367"/>
      <c r="V239" s="367"/>
      <c r="W239" s="367"/>
      <c r="X239" s="367"/>
      <c r="Y239" s="368"/>
      <c r="Z239" s="367"/>
      <c r="AA239" s="367"/>
      <c r="AB239" s="367"/>
      <c r="AC239" s="367"/>
      <c r="AD239" s="367"/>
      <c r="AE239" s="367"/>
      <c r="AF239" s="366"/>
      <c r="AG239" s="367"/>
      <c r="AH239" s="367"/>
      <c r="AI239" s="367"/>
      <c r="AJ239" s="367"/>
      <c r="AK239" s="370"/>
      <c r="AL239" s="371"/>
      <c r="AM239" s="371"/>
      <c r="AN239" s="372"/>
      <c r="AO239" s="367"/>
      <c r="AP239" s="371"/>
      <c r="AQ239" s="371"/>
      <c r="AR239" s="371"/>
      <c r="AS239" s="372"/>
      <c r="AT239" s="367"/>
      <c r="AU239" s="371"/>
      <c r="AV239" s="371"/>
      <c r="AW239" s="371"/>
      <c r="AX239" s="371"/>
      <c r="AY239" s="367"/>
      <c r="AZ239" s="370"/>
      <c r="BA239" s="371"/>
      <c r="BB239" s="371"/>
      <c r="BC239" s="371"/>
      <c r="BD239" s="367"/>
      <c r="BE239" s="370"/>
      <c r="BF239" s="371"/>
      <c r="BG239" s="371"/>
      <c r="BH239" s="372"/>
      <c r="BI239" s="367"/>
      <c r="BJ239" s="371"/>
      <c r="BK239" s="371"/>
      <c r="BL239" s="371"/>
      <c r="BM239" s="372"/>
      <c r="BN239" s="367"/>
      <c r="BO239" s="371"/>
      <c r="BP239" s="371"/>
      <c r="BQ239" s="371"/>
      <c r="BR239" s="371"/>
      <c r="BS239" s="367"/>
      <c r="BT239" s="370"/>
      <c r="BU239" s="371"/>
      <c r="BV239" s="371"/>
      <c r="BW239" s="371"/>
      <c r="BX239" s="367"/>
      <c r="BY239" s="370"/>
      <c r="BZ239" s="371"/>
      <c r="CA239" s="371"/>
      <c r="CB239" s="371"/>
      <c r="CC239" s="369"/>
      <c r="CD239" s="371"/>
      <c r="CE239" s="371"/>
      <c r="CF239" s="371"/>
      <c r="CG239" s="371"/>
      <c r="CH239" s="369"/>
      <c r="CI239" s="371"/>
      <c r="CJ239" s="371"/>
      <c r="CK239" s="371"/>
      <c r="CL239" s="371"/>
      <c r="CM239" s="266">
        <f>CM230-CM233-CM236</f>
        <v>4090.0178089999995</v>
      </c>
      <c r="CN239" s="371"/>
      <c r="CO239" s="371"/>
      <c r="CP239" s="371"/>
      <c r="CQ239" s="371"/>
      <c r="CR239" s="352">
        <f>CR230-CR233-CR236</f>
        <v>5649.5433999999987</v>
      </c>
      <c r="CS239" s="551"/>
      <c r="CT239" s="371"/>
      <c r="CU239" s="371"/>
      <c r="CV239" s="371"/>
      <c r="CW239" s="667">
        <f>CW230-CW233-CW236</f>
        <v>6142.7832999999991</v>
      </c>
      <c r="CX239" s="371"/>
      <c r="CY239" s="371"/>
      <c r="CZ239" s="371"/>
      <c r="DA239" s="367"/>
      <c r="DB239" s="369"/>
      <c r="DC239" s="371"/>
      <c r="DD239" s="371"/>
      <c r="DE239" s="371"/>
      <c r="DF239" s="367"/>
      <c r="DG239" s="369"/>
      <c r="DH239" s="371"/>
      <c r="DI239" s="371"/>
      <c r="DJ239" s="371"/>
      <c r="DK239" s="367"/>
      <c r="DL239" s="369"/>
      <c r="DM239" s="371"/>
      <c r="DN239" s="371"/>
      <c r="DO239" s="371"/>
      <c r="DP239" s="367"/>
      <c r="DQ239" s="369"/>
      <c r="DR239" s="366"/>
      <c r="DS239" s="367"/>
      <c r="DT239"/>
      <c r="DU239"/>
      <c r="DV239"/>
      <c r="DW239"/>
      <c r="DX239"/>
      <c r="DY239"/>
    </row>
    <row r="240" spans="1:129" s="365" customFormat="1" hidden="1" outlineLevel="1">
      <c r="A240" s="716"/>
      <c r="B240" s="717"/>
      <c r="C240" s="1" t="s">
        <v>338</v>
      </c>
      <c r="D240" s="718"/>
      <c r="E240" s="718"/>
      <c r="F240" s="718"/>
      <c r="G240" s="366"/>
      <c r="H240" s="367"/>
      <c r="I240" s="367"/>
      <c r="J240" s="368"/>
      <c r="K240" s="366"/>
      <c r="L240" s="366"/>
      <c r="M240" s="367"/>
      <c r="N240" s="367"/>
      <c r="O240" s="367"/>
      <c r="P240" s="367"/>
      <c r="Q240" s="366"/>
      <c r="R240" s="367"/>
      <c r="S240" s="367"/>
      <c r="T240" s="368"/>
      <c r="U240" s="367"/>
      <c r="V240" s="367"/>
      <c r="W240" s="367"/>
      <c r="X240" s="367"/>
      <c r="Y240" s="368"/>
      <c r="Z240" s="367"/>
      <c r="AA240" s="367"/>
      <c r="AB240" s="367"/>
      <c r="AC240" s="367"/>
      <c r="AD240" s="367"/>
      <c r="AE240" s="367"/>
      <c r="AF240" s="366"/>
      <c r="AG240" s="367"/>
      <c r="AH240" s="367"/>
      <c r="AI240" s="367"/>
      <c r="AJ240" s="367"/>
      <c r="AK240" s="370"/>
      <c r="AL240" s="371"/>
      <c r="AM240" s="371"/>
      <c r="AN240" s="372"/>
      <c r="AO240" s="367"/>
      <c r="AP240" s="371"/>
      <c r="AQ240" s="371"/>
      <c r="AR240" s="371"/>
      <c r="AS240" s="372"/>
      <c r="AT240" s="367"/>
      <c r="AU240" s="371"/>
      <c r="AV240" s="371"/>
      <c r="AW240" s="371"/>
      <c r="AX240" s="371"/>
      <c r="AY240" s="367"/>
      <c r="AZ240" s="370"/>
      <c r="BA240" s="371"/>
      <c r="BB240" s="371"/>
      <c r="BC240" s="371"/>
      <c r="BD240" s="367"/>
      <c r="BE240" s="370"/>
      <c r="BF240" s="371"/>
      <c r="BG240" s="371"/>
      <c r="BH240" s="372"/>
      <c r="BI240" s="367"/>
      <c r="BJ240" s="371"/>
      <c r="BK240" s="371"/>
      <c r="BL240" s="371"/>
      <c r="BM240" s="372"/>
      <c r="BN240" s="367"/>
      <c r="BO240" s="371"/>
      <c r="BP240" s="371"/>
      <c r="BQ240" s="371"/>
      <c r="BR240" s="371"/>
      <c r="BS240" s="367"/>
      <c r="BT240" s="370"/>
      <c r="BU240" s="371"/>
      <c r="BV240" s="371"/>
      <c r="BW240" s="371"/>
      <c r="BX240" s="367"/>
      <c r="BY240" s="370"/>
      <c r="BZ240" s="371"/>
      <c r="CA240" s="371"/>
      <c r="CB240" s="371"/>
      <c r="CC240" s="369"/>
      <c r="CD240" s="371"/>
      <c r="CE240" s="371"/>
      <c r="CF240" s="371"/>
      <c r="CG240" s="371"/>
      <c r="CH240" s="369"/>
      <c r="CI240" s="371"/>
      <c r="CJ240" s="371"/>
      <c r="CK240" s="371"/>
      <c r="CL240" s="371"/>
      <c r="CM240" s="953">
        <f>CM239/SUM(CM183,CM185)</f>
        <v>0.39853307425223489</v>
      </c>
      <c r="CN240" s="371"/>
      <c r="CO240" s="371"/>
      <c r="CP240" s="371"/>
      <c r="CQ240" s="371"/>
      <c r="CR240" s="955">
        <f>CR239/SUM(CR183,CR185)</f>
        <v>0.45478440873047327</v>
      </c>
      <c r="CS240" s="551"/>
      <c r="CT240" s="371"/>
      <c r="CU240" s="371"/>
      <c r="CV240" s="371"/>
      <c r="CW240" s="964">
        <f>CW239/SUM(CW183,CW185)</f>
        <v>0.45545619888634326</v>
      </c>
      <c r="CX240" s="371"/>
      <c r="CY240" s="371"/>
      <c r="CZ240" s="371"/>
      <c r="DA240" s="367"/>
      <c r="DB240" s="369"/>
      <c r="DC240" s="371"/>
      <c r="DD240" s="371"/>
      <c r="DE240" s="371"/>
      <c r="DF240" s="367"/>
      <c r="DG240" s="369"/>
      <c r="DH240" s="371"/>
      <c r="DI240" s="371"/>
      <c r="DJ240" s="371"/>
      <c r="DK240" s="367"/>
      <c r="DL240" s="405"/>
      <c r="DM240" s="371"/>
      <c r="DN240" s="371"/>
      <c r="DO240" s="371"/>
      <c r="DP240" s="367"/>
      <c r="DQ240" s="405"/>
      <c r="DR240" s="366"/>
      <c r="DS240" s="367"/>
      <c r="DT240"/>
      <c r="DU240"/>
      <c r="DV240"/>
      <c r="DW240"/>
      <c r="DX240"/>
      <c r="DY240"/>
    </row>
    <row r="241" spans="1:129" s="365" customFormat="1" hidden="1" outlineLevel="1">
      <c r="A241" s="716"/>
      <c r="B241" s="717"/>
      <c r="C241" s="1" t="s">
        <v>269</v>
      </c>
      <c r="D241" s="718"/>
      <c r="E241" s="718"/>
      <c r="F241" s="718"/>
      <c r="G241" s="366"/>
      <c r="H241" s="367"/>
      <c r="I241" s="367"/>
      <c r="J241" s="368"/>
      <c r="K241" s="366"/>
      <c r="L241" s="366"/>
      <c r="M241" s="367"/>
      <c r="N241" s="367"/>
      <c r="O241" s="367"/>
      <c r="P241" s="367"/>
      <c r="Q241" s="366"/>
      <c r="R241" s="367"/>
      <c r="S241" s="367"/>
      <c r="T241" s="368"/>
      <c r="U241" s="367"/>
      <c r="V241" s="367"/>
      <c r="W241" s="367"/>
      <c r="X241" s="367"/>
      <c r="Y241" s="368"/>
      <c r="Z241" s="367"/>
      <c r="AA241" s="367"/>
      <c r="AB241" s="367"/>
      <c r="AC241" s="367"/>
      <c r="AD241" s="367"/>
      <c r="AE241" s="367"/>
      <c r="AF241" s="366"/>
      <c r="AG241" s="367"/>
      <c r="AH241" s="367"/>
      <c r="AI241" s="367"/>
      <c r="AJ241" s="367"/>
      <c r="AK241" s="370"/>
      <c r="AL241" s="371"/>
      <c r="AM241" s="371"/>
      <c r="AN241" s="372"/>
      <c r="AO241" s="367"/>
      <c r="AP241" s="371"/>
      <c r="AQ241" s="371"/>
      <c r="AR241" s="371"/>
      <c r="AS241" s="372"/>
      <c r="AT241" s="367"/>
      <c r="AU241" s="371"/>
      <c r="AV241" s="371"/>
      <c r="AW241" s="371"/>
      <c r="AX241" s="371"/>
      <c r="AY241" s="367"/>
      <c r="AZ241" s="370"/>
      <c r="BA241" s="371"/>
      <c r="BB241" s="371"/>
      <c r="BC241" s="371"/>
      <c r="BD241" s="367"/>
      <c r="BE241" s="370"/>
      <c r="BF241" s="371"/>
      <c r="BG241" s="371"/>
      <c r="BH241" s="372"/>
      <c r="BI241" s="367"/>
      <c r="BJ241" s="371"/>
      <c r="BK241" s="371"/>
      <c r="BL241" s="371"/>
      <c r="BM241" s="372"/>
      <c r="BN241" s="367"/>
      <c r="BO241" s="371"/>
      <c r="BP241" s="371"/>
      <c r="BQ241" s="371"/>
      <c r="BR241" s="371"/>
      <c r="BS241" s="367"/>
      <c r="BT241" s="370"/>
      <c r="BU241" s="371"/>
      <c r="BV241" s="371"/>
      <c r="BW241" s="371"/>
      <c r="BX241" s="367"/>
      <c r="BY241" s="370"/>
      <c r="BZ241" s="371"/>
      <c r="CA241" s="371"/>
      <c r="CB241" s="371"/>
      <c r="CC241" s="369"/>
      <c r="CD241" s="371"/>
      <c r="CE241" s="371"/>
      <c r="CF241" s="371"/>
      <c r="CG241" s="371"/>
      <c r="CH241" s="369"/>
      <c r="CI241" s="371"/>
      <c r="CJ241" s="371"/>
      <c r="CK241" s="371"/>
      <c r="CL241" s="371"/>
      <c r="CM241" s="1"/>
      <c r="CN241" s="371"/>
      <c r="CO241" s="371"/>
      <c r="CP241" s="371"/>
      <c r="CQ241" s="371"/>
      <c r="CR241" s="955">
        <f>CR239/CM239-1</f>
        <v>0.3813004402006015</v>
      </c>
      <c r="CS241" s="551"/>
      <c r="CT241" s="371"/>
      <c r="CU241" s="371"/>
      <c r="CV241" s="371"/>
      <c r="CW241" s="964">
        <f>CW239/CR239-1</f>
        <v>8.7306152918481983E-2</v>
      </c>
      <c r="CX241" s="371"/>
      <c r="CY241" s="371"/>
      <c r="CZ241" s="371"/>
      <c r="DA241" s="367"/>
      <c r="DB241" s="369"/>
      <c r="DC241" s="371"/>
      <c r="DD241" s="371"/>
      <c r="DE241" s="371"/>
      <c r="DF241" s="367"/>
      <c r="DG241" s="369"/>
      <c r="DH241" s="371"/>
      <c r="DI241" s="371"/>
      <c r="DJ241" s="371"/>
      <c r="DK241" s="367"/>
      <c r="DL241" s="369"/>
      <c r="DM241" s="371"/>
      <c r="DN241" s="371"/>
      <c r="DO241" s="371"/>
      <c r="DP241" s="367"/>
      <c r="DQ241" s="369"/>
      <c r="DR241" s="366"/>
      <c r="DS241" s="367"/>
      <c r="DT241"/>
      <c r="DU241"/>
      <c r="DV241"/>
      <c r="DW241"/>
      <c r="DX241"/>
      <c r="DY241"/>
    </row>
    <row r="242" spans="1:129" s="156" customFormat="1" hidden="1" outlineLevel="1">
      <c r="A242" s="707"/>
      <c r="B242" s="708"/>
      <c r="C242" s="709"/>
      <c r="D242" s="709"/>
      <c r="E242" s="709"/>
      <c r="F242" s="709"/>
      <c r="G242" s="157"/>
      <c r="H242" s="158"/>
      <c r="I242" s="158"/>
      <c r="J242" s="159"/>
      <c r="K242" s="157"/>
      <c r="L242" s="157"/>
      <c r="M242" s="158"/>
      <c r="N242" s="158"/>
      <c r="O242" s="158"/>
      <c r="P242" s="158"/>
      <c r="Q242" s="157"/>
      <c r="R242" s="158"/>
      <c r="S242" s="158"/>
      <c r="T242" s="159"/>
      <c r="U242" s="158"/>
      <c r="V242" s="158"/>
      <c r="W242" s="158"/>
      <c r="X242" s="158"/>
      <c r="Y242" s="159"/>
      <c r="Z242" s="158"/>
      <c r="AA242" s="158"/>
      <c r="AB242" s="158"/>
      <c r="AC242" s="158"/>
      <c r="AD242" s="158"/>
      <c r="AE242" s="158"/>
      <c r="AF242" s="157"/>
      <c r="AG242" s="158"/>
      <c r="AH242" s="158"/>
      <c r="AI242" s="158"/>
      <c r="AJ242" s="158"/>
      <c r="AK242" s="157"/>
      <c r="AL242" s="158"/>
      <c r="AM242" s="158"/>
      <c r="AN242" s="159"/>
      <c r="AO242" s="158"/>
      <c r="AP242" s="158"/>
      <c r="AQ242" s="158"/>
      <c r="AR242" s="158"/>
      <c r="AS242" s="159"/>
      <c r="AT242" s="158"/>
      <c r="AU242" s="158"/>
      <c r="AV242" s="158"/>
      <c r="AW242" s="158"/>
      <c r="AX242" s="158"/>
      <c r="AY242" s="158"/>
      <c r="AZ242" s="157"/>
      <c r="BA242" s="158"/>
      <c r="BB242" s="158"/>
      <c r="BC242" s="158"/>
      <c r="BD242" s="158"/>
      <c r="BE242" s="157"/>
      <c r="BF242" s="158"/>
      <c r="BG242" s="158"/>
      <c r="BH242" s="159"/>
      <c r="BI242" s="158"/>
      <c r="BJ242" s="158"/>
      <c r="BK242" s="158"/>
      <c r="BL242" s="158"/>
      <c r="BM242" s="159"/>
      <c r="BN242" s="158"/>
      <c r="BO242" s="158"/>
      <c r="BP242" s="158"/>
      <c r="BQ242" s="158"/>
      <c r="BR242" s="158"/>
      <c r="BS242" s="158"/>
      <c r="BT242" s="157"/>
      <c r="BU242" s="158"/>
      <c r="BV242" s="158"/>
      <c r="BW242" s="158"/>
      <c r="BX242" s="158"/>
      <c r="BY242" s="157"/>
      <c r="BZ242" s="158"/>
      <c r="CA242" s="158"/>
      <c r="CB242" s="158"/>
      <c r="CC242" s="756"/>
      <c r="CD242" s="158"/>
      <c r="CE242" s="158"/>
      <c r="CF242" s="158"/>
      <c r="CG242" s="158"/>
      <c r="CH242" s="756"/>
      <c r="CI242" s="158"/>
      <c r="CJ242" s="158"/>
      <c r="CK242" s="158"/>
      <c r="CL242" s="158"/>
      <c r="CM242" s="756"/>
      <c r="CN242" s="158"/>
      <c r="CO242" s="158"/>
      <c r="CP242" s="158"/>
      <c r="CQ242" s="158"/>
      <c r="CR242" s="756"/>
      <c r="CS242" s="158"/>
      <c r="CT242" s="158"/>
      <c r="CU242" s="158"/>
      <c r="CV242" s="158"/>
      <c r="CW242" s="966"/>
      <c r="CX242" s="158"/>
      <c r="CY242" s="158"/>
      <c r="CZ242" s="158"/>
      <c r="DA242" s="158"/>
      <c r="DB242" s="756"/>
      <c r="DC242" s="158"/>
      <c r="DD242" s="158"/>
      <c r="DE242" s="158"/>
      <c r="DF242" s="158"/>
      <c r="DG242" s="756"/>
      <c r="DH242" s="158"/>
      <c r="DI242" s="158"/>
      <c r="DJ242" s="158"/>
      <c r="DK242" s="158"/>
      <c r="DL242" s="756"/>
      <c r="DM242" s="158"/>
      <c r="DN242" s="158"/>
      <c r="DO242" s="158"/>
      <c r="DP242" s="158"/>
      <c r="DQ242" s="756"/>
      <c r="DR242" s="186"/>
      <c r="DS242" s="185"/>
      <c r="DT242"/>
      <c r="DU242"/>
      <c r="DV242"/>
      <c r="DW242"/>
      <c r="DX242"/>
      <c r="DY242"/>
    </row>
    <row r="243" spans="1:129" hidden="1" outlineLevel="1">
      <c r="CW243" s="120">
        <f>CW240+CW237+CW234+CW228+CW225+CW222</f>
        <v>1</v>
      </c>
      <c r="DB243" s="1"/>
    </row>
    <row r="244" spans="1:129" s="619" customFormat="1" ht="14.25" hidden="1" outlineLevel="1">
      <c r="CW244" s="961" t="s">
        <v>344</v>
      </c>
      <c r="DA244" s="619" t="s">
        <v>217</v>
      </c>
      <c r="DB244" s="558" t="s">
        <v>345</v>
      </c>
      <c r="DG244" s="558"/>
      <c r="DL244" s="558"/>
      <c r="DQ244" s="558"/>
      <c r="DT244"/>
      <c r="DU244"/>
      <c r="DV244"/>
      <c r="DW244"/>
      <c r="DX244"/>
      <c r="DY244"/>
    </row>
    <row r="245" spans="1:129" s="619" customFormat="1" ht="14.25" hidden="1" outlineLevel="1">
      <c r="CW245" s="962" t="s">
        <v>296</v>
      </c>
      <c r="DA245" s="963">
        <f>CW234</f>
        <v>7.0000000000000007E-2</v>
      </c>
      <c r="DB245" s="967">
        <v>0.11</v>
      </c>
      <c r="DG245" s="558"/>
      <c r="DL245" s="558"/>
      <c r="DQ245" s="558"/>
      <c r="DT245"/>
      <c r="DU245"/>
      <c r="DV245"/>
      <c r="DW245"/>
      <c r="DX245"/>
      <c r="DY245"/>
    </row>
    <row r="246" spans="1:129" s="619" customFormat="1" ht="14.25" hidden="1" outlineLevel="1">
      <c r="CW246" s="962" t="s">
        <v>339</v>
      </c>
      <c r="CY246" s="957"/>
      <c r="CZ246" s="957"/>
      <c r="DA246" s="963">
        <f>CW240</f>
        <v>0.45545619888634326</v>
      </c>
      <c r="DB246" s="967">
        <v>0.34</v>
      </c>
      <c r="DC246" s="957"/>
      <c r="DD246" s="957"/>
      <c r="DE246" s="957"/>
      <c r="DF246" s="957"/>
      <c r="DG246" s="958"/>
      <c r="DH246" s="957"/>
      <c r="DI246" s="957"/>
      <c r="DJ246" s="957"/>
      <c r="DK246" s="957"/>
      <c r="DL246" s="958"/>
      <c r="DM246" s="957"/>
      <c r="DN246" s="957"/>
      <c r="DO246" s="957"/>
      <c r="DP246" s="957"/>
      <c r="DQ246" s="958"/>
      <c r="DR246" s="957"/>
      <c r="DT246"/>
      <c r="DU246"/>
      <c r="DV246"/>
      <c r="DW246"/>
      <c r="DX246"/>
      <c r="DY246"/>
    </row>
    <row r="247" spans="1:129" s="619" customFormat="1" ht="14.25" hidden="1" outlineLevel="1">
      <c r="CW247" s="962" t="s">
        <v>340</v>
      </c>
      <c r="CY247" s="957"/>
      <c r="CZ247" s="957"/>
      <c r="DA247" s="963">
        <f>CW222</f>
        <v>0.27454380111365684</v>
      </c>
      <c r="DB247" s="968">
        <v>0.43</v>
      </c>
      <c r="DC247" s="957"/>
      <c r="DD247" s="957"/>
      <c r="DE247" s="957"/>
      <c r="DF247" s="957"/>
      <c r="DG247" s="957"/>
      <c r="DH247" s="957"/>
      <c r="DI247" s="957"/>
      <c r="DJ247" s="957"/>
      <c r="DK247" s="957"/>
      <c r="DL247" s="957"/>
      <c r="DM247" s="957"/>
      <c r="DN247" s="957"/>
      <c r="DO247" s="957"/>
      <c r="DP247" s="957"/>
      <c r="DQ247" s="957"/>
      <c r="DR247" s="957"/>
      <c r="DT247"/>
      <c r="DU247"/>
      <c r="DV247"/>
      <c r="DW247"/>
      <c r="DX247"/>
      <c r="DY247"/>
    </row>
    <row r="248" spans="1:129" s="619" customFormat="1" ht="14.25" hidden="1" outlineLevel="1">
      <c r="CW248" s="962" t="s">
        <v>341</v>
      </c>
      <c r="CY248" s="732"/>
      <c r="CZ248" s="732"/>
      <c r="DA248" s="732">
        <f>CW225</f>
        <v>7.4999999999999997E-2</v>
      </c>
      <c r="DB248" s="968">
        <v>0.06</v>
      </c>
      <c r="DC248" s="732"/>
      <c r="DD248" s="732"/>
      <c r="DE248" s="732"/>
      <c r="DF248" s="732"/>
      <c r="DG248" s="732"/>
      <c r="DH248" s="732"/>
      <c r="DI248" s="732"/>
      <c r="DJ248" s="732"/>
      <c r="DK248" s="732"/>
      <c r="DL248" s="732"/>
      <c r="DM248" s="732"/>
      <c r="DN248" s="732"/>
      <c r="DO248" s="732"/>
      <c r="DP248" s="732"/>
      <c r="DQ248" s="732"/>
      <c r="DT248"/>
      <c r="DU248"/>
      <c r="DV248"/>
      <c r="DW248"/>
      <c r="DX248"/>
      <c r="DY248"/>
    </row>
    <row r="249" spans="1:129" s="619" customFormat="1" ht="14.25" hidden="1" outlineLevel="1">
      <c r="CW249" s="962" t="s">
        <v>342</v>
      </c>
      <c r="DA249" s="963">
        <f>CW237</f>
        <v>0.05</v>
      </c>
      <c r="DB249" s="967">
        <v>0.06</v>
      </c>
      <c r="DG249" s="558"/>
      <c r="DL249" s="558"/>
      <c r="DQ249" s="558"/>
      <c r="DT249"/>
      <c r="DU249"/>
      <c r="DV249"/>
      <c r="DW249"/>
      <c r="DX249"/>
      <c r="DY249"/>
    </row>
    <row r="250" spans="1:129" s="619" customFormat="1" ht="14.25" hidden="1" outlineLevel="1">
      <c r="CW250" s="962" t="s">
        <v>343</v>
      </c>
      <c r="DA250" s="732">
        <f>CW228</f>
        <v>7.4999999999999997E-2</v>
      </c>
      <c r="DB250" s="967">
        <v>0</v>
      </c>
      <c r="DG250" s="558"/>
      <c r="DL250" s="558"/>
      <c r="DQ250" s="558"/>
      <c r="DT250"/>
      <c r="DU250"/>
      <c r="DV250"/>
      <c r="DW250"/>
      <c r="DX250"/>
      <c r="DY250"/>
    </row>
    <row r="251" spans="1:129" s="619" customFormat="1" hidden="1" outlineLevel="1">
      <c r="CW251" s="558"/>
      <c r="CY251" s="959" t="s">
        <v>173</v>
      </c>
      <c r="CZ251" s="959"/>
      <c r="DA251" s="785">
        <f>SUM(DA245:DA250)</f>
        <v>1.0000000000000002</v>
      </c>
      <c r="DB251" s="785">
        <f>SUM(DB245:DB250)</f>
        <v>1</v>
      </c>
      <c r="DC251" s="959"/>
      <c r="DD251" s="959"/>
      <c r="DE251" s="959"/>
      <c r="DF251" s="959"/>
      <c r="DG251" s="960"/>
      <c r="DH251" s="959"/>
      <c r="DI251" s="959"/>
      <c r="DJ251" s="959"/>
      <c r="DK251" s="959"/>
      <c r="DL251" s="960"/>
      <c r="DM251" s="959"/>
      <c r="DN251" s="959"/>
      <c r="DO251" s="959"/>
      <c r="DP251" s="959"/>
      <c r="DQ251" s="960"/>
      <c r="DT251"/>
      <c r="DU251"/>
      <c r="DV251"/>
      <c r="DW251"/>
      <c r="DX251"/>
      <c r="DY251"/>
    </row>
    <row r="252" spans="1:129" s="619" customFormat="1" collapsed="1">
      <c r="CW252" s="558"/>
      <c r="CY252" s="959"/>
      <c r="CZ252" s="959"/>
      <c r="DA252" s="959"/>
      <c r="DB252" s="959"/>
      <c r="DC252" s="959"/>
      <c r="DD252" s="959"/>
      <c r="DE252" s="959"/>
      <c r="DF252" s="959"/>
      <c r="DG252" s="959"/>
      <c r="DH252" s="959"/>
      <c r="DI252" s="959"/>
      <c r="DJ252" s="959"/>
      <c r="DK252" s="959"/>
      <c r="DL252" s="959"/>
      <c r="DM252" s="959"/>
      <c r="DN252" s="959"/>
      <c r="DO252" s="959"/>
      <c r="DP252" s="959"/>
      <c r="DQ252" s="959"/>
      <c r="DT252"/>
      <c r="DU252"/>
      <c r="DV252"/>
      <c r="DW252"/>
      <c r="DX252"/>
      <c r="DY252"/>
    </row>
    <row r="253" spans="1:129" s="619" customFormat="1">
      <c r="CW253" s="558"/>
      <c r="CY253" s="732"/>
      <c r="CZ253" s="732"/>
      <c r="DA253" s="732"/>
      <c r="DB253" s="732"/>
      <c r="DC253" s="732"/>
      <c r="DD253" s="732"/>
      <c r="DE253" s="732"/>
      <c r="DF253" s="732"/>
      <c r="DG253" s="732"/>
      <c r="DH253" s="732"/>
      <c r="DI253" s="732"/>
      <c r="DJ253" s="732"/>
      <c r="DK253" s="732"/>
      <c r="DL253" s="732"/>
      <c r="DM253" s="732"/>
      <c r="DN253" s="732"/>
      <c r="DO253" s="732"/>
      <c r="DP253" s="732"/>
      <c r="DQ253" s="732"/>
      <c r="DR253" s="732"/>
      <c r="DT253"/>
      <c r="DU253"/>
      <c r="DV253"/>
      <c r="DW253"/>
      <c r="DX253"/>
      <c r="DY253"/>
    </row>
  </sheetData>
  <phoneticPr fontId="2" type="noConversion"/>
  <conditionalFormatting sqref="CR52 CM52 DR52:DS52 A52:CI52">
    <cfRule type="cellIs" dxfId="110" priority="82" stopIfTrue="1" operator="equal">
      <formula>FALSE</formula>
    </cfRule>
  </conditionalFormatting>
  <conditionalFormatting sqref="CJ52">
    <cfRule type="cellIs" dxfId="109" priority="79" stopIfTrue="1" operator="equal">
      <formula>FALSE</formula>
    </cfRule>
  </conditionalFormatting>
  <conditionalFormatting sqref="CK52">
    <cfRule type="cellIs" dxfId="108" priority="78" stopIfTrue="1" operator="equal">
      <formula>FALSE</formula>
    </cfRule>
  </conditionalFormatting>
  <conditionalFormatting sqref="CV52">
    <cfRule type="cellIs" dxfId="107" priority="70" stopIfTrue="1" operator="equal">
      <formula>FALSE</formula>
    </cfRule>
  </conditionalFormatting>
  <conditionalFormatting sqref="CU52">
    <cfRule type="cellIs" dxfId="106" priority="68" stopIfTrue="1" operator="equal">
      <formula>FALSE</formula>
    </cfRule>
  </conditionalFormatting>
  <conditionalFormatting sqref="DA52">
    <cfRule type="cellIs" dxfId="105" priority="67" stopIfTrue="1" operator="equal">
      <formula>FALSE</formula>
    </cfRule>
  </conditionalFormatting>
  <conditionalFormatting sqref="CY52:CZ52">
    <cfRule type="cellIs" dxfId="104" priority="65" stopIfTrue="1" operator="equal">
      <formula>FALSE</formula>
    </cfRule>
  </conditionalFormatting>
  <conditionalFormatting sqref="CL52">
    <cfRule type="cellIs" dxfId="103" priority="63" stopIfTrue="1" operator="equal">
      <formula>FALSE</formula>
    </cfRule>
  </conditionalFormatting>
  <conditionalFormatting sqref="DG52">
    <cfRule type="cellIs" dxfId="102" priority="54" stopIfTrue="1" operator="equal">
      <formula>FALSE</formula>
    </cfRule>
  </conditionalFormatting>
  <conditionalFormatting sqref="DC52:DE52">
    <cfRule type="cellIs" dxfId="101" priority="47" stopIfTrue="1" operator="equal">
      <formula>FALSE</formula>
    </cfRule>
  </conditionalFormatting>
  <conditionalFormatting sqref="CQ52">
    <cfRule type="cellIs" dxfId="100" priority="41" stopIfTrue="1" operator="equal">
      <formula>FALSE</formula>
    </cfRule>
  </conditionalFormatting>
  <conditionalFormatting sqref="DF52">
    <cfRule type="cellIs" dxfId="99" priority="49" stopIfTrue="1" operator="equal">
      <formula>FALSE</formula>
    </cfRule>
  </conditionalFormatting>
  <conditionalFormatting sqref="CN52">
    <cfRule type="cellIs" dxfId="98" priority="45" stopIfTrue="1" operator="equal">
      <formula>FALSE</formula>
    </cfRule>
  </conditionalFormatting>
  <conditionalFormatting sqref="CO52">
    <cfRule type="cellIs" dxfId="97" priority="43" stopIfTrue="1" operator="equal">
      <formula>FALSE</formula>
    </cfRule>
  </conditionalFormatting>
  <conditionalFormatting sqref="CP52">
    <cfRule type="cellIs" dxfId="96" priority="42" stopIfTrue="1" operator="equal">
      <formula>FALSE</formula>
    </cfRule>
  </conditionalFormatting>
  <conditionalFormatting sqref="CW52">
    <cfRule type="cellIs" dxfId="95" priority="40" stopIfTrue="1" operator="equal">
      <formula>FALSE</formula>
    </cfRule>
  </conditionalFormatting>
  <conditionalFormatting sqref="CS52">
    <cfRule type="cellIs" dxfId="94" priority="32" stopIfTrue="1" operator="equal">
      <formula>FALSE</formula>
    </cfRule>
  </conditionalFormatting>
  <conditionalFormatting sqref="CT52">
    <cfRule type="cellIs" dxfId="93" priority="30" stopIfTrue="1" operator="equal">
      <formula>FALSE</formula>
    </cfRule>
  </conditionalFormatting>
  <conditionalFormatting sqref="CX52">
    <cfRule type="cellIs" dxfId="92" priority="12" stopIfTrue="1" operator="equal">
      <formula>FALSE</formula>
    </cfRule>
  </conditionalFormatting>
  <conditionalFormatting sqref="DH52:DJ52">
    <cfRule type="cellIs" dxfId="91" priority="9" stopIfTrue="1" operator="equal">
      <formula>FALSE</formula>
    </cfRule>
  </conditionalFormatting>
  <conditionalFormatting sqref="DK52">
    <cfRule type="cellIs" dxfId="90" priority="10" stopIfTrue="1" operator="equal">
      <formula>FALSE</formula>
    </cfRule>
  </conditionalFormatting>
  <conditionalFormatting sqref="DB52">
    <cfRule type="cellIs" dxfId="89" priority="8" stopIfTrue="1" operator="equal">
      <formula>FALSE</formula>
    </cfRule>
  </conditionalFormatting>
  <conditionalFormatting sqref="DL52">
    <cfRule type="cellIs" dxfId="88" priority="7" stopIfTrue="1" operator="equal">
      <formula>FALSE</formula>
    </cfRule>
  </conditionalFormatting>
  <conditionalFormatting sqref="DM52:DO52">
    <cfRule type="cellIs" dxfId="87" priority="2" stopIfTrue="1" operator="equal">
      <formula>FALSE</formula>
    </cfRule>
  </conditionalFormatting>
  <conditionalFormatting sqref="DP52">
    <cfRule type="cellIs" dxfId="86" priority="3" stopIfTrue="1" operator="equal">
      <formula>FALSE</formula>
    </cfRule>
  </conditionalFormatting>
  <conditionalFormatting sqref="DQ52">
    <cfRule type="cellIs" dxfId="85" priority="1" stopIfTrue="1" operator="equal">
      <formula>FALSE</formula>
    </cfRule>
  </conditionalFormatting>
  <pageMargins left="0" right="0" top="0" bottom="0" header="0" footer="0"/>
  <pageSetup paperSize="5" orientation="landscape" r:id="rId1"/>
  <headerFooter alignWithMargins="0"/>
  <ignoredErrors>
    <ignoredError sqref="BM207:BM208" formulaRange="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2"/>
  <sheetViews>
    <sheetView workbookViewId="0"/>
  </sheetViews>
  <sheetFormatPr defaultRowHeight="12.75"/>
  <sheetData>
    <row r="1" spans="1:14">
      <c r="A1" t="s">
        <v>261</v>
      </c>
    </row>
    <row r="2" spans="1:14">
      <c r="A2" s="267" t="s">
        <v>259</v>
      </c>
      <c r="B2" s="267" t="s">
        <v>130</v>
      </c>
      <c r="C2" s="267" t="s">
        <v>260</v>
      </c>
      <c r="D2" s="267" t="s">
        <v>122</v>
      </c>
      <c r="E2" s="267" t="s">
        <v>257</v>
      </c>
      <c r="F2" s="267" t="s">
        <v>130</v>
      </c>
      <c r="G2" s="267" t="s">
        <v>120</v>
      </c>
      <c r="H2" s="267" t="s">
        <v>123</v>
      </c>
      <c r="I2" s="267" t="s">
        <v>119</v>
      </c>
      <c r="J2" s="267" t="s">
        <v>364</v>
      </c>
      <c r="K2" s="267" t="s">
        <v>121</v>
      </c>
      <c r="L2" s="267" t="s">
        <v>72</v>
      </c>
      <c r="M2" s="267" t="s">
        <v>258</v>
      </c>
      <c r="N2" s="267" t="s">
        <v>130</v>
      </c>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3333FF"/>
    <pageSetUpPr autoPageBreaks="0" fitToPage="1"/>
  </sheetPr>
  <dimension ref="A1:EY256"/>
  <sheetViews>
    <sheetView showGridLines="0" zoomScaleNormal="100" workbookViewId="0">
      <pane xSplit="6" ySplit="8" topLeftCell="CR9" activePane="bottomRight" state="frozen"/>
      <selection pane="topRight" activeCell="G1" sqref="G1"/>
      <selection pane="bottomLeft" activeCell="A9" sqref="A9"/>
      <selection pane="bottomRight" activeCell="CR9" sqref="CR9"/>
    </sheetView>
  </sheetViews>
  <sheetFormatPr defaultRowHeight="12.75" outlineLevelRow="1" outlineLevelCol="1"/>
  <cols>
    <col min="1" max="4" width="2.140625" style="114" customWidth="1"/>
    <col min="5" max="5" width="26.140625" style="114" customWidth="1"/>
    <col min="6" max="6" width="2.140625" style="114" customWidth="1"/>
    <col min="7" max="10" width="8.5703125" style="114" hidden="1" customWidth="1" outlineLevel="1"/>
    <col min="11" max="11" width="9.140625" style="1" hidden="1" customWidth="1" outlineLevel="1"/>
    <col min="12" max="15" width="8.5703125" style="114" hidden="1" customWidth="1" outlineLevel="1"/>
    <col min="16" max="16" width="9.140625" style="266" hidden="1" customWidth="1" outlineLevel="1"/>
    <col min="17" max="20" width="8.5703125" style="114" hidden="1" customWidth="1" outlineLevel="1"/>
    <col min="21" max="21" width="9.140625" style="266" hidden="1" customWidth="1" outlineLevel="1"/>
    <col min="22" max="25" width="8.5703125" style="114" hidden="1" customWidth="1" outlineLevel="1"/>
    <col min="26" max="26" width="9.140625" style="266" hidden="1" customWidth="1" outlineLevel="1"/>
    <col min="27" max="30" width="8.5703125" style="114" hidden="1" customWidth="1" outlineLevel="1"/>
    <col min="31" max="31" width="9.140625" style="266" hidden="1" customWidth="1" outlineLevel="1"/>
    <col min="32" max="35" width="8.5703125" style="114" hidden="1" customWidth="1" outlineLevel="1"/>
    <col min="36" max="36" width="9.140625" style="266" hidden="1" customWidth="1" outlineLevel="1"/>
    <col min="37" max="40" width="8.5703125" style="114" hidden="1" customWidth="1" outlineLevel="1"/>
    <col min="41" max="41" width="9.140625" style="266" hidden="1" customWidth="1" outlineLevel="1"/>
    <col min="42" max="45" width="8.5703125" style="114" hidden="1" customWidth="1" outlineLevel="1"/>
    <col min="46" max="46" width="9.140625" style="266" hidden="1" customWidth="1" outlineLevel="1"/>
    <col min="47" max="50" width="8.5703125" style="114" hidden="1" customWidth="1" outlineLevel="1"/>
    <col min="51" max="51" width="9.140625" style="266" hidden="1" customWidth="1" outlineLevel="1"/>
    <col min="52" max="55" width="8.5703125" style="114" hidden="1" customWidth="1" outlineLevel="1"/>
    <col min="56" max="56" width="9.140625" style="266" hidden="1" customWidth="1" outlineLevel="1"/>
    <col min="57" max="60" width="8.5703125" style="114" hidden="1" customWidth="1" outlineLevel="1"/>
    <col min="61" max="61" width="9.140625" style="266" hidden="1" customWidth="1" outlineLevel="1"/>
    <col min="62" max="65" width="8.5703125" style="114" hidden="1" customWidth="1" outlineLevel="1"/>
    <col min="66" max="66" width="9.140625" style="266" hidden="1" customWidth="1" outlineLevel="1"/>
    <col min="67" max="70" width="8.5703125" style="114" hidden="1" customWidth="1" outlineLevel="1"/>
    <col min="71" max="71" width="9.140625" style="266" hidden="1" customWidth="1" outlineLevel="1" collapsed="1"/>
    <col min="72" max="72" width="8.5703125" style="114" hidden="1" customWidth="1" outlineLevel="1" collapsed="1"/>
    <col min="73" max="75" width="8.5703125" style="114" hidden="1" customWidth="1" outlineLevel="1"/>
    <col min="76" max="76" width="9.140625" style="266" hidden="1" customWidth="1" outlineLevel="1" collapsed="1"/>
    <col min="77" max="77" width="8.5703125" style="114" hidden="1" customWidth="1" outlineLevel="1" collapsed="1"/>
    <col min="78" max="80" width="8.5703125" style="114" hidden="1" customWidth="1" outlineLevel="1"/>
    <col min="81" max="81" width="9.140625" style="266" hidden="1" customWidth="1" outlineLevel="1"/>
    <col min="82" max="85" width="8.5703125" style="114" hidden="1" customWidth="1" outlineLevel="1"/>
    <col min="86" max="86" width="9.140625" style="266" hidden="1" customWidth="1" collapsed="1"/>
    <col min="87" max="90" width="8.5703125" style="114" hidden="1" customWidth="1" outlineLevel="1"/>
    <col min="91" max="91" width="9.140625" style="266" hidden="1" customWidth="1" collapsed="1"/>
    <col min="92" max="95" width="8.5703125" style="114" hidden="1" customWidth="1" outlineLevel="1"/>
    <col min="96" max="96" width="8.140625" style="266" customWidth="1" collapsed="1"/>
    <col min="97" max="98" width="8.85546875" style="114" hidden="1" customWidth="1" outlineLevel="1"/>
    <col min="99" max="99" width="8" style="114" hidden="1" customWidth="1" outlineLevel="1"/>
    <col min="100" max="100" width="8.85546875" style="114" hidden="1" customWidth="1" outlineLevel="1"/>
    <col min="101" max="101" width="9.140625" style="15" customWidth="1" collapsed="1"/>
    <col min="102" max="102" width="9.7109375" style="114" customWidth="1" outlineLevel="1"/>
    <col min="103" max="105" width="8.5703125" style="114" customWidth="1" outlineLevel="1"/>
    <col min="106" max="106" width="9.140625" style="15" customWidth="1"/>
    <col min="107" max="110" width="8.5703125" style="114" customWidth="1" outlineLevel="1"/>
    <col min="111" max="111" width="9.140625" style="15" customWidth="1"/>
    <col min="112" max="115" width="8.5703125" style="114" hidden="1" customWidth="1" outlineLevel="1"/>
    <col min="116" max="116" width="9.140625" style="15" customWidth="1" collapsed="1"/>
    <col min="117" max="120" width="9.140625" style="15" hidden="1" customWidth="1" outlineLevel="1"/>
    <col min="121" max="121" width="9.140625" style="15" customWidth="1" collapsed="1"/>
    <col min="122" max="122" width="2.140625" style="1" customWidth="1"/>
    <col min="123" max="123" width="9.140625" style="114" customWidth="1"/>
    <col min="124" max="124" width="57.5703125" hidden="1" customWidth="1" outlineLevel="1"/>
    <col min="125" max="125" width="10.85546875" hidden="1" customWidth="1" outlineLevel="1"/>
    <col min="126" max="126" width="10.28515625" hidden="1" customWidth="1" outlineLevel="1"/>
    <col min="127" max="127" width="9.85546875" hidden="1" customWidth="1" outlineLevel="1"/>
    <col min="128" max="128" width="15.140625" hidden="1" customWidth="1" outlineLevel="1"/>
    <col min="129" max="129" width="8.28515625" hidden="1" customWidth="1" outlineLevel="1"/>
    <col min="130" max="130" width="9.140625" style="114" customWidth="1" collapsed="1"/>
    <col min="131" max="133" width="9.140625" style="114" customWidth="1"/>
    <col min="134" max="16384" width="9.140625" style="114"/>
  </cols>
  <sheetData>
    <row r="1" spans="1:155" hidden="1">
      <c r="A1" s="1"/>
      <c r="B1" s="1"/>
      <c r="C1" s="1"/>
      <c r="D1" s="1"/>
      <c r="E1" s="1"/>
      <c r="F1" s="1"/>
      <c r="G1" s="1"/>
      <c r="H1" s="1"/>
      <c r="I1" s="1"/>
      <c r="J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4"/>
      <c r="CX1" s="1"/>
      <c r="CY1" s="1"/>
      <c r="CZ1" s="1"/>
      <c r="DA1" s="1"/>
      <c r="DB1" s="4"/>
      <c r="DC1" s="1"/>
      <c r="DD1" s="1"/>
      <c r="DE1" s="1"/>
      <c r="DF1" s="1"/>
      <c r="DG1" s="4"/>
      <c r="DH1" s="1"/>
      <c r="DI1" s="1"/>
      <c r="DJ1" s="1"/>
      <c r="DK1" s="1"/>
      <c r="DL1" s="4"/>
      <c r="DM1" s="4"/>
      <c r="DN1" s="4"/>
      <c r="DO1" s="4"/>
      <c r="DP1" s="4"/>
      <c r="DQ1" s="4"/>
    </row>
    <row r="2" spans="1:155" customFormat="1" hidden="1" outlineLevel="1"/>
    <row r="3" spans="1:155" hidden="1" collapsed="1">
      <c r="A3" s="1"/>
      <c r="B3" s="1"/>
      <c r="C3" s="1"/>
      <c r="D3" s="1"/>
      <c r="E3" s="1"/>
      <c r="F3" s="1"/>
      <c r="G3" s="1"/>
      <c r="H3" s="1"/>
      <c r="I3" s="1"/>
      <c r="J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4"/>
      <c r="CX3" s="1"/>
      <c r="CY3" s="1"/>
      <c r="CZ3" s="1"/>
      <c r="DA3" s="1"/>
      <c r="DB3" s="4"/>
      <c r="DC3" s="1"/>
      <c r="DD3" s="1"/>
      <c r="DE3" s="1"/>
      <c r="DF3" s="1"/>
      <c r="DG3" s="4"/>
      <c r="DH3" s="1"/>
      <c r="DI3" s="1"/>
      <c r="DJ3" s="1"/>
      <c r="DK3" s="1"/>
      <c r="DL3" s="4"/>
      <c r="DM3" s="4"/>
      <c r="DN3" s="4"/>
      <c r="DO3" s="4"/>
      <c r="DP3" s="4"/>
      <c r="DQ3" s="4"/>
    </row>
    <row r="4" spans="1:155">
      <c r="A4" s="1"/>
      <c r="B4" s="2" t="s">
        <v>0</v>
      </c>
      <c r="C4" s="1"/>
      <c r="D4" s="1"/>
      <c r="E4" s="1"/>
      <c r="F4" s="1"/>
      <c r="G4" s="1"/>
      <c r="H4" s="1"/>
      <c r="I4" s="1"/>
      <c r="J4" s="1"/>
      <c r="L4" s="118"/>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428"/>
      <c r="CH4" s="1"/>
      <c r="CI4" s="1"/>
      <c r="CJ4" s="1"/>
      <c r="CK4" s="1"/>
      <c r="CL4" s="1"/>
      <c r="CM4" s="1"/>
      <c r="CN4" s="1"/>
      <c r="CO4" s="1"/>
      <c r="CP4" s="1"/>
      <c r="CQ4" s="1"/>
      <c r="CR4" s="1"/>
      <c r="CS4" s="266"/>
      <c r="CT4" s="266"/>
      <c r="CU4" s="266"/>
      <c r="CV4" s="266"/>
      <c r="CW4" s="266"/>
      <c r="CX4" s="1"/>
      <c r="CY4" s="1"/>
      <c r="CZ4" s="1"/>
      <c r="DA4" s="1"/>
      <c r="DB4" s="266"/>
      <c r="DC4" s="1"/>
      <c r="DD4" s="1"/>
      <c r="DE4" s="1"/>
      <c r="DF4" s="1"/>
      <c r="DG4" s="266"/>
      <c r="DH4" s="1"/>
      <c r="DI4" s="1"/>
      <c r="DJ4" s="1"/>
      <c r="DK4" s="1"/>
      <c r="DL4" s="266"/>
      <c r="DM4" s="1"/>
      <c r="DN4" s="1"/>
      <c r="DO4" s="1"/>
      <c r="DP4" s="1"/>
      <c r="DQ4" s="266"/>
    </row>
    <row r="5" spans="1:155">
      <c r="A5" s="1"/>
      <c r="B5" s="2" t="s">
        <v>34</v>
      </c>
      <c r="C5" s="1"/>
      <c r="D5" s="1"/>
      <c r="E5" s="1"/>
      <c r="F5" s="1"/>
      <c r="G5" s="1"/>
      <c r="H5" s="1"/>
      <c r="I5" s="1"/>
      <c r="J5" s="1"/>
      <c r="L5" s="118"/>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92"/>
      <c r="BZ5" s="93"/>
      <c r="CA5" s="92"/>
      <c r="CB5" s="320"/>
      <c r="CC5" s="1"/>
      <c r="CD5" s="1"/>
      <c r="CE5" s="1"/>
      <c r="CF5" s="1"/>
      <c r="CG5" s="1"/>
      <c r="CH5" s="1"/>
      <c r="CI5" s="1"/>
      <c r="CJ5" s="1"/>
      <c r="CK5" s="1"/>
      <c r="CL5" s="1"/>
      <c r="CM5" s="1"/>
      <c r="CN5" s="1"/>
      <c r="CO5" s="1"/>
      <c r="CP5" s="1"/>
      <c r="CQ5" s="1"/>
      <c r="CR5" s="1"/>
      <c r="CS5" s="266"/>
      <c r="CT5" s="266"/>
      <c r="CU5" s="266"/>
      <c r="CV5" s="568"/>
      <c r="CW5" s="266"/>
      <c r="CX5" s="569">
        <f>CX71</f>
        <v>0</v>
      </c>
      <c r="CY5" s="569">
        <f>CY71</f>
        <v>0</v>
      </c>
      <c r="CZ5" s="917">
        <f>CZ71</f>
        <v>0</v>
      </c>
      <c r="DA5" s="917">
        <f>DA71</f>
        <v>0</v>
      </c>
      <c r="DB5" s="917">
        <f t="shared" ref="DB5:DL5" si="0">DB71</f>
        <v>0</v>
      </c>
      <c r="DC5" s="917">
        <f t="shared" si="0"/>
        <v>0</v>
      </c>
      <c r="DD5" s="917">
        <f t="shared" si="0"/>
        <v>0</v>
      </c>
      <c r="DE5" s="917">
        <f t="shared" si="0"/>
        <v>0</v>
      </c>
      <c r="DF5" s="917">
        <f t="shared" si="0"/>
        <v>0</v>
      </c>
      <c r="DG5" s="917">
        <f t="shared" si="0"/>
        <v>0</v>
      </c>
      <c r="DH5" s="917">
        <f t="shared" si="0"/>
        <v>0</v>
      </c>
      <c r="DI5" s="917">
        <f t="shared" si="0"/>
        <v>0</v>
      </c>
      <c r="DJ5" s="917">
        <f t="shared" si="0"/>
        <v>0</v>
      </c>
      <c r="DK5" s="917">
        <f t="shared" si="0"/>
        <v>0</v>
      </c>
      <c r="DL5" s="917">
        <f t="shared" si="0"/>
        <v>0</v>
      </c>
      <c r="DM5" s="917"/>
      <c r="DN5" s="917"/>
      <c r="DO5" s="917"/>
      <c r="DP5" s="917"/>
      <c r="DQ5" s="917"/>
    </row>
    <row r="6" spans="1:155">
      <c r="A6" s="1"/>
      <c r="B6" s="1"/>
      <c r="C6" s="1"/>
      <c r="D6" s="1"/>
      <c r="E6" s="1"/>
      <c r="F6" s="1"/>
      <c r="G6" s="1"/>
      <c r="H6" s="1"/>
      <c r="I6" s="1"/>
      <c r="J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266"/>
      <c r="CU6" s="1"/>
      <c r="CV6" s="1"/>
      <c r="CW6" s="4"/>
      <c r="CX6" s="118"/>
      <c r="CY6" s="1"/>
      <c r="CZ6" s="1"/>
      <c r="DA6" s="1"/>
      <c r="DB6" s="4"/>
      <c r="DC6" s="1"/>
      <c r="DD6" s="1"/>
      <c r="DE6" s="1"/>
      <c r="DF6" s="1"/>
      <c r="DG6" s="4"/>
      <c r="DH6" s="1"/>
      <c r="DI6" s="1"/>
      <c r="DJ6" s="1"/>
      <c r="DK6" s="1"/>
      <c r="DL6" s="4"/>
      <c r="DM6" s="1"/>
      <c r="DN6" s="1"/>
      <c r="DO6" s="1"/>
      <c r="DP6" s="1"/>
      <c r="DQ6" s="4"/>
    </row>
    <row r="7" spans="1:155" s="176" customFormat="1" ht="11.25" customHeight="1">
      <c r="A7" s="9"/>
      <c r="B7" s="12"/>
      <c r="C7" s="13"/>
      <c r="D7" s="13"/>
      <c r="E7" s="13"/>
      <c r="F7" s="13"/>
      <c r="G7" s="23">
        <v>1998</v>
      </c>
      <c r="H7" s="24"/>
      <c r="I7" s="24"/>
      <c r="J7" s="25"/>
      <c r="K7" s="909"/>
      <c r="L7" s="23">
        <v>1999</v>
      </c>
      <c r="M7" s="24"/>
      <c r="N7" s="24"/>
      <c r="O7" s="25"/>
      <c r="P7" s="909"/>
      <c r="Q7" s="23">
        <v>2000</v>
      </c>
      <c r="R7" s="24"/>
      <c r="S7" s="24"/>
      <c r="T7" s="25"/>
      <c r="U7" s="909"/>
      <c r="V7" s="23">
        <v>2001</v>
      </c>
      <c r="W7" s="24"/>
      <c r="X7" s="24"/>
      <c r="Y7" s="25"/>
      <c r="Z7" s="909"/>
      <c r="AA7" s="23">
        <v>2002</v>
      </c>
      <c r="AB7" s="24"/>
      <c r="AC7" s="24"/>
      <c r="AD7" s="24"/>
      <c r="AE7" s="909"/>
      <c r="AF7" s="24">
        <v>2003</v>
      </c>
      <c r="AG7" s="24"/>
      <c r="AH7" s="24"/>
      <c r="AI7" s="24"/>
      <c r="AJ7" s="909"/>
      <c r="AK7" s="24">
        <v>2004</v>
      </c>
      <c r="AL7" s="24"/>
      <c r="AM7" s="24"/>
      <c r="AN7" s="24"/>
      <c r="AO7" s="909"/>
      <c r="AP7" s="24">
        <v>2005</v>
      </c>
      <c r="AQ7" s="24"/>
      <c r="AR7" s="24"/>
      <c r="AS7" s="24"/>
      <c r="AT7" s="909"/>
      <c r="AU7" s="24">
        <v>2006</v>
      </c>
      <c r="AV7" s="24"/>
      <c r="AW7" s="24"/>
      <c r="AX7" s="24"/>
      <c r="AY7" s="909"/>
      <c r="AZ7" s="24">
        <v>2007</v>
      </c>
      <c r="BA7" s="24"/>
      <c r="BB7" s="24"/>
      <c r="BC7" s="24"/>
      <c r="BD7" s="908"/>
      <c r="BE7" s="24">
        <v>2008</v>
      </c>
      <c r="BF7" s="24"/>
      <c r="BG7" s="24"/>
      <c r="BH7" s="24"/>
      <c r="BI7" s="908"/>
      <c r="BJ7" s="24">
        <v>2009</v>
      </c>
      <c r="BK7" s="24"/>
      <c r="BL7" s="24"/>
      <c r="BM7" s="24"/>
      <c r="BN7" s="908"/>
      <c r="BO7" s="24">
        <v>2010</v>
      </c>
      <c r="BP7" s="24"/>
      <c r="BQ7" s="24"/>
      <c r="BR7" s="24"/>
      <c r="BS7" s="853"/>
      <c r="BT7" s="24">
        <v>2011</v>
      </c>
      <c r="BU7" s="24"/>
      <c r="BV7" s="24"/>
      <c r="BW7" s="24"/>
      <c r="BX7" s="853"/>
      <c r="BY7" s="24">
        <v>2012</v>
      </c>
      <c r="BZ7" s="24"/>
      <c r="CA7" s="24"/>
      <c r="CB7" s="24"/>
      <c r="CC7" s="853" t="s">
        <v>2</v>
      </c>
      <c r="CD7" s="24">
        <v>2013</v>
      </c>
      <c r="CE7" s="24"/>
      <c r="CF7" s="24"/>
      <c r="CG7" s="24"/>
      <c r="CH7" s="842"/>
      <c r="CI7" s="24">
        <v>2014</v>
      </c>
      <c r="CJ7" s="24"/>
      <c r="CK7" s="24"/>
      <c r="CL7" s="24"/>
      <c r="CM7" s="842"/>
      <c r="CN7" s="24">
        <v>2015</v>
      </c>
      <c r="CO7" s="24"/>
      <c r="CP7" s="24"/>
      <c r="CQ7" s="24"/>
      <c r="CR7" s="936"/>
      <c r="CS7" s="929">
        <v>2016</v>
      </c>
      <c r="CT7" s="929"/>
      <c r="CU7" s="929"/>
      <c r="CV7" s="929"/>
      <c r="CW7" s="944"/>
      <c r="CX7" s="929">
        <v>2017</v>
      </c>
      <c r="CY7" s="929"/>
      <c r="CZ7" s="929"/>
      <c r="DA7" s="929"/>
      <c r="DB7" s="944"/>
      <c r="DC7" s="26">
        <v>2018</v>
      </c>
      <c r="DD7" s="26"/>
      <c r="DE7" s="26"/>
      <c r="DF7" s="26"/>
      <c r="DG7" s="804"/>
      <c r="DH7" s="26">
        <v>2019</v>
      </c>
      <c r="DI7" s="26"/>
      <c r="DJ7" s="26"/>
      <c r="DK7" s="26"/>
      <c r="DL7" s="804"/>
      <c r="DM7" s="26">
        <v>2020</v>
      </c>
      <c r="DN7" s="26"/>
      <c r="DO7" s="26"/>
      <c r="DP7" s="26"/>
      <c r="DQ7" s="804"/>
      <c r="DR7" s="833"/>
      <c r="DS7" s="349"/>
      <c r="DT7"/>
      <c r="DU7"/>
      <c r="DV7"/>
      <c r="DW7"/>
      <c r="DX7"/>
      <c r="DY7"/>
    </row>
    <row r="8" spans="1:155">
      <c r="A8" s="1"/>
      <c r="B8" s="10" t="s">
        <v>3</v>
      </c>
      <c r="C8" s="11"/>
      <c r="D8" s="11"/>
      <c r="E8" s="11"/>
      <c r="F8" s="11"/>
      <c r="G8" s="20">
        <v>35885</v>
      </c>
      <c r="H8" s="21">
        <v>35976</v>
      </c>
      <c r="I8" s="21">
        <v>36068</v>
      </c>
      <c r="J8" s="22">
        <v>36160</v>
      </c>
      <c r="K8" s="805">
        <v>1998</v>
      </c>
      <c r="L8" s="20">
        <v>36250</v>
      </c>
      <c r="M8" s="21">
        <v>36341</v>
      </c>
      <c r="N8" s="21">
        <v>36433</v>
      </c>
      <c r="O8" s="22">
        <v>36525</v>
      </c>
      <c r="P8" s="805">
        <v>1999</v>
      </c>
      <c r="Q8" s="20">
        <v>36616</v>
      </c>
      <c r="R8" s="21">
        <v>36707</v>
      </c>
      <c r="S8" s="21">
        <v>36799</v>
      </c>
      <c r="T8" s="22">
        <v>36891</v>
      </c>
      <c r="U8" s="805">
        <v>2000</v>
      </c>
      <c r="V8" s="20">
        <v>36981</v>
      </c>
      <c r="W8" s="21">
        <v>37072</v>
      </c>
      <c r="X8" s="21">
        <v>37164</v>
      </c>
      <c r="Y8" s="22">
        <v>37256</v>
      </c>
      <c r="Z8" s="805">
        <v>2001</v>
      </c>
      <c r="AA8" s="20">
        <v>37346</v>
      </c>
      <c r="AB8" s="21">
        <v>37437</v>
      </c>
      <c r="AC8" s="21">
        <v>37529</v>
      </c>
      <c r="AD8" s="21">
        <v>37621</v>
      </c>
      <c r="AE8" s="805">
        <v>2002</v>
      </c>
      <c r="AF8" s="21">
        <v>37711</v>
      </c>
      <c r="AG8" s="21">
        <v>37802</v>
      </c>
      <c r="AH8" s="21">
        <v>37894</v>
      </c>
      <c r="AI8" s="21">
        <v>37986</v>
      </c>
      <c r="AJ8" s="805">
        <v>2003</v>
      </c>
      <c r="AK8" s="21">
        <v>38077</v>
      </c>
      <c r="AL8" s="21">
        <v>38168</v>
      </c>
      <c r="AM8" s="21">
        <v>38260</v>
      </c>
      <c r="AN8" s="21">
        <v>38352</v>
      </c>
      <c r="AO8" s="805">
        <v>2004</v>
      </c>
      <c r="AP8" s="21">
        <v>38442</v>
      </c>
      <c r="AQ8" s="21">
        <v>38533</v>
      </c>
      <c r="AR8" s="21">
        <v>38625</v>
      </c>
      <c r="AS8" s="21">
        <v>38717</v>
      </c>
      <c r="AT8" s="805">
        <v>2005</v>
      </c>
      <c r="AU8" s="21">
        <v>38807</v>
      </c>
      <c r="AV8" s="21">
        <v>38898</v>
      </c>
      <c r="AW8" s="21">
        <v>38990</v>
      </c>
      <c r="AX8" s="21">
        <v>39082</v>
      </c>
      <c r="AY8" s="805">
        <v>2006</v>
      </c>
      <c r="AZ8" s="21">
        <v>39172</v>
      </c>
      <c r="BA8" s="21">
        <v>39263</v>
      </c>
      <c r="BB8" s="21">
        <v>39355</v>
      </c>
      <c r="BC8" s="21">
        <v>39447</v>
      </c>
      <c r="BD8" s="805">
        <v>2007</v>
      </c>
      <c r="BE8" s="21">
        <v>39538</v>
      </c>
      <c r="BF8" s="21">
        <v>39629</v>
      </c>
      <c r="BG8" s="21">
        <v>39721</v>
      </c>
      <c r="BH8" s="21">
        <v>39813</v>
      </c>
      <c r="BI8" s="805">
        <v>2008</v>
      </c>
      <c r="BJ8" s="21">
        <v>39903</v>
      </c>
      <c r="BK8" s="21">
        <v>39994</v>
      </c>
      <c r="BL8" s="21">
        <v>40086</v>
      </c>
      <c r="BM8" s="21">
        <v>40178</v>
      </c>
      <c r="BN8" s="805">
        <v>2009</v>
      </c>
      <c r="BO8" s="21">
        <v>40268</v>
      </c>
      <c r="BP8" s="21">
        <v>40359</v>
      </c>
      <c r="BQ8" s="21">
        <v>40451</v>
      </c>
      <c r="BR8" s="21">
        <v>40543</v>
      </c>
      <c r="BS8" s="805">
        <v>2010</v>
      </c>
      <c r="BT8" s="21">
        <v>40633</v>
      </c>
      <c r="BU8" s="21">
        <v>40724</v>
      </c>
      <c r="BV8" s="21">
        <v>40816</v>
      </c>
      <c r="BW8" s="21">
        <v>40908</v>
      </c>
      <c r="BX8" s="805">
        <v>2011</v>
      </c>
      <c r="BY8" s="21">
        <v>40999</v>
      </c>
      <c r="BZ8" s="21">
        <v>41090</v>
      </c>
      <c r="CA8" s="21">
        <v>41182</v>
      </c>
      <c r="CB8" s="21">
        <v>41274</v>
      </c>
      <c r="CC8" s="805">
        <v>2012</v>
      </c>
      <c r="CD8" s="21">
        <v>41364</v>
      </c>
      <c r="CE8" s="21">
        <v>41455</v>
      </c>
      <c r="CF8" s="21">
        <v>41547</v>
      </c>
      <c r="CG8" s="21">
        <v>41639</v>
      </c>
      <c r="CH8" s="805">
        <v>2013</v>
      </c>
      <c r="CI8" s="21">
        <v>41729</v>
      </c>
      <c r="CJ8" s="21">
        <v>41820</v>
      </c>
      <c r="CK8" s="21">
        <v>41912</v>
      </c>
      <c r="CL8" s="21">
        <v>42004</v>
      </c>
      <c r="CM8" s="805">
        <v>2014</v>
      </c>
      <c r="CN8" s="21">
        <v>42094</v>
      </c>
      <c r="CO8" s="21">
        <v>42185</v>
      </c>
      <c r="CP8" s="21">
        <v>42277</v>
      </c>
      <c r="CQ8" s="21">
        <v>42369</v>
      </c>
      <c r="CR8" s="805">
        <v>2015</v>
      </c>
      <c r="CS8" s="21">
        <v>42460</v>
      </c>
      <c r="CT8" s="21">
        <v>42551</v>
      </c>
      <c r="CU8" s="21">
        <v>42643</v>
      </c>
      <c r="CV8" s="21">
        <v>42735</v>
      </c>
      <c r="CW8" s="805">
        <v>2016</v>
      </c>
      <c r="CX8" s="21">
        <v>42825</v>
      </c>
      <c r="CY8" s="21">
        <v>42916</v>
      </c>
      <c r="CZ8" s="21">
        <v>43008</v>
      </c>
      <c r="DA8" s="21">
        <v>43100</v>
      </c>
      <c r="DB8" s="805">
        <v>2017</v>
      </c>
      <c r="DC8" s="474">
        <v>43190</v>
      </c>
      <c r="DD8" s="474">
        <v>43281</v>
      </c>
      <c r="DE8" s="474">
        <v>43373</v>
      </c>
      <c r="DF8" s="474">
        <v>43465</v>
      </c>
      <c r="DG8" s="832">
        <v>2018</v>
      </c>
      <c r="DH8" s="474">
        <v>43555</v>
      </c>
      <c r="DI8" s="474">
        <v>43646</v>
      </c>
      <c r="DJ8" s="474">
        <v>43738</v>
      </c>
      <c r="DK8" s="474">
        <v>43830</v>
      </c>
      <c r="DL8" s="832">
        <v>2019</v>
      </c>
      <c r="DM8" s="474">
        <v>43921</v>
      </c>
      <c r="DN8" s="474">
        <v>44012</v>
      </c>
      <c r="DO8" s="474">
        <v>44104</v>
      </c>
      <c r="DP8" s="474">
        <v>44196</v>
      </c>
      <c r="DQ8" s="832">
        <v>2020</v>
      </c>
      <c r="DR8" s="834"/>
      <c r="DS8" s="112"/>
    </row>
    <row r="9" spans="1:155" ht="11.25" customHeight="1">
      <c r="B9" s="111"/>
      <c r="C9" s="112"/>
      <c r="D9" s="112"/>
      <c r="E9" s="112"/>
      <c r="F9" s="112"/>
      <c r="G9" s="111"/>
      <c r="H9" s="112"/>
      <c r="I9" s="112"/>
      <c r="J9" s="113"/>
      <c r="K9" s="328"/>
      <c r="L9" s="111"/>
      <c r="M9" s="112"/>
      <c r="N9" s="112"/>
      <c r="O9" s="113"/>
      <c r="P9" s="328"/>
      <c r="Q9" s="111"/>
      <c r="R9" s="112"/>
      <c r="S9" s="112"/>
      <c r="T9" s="113"/>
      <c r="U9" s="328"/>
      <c r="V9" s="111"/>
      <c r="W9" s="112"/>
      <c r="X9" s="112"/>
      <c r="Y9" s="113"/>
      <c r="Z9" s="328"/>
      <c r="AA9" s="111"/>
      <c r="AB9" s="112"/>
      <c r="AC9" s="112"/>
      <c r="AD9" s="112"/>
      <c r="AE9" s="328"/>
      <c r="AF9" s="112"/>
      <c r="AG9" s="112"/>
      <c r="AH9" s="112"/>
      <c r="AI9" s="112"/>
      <c r="AJ9" s="328"/>
      <c r="AK9" s="112"/>
      <c r="AL9" s="112"/>
      <c r="AM9" s="112"/>
      <c r="AN9" s="112"/>
      <c r="AO9" s="328"/>
      <c r="AP9" s="112"/>
      <c r="AQ9" s="112"/>
      <c r="AR9" s="112"/>
      <c r="AS9" s="112"/>
      <c r="AT9" s="328"/>
      <c r="AU9" s="112"/>
      <c r="AV9" s="112"/>
      <c r="AW9" s="112"/>
      <c r="AX9" s="112"/>
      <c r="AY9" s="328"/>
      <c r="AZ9" s="112"/>
      <c r="BA9" s="112"/>
      <c r="BB9" s="112"/>
      <c r="BC9" s="112"/>
      <c r="BD9" s="328"/>
      <c r="BE9" s="112"/>
      <c r="BF9" s="112"/>
      <c r="BG9" s="112"/>
      <c r="BH9" s="112"/>
      <c r="BI9" s="328"/>
      <c r="BJ9" s="112"/>
      <c r="BK9" s="112"/>
      <c r="BL9" s="112"/>
      <c r="BM9" s="112"/>
      <c r="BN9" s="328"/>
      <c r="BO9" s="112"/>
      <c r="BP9" s="112"/>
      <c r="BQ9" s="112"/>
      <c r="BR9" s="112"/>
      <c r="BS9" s="328"/>
      <c r="BT9" s="112"/>
      <c r="BU9" s="112"/>
      <c r="BV9" s="112"/>
      <c r="BW9" s="112"/>
      <c r="BX9" s="328"/>
      <c r="BY9" s="112"/>
      <c r="BZ9" s="112"/>
      <c r="CA9" s="112"/>
      <c r="CB9" s="112"/>
      <c r="CC9" s="328"/>
      <c r="CD9" s="112"/>
      <c r="CE9" s="112"/>
      <c r="CF9" s="112"/>
      <c r="CG9" s="112"/>
      <c r="CH9" s="328"/>
      <c r="CI9" s="112"/>
      <c r="CJ9" s="112"/>
      <c r="CK9" s="112"/>
      <c r="CL9" s="112"/>
      <c r="CM9" s="328"/>
      <c r="CN9" s="112"/>
      <c r="CO9" s="112"/>
      <c r="CP9" s="112"/>
      <c r="CQ9" s="112"/>
      <c r="CR9" s="328"/>
      <c r="CS9" s="50"/>
      <c r="CT9" s="50"/>
      <c r="CU9" s="50"/>
      <c r="CV9" s="50"/>
      <c r="CW9" s="328"/>
      <c r="CX9" s="112"/>
      <c r="CY9" s="112"/>
      <c r="CZ9" s="112"/>
      <c r="DA9" s="112"/>
      <c r="DB9" s="328"/>
      <c r="DC9" s="112"/>
      <c r="DD9" s="112"/>
      <c r="DE9" s="112"/>
      <c r="DF9" s="112"/>
      <c r="DG9" s="328"/>
      <c r="DH9" s="112"/>
      <c r="DI9" s="112"/>
      <c r="DJ9" s="112"/>
      <c r="DK9" s="112"/>
      <c r="DL9" s="328"/>
      <c r="DM9" s="112"/>
      <c r="DN9" s="112"/>
      <c r="DO9" s="112"/>
      <c r="DP9" s="112"/>
      <c r="DQ9" s="328"/>
      <c r="DR9" s="112"/>
      <c r="DS9" s="112"/>
      <c r="DZ9" s="112"/>
      <c r="EA9" s="112"/>
      <c r="EB9" s="112"/>
      <c r="EC9" s="112"/>
      <c r="ED9" s="112"/>
      <c r="EE9" s="112"/>
      <c r="EF9" s="112"/>
      <c r="EG9" s="112"/>
      <c r="EH9" s="112"/>
      <c r="EI9" s="112"/>
      <c r="EJ9" s="112"/>
      <c r="EK9" s="112"/>
      <c r="EL9" s="112"/>
      <c r="EM9" s="112"/>
      <c r="EN9" s="112"/>
      <c r="EO9" s="112"/>
      <c r="EP9" s="112"/>
      <c r="EQ9" s="112"/>
      <c r="ER9" s="112"/>
      <c r="ES9" s="112"/>
      <c r="ET9" s="112"/>
      <c r="EU9" s="112"/>
      <c r="EV9" s="112"/>
      <c r="EW9" s="112"/>
      <c r="EX9" s="112"/>
      <c r="EY9" s="112"/>
    </row>
    <row r="10" spans="1:155" s="177" customFormat="1" ht="11.25" customHeight="1">
      <c r="B10" s="31" t="s">
        <v>36</v>
      </c>
      <c r="C10" s="27"/>
      <c r="D10" s="27"/>
      <c r="E10" s="27"/>
      <c r="F10" s="27"/>
      <c r="G10" s="39"/>
      <c r="H10" s="40"/>
      <c r="I10" s="40"/>
      <c r="J10" s="40"/>
      <c r="K10" s="329"/>
      <c r="L10" s="39"/>
      <c r="M10" s="40"/>
      <c r="N10" s="40"/>
      <c r="O10" s="40"/>
      <c r="P10" s="329"/>
      <c r="Q10" s="39"/>
      <c r="R10" s="40"/>
      <c r="S10" s="40"/>
      <c r="T10" s="40"/>
      <c r="U10" s="329"/>
      <c r="V10" s="39"/>
      <c r="W10" s="40"/>
      <c r="X10" s="40"/>
      <c r="Y10" s="40"/>
      <c r="Z10" s="329"/>
      <c r="AA10" s="39"/>
      <c r="AB10" s="40"/>
      <c r="AC10" s="40"/>
      <c r="AD10" s="40"/>
      <c r="AE10" s="329"/>
      <c r="AF10" s="40"/>
      <c r="AG10" s="40"/>
      <c r="AH10" s="40"/>
      <c r="AI10" s="40"/>
      <c r="AJ10" s="329"/>
      <c r="AK10" s="40"/>
      <c r="AL10" s="40"/>
      <c r="AM10" s="40"/>
      <c r="AN10" s="40"/>
      <c r="AO10" s="329"/>
      <c r="AP10" s="40"/>
      <c r="AQ10" s="40"/>
      <c r="AR10" s="40"/>
      <c r="AS10" s="40"/>
      <c r="AT10" s="329"/>
      <c r="AU10" s="40"/>
      <c r="AV10" s="40"/>
      <c r="AW10" s="40"/>
      <c r="AX10" s="40"/>
      <c r="AY10" s="329"/>
      <c r="AZ10" s="40"/>
      <c r="BA10" s="40"/>
      <c r="BB10" s="40"/>
      <c r="BC10" s="40"/>
      <c r="BD10" s="329"/>
      <c r="BE10" s="40"/>
      <c r="BF10" s="40"/>
      <c r="BG10" s="40"/>
      <c r="BH10" s="40"/>
      <c r="BI10" s="329"/>
      <c r="BJ10" s="40"/>
      <c r="BK10" s="40"/>
      <c r="BL10" s="40"/>
      <c r="BM10" s="40"/>
      <c r="BN10" s="329"/>
      <c r="BO10" s="40"/>
      <c r="BP10" s="40"/>
      <c r="BQ10" s="40"/>
      <c r="BR10" s="40"/>
      <c r="BS10" s="329"/>
      <c r="BT10" s="40"/>
      <c r="BU10" s="40"/>
      <c r="BV10" s="40"/>
      <c r="BW10" s="40"/>
      <c r="BX10" s="329"/>
      <c r="BY10" s="40"/>
      <c r="BZ10" s="40"/>
      <c r="CA10" s="40"/>
      <c r="CB10" s="40"/>
      <c r="CC10" s="329"/>
      <c r="CD10" s="40"/>
      <c r="CE10" s="40"/>
      <c r="CF10" s="40"/>
      <c r="CG10" s="40"/>
      <c r="CH10" s="329"/>
      <c r="CI10" s="40"/>
      <c r="CJ10" s="40"/>
      <c r="CK10" s="40"/>
      <c r="CL10" s="40"/>
      <c r="CM10" s="329"/>
      <c r="CN10" s="40"/>
      <c r="CO10" s="40"/>
      <c r="CP10" s="40"/>
      <c r="CQ10" s="40"/>
      <c r="CR10" s="329"/>
      <c r="CS10" s="40"/>
      <c r="CT10" s="40"/>
      <c r="CU10" s="40"/>
      <c r="CV10" s="40"/>
      <c r="CW10" s="329"/>
      <c r="CX10" s="40"/>
      <c r="CY10" s="40"/>
      <c r="CZ10" s="40"/>
      <c r="DA10" s="40"/>
      <c r="DB10" s="329"/>
      <c r="DC10" s="40"/>
      <c r="DD10" s="40"/>
      <c r="DE10" s="40"/>
      <c r="DF10" s="40"/>
      <c r="DG10" s="329"/>
      <c r="DH10" s="40"/>
      <c r="DI10" s="40"/>
      <c r="DJ10" s="40"/>
      <c r="DK10" s="40"/>
      <c r="DL10" s="329"/>
      <c r="DM10" s="40"/>
      <c r="DN10" s="40"/>
      <c r="DO10" s="40"/>
      <c r="DP10" s="40"/>
      <c r="DQ10" s="329"/>
      <c r="DR10" s="27"/>
      <c r="DS10" s="54"/>
      <c r="DT10"/>
      <c r="DU10"/>
      <c r="DV10"/>
      <c r="DW10"/>
      <c r="DX10"/>
      <c r="DY10"/>
    </row>
    <row r="11" spans="1:155" ht="11.25" customHeight="1">
      <c r="B11" s="3"/>
      <c r="C11" s="4" t="s">
        <v>37</v>
      </c>
      <c r="D11" s="4"/>
      <c r="E11" s="4"/>
      <c r="F11" s="4"/>
      <c r="G11" s="87"/>
      <c r="H11" s="86">
        <v>21.515000000000001</v>
      </c>
      <c r="I11" s="86">
        <v>26.053000000000001</v>
      </c>
      <c r="J11" s="86">
        <v>28.417999999999999</v>
      </c>
      <c r="K11" s="352">
        <f t="shared" ref="K11:K17" si="1">J11</f>
        <v>28.417999999999999</v>
      </c>
      <c r="L11" s="87">
        <v>25.102</v>
      </c>
      <c r="M11" s="86">
        <v>29.359000000000002</v>
      </c>
      <c r="N11" s="86">
        <v>33.685000000000002</v>
      </c>
      <c r="O11" s="86">
        <v>42.640999999999998</v>
      </c>
      <c r="P11" s="352">
        <f t="shared" ref="P11:P17" si="2">O11</f>
        <v>42.640999999999998</v>
      </c>
      <c r="Q11" s="87">
        <v>40.36</v>
      </c>
      <c r="R11" s="86">
        <v>45.209000000000003</v>
      </c>
      <c r="S11" s="86">
        <v>52.835999999999999</v>
      </c>
      <c r="T11" s="86">
        <v>61.975999999999999</v>
      </c>
      <c r="U11" s="352">
        <f t="shared" ref="U11:U17" si="3">T11</f>
        <v>61.975999999999999</v>
      </c>
      <c r="V11" s="87">
        <v>60.966000000000001</v>
      </c>
      <c r="W11" s="86">
        <v>67.659000000000006</v>
      </c>
      <c r="X11" s="86">
        <v>79.766999999999996</v>
      </c>
      <c r="Y11" s="86">
        <v>84.977000000000004</v>
      </c>
      <c r="Z11" s="352">
        <f t="shared" ref="Z11:Z17" si="4">Y11</f>
        <v>84.977000000000004</v>
      </c>
      <c r="AA11" s="87">
        <v>91.186000000000007</v>
      </c>
      <c r="AB11" s="86">
        <v>103.843</v>
      </c>
      <c r="AC11" s="86">
        <v>123.08199999999999</v>
      </c>
      <c r="AD11" s="86">
        <v>126.211</v>
      </c>
      <c r="AE11" s="352">
        <f t="shared" ref="AE11:AE17" si="5">AD11</f>
        <v>126.211</v>
      </c>
      <c r="AF11" s="86">
        <v>126.64700000000001</v>
      </c>
      <c r="AG11" s="86">
        <v>137.739</v>
      </c>
      <c r="AH11" s="86">
        <v>159.749</v>
      </c>
      <c r="AI11" s="86">
        <v>194.221</v>
      </c>
      <c r="AJ11" s="352">
        <f t="shared" ref="AJ11:AJ17" si="6">AI11</f>
        <v>194.221</v>
      </c>
      <c r="AK11" s="86">
        <v>161.98500000000001</v>
      </c>
      <c r="AL11" s="86">
        <v>197.02699999999999</v>
      </c>
      <c r="AM11" s="86">
        <v>250.37</v>
      </c>
      <c r="AN11" s="86">
        <v>293.44600000000003</v>
      </c>
      <c r="AO11" s="352">
        <f t="shared" ref="AO11:AO17" si="7">AN11</f>
        <v>293.44600000000003</v>
      </c>
      <c r="AP11" s="86">
        <v>174.988</v>
      </c>
      <c r="AQ11" s="86">
        <v>180.12299999999999</v>
      </c>
      <c r="AR11" s="86">
        <v>214.90899999999999</v>
      </c>
      <c r="AS11" s="86">
        <v>196.93799999999999</v>
      </c>
      <c r="AT11" s="352">
        <f t="shared" ref="AT11:AT17" si="8">AS11</f>
        <v>196.93799999999999</v>
      </c>
      <c r="AU11" s="86">
        <v>165.36199999999999</v>
      </c>
      <c r="AV11" s="86">
        <v>203.10499999999999</v>
      </c>
      <c r="AW11" s="86">
        <v>197.7</v>
      </c>
      <c r="AX11" s="86">
        <v>265.93700000000001</v>
      </c>
      <c r="AY11" s="352">
        <f t="shared" ref="AY11:AY17" si="9">AX11</f>
        <v>265.93700000000001</v>
      </c>
      <c r="AZ11" s="86">
        <v>273.03800000000001</v>
      </c>
      <c r="BA11" s="86">
        <v>268.98500000000001</v>
      </c>
      <c r="BB11" s="86">
        <v>296.488</v>
      </c>
      <c r="BC11" s="86">
        <v>339.84500000000003</v>
      </c>
      <c r="BD11" s="352">
        <f t="shared" ref="BD11:BD17" si="10">BC11</f>
        <v>339.84500000000003</v>
      </c>
      <c r="BE11" s="86">
        <v>449.73899999999998</v>
      </c>
      <c r="BF11" s="86">
        <v>521.19299999999998</v>
      </c>
      <c r="BG11" s="86">
        <v>569.26199999999994</v>
      </c>
      <c r="BH11" s="86">
        <v>735.06600000000003</v>
      </c>
      <c r="BI11" s="352">
        <f t="shared" ref="BI11:BI17" si="11">BH11</f>
        <v>735.06600000000003</v>
      </c>
      <c r="BJ11" s="86">
        <v>758.56799999999998</v>
      </c>
      <c r="BK11" s="86">
        <v>860.37699999999995</v>
      </c>
      <c r="BL11" s="86">
        <v>992.92600000000004</v>
      </c>
      <c r="BM11" s="86">
        <v>1100.93</v>
      </c>
      <c r="BN11" s="352">
        <f t="shared" ref="BN11:BN17" si="12">BM11</f>
        <v>1100.93</v>
      </c>
      <c r="BO11" s="86">
        <v>1080.942</v>
      </c>
      <c r="BP11" s="86">
        <v>1039.6859999999999</v>
      </c>
      <c r="BQ11" s="86">
        <v>1317.077</v>
      </c>
      <c r="BR11" s="86">
        <v>1540.9690000000001</v>
      </c>
      <c r="BS11" s="352">
        <f t="shared" ref="BS11:BS17" si="13">BR11</f>
        <v>1540.9690000000001</v>
      </c>
      <c r="BT11" s="86">
        <v>1293.499</v>
      </c>
      <c r="BU11" s="86">
        <v>1193.04</v>
      </c>
      <c r="BV11" s="86">
        <v>1181.2190000000001</v>
      </c>
      <c r="BW11" s="86">
        <v>1310.9059999999999</v>
      </c>
      <c r="BX11" s="352">
        <f t="shared" ref="BX11:BX17" si="14">BW11</f>
        <v>1310.9059999999999</v>
      </c>
      <c r="BY11" s="86">
        <v>1328.5350000000001</v>
      </c>
      <c r="BZ11" s="86">
        <v>1050.2449999999999</v>
      </c>
      <c r="CA11" s="86">
        <v>1324.739</v>
      </c>
      <c r="CB11" s="86">
        <v>1570.077</v>
      </c>
      <c r="CC11" s="352">
        <f t="shared" ref="CC11:CC17" si="15">CB11</f>
        <v>1570.077</v>
      </c>
      <c r="CD11" s="86">
        <v>1474.86</v>
      </c>
      <c r="CE11" s="86">
        <v>1678.2049999999999</v>
      </c>
      <c r="CF11" s="86">
        <v>2031.1189999999999</v>
      </c>
      <c r="CG11" s="441">
        <v>2213.0059999999999</v>
      </c>
      <c r="CH11" s="352">
        <f t="shared" ref="CH11:CH17" si="16">CG11</f>
        <v>2213.0059999999999</v>
      </c>
      <c r="CI11" s="441">
        <v>1935.991</v>
      </c>
      <c r="CJ11" s="86">
        <v>1992.442</v>
      </c>
      <c r="CK11" s="86">
        <v>2617.6190000000001</v>
      </c>
      <c r="CL11" s="441">
        <v>2010.1489999999999</v>
      </c>
      <c r="CM11" s="352">
        <f t="shared" ref="CM11:CM17" si="17">CL11</f>
        <v>2010.1489999999999</v>
      </c>
      <c r="CN11" s="441">
        <v>1271.4000000000001</v>
      </c>
      <c r="CO11" s="86">
        <v>1089.3</v>
      </c>
      <c r="CP11" s="86">
        <v>1476.7</v>
      </c>
      <c r="CQ11" s="441">
        <v>2125.1999999999998</v>
      </c>
      <c r="CR11" s="352">
        <f t="shared" ref="CR11:CR17" si="18">CQ11</f>
        <v>2125.1999999999998</v>
      </c>
      <c r="CS11" s="441">
        <v>1523.8</v>
      </c>
      <c r="CT11" s="441">
        <v>1684.5</v>
      </c>
      <c r="CU11" s="86">
        <v>1550.3</v>
      </c>
      <c r="CV11" s="442">
        <v>2034</v>
      </c>
      <c r="CW11" s="352">
        <f>CF!CW50</f>
        <v>2033.9999999999995</v>
      </c>
      <c r="CX11" s="441">
        <v>1308</v>
      </c>
      <c r="CY11" s="543">
        <v>1157</v>
      </c>
      <c r="CZ11" s="1034">
        <v>1577</v>
      </c>
      <c r="DA11" s="543">
        <v>1925</v>
      </c>
      <c r="DB11" s="352">
        <f>+DA11</f>
        <v>1925</v>
      </c>
      <c r="DC11" s="578">
        <f>CF!DC50</f>
        <v>1860.4046267681717</v>
      </c>
      <c r="DD11" s="578">
        <f>CF!DD50</f>
        <v>1732.8800188042214</v>
      </c>
      <c r="DE11" s="578">
        <f>CF!DE50</f>
        <v>1999.7433835096033</v>
      </c>
      <c r="DF11" s="578">
        <f>CF!DF50</f>
        <v>2317.9078421093327</v>
      </c>
      <c r="DG11" s="667">
        <f t="shared" ref="DG11:DG16" si="19">DF11</f>
        <v>2317.9078421093327</v>
      </c>
      <c r="DH11" s="578">
        <f>CF!DH50</f>
        <v>2418.5148649038874</v>
      </c>
      <c r="DI11" s="578">
        <f>CF!DI50</f>
        <v>2286.4585554718992</v>
      </c>
      <c r="DJ11" s="578">
        <f>CF!DJ50</f>
        <v>2502.9358155187369</v>
      </c>
      <c r="DK11" s="578">
        <f>CF!DK50</f>
        <v>2830.2725342691574</v>
      </c>
      <c r="DL11" s="667">
        <f t="shared" ref="DL11:DL16" si="20">DK11</f>
        <v>2830.2725342691574</v>
      </c>
      <c r="DM11" s="578">
        <f>CF!DM50</f>
        <v>3092.2463332405218</v>
      </c>
      <c r="DN11" s="578">
        <f>CF!DN50</f>
        <v>2991.5333753770842</v>
      </c>
      <c r="DO11" s="578">
        <f>CF!DO50</f>
        <v>3217.1410643231065</v>
      </c>
      <c r="DP11" s="578">
        <f>CF!DP50</f>
        <v>3610.7459904461557</v>
      </c>
      <c r="DQ11" s="667">
        <f t="shared" ref="DQ11:DQ16" si="21">DP11</f>
        <v>3610.7459904461557</v>
      </c>
      <c r="DR11" s="4"/>
      <c r="DS11" s="260"/>
    </row>
    <row r="12" spans="1:155" ht="11.25" customHeight="1">
      <c r="A12" s="313"/>
      <c r="B12" s="32"/>
      <c r="C12" s="4" t="s">
        <v>38</v>
      </c>
      <c r="D12" s="4"/>
      <c r="E12" s="4"/>
      <c r="F12" s="4"/>
      <c r="G12" s="87"/>
      <c r="H12" s="86">
        <v>0</v>
      </c>
      <c r="I12" s="86">
        <v>0</v>
      </c>
      <c r="J12" s="86">
        <v>0</v>
      </c>
      <c r="K12" s="352">
        <f t="shared" si="1"/>
        <v>0</v>
      </c>
      <c r="L12" s="87">
        <v>0</v>
      </c>
      <c r="M12" s="86">
        <v>0</v>
      </c>
      <c r="N12" s="86">
        <v>0</v>
      </c>
      <c r="O12" s="86">
        <v>0</v>
      </c>
      <c r="P12" s="352">
        <f t="shared" si="2"/>
        <v>0</v>
      </c>
      <c r="Q12" s="87">
        <v>0</v>
      </c>
      <c r="R12" s="86">
        <v>0</v>
      </c>
      <c r="S12" s="86">
        <v>0</v>
      </c>
      <c r="T12" s="86">
        <v>0</v>
      </c>
      <c r="U12" s="352">
        <f t="shared" si="3"/>
        <v>0</v>
      </c>
      <c r="V12" s="87">
        <v>0</v>
      </c>
      <c r="W12" s="86">
        <v>0</v>
      </c>
      <c r="X12" s="86">
        <v>0</v>
      </c>
      <c r="Y12" s="86">
        <v>0</v>
      </c>
      <c r="Z12" s="352">
        <f t="shared" si="4"/>
        <v>0</v>
      </c>
      <c r="AA12" s="87">
        <v>0</v>
      </c>
      <c r="AB12" s="86">
        <v>0</v>
      </c>
      <c r="AC12" s="86">
        <v>0</v>
      </c>
      <c r="AD12" s="86">
        <v>0</v>
      </c>
      <c r="AE12" s="352">
        <f t="shared" si="5"/>
        <v>0</v>
      </c>
      <c r="AF12" s="86">
        <v>0</v>
      </c>
      <c r="AG12" s="86">
        <v>0</v>
      </c>
      <c r="AH12" s="86">
        <v>0</v>
      </c>
      <c r="AI12" s="86">
        <v>0</v>
      </c>
      <c r="AJ12" s="352">
        <f t="shared" si="6"/>
        <v>0</v>
      </c>
      <c r="AK12" s="86">
        <v>36.874000000000002</v>
      </c>
      <c r="AL12" s="86">
        <v>36.146000000000001</v>
      </c>
      <c r="AM12" s="86">
        <v>20.021000000000001</v>
      </c>
      <c r="AN12" s="86">
        <v>21.315000000000001</v>
      </c>
      <c r="AO12" s="352">
        <f t="shared" si="7"/>
        <v>21.315000000000001</v>
      </c>
      <c r="AP12" s="86">
        <v>139.40600000000001</v>
      </c>
      <c r="AQ12" s="86">
        <v>146.679</v>
      </c>
      <c r="AR12" s="86">
        <v>153.58699999999999</v>
      </c>
      <c r="AS12" s="86">
        <v>227.06299999999999</v>
      </c>
      <c r="AT12" s="352">
        <f t="shared" si="8"/>
        <v>227.06299999999999</v>
      </c>
      <c r="AU12" s="86">
        <v>257.18599999999998</v>
      </c>
      <c r="AV12" s="86">
        <v>265.09500000000003</v>
      </c>
      <c r="AW12" s="86">
        <v>337.89800000000002</v>
      </c>
      <c r="AX12" s="86">
        <v>382.22199999999998</v>
      </c>
      <c r="AY12" s="352">
        <f t="shared" si="9"/>
        <v>382.22199999999998</v>
      </c>
      <c r="AZ12" s="86">
        <v>400.06299999999999</v>
      </c>
      <c r="BA12" s="86">
        <v>441.25099999999998</v>
      </c>
      <c r="BB12" s="86">
        <v>512.76800000000003</v>
      </c>
      <c r="BC12" s="86">
        <v>330.58</v>
      </c>
      <c r="BD12" s="352">
        <f t="shared" si="10"/>
        <v>330.58</v>
      </c>
      <c r="BE12" s="86">
        <v>25.207999999999998</v>
      </c>
      <c r="BF12" s="86">
        <v>29.978999999999999</v>
      </c>
      <c r="BG12" s="86">
        <v>26.134</v>
      </c>
      <c r="BH12" s="86">
        <v>27.513000000000002</v>
      </c>
      <c r="BI12" s="352">
        <f t="shared" si="11"/>
        <v>27.513000000000002</v>
      </c>
      <c r="BJ12" s="86">
        <v>50.072000000000003</v>
      </c>
      <c r="BK12" s="86">
        <v>122.795</v>
      </c>
      <c r="BL12" s="86">
        <v>189.77500000000001</v>
      </c>
      <c r="BM12" s="86">
        <v>298.40199999999999</v>
      </c>
      <c r="BN12" s="352">
        <f t="shared" si="12"/>
        <v>298.40199999999999</v>
      </c>
      <c r="BO12" s="86">
        <v>352.93900000000002</v>
      </c>
      <c r="BP12" s="86">
        <v>612.31299999999999</v>
      </c>
      <c r="BQ12" s="86">
        <v>611.73900000000003</v>
      </c>
      <c r="BR12" s="86">
        <v>685.41899999999998</v>
      </c>
      <c r="BS12" s="352">
        <f t="shared" si="13"/>
        <v>685.41899999999998</v>
      </c>
      <c r="BT12" s="86">
        <v>874.61599999999999</v>
      </c>
      <c r="BU12" s="86">
        <v>1076.3710000000001</v>
      </c>
      <c r="BV12" s="86">
        <v>1110.057</v>
      </c>
      <c r="BW12" s="86">
        <v>1121.3579999999999</v>
      </c>
      <c r="BX12" s="352">
        <f t="shared" si="14"/>
        <v>1121.3579999999999</v>
      </c>
      <c r="BY12" s="86">
        <v>1162.6600000000001</v>
      </c>
      <c r="BZ12" s="86">
        <v>1295.8969999999999</v>
      </c>
      <c r="CA12" s="86">
        <v>1307.009</v>
      </c>
      <c r="CB12" s="86">
        <v>1293.681</v>
      </c>
      <c r="CC12" s="352">
        <f t="shared" si="15"/>
        <v>1293.681</v>
      </c>
      <c r="CD12" s="86">
        <v>1269.586</v>
      </c>
      <c r="CE12" s="86">
        <v>1222.364</v>
      </c>
      <c r="CF12" s="86">
        <v>1329.48</v>
      </c>
      <c r="CG12" s="441">
        <v>1534.4670000000001</v>
      </c>
      <c r="CH12" s="352">
        <f t="shared" si="16"/>
        <v>1534.4670000000001</v>
      </c>
      <c r="CI12" s="441">
        <v>1928.9929999999999</v>
      </c>
      <c r="CJ12" s="86">
        <v>2136.779</v>
      </c>
      <c r="CK12" s="86">
        <v>2000.86</v>
      </c>
      <c r="CL12" s="441">
        <v>1764.577</v>
      </c>
      <c r="CM12" s="352">
        <f t="shared" si="17"/>
        <v>1764.577</v>
      </c>
      <c r="CN12" s="441">
        <v>2078.4</v>
      </c>
      <c r="CO12" s="86">
        <v>2477.1999999999998</v>
      </c>
      <c r="CP12" s="86">
        <v>2574</v>
      </c>
      <c r="CQ12" s="441">
        <v>2824.3</v>
      </c>
      <c r="CR12" s="352">
        <f t="shared" si="18"/>
        <v>2824.3</v>
      </c>
      <c r="CS12" s="441">
        <v>2927.9</v>
      </c>
      <c r="CT12" s="441">
        <v>2796.7</v>
      </c>
      <c r="CU12" s="86">
        <v>3308.3</v>
      </c>
      <c r="CV12" s="441">
        <v>3135</v>
      </c>
      <c r="CW12" s="352">
        <f>CV12</f>
        <v>3135</v>
      </c>
      <c r="CX12" s="441">
        <v>2966</v>
      </c>
      <c r="CY12" s="543">
        <v>3221</v>
      </c>
      <c r="CZ12" s="1034">
        <v>3136</v>
      </c>
      <c r="DA12" s="543">
        <v>3131</v>
      </c>
      <c r="DB12" s="352">
        <f>DA12</f>
        <v>3131</v>
      </c>
      <c r="DC12" s="441">
        <f>DA12+100</f>
        <v>3231</v>
      </c>
      <c r="DD12" s="441">
        <f t="shared" ref="DD12:DF12" si="22">DC12+100</f>
        <v>3331</v>
      </c>
      <c r="DE12" s="441">
        <f t="shared" si="22"/>
        <v>3431</v>
      </c>
      <c r="DF12" s="441">
        <f t="shared" si="22"/>
        <v>3531</v>
      </c>
      <c r="DG12" s="352">
        <f t="shared" si="19"/>
        <v>3531</v>
      </c>
      <c r="DH12" s="441">
        <f>DF12+100</f>
        <v>3631</v>
      </c>
      <c r="DI12" s="441">
        <f>DH12+100</f>
        <v>3731</v>
      </c>
      <c r="DJ12" s="441">
        <f>DI12+100</f>
        <v>3831</v>
      </c>
      <c r="DK12" s="441">
        <f>DJ12+100</f>
        <v>3931</v>
      </c>
      <c r="DL12" s="352">
        <f t="shared" si="20"/>
        <v>3931</v>
      </c>
      <c r="DM12" s="441">
        <f>DK12+100</f>
        <v>4031</v>
      </c>
      <c r="DN12" s="441">
        <f>DM12+100</f>
        <v>4131</v>
      </c>
      <c r="DO12" s="441">
        <f>DN12+100</f>
        <v>4231</v>
      </c>
      <c r="DP12" s="441">
        <f>DO12+100</f>
        <v>4331</v>
      </c>
      <c r="DQ12" s="352">
        <f t="shared" si="21"/>
        <v>4331</v>
      </c>
      <c r="DR12" s="4"/>
      <c r="DS12" s="260"/>
    </row>
    <row r="13" spans="1:155" ht="11.25" customHeight="1">
      <c r="B13" s="3"/>
      <c r="C13" s="4" t="s">
        <v>39</v>
      </c>
      <c r="D13" s="4"/>
      <c r="E13" s="4"/>
      <c r="F13" s="4"/>
      <c r="G13" s="14"/>
      <c r="H13" s="86">
        <v>8.8810000000000002</v>
      </c>
      <c r="I13" s="86">
        <v>8.4779999999999998</v>
      </c>
      <c r="J13" s="86">
        <v>11.107000000000001</v>
      </c>
      <c r="K13" s="352">
        <f t="shared" si="1"/>
        <v>11.107000000000001</v>
      </c>
      <c r="L13" s="87">
        <v>14.821999999999999</v>
      </c>
      <c r="M13" s="86">
        <v>12.664999999999999</v>
      </c>
      <c r="N13" s="86">
        <v>12.009</v>
      </c>
      <c r="O13" s="86">
        <v>10.014000000000001</v>
      </c>
      <c r="P13" s="352">
        <f t="shared" si="2"/>
        <v>10.014000000000001</v>
      </c>
      <c r="Q13" s="87">
        <v>14.59</v>
      </c>
      <c r="R13" s="86">
        <v>15.978999999999999</v>
      </c>
      <c r="S13" s="86">
        <v>18.366</v>
      </c>
      <c r="T13" s="86">
        <v>20.548000000000002</v>
      </c>
      <c r="U13" s="352">
        <f t="shared" si="3"/>
        <v>20.548000000000002</v>
      </c>
      <c r="V13" s="87">
        <v>19.943999999999999</v>
      </c>
      <c r="W13" s="86">
        <v>23.222999999999999</v>
      </c>
      <c r="X13" s="86">
        <v>20.48</v>
      </c>
      <c r="Y13" s="86">
        <v>22.544</v>
      </c>
      <c r="Z13" s="352">
        <f t="shared" si="4"/>
        <v>22.544</v>
      </c>
      <c r="AA13" s="87">
        <v>23.774000000000001</v>
      </c>
      <c r="AB13" s="86">
        <v>31.082000000000001</v>
      </c>
      <c r="AC13" s="86">
        <v>31.82</v>
      </c>
      <c r="AD13" s="86">
        <v>36.696999999999996</v>
      </c>
      <c r="AE13" s="352">
        <f t="shared" si="5"/>
        <v>36.696999999999996</v>
      </c>
      <c r="AF13" s="86">
        <v>40.61</v>
      </c>
      <c r="AG13" s="86">
        <v>42.908000000000001</v>
      </c>
      <c r="AH13" s="86">
        <v>53.215000000000003</v>
      </c>
      <c r="AI13" s="86">
        <v>52.253</v>
      </c>
      <c r="AJ13" s="352">
        <f t="shared" si="6"/>
        <v>52.253</v>
      </c>
      <c r="AK13" s="86">
        <v>71.512</v>
      </c>
      <c r="AL13" s="86">
        <v>76.352999999999994</v>
      </c>
      <c r="AM13" s="86">
        <v>86.781000000000006</v>
      </c>
      <c r="AN13" s="86">
        <v>96.363</v>
      </c>
      <c r="AO13" s="352">
        <f t="shared" si="7"/>
        <v>96.363</v>
      </c>
      <c r="AP13" s="86">
        <v>112.452</v>
      </c>
      <c r="AQ13" s="86">
        <v>143.07599999999999</v>
      </c>
      <c r="AR13" s="86">
        <v>146.86500000000001</v>
      </c>
      <c r="AS13" s="86">
        <v>153.971</v>
      </c>
      <c r="AT13" s="352">
        <f t="shared" si="8"/>
        <v>153.971</v>
      </c>
      <c r="AU13" s="86">
        <v>184.35599999999999</v>
      </c>
      <c r="AV13" s="86">
        <v>227.98500000000001</v>
      </c>
      <c r="AW13" s="86">
        <v>253.93299999999999</v>
      </c>
      <c r="AX13" s="86">
        <v>259.20999999999998</v>
      </c>
      <c r="AY13" s="352">
        <f t="shared" si="9"/>
        <v>259.20999999999998</v>
      </c>
      <c r="AZ13" s="86">
        <v>301.19499999999999</v>
      </c>
      <c r="BA13" s="86">
        <v>348.87799999999999</v>
      </c>
      <c r="BB13" s="86">
        <v>372.06099999999998</v>
      </c>
      <c r="BC13" s="86">
        <v>382.96</v>
      </c>
      <c r="BD13" s="352">
        <f t="shared" si="10"/>
        <v>382.96</v>
      </c>
      <c r="BE13" s="86">
        <v>452.65699999999998</v>
      </c>
      <c r="BF13" s="86">
        <v>525.39800000000002</v>
      </c>
      <c r="BG13" s="86">
        <v>528.62099999999998</v>
      </c>
      <c r="BH13" s="86">
        <v>517.48099999999999</v>
      </c>
      <c r="BI13" s="352">
        <f t="shared" si="11"/>
        <v>517.48099999999999</v>
      </c>
      <c r="BJ13" s="86">
        <v>527.34400000000005</v>
      </c>
      <c r="BK13" s="86">
        <v>553.06700000000001</v>
      </c>
      <c r="BL13" s="86">
        <v>586.93799999999999</v>
      </c>
      <c r="BM13" s="86">
        <v>626.28800000000001</v>
      </c>
      <c r="BN13" s="352">
        <f t="shared" si="12"/>
        <v>626.28800000000001</v>
      </c>
      <c r="BO13" s="86">
        <v>706.12199999999996</v>
      </c>
      <c r="BP13" s="86">
        <v>814.23900000000003</v>
      </c>
      <c r="BQ13" s="86">
        <v>919.56299999999999</v>
      </c>
      <c r="BR13" s="86">
        <v>901.30799999999999</v>
      </c>
      <c r="BS13" s="352">
        <f t="shared" si="13"/>
        <v>901.30799999999999</v>
      </c>
      <c r="BT13" s="86">
        <v>994.94799999999998</v>
      </c>
      <c r="BU13" s="86">
        <v>1075.193</v>
      </c>
      <c r="BV13" s="86">
        <v>1104.703</v>
      </c>
      <c r="BW13" s="86">
        <v>1179.0429999999999</v>
      </c>
      <c r="BX13" s="352">
        <f t="shared" si="14"/>
        <v>1179.0429999999999</v>
      </c>
      <c r="BY13" s="86">
        <v>1234.1769999999999</v>
      </c>
      <c r="BZ13" s="86">
        <v>1296.175</v>
      </c>
      <c r="CA13" s="86">
        <v>1363.454</v>
      </c>
      <c r="CB13" s="86">
        <v>1345.6610000000001</v>
      </c>
      <c r="CC13" s="352">
        <f t="shared" si="15"/>
        <v>1345.6610000000001</v>
      </c>
      <c r="CD13" s="86">
        <v>1495.9960000000001</v>
      </c>
      <c r="CE13" s="86">
        <v>1560.856</v>
      </c>
      <c r="CF13" s="86">
        <v>1637.126</v>
      </c>
      <c r="CG13" s="441">
        <v>1648.7850000000001</v>
      </c>
      <c r="CH13" s="352">
        <f t="shared" si="16"/>
        <v>1648.7850000000001</v>
      </c>
      <c r="CI13" s="441">
        <v>1703.605</v>
      </c>
      <c r="CJ13" s="86">
        <v>1822.636</v>
      </c>
      <c r="CK13" s="86">
        <v>1809.038</v>
      </c>
      <c r="CL13" s="441">
        <v>1968.68</v>
      </c>
      <c r="CM13" s="352">
        <f t="shared" si="17"/>
        <v>1968.68</v>
      </c>
      <c r="CN13" s="441">
        <v>2059.9</v>
      </c>
      <c r="CO13" s="86">
        <v>2162.1999999999998</v>
      </c>
      <c r="CP13" s="86">
        <v>2135.6999999999998</v>
      </c>
      <c r="CQ13" s="441">
        <v>2252.6</v>
      </c>
      <c r="CR13" s="352">
        <f t="shared" si="18"/>
        <v>2252.6</v>
      </c>
      <c r="CS13" s="441">
        <v>2319.1</v>
      </c>
      <c r="CT13" s="441">
        <v>2427.4</v>
      </c>
      <c r="CU13" s="86">
        <v>2492.1</v>
      </c>
      <c r="CV13" s="441">
        <v>2556</v>
      </c>
      <c r="CW13" s="352">
        <f>CV13</f>
        <v>2556</v>
      </c>
      <c r="CX13" s="441">
        <v>2644</v>
      </c>
      <c r="CY13" s="543">
        <v>2680</v>
      </c>
      <c r="CZ13" s="1034">
        <v>2889</v>
      </c>
      <c r="DA13" s="543">
        <v>2865</v>
      </c>
      <c r="DB13" s="352">
        <f>DA13</f>
        <v>2865</v>
      </c>
      <c r="DC13" s="15">
        <f>BS!DC141*IS!DC$22*(4/365)</f>
        <v>2838.7549351381845</v>
      </c>
      <c r="DD13" s="15">
        <f>BS!DD141*IS!DD$22*(4/365)</f>
        <v>2907.9484904632159</v>
      </c>
      <c r="DE13" s="15">
        <f>BS!DE141*IS!DE$22*(4/365)</f>
        <v>3031.3637440254911</v>
      </c>
      <c r="DF13" s="15">
        <f>BS!DF141*IS!DF$22*(4/365)</f>
        <v>3132.9387617554862</v>
      </c>
      <c r="DG13" s="352">
        <f t="shared" si="19"/>
        <v>3132.9387617554862</v>
      </c>
      <c r="DH13" s="15">
        <f>BS!DH141*IS!DH$22*(4/365)</f>
        <v>3064.1085236886638</v>
      </c>
      <c r="DI13" s="15">
        <f>BS!DI141*IS!DI$22*(4/365)</f>
        <v>3139.9427696730245</v>
      </c>
      <c r="DJ13" s="15">
        <f>BS!DJ141*IS!DJ$22*(4/365)</f>
        <v>3273.5664820034522</v>
      </c>
      <c r="DK13" s="15">
        <f>BS!DK141*IS!DK$22*(4/365)</f>
        <v>3379.6252778996873</v>
      </c>
      <c r="DL13" s="352">
        <f t="shared" si="20"/>
        <v>3379.6252778996873</v>
      </c>
      <c r="DM13" s="15">
        <f>BS!DM141*IS!DM$22*(4/365)</f>
        <v>3310.5326729060916</v>
      </c>
      <c r="DN13" s="15">
        <f>BS!DN141*IS!DN$22*(4/365)</f>
        <v>3384.7137480098104</v>
      </c>
      <c r="DO13" s="15">
        <f>BS!DO141*IS!DO$22*(4/365)</f>
        <v>3533.900599126162</v>
      </c>
      <c r="DP13" s="15">
        <f>BS!DP141*IS!DP$22*(4/365)</f>
        <v>3644.3677378181819</v>
      </c>
      <c r="DQ13" s="352">
        <f t="shared" si="21"/>
        <v>3644.3677378181819</v>
      </c>
      <c r="DR13" s="4"/>
      <c r="DS13" s="260"/>
    </row>
    <row r="14" spans="1:155" ht="11.25" customHeight="1">
      <c r="B14" s="3"/>
      <c r="C14" s="4" t="s">
        <v>40</v>
      </c>
      <c r="D14" s="4"/>
      <c r="E14" s="4"/>
      <c r="F14" s="4"/>
      <c r="G14" s="14"/>
      <c r="H14" s="86">
        <v>0</v>
      </c>
      <c r="I14" s="86">
        <v>0</v>
      </c>
      <c r="J14" s="88">
        <v>1.0880000000000001</v>
      </c>
      <c r="K14" s="352">
        <f t="shared" si="1"/>
        <v>1.0880000000000001</v>
      </c>
      <c r="L14" s="87">
        <v>1.5389999999999999</v>
      </c>
      <c r="M14" s="86">
        <v>0.89200000000000002</v>
      </c>
      <c r="N14" s="86">
        <v>1.2150000000000001</v>
      </c>
      <c r="O14" s="88">
        <v>1.1439999999999999</v>
      </c>
      <c r="P14" s="352">
        <f t="shared" si="2"/>
        <v>1.1439999999999999</v>
      </c>
      <c r="Q14" s="87">
        <v>1.8540000000000001</v>
      </c>
      <c r="R14" s="86">
        <v>1.4750000000000001</v>
      </c>
      <c r="S14" s="86">
        <v>1.69</v>
      </c>
      <c r="T14" s="88">
        <v>1.9410000000000001</v>
      </c>
      <c r="U14" s="352">
        <f t="shared" si="3"/>
        <v>1.9410000000000001</v>
      </c>
      <c r="V14" s="87">
        <v>3.726</v>
      </c>
      <c r="W14" s="86">
        <v>4.3559999999999999</v>
      </c>
      <c r="X14" s="86">
        <v>6.726</v>
      </c>
      <c r="Y14" s="88">
        <v>5.4219999999999997</v>
      </c>
      <c r="Z14" s="352">
        <f t="shared" si="4"/>
        <v>5.4219999999999997</v>
      </c>
      <c r="AA14" s="87">
        <v>6.0109999999999992</v>
      </c>
      <c r="AB14" s="86">
        <v>7.0329999999999995</v>
      </c>
      <c r="AC14" s="86">
        <v>7.5369999999999999</v>
      </c>
      <c r="AD14" s="86">
        <v>4.3079999999999998</v>
      </c>
      <c r="AE14" s="352">
        <f t="shared" si="5"/>
        <v>4.3079999999999998</v>
      </c>
      <c r="AF14" s="86">
        <v>6.2229999999999999</v>
      </c>
      <c r="AG14" s="86">
        <v>9.3260000000000005</v>
      </c>
      <c r="AH14" s="86">
        <v>8.5190000000000001</v>
      </c>
      <c r="AI14" s="86">
        <v>9.5429999999999993</v>
      </c>
      <c r="AJ14" s="352">
        <f t="shared" si="6"/>
        <v>9.5429999999999993</v>
      </c>
      <c r="AK14" s="86">
        <v>12.72</v>
      </c>
      <c r="AL14" s="86">
        <v>13.685</v>
      </c>
      <c r="AM14" s="86">
        <v>16.952000000000002</v>
      </c>
      <c r="AN14" s="86">
        <v>14.154</v>
      </c>
      <c r="AO14" s="352">
        <f t="shared" si="7"/>
        <v>14.154</v>
      </c>
      <c r="AP14" s="86">
        <v>18.742000000000001</v>
      </c>
      <c r="AQ14" s="86">
        <v>22.602</v>
      </c>
      <c r="AR14" s="86">
        <v>24.722999999999999</v>
      </c>
      <c r="AS14" s="86">
        <v>22.725000000000001</v>
      </c>
      <c r="AT14" s="352">
        <f t="shared" si="8"/>
        <v>22.725000000000001</v>
      </c>
      <c r="AU14" s="86">
        <v>33.326999999999998</v>
      </c>
      <c r="AV14" s="86">
        <v>38.274000000000001</v>
      </c>
      <c r="AW14" s="86">
        <v>42.789000000000001</v>
      </c>
      <c r="AX14" s="86">
        <v>39.265000000000001</v>
      </c>
      <c r="AY14" s="352">
        <f t="shared" si="9"/>
        <v>39.265000000000001</v>
      </c>
      <c r="AZ14" s="86">
        <v>46.567999999999998</v>
      </c>
      <c r="BA14" s="86">
        <v>54.720999999999997</v>
      </c>
      <c r="BB14" s="86">
        <v>56.44</v>
      </c>
      <c r="BC14" s="86">
        <v>53.496000000000002</v>
      </c>
      <c r="BD14" s="352">
        <f t="shared" si="10"/>
        <v>53.496000000000002</v>
      </c>
      <c r="BE14" s="86">
        <v>66.739000000000004</v>
      </c>
      <c r="BF14" s="86">
        <v>57.734000000000002</v>
      </c>
      <c r="BG14" s="86">
        <v>71.328999999999994</v>
      </c>
      <c r="BH14" s="86">
        <v>62.158000000000001</v>
      </c>
      <c r="BI14" s="352">
        <f t="shared" si="11"/>
        <v>62.158000000000001</v>
      </c>
      <c r="BJ14" s="86">
        <v>73.363</v>
      </c>
      <c r="BK14" s="86">
        <v>82.849000000000004</v>
      </c>
      <c r="BL14" s="86">
        <v>97.831999999999994</v>
      </c>
      <c r="BM14" s="86">
        <v>82.951999999999998</v>
      </c>
      <c r="BN14" s="352">
        <f t="shared" si="12"/>
        <v>82.951999999999998</v>
      </c>
      <c r="BO14" s="86">
        <v>106.203</v>
      </c>
      <c r="BP14" s="86">
        <v>119.452</v>
      </c>
      <c r="BQ14" s="86">
        <v>145.57300000000001</v>
      </c>
      <c r="BR14" s="86">
        <v>112.96</v>
      </c>
      <c r="BS14" s="352">
        <f t="shared" si="13"/>
        <v>112.96</v>
      </c>
      <c r="BT14" s="86">
        <v>128.202</v>
      </c>
      <c r="BU14" s="86">
        <v>152.399</v>
      </c>
      <c r="BV14" s="86">
        <v>163.37299999999999</v>
      </c>
      <c r="BW14" s="86">
        <v>139.62700000000001</v>
      </c>
      <c r="BX14" s="352">
        <f t="shared" si="14"/>
        <v>139.62700000000001</v>
      </c>
      <c r="BY14" s="86">
        <v>187.08099999999999</v>
      </c>
      <c r="BZ14" s="86">
        <v>207.71199999999999</v>
      </c>
      <c r="CA14" s="86">
        <v>213.74100000000001</v>
      </c>
      <c r="CB14" s="86">
        <v>183.08500000000001</v>
      </c>
      <c r="CC14" s="352">
        <f t="shared" si="15"/>
        <v>183.08500000000001</v>
      </c>
      <c r="CD14" s="86">
        <v>206.33799999999999</v>
      </c>
      <c r="CE14" s="86">
        <v>224.37100000000001</v>
      </c>
      <c r="CF14" s="86">
        <v>254.06</v>
      </c>
      <c r="CG14" s="441">
        <v>226.48699999999999</v>
      </c>
      <c r="CH14" s="352">
        <f t="shared" si="16"/>
        <v>226.48699999999999</v>
      </c>
      <c r="CI14" s="441">
        <v>267.34899999999999</v>
      </c>
      <c r="CJ14" s="86">
        <v>297.94400000000002</v>
      </c>
      <c r="CK14" s="86">
        <v>338.09300000000002</v>
      </c>
      <c r="CL14" s="441">
        <v>324.584</v>
      </c>
      <c r="CM14" s="352">
        <f t="shared" si="17"/>
        <v>324.584</v>
      </c>
      <c r="CN14" s="441">
        <v>388.2</v>
      </c>
      <c r="CO14" s="86">
        <v>386.5</v>
      </c>
      <c r="CP14" s="86">
        <v>420.9</v>
      </c>
      <c r="CQ14" s="441">
        <v>369</v>
      </c>
      <c r="CR14" s="352">
        <f t="shared" si="18"/>
        <v>369</v>
      </c>
      <c r="CS14" s="441">
        <v>432.2</v>
      </c>
      <c r="CT14" s="441">
        <v>451.1</v>
      </c>
      <c r="CU14" s="86">
        <v>423.6</v>
      </c>
      <c r="CV14" s="441">
        <v>349</v>
      </c>
      <c r="CW14" s="352">
        <f>CV14</f>
        <v>349</v>
      </c>
      <c r="CX14" s="441">
        <v>395</v>
      </c>
      <c r="CY14" s="543">
        <v>409</v>
      </c>
      <c r="CZ14" s="1034">
        <v>403</v>
      </c>
      <c r="DA14" s="543">
        <v>357</v>
      </c>
      <c r="DB14" s="352">
        <f>DA14</f>
        <v>357</v>
      </c>
      <c r="DC14" s="15">
        <f>BS!DC142*IS!DC$22*(4/365)</f>
        <v>406.16032148900177</v>
      </c>
      <c r="DD14" s="15">
        <f>BS!DD142*IS!DD$22*(4/365)</f>
        <v>439.14173297002725</v>
      </c>
      <c r="DE14" s="15">
        <f>BS!DE142*IS!DE$22*(4/365)</f>
        <v>441.99449814126399</v>
      </c>
      <c r="DF14" s="15">
        <f>BS!DF142*IS!DF$22*(4/365)</f>
        <v>413.80491118077327</v>
      </c>
      <c r="DG14" s="352">
        <f t="shared" si="19"/>
        <v>413.80491118077327</v>
      </c>
      <c r="DH14" s="15">
        <f>BS!DH142*IS!DH$22*(4/365)</f>
        <v>438.40321954314732</v>
      </c>
      <c r="DI14" s="15">
        <f>BS!DI142*IS!DI$22*(4/365)</f>
        <v>474.1761808446866</v>
      </c>
      <c r="DJ14" s="15">
        <f>BS!DJ142*IS!DJ$22*(4/365)</f>
        <v>477.30938828996295</v>
      </c>
      <c r="DK14" s="15">
        <f>BS!DK142*IS!DK$22*(4/365)</f>
        <v>446.38776698014635</v>
      </c>
      <c r="DL14" s="352">
        <f t="shared" si="20"/>
        <v>446.38776698014635</v>
      </c>
      <c r="DM14" s="15">
        <f>BS!DM142*IS!DM$22*(4/365)</f>
        <v>473.66082858502546</v>
      </c>
      <c r="DN14" s="15">
        <f>BS!DN142*IS!DN$22*(4/365)</f>
        <v>511.14009267465957</v>
      </c>
      <c r="DO14" s="15">
        <f>BS!DO142*IS!DO$22*(4/365)</f>
        <v>515.26796309758367</v>
      </c>
      <c r="DP14" s="15">
        <f>BS!DP142*IS!DP$22*(4/365)</f>
        <v>481.35548848484854</v>
      </c>
      <c r="DQ14" s="352">
        <f t="shared" si="21"/>
        <v>481.35548848484854</v>
      </c>
      <c r="DR14" s="4"/>
      <c r="DS14" s="260"/>
    </row>
    <row r="15" spans="1:155" s="132" customFormat="1" ht="11.25" customHeight="1">
      <c r="B15" s="32"/>
      <c r="C15" s="33" t="s">
        <v>41</v>
      </c>
      <c r="D15" s="33"/>
      <c r="E15" s="33"/>
      <c r="F15" s="33"/>
      <c r="G15" s="62"/>
      <c r="H15" s="86">
        <v>0</v>
      </c>
      <c r="I15" s="86">
        <v>0</v>
      </c>
      <c r="J15" s="88">
        <v>0</v>
      </c>
      <c r="K15" s="352">
        <f t="shared" si="1"/>
        <v>0</v>
      </c>
      <c r="L15" s="87">
        <v>0</v>
      </c>
      <c r="M15" s="86">
        <v>0</v>
      </c>
      <c r="N15" s="86">
        <v>0</v>
      </c>
      <c r="O15" s="88">
        <v>0</v>
      </c>
      <c r="P15" s="352">
        <f t="shared" si="2"/>
        <v>0</v>
      </c>
      <c r="Q15" s="87">
        <v>0</v>
      </c>
      <c r="R15" s="86">
        <v>0</v>
      </c>
      <c r="S15" s="86">
        <v>0</v>
      </c>
      <c r="T15" s="88">
        <v>0</v>
      </c>
      <c r="U15" s="352">
        <f t="shared" si="3"/>
        <v>0</v>
      </c>
      <c r="V15" s="87">
        <v>0</v>
      </c>
      <c r="W15" s="86">
        <v>0</v>
      </c>
      <c r="X15" s="86">
        <v>0</v>
      </c>
      <c r="Y15" s="88">
        <v>0</v>
      </c>
      <c r="Z15" s="352">
        <f t="shared" si="4"/>
        <v>0</v>
      </c>
      <c r="AA15" s="87">
        <v>0</v>
      </c>
      <c r="AB15" s="86">
        <v>0</v>
      </c>
      <c r="AC15" s="86">
        <v>0</v>
      </c>
      <c r="AD15" s="86">
        <v>3.7109999999999999</v>
      </c>
      <c r="AE15" s="352">
        <f t="shared" si="5"/>
        <v>3.7109999999999999</v>
      </c>
      <c r="AF15" s="86">
        <v>2.6389999999999998</v>
      </c>
      <c r="AG15" s="86">
        <v>5.9160000000000004</v>
      </c>
      <c r="AH15" s="86">
        <v>13.247999999999999</v>
      </c>
      <c r="AI15" s="86">
        <v>14.066000000000001</v>
      </c>
      <c r="AJ15" s="352">
        <f t="shared" si="6"/>
        <v>14.066000000000001</v>
      </c>
      <c r="AK15" s="86">
        <v>12.374000000000001</v>
      </c>
      <c r="AL15" s="86">
        <v>23.207999999999998</v>
      </c>
      <c r="AM15" s="86">
        <v>23.609000000000002</v>
      </c>
      <c r="AN15" s="86">
        <v>16.815000000000001</v>
      </c>
      <c r="AO15" s="352">
        <f t="shared" si="7"/>
        <v>16.815000000000001</v>
      </c>
      <c r="AP15" s="86">
        <v>21.527999999999999</v>
      </c>
      <c r="AQ15" s="86">
        <v>23.552</v>
      </c>
      <c r="AR15" s="86">
        <v>30.042999999999999</v>
      </c>
      <c r="AS15" s="86">
        <v>42.752000000000002</v>
      </c>
      <c r="AT15" s="352">
        <f t="shared" si="8"/>
        <v>42.752000000000002</v>
      </c>
      <c r="AU15" s="86">
        <v>43.847000000000001</v>
      </c>
      <c r="AV15" s="86">
        <v>50.832999999999998</v>
      </c>
      <c r="AW15" s="86">
        <v>58.542000000000002</v>
      </c>
      <c r="AX15" s="86">
        <v>61.256999999999998</v>
      </c>
      <c r="AY15" s="352">
        <f t="shared" si="9"/>
        <v>61.256999999999998</v>
      </c>
      <c r="AZ15" s="86">
        <v>73.123999999999995</v>
      </c>
      <c r="BA15" s="86">
        <v>78.727999999999994</v>
      </c>
      <c r="BB15" s="86">
        <v>69.174999999999997</v>
      </c>
      <c r="BC15" s="86">
        <v>75.47</v>
      </c>
      <c r="BD15" s="352">
        <f t="shared" si="10"/>
        <v>75.47</v>
      </c>
      <c r="BE15" s="86">
        <v>67.442999999999998</v>
      </c>
      <c r="BF15" s="86">
        <v>65.363</v>
      </c>
      <c r="BG15" s="86">
        <v>50.988999999999997</v>
      </c>
      <c r="BH15" s="86">
        <v>48.314999999999998</v>
      </c>
      <c r="BI15" s="352">
        <f t="shared" si="11"/>
        <v>48.314999999999998</v>
      </c>
      <c r="BJ15" s="86">
        <v>44.478000000000002</v>
      </c>
      <c r="BK15" s="86">
        <v>45.362000000000002</v>
      </c>
      <c r="BL15" s="86">
        <v>51.936</v>
      </c>
      <c r="BM15" s="86">
        <v>73.790999999999997</v>
      </c>
      <c r="BN15" s="352">
        <f t="shared" si="12"/>
        <v>73.790999999999997</v>
      </c>
      <c r="BO15" s="86">
        <v>60.807000000000002</v>
      </c>
      <c r="BP15" s="86">
        <v>59.161999999999999</v>
      </c>
      <c r="BQ15" s="86">
        <v>69.159000000000006</v>
      </c>
      <c r="BR15" s="86">
        <v>96.164000000000001</v>
      </c>
      <c r="BS15" s="352">
        <f t="shared" si="13"/>
        <v>96.164000000000001</v>
      </c>
      <c r="BT15" s="86">
        <v>68.12</v>
      </c>
      <c r="BU15" s="86">
        <v>80.756</v>
      </c>
      <c r="BV15" s="86">
        <v>108.075</v>
      </c>
      <c r="BW15" s="86">
        <v>109.042</v>
      </c>
      <c r="BX15" s="352">
        <f t="shared" si="14"/>
        <v>109.042</v>
      </c>
      <c r="BY15" s="86">
        <v>94.641000000000005</v>
      </c>
      <c r="BZ15" s="86">
        <v>104.151</v>
      </c>
      <c r="CA15" s="86">
        <v>166.16399999999999</v>
      </c>
      <c r="CB15" s="86">
        <v>201.89400000000001</v>
      </c>
      <c r="CC15" s="352">
        <f t="shared" si="15"/>
        <v>201.89400000000001</v>
      </c>
      <c r="CD15" s="86">
        <v>183.49600000000001</v>
      </c>
      <c r="CE15" s="86">
        <v>228.131</v>
      </c>
      <c r="CF15" s="86">
        <v>268.63499999999999</v>
      </c>
      <c r="CG15" s="441">
        <v>256.23</v>
      </c>
      <c r="CH15" s="352">
        <f t="shared" si="16"/>
        <v>256.23</v>
      </c>
      <c r="CI15" s="441">
        <v>200.43</v>
      </c>
      <c r="CJ15" s="86">
        <v>233.84100000000001</v>
      </c>
      <c r="CK15" s="86">
        <v>259.47399999999999</v>
      </c>
      <c r="CL15" s="441">
        <v>329.69400000000002</v>
      </c>
      <c r="CM15" s="352">
        <f t="shared" si="17"/>
        <v>329.69400000000002</v>
      </c>
      <c r="CN15" s="441">
        <v>271.7</v>
      </c>
      <c r="CO15" s="86">
        <v>333.5</v>
      </c>
      <c r="CP15" s="86">
        <v>365.9</v>
      </c>
      <c r="CQ15" s="441">
        <v>0</v>
      </c>
      <c r="CR15" s="1038">
        <f t="shared" si="18"/>
        <v>0</v>
      </c>
      <c r="CS15" s="1098">
        <v>0</v>
      </c>
      <c r="CT15" s="1098">
        <v>0</v>
      </c>
      <c r="CU15" s="1099">
        <v>0</v>
      </c>
      <c r="CV15" s="1098">
        <v>0</v>
      </c>
      <c r="CW15" s="1038">
        <f>CV15</f>
        <v>0</v>
      </c>
      <c r="CX15" s="1098">
        <v>0</v>
      </c>
      <c r="CY15" s="1100">
        <v>0</v>
      </c>
      <c r="CZ15" s="1101">
        <v>0</v>
      </c>
      <c r="DA15" s="1100">
        <v>0</v>
      </c>
      <c r="DB15" s="1038">
        <f>DA15</f>
        <v>0</v>
      </c>
      <c r="DC15" s="1102">
        <f>DA15</f>
        <v>0</v>
      </c>
      <c r="DD15" s="1102">
        <f t="shared" ref="DD15:DF16" si="23">DC15</f>
        <v>0</v>
      </c>
      <c r="DE15" s="1102">
        <f t="shared" si="23"/>
        <v>0</v>
      </c>
      <c r="DF15" s="1102">
        <f t="shared" si="23"/>
        <v>0</v>
      </c>
      <c r="DG15" s="1038">
        <f t="shared" si="19"/>
        <v>0</v>
      </c>
      <c r="DH15" s="1102">
        <f>DF15</f>
        <v>0</v>
      </c>
      <c r="DI15" s="1102">
        <f t="shared" ref="DI15:DK16" si="24">DH15</f>
        <v>0</v>
      </c>
      <c r="DJ15" s="1102">
        <f t="shared" si="24"/>
        <v>0</v>
      </c>
      <c r="DK15" s="1102">
        <f t="shared" si="24"/>
        <v>0</v>
      </c>
      <c r="DL15" s="1038">
        <f t="shared" si="20"/>
        <v>0</v>
      </c>
      <c r="DM15" s="1102">
        <f>DK15</f>
        <v>0</v>
      </c>
      <c r="DN15" s="1102">
        <f t="shared" ref="DN15:DN16" si="25">DM15</f>
        <v>0</v>
      </c>
      <c r="DO15" s="1102">
        <f t="shared" ref="DO15:DO16" si="26">DN15</f>
        <v>0</v>
      </c>
      <c r="DP15" s="1102">
        <f t="shared" ref="DP15:DP16" si="27">DO15</f>
        <v>0</v>
      </c>
      <c r="DQ15" s="1038">
        <f t="shared" si="21"/>
        <v>0</v>
      </c>
      <c r="DR15" s="33"/>
      <c r="DS15" s="260"/>
      <c r="DT15"/>
      <c r="DU15"/>
      <c r="DV15"/>
      <c r="DW15"/>
      <c r="DX15"/>
      <c r="DY15"/>
    </row>
    <row r="16" spans="1:155" s="132" customFormat="1" ht="11.25" customHeight="1">
      <c r="B16" s="32"/>
      <c r="C16" s="33" t="s">
        <v>42</v>
      </c>
      <c r="D16" s="33"/>
      <c r="E16" s="33"/>
      <c r="F16" s="33"/>
      <c r="G16" s="62"/>
      <c r="H16" s="86">
        <v>2.0750000000000002</v>
      </c>
      <c r="I16" s="86">
        <v>2.613</v>
      </c>
      <c r="J16" s="88">
        <v>1.754</v>
      </c>
      <c r="K16" s="352">
        <f t="shared" si="1"/>
        <v>1.754</v>
      </c>
      <c r="L16" s="87">
        <v>2.2639999999999998</v>
      </c>
      <c r="M16" s="86">
        <v>2.1480000000000001</v>
      </c>
      <c r="N16" s="86">
        <v>1.8360000000000001</v>
      </c>
      <c r="O16" s="88">
        <v>2.9119999999999999</v>
      </c>
      <c r="P16" s="352">
        <f t="shared" si="2"/>
        <v>2.9119999999999999</v>
      </c>
      <c r="Q16" s="87">
        <v>3.74</v>
      </c>
      <c r="R16" s="86">
        <v>4.8019999999999996</v>
      </c>
      <c r="S16" s="86">
        <v>4.63</v>
      </c>
      <c r="T16" s="88">
        <v>3.758</v>
      </c>
      <c r="U16" s="352">
        <f t="shared" si="3"/>
        <v>3.758</v>
      </c>
      <c r="V16" s="87">
        <v>4.1369999999999996</v>
      </c>
      <c r="W16" s="86">
        <v>4.4829999999999997</v>
      </c>
      <c r="X16" s="86">
        <v>4.2910000000000004</v>
      </c>
      <c r="Y16" s="88">
        <v>4.3920000000000003</v>
      </c>
      <c r="Z16" s="352">
        <f t="shared" si="4"/>
        <v>4.3920000000000003</v>
      </c>
      <c r="AA16" s="87">
        <v>6.101</v>
      </c>
      <c r="AB16" s="86">
        <v>7.9859999999999998</v>
      </c>
      <c r="AC16" s="86">
        <v>6.8769999999999998</v>
      </c>
      <c r="AD16" s="86">
        <v>4.907</v>
      </c>
      <c r="AE16" s="352">
        <f t="shared" si="5"/>
        <v>4.907</v>
      </c>
      <c r="AF16" s="86">
        <v>6.423</v>
      </c>
      <c r="AG16" s="86">
        <v>7.97</v>
      </c>
      <c r="AH16" s="86">
        <v>8.1389999999999993</v>
      </c>
      <c r="AI16" s="86">
        <v>8.4139999999999997</v>
      </c>
      <c r="AJ16" s="352">
        <f t="shared" si="6"/>
        <v>8.4139999999999997</v>
      </c>
      <c r="AK16" s="86">
        <v>11.576000000000001</v>
      </c>
      <c r="AL16" s="86">
        <v>13.786</v>
      </c>
      <c r="AM16" s="86">
        <v>14.271000000000001</v>
      </c>
      <c r="AN16" s="86">
        <v>11.904</v>
      </c>
      <c r="AO16" s="352">
        <f t="shared" si="7"/>
        <v>11.904</v>
      </c>
      <c r="AP16" s="86">
        <v>15.263</v>
      </c>
      <c r="AQ16" s="86">
        <v>15.826000000000001</v>
      </c>
      <c r="AR16" s="86">
        <v>21.733000000000001</v>
      </c>
      <c r="AS16" s="86">
        <v>19.974</v>
      </c>
      <c r="AT16" s="352">
        <f t="shared" si="8"/>
        <v>19.974</v>
      </c>
      <c r="AU16" s="86">
        <v>25.055</v>
      </c>
      <c r="AV16" s="86">
        <v>26.297999999999998</v>
      </c>
      <c r="AW16" s="86">
        <v>30.355</v>
      </c>
      <c r="AX16" s="86">
        <v>32.5</v>
      </c>
      <c r="AY16" s="352">
        <f t="shared" si="9"/>
        <v>32.5</v>
      </c>
      <c r="AZ16" s="86">
        <v>43.604999999999997</v>
      </c>
      <c r="BA16" s="86">
        <v>37.006999999999998</v>
      </c>
      <c r="BB16" s="86">
        <v>46.661999999999999</v>
      </c>
      <c r="BC16" s="86">
        <v>59.828000000000003</v>
      </c>
      <c r="BD16" s="352">
        <f t="shared" si="10"/>
        <v>59.828000000000003</v>
      </c>
      <c r="BE16" s="86">
        <v>54.634999999999998</v>
      </c>
      <c r="BF16" s="86">
        <v>68.953000000000003</v>
      </c>
      <c r="BG16" s="86">
        <v>74.873000000000005</v>
      </c>
      <c r="BH16" s="86">
        <v>77.585999999999999</v>
      </c>
      <c r="BI16" s="352">
        <f t="shared" si="11"/>
        <v>77.585999999999999</v>
      </c>
      <c r="BJ16" s="86">
        <v>71.831000000000003</v>
      </c>
      <c r="BK16" s="86">
        <v>99.224000000000004</v>
      </c>
      <c r="BL16" s="86">
        <v>97.418999999999997</v>
      </c>
      <c r="BM16" s="86">
        <v>125.205</v>
      </c>
      <c r="BN16" s="352">
        <f t="shared" si="12"/>
        <v>125.205</v>
      </c>
      <c r="BO16" s="86">
        <v>162.22</v>
      </c>
      <c r="BP16" s="86">
        <v>160.072</v>
      </c>
      <c r="BQ16" s="86">
        <v>171.56899999999999</v>
      </c>
      <c r="BR16" s="86">
        <v>181.41399999999999</v>
      </c>
      <c r="BS16" s="352">
        <f t="shared" si="13"/>
        <v>181.41399999999999</v>
      </c>
      <c r="BT16" s="86">
        <v>176.41499999999999</v>
      </c>
      <c r="BU16" s="86">
        <v>180.13800000000001</v>
      </c>
      <c r="BV16" s="86">
        <v>144.77000000000001</v>
      </c>
      <c r="BW16" s="86">
        <v>225.53</v>
      </c>
      <c r="BX16" s="352">
        <f t="shared" si="14"/>
        <v>225.53</v>
      </c>
      <c r="BY16" s="86">
        <v>189.648</v>
      </c>
      <c r="BZ16" s="86">
        <v>198.172</v>
      </c>
      <c r="CA16" s="86">
        <v>166.42400000000001</v>
      </c>
      <c r="CB16" s="86">
        <v>219.89599999999999</v>
      </c>
      <c r="CC16" s="352">
        <f t="shared" si="15"/>
        <v>219.89599999999999</v>
      </c>
      <c r="CD16" s="86">
        <v>206.364</v>
      </c>
      <c r="CE16" s="86">
        <v>220.03399999999999</v>
      </c>
      <c r="CF16" s="86">
        <v>218.785</v>
      </c>
      <c r="CG16" s="441">
        <v>268.90699999999998</v>
      </c>
      <c r="CH16" s="352">
        <f t="shared" si="16"/>
        <v>268.90699999999998</v>
      </c>
      <c r="CI16" s="441">
        <v>254.37200000000001</v>
      </c>
      <c r="CJ16" s="86">
        <v>257.048</v>
      </c>
      <c r="CK16" s="86">
        <v>234.94200000000001</v>
      </c>
      <c r="CL16" s="441">
        <v>352.613</v>
      </c>
      <c r="CM16" s="352">
        <f t="shared" si="17"/>
        <v>352.613</v>
      </c>
      <c r="CN16" s="441">
        <v>336.9</v>
      </c>
      <c r="CO16" s="86">
        <v>322.7</v>
      </c>
      <c r="CP16" s="86">
        <v>264.7</v>
      </c>
      <c r="CQ16" s="441">
        <v>337.5</v>
      </c>
      <c r="CR16" s="352">
        <f t="shared" si="18"/>
        <v>337.5</v>
      </c>
      <c r="CS16" s="441">
        <v>367.9</v>
      </c>
      <c r="CT16" s="441">
        <v>399.2</v>
      </c>
      <c r="CU16" s="86">
        <v>425.5</v>
      </c>
      <c r="CV16" s="441">
        <v>526</v>
      </c>
      <c r="CW16" s="352">
        <f>CV16</f>
        <v>526</v>
      </c>
      <c r="CX16" s="441">
        <v>529</v>
      </c>
      <c r="CY16" s="543">
        <v>632</v>
      </c>
      <c r="CZ16" s="1034">
        <v>552</v>
      </c>
      <c r="DA16" s="543">
        <v>833</v>
      </c>
      <c r="DB16" s="352">
        <f>DA16</f>
        <v>833</v>
      </c>
      <c r="DC16" s="36">
        <f>DA16</f>
        <v>833</v>
      </c>
      <c r="DD16" s="36">
        <f t="shared" si="23"/>
        <v>833</v>
      </c>
      <c r="DE16" s="36">
        <f t="shared" si="23"/>
        <v>833</v>
      </c>
      <c r="DF16" s="36">
        <f t="shared" si="23"/>
        <v>833</v>
      </c>
      <c r="DG16" s="352">
        <f t="shared" si="19"/>
        <v>833</v>
      </c>
      <c r="DH16" s="36">
        <f>DF16</f>
        <v>833</v>
      </c>
      <c r="DI16" s="36">
        <f t="shared" si="24"/>
        <v>833</v>
      </c>
      <c r="DJ16" s="36">
        <f t="shared" si="24"/>
        <v>833</v>
      </c>
      <c r="DK16" s="36">
        <f t="shared" si="24"/>
        <v>833</v>
      </c>
      <c r="DL16" s="352">
        <f t="shared" si="20"/>
        <v>833</v>
      </c>
      <c r="DM16" s="36">
        <f>DK16</f>
        <v>833</v>
      </c>
      <c r="DN16" s="36">
        <f t="shared" si="25"/>
        <v>833</v>
      </c>
      <c r="DO16" s="36">
        <f t="shared" si="26"/>
        <v>833</v>
      </c>
      <c r="DP16" s="36">
        <f t="shared" si="27"/>
        <v>833</v>
      </c>
      <c r="DQ16" s="352">
        <f t="shared" si="21"/>
        <v>833</v>
      </c>
      <c r="DR16" s="33"/>
      <c r="DS16" s="260"/>
      <c r="DT16"/>
      <c r="DU16"/>
      <c r="DV16"/>
      <c r="DW16"/>
      <c r="DX16"/>
      <c r="DY16"/>
    </row>
    <row r="17" spans="2:129" s="177" customFormat="1" ht="11.25" customHeight="1">
      <c r="B17" s="31" t="s">
        <v>43</v>
      </c>
      <c r="C17" s="27"/>
      <c r="D17" s="27"/>
      <c r="E17" s="27"/>
      <c r="F17" s="27"/>
      <c r="G17" s="39"/>
      <c r="H17" s="40">
        <f t="shared" ref="H17:AS17" si="28">SUM(H11:H16)</f>
        <v>32.471000000000004</v>
      </c>
      <c r="I17" s="40">
        <f t="shared" si="28"/>
        <v>37.143999999999998</v>
      </c>
      <c r="J17" s="41">
        <f t="shared" si="28"/>
        <v>42.366999999999997</v>
      </c>
      <c r="K17" s="355">
        <f t="shared" si="1"/>
        <v>42.366999999999997</v>
      </c>
      <c r="L17" s="39">
        <f t="shared" si="28"/>
        <v>43.727000000000004</v>
      </c>
      <c r="M17" s="40">
        <f t="shared" si="28"/>
        <v>45.064000000000007</v>
      </c>
      <c r="N17" s="40">
        <f t="shared" si="28"/>
        <v>48.745000000000005</v>
      </c>
      <c r="O17" s="41">
        <f t="shared" si="28"/>
        <v>56.710999999999999</v>
      </c>
      <c r="P17" s="355">
        <f t="shared" si="2"/>
        <v>56.710999999999999</v>
      </c>
      <c r="Q17" s="39">
        <f t="shared" si="28"/>
        <v>60.544000000000004</v>
      </c>
      <c r="R17" s="40">
        <f t="shared" si="28"/>
        <v>67.465000000000003</v>
      </c>
      <c r="S17" s="40">
        <f t="shared" si="28"/>
        <v>77.521999999999991</v>
      </c>
      <c r="T17" s="41">
        <f t="shared" si="28"/>
        <v>88.222999999999999</v>
      </c>
      <c r="U17" s="355">
        <f t="shared" si="3"/>
        <v>88.222999999999999</v>
      </c>
      <c r="V17" s="39">
        <f t="shared" si="28"/>
        <v>88.772999999999996</v>
      </c>
      <c r="W17" s="40">
        <f t="shared" si="28"/>
        <v>99.721000000000004</v>
      </c>
      <c r="X17" s="40">
        <f t="shared" si="28"/>
        <v>111.264</v>
      </c>
      <c r="Y17" s="41">
        <f t="shared" si="28"/>
        <v>117.33499999999999</v>
      </c>
      <c r="Z17" s="355">
        <f t="shared" si="4"/>
        <v>117.33499999999999</v>
      </c>
      <c r="AA17" s="39">
        <f t="shared" si="28"/>
        <v>127.072</v>
      </c>
      <c r="AB17" s="40">
        <f t="shared" si="28"/>
        <v>149.94399999999999</v>
      </c>
      <c r="AC17" s="40">
        <f t="shared" si="28"/>
        <v>169.316</v>
      </c>
      <c r="AD17" s="40">
        <f t="shared" si="28"/>
        <v>175.834</v>
      </c>
      <c r="AE17" s="355">
        <f t="shared" si="5"/>
        <v>175.834</v>
      </c>
      <c r="AF17" s="40">
        <f t="shared" si="28"/>
        <v>182.54200000000003</v>
      </c>
      <c r="AG17" s="40">
        <f t="shared" si="28"/>
        <v>203.85899999999998</v>
      </c>
      <c r="AH17" s="40">
        <f t="shared" si="28"/>
        <v>242.87</v>
      </c>
      <c r="AI17" s="40">
        <f t="shared" si="28"/>
        <v>278.49699999999996</v>
      </c>
      <c r="AJ17" s="355">
        <f t="shared" si="6"/>
        <v>278.49699999999996</v>
      </c>
      <c r="AK17" s="40">
        <f t="shared" si="28"/>
        <v>307.04100000000005</v>
      </c>
      <c r="AL17" s="40">
        <f t="shared" si="28"/>
        <v>360.20499999999998</v>
      </c>
      <c r="AM17" s="40">
        <f t="shared" si="28"/>
        <v>412.00400000000002</v>
      </c>
      <c r="AN17" s="40">
        <f t="shared" si="28"/>
        <v>453.99700000000001</v>
      </c>
      <c r="AO17" s="355">
        <f t="shared" si="7"/>
        <v>453.99700000000001</v>
      </c>
      <c r="AP17" s="40">
        <f t="shared" si="28"/>
        <v>482.37900000000002</v>
      </c>
      <c r="AQ17" s="40">
        <f t="shared" si="28"/>
        <v>531.85800000000006</v>
      </c>
      <c r="AR17" s="40">
        <f t="shared" si="28"/>
        <v>591.8599999999999</v>
      </c>
      <c r="AS17" s="40">
        <f t="shared" si="28"/>
        <v>663.423</v>
      </c>
      <c r="AT17" s="355">
        <f t="shared" si="8"/>
        <v>663.423</v>
      </c>
      <c r="AU17" s="40">
        <f t="shared" ref="AU17:BW17" si="29">SUM(AU11:AU16)</f>
        <v>709.13299999999992</v>
      </c>
      <c r="AV17" s="40">
        <f t="shared" si="29"/>
        <v>811.59</v>
      </c>
      <c r="AW17" s="40">
        <f t="shared" si="29"/>
        <v>921.21699999999998</v>
      </c>
      <c r="AX17" s="40">
        <f t="shared" si="29"/>
        <v>1040.3909999999998</v>
      </c>
      <c r="AY17" s="355">
        <f t="shared" si="9"/>
        <v>1040.3909999999998</v>
      </c>
      <c r="AZ17" s="40">
        <f t="shared" si="29"/>
        <v>1137.5930000000001</v>
      </c>
      <c r="BA17" s="40">
        <f t="shared" si="29"/>
        <v>1229.5700000000002</v>
      </c>
      <c r="BB17" s="40">
        <f t="shared" si="29"/>
        <v>1353.5940000000001</v>
      </c>
      <c r="BC17" s="40">
        <f t="shared" si="29"/>
        <v>1242.1790000000001</v>
      </c>
      <c r="BD17" s="355">
        <f t="shared" si="10"/>
        <v>1242.1790000000001</v>
      </c>
      <c r="BE17" s="40">
        <f t="shared" si="29"/>
        <v>1116.421</v>
      </c>
      <c r="BF17" s="40">
        <f t="shared" si="29"/>
        <v>1268.6200000000001</v>
      </c>
      <c r="BG17" s="40">
        <f t="shared" si="29"/>
        <v>1321.2079999999999</v>
      </c>
      <c r="BH17" s="40">
        <f t="shared" si="29"/>
        <v>1468.1189999999999</v>
      </c>
      <c r="BI17" s="355">
        <f t="shared" si="11"/>
        <v>1468.1189999999999</v>
      </c>
      <c r="BJ17" s="40">
        <f t="shared" si="29"/>
        <v>1525.6559999999999</v>
      </c>
      <c r="BK17" s="40">
        <f t="shared" si="29"/>
        <v>1763.674</v>
      </c>
      <c r="BL17" s="40">
        <f t="shared" si="29"/>
        <v>2016.826</v>
      </c>
      <c r="BM17" s="40">
        <f t="shared" si="29"/>
        <v>2307.5680000000002</v>
      </c>
      <c r="BN17" s="355">
        <f t="shared" si="12"/>
        <v>2307.5680000000002</v>
      </c>
      <c r="BO17" s="40">
        <f t="shared" si="29"/>
        <v>2469.2329999999997</v>
      </c>
      <c r="BP17" s="40">
        <f t="shared" si="29"/>
        <v>2804.9239999999995</v>
      </c>
      <c r="BQ17" s="40">
        <f t="shared" si="29"/>
        <v>3234.68</v>
      </c>
      <c r="BR17" s="40">
        <f t="shared" si="29"/>
        <v>3518.2340000000004</v>
      </c>
      <c r="BS17" s="355">
        <f t="shared" si="13"/>
        <v>3518.2340000000004</v>
      </c>
      <c r="BT17" s="40">
        <f t="shared" si="29"/>
        <v>3535.7999999999993</v>
      </c>
      <c r="BU17" s="40">
        <f t="shared" si="29"/>
        <v>3757.8969999999999</v>
      </c>
      <c r="BV17" s="40">
        <f t="shared" si="29"/>
        <v>3812.1969999999997</v>
      </c>
      <c r="BW17" s="40">
        <f t="shared" si="29"/>
        <v>4085.5059999999999</v>
      </c>
      <c r="BX17" s="355">
        <f t="shared" si="14"/>
        <v>4085.5059999999999</v>
      </c>
      <c r="BY17" s="40">
        <f t="shared" ref="BY17:CN17" si="30">SUM(BY11:BY16)</f>
        <v>4196.7420000000002</v>
      </c>
      <c r="BZ17" s="40">
        <f t="shared" si="30"/>
        <v>4152.3519999999999</v>
      </c>
      <c r="CA17" s="40">
        <f t="shared" si="30"/>
        <v>4541.5309999999999</v>
      </c>
      <c r="CB17" s="40">
        <f t="shared" si="30"/>
        <v>4814.2939999999999</v>
      </c>
      <c r="CC17" s="355">
        <f t="shared" si="15"/>
        <v>4814.2939999999999</v>
      </c>
      <c r="CD17" s="40">
        <f t="shared" si="30"/>
        <v>4836.6399999999994</v>
      </c>
      <c r="CE17" s="40">
        <f t="shared" si="30"/>
        <v>5133.9610000000002</v>
      </c>
      <c r="CF17" s="40">
        <f t="shared" si="30"/>
        <v>5739.2050000000008</v>
      </c>
      <c r="CG17" s="40">
        <f t="shared" si="30"/>
        <v>6147.8820000000005</v>
      </c>
      <c r="CH17" s="355">
        <f t="shared" si="16"/>
        <v>6147.8820000000005</v>
      </c>
      <c r="CI17" s="40">
        <f t="shared" si="30"/>
        <v>6290.7400000000007</v>
      </c>
      <c r="CJ17" s="40">
        <f t="shared" si="30"/>
        <v>6740.6900000000005</v>
      </c>
      <c r="CK17" s="40">
        <f t="shared" si="30"/>
        <v>7260.0259999999998</v>
      </c>
      <c r="CL17" s="40">
        <f t="shared" si="30"/>
        <v>6750.2970000000005</v>
      </c>
      <c r="CM17" s="355">
        <f t="shared" si="17"/>
        <v>6750.2970000000005</v>
      </c>
      <c r="CN17" s="40">
        <f t="shared" si="30"/>
        <v>6406.5</v>
      </c>
      <c r="CO17" s="40">
        <f>SUM(CO11:CO16)</f>
        <v>6771.4</v>
      </c>
      <c r="CP17" s="40">
        <f t="shared" ref="CP17:CZ17" si="31">SUM(CP11:CP16)</f>
        <v>7237.8999999999987</v>
      </c>
      <c r="CQ17" s="40">
        <f t="shared" si="31"/>
        <v>7908.6</v>
      </c>
      <c r="CR17" s="355">
        <f t="shared" si="18"/>
        <v>7908.6</v>
      </c>
      <c r="CS17" s="40">
        <f>SUM(CS11:CS16)</f>
        <v>7570.8999999999987</v>
      </c>
      <c r="CT17" s="40">
        <f t="shared" si="31"/>
        <v>7758.9000000000005</v>
      </c>
      <c r="CU17" s="40">
        <f t="shared" si="31"/>
        <v>8199.8000000000011</v>
      </c>
      <c r="CV17" s="40">
        <f t="shared" si="31"/>
        <v>8600</v>
      </c>
      <c r="CW17" s="334">
        <f>SUM(CW11:CW16)</f>
        <v>8600</v>
      </c>
      <c r="CX17" s="40">
        <f>SUM(CX11:CX16)</f>
        <v>7842</v>
      </c>
      <c r="CY17" s="583">
        <f t="shared" si="31"/>
        <v>8099</v>
      </c>
      <c r="CZ17" s="583">
        <f t="shared" si="31"/>
        <v>8557</v>
      </c>
      <c r="DA17" s="583">
        <f>SUM(DA11:DA16)</f>
        <v>9111</v>
      </c>
      <c r="DB17" s="334">
        <f>SUM(DB11:DB16)</f>
        <v>9111</v>
      </c>
      <c r="DC17" s="40">
        <f t="shared" ref="DC17:DK17" si="32">SUM(DC11:DC16)</f>
        <v>9169.3198833953575</v>
      </c>
      <c r="DD17" s="40">
        <f t="shared" si="32"/>
        <v>9243.9702422374648</v>
      </c>
      <c r="DE17" s="40">
        <f t="shared" si="32"/>
        <v>9737.1016256763596</v>
      </c>
      <c r="DF17" s="40">
        <f t="shared" si="32"/>
        <v>10228.651515045593</v>
      </c>
      <c r="DG17" s="334">
        <f>SUM(DG11:DG16)</f>
        <v>10228.651515045593</v>
      </c>
      <c r="DH17" s="40">
        <f t="shared" si="32"/>
        <v>10385.026608135697</v>
      </c>
      <c r="DI17" s="40">
        <f t="shared" si="32"/>
        <v>10464.577505989611</v>
      </c>
      <c r="DJ17" s="40">
        <f t="shared" si="32"/>
        <v>10917.811685812152</v>
      </c>
      <c r="DK17" s="40">
        <f t="shared" si="32"/>
        <v>11420.285579148991</v>
      </c>
      <c r="DL17" s="334">
        <f>SUM(DL11:DL16)</f>
        <v>11420.285579148991</v>
      </c>
      <c r="DM17" s="40">
        <f t="shared" ref="DM17:DP17" si="33">SUM(DM11:DM16)</f>
        <v>11740.43983473164</v>
      </c>
      <c r="DN17" s="40">
        <f t="shared" si="33"/>
        <v>11851.387216061554</v>
      </c>
      <c r="DO17" s="40">
        <f t="shared" si="33"/>
        <v>12330.309626546852</v>
      </c>
      <c r="DP17" s="40">
        <f t="shared" si="33"/>
        <v>12900.469216749187</v>
      </c>
      <c r="DQ17" s="334">
        <f>SUM(DQ11:DQ16)</f>
        <v>12900.469216749187</v>
      </c>
      <c r="DR17" s="27"/>
      <c r="DS17" s="260"/>
      <c r="DT17"/>
      <c r="DU17"/>
      <c r="DV17"/>
      <c r="DW17"/>
      <c r="DX17"/>
      <c r="DY17"/>
    </row>
    <row r="18" spans="2:129" s="178" customFormat="1" ht="11.25" customHeight="1">
      <c r="B18" s="44"/>
      <c r="C18" s="45"/>
      <c r="D18" s="45"/>
      <c r="E18" s="45"/>
      <c r="F18" s="45"/>
      <c r="G18" s="82"/>
      <c r="H18" s="83"/>
      <c r="I18" s="83"/>
      <c r="J18" s="84"/>
      <c r="K18" s="895"/>
      <c r="L18" s="82"/>
      <c r="M18" s="83"/>
      <c r="N18" s="83"/>
      <c r="O18" s="84"/>
      <c r="P18" s="895"/>
      <c r="Q18" s="82"/>
      <c r="R18" s="83"/>
      <c r="S18" s="83"/>
      <c r="T18" s="84"/>
      <c r="U18" s="895"/>
      <c r="V18" s="82"/>
      <c r="W18" s="83"/>
      <c r="X18" s="83"/>
      <c r="Y18" s="84"/>
      <c r="Z18" s="895"/>
      <c r="AA18" s="82"/>
      <c r="AB18" s="83"/>
      <c r="AC18" s="83"/>
      <c r="AD18" s="83"/>
      <c r="AE18" s="895"/>
      <c r="AF18" s="83"/>
      <c r="AG18" s="83"/>
      <c r="AH18" s="83"/>
      <c r="AI18" s="83"/>
      <c r="AJ18" s="895"/>
      <c r="AK18" s="83"/>
      <c r="AL18" s="83"/>
      <c r="AM18" s="83"/>
      <c r="AN18" s="83"/>
      <c r="AO18" s="895"/>
      <c r="AP18" s="83"/>
      <c r="AQ18" s="83"/>
      <c r="AR18" s="83"/>
      <c r="AS18" s="83"/>
      <c r="AT18" s="895"/>
      <c r="AU18" s="83"/>
      <c r="AV18" s="83"/>
      <c r="AW18" s="83"/>
      <c r="AX18" s="83"/>
      <c r="AY18" s="895"/>
      <c r="AZ18" s="83"/>
      <c r="BA18" s="83"/>
      <c r="BB18" s="83"/>
      <c r="BC18" s="83"/>
      <c r="BD18" s="895"/>
      <c r="BE18" s="83"/>
      <c r="BF18" s="83"/>
      <c r="BG18" s="83"/>
      <c r="BH18" s="83"/>
      <c r="BI18" s="895"/>
      <c r="BJ18" s="83"/>
      <c r="BK18" s="83"/>
      <c r="BL18" s="83"/>
      <c r="BM18" s="83"/>
      <c r="BN18" s="895"/>
      <c r="BO18" s="83"/>
      <c r="BP18" s="83"/>
      <c r="BQ18" s="83"/>
      <c r="BR18" s="83"/>
      <c r="BS18" s="895"/>
      <c r="BT18" s="83"/>
      <c r="BU18" s="83"/>
      <c r="BV18" s="83"/>
      <c r="BW18" s="83"/>
      <c r="BX18" s="895"/>
      <c r="BY18" s="83"/>
      <c r="BZ18" s="83"/>
      <c r="CA18" s="83"/>
      <c r="CB18" s="905"/>
      <c r="CC18" s="895"/>
      <c r="CD18" s="83"/>
      <c r="CE18" s="83"/>
      <c r="CF18" s="83"/>
      <c r="CG18" s="83"/>
      <c r="CH18" s="895"/>
      <c r="CI18" s="83"/>
      <c r="CJ18" s="83"/>
      <c r="CK18" s="83"/>
      <c r="CL18" s="83"/>
      <c r="CM18" s="895"/>
      <c r="CN18" s="534"/>
      <c r="CO18" s="83"/>
      <c r="CP18" s="83"/>
      <c r="CQ18" s="83"/>
      <c r="CR18" s="895"/>
      <c r="CS18" s="534"/>
      <c r="CT18" s="83"/>
      <c r="CU18" s="83"/>
      <c r="CV18" s="83"/>
      <c r="CW18" s="806"/>
      <c r="CX18" s="553"/>
      <c r="CY18" s="553"/>
      <c r="CZ18" s="553"/>
      <c r="DA18" s="553"/>
      <c r="DB18" s="806"/>
      <c r="DC18" s="83"/>
      <c r="DD18" s="83"/>
      <c r="DE18" s="83"/>
      <c r="DF18" s="83"/>
      <c r="DG18" s="806"/>
      <c r="DH18" s="83"/>
      <c r="DI18" s="83"/>
      <c r="DJ18" s="83"/>
      <c r="DK18" s="83"/>
      <c r="DL18" s="806"/>
      <c r="DM18" s="83"/>
      <c r="DN18" s="83"/>
      <c r="DO18" s="83"/>
      <c r="DP18" s="83"/>
      <c r="DQ18" s="806"/>
      <c r="DR18" s="45"/>
      <c r="DS18" s="260"/>
      <c r="DT18"/>
      <c r="DU18"/>
      <c r="DV18"/>
      <c r="DW18"/>
      <c r="DX18"/>
      <c r="DY18"/>
    </row>
    <row r="19" spans="2:129" s="177" customFormat="1" ht="11.25" customHeight="1">
      <c r="B19" s="31" t="s">
        <v>85</v>
      </c>
      <c r="C19" s="27"/>
      <c r="D19" s="27"/>
      <c r="E19" s="27"/>
      <c r="F19" s="27"/>
      <c r="G19" s="160"/>
      <c r="H19" s="161"/>
      <c r="I19" s="161"/>
      <c r="J19" s="162"/>
      <c r="K19" s="896"/>
      <c r="L19" s="160"/>
      <c r="M19" s="161"/>
      <c r="N19" s="161"/>
      <c r="O19" s="162"/>
      <c r="P19" s="896"/>
      <c r="Q19" s="160"/>
      <c r="R19" s="161"/>
      <c r="S19" s="161"/>
      <c r="T19" s="162"/>
      <c r="U19" s="896"/>
      <c r="V19" s="160"/>
      <c r="W19" s="161"/>
      <c r="X19" s="161"/>
      <c r="Y19" s="162"/>
      <c r="Z19" s="896"/>
      <c r="AA19" s="160"/>
      <c r="AB19" s="161"/>
      <c r="AC19" s="161"/>
      <c r="AD19" s="161"/>
      <c r="AE19" s="896"/>
      <c r="AF19" s="161"/>
      <c r="AG19" s="161"/>
      <c r="AH19" s="161"/>
      <c r="AI19" s="161"/>
      <c r="AJ19" s="896"/>
      <c r="AK19" s="161"/>
      <c r="AL19" s="161"/>
      <c r="AM19" s="161"/>
      <c r="AN19" s="161"/>
      <c r="AO19" s="896"/>
      <c r="AP19" s="161"/>
      <c r="AQ19" s="161"/>
      <c r="AR19" s="161"/>
      <c r="AS19" s="161"/>
      <c r="AT19" s="896"/>
      <c r="AU19" s="161"/>
      <c r="AV19" s="161"/>
      <c r="AW19" s="161"/>
      <c r="AX19" s="161"/>
      <c r="AY19" s="896"/>
      <c r="AZ19" s="161"/>
      <c r="BA19" s="161"/>
      <c r="BB19" s="161"/>
      <c r="BC19" s="161"/>
      <c r="BD19" s="896"/>
      <c r="BE19" s="161"/>
      <c r="BF19" s="161"/>
      <c r="BG19" s="161"/>
      <c r="BH19" s="161"/>
      <c r="BI19" s="896"/>
      <c r="BJ19" s="161"/>
      <c r="BK19" s="161"/>
      <c r="BL19" s="161"/>
      <c r="BM19" s="161"/>
      <c r="BN19" s="896"/>
      <c r="BO19" s="161"/>
      <c r="BP19" s="161"/>
      <c r="BQ19" s="161"/>
      <c r="BR19" s="161"/>
      <c r="BS19" s="896"/>
      <c r="BT19" s="161"/>
      <c r="BU19" s="161"/>
      <c r="BV19" s="161"/>
      <c r="BW19" s="161"/>
      <c r="BX19" s="896"/>
      <c r="BY19" s="161"/>
      <c r="BZ19" s="161"/>
      <c r="CA19" s="323"/>
      <c r="CB19" s="323"/>
      <c r="CC19" s="896"/>
      <c r="CD19" s="161"/>
      <c r="CE19" s="161"/>
      <c r="CF19" s="161"/>
      <c r="CG19" s="161"/>
      <c r="CH19" s="896"/>
      <c r="CI19" s="161"/>
      <c r="CJ19" s="161"/>
      <c r="CK19" s="161"/>
      <c r="CL19" s="161"/>
      <c r="CM19" s="896"/>
      <c r="CN19" s="161"/>
      <c r="CO19" s="161"/>
      <c r="CP19" s="161"/>
      <c r="CQ19" s="161"/>
      <c r="CR19" s="896"/>
      <c r="CS19" s="161"/>
      <c r="CT19" s="161"/>
      <c r="CU19" s="36"/>
      <c r="CV19" s="161"/>
      <c r="CW19" s="334"/>
      <c r="CX19" s="161"/>
      <c r="CY19" s="161"/>
      <c r="CZ19" s="161"/>
      <c r="DA19" s="161"/>
      <c r="DB19" s="334"/>
      <c r="DC19" s="161"/>
      <c r="DD19" s="161"/>
      <c r="DE19" s="161"/>
      <c r="DF19" s="161"/>
      <c r="DG19" s="334"/>
      <c r="DH19" s="161"/>
      <c r="DI19" s="161"/>
      <c r="DJ19" s="161"/>
      <c r="DK19" s="161"/>
      <c r="DL19" s="334"/>
      <c r="DM19" s="161"/>
      <c r="DN19" s="161"/>
      <c r="DO19" s="161"/>
      <c r="DP19" s="161"/>
      <c r="DQ19" s="334"/>
      <c r="DR19" s="27"/>
      <c r="DS19" s="260"/>
      <c r="DT19"/>
      <c r="DU19"/>
      <c r="DV19"/>
      <c r="DW19"/>
      <c r="DX19"/>
      <c r="DY19"/>
    </row>
    <row r="20" spans="2:129" s="132" customFormat="1" ht="11.25" hidden="1" customHeight="1" outlineLevel="1">
      <c r="B20" s="32"/>
      <c r="C20" s="33" t="s">
        <v>45</v>
      </c>
      <c r="D20" s="33"/>
      <c r="E20" s="33"/>
      <c r="F20" s="33"/>
      <c r="G20" s="35"/>
      <c r="H20" s="36"/>
      <c r="I20" s="36">
        <f>I29-I28</f>
        <v>9.3949999999999996</v>
      </c>
      <c r="J20" s="37">
        <f>SUM(J21:J27)</f>
        <v>10.391</v>
      </c>
      <c r="K20" s="352">
        <f t="shared" ref="K20:K31" si="34">J20</f>
        <v>10.391</v>
      </c>
      <c r="L20" s="35">
        <f>L29-L28</f>
        <v>11.591999999999999</v>
      </c>
      <c r="M20" s="36">
        <f>M29-M28</f>
        <v>13.622</v>
      </c>
      <c r="N20" s="36">
        <f>N29-N28</f>
        <v>15.279</v>
      </c>
      <c r="O20" s="37">
        <f>SUM(O21:O27)</f>
        <v>16.291</v>
      </c>
      <c r="P20" s="352">
        <f t="shared" ref="P20:P31" si="35">O20</f>
        <v>16.291</v>
      </c>
      <c r="Q20" s="35">
        <f>Q29-Q28</f>
        <v>17.074999999999999</v>
      </c>
      <c r="R20" s="36">
        <f>R29-R28</f>
        <v>19.143999999999998</v>
      </c>
      <c r="S20" s="36">
        <f>S29-S28</f>
        <v>22.645</v>
      </c>
      <c r="T20" s="37">
        <f>SUM(T21:T27)</f>
        <v>26.934000000000005</v>
      </c>
      <c r="U20" s="352">
        <f t="shared" ref="U20:U31" si="36">T20</f>
        <v>26.934000000000005</v>
      </c>
      <c r="V20" s="35">
        <f>V29-V28</f>
        <v>29.930999999999997</v>
      </c>
      <c r="W20" s="36">
        <f>W29-W28</f>
        <v>32.108000000000004</v>
      </c>
      <c r="X20" s="36">
        <f>X29-X28</f>
        <v>37.504999999999995</v>
      </c>
      <c r="Y20" s="37">
        <f>SUM(Y21:Y27)</f>
        <v>41.143999999999998</v>
      </c>
      <c r="Z20" s="352">
        <f t="shared" ref="Z20:Z31" si="37">Y20</f>
        <v>41.143999999999998</v>
      </c>
      <c r="AA20" s="35">
        <f>AA29-AA28</f>
        <v>42.938000000000002</v>
      </c>
      <c r="AB20" s="36">
        <f>AB29-AB28</f>
        <v>45.768999999999998</v>
      </c>
      <c r="AC20" s="36">
        <f>AC29-AC28</f>
        <v>48.527999999999999</v>
      </c>
      <c r="AD20" s="36">
        <f>SUM(AD21:AD27)</f>
        <v>63.649000000000008</v>
      </c>
      <c r="AE20" s="352">
        <f t="shared" ref="AE20:AE31" si="38">AD20</f>
        <v>63.649000000000008</v>
      </c>
      <c r="AF20" s="36">
        <f>AF29-AF28</f>
        <v>68.316000000000003</v>
      </c>
      <c r="AG20" s="36">
        <f>AG29-AG28</f>
        <v>76.176000000000002</v>
      </c>
      <c r="AH20" s="36">
        <f>AH29-AH28</f>
        <v>82.786000000000001</v>
      </c>
      <c r="AI20" s="36">
        <f>SUM(AI21:AI27)</f>
        <v>92.605999999999995</v>
      </c>
      <c r="AJ20" s="352">
        <f t="shared" ref="AJ20:AJ31" si="39">AI20</f>
        <v>92.605999999999995</v>
      </c>
      <c r="AK20" s="36">
        <f>AK29-AK28</f>
        <v>95.47</v>
      </c>
      <c r="AL20" s="36">
        <f>AL29-AL28</f>
        <v>99.051999999999992</v>
      </c>
      <c r="AM20" s="36">
        <f>AM29-AM28</f>
        <v>113.161</v>
      </c>
      <c r="AN20" s="36">
        <f>SUM(AN21:AN27)</f>
        <v>138.14099999999999</v>
      </c>
      <c r="AO20" s="352">
        <f t="shared" ref="AO20:AO31" si="40">AN20</f>
        <v>138.14099999999999</v>
      </c>
      <c r="AP20" s="36">
        <f>AP29-AP28</f>
        <v>146.61600000000001</v>
      </c>
      <c r="AQ20" s="36">
        <f>AQ29-AQ28</f>
        <v>165.52100000000002</v>
      </c>
      <c r="AR20" s="36">
        <f>AR29-AR28</f>
        <v>187.988</v>
      </c>
      <c r="AS20" s="36">
        <f>SUM(AS21:AS27)</f>
        <v>211.71800000000002</v>
      </c>
      <c r="AT20" s="352">
        <f t="shared" ref="AT20:AT40" si="41">AS20</f>
        <v>211.71800000000002</v>
      </c>
      <c r="AU20" s="36">
        <f>AU29-AU28</f>
        <v>232.80599999999998</v>
      </c>
      <c r="AV20" s="36">
        <f>AV29-AV28</f>
        <v>257.78300000000002</v>
      </c>
      <c r="AW20" s="36">
        <f>AW29-AW28</f>
        <v>284.09000000000003</v>
      </c>
      <c r="AX20" s="36">
        <f>SUM(AX21:AX27)</f>
        <v>315.69299999999998</v>
      </c>
      <c r="AY20" s="352">
        <f t="shared" ref="AY20:AY40" si="42">AX20</f>
        <v>315.69299999999998</v>
      </c>
      <c r="AZ20" s="36">
        <f>AZ29-AZ28</f>
        <v>342.6</v>
      </c>
      <c r="BA20" s="36">
        <f>BA29-BA28</f>
        <v>383.18500000000006</v>
      </c>
      <c r="BB20" s="36">
        <f>BB29-BB28</f>
        <v>421.56000000000006</v>
      </c>
      <c r="BC20" s="36">
        <f>SUM(BC21:BC27)</f>
        <v>499.02800000000002</v>
      </c>
      <c r="BD20" s="352">
        <f t="shared" ref="BD20:BD40" si="43">BC20</f>
        <v>499.02800000000002</v>
      </c>
      <c r="BE20" s="36">
        <f>BE29-BE28</f>
        <v>544.99399999999991</v>
      </c>
      <c r="BF20" s="36">
        <f>BF29-BF28</f>
        <v>576.16800000000001</v>
      </c>
      <c r="BG20" s="36">
        <f>BG29-BG28</f>
        <v>635.65000000000009</v>
      </c>
      <c r="BH20" s="36">
        <f>SUM(BH21:BH27)</f>
        <v>654.44200000000001</v>
      </c>
      <c r="BI20" s="352">
        <f t="shared" ref="BI20:BI40" si="44">BH20</f>
        <v>654.44200000000001</v>
      </c>
      <c r="BJ20" s="36">
        <f>BJ29-BJ28</f>
        <v>672.95600000000002</v>
      </c>
      <c r="BK20" s="36">
        <f>BK29-BK28</f>
        <v>681.45899999999995</v>
      </c>
      <c r="BL20" s="36">
        <f>BL29-BL28</f>
        <v>714.29600000000005</v>
      </c>
      <c r="BM20" s="36">
        <f>SUM(BM21:BM27)</f>
        <v>756.08600000000001</v>
      </c>
      <c r="BN20" s="352">
        <f t="shared" ref="BN20:BN40" si="45">BM20</f>
        <v>756.08600000000001</v>
      </c>
      <c r="BO20" s="36">
        <f>BO29-BO28</f>
        <v>776.274</v>
      </c>
      <c r="BP20" s="36">
        <f>BP29-BP28</f>
        <v>822.99299999999994</v>
      </c>
      <c r="BQ20" s="36">
        <f>BQ29-BQ28</f>
        <v>862.09799999999996</v>
      </c>
      <c r="BR20" s="36">
        <f>SUM(BR21:BR27)</f>
        <v>922.92</v>
      </c>
      <c r="BS20" s="352">
        <f t="shared" ref="BS20:BS40" si="46">BR20</f>
        <v>922.92</v>
      </c>
      <c r="BT20" s="36">
        <f>BT29-BT28</f>
        <v>978.75</v>
      </c>
      <c r="BU20" s="36">
        <f>BU29-BU28</f>
        <v>1017.075</v>
      </c>
      <c r="BV20" s="36">
        <f>BV29-BV28</f>
        <v>1093.8780000000002</v>
      </c>
      <c r="BW20" s="36">
        <f>SUM(BW21:BW27)</f>
        <v>1213.5400000000002</v>
      </c>
      <c r="BX20" s="352">
        <f t="shared" ref="BX20:BX40" si="47">BW20</f>
        <v>1213.5400000000002</v>
      </c>
      <c r="BY20" s="36">
        <f>BY29-BY28</f>
        <v>1267.6790000000001</v>
      </c>
      <c r="BZ20" s="36">
        <f>BZ29-BZ28</f>
        <v>1352.836</v>
      </c>
      <c r="CA20" s="36">
        <f>CA29-CA28</f>
        <v>1430.1849999999999</v>
      </c>
      <c r="CB20" s="36">
        <f>SUM(CB21:CB27)</f>
        <v>1545.2779999999998</v>
      </c>
      <c r="CC20" s="352">
        <f t="shared" ref="CC20:CC40" si="48">CB20</f>
        <v>1545.2779999999998</v>
      </c>
      <c r="CD20" s="36">
        <f>CD29-CD28</f>
        <v>1618.3600000000001</v>
      </c>
      <c r="CE20" s="36">
        <f>CE29-CE28</f>
        <v>1664.38</v>
      </c>
      <c r="CF20" s="36">
        <f>CF29-CF28</f>
        <v>1692.4670000000001</v>
      </c>
      <c r="CG20" s="36">
        <f>SUM(CG21:CG27)</f>
        <v>1800.5</v>
      </c>
      <c r="CH20" s="352">
        <f t="shared" ref="CH20:CH40" si="49">CG20</f>
        <v>1800.5</v>
      </c>
      <c r="CI20" s="36">
        <f>CI29-CI28</f>
        <v>1843.4850000000001</v>
      </c>
      <c r="CJ20" s="36">
        <f>CJ29-CJ28</f>
        <v>1854.7339999999999</v>
      </c>
      <c r="CK20" s="36">
        <f>CK29-CK28</f>
        <v>1938.0680000000002</v>
      </c>
      <c r="CL20" s="36">
        <f>SUM(CL21:CL27)</f>
        <v>2099.3289999999997</v>
      </c>
      <c r="CM20" s="352">
        <f t="shared" ref="CM20:CM40" si="50">CL20</f>
        <v>2099.3289999999997</v>
      </c>
      <c r="CN20" s="36">
        <f>CN91</f>
        <v>2157.3289999999997</v>
      </c>
      <c r="CO20" s="36">
        <f>CO91</f>
        <v>2232.9289999999996</v>
      </c>
      <c r="CP20" s="36">
        <f t="shared" ref="CP20:CX20" si="51">CP29-CP28</f>
        <v>2292.3000000000002</v>
      </c>
      <c r="CQ20" s="36">
        <f t="shared" si="51"/>
        <v>2350.5</v>
      </c>
      <c r="CR20" s="352">
        <f t="shared" ref="CR20:CR40" si="52">CQ20</f>
        <v>2350.5</v>
      </c>
      <c r="CS20" s="36">
        <f t="shared" si="51"/>
        <v>2405.6</v>
      </c>
      <c r="CT20" s="36">
        <f t="shared" si="51"/>
        <v>2478.6000000000004</v>
      </c>
      <c r="CU20" s="36">
        <f t="shared" si="51"/>
        <v>2578.6</v>
      </c>
      <c r="CV20" s="36">
        <f t="shared" si="51"/>
        <v>2624</v>
      </c>
      <c r="CW20" s="352">
        <f t="shared" ref="CW20:CW39" si="53">CV20</f>
        <v>2624</v>
      </c>
      <c r="CX20" s="36">
        <f t="shared" si="51"/>
        <v>2561.3000000000002</v>
      </c>
      <c r="CY20" s="36">
        <f>CY29-CY28</f>
        <v>2597</v>
      </c>
      <c r="CZ20" s="36">
        <f>CZ29-CZ28</f>
        <v>2617</v>
      </c>
      <c r="DA20" s="36">
        <f>DA91</f>
        <v>2697</v>
      </c>
      <c r="DB20" s="352">
        <f t="shared" ref="DB20:DB28" si="54">DA20</f>
        <v>2697</v>
      </c>
      <c r="DC20" s="36">
        <f t="shared" ref="DC20:DF20" si="55">DC91</f>
        <v>2758.9459999999999</v>
      </c>
      <c r="DD20" s="36">
        <f t="shared" si="55"/>
        <v>2823.0912800000001</v>
      </c>
      <c r="DE20" s="36">
        <f t="shared" si="55"/>
        <v>2911.2386999999999</v>
      </c>
      <c r="DF20" s="36">
        <f t="shared" si="55"/>
        <v>3015.4521999999997</v>
      </c>
      <c r="DG20" s="352">
        <f t="shared" ref="DG20:DG28" si="56">DF20</f>
        <v>3015.4521999999997</v>
      </c>
      <c r="DH20" s="36">
        <f>DH91</f>
        <v>3082.3157619999997</v>
      </c>
      <c r="DI20" s="36">
        <f>DI91</f>
        <v>3151.5785115999997</v>
      </c>
      <c r="DJ20" s="36">
        <f>DJ91</f>
        <v>3246.7688166749999</v>
      </c>
      <c r="DK20" s="36">
        <f>DK91</f>
        <v>3359.1880516749998</v>
      </c>
      <c r="DL20" s="352">
        <f t="shared" ref="DL20:DL28" si="57">DK20</f>
        <v>3359.1880516749998</v>
      </c>
      <c r="DM20" s="36">
        <f>DM91</f>
        <v>3431.4289677249999</v>
      </c>
      <c r="DN20" s="36">
        <f>DN91</f>
        <v>3506.0910230529998</v>
      </c>
      <c r="DO20" s="36">
        <f>DO91</f>
        <v>3608.8514459693747</v>
      </c>
      <c r="DP20" s="36">
        <f>DP91</f>
        <v>3730.0770255693747</v>
      </c>
      <c r="DQ20" s="352">
        <f t="shared" ref="DQ20:DQ28" si="58">DP20</f>
        <v>3730.0770255693747</v>
      </c>
      <c r="DR20" s="33"/>
      <c r="DS20" s="260"/>
      <c r="DT20"/>
      <c r="DU20"/>
      <c r="DV20"/>
      <c r="DW20"/>
      <c r="DX20"/>
      <c r="DY20"/>
    </row>
    <row r="21" spans="2:129" s="179" customFormat="1" ht="11.25" hidden="1" customHeight="1" outlineLevel="1">
      <c r="B21" s="163"/>
      <c r="C21" s="164"/>
      <c r="D21" s="164" t="s">
        <v>46</v>
      </c>
      <c r="E21" s="164"/>
      <c r="F21" s="164"/>
      <c r="G21" s="165"/>
      <c r="H21" s="166"/>
      <c r="I21" s="166"/>
      <c r="J21" s="167">
        <v>0</v>
      </c>
      <c r="K21" s="352">
        <f t="shared" si="34"/>
        <v>0</v>
      </c>
      <c r="L21" s="165">
        <f t="shared" ref="L21:N27" si="59">L109*L$20</f>
        <v>0</v>
      </c>
      <c r="M21" s="166">
        <f t="shared" si="59"/>
        <v>0</v>
      </c>
      <c r="N21" s="166">
        <f t="shared" si="59"/>
        <v>0</v>
      </c>
      <c r="O21" s="167">
        <v>0</v>
      </c>
      <c r="P21" s="352">
        <f t="shared" si="35"/>
        <v>0</v>
      </c>
      <c r="Q21" s="165">
        <f t="shared" ref="Q21:S27" si="60">Q109*Q$20</f>
        <v>0</v>
      </c>
      <c r="R21" s="166">
        <f t="shared" si="60"/>
        <v>0</v>
      </c>
      <c r="S21" s="166">
        <f t="shared" si="60"/>
        <v>0</v>
      </c>
      <c r="T21" s="167">
        <v>1.544</v>
      </c>
      <c r="U21" s="352">
        <f t="shared" si="36"/>
        <v>1.544</v>
      </c>
      <c r="V21" s="165">
        <f t="shared" ref="V21:X27" si="61">V109*V$20</f>
        <v>1.7158039652483845</v>
      </c>
      <c r="W21" s="166">
        <f t="shared" si="61"/>
        <v>1.8406011732382861</v>
      </c>
      <c r="X21" s="166">
        <f t="shared" si="61"/>
        <v>2.1499858914383303</v>
      </c>
      <c r="Y21" s="167">
        <v>3.93</v>
      </c>
      <c r="Z21" s="352">
        <f t="shared" si="37"/>
        <v>3.93</v>
      </c>
      <c r="AA21" s="165">
        <f t="shared" ref="AA21:AC27" si="62">AA109*AA$20</f>
        <v>4.1013596150106943</v>
      </c>
      <c r="AB21" s="166">
        <f t="shared" si="62"/>
        <v>4.3717715827338131</v>
      </c>
      <c r="AC21" s="166">
        <f t="shared" si="62"/>
        <v>4.635306241493292</v>
      </c>
      <c r="AD21" s="166">
        <v>17.574000000000002</v>
      </c>
      <c r="AE21" s="352">
        <f t="shared" si="38"/>
        <v>17.574000000000002</v>
      </c>
      <c r="AF21" s="166">
        <f t="shared" ref="AF21:AH27" si="63">AF109*AF$20</f>
        <v>18.862596175902215</v>
      </c>
      <c r="AG21" s="166">
        <f t="shared" si="63"/>
        <v>21.032805291520685</v>
      </c>
      <c r="AH21" s="166">
        <f t="shared" si="63"/>
        <v>22.857879369668023</v>
      </c>
      <c r="AI21" s="166">
        <v>18.475000000000001</v>
      </c>
      <c r="AJ21" s="352">
        <f t="shared" si="39"/>
        <v>18.475000000000001</v>
      </c>
      <c r="AK21" s="166">
        <f t="shared" ref="AK21:AM27" si="64">AK109*AK$20</f>
        <v>19.046371185452347</v>
      </c>
      <c r="AL21" s="166">
        <f t="shared" si="64"/>
        <v>19.760984169492257</v>
      </c>
      <c r="AM21" s="166">
        <f t="shared" si="64"/>
        <v>22.575745362071572</v>
      </c>
      <c r="AN21" s="166">
        <v>17.963999999999999</v>
      </c>
      <c r="AO21" s="352">
        <f t="shared" si="40"/>
        <v>17.963999999999999</v>
      </c>
      <c r="AP21" s="166">
        <f t="shared" ref="AP21:AR27" si="65">AP109*AP$20</f>
        <v>19.066097856537887</v>
      </c>
      <c r="AQ21" s="166">
        <f t="shared" si="65"/>
        <v>21.524523812626228</v>
      </c>
      <c r="AR21" s="166">
        <f t="shared" si="65"/>
        <v>24.446155971073033</v>
      </c>
      <c r="AS21" s="166">
        <v>20.161999999999999</v>
      </c>
      <c r="AT21" s="352">
        <f t="shared" si="41"/>
        <v>20.161999999999999</v>
      </c>
      <c r="AU21" s="166">
        <f t="shared" ref="AU21:AW27" si="66">AU109*AU$20</f>
        <v>22.170219688453503</v>
      </c>
      <c r="AV21" s="166">
        <f t="shared" si="66"/>
        <v>24.548790589368874</v>
      </c>
      <c r="AW21" s="166">
        <f t="shared" si="66"/>
        <v>27.054017986189173</v>
      </c>
      <c r="AX21" s="166">
        <v>56.906999999999996</v>
      </c>
      <c r="AY21" s="352">
        <f t="shared" si="42"/>
        <v>56.906999999999996</v>
      </c>
      <c r="AZ21" s="166">
        <f t="shared" ref="AZ21:BB27" si="67">AZ109*AZ$20</f>
        <v>61.757271146335206</v>
      </c>
      <c r="BA21" s="166">
        <f t="shared" si="67"/>
        <v>69.073146363714116</v>
      </c>
      <c r="BB21" s="166">
        <f t="shared" si="67"/>
        <v>75.990645722268155</v>
      </c>
      <c r="BC21" s="166">
        <v>97.355999999999995</v>
      </c>
      <c r="BD21" s="352">
        <f t="shared" si="43"/>
        <v>97.355999999999995</v>
      </c>
      <c r="BE21" s="166">
        <f t="shared" ref="BE21:BG27" si="68">BE109*BE$20</f>
        <v>106.32356473785035</v>
      </c>
      <c r="BF21" s="166">
        <f t="shared" si="68"/>
        <v>112.40533959617495</v>
      </c>
      <c r="BG21" s="166">
        <f t="shared" si="68"/>
        <v>124.00975776910315</v>
      </c>
      <c r="BH21" s="166">
        <v>159.06899999999999</v>
      </c>
      <c r="BI21" s="352">
        <f t="shared" si="44"/>
        <v>159.06899999999999</v>
      </c>
      <c r="BJ21" s="166">
        <f t="shared" ref="BJ21:BL27" si="69">BJ109*BJ$20</f>
        <v>163.56902210432702</v>
      </c>
      <c r="BK21" s="166">
        <f t="shared" si="69"/>
        <v>165.63576553919214</v>
      </c>
      <c r="BL21" s="166">
        <f t="shared" si="69"/>
        <v>173.61714319068764</v>
      </c>
      <c r="BM21" s="166">
        <v>230.41800000000001</v>
      </c>
      <c r="BN21" s="352">
        <f t="shared" si="45"/>
        <v>230.41800000000001</v>
      </c>
      <c r="BO21" s="166">
        <f t="shared" ref="BO21:BQ27" si="70">BO109*BO$20</f>
        <v>236.57031413357743</v>
      </c>
      <c r="BP21" s="166">
        <f t="shared" si="70"/>
        <v>250.80797829082934</v>
      </c>
      <c r="BQ21" s="166">
        <f t="shared" si="70"/>
        <v>262.72526797745229</v>
      </c>
      <c r="BR21" s="166">
        <v>289.26</v>
      </c>
      <c r="BS21" s="352">
        <f t="shared" si="46"/>
        <v>289.26</v>
      </c>
      <c r="BT21" s="166">
        <f t="shared" ref="BT21:BV27" si="71">BT109*BT$20</f>
        <v>306.75814263424786</v>
      </c>
      <c r="BU21" s="166">
        <f t="shared" si="71"/>
        <v>318.76989825770386</v>
      </c>
      <c r="BV21" s="166">
        <f t="shared" si="71"/>
        <v>342.84136250162538</v>
      </c>
      <c r="BW21" s="166">
        <v>321.27999999999997</v>
      </c>
      <c r="BX21" s="352">
        <f t="shared" si="47"/>
        <v>321.27999999999997</v>
      </c>
      <c r="BY21" s="166">
        <f t="shared" ref="BY21:CA27" si="72">BY109*BY$20</f>
        <v>335.61308990226939</v>
      </c>
      <c r="BZ21" s="166">
        <f t="shared" si="72"/>
        <v>358.15807478945891</v>
      </c>
      <c r="CA21" s="166">
        <f t="shared" si="72"/>
        <v>378.63592201328339</v>
      </c>
      <c r="CB21" s="166">
        <v>423.34</v>
      </c>
      <c r="CC21" s="393">
        <f t="shared" si="48"/>
        <v>423.34</v>
      </c>
      <c r="CD21" s="166">
        <f t="shared" ref="CD21:CF27" si="73">CD109*CD$20</f>
        <v>443.36133847760732</v>
      </c>
      <c r="CE21" s="166">
        <f t="shared" si="73"/>
        <v>455.96884780602585</v>
      </c>
      <c r="CF21" s="166">
        <f t="shared" si="73"/>
        <v>463.66348306259459</v>
      </c>
      <c r="CG21" s="166">
        <v>444.95499999999998</v>
      </c>
      <c r="CH21" s="393">
        <f t="shared" si="49"/>
        <v>444.95499999999998</v>
      </c>
      <c r="CI21" s="166">
        <f t="shared" ref="CI21:CK27" si="74">CI109*CI$20</f>
        <v>455.57782181338519</v>
      </c>
      <c r="CJ21" s="166">
        <f t="shared" si="74"/>
        <v>458.35777115801159</v>
      </c>
      <c r="CK21" s="166">
        <f t="shared" si="74"/>
        <v>478.95198386003887</v>
      </c>
      <c r="CL21" s="166">
        <v>605.05200000000002</v>
      </c>
      <c r="CM21" s="393">
        <f t="shared" si="50"/>
        <v>605.05200000000002</v>
      </c>
      <c r="CN21" s="166">
        <f t="shared" ref="CN21:CQ27" si="75">CN109*CN$20</f>
        <v>533.13764242988043</v>
      </c>
      <c r="CO21" s="166">
        <f t="shared" si="75"/>
        <v>551.82056272979719</v>
      </c>
      <c r="CP21" s="166">
        <f t="shared" si="75"/>
        <v>566.49283337961674</v>
      </c>
      <c r="CQ21" s="166">
        <f t="shared" si="75"/>
        <v>580.87571646764786</v>
      </c>
      <c r="CR21" s="393">
        <f t="shared" si="52"/>
        <v>580.87571646764786</v>
      </c>
      <c r="CS21" s="166">
        <f t="shared" ref="CS21:CV27" si="76">CS109*CS$20</f>
        <v>594.49250097195215</v>
      </c>
      <c r="CT21" s="166">
        <f t="shared" si="76"/>
        <v>612.53288697584003</v>
      </c>
      <c r="CU21" s="166">
        <f t="shared" si="76"/>
        <v>637.2457445154123</v>
      </c>
      <c r="CV21" s="166">
        <f t="shared" si="76"/>
        <v>648.46538183837822</v>
      </c>
      <c r="CW21" s="393">
        <f t="shared" si="53"/>
        <v>648.46538183837822</v>
      </c>
      <c r="CX21" s="166">
        <f t="shared" ref="CX21:DA27" si="77">CX109*CX$20</f>
        <v>632.97042016106639</v>
      </c>
      <c r="CY21" s="166">
        <f t="shared" si="77"/>
        <v>641.7929103026936</v>
      </c>
      <c r="CZ21" s="166">
        <f t="shared" si="77"/>
        <v>646.73548181060812</v>
      </c>
      <c r="DA21" s="166">
        <f t="shared" si="77"/>
        <v>666.50576784226598</v>
      </c>
      <c r="DB21" s="393">
        <f t="shared" si="54"/>
        <v>666.50576784226598</v>
      </c>
      <c r="DC21" s="166">
        <f t="shared" ref="DC21:DF27" si="78">DC109*DC$20</f>
        <v>681.81439457372949</v>
      </c>
      <c r="DD21" s="166">
        <f t="shared" si="78"/>
        <v>697.66652623848927</v>
      </c>
      <c r="DE21" s="166">
        <f t="shared" si="78"/>
        <v>719.45027256789774</v>
      </c>
      <c r="DF21" s="166">
        <f t="shared" si="78"/>
        <v>745.20440635989985</v>
      </c>
      <c r="DG21" s="393">
        <f t="shared" si="56"/>
        <v>745.20440635989985</v>
      </c>
      <c r="DH21" s="166">
        <f t="shared" ref="DH21:DK27" si="79">DH109*DH$20</f>
        <v>761.72830318284355</v>
      </c>
      <c r="DI21" s="166">
        <f t="shared" si="79"/>
        <v>778.84510781948222</v>
      </c>
      <c r="DJ21" s="166">
        <f t="shared" si="79"/>
        <v>802.36935230415133</v>
      </c>
      <c r="DK21" s="166">
        <f t="shared" si="79"/>
        <v>830.15135769677829</v>
      </c>
      <c r="DL21" s="393">
        <f t="shared" si="57"/>
        <v>830.15135769677829</v>
      </c>
      <c r="DM21" s="166">
        <f t="shared" ref="DM21:DP27" si="80">DM109*DM$20</f>
        <v>848.00415236549691</v>
      </c>
      <c r="DN21" s="166">
        <f t="shared" si="80"/>
        <v>866.45527973482217</v>
      </c>
      <c r="DO21" s="166">
        <f t="shared" si="80"/>
        <v>891.85031665720794</v>
      </c>
      <c r="DP21" s="166">
        <f t="shared" si="80"/>
        <v>921.8086214452768</v>
      </c>
      <c r="DQ21" s="393">
        <f t="shared" si="58"/>
        <v>921.8086214452768</v>
      </c>
      <c r="DR21" s="164"/>
      <c r="DS21" s="260"/>
      <c r="DT21"/>
      <c r="DU21"/>
      <c r="DV21"/>
      <c r="DW21"/>
      <c r="DX21"/>
      <c r="DY21"/>
    </row>
    <row r="22" spans="2:129" s="179" customFormat="1" ht="11.25" hidden="1" customHeight="1" outlineLevel="1">
      <c r="B22" s="163"/>
      <c r="C22" s="164"/>
      <c r="D22" s="164" t="s">
        <v>47</v>
      </c>
      <c r="E22" s="164"/>
      <c r="F22" s="164"/>
      <c r="G22" s="165"/>
      <c r="H22" s="166"/>
      <c r="I22" s="166"/>
      <c r="J22" s="167">
        <v>5.5419999999999998</v>
      </c>
      <c r="K22" s="352">
        <f t="shared" si="34"/>
        <v>5.5419999999999998</v>
      </c>
      <c r="L22" s="165">
        <f t="shared" si="59"/>
        <v>6.1825487441054747</v>
      </c>
      <c r="M22" s="166">
        <f t="shared" si="59"/>
        <v>7.265241458954864</v>
      </c>
      <c r="N22" s="166">
        <f t="shared" si="59"/>
        <v>8.14899605427774</v>
      </c>
      <c r="O22" s="167">
        <v>8.3970000000000002</v>
      </c>
      <c r="P22" s="352">
        <f t="shared" si="35"/>
        <v>8.3970000000000002</v>
      </c>
      <c r="Q22" s="165">
        <f t="shared" si="60"/>
        <v>8.8011033699588719</v>
      </c>
      <c r="R22" s="166">
        <f t="shared" si="60"/>
        <v>9.8675445337916621</v>
      </c>
      <c r="S22" s="166">
        <f t="shared" si="60"/>
        <v>11.672092873365662</v>
      </c>
      <c r="T22" s="167">
        <v>18.106000000000002</v>
      </c>
      <c r="U22" s="352">
        <f t="shared" si="36"/>
        <v>18.106000000000002</v>
      </c>
      <c r="V22" s="165">
        <f t="shared" si="61"/>
        <v>20.120690799732678</v>
      </c>
      <c r="W22" s="166">
        <f t="shared" si="61"/>
        <v>21.584148214153117</v>
      </c>
      <c r="X22" s="166">
        <f t="shared" si="61"/>
        <v>25.212205019677729</v>
      </c>
      <c r="Y22" s="167">
        <v>27.16</v>
      </c>
      <c r="Z22" s="352">
        <f t="shared" si="37"/>
        <v>27.16</v>
      </c>
      <c r="AA22" s="165">
        <f t="shared" si="62"/>
        <v>28.344256270659152</v>
      </c>
      <c r="AB22" s="166">
        <f t="shared" si="62"/>
        <v>30.213057553956833</v>
      </c>
      <c r="AC22" s="166">
        <f t="shared" si="62"/>
        <v>32.034330157495624</v>
      </c>
      <c r="AD22" s="166">
        <v>33.829000000000001</v>
      </c>
      <c r="AE22" s="352">
        <f t="shared" si="38"/>
        <v>33.829000000000001</v>
      </c>
      <c r="AF22" s="166">
        <f t="shared" si="63"/>
        <v>36.309477980800949</v>
      </c>
      <c r="AG22" s="166">
        <f t="shared" si="63"/>
        <v>40.487013213090535</v>
      </c>
      <c r="AH22" s="166">
        <f t="shared" si="63"/>
        <v>44.000182155257733</v>
      </c>
      <c r="AI22" s="166">
        <v>49.991999999999997</v>
      </c>
      <c r="AJ22" s="352">
        <f t="shared" si="39"/>
        <v>49.991999999999997</v>
      </c>
      <c r="AK22" s="166">
        <f t="shared" si="64"/>
        <v>51.538088676759607</v>
      </c>
      <c r="AL22" s="166">
        <f t="shared" si="64"/>
        <v>53.471779193572772</v>
      </c>
      <c r="AM22" s="166">
        <f t="shared" si="64"/>
        <v>61.088317301254783</v>
      </c>
      <c r="AN22" s="166">
        <v>49.951000000000001</v>
      </c>
      <c r="AO22" s="352">
        <f t="shared" si="40"/>
        <v>49.951000000000001</v>
      </c>
      <c r="AP22" s="166">
        <f t="shared" si="65"/>
        <v>53.015511803157658</v>
      </c>
      <c r="AQ22" s="166">
        <f t="shared" si="65"/>
        <v>59.851452291499278</v>
      </c>
      <c r="AR22" s="166">
        <f t="shared" si="65"/>
        <v>67.975391722949752</v>
      </c>
      <c r="AS22" s="166">
        <v>66.685000000000002</v>
      </c>
      <c r="AT22" s="352">
        <f t="shared" si="41"/>
        <v>66.685000000000002</v>
      </c>
      <c r="AU22" s="166">
        <f t="shared" si="66"/>
        <v>73.327105442144727</v>
      </c>
      <c r="AV22" s="166">
        <f t="shared" si="66"/>
        <v>81.194132548956631</v>
      </c>
      <c r="AW22" s="166">
        <f t="shared" si="66"/>
        <v>89.480070896192117</v>
      </c>
      <c r="AX22" s="166">
        <v>96.986000000000004</v>
      </c>
      <c r="AY22" s="352">
        <f t="shared" si="42"/>
        <v>96.986000000000004</v>
      </c>
      <c r="AZ22" s="166">
        <f t="shared" si="67"/>
        <v>105.25226596725302</v>
      </c>
      <c r="BA22" s="166">
        <f t="shared" si="67"/>
        <v>117.7206349523113</v>
      </c>
      <c r="BB22" s="166">
        <f t="shared" si="67"/>
        <v>129.51005616215758</v>
      </c>
      <c r="BC22" s="166">
        <v>131.35499999999999</v>
      </c>
      <c r="BD22" s="352">
        <f t="shared" si="43"/>
        <v>131.35499999999999</v>
      </c>
      <c r="BE22" s="166">
        <f t="shared" si="68"/>
        <v>143.45424879966652</v>
      </c>
      <c r="BF22" s="166">
        <f t="shared" si="68"/>
        <v>151.65992216869591</v>
      </c>
      <c r="BG22" s="166">
        <f t="shared" si="68"/>
        <v>167.31687550598363</v>
      </c>
      <c r="BH22" s="166">
        <v>167.23400000000001</v>
      </c>
      <c r="BI22" s="352">
        <f t="shared" si="44"/>
        <v>167.23400000000001</v>
      </c>
      <c r="BJ22" s="166">
        <f t="shared" si="69"/>
        <v>171.96500790597179</v>
      </c>
      <c r="BK22" s="166">
        <f t="shared" si="69"/>
        <v>174.13783712842388</v>
      </c>
      <c r="BL22" s="166">
        <f t="shared" si="69"/>
        <v>182.5288983042042</v>
      </c>
      <c r="BM22" s="166">
        <v>195.64599999999999</v>
      </c>
      <c r="BN22" s="352">
        <f t="shared" si="45"/>
        <v>195.64599999999999</v>
      </c>
      <c r="BO22" s="166">
        <f t="shared" si="70"/>
        <v>200.86987856407868</v>
      </c>
      <c r="BP22" s="166">
        <f t="shared" si="70"/>
        <v>212.95896032726435</v>
      </c>
      <c r="BQ22" s="166">
        <f t="shared" si="70"/>
        <v>223.07783150064938</v>
      </c>
      <c r="BR22" s="166">
        <v>227.18899999999999</v>
      </c>
      <c r="BS22" s="352">
        <f t="shared" si="46"/>
        <v>227.18899999999999</v>
      </c>
      <c r="BT22" s="166">
        <f t="shared" si="71"/>
        <v>240.93229505265896</v>
      </c>
      <c r="BU22" s="166">
        <f t="shared" si="71"/>
        <v>250.36650216161749</v>
      </c>
      <c r="BV22" s="166">
        <f t="shared" si="71"/>
        <v>269.27257935899109</v>
      </c>
      <c r="BW22" s="166">
        <v>291.88299999999998</v>
      </c>
      <c r="BX22" s="352">
        <f t="shared" si="47"/>
        <v>291.88299999999998</v>
      </c>
      <c r="BY22" s="166">
        <f t="shared" si="72"/>
        <v>304.9046175297064</v>
      </c>
      <c r="BZ22" s="166">
        <f t="shared" si="72"/>
        <v>325.38674472040469</v>
      </c>
      <c r="CA22" s="166">
        <f t="shared" si="72"/>
        <v>343.99087657184754</v>
      </c>
      <c r="CB22" s="166">
        <v>352.14699999999999</v>
      </c>
      <c r="CC22" s="393">
        <f t="shared" si="48"/>
        <v>352.14699999999999</v>
      </c>
      <c r="CD22" s="166">
        <f t="shared" si="73"/>
        <v>368.80135413821984</v>
      </c>
      <c r="CE22" s="166">
        <f t="shared" si="73"/>
        <v>379.28866123765437</v>
      </c>
      <c r="CF22" s="166">
        <f t="shared" si="73"/>
        <v>385.68929127898031</v>
      </c>
      <c r="CG22" s="166">
        <v>426.52699999999999</v>
      </c>
      <c r="CH22" s="393">
        <f t="shared" si="49"/>
        <v>426.52699999999999</v>
      </c>
      <c r="CI22" s="166">
        <f t="shared" si="74"/>
        <v>436.70987314357126</v>
      </c>
      <c r="CJ22" s="166">
        <f t="shared" si="74"/>
        <v>439.3746897073035</v>
      </c>
      <c r="CK22" s="166">
        <f t="shared" si="74"/>
        <v>459.11598435767843</v>
      </c>
      <c r="CL22" s="166">
        <v>537.298</v>
      </c>
      <c r="CM22" s="393">
        <f t="shared" si="50"/>
        <v>537.298</v>
      </c>
      <c r="CN22" s="166">
        <f t="shared" si="75"/>
        <v>511.05752090141618</v>
      </c>
      <c r="CO22" s="166">
        <f t="shared" si="75"/>
        <v>528.96668013496242</v>
      </c>
      <c r="CP22" s="166">
        <f t="shared" si="75"/>
        <v>543.03129247431275</v>
      </c>
      <c r="CQ22" s="166">
        <f t="shared" si="75"/>
        <v>556.81850236045545</v>
      </c>
      <c r="CR22" s="393">
        <f t="shared" si="52"/>
        <v>556.81850236045545</v>
      </c>
      <c r="CS22" s="166">
        <f t="shared" si="76"/>
        <v>569.8713419605665</v>
      </c>
      <c r="CT22" s="166">
        <f t="shared" si="76"/>
        <v>587.16457772840886</v>
      </c>
      <c r="CU22" s="166">
        <f t="shared" si="76"/>
        <v>610.85394179394609</v>
      </c>
      <c r="CV22" s="166">
        <f t="shared" si="76"/>
        <v>621.60891307970007</v>
      </c>
      <c r="CW22" s="393">
        <f t="shared" si="53"/>
        <v>621.60891307970007</v>
      </c>
      <c r="CX22" s="166">
        <f t="shared" si="77"/>
        <v>606.75568181060817</v>
      </c>
      <c r="CY22" s="166">
        <f t="shared" si="77"/>
        <v>615.21278478200497</v>
      </c>
      <c r="CZ22" s="166">
        <f t="shared" si="77"/>
        <v>619.95065759511249</v>
      </c>
      <c r="DA22" s="166">
        <f t="shared" si="77"/>
        <v>638.90214884754232</v>
      </c>
      <c r="DB22" s="393">
        <f t="shared" si="54"/>
        <v>638.90214884754232</v>
      </c>
      <c r="DC22" s="166">
        <f t="shared" si="78"/>
        <v>653.57676231158007</v>
      </c>
      <c r="DD22" s="166">
        <f t="shared" si="78"/>
        <v>668.77237122163842</v>
      </c>
      <c r="DE22" s="166">
        <f t="shared" si="78"/>
        <v>689.6539344598167</v>
      </c>
      <c r="DF22" s="166">
        <f t="shared" si="78"/>
        <v>714.34144988025537</v>
      </c>
      <c r="DG22" s="393">
        <f t="shared" si="56"/>
        <v>714.34144988025537</v>
      </c>
      <c r="DH22" s="166">
        <f t="shared" si="79"/>
        <v>730.18100250962163</v>
      </c>
      <c r="DI22" s="166">
        <f t="shared" si="79"/>
        <v>746.58890742416713</v>
      </c>
      <c r="DJ22" s="166">
        <f t="shared" si="79"/>
        <v>769.13888534847968</v>
      </c>
      <c r="DK22" s="166">
        <f t="shared" si="79"/>
        <v>795.77028720732164</v>
      </c>
      <c r="DL22" s="393">
        <f t="shared" si="57"/>
        <v>795.77028720732164</v>
      </c>
      <c r="DM22" s="166">
        <f t="shared" si="80"/>
        <v>812.88370081468531</v>
      </c>
      <c r="DN22" s="166">
        <f t="shared" si="80"/>
        <v>830.57066692014814</v>
      </c>
      <c r="DO22" s="166">
        <f t="shared" si="80"/>
        <v>854.91395762009404</v>
      </c>
      <c r="DP22" s="166">
        <f t="shared" si="80"/>
        <v>883.63152651209589</v>
      </c>
      <c r="DQ22" s="393">
        <f t="shared" si="58"/>
        <v>883.63152651209589</v>
      </c>
      <c r="DR22" s="164"/>
      <c r="DS22" s="260"/>
      <c r="DT22"/>
      <c r="DU22"/>
      <c r="DV22"/>
      <c r="DW22"/>
      <c r="DX22"/>
      <c r="DY22"/>
    </row>
    <row r="23" spans="2:129" s="179" customFormat="1" ht="11.25" hidden="1" customHeight="1" outlineLevel="1">
      <c r="B23" s="163"/>
      <c r="C23" s="164"/>
      <c r="D23" s="164" t="s">
        <v>48</v>
      </c>
      <c r="E23" s="164"/>
      <c r="F23" s="164"/>
      <c r="G23" s="165"/>
      <c r="H23" s="166"/>
      <c r="I23" s="166"/>
      <c r="J23" s="167">
        <v>3.044</v>
      </c>
      <c r="K23" s="352">
        <f t="shared" si="34"/>
        <v>3.044</v>
      </c>
      <c r="L23" s="165">
        <f t="shared" si="59"/>
        <v>3.3958279280146275</v>
      </c>
      <c r="M23" s="166">
        <f t="shared" si="59"/>
        <v>3.9905079395630829</v>
      </c>
      <c r="N23" s="166">
        <f t="shared" si="59"/>
        <v>4.4759191608122411</v>
      </c>
      <c r="O23" s="167">
        <v>4.76</v>
      </c>
      <c r="P23" s="352">
        <f t="shared" si="35"/>
        <v>4.76</v>
      </c>
      <c r="Q23" s="165">
        <f t="shared" si="60"/>
        <v>4.98907372168682</v>
      </c>
      <c r="R23" s="166">
        <f t="shared" si="60"/>
        <v>5.5936062856792086</v>
      </c>
      <c r="S23" s="166">
        <f t="shared" si="60"/>
        <v>6.6165490147934429</v>
      </c>
      <c r="T23" s="167">
        <v>1.7529999999999999</v>
      </c>
      <c r="U23" s="352">
        <f t="shared" si="36"/>
        <v>1.7529999999999999</v>
      </c>
      <c r="V23" s="165">
        <f t="shared" si="61"/>
        <v>1.9480598128759181</v>
      </c>
      <c r="W23" s="166">
        <f t="shared" si="61"/>
        <v>2.089749907180515</v>
      </c>
      <c r="X23" s="166">
        <f t="shared" si="61"/>
        <v>2.4410137744115232</v>
      </c>
      <c r="Y23" s="167">
        <v>1.958</v>
      </c>
      <c r="Z23" s="352">
        <f t="shared" si="37"/>
        <v>1.958</v>
      </c>
      <c r="AA23" s="165">
        <f t="shared" si="62"/>
        <v>2.0433745868170328</v>
      </c>
      <c r="AB23" s="166">
        <f t="shared" si="62"/>
        <v>2.178098920863309</v>
      </c>
      <c r="AC23" s="166">
        <f t="shared" si="62"/>
        <v>2.3093968500874973</v>
      </c>
      <c r="AD23" s="166">
        <v>1.9990000000000001</v>
      </c>
      <c r="AE23" s="352">
        <f t="shared" si="38"/>
        <v>1.9990000000000001</v>
      </c>
      <c r="AF23" s="166">
        <f t="shared" si="63"/>
        <v>2.1455746987383932</v>
      </c>
      <c r="AG23" s="166">
        <f t="shared" si="63"/>
        <v>2.3924307373250167</v>
      </c>
      <c r="AH23" s="166">
        <f t="shared" si="63"/>
        <v>2.6000285000549885</v>
      </c>
      <c r="AI23" s="166">
        <v>3.2080000000000002</v>
      </c>
      <c r="AJ23" s="352">
        <f t="shared" si="39"/>
        <v>3.2080000000000002</v>
      </c>
      <c r="AK23" s="166">
        <f t="shared" si="64"/>
        <v>3.3072129235686676</v>
      </c>
      <c r="AL23" s="166">
        <f t="shared" si="64"/>
        <v>3.4312983607973568</v>
      </c>
      <c r="AM23" s="166">
        <f t="shared" si="64"/>
        <v>3.9200536466319682</v>
      </c>
      <c r="AN23" s="166">
        <v>23.167999999999999</v>
      </c>
      <c r="AO23" s="352">
        <f t="shared" si="40"/>
        <v>23.167999999999999</v>
      </c>
      <c r="AP23" s="166">
        <f t="shared" si="65"/>
        <v>24.589365126935526</v>
      </c>
      <c r="AQ23" s="166">
        <f t="shared" si="65"/>
        <v>27.759973708022965</v>
      </c>
      <c r="AR23" s="166">
        <f t="shared" si="65"/>
        <v>31.52797492417168</v>
      </c>
      <c r="AS23" s="166">
        <v>27.949000000000002</v>
      </c>
      <c r="AT23" s="352">
        <f t="shared" si="41"/>
        <v>27.949000000000002</v>
      </c>
      <c r="AU23" s="166">
        <f t="shared" si="66"/>
        <v>30.732837519719624</v>
      </c>
      <c r="AV23" s="166">
        <f t="shared" si="66"/>
        <v>34.030063891591645</v>
      </c>
      <c r="AW23" s="166">
        <f t="shared" si="66"/>
        <v>37.502864234500613</v>
      </c>
      <c r="AX23" s="166">
        <v>50.042000000000002</v>
      </c>
      <c r="AY23" s="352">
        <f t="shared" si="42"/>
        <v>50.042000000000002</v>
      </c>
      <c r="AZ23" s="166">
        <f t="shared" si="67"/>
        <v>54.30715663635241</v>
      </c>
      <c r="BA23" s="166">
        <f t="shared" si="67"/>
        <v>60.740478154409516</v>
      </c>
      <c r="BB23" s="166">
        <f t="shared" si="67"/>
        <v>66.823482053767435</v>
      </c>
      <c r="BC23" s="166">
        <v>67.95</v>
      </c>
      <c r="BD23" s="352">
        <f t="shared" si="43"/>
        <v>67.95</v>
      </c>
      <c r="BE23" s="166">
        <f t="shared" si="68"/>
        <v>74.208946792564731</v>
      </c>
      <c r="BF23" s="166">
        <f t="shared" si="68"/>
        <v>78.453745280825927</v>
      </c>
      <c r="BG23" s="166">
        <f t="shared" si="68"/>
        <v>86.553094215154275</v>
      </c>
      <c r="BH23" s="166">
        <v>91.587000000000003</v>
      </c>
      <c r="BI23" s="352">
        <f t="shared" si="44"/>
        <v>91.587000000000003</v>
      </c>
      <c r="BJ23" s="166">
        <f t="shared" si="69"/>
        <v>94.177973253550363</v>
      </c>
      <c r="BK23" s="166">
        <f t="shared" si="69"/>
        <v>95.367940066499401</v>
      </c>
      <c r="BL23" s="166">
        <f t="shared" si="69"/>
        <v>99.963369942638181</v>
      </c>
      <c r="BM23" s="166">
        <v>131.36799999999999</v>
      </c>
      <c r="BN23" s="352">
        <f t="shared" si="45"/>
        <v>131.36799999999999</v>
      </c>
      <c r="BO23" s="166">
        <f t="shared" si="70"/>
        <v>134.87561313395565</v>
      </c>
      <c r="BP23" s="166">
        <f t="shared" si="70"/>
        <v>142.99291935573464</v>
      </c>
      <c r="BQ23" s="166">
        <f t="shared" si="70"/>
        <v>149.78731263903842</v>
      </c>
      <c r="BR23" s="166">
        <v>152.28899999999999</v>
      </c>
      <c r="BS23" s="352">
        <f t="shared" si="46"/>
        <v>152.28899999999999</v>
      </c>
      <c r="BT23" s="166">
        <f t="shared" si="71"/>
        <v>161.50138554804315</v>
      </c>
      <c r="BU23" s="166">
        <f t="shared" si="71"/>
        <v>167.82530953387075</v>
      </c>
      <c r="BV23" s="166">
        <f t="shared" si="71"/>
        <v>180.49840369912886</v>
      </c>
      <c r="BW23" s="166">
        <v>186.983</v>
      </c>
      <c r="BX23" s="352">
        <f t="shared" si="47"/>
        <v>186.983</v>
      </c>
      <c r="BY23" s="166">
        <f t="shared" si="72"/>
        <v>195.32477088270679</v>
      </c>
      <c r="BZ23" s="166">
        <f t="shared" si="72"/>
        <v>208.44581454917017</v>
      </c>
      <c r="CA23" s="166">
        <f t="shared" si="72"/>
        <v>220.36379670633022</v>
      </c>
      <c r="CB23" s="166">
        <v>240.988</v>
      </c>
      <c r="CC23" s="393">
        <f t="shared" si="48"/>
        <v>240.988</v>
      </c>
      <c r="CD23" s="166">
        <f t="shared" si="73"/>
        <v>252.38522756423123</v>
      </c>
      <c r="CE23" s="166">
        <f t="shared" si="73"/>
        <v>259.5621030261222</v>
      </c>
      <c r="CF23" s="166">
        <f t="shared" si="73"/>
        <v>263.94230513603384</v>
      </c>
      <c r="CG23" s="166">
        <v>273.815</v>
      </c>
      <c r="CH23" s="393">
        <f t="shared" si="49"/>
        <v>273.815</v>
      </c>
      <c r="CI23" s="166">
        <f t="shared" si="74"/>
        <v>280.35203847542351</v>
      </c>
      <c r="CJ23" s="166">
        <f t="shared" si="74"/>
        <v>282.06275490697027</v>
      </c>
      <c r="CK23" s="166">
        <f t="shared" si="74"/>
        <v>294.73595635656767</v>
      </c>
      <c r="CL23" s="166">
        <v>322.57900000000001</v>
      </c>
      <c r="CM23" s="393">
        <f t="shared" si="50"/>
        <v>322.57900000000001</v>
      </c>
      <c r="CN23" s="166">
        <f t="shared" si="75"/>
        <v>328.08055547625656</v>
      </c>
      <c r="CO23" s="166">
        <f t="shared" si="75"/>
        <v>339.57759185504023</v>
      </c>
      <c r="CP23" s="166">
        <f t="shared" si="75"/>
        <v>348.6065673424049</v>
      </c>
      <c r="CQ23" s="166">
        <f t="shared" si="75"/>
        <v>357.45746042765899</v>
      </c>
      <c r="CR23" s="393">
        <f t="shared" si="52"/>
        <v>357.45746042765899</v>
      </c>
      <c r="CS23" s="166">
        <f t="shared" si="76"/>
        <v>365.83691419050263</v>
      </c>
      <c r="CT23" s="166">
        <f t="shared" si="76"/>
        <v>376.93854984726471</v>
      </c>
      <c r="CU23" s="166">
        <f t="shared" si="76"/>
        <v>392.14626992502082</v>
      </c>
      <c r="CV23" s="166">
        <f t="shared" si="76"/>
        <v>399.05057484032216</v>
      </c>
      <c r="CW23" s="393">
        <f t="shared" si="53"/>
        <v>399.05057484032216</v>
      </c>
      <c r="CX23" s="166">
        <f t="shared" si="77"/>
        <v>389.51533435156904</v>
      </c>
      <c r="CY23" s="166">
        <f t="shared" si="77"/>
        <v>394.94449041932796</v>
      </c>
      <c r="CZ23" s="166">
        <f t="shared" si="77"/>
        <v>397.98603443487917</v>
      </c>
      <c r="DA23" s="166">
        <f t="shared" si="77"/>
        <v>410.15221049708413</v>
      </c>
      <c r="DB23" s="393">
        <f t="shared" si="54"/>
        <v>410.15221049708413</v>
      </c>
      <c r="DC23" s="166">
        <f t="shared" si="78"/>
        <v>419.57278477645099</v>
      </c>
      <c r="DD23" s="166">
        <f t="shared" si="78"/>
        <v>429.32781940194394</v>
      </c>
      <c r="DE23" s="166">
        <f t="shared" si="78"/>
        <v>442.73303229130795</v>
      </c>
      <c r="DF23" s="166">
        <f t="shared" si="78"/>
        <v>458.58152965454036</v>
      </c>
      <c r="DG23" s="393">
        <f t="shared" si="56"/>
        <v>458.58152965454036</v>
      </c>
      <c r="DH23" s="166">
        <f t="shared" si="79"/>
        <v>468.74995299751731</v>
      </c>
      <c r="DI23" s="166">
        <f t="shared" si="79"/>
        <v>479.28323807484253</v>
      </c>
      <c r="DJ23" s="166">
        <f t="shared" si="79"/>
        <v>493.75951321181066</v>
      </c>
      <c r="DK23" s="166">
        <f t="shared" si="79"/>
        <v>510.85591578416552</v>
      </c>
      <c r="DL23" s="393">
        <f t="shared" si="57"/>
        <v>510.85591578416552</v>
      </c>
      <c r="DM23" s="166">
        <f t="shared" si="80"/>
        <v>521.84211207865644</v>
      </c>
      <c r="DN23" s="166">
        <f t="shared" si="80"/>
        <v>533.19650845723811</v>
      </c>
      <c r="DO23" s="166">
        <f t="shared" si="80"/>
        <v>548.82402592507879</v>
      </c>
      <c r="DP23" s="166">
        <f t="shared" si="80"/>
        <v>567.25967273328422</v>
      </c>
      <c r="DQ23" s="393">
        <f t="shared" si="58"/>
        <v>567.25967273328422</v>
      </c>
      <c r="DR23" s="164"/>
      <c r="DS23" s="260"/>
      <c r="DT23"/>
      <c r="DU23"/>
      <c r="DV23"/>
      <c r="DW23"/>
      <c r="DX23"/>
      <c r="DY23"/>
    </row>
    <row r="24" spans="2:129" s="179" customFormat="1" ht="11.25" hidden="1" customHeight="1" outlineLevel="1">
      <c r="B24" s="163"/>
      <c r="C24" s="164"/>
      <c r="D24" s="164" t="s">
        <v>49</v>
      </c>
      <c r="E24" s="164"/>
      <c r="F24" s="164"/>
      <c r="G24" s="165"/>
      <c r="H24" s="166"/>
      <c r="I24" s="166"/>
      <c r="J24" s="167">
        <v>0</v>
      </c>
      <c r="K24" s="352">
        <f t="shared" si="34"/>
        <v>0</v>
      </c>
      <c r="L24" s="165">
        <f t="shared" si="59"/>
        <v>0</v>
      </c>
      <c r="M24" s="166">
        <f t="shared" si="59"/>
        <v>0</v>
      </c>
      <c r="N24" s="166">
        <f t="shared" si="59"/>
        <v>0</v>
      </c>
      <c r="O24" s="167">
        <v>0</v>
      </c>
      <c r="P24" s="352">
        <f t="shared" si="35"/>
        <v>0</v>
      </c>
      <c r="Q24" s="165">
        <f t="shared" si="60"/>
        <v>0</v>
      </c>
      <c r="R24" s="166">
        <f t="shared" si="60"/>
        <v>0</v>
      </c>
      <c r="S24" s="166">
        <f t="shared" si="60"/>
        <v>0</v>
      </c>
      <c r="T24" s="167">
        <v>1.58</v>
      </c>
      <c r="U24" s="352">
        <f t="shared" si="36"/>
        <v>1.58</v>
      </c>
      <c r="V24" s="165">
        <f t="shared" si="61"/>
        <v>1.7558097571842279</v>
      </c>
      <c r="W24" s="166">
        <f t="shared" si="61"/>
        <v>1.8835167446350338</v>
      </c>
      <c r="X24" s="166">
        <f t="shared" si="61"/>
        <v>2.2001150961609857</v>
      </c>
      <c r="Y24" s="167">
        <v>1.6779999999999999</v>
      </c>
      <c r="Z24" s="352">
        <f t="shared" si="37"/>
        <v>1.6779999999999999</v>
      </c>
      <c r="AA24" s="165">
        <f t="shared" si="62"/>
        <v>1.7511657592844645</v>
      </c>
      <c r="AB24" s="166">
        <f t="shared" si="62"/>
        <v>1.8666241007194244</v>
      </c>
      <c r="AC24" s="166">
        <f t="shared" si="62"/>
        <v>1.9791460237215632</v>
      </c>
      <c r="AD24" s="166">
        <v>1.7050000000000001</v>
      </c>
      <c r="AE24" s="352">
        <f t="shared" si="38"/>
        <v>1.7050000000000001</v>
      </c>
      <c r="AF24" s="166">
        <f t="shared" si="63"/>
        <v>1.8300174393941773</v>
      </c>
      <c r="AG24" s="166">
        <f t="shared" si="63"/>
        <v>2.0405674873132331</v>
      </c>
      <c r="AH24" s="166">
        <f t="shared" si="63"/>
        <v>2.2176331128533047</v>
      </c>
      <c r="AI24" s="166">
        <v>1.7430000000000001</v>
      </c>
      <c r="AJ24" s="352">
        <f t="shared" si="39"/>
        <v>1.7430000000000001</v>
      </c>
      <c r="AK24" s="166">
        <f t="shared" si="64"/>
        <v>1.7969052761160187</v>
      </c>
      <c r="AL24" s="166">
        <f t="shared" si="64"/>
        <v>1.8643245146102847</v>
      </c>
      <c r="AM24" s="166">
        <f t="shared" si="64"/>
        <v>2.1298795218452371</v>
      </c>
      <c r="AN24" s="166">
        <v>10.272</v>
      </c>
      <c r="AO24" s="352">
        <f t="shared" si="40"/>
        <v>10.272</v>
      </c>
      <c r="AP24" s="166">
        <f t="shared" si="65"/>
        <v>10.902190891914785</v>
      </c>
      <c r="AQ24" s="166">
        <f t="shared" si="65"/>
        <v>12.307944144026758</v>
      </c>
      <c r="AR24" s="166">
        <f t="shared" si="65"/>
        <v>13.978563467761202</v>
      </c>
      <c r="AS24" s="166">
        <v>10.792</v>
      </c>
      <c r="AT24" s="352">
        <f t="shared" si="41"/>
        <v>10.792</v>
      </c>
      <c r="AU24" s="166">
        <f t="shared" si="66"/>
        <v>11.866928423657882</v>
      </c>
      <c r="AV24" s="166">
        <f t="shared" si="66"/>
        <v>13.140092651545922</v>
      </c>
      <c r="AW24" s="166">
        <f t="shared" si="66"/>
        <v>14.481051587489018</v>
      </c>
      <c r="AX24" s="166">
        <v>9.0039999999999996</v>
      </c>
      <c r="AY24" s="352">
        <f t="shared" si="42"/>
        <v>9.0039999999999996</v>
      </c>
      <c r="AZ24" s="166">
        <f t="shared" si="67"/>
        <v>9.7714247702673163</v>
      </c>
      <c r="BA24" s="166">
        <f t="shared" si="67"/>
        <v>10.928964975466673</v>
      </c>
      <c r="BB24" s="166">
        <f t="shared" si="67"/>
        <v>12.023472930980416</v>
      </c>
      <c r="BC24" s="166">
        <v>12.866</v>
      </c>
      <c r="BD24" s="352">
        <f t="shared" si="43"/>
        <v>12.866</v>
      </c>
      <c r="BE24" s="166">
        <f t="shared" si="68"/>
        <v>14.051100948243382</v>
      </c>
      <c r="BF24" s="166">
        <f t="shared" si="68"/>
        <v>14.854832770906642</v>
      </c>
      <c r="BG24" s="166">
        <f t="shared" si="68"/>
        <v>16.388404859045988</v>
      </c>
      <c r="BH24" s="166">
        <v>12.866</v>
      </c>
      <c r="BI24" s="352">
        <f t="shared" si="44"/>
        <v>12.866</v>
      </c>
      <c r="BJ24" s="166">
        <f t="shared" si="69"/>
        <v>13.229975912303917</v>
      </c>
      <c r="BK24" s="166">
        <f t="shared" si="69"/>
        <v>13.397140608335038</v>
      </c>
      <c r="BL24" s="166">
        <f t="shared" si="69"/>
        <v>14.042699484446292</v>
      </c>
      <c r="BM24" s="166">
        <v>16.042000000000002</v>
      </c>
      <c r="BN24" s="352">
        <f t="shared" si="45"/>
        <v>16.042000000000002</v>
      </c>
      <c r="BO24" s="166">
        <f t="shared" si="70"/>
        <v>16.470332089206785</v>
      </c>
      <c r="BP24" s="166">
        <f t="shared" si="70"/>
        <v>17.461576733334567</v>
      </c>
      <c r="BQ24" s="166">
        <f t="shared" si="70"/>
        <v>18.291273897413788</v>
      </c>
      <c r="BR24" s="166">
        <v>16.042000000000002</v>
      </c>
      <c r="BS24" s="352">
        <f t="shared" si="46"/>
        <v>16.042000000000002</v>
      </c>
      <c r="BT24" s="166">
        <f t="shared" si="71"/>
        <v>17.012425237290341</v>
      </c>
      <c r="BU24" s="166">
        <f t="shared" si="71"/>
        <v>17.678582271486157</v>
      </c>
      <c r="BV24" s="166">
        <f t="shared" si="71"/>
        <v>19.013555753478098</v>
      </c>
      <c r="BW24" s="166">
        <v>16.042000000000002</v>
      </c>
      <c r="BX24" s="352">
        <f t="shared" si="47"/>
        <v>16.042000000000002</v>
      </c>
      <c r="BY24" s="166">
        <f t="shared" si="72"/>
        <v>16.757673021078826</v>
      </c>
      <c r="BZ24" s="166">
        <f t="shared" si="72"/>
        <v>17.883378472897473</v>
      </c>
      <c r="CA24" s="166">
        <f t="shared" si="72"/>
        <v>18.905868591064156</v>
      </c>
      <c r="CB24" s="166">
        <v>20.396000000000001</v>
      </c>
      <c r="CC24" s="393">
        <f t="shared" si="48"/>
        <v>20.396000000000001</v>
      </c>
      <c r="CD24" s="166">
        <f t="shared" si="73"/>
        <v>21.360603438345727</v>
      </c>
      <c r="CE24" s="166">
        <f t="shared" si="73"/>
        <v>21.968017715906139</v>
      </c>
      <c r="CF24" s="166">
        <f t="shared" si="73"/>
        <v>22.338735769227291</v>
      </c>
      <c r="CG24" s="166">
        <v>22.643999999999998</v>
      </c>
      <c r="CH24" s="393">
        <f t="shared" si="49"/>
        <v>22.643999999999998</v>
      </c>
      <c r="CI24" s="166">
        <f t="shared" si="74"/>
        <v>23.184601133018607</v>
      </c>
      <c r="CJ24" s="166">
        <f t="shared" si="74"/>
        <v>23.326074254929186</v>
      </c>
      <c r="CK24" s="166">
        <f t="shared" si="74"/>
        <v>24.374124849763955</v>
      </c>
      <c r="CL24" s="166">
        <v>22.643999999999998</v>
      </c>
      <c r="CM24" s="393">
        <f t="shared" si="50"/>
        <v>22.643999999999998</v>
      </c>
      <c r="CN24" s="166">
        <f t="shared" si="75"/>
        <v>27.131662247153564</v>
      </c>
      <c r="CO24" s="166">
        <f t="shared" si="75"/>
        <v>28.082446140516517</v>
      </c>
      <c r="CP24" s="166">
        <f t="shared" si="75"/>
        <v>28.829125909469592</v>
      </c>
      <c r="CQ24" s="166">
        <f t="shared" si="75"/>
        <v>29.561078589280754</v>
      </c>
      <c r="CR24" s="393">
        <f t="shared" si="52"/>
        <v>29.561078589280754</v>
      </c>
      <c r="CS24" s="166">
        <f t="shared" si="76"/>
        <v>30.254044098861424</v>
      </c>
      <c r="CT24" s="166">
        <f t="shared" si="76"/>
        <v>31.172129075256876</v>
      </c>
      <c r="CU24" s="166">
        <f t="shared" si="76"/>
        <v>32.429779727853372</v>
      </c>
      <c r="CV24" s="166">
        <f t="shared" si="76"/>
        <v>33.000753124132181</v>
      </c>
      <c r="CW24" s="393">
        <f t="shared" si="53"/>
        <v>33.000753124132181</v>
      </c>
      <c r="CX24" s="166">
        <f t="shared" si="77"/>
        <v>32.212206164954182</v>
      </c>
      <c r="CY24" s="166">
        <f t="shared" si="77"/>
        <v>32.661187447931127</v>
      </c>
      <c r="CZ24" s="166">
        <f t="shared" si="77"/>
        <v>32.912717578450426</v>
      </c>
      <c r="DA24" s="166">
        <f t="shared" si="77"/>
        <v>33.91883810052763</v>
      </c>
      <c r="DB24" s="393">
        <f t="shared" si="54"/>
        <v>33.91883810052763</v>
      </c>
      <c r="DC24" s="166">
        <f t="shared" si="78"/>
        <v>34.697902373785055</v>
      </c>
      <c r="DD24" s="166">
        <f t="shared" si="78"/>
        <v>35.504625906314914</v>
      </c>
      <c r="DE24" s="166">
        <f t="shared" si="78"/>
        <v>36.613212509191889</v>
      </c>
      <c r="DF24" s="166">
        <f t="shared" si="78"/>
        <v>37.923854272035541</v>
      </c>
      <c r="DG24" s="393">
        <f t="shared" si="56"/>
        <v>37.923854272035541</v>
      </c>
      <c r="DH24" s="166">
        <f t="shared" si="79"/>
        <v>38.764764295877804</v>
      </c>
      <c r="DI24" s="166">
        <f t="shared" si="79"/>
        <v>39.635847718228483</v>
      </c>
      <c r="DJ24" s="166">
        <f t="shared" si="79"/>
        <v>40.833009211212826</v>
      </c>
      <c r="DK24" s="166">
        <f t="shared" si="79"/>
        <v>42.24685045383432</v>
      </c>
      <c r="DL24" s="393">
        <f t="shared" si="57"/>
        <v>42.24685045383432</v>
      </c>
      <c r="DM24" s="166">
        <f t="shared" si="80"/>
        <v>43.155388805978838</v>
      </c>
      <c r="DN24" s="166">
        <f t="shared" si="80"/>
        <v>44.09437663205339</v>
      </c>
      <c r="DO24" s="166">
        <f t="shared" si="80"/>
        <v>45.386743761472097</v>
      </c>
      <c r="DP24" s="166">
        <f t="shared" si="80"/>
        <v>46.911338054425393</v>
      </c>
      <c r="DQ24" s="393">
        <f t="shared" si="58"/>
        <v>46.911338054425393</v>
      </c>
      <c r="DR24" s="164"/>
      <c r="DS24" s="260"/>
      <c r="DT24"/>
      <c r="DU24"/>
      <c r="DV24"/>
      <c r="DW24"/>
      <c r="DX24"/>
      <c r="DY24"/>
    </row>
    <row r="25" spans="2:129" s="179" customFormat="1" ht="11.25" hidden="1" customHeight="1" outlineLevel="1">
      <c r="B25" s="163"/>
      <c r="C25" s="164"/>
      <c r="D25" s="164" t="s">
        <v>50</v>
      </c>
      <c r="E25" s="164"/>
      <c r="F25" s="164"/>
      <c r="G25" s="165"/>
      <c r="H25" s="166"/>
      <c r="I25" s="166"/>
      <c r="J25" s="167">
        <v>0</v>
      </c>
      <c r="K25" s="352">
        <f t="shared" si="34"/>
        <v>0</v>
      </c>
      <c r="L25" s="165">
        <f t="shared" si="59"/>
        <v>0</v>
      </c>
      <c r="M25" s="166">
        <f t="shared" si="59"/>
        <v>0</v>
      </c>
      <c r="N25" s="166">
        <f t="shared" si="59"/>
        <v>0</v>
      </c>
      <c r="O25" s="167">
        <v>0</v>
      </c>
      <c r="P25" s="352">
        <f t="shared" si="35"/>
        <v>0</v>
      </c>
      <c r="Q25" s="165">
        <f t="shared" si="60"/>
        <v>0</v>
      </c>
      <c r="R25" s="166">
        <f t="shared" si="60"/>
        <v>0</v>
      </c>
      <c r="S25" s="166">
        <f t="shared" si="60"/>
        <v>0</v>
      </c>
      <c r="T25" s="167">
        <v>0</v>
      </c>
      <c r="U25" s="352">
        <f t="shared" si="36"/>
        <v>0</v>
      </c>
      <c r="V25" s="165">
        <f t="shared" si="61"/>
        <v>0</v>
      </c>
      <c r="W25" s="166">
        <f t="shared" si="61"/>
        <v>0</v>
      </c>
      <c r="X25" s="166">
        <f t="shared" si="61"/>
        <v>0</v>
      </c>
      <c r="Y25" s="167">
        <v>0</v>
      </c>
      <c r="Z25" s="352">
        <f t="shared" si="37"/>
        <v>0</v>
      </c>
      <c r="AA25" s="165">
        <f t="shared" si="62"/>
        <v>0</v>
      </c>
      <c r="AB25" s="166">
        <f t="shared" si="62"/>
        <v>0</v>
      </c>
      <c r="AC25" s="166">
        <f t="shared" si="62"/>
        <v>0</v>
      </c>
      <c r="AD25" s="166">
        <v>0</v>
      </c>
      <c r="AE25" s="352">
        <f t="shared" si="38"/>
        <v>0</v>
      </c>
      <c r="AF25" s="166">
        <f t="shared" si="63"/>
        <v>0</v>
      </c>
      <c r="AG25" s="166">
        <f t="shared" si="63"/>
        <v>0</v>
      </c>
      <c r="AH25" s="166">
        <f t="shared" si="63"/>
        <v>0</v>
      </c>
      <c r="AI25" s="166">
        <v>0</v>
      </c>
      <c r="AJ25" s="352">
        <f t="shared" si="39"/>
        <v>0</v>
      </c>
      <c r="AK25" s="166">
        <f t="shared" si="64"/>
        <v>0</v>
      </c>
      <c r="AL25" s="166">
        <f t="shared" si="64"/>
        <v>0</v>
      </c>
      <c r="AM25" s="166">
        <f t="shared" si="64"/>
        <v>0</v>
      </c>
      <c r="AN25" s="166">
        <v>0</v>
      </c>
      <c r="AO25" s="352">
        <f t="shared" si="40"/>
        <v>0</v>
      </c>
      <c r="AP25" s="166">
        <f t="shared" si="65"/>
        <v>0</v>
      </c>
      <c r="AQ25" s="166">
        <f t="shared" si="65"/>
        <v>0</v>
      </c>
      <c r="AR25" s="166">
        <f t="shared" si="65"/>
        <v>0</v>
      </c>
      <c r="AS25" s="166">
        <v>0</v>
      </c>
      <c r="AT25" s="352">
        <f t="shared" si="41"/>
        <v>0</v>
      </c>
      <c r="AU25" s="166">
        <f t="shared" si="66"/>
        <v>0</v>
      </c>
      <c r="AV25" s="166">
        <f t="shared" si="66"/>
        <v>0</v>
      </c>
      <c r="AW25" s="166">
        <f t="shared" si="66"/>
        <v>0</v>
      </c>
      <c r="AX25" s="166">
        <v>1.88</v>
      </c>
      <c r="AY25" s="352">
        <f t="shared" si="42"/>
        <v>1.88</v>
      </c>
      <c r="AZ25" s="166">
        <f t="shared" si="67"/>
        <v>2.04023529188167</v>
      </c>
      <c r="BA25" s="166">
        <f t="shared" si="67"/>
        <v>2.2819251614701628</v>
      </c>
      <c r="BB25" s="166">
        <f t="shared" si="67"/>
        <v>2.5104541437409131</v>
      </c>
      <c r="BC25" s="166">
        <v>16.93</v>
      </c>
      <c r="BD25" s="352">
        <f t="shared" si="43"/>
        <v>16.93</v>
      </c>
      <c r="BE25" s="166">
        <f t="shared" si="68"/>
        <v>18.489440311966458</v>
      </c>
      <c r="BF25" s="166">
        <f t="shared" si="68"/>
        <v>19.547047941197686</v>
      </c>
      <c r="BG25" s="166">
        <f t="shared" si="68"/>
        <v>21.565031421082583</v>
      </c>
      <c r="BH25" s="166">
        <v>16.93</v>
      </c>
      <c r="BI25" s="352">
        <f t="shared" si="44"/>
        <v>16.93</v>
      </c>
      <c r="BJ25" s="166">
        <f t="shared" si="69"/>
        <v>17.408945452767398</v>
      </c>
      <c r="BK25" s="166">
        <f t="shared" si="69"/>
        <v>17.628912676753629</v>
      </c>
      <c r="BL25" s="166">
        <f t="shared" si="69"/>
        <v>18.478385066973086</v>
      </c>
      <c r="BM25" s="166">
        <v>16.93</v>
      </c>
      <c r="BN25" s="352">
        <f t="shared" si="45"/>
        <v>16.93</v>
      </c>
      <c r="BO25" s="166">
        <f t="shared" si="70"/>
        <v>17.382042280904553</v>
      </c>
      <c r="BP25" s="166">
        <f t="shared" si="70"/>
        <v>18.428156968916234</v>
      </c>
      <c r="BQ25" s="166">
        <f t="shared" si="70"/>
        <v>19.303781765566349</v>
      </c>
      <c r="BR25" s="166">
        <v>33.652999999999999</v>
      </c>
      <c r="BS25" s="352">
        <f t="shared" si="46"/>
        <v>33.652999999999999</v>
      </c>
      <c r="BT25" s="166">
        <f t="shared" si="71"/>
        <v>35.688763652320894</v>
      </c>
      <c r="BU25" s="166">
        <f t="shared" si="71"/>
        <v>37.086231715641659</v>
      </c>
      <c r="BV25" s="166">
        <f t="shared" si="71"/>
        <v>39.886746775451833</v>
      </c>
      <c r="BW25" s="166">
        <v>39.186</v>
      </c>
      <c r="BX25" s="352">
        <f t="shared" si="47"/>
        <v>39.186</v>
      </c>
      <c r="BY25" s="166">
        <f t="shared" si="72"/>
        <v>40.934183705522678</v>
      </c>
      <c r="BZ25" s="166">
        <f t="shared" si="72"/>
        <v>43.683958910295487</v>
      </c>
      <c r="CA25" s="166">
        <f t="shared" si="72"/>
        <v>46.181608690278019</v>
      </c>
      <c r="CB25" s="166">
        <v>60.305999999999997</v>
      </c>
      <c r="CC25" s="393">
        <f t="shared" si="48"/>
        <v>60.305999999999997</v>
      </c>
      <c r="CD25" s="166">
        <f t="shared" si="73"/>
        <v>63.158097222635675</v>
      </c>
      <c r="CE25" s="166">
        <f t="shared" si="73"/>
        <v>64.954073170005671</v>
      </c>
      <c r="CF25" s="166">
        <f t="shared" si="73"/>
        <v>66.050196082517203</v>
      </c>
      <c r="CG25" s="166">
        <v>60.305999999999997</v>
      </c>
      <c r="CH25" s="393">
        <f t="shared" si="49"/>
        <v>60.305999999999997</v>
      </c>
      <c r="CI25" s="166">
        <f t="shared" si="74"/>
        <v>61.745740855317976</v>
      </c>
      <c r="CJ25" s="166">
        <f t="shared" si="74"/>
        <v>62.122515192446542</v>
      </c>
      <c r="CK25" s="166">
        <f t="shared" si="74"/>
        <v>64.913706641488488</v>
      </c>
      <c r="CL25" s="166">
        <v>60.110999999999997</v>
      </c>
      <c r="CM25" s="393">
        <f t="shared" si="50"/>
        <v>60.110999999999997</v>
      </c>
      <c r="CN25" s="166">
        <f t="shared" si="75"/>
        <v>72.257641029713966</v>
      </c>
      <c r="CO25" s="166">
        <f t="shared" si="75"/>
        <v>74.789789655095802</v>
      </c>
      <c r="CP25" s="166">
        <f t="shared" si="75"/>
        <v>76.77836367675647</v>
      </c>
      <c r="CQ25" s="166">
        <f t="shared" si="75"/>
        <v>78.727716189947245</v>
      </c>
      <c r="CR25" s="393">
        <f t="shared" si="52"/>
        <v>78.727716189947245</v>
      </c>
      <c r="CS25" s="166">
        <f t="shared" si="76"/>
        <v>80.573237211885584</v>
      </c>
      <c r="CT25" s="166">
        <f t="shared" si="76"/>
        <v>83.018301360733147</v>
      </c>
      <c r="CU25" s="166">
        <f t="shared" si="76"/>
        <v>86.367704304359904</v>
      </c>
      <c r="CV25" s="166">
        <f t="shared" si="76"/>
        <v>87.888333240766457</v>
      </c>
      <c r="CW25" s="393">
        <f t="shared" si="53"/>
        <v>87.888333240766457</v>
      </c>
      <c r="CX25" s="166">
        <f t="shared" si="77"/>
        <v>85.788257595112484</v>
      </c>
      <c r="CY25" s="166">
        <f t="shared" si="77"/>
        <v>86.983994445987221</v>
      </c>
      <c r="CZ25" s="166">
        <f t="shared" si="77"/>
        <v>87.653875034712584</v>
      </c>
      <c r="DA25" s="166">
        <f t="shared" si="77"/>
        <v>90.333397389613992</v>
      </c>
      <c r="DB25" s="393">
        <f t="shared" si="54"/>
        <v>90.333397389613992</v>
      </c>
      <c r="DC25" s="166">
        <f t="shared" si="78"/>
        <v>92.40821853707304</v>
      </c>
      <c r="DD25" s="166">
        <f t="shared" si="78"/>
        <v>94.556702433590672</v>
      </c>
      <c r="DE25" s="166">
        <f t="shared" si="78"/>
        <v>97.509114713801722</v>
      </c>
      <c r="DF25" s="166">
        <f t="shared" si="78"/>
        <v>100.9996447504582</v>
      </c>
      <c r="DG25" s="393">
        <f t="shared" si="56"/>
        <v>100.9996447504582</v>
      </c>
      <c r="DH25" s="166">
        <f t="shared" si="79"/>
        <v>103.23917486429991</v>
      </c>
      <c r="DI25" s="166">
        <f t="shared" si="79"/>
        <v>105.55906343823915</v>
      </c>
      <c r="DJ25" s="166">
        <f t="shared" si="79"/>
        <v>108.74737031846851</v>
      </c>
      <c r="DK25" s="166">
        <f t="shared" si="79"/>
        <v>112.5127434847612</v>
      </c>
      <c r="DL25" s="393">
        <f t="shared" si="57"/>
        <v>112.5127434847612</v>
      </c>
      <c r="DM25" s="166">
        <f t="shared" si="80"/>
        <v>114.93238285344285</v>
      </c>
      <c r="DN25" s="166">
        <f t="shared" si="80"/>
        <v>117.43311593237112</v>
      </c>
      <c r="DO25" s="166">
        <f t="shared" si="80"/>
        <v>120.8749765624155</v>
      </c>
      <c r="DP25" s="166">
        <f t="shared" si="80"/>
        <v>124.93530969396652</v>
      </c>
      <c r="DQ25" s="393">
        <f t="shared" si="58"/>
        <v>124.93530969396652</v>
      </c>
      <c r="DR25" s="164"/>
      <c r="DS25" s="260"/>
      <c r="DT25"/>
      <c r="DU25"/>
      <c r="DV25"/>
      <c r="DW25"/>
      <c r="DX25"/>
      <c r="DY25"/>
    </row>
    <row r="26" spans="2:129" s="179" customFormat="1" ht="11.25" hidden="1" customHeight="1" outlineLevel="1">
      <c r="B26" s="163"/>
      <c r="C26" s="164"/>
      <c r="D26" s="164" t="s">
        <v>51</v>
      </c>
      <c r="E26" s="164"/>
      <c r="F26" s="164"/>
      <c r="G26" s="165"/>
      <c r="H26" s="166"/>
      <c r="I26" s="166"/>
      <c r="J26" s="167">
        <v>0</v>
      </c>
      <c r="K26" s="352">
        <f t="shared" si="34"/>
        <v>0</v>
      </c>
      <c r="L26" s="165">
        <f t="shared" si="59"/>
        <v>0</v>
      </c>
      <c r="M26" s="166">
        <f t="shared" si="59"/>
        <v>0</v>
      </c>
      <c r="N26" s="166">
        <f t="shared" si="59"/>
        <v>0</v>
      </c>
      <c r="O26" s="167">
        <v>0</v>
      </c>
      <c r="P26" s="352">
        <f t="shared" si="35"/>
        <v>0</v>
      </c>
      <c r="Q26" s="165">
        <f t="shared" si="60"/>
        <v>0</v>
      </c>
      <c r="R26" s="166">
        <f t="shared" si="60"/>
        <v>0</v>
      </c>
      <c r="S26" s="166">
        <f t="shared" si="60"/>
        <v>0</v>
      </c>
      <c r="T26" s="167">
        <v>0</v>
      </c>
      <c r="U26" s="352">
        <f t="shared" si="36"/>
        <v>0</v>
      </c>
      <c r="V26" s="165">
        <f t="shared" si="61"/>
        <v>0</v>
      </c>
      <c r="W26" s="166">
        <f t="shared" si="61"/>
        <v>0</v>
      </c>
      <c r="X26" s="166">
        <f t="shared" si="61"/>
        <v>0</v>
      </c>
      <c r="Y26" s="167">
        <v>0</v>
      </c>
      <c r="Z26" s="352">
        <f t="shared" si="37"/>
        <v>0</v>
      </c>
      <c r="AA26" s="165">
        <f t="shared" si="62"/>
        <v>0</v>
      </c>
      <c r="AB26" s="166">
        <f t="shared" si="62"/>
        <v>0</v>
      </c>
      <c r="AC26" s="166">
        <f t="shared" si="62"/>
        <v>0</v>
      </c>
      <c r="AD26" s="166">
        <v>0</v>
      </c>
      <c r="AE26" s="352">
        <f t="shared" si="38"/>
        <v>0</v>
      </c>
      <c r="AF26" s="166">
        <f t="shared" si="63"/>
        <v>0</v>
      </c>
      <c r="AG26" s="166">
        <f t="shared" si="63"/>
        <v>0</v>
      </c>
      <c r="AH26" s="166">
        <f t="shared" si="63"/>
        <v>0</v>
      </c>
      <c r="AI26" s="166">
        <v>0</v>
      </c>
      <c r="AJ26" s="352">
        <f t="shared" si="39"/>
        <v>0</v>
      </c>
      <c r="AK26" s="166">
        <f t="shared" si="64"/>
        <v>0</v>
      </c>
      <c r="AL26" s="166">
        <f t="shared" si="64"/>
        <v>0</v>
      </c>
      <c r="AM26" s="166">
        <f t="shared" si="64"/>
        <v>0</v>
      </c>
      <c r="AN26" s="166">
        <v>14.737</v>
      </c>
      <c r="AO26" s="352">
        <f t="shared" si="40"/>
        <v>14.737</v>
      </c>
      <c r="AP26" s="166">
        <f t="shared" si="65"/>
        <v>15.641120246704457</v>
      </c>
      <c r="AQ26" s="166">
        <f t="shared" si="65"/>
        <v>17.657921811772031</v>
      </c>
      <c r="AR26" s="166">
        <f t="shared" si="65"/>
        <v>20.054720582593148</v>
      </c>
      <c r="AS26" s="166">
        <v>53.826999999999998</v>
      </c>
      <c r="AT26" s="352">
        <f t="shared" si="41"/>
        <v>53.826999999999998</v>
      </c>
      <c r="AU26" s="166">
        <f t="shared" si="66"/>
        <v>59.188394760955596</v>
      </c>
      <c r="AV26" s="166">
        <f t="shared" si="66"/>
        <v>65.538525496178863</v>
      </c>
      <c r="AW26" s="166">
        <f t="shared" si="66"/>
        <v>72.226794273514756</v>
      </c>
      <c r="AX26" s="166">
        <v>36.381999999999998</v>
      </c>
      <c r="AY26" s="352">
        <f t="shared" si="42"/>
        <v>36.381999999999998</v>
      </c>
      <c r="AZ26" s="166">
        <f t="shared" si="67"/>
        <v>39.482893824063254</v>
      </c>
      <c r="BA26" s="166">
        <f t="shared" si="67"/>
        <v>44.160107034365673</v>
      </c>
      <c r="BB26" s="166">
        <f t="shared" si="67"/>
        <v>48.582629073181863</v>
      </c>
      <c r="BC26" s="166">
        <v>121.901</v>
      </c>
      <c r="BD26" s="352">
        <f t="shared" si="43"/>
        <v>121.901</v>
      </c>
      <c r="BE26" s="166">
        <f t="shared" si="68"/>
        <v>133.12943080147804</v>
      </c>
      <c r="BF26" s="166">
        <f t="shared" si="68"/>
        <v>140.74451807914585</v>
      </c>
      <c r="BG26" s="166">
        <f t="shared" si="68"/>
        <v>155.27459511289948</v>
      </c>
      <c r="BH26" s="166">
        <v>128.566</v>
      </c>
      <c r="BI26" s="352">
        <f t="shared" si="44"/>
        <v>128.566</v>
      </c>
      <c r="BJ26" s="166">
        <f t="shared" si="69"/>
        <v>132.20309988662098</v>
      </c>
      <c r="BK26" s="166">
        <f t="shared" si="69"/>
        <v>133.87352552861827</v>
      </c>
      <c r="BL26" s="166">
        <f t="shared" si="69"/>
        <v>140.32439778620568</v>
      </c>
      <c r="BM26" s="166">
        <v>70.638999999999996</v>
      </c>
      <c r="BN26" s="352">
        <f t="shared" si="45"/>
        <v>70.638999999999996</v>
      </c>
      <c r="BO26" s="166">
        <f t="shared" si="70"/>
        <v>72.525108368624728</v>
      </c>
      <c r="BP26" s="166">
        <f t="shared" si="70"/>
        <v>76.889933852762766</v>
      </c>
      <c r="BQ26" s="166">
        <f t="shared" si="70"/>
        <v>80.543404615347981</v>
      </c>
      <c r="BR26" s="166">
        <v>95.495999999999995</v>
      </c>
      <c r="BS26" s="352">
        <f t="shared" si="46"/>
        <v>95.495999999999995</v>
      </c>
      <c r="BT26" s="166">
        <f t="shared" si="71"/>
        <v>101.27281887920947</v>
      </c>
      <c r="BU26" s="166">
        <f t="shared" si="71"/>
        <v>105.23836757248733</v>
      </c>
      <c r="BV26" s="166">
        <f t="shared" si="71"/>
        <v>113.18529611233912</v>
      </c>
      <c r="BW26" s="166">
        <v>211.14</v>
      </c>
      <c r="BX26" s="352">
        <f t="shared" si="47"/>
        <v>211.14</v>
      </c>
      <c r="BY26" s="166">
        <f t="shared" si="72"/>
        <v>220.5594739852003</v>
      </c>
      <c r="BZ26" s="166">
        <f t="shared" si="72"/>
        <v>235.37567203388429</v>
      </c>
      <c r="CA26" s="166">
        <f t="shared" si="72"/>
        <v>248.83338077030828</v>
      </c>
      <c r="CB26" s="166">
        <v>256.27199999999999</v>
      </c>
      <c r="CC26" s="393">
        <f t="shared" si="48"/>
        <v>256.27199999999999</v>
      </c>
      <c r="CD26" s="166">
        <f t="shared" si="73"/>
        <v>268.39206532416824</v>
      </c>
      <c r="CE26" s="166">
        <f t="shared" si="73"/>
        <v>276.02411434059115</v>
      </c>
      <c r="CF26" s="166">
        <f t="shared" si="73"/>
        <v>280.68211870226588</v>
      </c>
      <c r="CG26" s="166">
        <v>360.57799999999997</v>
      </c>
      <c r="CH26" s="393">
        <f t="shared" si="49"/>
        <v>360.57799999999997</v>
      </c>
      <c r="CI26" s="166">
        <f t="shared" si="74"/>
        <v>369.18641173562901</v>
      </c>
      <c r="CJ26" s="166">
        <f t="shared" si="74"/>
        <v>371.43919814051651</v>
      </c>
      <c r="CK26" s="166">
        <f t="shared" si="74"/>
        <v>388.12812180172176</v>
      </c>
      <c r="CL26" s="166">
        <v>304.67599999999999</v>
      </c>
      <c r="CM26" s="393">
        <f t="shared" si="50"/>
        <v>304.67599999999999</v>
      </c>
      <c r="CN26" s="166">
        <f t="shared" si="75"/>
        <v>432.03853160899746</v>
      </c>
      <c r="CO26" s="166">
        <f t="shared" si="75"/>
        <v>447.17860203387937</v>
      </c>
      <c r="CP26" s="166">
        <f t="shared" si="75"/>
        <v>459.06856395445715</v>
      </c>
      <c r="CQ26" s="166">
        <f t="shared" si="75"/>
        <v>470.72401499583447</v>
      </c>
      <c r="CR26" s="393">
        <f t="shared" si="52"/>
        <v>470.72401499583447</v>
      </c>
      <c r="CS26" s="166">
        <f t="shared" si="76"/>
        <v>481.75864304359897</v>
      </c>
      <c r="CT26" s="166">
        <f t="shared" si="76"/>
        <v>496.37802321577345</v>
      </c>
      <c r="CU26" s="166">
        <f t="shared" si="76"/>
        <v>516.40457139683417</v>
      </c>
      <c r="CV26" s="166">
        <f t="shared" si="76"/>
        <v>525.49662427103578</v>
      </c>
      <c r="CW26" s="393">
        <f t="shared" si="53"/>
        <v>525.49662427103578</v>
      </c>
      <c r="CX26" s="166">
        <f t="shared" si="77"/>
        <v>512.93997856151077</v>
      </c>
      <c r="CY26" s="166">
        <f t="shared" si="77"/>
        <v>520.08945626214938</v>
      </c>
      <c r="CZ26" s="166">
        <f t="shared" si="77"/>
        <v>524.09476589836152</v>
      </c>
      <c r="DA26" s="166">
        <f t="shared" si="77"/>
        <v>540.11600444321016</v>
      </c>
      <c r="DB26" s="393">
        <f t="shared" si="54"/>
        <v>540.11600444321016</v>
      </c>
      <c r="DC26" s="166">
        <f t="shared" si="78"/>
        <v>552.5216499794501</v>
      </c>
      <c r="DD26" s="166">
        <f t="shared" si="78"/>
        <v>565.36773538452655</v>
      </c>
      <c r="DE26" s="166">
        <f t="shared" si="78"/>
        <v>583.02062092118854</v>
      </c>
      <c r="DF26" s="166">
        <f t="shared" si="78"/>
        <v>603.89098770985834</v>
      </c>
      <c r="DG26" s="393">
        <f t="shared" si="56"/>
        <v>603.89098770985834</v>
      </c>
      <c r="DH26" s="166">
        <f t="shared" si="79"/>
        <v>617.28145116936173</v>
      </c>
      <c r="DI26" s="166">
        <f t="shared" si="79"/>
        <v>631.15238908953324</v>
      </c>
      <c r="DJ26" s="166">
        <f t="shared" si="79"/>
        <v>650.21572139907698</v>
      </c>
      <c r="DK26" s="166">
        <f t="shared" si="79"/>
        <v>672.72941366113196</v>
      </c>
      <c r="DL26" s="393">
        <f t="shared" si="57"/>
        <v>672.72941366113196</v>
      </c>
      <c r="DM26" s="166">
        <f t="shared" si="80"/>
        <v>687.19677552032488</v>
      </c>
      <c r="DN26" s="166">
        <f t="shared" si="80"/>
        <v>702.14900800355713</v>
      </c>
      <c r="DO26" s="166">
        <f t="shared" si="80"/>
        <v>722.72837360996675</v>
      </c>
      <c r="DP26" s="166">
        <f t="shared" si="80"/>
        <v>747.00567271633099</v>
      </c>
      <c r="DQ26" s="393">
        <f t="shared" si="58"/>
        <v>747.00567271633099</v>
      </c>
      <c r="DR26" s="164"/>
      <c r="DS26" s="260"/>
      <c r="DT26"/>
      <c r="DU26"/>
      <c r="DV26"/>
      <c r="DW26"/>
      <c r="DX26"/>
      <c r="DY26"/>
    </row>
    <row r="27" spans="2:129" s="179" customFormat="1" ht="11.25" hidden="1" customHeight="1" outlineLevel="1">
      <c r="B27" s="163"/>
      <c r="C27" s="164"/>
      <c r="D27" s="164" t="s">
        <v>52</v>
      </c>
      <c r="E27" s="164"/>
      <c r="F27" s="164"/>
      <c r="G27" s="165"/>
      <c r="H27" s="166"/>
      <c r="I27" s="166"/>
      <c r="J27" s="167">
        <v>1.8049999999999999</v>
      </c>
      <c r="K27" s="352">
        <f t="shared" si="34"/>
        <v>1.8049999999999999</v>
      </c>
      <c r="L27" s="165">
        <f t="shared" si="59"/>
        <v>2.0136233278798956</v>
      </c>
      <c r="M27" s="166">
        <f t="shared" si="59"/>
        <v>2.3662506014820517</v>
      </c>
      <c r="N27" s="166">
        <f t="shared" si="59"/>
        <v>2.654084784910018</v>
      </c>
      <c r="O27" s="167">
        <v>3.1339999999999999</v>
      </c>
      <c r="P27" s="352">
        <f t="shared" si="35"/>
        <v>3.1339999999999999</v>
      </c>
      <c r="Q27" s="165">
        <f t="shared" si="60"/>
        <v>3.2848229083543057</v>
      </c>
      <c r="R27" s="166">
        <f t="shared" si="60"/>
        <v>3.6828491805291259</v>
      </c>
      <c r="S27" s="166">
        <f t="shared" si="60"/>
        <v>4.3563581118408932</v>
      </c>
      <c r="T27" s="167">
        <v>3.9510000000000001</v>
      </c>
      <c r="U27" s="352">
        <f t="shared" si="36"/>
        <v>3.9510000000000001</v>
      </c>
      <c r="V27" s="165">
        <f t="shared" si="61"/>
        <v>4.3906356649587872</v>
      </c>
      <c r="W27" s="166">
        <f t="shared" si="61"/>
        <v>4.7099839607930498</v>
      </c>
      <c r="X27" s="166">
        <f t="shared" si="61"/>
        <v>5.5016802183114262</v>
      </c>
      <c r="Y27" s="167">
        <v>6.4180000000000001</v>
      </c>
      <c r="Z27" s="352">
        <f t="shared" si="37"/>
        <v>6.4180000000000001</v>
      </c>
      <c r="AA27" s="165">
        <f t="shared" si="62"/>
        <v>6.6978437682286609</v>
      </c>
      <c r="AB27" s="166">
        <f t="shared" si="62"/>
        <v>7.1394478417266187</v>
      </c>
      <c r="AC27" s="166">
        <f t="shared" si="62"/>
        <v>7.5698207272020221</v>
      </c>
      <c r="AD27" s="166">
        <v>8.5419999999999998</v>
      </c>
      <c r="AE27" s="352">
        <f t="shared" si="38"/>
        <v>8.5419999999999998</v>
      </c>
      <c r="AF27" s="166">
        <f t="shared" si="63"/>
        <v>9.1683337051642582</v>
      </c>
      <c r="AG27" s="166">
        <f t="shared" si="63"/>
        <v>10.223183270750521</v>
      </c>
      <c r="AH27" s="166">
        <f t="shared" si="63"/>
        <v>11.110276862165939</v>
      </c>
      <c r="AI27" s="166">
        <v>19.187999999999999</v>
      </c>
      <c r="AJ27" s="352">
        <f t="shared" si="39"/>
        <v>19.187999999999999</v>
      </c>
      <c r="AK27" s="166">
        <f t="shared" si="64"/>
        <v>19.781421938103364</v>
      </c>
      <c r="AL27" s="166">
        <f t="shared" si="64"/>
        <v>20.523613761527329</v>
      </c>
      <c r="AM27" s="166">
        <f t="shared" si="64"/>
        <v>23.447004168196447</v>
      </c>
      <c r="AN27" s="166">
        <v>22.048999999999999</v>
      </c>
      <c r="AO27" s="352">
        <f t="shared" si="40"/>
        <v>22.048999999999999</v>
      </c>
      <c r="AP27" s="166">
        <f t="shared" si="65"/>
        <v>23.401714074749716</v>
      </c>
      <c r="AQ27" s="166">
        <f t="shared" si="65"/>
        <v>26.419184232052764</v>
      </c>
      <c r="AR27" s="166">
        <f t="shared" si="65"/>
        <v>30.005193331451203</v>
      </c>
      <c r="AS27" s="166">
        <v>32.302999999999997</v>
      </c>
      <c r="AT27" s="352">
        <f t="shared" si="41"/>
        <v>32.302999999999997</v>
      </c>
      <c r="AU27" s="166">
        <f t="shared" si="66"/>
        <v>35.520514165068626</v>
      </c>
      <c r="AV27" s="166">
        <f t="shared" si="66"/>
        <v>39.331394822358043</v>
      </c>
      <c r="AW27" s="166">
        <f t="shared" si="66"/>
        <v>43.345201022114324</v>
      </c>
      <c r="AX27" s="166">
        <v>64.492000000000004</v>
      </c>
      <c r="AY27" s="352">
        <f t="shared" si="42"/>
        <v>64.492000000000004</v>
      </c>
      <c r="AZ27" s="166">
        <f t="shared" si="67"/>
        <v>69.988752363847169</v>
      </c>
      <c r="BA27" s="166">
        <f t="shared" si="67"/>
        <v>78.279743358262635</v>
      </c>
      <c r="BB27" s="166">
        <f t="shared" si="67"/>
        <v>86.119259913903718</v>
      </c>
      <c r="BC27" s="166">
        <v>50.67</v>
      </c>
      <c r="BD27" s="352">
        <f t="shared" si="43"/>
        <v>50.67</v>
      </c>
      <c r="BE27" s="166">
        <f t="shared" si="68"/>
        <v>55.337267608230391</v>
      </c>
      <c r="BF27" s="166">
        <f t="shared" si="68"/>
        <v>58.502594163052976</v>
      </c>
      <c r="BG27" s="166">
        <f t="shared" si="68"/>
        <v>64.542241116730935</v>
      </c>
      <c r="BH27" s="166">
        <v>78.19</v>
      </c>
      <c r="BI27" s="352">
        <f t="shared" si="44"/>
        <v>78.19</v>
      </c>
      <c r="BJ27" s="166">
        <f t="shared" si="69"/>
        <v>80.401975484458504</v>
      </c>
      <c r="BK27" s="166">
        <f t="shared" si="69"/>
        <v>81.417878452177561</v>
      </c>
      <c r="BL27" s="166">
        <f t="shared" si="69"/>
        <v>85.341106224844978</v>
      </c>
      <c r="BM27" s="166">
        <v>95.043000000000006</v>
      </c>
      <c r="BN27" s="352">
        <f t="shared" si="45"/>
        <v>95.043000000000006</v>
      </c>
      <c r="BO27" s="166">
        <f t="shared" si="70"/>
        <v>97.580711429652197</v>
      </c>
      <c r="BP27" s="166">
        <f t="shared" si="70"/>
        <v>103.45347447115805</v>
      </c>
      <c r="BQ27" s="166">
        <f t="shared" si="70"/>
        <v>108.36912760453177</v>
      </c>
      <c r="BR27" s="166">
        <v>108.991</v>
      </c>
      <c r="BS27" s="352">
        <f t="shared" si="46"/>
        <v>108.991</v>
      </c>
      <c r="BT27" s="166">
        <f t="shared" si="71"/>
        <v>115.58416899622937</v>
      </c>
      <c r="BU27" s="166">
        <f t="shared" si="71"/>
        <v>120.11010848719283</v>
      </c>
      <c r="BV27" s="166">
        <f t="shared" si="71"/>
        <v>129.18005579898585</v>
      </c>
      <c r="BW27" s="166">
        <v>147.02600000000001</v>
      </c>
      <c r="BX27" s="352">
        <f t="shared" si="47"/>
        <v>147.02600000000001</v>
      </c>
      <c r="BY27" s="166">
        <f t="shared" si="72"/>
        <v>153.58519097351549</v>
      </c>
      <c r="BZ27" s="166">
        <f t="shared" si="72"/>
        <v>163.90235652388878</v>
      </c>
      <c r="CA27" s="166">
        <f t="shared" si="72"/>
        <v>173.2735466568881</v>
      </c>
      <c r="CB27" s="166">
        <v>191.82900000000001</v>
      </c>
      <c r="CC27" s="393">
        <f t="shared" si="48"/>
        <v>191.82900000000001</v>
      </c>
      <c r="CD27" s="166">
        <f t="shared" si="73"/>
        <v>200.90131383479223</v>
      </c>
      <c r="CE27" s="166">
        <f t="shared" si="73"/>
        <v>206.61418270369478</v>
      </c>
      <c r="CF27" s="166">
        <f t="shared" si="73"/>
        <v>210.10086996838115</v>
      </c>
      <c r="CG27" s="166">
        <v>211.67500000000001</v>
      </c>
      <c r="CH27" s="393">
        <f t="shared" si="49"/>
        <v>211.67500000000001</v>
      </c>
      <c r="CI27" s="166">
        <f t="shared" si="74"/>
        <v>216.72851284365456</v>
      </c>
      <c r="CJ27" s="166">
        <f t="shared" si="74"/>
        <v>218.05099663982227</v>
      </c>
      <c r="CK27" s="166">
        <f t="shared" si="74"/>
        <v>227.84812213274094</v>
      </c>
      <c r="CL27" s="166">
        <v>246.96899999999999</v>
      </c>
      <c r="CM27" s="393">
        <f t="shared" si="50"/>
        <v>246.96899999999999</v>
      </c>
      <c r="CN27" s="166">
        <f t="shared" si="75"/>
        <v>253.62544630658149</v>
      </c>
      <c r="CO27" s="166">
        <f t="shared" si="75"/>
        <v>262.51332745070812</v>
      </c>
      <c r="CP27" s="166">
        <f t="shared" si="75"/>
        <v>269.49325326298253</v>
      </c>
      <c r="CQ27" s="166">
        <f t="shared" si="75"/>
        <v>276.33551096917523</v>
      </c>
      <c r="CR27" s="393">
        <f t="shared" si="52"/>
        <v>276.33551096917523</v>
      </c>
      <c r="CS27" s="166">
        <f t="shared" si="76"/>
        <v>282.81331852263258</v>
      </c>
      <c r="CT27" s="166">
        <f t="shared" si="76"/>
        <v>291.39553179672322</v>
      </c>
      <c r="CU27" s="166">
        <f t="shared" si="76"/>
        <v>303.1519883365732</v>
      </c>
      <c r="CV27" s="166">
        <f t="shared" si="76"/>
        <v>308.48941960566509</v>
      </c>
      <c r="CW27" s="393">
        <f t="shared" si="53"/>
        <v>308.48941960566509</v>
      </c>
      <c r="CX27" s="166">
        <f t="shared" si="77"/>
        <v>301.11812135517914</v>
      </c>
      <c r="CY27" s="166">
        <f t="shared" si="77"/>
        <v>305.31517633990558</v>
      </c>
      <c r="CZ27" s="166">
        <f t="shared" si="77"/>
        <v>307.66646764787561</v>
      </c>
      <c r="DA27" s="166">
        <f t="shared" si="77"/>
        <v>317.07163287975567</v>
      </c>
      <c r="DB27" s="393">
        <f t="shared" si="54"/>
        <v>317.07163287975567</v>
      </c>
      <c r="DC27" s="166">
        <f t="shared" si="78"/>
        <v>324.35428744793114</v>
      </c>
      <c r="DD27" s="166">
        <f t="shared" si="78"/>
        <v>331.89549941349628</v>
      </c>
      <c r="DE27" s="166">
        <f t="shared" si="78"/>
        <v>342.25851253679537</v>
      </c>
      <c r="DF27" s="166">
        <f t="shared" si="78"/>
        <v>354.51032737295196</v>
      </c>
      <c r="DG27" s="393">
        <f t="shared" si="56"/>
        <v>354.51032737295196</v>
      </c>
      <c r="DH27" s="166">
        <f t="shared" si="79"/>
        <v>362.37111298047762</v>
      </c>
      <c r="DI27" s="166">
        <f t="shared" si="79"/>
        <v>370.51395803550679</v>
      </c>
      <c r="DJ27" s="166">
        <f t="shared" si="79"/>
        <v>381.70496488179987</v>
      </c>
      <c r="DK27" s="166">
        <f t="shared" si="79"/>
        <v>394.92148338700673</v>
      </c>
      <c r="DL27" s="393">
        <f t="shared" si="57"/>
        <v>394.92148338700673</v>
      </c>
      <c r="DM27" s="166">
        <f t="shared" si="80"/>
        <v>403.41445528641452</v>
      </c>
      <c r="DN27" s="166">
        <f t="shared" si="80"/>
        <v>412.19206737280967</v>
      </c>
      <c r="DO27" s="166">
        <f t="shared" si="80"/>
        <v>424.27305183313939</v>
      </c>
      <c r="DP27" s="166">
        <f t="shared" si="80"/>
        <v>438.5248844139947</v>
      </c>
      <c r="DQ27" s="393">
        <f t="shared" si="58"/>
        <v>438.5248844139947</v>
      </c>
      <c r="DR27" s="164"/>
      <c r="DS27" s="260"/>
      <c r="DT27"/>
      <c r="DU27"/>
      <c r="DV27"/>
      <c r="DW27"/>
      <c r="DX27"/>
      <c r="DY27"/>
    </row>
    <row r="28" spans="2:129" ht="11.25" hidden="1" customHeight="1" outlineLevel="1">
      <c r="B28" s="3"/>
      <c r="C28" s="4" t="s">
        <v>146</v>
      </c>
      <c r="D28" s="4"/>
      <c r="E28" s="4"/>
      <c r="F28" s="4"/>
      <c r="G28" s="87"/>
      <c r="H28" s="86"/>
      <c r="I28" s="86">
        <v>-3.9049999999999998</v>
      </c>
      <c r="J28" s="88">
        <v>-4.1210000000000004</v>
      </c>
      <c r="K28" s="352">
        <f t="shared" si="34"/>
        <v>-4.1210000000000004</v>
      </c>
      <c r="L28" s="87">
        <v>-4.6539999999999999</v>
      </c>
      <c r="M28" s="86">
        <v>-5.2880000000000003</v>
      </c>
      <c r="N28" s="86">
        <v>-6.0170000000000003</v>
      </c>
      <c r="O28" s="88">
        <v>-6.8170000000000002</v>
      </c>
      <c r="P28" s="352">
        <f t="shared" si="35"/>
        <v>-6.8170000000000002</v>
      </c>
      <c r="Q28" s="87">
        <v>-7.6989999999999998</v>
      </c>
      <c r="R28" s="86">
        <v>-8.6340000000000003</v>
      </c>
      <c r="S28" s="86">
        <v>-9.7859999999999996</v>
      </c>
      <c r="T28" s="88">
        <v>-10.997</v>
      </c>
      <c r="U28" s="352">
        <f t="shared" si="36"/>
        <v>-10.997</v>
      </c>
      <c r="V28" s="87">
        <v>-12.29</v>
      </c>
      <c r="W28" s="86">
        <v>-13.738</v>
      </c>
      <c r="X28" s="86">
        <v>-15.308</v>
      </c>
      <c r="Y28" s="88">
        <v>-16.805</v>
      </c>
      <c r="Z28" s="352">
        <f t="shared" si="37"/>
        <v>-16.805</v>
      </c>
      <c r="AA28" s="87">
        <v>-18.690999999999999</v>
      </c>
      <c r="AB28" s="86">
        <v>-20.603999999999999</v>
      </c>
      <c r="AC28" s="86">
        <v>-22.622</v>
      </c>
      <c r="AD28" s="86">
        <v>-24.559000000000001</v>
      </c>
      <c r="AE28" s="352">
        <f t="shared" si="38"/>
        <v>-24.559000000000001</v>
      </c>
      <c r="AF28" s="86">
        <v>-25.55</v>
      </c>
      <c r="AG28" s="86">
        <v>-28.411000000000001</v>
      </c>
      <c r="AH28" s="86">
        <v>-31.13</v>
      </c>
      <c r="AI28" s="86">
        <v>-34.167999999999999</v>
      </c>
      <c r="AJ28" s="352">
        <f t="shared" si="39"/>
        <v>-34.167999999999999</v>
      </c>
      <c r="AK28" s="86">
        <v>-37.656999999999996</v>
      </c>
      <c r="AL28" s="86">
        <v>-40.942</v>
      </c>
      <c r="AM28" s="86">
        <v>-43.085999999999999</v>
      </c>
      <c r="AN28" s="86">
        <v>-47.436</v>
      </c>
      <c r="AO28" s="352">
        <f t="shared" si="40"/>
        <v>-47.436</v>
      </c>
      <c r="AP28" s="86">
        <v>-51.978000000000002</v>
      </c>
      <c r="AQ28" s="86">
        <v>-56.999000000000002</v>
      </c>
      <c r="AR28" s="86">
        <v>-61.472999999999999</v>
      </c>
      <c r="AS28" s="86">
        <v>-64.736000000000004</v>
      </c>
      <c r="AT28" s="352">
        <f t="shared" si="41"/>
        <v>-64.736000000000004</v>
      </c>
      <c r="AU28" s="86">
        <v>-71.228999999999999</v>
      </c>
      <c r="AV28" s="86">
        <v>-78.506</v>
      </c>
      <c r="AW28" s="86">
        <v>-85.981999999999999</v>
      </c>
      <c r="AX28" s="86">
        <v>-95.539000000000001</v>
      </c>
      <c r="AY28" s="352">
        <f t="shared" si="42"/>
        <v>-95.539000000000001</v>
      </c>
      <c r="AZ28" s="86">
        <v>-106.663</v>
      </c>
      <c r="BA28" s="86">
        <v>-117.43600000000001</v>
      </c>
      <c r="BB28" s="86">
        <v>-129.93100000000001</v>
      </c>
      <c r="BC28" s="86">
        <v>-142.98099999999999</v>
      </c>
      <c r="BD28" s="352">
        <f t="shared" si="43"/>
        <v>-142.98099999999999</v>
      </c>
      <c r="BE28" s="86">
        <v>-151.74299999999999</v>
      </c>
      <c r="BF28" s="86">
        <v>-166.358</v>
      </c>
      <c r="BG28" s="86">
        <v>-182.3</v>
      </c>
      <c r="BH28" s="86">
        <v>-199.18799999999999</v>
      </c>
      <c r="BI28" s="352">
        <f t="shared" si="44"/>
        <v>-199.18799999999999</v>
      </c>
      <c r="BJ28" s="86">
        <v>-216.655</v>
      </c>
      <c r="BK28" s="86">
        <v>-234.53299999999999</v>
      </c>
      <c r="BL28" s="86">
        <v>-254.059</v>
      </c>
      <c r="BM28" s="86">
        <v>-274.57</v>
      </c>
      <c r="BN28" s="352">
        <f t="shared" si="45"/>
        <v>-274.57</v>
      </c>
      <c r="BO28" s="86">
        <v>-297.911</v>
      </c>
      <c r="BP28" s="86">
        <v>-318.22399999999999</v>
      </c>
      <c r="BQ28" s="86">
        <v>-340.601</v>
      </c>
      <c r="BR28" s="86">
        <v>-352.47199999999998</v>
      </c>
      <c r="BS28" s="352">
        <f t="shared" si="46"/>
        <v>-352.47199999999998</v>
      </c>
      <c r="BT28" s="86">
        <v>-377.05099999999999</v>
      </c>
      <c r="BU28" s="86">
        <v>-402.58100000000002</v>
      </c>
      <c r="BV28" s="86">
        <v>-429.26900000000001</v>
      </c>
      <c r="BW28" s="86">
        <v>-455.50599999999997</v>
      </c>
      <c r="BX28" s="352">
        <f t="shared" si="47"/>
        <v>-455.50599999999997</v>
      </c>
      <c r="BY28" s="86">
        <v>-482.70400000000001</v>
      </c>
      <c r="BZ28" s="86">
        <v>-515.15300000000002</v>
      </c>
      <c r="CA28" s="86">
        <v>-551.62400000000002</v>
      </c>
      <c r="CB28" s="86">
        <v>-573.79200000000003</v>
      </c>
      <c r="CC28" s="352">
        <f t="shared" si="48"/>
        <v>-573.79200000000003</v>
      </c>
      <c r="CD28" s="86">
        <v>-610.16200000000003</v>
      </c>
      <c r="CE28" s="248">
        <v>-646.67499999999995</v>
      </c>
      <c r="CF28" s="441">
        <v>-680.66399999999999</v>
      </c>
      <c r="CG28" s="441">
        <v>-719.33600000000001</v>
      </c>
      <c r="CH28" s="352">
        <f t="shared" si="49"/>
        <v>-719.33600000000001</v>
      </c>
      <c r="CI28" s="86">
        <v>-752.6</v>
      </c>
      <c r="CJ28" s="248">
        <v>-768.61800000000005</v>
      </c>
      <c r="CK28" s="248">
        <v>-836.6</v>
      </c>
      <c r="CL28" s="441">
        <v>-852.12400000000002</v>
      </c>
      <c r="CM28" s="352">
        <f t="shared" si="50"/>
        <v>-852.12400000000002</v>
      </c>
      <c r="CN28" s="15">
        <f>CN29-CN20</f>
        <v>-889.32899999999972</v>
      </c>
      <c r="CO28" s="260">
        <f>CO29-CO20</f>
        <v>-955.62899999999968</v>
      </c>
      <c r="CP28" s="248">
        <v>-1013.4</v>
      </c>
      <c r="CQ28" s="441">
        <v>-1079.0999999999999</v>
      </c>
      <c r="CR28" s="352">
        <f t="shared" si="52"/>
        <v>-1079.0999999999999</v>
      </c>
      <c r="CS28" s="441">
        <v>-1135.5999999999999</v>
      </c>
      <c r="CT28" s="248">
        <v>-1191.2</v>
      </c>
      <c r="CU28" s="248">
        <v>-1255.3</v>
      </c>
      <c r="CV28" s="248">
        <v>-1313</v>
      </c>
      <c r="CW28" s="352">
        <f t="shared" si="53"/>
        <v>-1313</v>
      </c>
      <c r="CX28" s="248">
        <v>-1255.3</v>
      </c>
      <c r="CY28" s="248">
        <v>-1313</v>
      </c>
      <c r="CZ28" s="248">
        <v>-1313</v>
      </c>
      <c r="DA28" s="441">
        <f>DA96</f>
        <v>-1373</v>
      </c>
      <c r="DB28" s="352">
        <f t="shared" si="54"/>
        <v>-1373</v>
      </c>
      <c r="DC28" s="15">
        <f t="shared" ref="DC28:DF28" si="81">DC96</f>
        <v>-1433.2509585730725</v>
      </c>
      <c r="DD28" s="15">
        <f t="shared" si="81"/>
        <v>-1493.6680123716915</v>
      </c>
      <c r="DE28" s="15">
        <f t="shared" si="81"/>
        <v>-1554.8168926958654</v>
      </c>
      <c r="DF28" s="15">
        <f t="shared" si="81"/>
        <v>-1617.5421910510249</v>
      </c>
      <c r="DG28" s="352">
        <f t="shared" si="56"/>
        <v>-1617.5421910510249</v>
      </c>
      <c r="DH28" s="15">
        <f>DH96</f>
        <v>-1681.3107666839321</v>
      </c>
      <c r="DI28" s="15">
        <f>DI96</f>
        <v>-1745.3135880645091</v>
      </c>
      <c r="DJ28" s="15">
        <f>DJ96</f>
        <v>-1810.1599245340356</v>
      </c>
      <c r="DK28" s="15">
        <f>DK96</f>
        <v>-1876.7570874783241</v>
      </c>
      <c r="DL28" s="352">
        <f t="shared" si="57"/>
        <v>-1876.7570874783241</v>
      </c>
      <c r="DM28" s="15">
        <f>DM96</f>
        <v>-1944.5280210580681</v>
      </c>
      <c r="DN28" s="15">
        <f>DN96</f>
        <v>-2012.5967221649787</v>
      </c>
      <c r="DO28" s="15">
        <f>DO96</f>
        <v>-2081.6176717556418</v>
      </c>
      <c r="DP28" s="15">
        <f>DP96</f>
        <v>-2152.5679978991898</v>
      </c>
      <c r="DQ28" s="352">
        <f t="shared" si="58"/>
        <v>-2152.5679978991898</v>
      </c>
      <c r="DR28" s="4"/>
      <c r="DS28" s="260"/>
    </row>
    <row r="29" spans="2:129" s="132" customFormat="1" ht="11.25" customHeight="1" collapsed="1">
      <c r="B29" s="32"/>
      <c r="C29" s="33" t="s">
        <v>44</v>
      </c>
      <c r="D29" s="33"/>
      <c r="E29" s="33"/>
      <c r="F29" s="33"/>
      <c r="G29" s="35"/>
      <c r="H29" s="86">
        <v>5.4269999999999996</v>
      </c>
      <c r="I29" s="86">
        <v>5.49</v>
      </c>
      <c r="J29" s="37">
        <f>J20+J28</f>
        <v>6.27</v>
      </c>
      <c r="K29" s="352">
        <f t="shared" si="34"/>
        <v>6.27</v>
      </c>
      <c r="L29" s="87">
        <v>6.9379999999999997</v>
      </c>
      <c r="M29" s="86">
        <v>8.3339999999999996</v>
      </c>
      <c r="N29" s="86">
        <v>9.2620000000000005</v>
      </c>
      <c r="O29" s="37">
        <f>O20+O28</f>
        <v>9.4740000000000002</v>
      </c>
      <c r="P29" s="352">
        <f t="shared" si="35"/>
        <v>9.4740000000000002</v>
      </c>
      <c r="Q29" s="87">
        <v>9.3759999999999994</v>
      </c>
      <c r="R29" s="86">
        <v>10.51</v>
      </c>
      <c r="S29" s="86">
        <v>12.859</v>
      </c>
      <c r="T29" s="37">
        <f>T20+T28</f>
        <v>15.937000000000005</v>
      </c>
      <c r="U29" s="352">
        <f t="shared" si="36"/>
        <v>15.937000000000005</v>
      </c>
      <c r="V29" s="87">
        <v>17.640999999999998</v>
      </c>
      <c r="W29" s="86">
        <v>18.37</v>
      </c>
      <c r="X29" s="86">
        <v>22.196999999999999</v>
      </c>
      <c r="Y29" s="37">
        <f>Y20+Y28</f>
        <v>24.338999999999999</v>
      </c>
      <c r="Z29" s="352">
        <f t="shared" si="37"/>
        <v>24.338999999999999</v>
      </c>
      <c r="AA29" s="87">
        <v>24.247</v>
      </c>
      <c r="AB29" s="86">
        <v>25.164999999999999</v>
      </c>
      <c r="AC29" s="86">
        <v>25.905999999999999</v>
      </c>
      <c r="AD29" s="36">
        <f>AD20+AD28</f>
        <v>39.090000000000003</v>
      </c>
      <c r="AE29" s="352">
        <f t="shared" si="38"/>
        <v>39.090000000000003</v>
      </c>
      <c r="AF29" s="86">
        <v>42.765999999999998</v>
      </c>
      <c r="AG29" s="86">
        <v>47.765000000000001</v>
      </c>
      <c r="AH29" s="86">
        <v>51.655999999999999</v>
      </c>
      <c r="AI29" s="36">
        <f>AI20+AI28</f>
        <v>58.437999999999995</v>
      </c>
      <c r="AJ29" s="352">
        <f t="shared" si="39"/>
        <v>58.437999999999995</v>
      </c>
      <c r="AK29" s="86">
        <v>57.813000000000002</v>
      </c>
      <c r="AL29" s="86">
        <v>58.11</v>
      </c>
      <c r="AM29" s="86">
        <v>70.075000000000003</v>
      </c>
      <c r="AN29" s="36">
        <f>AN20+AN28</f>
        <v>90.704999999999984</v>
      </c>
      <c r="AO29" s="352">
        <f t="shared" si="40"/>
        <v>90.704999999999984</v>
      </c>
      <c r="AP29" s="86">
        <v>94.638000000000005</v>
      </c>
      <c r="AQ29" s="86">
        <v>108.52200000000001</v>
      </c>
      <c r="AR29" s="86">
        <v>126.515</v>
      </c>
      <c r="AS29" s="36">
        <f>AS20+AS28</f>
        <v>146.98200000000003</v>
      </c>
      <c r="AT29" s="352">
        <f t="shared" si="41"/>
        <v>146.98200000000003</v>
      </c>
      <c r="AU29" s="86">
        <v>161.577</v>
      </c>
      <c r="AV29" s="86">
        <v>179.27699999999999</v>
      </c>
      <c r="AW29" s="86">
        <v>198.108</v>
      </c>
      <c r="AX29" s="36">
        <f>AX20+AX28</f>
        <v>220.154</v>
      </c>
      <c r="AY29" s="352">
        <f t="shared" si="42"/>
        <v>220.154</v>
      </c>
      <c r="AZ29" s="86">
        <v>235.93700000000001</v>
      </c>
      <c r="BA29" s="86">
        <v>265.74900000000002</v>
      </c>
      <c r="BB29" s="86">
        <v>291.62900000000002</v>
      </c>
      <c r="BC29" s="36">
        <f>BC20+BC28</f>
        <v>356.04700000000003</v>
      </c>
      <c r="BD29" s="352">
        <f t="shared" si="43"/>
        <v>356.04700000000003</v>
      </c>
      <c r="BE29" s="86">
        <v>393.25099999999998</v>
      </c>
      <c r="BF29" s="86">
        <v>409.81</v>
      </c>
      <c r="BG29" s="86">
        <v>453.35</v>
      </c>
      <c r="BH29" s="36">
        <f>BH20+BH28</f>
        <v>455.25400000000002</v>
      </c>
      <c r="BI29" s="352">
        <f t="shared" si="44"/>
        <v>455.25400000000002</v>
      </c>
      <c r="BJ29" s="86">
        <v>456.30099999999999</v>
      </c>
      <c r="BK29" s="86">
        <v>446.92599999999999</v>
      </c>
      <c r="BL29" s="86">
        <v>460.23700000000002</v>
      </c>
      <c r="BM29" s="36">
        <f>BM20+BM28</f>
        <v>481.51600000000002</v>
      </c>
      <c r="BN29" s="352">
        <f t="shared" si="45"/>
        <v>481.51600000000002</v>
      </c>
      <c r="BO29" s="86">
        <v>478.363</v>
      </c>
      <c r="BP29" s="86">
        <v>504.76900000000001</v>
      </c>
      <c r="BQ29" s="86">
        <v>521.49699999999996</v>
      </c>
      <c r="BR29" s="36">
        <f>BR20+BR28</f>
        <v>570.44799999999998</v>
      </c>
      <c r="BS29" s="352">
        <f t="shared" si="46"/>
        <v>570.44799999999998</v>
      </c>
      <c r="BT29" s="86">
        <v>601.69899999999996</v>
      </c>
      <c r="BU29" s="86">
        <v>614.49400000000003</v>
      </c>
      <c r="BV29" s="86">
        <v>664.60900000000004</v>
      </c>
      <c r="BW29" s="36">
        <f>BW20+BW28</f>
        <v>758.03400000000022</v>
      </c>
      <c r="BX29" s="352">
        <f t="shared" si="47"/>
        <v>758.03400000000022</v>
      </c>
      <c r="BY29" s="61">
        <v>784.97500000000002</v>
      </c>
      <c r="BZ29" s="61">
        <v>837.68299999999999</v>
      </c>
      <c r="CA29" s="61">
        <v>878.56100000000004</v>
      </c>
      <c r="CB29" s="61">
        <v>971.48599999999999</v>
      </c>
      <c r="CC29" s="352">
        <f t="shared" si="48"/>
        <v>971.48599999999999</v>
      </c>
      <c r="CD29" s="61">
        <v>1008.198</v>
      </c>
      <c r="CE29" s="61">
        <v>1017.705</v>
      </c>
      <c r="CF29" s="61">
        <v>1011.803</v>
      </c>
      <c r="CG29" s="441">
        <v>1081.164</v>
      </c>
      <c r="CH29" s="352">
        <f t="shared" si="49"/>
        <v>1081.164</v>
      </c>
      <c r="CI29" s="441">
        <v>1090.885</v>
      </c>
      <c r="CJ29" s="61">
        <v>1086.116</v>
      </c>
      <c r="CK29" s="61">
        <v>1101.4680000000001</v>
      </c>
      <c r="CL29" s="441">
        <v>1247.2049999999999</v>
      </c>
      <c r="CM29" s="352">
        <f t="shared" si="50"/>
        <v>1247.2049999999999</v>
      </c>
      <c r="CN29" s="441">
        <v>1268</v>
      </c>
      <c r="CO29" s="61">
        <v>1277.3</v>
      </c>
      <c r="CP29" s="61">
        <v>1278.9000000000001</v>
      </c>
      <c r="CQ29" s="441">
        <v>1271.4000000000001</v>
      </c>
      <c r="CR29" s="352">
        <f t="shared" si="52"/>
        <v>1271.4000000000001</v>
      </c>
      <c r="CS29" s="441">
        <v>1270</v>
      </c>
      <c r="CT29" s="441">
        <v>1287.4000000000001</v>
      </c>
      <c r="CU29" s="61">
        <v>1323.3</v>
      </c>
      <c r="CV29" s="441">
        <v>1311</v>
      </c>
      <c r="CW29" s="333">
        <f t="shared" si="53"/>
        <v>1311</v>
      </c>
      <c r="CX29" s="441">
        <v>1306</v>
      </c>
      <c r="CY29" s="441">
        <v>1284</v>
      </c>
      <c r="CZ29" s="1035">
        <v>1304</v>
      </c>
      <c r="DA29" s="441">
        <v>1324</v>
      </c>
      <c r="DB29" s="333">
        <f>+DA29</f>
        <v>1324</v>
      </c>
      <c r="DC29" s="36">
        <f t="shared" ref="DC29:DL29" si="82">DC20+DC28</f>
        <v>1325.6950414269274</v>
      </c>
      <c r="DD29" s="36">
        <f t="shared" si="82"/>
        <v>1329.4232676283086</v>
      </c>
      <c r="DE29" s="36">
        <f t="shared" si="82"/>
        <v>1356.4218073041345</v>
      </c>
      <c r="DF29" s="36">
        <f t="shared" si="82"/>
        <v>1397.9100089489748</v>
      </c>
      <c r="DG29" s="333">
        <f t="shared" si="82"/>
        <v>1397.9100089489748</v>
      </c>
      <c r="DH29" s="36">
        <f t="shared" si="82"/>
        <v>1401.0049953160676</v>
      </c>
      <c r="DI29" s="36">
        <f t="shared" si="82"/>
        <v>1406.2649235354907</v>
      </c>
      <c r="DJ29" s="36">
        <f t="shared" si="82"/>
        <v>1436.6088921409644</v>
      </c>
      <c r="DK29" s="36">
        <f t="shared" si="82"/>
        <v>1482.4309641966756</v>
      </c>
      <c r="DL29" s="333">
        <f t="shared" si="82"/>
        <v>1482.4309641966756</v>
      </c>
      <c r="DM29" s="36">
        <f t="shared" ref="DM29:DQ29" si="83">DM20+DM28</f>
        <v>1486.9009466669318</v>
      </c>
      <c r="DN29" s="36">
        <f t="shared" si="83"/>
        <v>1493.4943008880211</v>
      </c>
      <c r="DO29" s="36">
        <f t="shared" si="83"/>
        <v>1527.2337742137329</v>
      </c>
      <c r="DP29" s="36">
        <f t="shared" si="83"/>
        <v>1577.5090276701849</v>
      </c>
      <c r="DQ29" s="333">
        <f t="shared" si="83"/>
        <v>1577.5090276701849</v>
      </c>
      <c r="DR29" s="33"/>
      <c r="DS29" s="260"/>
      <c r="DT29"/>
      <c r="DU29"/>
      <c r="DV29"/>
      <c r="DW29"/>
      <c r="DX29"/>
      <c r="DY29"/>
    </row>
    <row r="30" spans="2:129" s="133" customFormat="1" ht="11.25" customHeight="1">
      <c r="B30" s="116"/>
      <c r="C30" s="33" t="s">
        <v>71</v>
      </c>
      <c r="D30" s="117"/>
      <c r="E30" s="117"/>
      <c r="F30" s="117"/>
      <c r="G30" s="62"/>
      <c r="H30" s="61">
        <v>0</v>
      </c>
      <c r="I30" s="61">
        <v>0</v>
      </c>
      <c r="J30" s="63">
        <v>0</v>
      </c>
      <c r="K30" s="352">
        <f t="shared" si="34"/>
        <v>0</v>
      </c>
      <c r="L30" s="62">
        <v>0</v>
      </c>
      <c r="M30" s="61">
        <v>0</v>
      </c>
      <c r="N30" s="61">
        <v>0</v>
      </c>
      <c r="O30" s="63">
        <v>0</v>
      </c>
      <c r="P30" s="352">
        <f t="shared" si="35"/>
        <v>0</v>
      </c>
      <c r="Q30" s="87">
        <v>0</v>
      </c>
      <c r="R30" s="86">
        <v>1.9550000000000001</v>
      </c>
      <c r="S30" s="86">
        <v>1.9550000000000001</v>
      </c>
      <c r="T30" s="63">
        <v>1.9550000000000001</v>
      </c>
      <c r="U30" s="352">
        <f t="shared" si="36"/>
        <v>1.9550000000000001</v>
      </c>
      <c r="V30" s="62">
        <v>1.9550000000000001</v>
      </c>
      <c r="W30" s="61">
        <v>1.9550000000000001</v>
      </c>
      <c r="X30" s="61">
        <v>1.9550000000000001</v>
      </c>
      <c r="Y30" s="63">
        <v>0</v>
      </c>
      <c r="Z30" s="352">
        <f t="shared" si="37"/>
        <v>0</v>
      </c>
      <c r="AA30" s="62">
        <v>0</v>
      </c>
      <c r="AB30" s="61">
        <v>0</v>
      </c>
      <c r="AC30" s="61">
        <v>0</v>
      </c>
      <c r="AD30" s="61">
        <v>0</v>
      </c>
      <c r="AE30" s="352">
        <f t="shared" si="38"/>
        <v>0</v>
      </c>
      <c r="AF30" s="86">
        <v>0</v>
      </c>
      <c r="AG30" s="86">
        <v>0</v>
      </c>
      <c r="AH30" s="86">
        <v>0</v>
      </c>
      <c r="AI30" s="61">
        <v>0</v>
      </c>
      <c r="AJ30" s="352">
        <f t="shared" si="39"/>
        <v>0</v>
      </c>
      <c r="AK30" s="86">
        <v>0</v>
      </c>
      <c r="AL30" s="86">
        <v>0</v>
      </c>
      <c r="AM30" s="86">
        <v>0</v>
      </c>
      <c r="AN30" s="61">
        <v>0</v>
      </c>
      <c r="AO30" s="352">
        <f t="shared" si="40"/>
        <v>0</v>
      </c>
      <c r="AP30" s="61">
        <v>0</v>
      </c>
      <c r="AQ30" s="61">
        <v>0</v>
      </c>
      <c r="AR30" s="61">
        <v>0</v>
      </c>
      <c r="AS30" s="61">
        <v>0</v>
      </c>
      <c r="AT30" s="352">
        <f t="shared" si="41"/>
        <v>0</v>
      </c>
      <c r="AU30" s="61">
        <v>0</v>
      </c>
      <c r="AV30" s="61">
        <v>0</v>
      </c>
      <c r="AW30" s="61">
        <v>0</v>
      </c>
      <c r="AX30" s="61">
        <v>0</v>
      </c>
      <c r="AY30" s="352">
        <f t="shared" si="42"/>
        <v>0</v>
      </c>
      <c r="AZ30" s="61">
        <v>0</v>
      </c>
      <c r="BA30" s="61">
        <v>0</v>
      </c>
      <c r="BB30" s="61">
        <v>0</v>
      </c>
      <c r="BC30" s="61">
        <v>0</v>
      </c>
      <c r="BD30" s="352">
        <f t="shared" si="43"/>
        <v>0</v>
      </c>
      <c r="BE30" s="61">
        <v>170.42099999999999</v>
      </c>
      <c r="BF30" s="61">
        <v>162.11699999999999</v>
      </c>
      <c r="BG30" s="61">
        <v>162.13399999999999</v>
      </c>
      <c r="BH30" s="61">
        <v>161.69300000000001</v>
      </c>
      <c r="BI30" s="352">
        <f t="shared" si="44"/>
        <v>161.69300000000001</v>
      </c>
      <c r="BJ30" s="61">
        <v>160.482</v>
      </c>
      <c r="BK30" s="61">
        <v>160.78200000000001</v>
      </c>
      <c r="BL30" s="61">
        <v>157.03200000000001</v>
      </c>
      <c r="BM30" s="61">
        <v>151.131</v>
      </c>
      <c r="BN30" s="352">
        <f t="shared" si="45"/>
        <v>151.131</v>
      </c>
      <c r="BO30" s="61">
        <v>137.447</v>
      </c>
      <c r="BP30" s="61">
        <v>0</v>
      </c>
      <c r="BQ30" s="61">
        <v>0</v>
      </c>
      <c r="BR30" s="61">
        <v>0</v>
      </c>
      <c r="BS30" s="352">
        <f t="shared" si="46"/>
        <v>0</v>
      </c>
      <c r="BT30" s="61">
        <v>0</v>
      </c>
      <c r="BU30" s="61">
        <v>0</v>
      </c>
      <c r="BV30" s="61">
        <v>0</v>
      </c>
      <c r="BW30" s="61">
        <v>0</v>
      </c>
      <c r="BX30" s="352">
        <f t="shared" si="47"/>
        <v>0</v>
      </c>
      <c r="BY30" s="61">
        <v>0</v>
      </c>
      <c r="BZ30" s="61">
        <v>0</v>
      </c>
      <c r="CA30" s="61">
        <v>0</v>
      </c>
      <c r="CB30" s="61">
        <v>0</v>
      </c>
      <c r="CC30" s="352">
        <f t="shared" si="48"/>
        <v>0</v>
      </c>
      <c r="CD30" s="61">
        <v>0</v>
      </c>
      <c r="CE30" s="61">
        <v>0</v>
      </c>
      <c r="CF30" s="61">
        <v>0</v>
      </c>
      <c r="CG30" s="441">
        <v>0</v>
      </c>
      <c r="CH30" s="352">
        <f t="shared" si="49"/>
        <v>0</v>
      </c>
      <c r="CI30" s="441">
        <v>0</v>
      </c>
      <c r="CJ30" s="61">
        <f t="shared" ref="CJ30:CP30" si="84">CI30</f>
        <v>0</v>
      </c>
      <c r="CK30" s="61">
        <f t="shared" si="84"/>
        <v>0</v>
      </c>
      <c r="CL30" s="441">
        <f t="shared" si="84"/>
        <v>0</v>
      </c>
      <c r="CM30" s="352">
        <f t="shared" si="50"/>
        <v>0</v>
      </c>
      <c r="CN30" s="441">
        <f>CL30</f>
        <v>0</v>
      </c>
      <c r="CO30" s="61">
        <v>0</v>
      </c>
      <c r="CP30" s="61">
        <f t="shared" si="84"/>
        <v>0</v>
      </c>
      <c r="CQ30" s="441">
        <v>0</v>
      </c>
      <c r="CR30" s="352">
        <f t="shared" si="52"/>
        <v>0</v>
      </c>
      <c r="CS30" s="441">
        <v>0</v>
      </c>
      <c r="CT30" s="441">
        <v>0</v>
      </c>
      <c r="CU30" s="61">
        <v>0</v>
      </c>
      <c r="CV30" s="441">
        <v>0</v>
      </c>
      <c r="CW30" s="333">
        <f t="shared" si="53"/>
        <v>0</v>
      </c>
      <c r="CX30" s="441">
        <v>110</v>
      </c>
      <c r="CY30" s="441">
        <v>198</v>
      </c>
      <c r="CZ30" s="1035">
        <v>262</v>
      </c>
      <c r="DA30" s="441">
        <v>235</v>
      </c>
      <c r="DB30" s="333">
        <f t="shared" ref="DB30:DB39" si="85">DA30</f>
        <v>235</v>
      </c>
      <c r="DC30" s="36">
        <f>DA30</f>
        <v>235</v>
      </c>
      <c r="DD30" s="36">
        <f t="shared" ref="DD30:DF31" si="86">DC30</f>
        <v>235</v>
      </c>
      <c r="DE30" s="36">
        <f t="shared" si="86"/>
        <v>235</v>
      </c>
      <c r="DF30" s="36">
        <f t="shared" si="86"/>
        <v>235</v>
      </c>
      <c r="DG30" s="333">
        <f t="shared" ref="DG30:DG39" si="87">DF30</f>
        <v>235</v>
      </c>
      <c r="DH30" s="36">
        <f>DF30</f>
        <v>235</v>
      </c>
      <c r="DI30" s="36">
        <f t="shared" ref="DI30:DK31" si="88">DH30</f>
        <v>235</v>
      </c>
      <c r="DJ30" s="36">
        <f t="shared" si="88"/>
        <v>235</v>
      </c>
      <c r="DK30" s="36">
        <f t="shared" si="88"/>
        <v>235</v>
      </c>
      <c r="DL30" s="333">
        <f t="shared" ref="DL30:DL39" si="89">DK30</f>
        <v>235</v>
      </c>
      <c r="DM30" s="36">
        <f>DK30</f>
        <v>235</v>
      </c>
      <c r="DN30" s="36">
        <f t="shared" ref="DN30:DN31" si="90">DM30</f>
        <v>235</v>
      </c>
      <c r="DO30" s="36">
        <f t="shared" ref="DO30:DO31" si="91">DN30</f>
        <v>235</v>
      </c>
      <c r="DP30" s="36">
        <f t="shared" ref="DP30:DP31" si="92">DO30</f>
        <v>235</v>
      </c>
      <c r="DQ30" s="333">
        <f t="shared" ref="DQ30:DQ39" si="93">DP30</f>
        <v>235</v>
      </c>
      <c r="DR30" s="117"/>
      <c r="DS30" s="260"/>
      <c r="DT30"/>
      <c r="DU30"/>
      <c r="DV30"/>
      <c r="DW30"/>
      <c r="DX30"/>
      <c r="DY30"/>
    </row>
    <row r="31" spans="2:129" ht="11.25" customHeight="1">
      <c r="B31" s="3"/>
      <c r="C31" s="4" t="s">
        <v>53</v>
      </c>
      <c r="D31" s="4"/>
      <c r="E31" s="4"/>
      <c r="F31" s="4"/>
      <c r="G31" s="14"/>
      <c r="H31" s="86">
        <v>1.988</v>
      </c>
      <c r="I31" s="86">
        <v>1.909</v>
      </c>
      <c r="J31" s="88">
        <v>1.83</v>
      </c>
      <c r="K31" s="352">
        <f t="shared" si="34"/>
        <v>1.83</v>
      </c>
      <c r="L31" s="87">
        <v>1.7509999999999999</v>
      </c>
      <c r="M31" s="86">
        <v>1.671</v>
      </c>
      <c r="N31" s="86">
        <v>1.5920000000000001</v>
      </c>
      <c r="O31" s="88">
        <v>1.5129999999999999</v>
      </c>
      <c r="P31" s="352">
        <f t="shared" si="35"/>
        <v>1.5129999999999999</v>
      </c>
      <c r="Q31" s="87">
        <v>1.4330000000000001</v>
      </c>
      <c r="R31" s="86">
        <v>1.3540000000000001</v>
      </c>
      <c r="S31" s="86">
        <v>1.2749999999999999</v>
      </c>
      <c r="T31" s="88">
        <v>1.1950000000000001</v>
      </c>
      <c r="U31" s="352">
        <f t="shared" si="36"/>
        <v>1.1950000000000001</v>
      </c>
      <c r="V31" s="87">
        <v>1.1160000000000001</v>
      </c>
      <c r="W31" s="86">
        <v>1.036</v>
      </c>
      <c r="X31" s="86">
        <v>0.95699999999999996</v>
      </c>
      <c r="Y31" s="88">
        <v>0.878</v>
      </c>
      <c r="Z31" s="352">
        <f t="shared" si="37"/>
        <v>0.878</v>
      </c>
      <c r="AA31" s="87">
        <v>0.878</v>
      </c>
      <c r="AB31" s="86">
        <v>0.878</v>
      </c>
      <c r="AC31" s="86">
        <v>0.878</v>
      </c>
      <c r="AD31" s="86">
        <v>0.878</v>
      </c>
      <c r="AE31" s="352">
        <f t="shared" si="38"/>
        <v>0.878</v>
      </c>
      <c r="AF31" s="86">
        <v>0.878</v>
      </c>
      <c r="AG31" s="86">
        <v>4.4770000000000003</v>
      </c>
      <c r="AH31" s="86">
        <v>4.4770000000000003</v>
      </c>
      <c r="AI31" s="86">
        <v>4.4770000000000003</v>
      </c>
      <c r="AJ31" s="352">
        <f t="shared" si="39"/>
        <v>4.4770000000000003</v>
      </c>
      <c r="AK31" s="86">
        <v>5.6470000000000002</v>
      </c>
      <c r="AL31" s="86">
        <v>5.6470000000000002</v>
      </c>
      <c r="AM31" s="86">
        <v>5.6029999999999998</v>
      </c>
      <c r="AN31" s="86">
        <v>9.7010000000000005</v>
      </c>
      <c r="AO31" s="352">
        <f t="shared" si="40"/>
        <v>9.7010000000000005</v>
      </c>
      <c r="AP31" s="86">
        <v>9.6839999999999993</v>
      </c>
      <c r="AQ31" s="168">
        <v>18.907</v>
      </c>
      <c r="AR31" s="86">
        <v>18.289000000000001</v>
      </c>
      <c r="AS31" s="86">
        <v>18.222999999999999</v>
      </c>
      <c r="AT31" s="352">
        <f t="shared" si="41"/>
        <v>18.222999999999999</v>
      </c>
      <c r="AU31" s="86">
        <v>18.27</v>
      </c>
      <c r="AV31" s="86">
        <v>18.43</v>
      </c>
      <c r="AW31" s="86">
        <v>26.774999999999999</v>
      </c>
      <c r="AX31" s="86">
        <v>27.19</v>
      </c>
      <c r="AY31" s="352">
        <f t="shared" si="42"/>
        <v>27.19</v>
      </c>
      <c r="AZ31" s="86">
        <v>27.262</v>
      </c>
      <c r="BA31" s="86">
        <v>43.350999999999999</v>
      </c>
      <c r="BB31" s="86">
        <v>43.595999999999997</v>
      </c>
      <c r="BC31" s="86">
        <v>148.78899999999999</v>
      </c>
      <c r="BD31" s="352">
        <f t="shared" si="43"/>
        <v>148.78899999999999</v>
      </c>
      <c r="BE31" s="86">
        <v>151.38</v>
      </c>
      <c r="BF31" s="86">
        <v>157.73699999999999</v>
      </c>
      <c r="BG31" s="86">
        <v>156.298</v>
      </c>
      <c r="BH31" s="86">
        <v>154.035</v>
      </c>
      <c r="BI31" s="352">
        <f t="shared" si="44"/>
        <v>154.035</v>
      </c>
      <c r="BJ31" s="86">
        <v>155.006</v>
      </c>
      <c r="BK31" s="86">
        <v>154.196</v>
      </c>
      <c r="BL31" s="86">
        <v>160.881</v>
      </c>
      <c r="BM31" s="86">
        <v>192.37200000000001</v>
      </c>
      <c r="BN31" s="352">
        <f t="shared" si="45"/>
        <v>192.37200000000001</v>
      </c>
      <c r="BO31" s="86">
        <v>193.898</v>
      </c>
      <c r="BP31" s="86">
        <v>214.81399999999999</v>
      </c>
      <c r="BQ31" s="86">
        <v>222.84399999999999</v>
      </c>
      <c r="BR31" s="86">
        <v>223.96299999999999</v>
      </c>
      <c r="BS31" s="352">
        <f t="shared" si="46"/>
        <v>223.96299999999999</v>
      </c>
      <c r="BT31" s="86">
        <v>224.00899999999999</v>
      </c>
      <c r="BU31" s="86">
        <v>224.136</v>
      </c>
      <c r="BV31" s="86">
        <v>289.05599999999998</v>
      </c>
      <c r="BW31" s="86">
        <v>288.77199999999999</v>
      </c>
      <c r="BX31" s="352">
        <f t="shared" si="47"/>
        <v>288.77199999999999</v>
      </c>
      <c r="BY31" s="86">
        <v>289.904</v>
      </c>
      <c r="BZ31" s="86">
        <v>289.21100000000001</v>
      </c>
      <c r="CA31" s="86">
        <v>301.40300000000002</v>
      </c>
      <c r="CB31" s="61">
        <v>309.185</v>
      </c>
      <c r="CC31" s="352">
        <f t="shared" si="48"/>
        <v>309.185</v>
      </c>
      <c r="CD31" s="61">
        <v>407.34899999999999</v>
      </c>
      <c r="CE31" s="86">
        <v>412.64699999999999</v>
      </c>
      <c r="CF31" s="61">
        <v>417.959</v>
      </c>
      <c r="CG31" s="441">
        <v>444.23599999999999</v>
      </c>
      <c r="CH31" s="352">
        <f t="shared" si="49"/>
        <v>444.23599999999999</v>
      </c>
      <c r="CI31" s="441">
        <v>445.18200000000002</v>
      </c>
      <c r="CJ31" s="86">
        <v>449.541</v>
      </c>
      <c r="CK31" s="86">
        <v>437.77600000000001</v>
      </c>
      <c r="CL31" s="441">
        <v>2413.5639999999999</v>
      </c>
      <c r="CM31" s="352">
        <f t="shared" si="50"/>
        <v>2413.5639999999999</v>
      </c>
      <c r="CN31" s="441">
        <v>2403.6</v>
      </c>
      <c r="CO31" s="86">
        <v>2405.3000000000002</v>
      </c>
      <c r="CP31" s="86">
        <v>2403.6</v>
      </c>
      <c r="CQ31" s="441">
        <v>2404.6999999999998</v>
      </c>
      <c r="CR31" s="352">
        <f t="shared" si="52"/>
        <v>2404.6999999999998</v>
      </c>
      <c r="CS31" s="441">
        <v>2461.8000000000002</v>
      </c>
      <c r="CT31" s="441">
        <v>2457.9</v>
      </c>
      <c r="CU31" s="86">
        <v>2482</v>
      </c>
      <c r="CV31" s="441">
        <v>2554</v>
      </c>
      <c r="CW31" s="352">
        <f t="shared" si="53"/>
        <v>2554</v>
      </c>
      <c r="CX31" s="441">
        <v>2563</v>
      </c>
      <c r="CY31" s="441">
        <v>2576</v>
      </c>
      <c r="CZ31" s="1035">
        <v>2608</v>
      </c>
      <c r="DA31" s="441">
        <v>2704</v>
      </c>
      <c r="DB31" s="352">
        <f t="shared" si="85"/>
        <v>2704</v>
      </c>
      <c r="DC31" s="15">
        <f>DA31</f>
        <v>2704</v>
      </c>
      <c r="DD31" s="15">
        <f t="shared" si="86"/>
        <v>2704</v>
      </c>
      <c r="DE31" s="15">
        <f t="shared" si="86"/>
        <v>2704</v>
      </c>
      <c r="DF31" s="15">
        <f t="shared" si="86"/>
        <v>2704</v>
      </c>
      <c r="DG31" s="352">
        <f t="shared" si="87"/>
        <v>2704</v>
      </c>
      <c r="DH31" s="15">
        <f>DF31</f>
        <v>2704</v>
      </c>
      <c r="DI31" s="15">
        <f t="shared" si="88"/>
        <v>2704</v>
      </c>
      <c r="DJ31" s="15">
        <f t="shared" si="88"/>
        <v>2704</v>
      </c>
      <c r="DK31" s="15">
        <f t="shared" si="88"/>
        <v>2704</v>
      </c>
      <c r="DL31" s="352">
        <f t="shared" si="89"/>
        <v>2704</v>
      </c>
      <c r="DM31" s="15">
        <f>DK31</f>
        <v>2704</v>
      </c>
      <c r="DN31" s="15">
        <f t="shared" si="90"/>
        <v>2704</v>
      </c>
      <c r="DO31" s="15">
        <f t="shared" si="91"/>
        <v>2704</v>
      </c>
      <c r="DP31" s="15">
        <f t="shared" si="92"/>
        <v>2704</v>
      </c>
      <c r="DQ31" s="352">
        <f t="shared" si="93"/>
        <v>2704</v>
      </c>
      <c r="DR31" s="4"/>
      <c r="DS31" s="260"/>
    </row>
    <row r="32" spans="2:129" ht="11.25" hidden="1" customHeight="1" outlineLevel="1">
      <c r="B32" s="3"/>
      <c r="C32" s="4" t="s">
        <v>164</v>
      </c>
      <c r="D32" s="4"/>
      <c r="E32" s="4"/>
      <c r="F32" s="4"/>
      <c r="G32" s="14"/>
      <c r="H32" s="15"/>
      <c r="I32" s="15"/>
      <c r="J32" s="16"/>
      <c r="K32" s="352"/>
      <c r="L32" s="14"/>
      <c r="M32" s="15"/>
      <c r="N32" s="15"/>
      <c r="O32" s="16"/>
      <c r="P32" s="352"/>
      <c r="Q32" s="14"/>
      <c r="R32" s="15"/>
      <c r="S32" s="15"/>
      <c r="T32" s="16"/>
      <c r="U32" s="352"/>
      <c r="V32" s="14"/>
      <c r="W32" s="15"/>
      <c r="X32" s="15"/>
      <c r="Y32" s="16"/>
      <c r="Z32" s="352"/>
      <c r="AA32" s="14"/>
      <c r="AB32" s="15"/>
      <c r="AC32" s="15"/>
      <c r="AD32" s="15"/>
      <c r="AE32" s="352"/>
      <c r="AF32" s="15"/>
      <c r="AG32" s="15"/>
      <c r="AH32" s="15"/>
      <c r="AI32" s="15"/>
      <c r="AJ32" s="352"/>
      <c r="AK32" s="15"/>
      <c r="AL32" s="15"/>
      <c r="AM32" s="15"/>
      <c r="AN32" s="15"/>
      <c r="AO32" s="352"/>
      <c r="AP32" s="15"/>
      <c r="AQ32" s="110"/>
      <c r="AR32" s="15"/>
      <c r="AS32" s="15">
        <f>SUM(AS33:AS35)</f>
        <v>21.914999999999999</v>
      </c>
      <c r="AT32" s="352">
        <f t="shared" si="41"/>
        <v>21.914999999999999</v>
      </c>
      <c r="AU32" s="15">
        <f t="shared" ref="AU32:BZ32" si="94">AU123</f>
        <v>22.120249999999999</v>
      </c>
      <c r="AV32" s="15">
        <f t="shared" si="94"/>
        <v>22.410499999999999</v>
      </c>
      <c r="AW32" s="15">
        <f t="shared" si="94"/>
        <v>29.142749999999999</v>
      </c>
      <c r="AX32" s="15">
        <f>SUM(AX33:AX35)</f>
        <v>28.818000000000001</v>
      </c>
      <c r="AY32" s="352">
        <f t="shared" si="42"/>
        <v>28.818000000000001</v>
      </c>
      <c r="AZ32" s="15">
        <f t="shared" si="94"/>
        <v>28.47025</v>
      </c>
      <c r="BA32" s="15">
        <f t="shared" si="94"/>
        <v>24.606500000000004</v>
      </c>
      <c r="BB32" s="15">
        <f t="shared" si="94"/>
        <v>24.755750000000003</v>
      </c>
      <c r="BC32" s="15">
        <f>SUM(BC33:BC35)</f>
        <v>56.912999999999997</v>
      </c>
      <c r="BD32" s="352">
        <f t="shared" si="43"/>
        <v>56.912999999999997</v>
      </c>
      <c r="BE32" s="15">
        <f t="shared" si="94"/>
        <v>57.943750000000001</v>
      </c>
      <c r="BF32" s="15">
        <f t="shared" si="94"/>
        <v>62.544499999999999</v>
      </c>
      <c r="BG32" s="15">
        <f t="shared" si="94"/>
        <v>62.250249999999994</v>
      </c>
      <c r="BH32" s="15">
        <f>SUM(BH33:BH35)</f>
        <v>67.201000000000008</v>
      </c>
      <c r="BI32" s="352">
        <f t="shared" si="44"/>
        <v>67.201000000000008</v>
      </c>
      <c r="BJ32" s="15">
        <f t="shared" si="94"/>
        <v>69.028999999999996</v>
      </c>
      <c r="BK32" s="15">
        <f t="shared" si="94"/>
        <v>70.430999999999997</v>
      </c>
      <c r="BL32" s="15">
        <f t="shared" si="94"/>
        <v>92.628</v>
      </c>
      <c r="BM32" s="15">
        <f>SUM(BM33:BM35)</f>
        <v>105.492</v>
      </c>
      <c r="BN32" s="352">
        <f t="shared" si="45"/>
        <v>105.492</v>
      </c>
      <c r="BO32" s="15">
        <f t="shared" si="94"/>
        <v>108.539</v>
      </c>
      <c r="BP32" s="15">
        <f t="shared" si="94"/>
        <v>126.82499999999999</v>
      </c>
      <c r="BQ32" s="15">
        <f t="shared" si="94"/>
        <v>125.42899999999999</v>
      </c>
      <c r="BR32" s="15">
        <f>SUM(BR33:BR35)</f>
        <v>123.10700000000001</v>
      </c>
      <c r="BS32" s="352">
        <f t="shared" si="46"/>
        <v>123.10700000000001</v>
      </c>
      <c r="BT32" s="15">
        <f t="shared" si="94"/>
        <v>123.779</v>
      </c>
      <c r="BU32" s="15">
        <f t="shared" si="94"/>
        <v>133.857</v>
      </c>
      <c r="BV32" s="15">
        <f t="shared" si="94"/>
        <v>152.59199999999998</v>
      </c>
      <c r="BW32" s="15">
        <f>SUM(BW33:BW35)</f>
        <v>151.65899999999999</v>
      </c>
      <c r="BX32" s="352">
        <f t="shared" si="47"/>
        <v>151.65899999999999</v>
      </c>
      <c r="BY32" s="15">
        <f t="shared" si="94"/>
        <v>152.2835</v>
      </c>
      <c r="BZ32" s="15">
        <f t="shared" si="94"/>
        <v>150.21199999999999</v>
      </c>
      <c r="CA32" s="15">
        <f t="shared" ref="CA32:CN32" si="95">CA123</f>
        <v>156.08449999999999</v>
      </c>
      <c r="CB32" s="15">
        <f>SUM(CB33:CB35)</f>
        <v>160.79599999999999</v>
      </c>
      <c r="CC32" s="352">
        <f t="shared" si="48"/>
        <v>160.79599999999999</v>
      </c>
      <c r="CD32" s="15">
        <f t="shared" si="95"/>
        <v>200.64150000000001</v>
      </c>
      <c r="CE32" s="15">
        <f t="shared" si="95"/>
        <v>204.95100000000002</v>
      </c>
      <c r="CF32" s="15">
        <f t="shared" si="95"/>
        <v>205.9205</v>
      </c>
      <c r="CG32" s="15">
        <f>SUM(CG33:CG35)</f>
        <v>229.23099999999999</v>
      </c>
      <c r="CH32" s="352">
        <f t="shared" si="49"/>
        <v>229.23099999999999</v>
      </c>
      <c r="CI32" s="15">
        <f t="shared" si="95"/>
        <v>222.15350000000001</v>
      </c>
      <c r="CJ32" s="15">
        <f t="shared" si="95"/>
        <v>223.19000000000003</v>
      </c>
      <c r="CK32" s="15">
        <f t="shared" si="95"/>
        <v>216.74950000000001</v>
      </c>
      <c r="CL32" s="15">
        <f>SUM(CL33:CL35)</f>
        <v>1085.3779999999999</v>
      </c>
      <c r="CM32" s="352">
        <f t="shared" si="50"/>
        <v>1085.3779999999999</v>
      </c>
      <c r="CN32" s="15">
        <f t="shared" si="95"/>
        <v>1065.2176178937989</v>
      </c>
      <c r="CO32" s="15">
        <f>CO123</f>
        <v>1067.8486777418429</v>
      </c>
      <c r="CP32" s="15">
        <f t="shared" ref="CP32:DA32" si="96">CP123</f>
        <v>1068.1413166601478</v>
      </c>
      <c r="CQ32" s="15">
        <f t="shared" si="96"/>
        <v>1076.0408046938483</v>
      </c>
      <c r="CR32" s="352">
        <f t="shared" si="52"/>
        <v>1076.0408046938483</v>
      </c>
      <c r="CS32" s="15">
        <f>CS123</f>
        <v>1099.2251775864063</v>
      </c>
      <c r="CT32" s="15">
        <f t="shared" si="96"/>
        <v>1224.0521729238189</v>
      </c>
      <c r="CU32" s="15">
        <f t="shared" si="96"/>
        <v>1228.2007020766052</v>
      </c>
      <c r="CV32" s="15">
        <f t="shared" si="96"/>
        <v>1271.046326158026</v>
      </c>
      <c r="CW32" s="352">
        <f t="shared" si="53"/>
        <v>1271.046326158026</v>
      </c>
      <c r="CX32" s="15">
        <f t="shared" si="96"/>
        <v>1274.8224843119765</v>
      </c>
      <c r="CY32" s="15">
        <f>CY123</f>
        <v>1277.693046419776</v>
      </c>
      <c r="CZ32" s="15">
        <f t="shared" si="96"/>
        <v>1372.6353725802705</v>
      </c>
      <c r="DA32" s="15">
        <f t="shared" si="96"/>
        <v>1422.6353725802705</v>
      </c>
      <c r="DB32" s="352">
        <f t="shared" si="85"/>
        <v>1422.6353725802705</v>
      </c>
      <c r="DC32" s="15">
        <f t="shared" ref="DC32:DK32" si="97">DC123</f>
        <v>1427.6353725802705</v>
      </c>
      <c r="DD32" s="15">
        <f t="shared" si="97"/>
        <v>1432.6353725802705</v>
      </c>
      <c r="DE32" s="15">
        <f t="shared" si="97"/>
        <v>1437.6353725802705</v>
      </c>
      <c r="DF32" s="15">
        <f t="shared" si="97"/>
        <v>1442.6353725802705</v>
      </c>
      <c r="DG32" s="352">
        <f t="shared" si="87"/>
        <v>1442.6353725802705</v>
      </c>
      <c r="DH32" s="15">
        <f t="shared" si="97"/>
        <v>1447.6353725802705</v>
      </c>
      <c r="DI32" s="15">
        <f t="shared" si="97"/>
        <v>1452.6353725802705</v>
      </c>
      <c r="DJ32" s="15">
        <f t="shared" si="97"/>
        <v>1457.6353725802705</v>
      </c>
      <c r="DK32" s="15">
        <f t="shared" si="97"/>
        <v>1462.6353725802705</v>
      </c>
      <c r="DL32" s="352">
        <f t="shared" si="89"/>
        <v>1462.6353725802705</v>
      </c>
      <c r="DM32" s="15">
        <f t="shared" ref="DM32:DP32" si="98">DM123</f>
        <v>1467.6353725802705</v>
      </c>
      <c r="DN32" s="15">
        <f t="shared" si="98"/>
        <v>1472.6353725802705</v>
      </c>
      <c r="DO32" s="15">
        <f t="shared" si="98"/>
        <v>1477.6353725802705</v>
      </c>
      <c r="DP32" s="15">
        <f t="shared" si="98"/>
        <v>1482.6353725802705</v>
      </c>
      <c r="DQ32" s="352">
        <f t="shared" si="93"/>
        <v>1482.6353725802705</v>
      </c>
      <c r="DR32" s="4"/>
      <c r="DS32" s="260"/>
    </row>
    <row r="33" spans="2:129" s="220" customFormat="1" ht="11.25" hidden="1" customHeight="1" outlineLevel="1">
      <c r="B33" s="224"/>
      <c r="C33" s="225"/>
      <c r="D33" s="225" t="s">
        <v>165</v>
      </c>
      <c r="E33" s="225"/>
      <c r="F33" s="225"/>
      <c r="G33" s="314"/>
      <c r="H33" s="315"/>
      <c r="I33" s="315"/>
      <c r="J33" s="316"/>
      <c r="K33" s="807"/>
      <c r="L33" s="314"/>
      <c r="M33" s="315"/>
      <c r="N33" s="315"/>
      <c r="O33" s="316"/>
      <c r="P33" s="807"/>
      <c r="Q33" s="314"/>
      <c r="R33" s="315"/>
      <c r="S33" s="315"/>
      <c r="T33" s="316"/>
      <c r="U33" s="807"/>
      <c r="V33" s="314"/>
      <c r="W33" s="315"/>
      <c r="X33" s="315"/>
      <c r="Y33" s="316"/>
      <c r="Z33" s="807"/>
      <c r="AA33" s="314"/>
      <c r="AB33" s="315"/>
      <c r="AC33" s="315"/>
      <c r="AD33" s="315"/>
      <c r="AE33" s="807"/>
      <c r="AF33" s="315"/>
      <c r="AG33" s="315"/>
      <c r="AH33" s="315"/>
      <c r="AI33" s="315"/>
      <c r="AJ33" s="807"/>
      <c r="AK33" s="315"/>
      <c r="AL33" s="315"/>
      <c r="AM33" s="315"/>
      <c r="AN33" s="315"/>
      <c r="AO33" s="807"/>
      <c r="AP33" s="315"/>
      <c r="AQ33" s="317"/>
      <c r="AR33" s="315"/>
      <c r="AS33" s="315">
        <v>20.823</v>
      </c>
      <c r="AT33" s="807">
        <f t="shared" si="41"/>
        <v>20.823</v>
      </c>
      <c r="AU33" s="315">
        <f t="shared" ref="AU33:AW35" si="99">AU134*AU$32</f>
        <v>21.018022621492129</v>
      </c>
      <c r="AV33" s="315">
        <f t="shared" si="99"/>
        <v>21.293809787816564</v>
      </c>
      <c r="AW33" s="315">
        <f t="shared" si="99"/>
        <v>27.690599281314167</v>
      </c>
      <c r="AX33" s="315">
        <v>24.971</v>
      </c>
      <c r="AY33" s="807">
        <f t="shared" si="42"/>
        <v>24.971</v>
      </c>
      <c r="AZ33" s="315">
        <f t="shared" ref="AZ33:BB35" si="100">AZ134*AZ$32</f>
        <v>24.669672175376501</v>
      </c>
      <c r="BA33" s="315">
        <f t="shared" si="100"/>
        <v>21.321705583315985</v>
      </c>
      <c r="BB33" s="315">
        <f t="shared" si="100"/>
        <v>21.451031759664101</v>
      </c>
      <c r="BC33" s="315">
        <v>47.99</v>
      </c>
      <c r="BD33" s="807">
        <f t="shared" si="43"/>
        <v>47.99</v>
      </c>
      <c r="BE33" s="315">
        <f t="shared" ref="BE33:BG35" si="101">BE134*BE$32</f>
        <v>48.859145757559787</v>
      </c>
      <c r="BF33" s="315">
        <f t="shared" si="101"/>
        <v>52.738575632983682</v>
      </c>
      <c r="BG33" s="315">
        <f t="shared" si="101"/>
        <v>52.490459077890819</v>
      </c>
      <c r="BH33" s="315">
        <v>58.47</v>
      </c>
      <c r="BI33" s="807">
        <f t="shared" si="44"/>
        <v>58.47</v>
      </c>
      <c r="BJ33" s="315">
        <f t="shared" ref="BJ33:BL35" si="102">BJ134*BJ$32</f>
        <v>60.060499546137699</v>
      </c>
      <c r="BK33" s="315">
        <f t="shared" si="102"/>
        <v>61.280346572223621</v>
      </c>
      <c r="BL33" s="315">
        <f t="shared" si="102"/>
        <v>80.593431050133177</v>
      </c>
      <c r="BM33" s="315">
        <v>94.489000000000004</v>
      </c>
      <c r="BN33" s="807">
        <f t="shared" si="45"/>
        <v>94.489000000000004</v>
      </c>
      <c r="BO33" s="315">
        <f t="shared" ref="BO33:BQ35" si="103">BO134*BO$32</f>
        <v>97.218192573844462</v>
      </c>
      <c r="BP33" s="315">
        <f t="shared" si="103"/>
        <v>113.59693080991921</v>
      </c>
      <c r="BQ33" s="315">
        <f t="shared" si="103"/>
        <v>112.34653605012701</v>
      </c>
      <c r="BR33" s="315">
        <v>117.29900000000001</v>
      </c>
      <c r="BS33" s="807">
        <f t="shared" si="46"/>
        <v>117.29900000000001</v>
      </c>
      <c r="BT33" s="315">
        <f t="shared" ref="BT33:BV35" si="104">BT134*BT$32</f>
        <v>117.93929606764847</v>
      </c>
      <c r="BU33" s="315">
        <f t="shared" si="104"/>
        <v>127.54183143931702</v>
      </c>
      <c r="BV33" s="315">
        <f t="shared" si="104"/>
        <v>145.39294278960577</v>
      </c>
      <c r="BW33" s="315">
        <v>134.285</v>
      </c>
      <c r="BX33" s="807">
        <f t="shared" si="47"/>
        <v>134.285</v>
      </c>
      <c r="BY33" s="315">
        <f t="shared" ref="BY33:CA35" si="105">BY134*BY$32</f>
        <v>134.83795750664319</v>
      </c>
      <c r="BZ33" s="315">
        <f t="shared" si="105"/>
        <v>133.00376779485555</v>
      </c>
      <c r="CA33" s="315">
        <f t="shared" si="105"/>
        <v>138.20351632609999</v>
      </c>
      <c r="CB33" s="315">
        <v>142.65299999999999</v>
      </c>
      <c r="CC33" s="807">
        <f t="shared" si="48"/>
        <v>142.65299999999999</v>
      </c>
      <c r="CD33" s="315">
        <f t="shared" ref="CD33:CF35" si="106">CD134*CD$32</f>
        <v>178.00263625649893</v>
      </c>
      <c r="CE33" s="315">
        <f t="shared" si="106"/>
        <v>181.8258849909202</v>
      </c>
      <c r="CF33" s="315">
        <f t="shared" si="106"/>
        <v>182.68599397062115</v>
      </c>
      <c r="CG33" s="315">
        <v>203.54300000000001</v>
      </c>
      <c r="CH33" s="807">
        <f t="shared" si="49"/>
        <v>203.54300000000001</v>
      </c>
      <c r="CI33" s="315">
        <f t="shared" ref="CI33:CK35" si="107">CI134*CI$32</f>
        <v>197.2586162015609</v>
      </c>
      <c r="CJ33" s="315">
        <f t="shared" si="107"/>
        <v>198.17896431983462</v>
      </c>
      <c r="CK33" s="315">
        <f t="shared" si="107"/>
        <v>192.4601972617142</v>
      </c>
      <c r="CL33" s="315">
        <v>644.40800000000002</v>
      </c>
      <c r="CM33" s="807">
        <f t="shared" si="50"/>
        <v>644.40800000000002</v>
      </c>
      <c r="CN33" s="315">
        <f t="shared" ref="CN33:CQ35" si="108">CN134*CN$32</f>
        <v>945.84759303478813</v>
      </c>
      <c r="CO33" s="315">
        <f t="shared" si="108"/>
        <v>948.18381202196895</v>
      </c>
      <c r="CP33" s="315">
        <f t="shared" si="108"/>
        <v>948.44365734545715</v>
      </c>
      <c r="CQ33" s="315">
        <f t="shared" si="108"/>
        <v>955.45791585693019</v>
      </c>
      <c r="CR33" s="807">
        <f t="shared" si="52"/>
        <v>955.45791585693019</v>
      </c>
      <c r="CS33" s="315">
        <f t="shared" ref="CS33:CV35" si="109">CS134*CS$32</f>
        <v>976.04421008271095</v>
      </c>
      <c r="CT33" s="315">
        <f t="shared" si="109"/>
        <v>1086.8828885858932</v>
      </c>
      <c r="CU33" s="315">
        <f t="shared" si="109"/>
        <v>1090.5665267907852</v>
      </c>
      <c r="CV33" s="315">
        <f t="shared" si="109"/>
        <v>1128.6108003070401</v>
      </c>
      <c r="CW33" s="807">
        <f t="shared" si="53"/>
        <v>1128.6108003070401</v>
      </c>
      <c r="CX33" s="315">
        <f t="shared" ref="CX33:DA35" si="110">CX134*CX$32</f>
        <v>1131.9637960149921</v>
      </c>
      <c r="CY33" s="315">
        <f t="shared" si="110"/>
        <v>1134.5126782477957</v>
      </c>
      <c r="CZ33" s="315">
        <f t="shared" si="110"/>
        <v>1218.8156123783695</v>
      </c>
      <c r="DA33" s="315">
        <f t="shared" si="110"/>
        <v>1263.2125307707336</v>
      </c>
      <c r="DB33" s="807">
        <f t="shared" si="85"/>
        <v>1263.2125307707336</v>
      </c>
      <c r="DC33" s="315">
        <f t="shared" ref="DC33:DF35" si="111">DC134*DC$32</f>
        <v>1267.6522226099701</v>
      </c>
      <c r="DD33" s="315">
        <f t="shared" si="111"/>
        <v>1272.0919144492063</v>
      </c>
      <c r="DE33" s="315">
        <f t="shared" si="111"/>
        <v>1276.5316062884428</v>
      </c>
      <c r="DF33" s="315">
        <f t="shared" si="111"/>
        <v>1280.9712981276791</v>
      </c>
      <c r="DG33" s="807">
        <f t="shared" si="87"/>
        <v>1280.9712981276791</v>
      </c>
      <c r="DH33" s="315">
        <f t="shared" ref="DH33:DK35" si="112">DH134*DH$32</f>
        <v>1285.4109899669156</v>
      </c>
      <c r="DI33" s="315">
        <f t="shared" si="112"/>
        <v>1289.8506818061519</v>
      </c>
      <c r="DJ33" s="315">
        <f t="shared" si="112"/>
        <v>1294.2903736453884</v>
      </c>
      <c r="DK33" s="315">
        <f t="shared" si="112"/>
        <v>1298.7300654846249</v>
      </c>
      <c r="DL33" s="807">
        <f t="shared" si="89"/>
        <v>1298.7300654846249</v>
      </c>
      <c r="DM33" s="315">
        <f t="shared" ref="DM33:DP35" si="113">DM134*DM$32</f>
        <v>1303.1697573238612</v>
      </c>
      <c r="DN33" s="315">
        <f t="shared" si="113"/>
        <v>1307.6094491630977</v>
      </c>
      <c r="DO33" s="315">
        <f t="shared" si="113"/>
        <v>1312.049141002334</v>
      </c>
      <c r="DP33" s="315">
        <f t="shared" si="113"/>
        <v>1316.4888328415705</v>
      </c>
      <c r="DQ33" s="807">
        <f t="shared" si="93"/>
        <v>1316.4888328415705</v>
      </c>
      <c r="DR33" s="225"/>
      <c r="DS33" s="260"/>
      <c r="DT33"/>
      <c r="DU33"/>
      <c r="DV33"/>
      <c r="DW33"/>
      <c r="DX33"/>
      <c r="DY33"/>
    </row>
    <row r="34" spans="2:129" s="220" customFormat="1" ht="11.25" hidden="1" customHeight="1" outlineLevel="1">
      <c r="B34" s="224"/>
      <c r="C34" s="225"/>
      <c r="D34" s="225" t="s">
        <v>166</v>
      </c>
      <c r="E34" s="225"/>
      <c r="F34" s="225"/>
      <c r="G34" s="314"/>
      <c r="H34" s="315"/>
      <c r="I34" s="315"/>
      <c r="J34" s="316"/>
      <c r="K34" s="807"/>
      <c r="L34" s="314"/>
      <c r="M34" s="315"/>
      <c r="N34" s="315"/>
      <c r="O34" s="316"/>
      <c r="P34" s="807"/>
      <c r="Q34" s="314"/>
      <c r="R34" s="315"/>
      <c r="S34" s="315"/>
      <c r="T34" s="316"/>
      <c r="U34" s="807"/>
      <c r="V34" s="314"/>
      <c r="W34" s="315"/>
      <c r="X34" s="315"/>
      <c r="Y34" s="316"/>
      <c r="Z34" s="807"/>
      <c r="AA34" s="314"/>
      <c r="AB34" s="315"/>
      <c r="AC34" s="315"/>
      <c r="AD34" s="315"/>
      <c r="AE34" s="807"/>
      <c r="AF34" s="315"/>
      <c r="AG34" s="315"/>
      <c r="AH34" s="315"/>
      <c r="AI34" s="315"/>
      <c r="AJ34" s="807"/>
      <c r="AK34" s="315"/>
      <c r="AL34" s="315"/>
      <c r="AM34" s="315"/>
      <c r="AN34" s="315"/>
      <c r="AO34" s="807"/>
      <c r="AP34" s="315"/>
      <c r="AQ34" s="317"/>
      <c r="AR34" s="315"/>
      <c r="AS34" s="315">
        <v>4.8000000000000001E-2</v>
      </c>
      <c r="AT34" s="807">
        <f t="shared" si="41"/>
        <v>4.8000000000000001E-2</v>
      </c>
      <c r="AU34" s="315">
        <f t="shared" si="99"/>
        <v>4.8449555099247088E-2</v>
      </c>
      <c r="AV34" s="315">
        <f t="shared" si="99"/>
        <v>4.908528405201916E-2</v>
      </c>
      <c r="AW34" s="315">
        <f t="shared" si="99"/>
        <v>6.3830800821355241E-2</v>
      </c>
      <c r="AX34" s="315">
        <v>2.8029999999999999</v>
      </c>
      <c r="AY34" s="807">
        <f t="shared" si="42"/>
        <v>2.8029999999999999</v>
      </c>
      <c r="AZ34" s="315">
        <f t="shared" si="100"/>
        <v>2.7691758883336801</v>
      </c>
      <c r="BA34" s="315">
        <f t="shared" si="100"/>
        <v>2.393365934485391</v>
      </c>
      <c r="BB34" s="315">
        <f t="shared" si="100"/>
        <v>2.4078828249705047</v>
      </c>
      <c r="BC34" s="315">
        <v>5.8879999999999999</v>
      </c>
      <c r="BD34" s="807">
        <f t="shared" si="43"/>
        <v>5.8879999999999999</v>
      </c>
      <c r="BE34" s="315">
        <f t="shared" si="101"/>
        <v>5.9946374290583879</v>
      </c>
      <c r="BF34" s="315">
        <f t="shared" si="101"/>
        <v>6.4706133220880995</v>
      </c>
      <c r="BG34" s="315">
        <f t="shared" si="101"/>
        <v>6.4401713492523678</v>
      </c>
      <c r="BH34" s="315">
        <v>5.6859999999999999</v>
      </c>
      <c r="BI34" s="807">
        <f t="shared" si="44"/>
        <v>5.6859999999999999</v>
      </c>
      <c r="BJ34" s="315">
        <f t="shared" si="102"/>
        <v>5.8406704364518376</v>
      </c>
      <c r="BK34" s="315">
        <f t="shared" si="102"/>
        <v>5.9592962307108515</v>
      </c>
      <c r="BL34" s="315">
        <f t="shared" si="102"/>
        <v>7.8374251573637288</v>
      </c>
      <c r="BM34" s="315">
        <v>7.2060000000000004</v>
      </c>
      <c r="BN34" s="807">
        <f t="shared" si="45"/>
        <v>7.2060000000000004</v>
      </c>
      <c r="BO34" s="315">
        <f t="shared" si="103"/>
        <v>7.4141359913547955</v>
      </c>
      <c r="BP34" s="315">
        <f t="shared" si="103"/>
        <v>8.6632251734728705</v>
      </c>
      <c r="BQ34" s="315">
        <f t="shared" si="103"/>
        <v>8.5678665112046417</v>
      </c>
      <c r="BR34" s="315">
        <v>3.129</v>
      </c>
      <c r="BS34" s="807">
        <f t="shared" si="46"/>
        <v>3.129</v>
      </c>
      <c r="BT34" s="315">
        <f t="shared" si="104"/>
        <v>3.1460801660344249</v>
      </c>
      <c r="BU34" s="315">
        <f t="shared" si="104"/>
        <v>3.4022318227233215</v>
      </c>
      <c r="BV34" s="315">
        <f t="shared" si="104"/>
        <v>3.8784177016741523</v>
      </c>
      <c r="BW34" s="315">
        <v>4.1580000000000004</v>
      </c>
      <c r="BX34" s="807">
        <f t="shared" si="47"/>
        <v>4.1580000000000004</v>
      </c>
      <c r="BY34" s="315">
        <f t="shared" si="105"/>
        <v>4.1751217731885353</v>
      </c>
      <c r="BZ34" s="315">
        <f t="shared" si="105"/>
        <v>4.1183279330603533</v>
      </c>
      <c r="CA34" s="315">
        <f t="shared" si="105"/>
        <v>4.2793329179277197</v>
      </c>
      <c r="CB34" s="315">
        <v>4.2220000000000004</v>
      </c>
      <c r="CC34" s="807">
        <f t="shared" si="48"/>
        <v>4.2220000000000004</v>
      </c>
      <c r="CD34" s="315">
        <f t="shared" si="106"/>
        <v>5.2682181957262628</v>
      </c>
      <c r="CE34" s="315">
        <f t="shared" si="106"/>
        <v>5.3813721858752714</v>
      </c>
      <c r="CF34" s="315">
        <f t="shared" si="106"/>
        <v>5.4068282233388896</v>
      </c>
      <c r="CG34" s="315">
        <v>4.25</v>
      </c>
      <c r="CH34" s="807">
        <f t="shared" si="49"/>
        <v>4.25</v>
      </c>
      <c r="CI34" s="315">
        <f t="shared" si="107"/>
        <v>4.1187813820992796</v>
      </c>
      <c r="CJ34" s="315">
        <f t="shared" si="107"/>
        <v>4.1379983510083722</v>
      </c>
      <c r="CK34" s="315">
        <f t="shared" si="107"/>
        <v>4.0185898722249611</v>
      </c>
      <c r="CL34" s="315">
        <v>332.161</v>
      </c>
      <c r="CM34" s="807">
        <f t="shared" si="50"/>
        <v>332.161</v>
      </c>
      <c r="CN34" s="315">
        <f t="shared" si="108"/>
        <v>19.749400718265179</v>
      </c>
      <c r="CO34" s="315">
        <f t="shared" si="108"/>
        <v>19.798181225064813</v>
      </c>
      <c r="CP34" s="315">
        <f t="shared" si="108"/>
        <v>19.803606823708957</v>
      </c>
      <c r="CQ34" s="315">
        <f t="shared" si="108"/>
        <v>19.950065305080269</v>
      </c>
      <c r="CR34" s="807">
        <f t="shared" si="52"/>
        <v>19.950065305080269</v>
      </c>
      <c r="CS34" s="315">
        <f t="shared" si="109"/>
        <v>20.379909369772093</v>
      </c>
      <c r="CT34" s="315">
        <f t="shared" si="109"/>
        <v>22.694233044074451</v>
      </c>
      <c r="CU34" s="315">
        <f t="shared" si="109"/>
        <v>22.771147810835238</v>
      </c>
      <c r="CV34" s="315">
        <f t="shared" si="109"/>
        <v>23.565516383785834</v>
      </c>
      <c r="CW34" s="807">
        <f t="shared" si="53"/>
        <v>23.565516383785834</v>
      </c>
      <c r="CX34" s="315">
        <f t="shared" si="110"/>
        <v>23.63552729921302</v>
      </c>
      <c r="CY34" s="315">
        <f t="shared" si="110"/>
        <v>23.688748237734199</v>
      </c>
      <c r="CZ34" s="315">
        <f t="shared" si="110"/>
        <v>25.449002680554329</v>
      </c>
      <c r="DA34" s="315">
        <f t="shared" si="110"/>
        <v>26.376015170139073</v>
      </c>
      <c r="DB34" s="807">
        <f t="shared" si="85"/>
        <v>26.376015170139073</v>
      </c>
      <c r="DC34" s="315">
        <f t="shared" si="111"/>
        <v>26.468716419097547</v>
      </c>
      <c r="DD34" s="315">
        <f t="shared" si="111"/>
        <v>26.56141766805602</v>
      </c>
      <c r="DE34" s="315">
        <f t="shared" si="111"/>
        <v>26.654118917014493</v>
      </c>
      <c r="DF34" s="315">
        <f t="shared" si="111"/>
        <v>26.74682016597297</v>
      </c>
      <c r="DG34" s="807">
        <f t="shared" si="87"/>
        <v>26.74682016597297</v>
      </c>
      <c r="DH34" s="315">
        <f t="shared" si="112"/>
        <v>26.839521414931443</v>
      </c>
      <c r="DI34" s="315">
        <f t="shared" si="112"/>
        <v>26.932222663889917</v>
      </c>
      <c r="DJ34" s="315">
        <f t="shared" si="112"/>
        <v>27.02492391284839</v>
      </c>
      <c r="DK34" s="315">
        <f t="shared" si="112"/>
        <v>27.117625161806867</v>
      </c>
      <c r="DL34" s="807">
        <f t="shared" si="89"/>
        <v>27.117625161806867</v>
      </c>
      <c r="DM34" s="315">
        <f t="shared" si="113"/>
        <v>27.21032641076534</v>
      </c>
      <c r="DN34" s="315">
        <f t="shared" si="113"/>
        <v>27.303027659723814</v>
      </c>
      <c r="DO34" s="315">
        <f t="shared" si="113"/>
        <v>27.395728908682287</v>
      </c>
      <c r="DP34" s="315">
        <f t="shared" si="113"/>
        <v>27.488430157640764</v>
      </c>
      <c r="DQ34" s="807">
        <f t="shared" si="93"/>
        <v>27.488430157640764</v>
      </c>
      <c r="DR34" s="225"/>
      <c r="DS34" s="260"/>
      <c r="DT34"/>
      <c r="DU34"/>
      <c r="DV34"/>
      <c r="DW34"/>
      <c r="DX34"/>
      <c r="DY34"/>
    </row>
    <row r="35" spans="2:129" s="220" customFormat="1" ht="11.25" hidden="1" customHeight="1" outlineLevel="1">
      <c r="B35" s="224"/>
      <c r="C35" s="225"/>
      <c r="D35" s="225" t="s">
        <v>7</v>
      </c>
      <c r="E35" s="225"/>
      <c r="F35" s="225"/>
      <c r="G35" s="314"/>
      <c r="H35" s="315"/>
      <c r="I35" s="315"/>
      <c r="J35" s="316"/>
      <c r="K35" s="807"/>
      <c r="L35" s="314"/>
      <c r="M35" s="315"/>
      <c r="N35" s="315"/>
      <c r="O35" s="316"/>
      <c r="P35" s="807"/>
      <c r="Q35" s="314"/>
      <c r="R35" s="315"/>
      <c r="S35" s="315"/>
      <c r="T35" s="316"/>
      <c r="U35" s="807"/>
      <c r="V35" s="314"/>
      <c r="W35" s="315"/>
      <c r="X35" s="315"/>
      <c r="Y35" s="316"/>
      <c r="Z35" s="807"/>
      <c r="AA35" s="314"/>
      <c r="AB35" s="315"/>
      <c r="AC35" s="315"/>
      <c r="AD35" s="315"/>
      <c r="AE35" s="807"/>
      <c r="AF35" s="315"/>
      <c r="AG35" s="315"/>
      <c r="AH35" s="315"/>
      <c r="AI35" s="315"/>
      <c r="AJ35" s="807"/>
      <c r="AK35" s="315"/>
      <c r="AL35" s="315"/>
      <c r="AM35" s="315"/>
      <c r="AN35" s="315"/>
      <c r="AO35" s="807"/>
      <c r="AP35" s="315"/>
      <c r="AQ35" s="317"/>
      <c r="AR35" s="315"/>
      <c r="AS35" s="315">
        <v>1.044</v>
      </c>
      <c r="AT35" s="807">
        <f t="shared" si="41"/>
        <v>1.044</v>
      </c>
      <c r="AU35" s="315">
        <f t="shared" si="99"/>
        <v>1.0537778234086244</v>
      </c>
      <c r="AV35" s="315">
        <f t="shared" si="99"/>
        <v>1.0676049281314168</v>
      </c>
      <c r="AW35" s="315">
        <f t="shared" si="99"/>
        <v>1.3883199178644765</v>
      </c>
      <c r="AX35" s="315">
        <v>1.044</v>
      </c>
      <c r="AY35" s="807">
        <f t="shared" si="42"/>
        <v>1.044</v>
      </c>
      <c r="AZ35" s="315">
        <f t="shared" si="100"/>
        <v>1.0314019362898188</v>
      </c>
      <c r="BA35" s="315">
        <f t="shared" si="100"/>
        <v>0.89142848219862603</v>
      </c>
      <c r="BB35" s="315">
        <f t="shared" si="100"/>
        <v>0.89683541536539668</v>
      </c>
      <c r="BC35" s="315">
        <v>3.0350000000000001</v>
      </c>
      <c r="BD35" s="807">
        <f t="shared" si="43"/>
        <v>3.0350000000000001</v>
      </c>
      <c r="BE35" s="315">
        <f t="shared" si="101"/>
        <v>3.089966813381829</v>
      </c>
      <c r="BF35" s="315">
        <f t="shared" si="101"/>
        <v>3.3353110449282242</v>
      </c>
      <c r="BG35" s="315">
        <f t="shared" si="101"/>
        <v>3.3196195728568165</v>
      </c>
      <c r="BH35" s="315">
        <v>3.0449999999999999</v>
      </c>
      <c r="BI35" s="807">
        <f t="shared" si="44"/>
        <v>3.0449999999999999</v>
      </c>
      <c r="BJ35" s="315">
        <f t="shared" si="102"/>
        <v>3.1278300174104547</v>
      </c>
      <c r="BK35" s="315">
        <f t="shared" si="102"/>
        <v>3.1913571970655195</v>
      </c>
      <c r="BL35" s="315">
        <f t="shared" si="102"/>
        <v>4.1971437925030877</v>
      </c>
      <c r="BM35" s="315">
        <v>3.7970000000000002</v>
      </c>
      <c r="BN35" s="807">
        <f t="shared" si="45"/>
        <v>3.7970000000000002</v>
      </c>
      <c r="BO35" s="315">
        <f t="shared" si="103"/>
        <v>3.9066714348007432</v>
      </c>
      <c r="BP35" s="315">
        <f t="shared" si="103"/>
        <v>4.5648440166078936</v>
      </c>
      <c r="BQ35" s="315">
        <f t="shared" si="103"/>
        <v>4.5145974386683347</v>
      </c>
      <c r="BR35" s="315">
        <v>2.6789999999999998</v>
      </c>
      <c r="BS35" s="807">
        <f t="shared" si="46"/>
        <v>2.6789999999999998</v>
      </c>
      <c r="BT35" s="315">
        <f t="shared" si="104"/>
        <v>2.6936237663171059</v>
      </c>
      <c r="BU35" s="315">
        <f t="shared" si="104"/>
        <v>2.9129367379596607</v>
      </c>
      <c r="BV35" s="315">
        <f t="shared" si="104"/>
        <v>3.3206395087200558</v>
      </c>
      <c r="BW35" s="315">
        <v>13.215999999999999</v>
      </c>
      <c r="BX35" s="807">
        <f t="shared" si="47"/>
        <v>13.215999999999999</v>
      </c>
      <c r="BY35" s="315">
        <f t="shared" si="105"/>
        <v>13.270420720168271</v>
      </c>
      <c r="BZ35" s="315">
        <f t="shared" si="105"/>
        <v>13.089904272084082</v>
      </c>
      <c r="CA35" s="315">
        <f t="shared" si="105"/>
        <v>13.601650755972278</v>
      </c>
      <c r="CB35" s="315">
        <v>13.920999999999999</v>
      </c>
      <c r="CC35" s="807">
        <f t="shared" si="48"/>
        <v>13.920999999999999</v>
      </c>
      <c r="CD35" s="315">
        <f t="shared" si="106"/>
        <v>17.370645547774821</v>
      </c>
      <c r="CE35" s="315">
        <f t="shared" si="106"/>
        <v>17.74374282320456</v>
      </c>
      <c r="CF35" s="315">
        <f t="shared" si="106"/>
        <v>17.827677806039951</v>
      </c>
      <c r="CG35" s="315">
        <v>21.437999999999999</v>
      </c>
      <c r="CH35" s="807">
        <f t="shared" si="49"/>
        <v>21.437999999999999</v>
      </c>
      <c r="CI35" s="315">
        <f t="shared" si="107"/>
        <v>20.77610241633985</v>
      </c>
      <c r="CJ35" s="315">
        <f t="shared" si="107"/>
        <v>20.87303732915705</v>
      </c>
      <c r="CK35" s="315">
        <f t="shared" si="107"/>
        <v>20.270712866060872</v>
      </c>
      <c r="CL35" s="315">
        <f>63+45.809</f>
        <v>108.809</v>
      </c>
      <c r="CM35" s="807">
        <f t="shared" si="50"/>
        <v>108.809</v>
      </c>
      <c r="CN35" s="315">
        <f t="shared" si="108"/>
        <v>99.620624140745619</v>
      </c>
      <c r="CO35" s="315">
        <f t="shared" si="108"/>
        <v>99.866684494809292</v>
      </c>
      <c r="CP35" s="315">
        <f t="shared" si="108"/>
        <v>99.894052490981792</v>
      </c>
      <c r="CQ35" s="315">
        <f t="shared" si="108"/>
        <v>100.63282353183783</v>
      </c>
      <c r="CR35" s="807">
        <f t="shared" si="52"/>
        <v>100.63282353183783</v>
      </c>
      <c r="CS35" s="315">
        <f t="shared" si="109"/>
        <v>102.80105813392332</v>
      </c>
      <c r="CT35" s="315">
        <f t="shared" si="109"/>
        <v>114.47505129385131</v>
      </c>
      <c r="CU35" s="315">
        <f t="shared" si="109"/>
        <v>114.86302747498489</v>
      </c>
      <c r="CV35" s="315">
        <f t="shared" si="109"/>
        <v>118.87000946720015</v>
      </c>
      <c r="CW35" s="807">
        <f t="shared" si="53"/>
        <v>118.87000946720015</v>
      </c>
      <c r="CX35" s="315">
        <f t="shared" si="110"/>
        <v>119.22316099777146</v>
      </c>
      <c r="CY35" s="315">
        <f t="shared" si="110"/>
        <v>119.49161993424605</v>
      </c>
      <c r="CZ35" s="315">
        <f t="shared" si="110"/>
        <v>128.37075752134675</v>
      </c>
      <c r="DA35" s="315">
        <f t="shared" si="110"/>
        <v>133.04682663939798</v>
      </c>
      <c r="DB35" s="807">
        <f t="shared" si="85"/>
        <v>133.04682663939798</v>
      </c>
      <c r="DC35" s="315">
        <f t="shared" si="111"/>
        <v>133.5144335512031</v>
      </c>
      <c r="DD35" s="315">
        <f t="shared" si="111"/>
        <v>133.98204046300822</v>
      </c>
      <c r="DE35" s="315">
        <f t="shared" si="111"/>
        <v>134.44964737481334</v>
      </c>
      <c r="DF35" s="315">
        <f t="shared" si="111"/>
        <v>134.91725428661846</v>
      </c>
      <c r="DG35" s="807">
        <f t="shared" si="87"/>
        <v>134.91725428661846</v>
      </c>
      <c r="DH35" s="315">
        <f t="shared" si="112"/>
        <v>135.38486119842358</v>
      </c>
      <c r="DI35" s="315">
        <f t="shared" si="112"/>
        <v>135.8524681102287</v>
      </c>
      <c r="DJ35" s="315">
        <f t="shared" si="112"/>
        <v>136.32007502203382</v>
      </c>
      <c r="DK35" s="315">
        <f t="shared" si="112"/>
        <v>136.78768193383894</v>
      </c>
      <c r="DL35" s="807">
        <f t="shared" si="89"/>
        <v>136.78768193383894</v>
      </c>
      <c r="DM35" s="315">
        <f t="shared" si="113"/>
        <v>137.25528884564409</v>
      </c>
      <c r="DN35" s="315">
        <f t="shared" si="113"/>
        <v>137.72289575744921</v>
      </c>
      <c r="DO35" s="315">
        <f t="shared" si="113"/>
        <v>138.19050266925433</v>
      </c>
      <c r="DP35" s="315">
        <f t="shared" si="113"/>
        <v>138.65810958105945</v>
      </c>
      <c r="DQ35" s="807">
        <f t="shared" si="93"/>
        <v>138.65810958105945</v>
      </c>
      <c r="DR35" s="225"/>
      <c r="DS35" s="260"/>
      <c r="DT35"/>
      <c r="DU35"/>
      <c r="DV35"/>
      <c r="DW35"/>
      <c r="DX35"/>
      <c r="DY35"/>
    </row>
    <row r="36" spans="2:129" ht="11.25" hidden="1" customHeight="1" outlineLevel="1">
      <c r="B36" s="31"/>
      <c r="C36" s="4" t="s">
        <v>167</v>
      </c>
      <c r="D36" s="4"/>
      <c r="E36" s="4"/>
      <c r="F36" s="4"/>
      <c r="G36" s="14"/>
      <c r="H36" s="86"/>
      <c r="I36" s="86"/>
      <c r="J36" s="88"/>
      <c r="K36" s="352"/>
      <c r="L36" s="87"/>
      <c r="M36" s="86"/>
      <c r="N36" s="86"/>
      <c r="O36" s="88"/>
      <c r="P36" s="352"/>
      <c r="Q36" s="87"/>
      <c r="R36" s="86"/>
      <c r="S36" s="86"/>
      <c r="T36" s="88"/>
      <c r="U36" s="352"/>
      <c r="V36" s="87"/>
      <c r="W36" s="86"/>
      <c r="X36" s="86"/>
      <c r="Y36" s="88"/>
      <c r="Z36" s="352"/>
      <c r="AA36" s="87"/>
      <c r="AB36" s="86"/>
      <c r="AC36" s="86"/>
      <c r="AD36" s="86"/>
      <c r="AE36" s="352"/>
      <c r="AF36" s="86"/>
      <c r="AG36" s="86"/>
      <c r="AH36" s="86"/>
      <c r="AI36" s="86"/>
      <c r="AJ36" s="352"/>
      <c r="AK36" s="86"/>
      <c r="AL36" s="86"/>
      <c r="AM36" s="86"/>
      <c r="AN36" s="86"/>
      <c r="AO36" s="352"/>
      <c r="AP36" s="86"/>
      <c r="AQ36" s="86"/>
      <c r="AR36" s="86"/>
      <c r="AS36" s="86">
        <v>-5.6379999999999999</v>
      </c>
      <c r="AT36" s="352">
        <f t="shared" si="41"/>
        <v>-5.6379999999999999</v>
      </c>
      <c r="AU36" s="15">
        <f t="shared" ref="AU36:BZ36" si="114">AU127</f>
        <v>-6.3172499999999996</v>
      </c>
      <c r="AV36" s="15">
        <f t="shared" si="114"/>
        <v>-6.9964999999999993</v>
      </c>
      <c r="AW36" s="15">
        <f t="shared" si="114"/>
        <v>-7.675749999999999</v>
      </c>
      <c r="AX36" s="86">
        <v>-8.3550000000000004</v>
      </c>
      <c r="AY36" s="352">
        <f t="shared" si="42"/>
        <v>-8.3550000000000004</v>
      </c>
      <c r="AZ36" s="15">
        <f t="shared" si="114"/>
        <v>-9.103250000000001</v>
      </c>
      <c r="BA36" s="15">
        <f t="shared" si="114"/>
        <v>-9.8515000000000015</v>
      </c>
      <c r="BB36" s="15">
        <f t="shared" si="114"/>
        <v>-10.599750000000002</v>
      </c>
      <c r="BC36" s="86">
        <v>-11.348000000000001</v>
      </c>
      <c r="BD36" s="352">
        <f t="shared" si="43"/>
        <v>-11.348000000000001</v>
      </c>
      <c r="BE36" s="15">
        <f t="shared" si="114"/>
        <v>-13.363750000000001</v>
      </c>
      <c r="BF36" s="15">
        <f t="shared" si="114"/>
        <v>-15.379500000000002</v>
      </c>
      <c r="BG36" s="15">
        <f t="shared" si="114"/>
        <v>-17.395250000000001</v>
      </c>
      <c r="BH36" s="86">
        <v>-19.411000000000001</v>
      </c>
      <c r="BI36" s="352">
        <f t="shared" si="44"/>
        <v>-19.411000000000001</v>
      </c>
      <c r="BJ36" s="15">
        <f t="shared" si="114"/>
        <v>-21.992000000000001</v>
      </c>
      <c r="BK36" s="15">
        <f t="shared" si="114"/>
        <v>-24.573</v>
      </c>
      <c r="BL36" s="15">
        <f t="shared" si="114"/>
        <v>-27.154</v>
      </c>
      <c r="BM36" s="86">
        <v>-29.734999999999999</v>
      </c>
      <c r="BN36" s="352">
        <f t="shared" si="45"/>
        <v>-29.734999999999999</v>
      </c>
      <c r="BO36" s="15">
        <f t="shared" si="114"/>
        <v>-31.793999999999997</v>
      </c>
      <c r="BP36" s="15">
        <f t="shared" si="114"/>
        <v>-33.852999999999994</v>
      </c>
      <c r="BQ36" s="15">
        <f t="shared" si="114"/>
        <v>-35.911999999999992</v>
      </c>
      <c r="BR36" s="86">
        <v>-37.970999999999997</v>
      </c>
      <c r="BS36" s="352">
        <f t="shared" si="46"/>
        <v>-37.970999999999997</v>
      </c>
      <c r="BT36" s="15">
        <f t="shared" si="114"/>
        <v>-41.988999999999997</v>
      </c>
      <c r="BU36" s="15">
        <f t="shared" si="114"/>
        <v>-46.006999999999998</v>
      </c>
      <c r="BV36" s="15">
        <f t="shared" si="114"/>
        <v>-50.024999999999999</v>
      </c>
      <c r="BW36" s="86">
        <v>-54.042999999999999</v>
      </c>
      <c r="BX36" s="352">
        <f t="shared" si="47"/>
        <v>-54.042999999999999</v>
      </c>
      <c r="BY36" s="15">
        <f t="shared" si="114"/>
        <v>-58.862499999999997</v>
      </c>
      <c r="BZ36" s="15">
        <f t="shared" si="114"/>
        <v>-63.681999999999995</v>
      </c>
      <c r="CA36" s="15">
        <f>CA127</f>
        <v>-68.501499999999993</v>
      </c>
      <c r="CB36" s="86">
        <v>-73.320999999999998</v>
      </c>
      <c r="CC36" s="352">
        <f t="shared" si="48"/>
        <v>-73.320999999999998</v>
      </c>
      <c r="CD36" s="15">
        <f>CD37-CD32</f>
        <v>-78.140500000000003</v>
      </c>
      <c r="CE36" s="15">
        <f>CE37-CE32</f>
        <v>-82.960000000000022</v>
      </c>
      <c r="CF36" s="15">
        <f>CF37-CF32</f>
        <v>-87.779499999999999</v>
      </c>
      <c r="CG36" s="441">
        <v>-97.956999999999994</v>
      </c>
      <c r="CH36" s="352">
        <f t="shared" si="49"/>
        <v>-97.956999999999994</v>
      </c>
      <c r="CI36" s="15">
        <f>CI37-CI32</f>
        <v>-97.418500000000009</v>
      </c>
      <c r="CJ36" s="15">
        <f t="shared" ref="CJ36:CP36" si="115">CJ127</f>
        <v>-102.23800000000003</v>
      </c>
      <c r="CK36" s="15">
        <f t="shared" si="115"/>
        <v>-107.05750000000003</v>
      </c>
      <c r="CL36" s="441">
        <v>-131.62899999999999</v>
      </c>
      <c r="CM36" s="352">
        <f t="shared" si="50"/>
        <v>-131.62899999999999</v>
      </c>
      <c r="CN36" s="15">
        <f t="shared" si="115"/>
        <v>-136.81761789379885</v>
      </c>
      <c r="CO36" s="15">
        <f>CO127</f>
        <v>-161.74867774184295</v>
      </c>
      <c r="CP36" s="15">
        <f t="shared" si="115"/>
        <v>-186.7413166601479</v>
      </c>
      <c r="CQ36" s="441">
        <f>CQ127</f>
        <v>-211.74080469384819</v>
      </c>
      <c r="CR36" s="352">
        <f t="shared" si="52"/>
        <v>-211.74080469384819</v>
      </c>
      <c r="CS36" s="15">
        <f>CS127</f>
        <v>-236.92517758640625</v>
      </c>
      <c r="CT36" s="15">
        <f t="shared" ref="CT36:DA36" si="116">CT127</f>
        <v>-262.65217292381891</v>
      </c>
      <c r="CU36" s="15">
        <f t="shared" si="116"/>
        <v>-291.30070207660526</v>
      </c>
      <c r="CV36" s="15">
        <f t="shared" si="116"/>
        <v>-320.04632615802598</v>
      </c>
      <c r="CW36" s="352">
        <f t="shared" si="53"/>
        <v>-320.04632615802598</v>
      </c>
      <c r="CX36" s="15">
        <f t="shared" si="116"/>
        <v>-351.82248431197661</v>
      </c>
      <c r="CY36" s="15">
        <f>CY127</f>
        <v>-383.69304641977601</v>
      </c>
      <c r="CZ36" s="15">
        <f t="shared" si="116"/>
        <v>-415.63537258027043</v>
      </c>
      <c r="DA36" s="15">
        <f t="shared" si="116"/>
        <v>-441.63537258027054</v>
      </c>
      <c r="DB36" s="352">
        <f t="shared" si="85"/>
        <v>-441.63537258027054</v>
      </c>
      <c r="DC36" s="15">
        <f t="shared" ref="DC36:DK36" si="117">DC127</f>
        <v>-477.20125689477732</v>
      </c>
      <c r="DD36" s="15">
        <f t="shared" si="117"/>
        <v>-512.89214120928409</v>
      </c>
      <c r="DE36" s="15">
        <f t="shared" si="117"/>
        <v>-548.70802552379087</v>
      </c>
      <c r="DF36" s="15">
        <f t="shared" si="117"/>
        <v>-584.64890983829764</v>
      </c>
      <c r="DG36" s="352">
        <f t="shared" si="87"/>
        <v>-584.64890983829764</v>
      </c>
      <c r="DH36" s="15">
        <f t="shared" si="117"/>
        <v>-620.71479415280442</v>
      </c>
      <c r="DI36" s="15">
        <f t="shared" si="117"/>
        <v>-656.90567846731119</v>
      </c>
      <c r="DJ36" s="15">
        <f t="shared" si="117"/>
        <v>-693.22156278181797</v>
      </c>
      <c r="DK36" s="15">
        <f t="shared" si="117"/>
        <v>-729.66244709632474</v>
      </c>
      <c r="DL36" s="352">
        <f t="shared" si="89"/>
        <v>-729.66244709632474</v>
      </c>
      <c r="DM36" s="15">
        <f t="shared" ref="DM36:DP36" si="118">DM127</f>
        <v>-766.22833141083152</v>
      </c>
      <c r="DN36" s="15">
        <f t="shared" si="118"/>
        <v>-802.91921572533829</v>
      </c>
      <c r="DO36" s="15">
        <f t="shared" si="118"/>
        <v>-839.73510003984507</v>
      </c>
      <c r="DP36" s="15">
        <f t="shared" si="118"/>
        <v>-876.67598435435184</v>
      </c>
      <c r="DQ36" s="352">
        <f t="shared" si="93"/>
        <v>-876.67598435435184</v>
      </c>
      <c r="DR36" s="4"/>
      <c r="DS36" s="260"/>
    </row>
    <row r="37" spans="2:129" ht="11.25" customHeight="1" collapsed="1">
      <c r="B37" s="31"/>
      <c r="C37" s="4" t="s">
        <v>54</v>
      </c>
      <c r="D37" s="4"/>
      <c r="E37" s="4"/>
      <c r="F37" s="4"/>
      <c r="G37" s="14"/>
      <c r="H37" s="86">
        <v>0</v>
      </c>
      <c r="I37" s="86">
        <v>0</v>
      </c>
      <c r="J37" s="88">
        <v>0</v>
      </c>
      <c r="K37" s="352">
        <f>J37</f>
        <v>0</v>
      </c>
      <c r="L37" s="87">
        <v>0</v>
      </c>
      <c r="M37" s="86">
        <v>0</v>
      </c>
      <c r="N37" s="86">
        <v>0</v>
      </c>
      <c r="O37" s="88">
        <v>0</v>
      </c>
      <c r="P37" s="352">
        <f>O37</f>
        <v>0</v>
      </c>
      <c r="Q37" s="87">
        <v>0</v>
      </c>
      <c r="R37" s="86">
        <v>0</v>
      </c>
      <c r="S37" s="86">
        <v>0</v>
      </c>
      <c r="T37" s="88">
        <v>0</v>
      </c>
      <c r="U37" s="352">
        <f>T37</f>
        <v>0</v>
      </c>
      <c r="V37" s="87">
        <v>0</v>
      </c>
      <c r="W37" s="86">
        <v>0</v>
      </c>
      <c r="X37" s="86">
        <v>0</v>
      </c>
      <c r="Y37" s="88">
        <v>0</v>
      </c>
      <c r="Z37" s="352">
        <f>Y37</f>
        <v>0</v>
      </c>
      <c r="AA37" s="87">
        <v>0</v>
      </c>
      <c r="AB37" s="86">
        <v>0</v>
      </c>
      <c r="AC37" s="86">
        <v>0</v>
      </c>
      <c r="AD37" s="86">
        <v>12.87</v>
      </c>
      <c r="AE37" s="352">
        <f>AD37</f>
        <v>12.87</v>
      </c>
      <c r="AF37" s="86">
        <v>12.53</v>
      </c>
      <c r="AG37" s="86">
        <v>12.292999999999999</v>
      </c>
      <c r="AH37" s="86">
        <v>11.959</v>
      </c>
      <c r="AI37" s="86">
        <v>16.436</v>
      </c>
      <c r="AJ37" s="352">
        <f>AI37</f>
        <v>16.436</v>
      </c>
      <c r="AK37" s="86">
        <v>15.696</v>
      </c>
      <c r="AL37" s="86">
        <v>15.065</v>
      </c>
      <c r="AM37" s="86">
        <v>14.627000000000001</v>
      </c>
      <c r="AN37" s="86">
        <v>12.125999999999999</v>
      </c>
      <c r="AO37" s="352">
        <f>AN37</f>
        <v>12.125999999999999</v>
      </c>
      <c r="AP37" s="86">
        <v>11.52</v>
      </c>
      <c r="AQ37" s="86">
        <v>16.204999999999998</v>
      </c>
      <c r="AR37" s="86">
        <v>16.876999999999999</v>
      </c>
      <c r="AS37" s="15">
        <f>SUM(AS33:AS36)</f>
        <v>16.277000000000001</v>
      </c>
      <c r="AT37" s="352">
        <f t="shared" si="41"/>
        <v>16.277000000000001</v>
      </c>
      <c r="AU37" s="86">
        <v>15.803000000000001</v>
      </c>
      <c r="AV37" s="86">
        <v>15.414</v>
      </c>
      <c r="AW37" s="86">
        <v>21.466999999999999</v>
      </c>
      <c r="AX37" s="15">
        <f>SUM(AX33:AX36)</f>
        <v>20.463000000000001</v>
      </c>
      <c r="AY37" s="352">
        <f t="shared" si="42"/>
        <v>20.463000000000001</v>
      </c>
      <c r="AZ37" s="86">
        <v>19.367000000000001</v>
      </c>
      <c r="BA37" s="86">
        <v>14.755000000000001</v>
      </c>
      <c r="BB37" s="86">
        <v>14.156000000000001</v>
      </c>
      <c r="BC37" s="15">
        <f>SUM(BC33:BC36)</f>
        <v>45.564999999999998</v>
      </c>
      <c r="BD37" s="352">
        <f t="shared" si="43"/>
        <v>45.564999999999998</v>
      </c>
      <c r="BE37" s="86">
        <v>44.58</v>
      </c>
      <c r="BF37" s="86">
        <v>47.164999999999999</v>
      </c>
      <c r="BG37" s="86">
        <v>44.854999999999997</v>
      </c>
      <c r="BH37" s="15">
        <f>SUM(BH33:BH36)</f>
        <v>47.790000000000006</v>
      </c>
      <c r="BI37" s="352">
        <f t="shared" si="44"/>
        <v>47.790000000000006</v>
      </c>
      <c r="BJ37" s="86">
        <v>47.036999999999999</v>
      </c>
      <c r="BK37" s="86">
        <v>45.857999999999997</v>
      </c>
      <c r="BL37" s="86">
        <v>65.474000000000004</v>
      </c>
      <c r="BM37" s="15">
        <f>SUM(BM33:BM36)</f>
        <v>75.757000000000005</v>
      </c>
      <c r="BN37" s="352">
        <f t="shared" si="45"/>
        <v>75.757000000000005</v>
      </c>
      <c r="BO37" s="86">
        <v>76.745000000000005</v>
      </c>
      <c r="BP37" s="86">
        <v>92.971999999999994</v>
      </c>
      <c r="BQ37" s="86">
        <v>89.516999999999996</v>
      </c>
      <c r="BR37" s="15">
        <f>SUM(BR33:BR36)</f>
        <v>85.136000000000024</v>
      </c>
      <c r="BS37" s="352">
        <f t="shared" si="46"/>
        <v>85.136000000000024</v>
      </c>
      <c r="BT37" s="86">
        <v>81.790000000000006</v>
      </c>
      <c r="BU37" s="86">
        <v>87.85</v>
      </c>
      <c r="BV37" s="86">
        <v>102.56699999999999</v>
      </c>
      <c r="BW37" s="15">
        <f>SUM(BW33:BW36)</f>
        <v>97.615999999999985</v>
      </c>
      <c r="BX37" s="352">
        <f t="shared" si="47"/>
        <v>97.615999999999985</v>
      </c>
      <c r="BY37" s="86">
        <v>93.421000000000006</v>
      </c>
      <c r="BZ37" s="86">
        <v>86.53</v>
      </c>
      <c r="CA37" s="86">
        <v>87.582999999999998</v>
      </c>
      <c r="CB37" s="61">
        <v>87.474999999999994</v>
      </c>
      <c r="CC37" s="352">
        <f t="shared" si="48"/>
        <v>87.474999999999994</v>
      </c>
      <c r="CD37" s="86">
        <v>122.501</v>
      </c>
      <c r="CE37" s="86">
        <v>121.991</v>
      </c>
      <c r="CF37" s="86">
        <v>118.14100000000001</v>
      </c>
      <c r="CG37" s="441">
        <v>131.274</v>
      </c>
      <c r="CH37" s="352">
        <f t="shared" si="49"/>
        <v>131.274</v>
      </c>
      <c r="CI37" s="441">
        <v>124.735</v>
      </c>
      <c r="CJ37" s="86">
        <v>120.952</v>
      </c>
      <c r="CK37" s="86">
        <v>109.69199999999999</v>
      </c>
      <c r="CL37" s="441">
        <v>953.74900000000002</v>
      </c>
      <c r="CM37" s="352">
        <f t="shared" si="50"/>
        <v>953.74900000000002</v>
      </c>
      <c r="CN37" s="441">
        <v>928.4</v>
      </c>
      <c r="CO37" s="86">
        <v>906.1</v>
      </c>
      <c r="CP37" s="86">
        <v>881.4</v>
      </c>
      <c r="CQ37" s="441">
        <v>864.3</v>
      </c>
      <c r="CR37" s="352">
        <f t="shared" si="52"/>
        <v>864.3</v>
      </c>
      <c r="CS37" s="441">
        <v>862.3</v>
      </c>
      <c r="CT37" s="441">
        <v>961.4</v>
      </c>
      <c r="CU37" s="86">
        <v>936.9</v>
      </c>
      <c r="CV37" s="441">
        <v>951</v>
      </c>
      <c r="CW37" s="352">
        <f t="shared" si="53"/>
        <v>951</v>
      </c>
      <c r="CX37" s="441">
        <v>923</v>
      </c>
      <c r="CY37" s="441">
        <v>894</v>
      </c>
      <c r="CZ37" s="1035">
        <v>957</v>
      </c>
      <c r="DA37" s="441">
        <v>981</v>
      </c>
      <c r="DB37" s="352">
        <f t="shared" si="85"/>
        <v>981</v>
      </c>
      <c r="DC37" s="15">
        <f t="shared" ref="DC37:DF37" si="119">DC129</f>
        <v>950.43411568549323</v>
      </c>
      <c r="DD37" s="15">
        <f t="shared" si="119"/>
        <v>919.74323137098645</v>
      </c>
      <c r="DE37" s="15">
        <f t="shared" si="119"/>
        <v>888.92734705647968</v>
      </c>
      <c r="DF37" s="15">
        <f t="shared" si="119"/>
        <v>857.9864627419729</v>
      </c>
      <c r="DG37" s="352">
        <f t="shared" si="87"/>
        <v>857.9864627419729</v>
      </c>
      <c r="DH37" s="15">
        <f>DH129</f>
        <v>826.92057842746613</v>
      </c>
      <c r="DI37" s="15">
        <f>DI129</f>
        <v>795.72969411295935</v>
      </c>
      <c r="DJ37" s="15">
        <f>DJ129</f>
        <v>764.41380979845258</v>
      </c>
      <c r="DK37" s="15">
        <f>DK129</f>
        <v>732.9729254839458</v>
      </c>
      <c r="DL37" s="352">
        <f t="shared" si="89"/>
        <v>732.9729254839458</v>
      </c>
      <c r="DM37" s="15">
        <f>DM129</f>
        <v>701.40704116943903</v>
      </c>
      <c r="DN37" s="15">
        <f>DN129</f>
        <v>669.71615685493225</v>
      </c>
      <c r="DO37" s="15">
        <f>DO129</f>
        <v>637.90027254042548</v>
      </c>
      <c r="DP37" s="15">
        <f>DP129</f>
        <v>605.9593882259187</v>
      </c>
      <c r="DQ37" s="352">
        <f t="shared" si="93"/>
        <v>605.9593882259187</v>
      </c>
      <c r="DR37" s="4"/>
      <c r="DS37" s="260"/>
    </row>
    <row r="38" spans="2:129" s="180" customFormat="1" ht="11.25" customHeight="1">
      <c r="B38" s="62"/>
      <c r="C38" s="36" t="s">
        <v>41</v>
      </c>
      <c r="D38" s="36"/>
      <c r="E38" s="36"/>
      <c r="F38" s="36"/>
      <c r="G38" s="62"/>
      <c r="H38" s="61">
        <v>0</v>
      </c>
      <c r="I38" s="61">
        <v>0</v>
      </c>
      <c r="J38" s="63">
        <v>0</v>
      </c>
      <c r="K38" s="352">
        <f>J38</f>
        <v>0</v>
      </c>
      <c r="L38" s="62">
        <v>0</v>
      </c>
      <c r="M38" s="61">
        <v>0</v>
      </c>
      <c r="N38" s="61">
        <v>0</v>
      </c>
      <c r="O38" s="63">
        <v>0</v>
      </c>
      <c r="P38" s="352">
        <f>O38</f>
        <v>0</v>
      </c>
      <c r="Q38" s="62">
        <v>0</v>
      </c>
      <c r="R38" s="61">
        <v>0</v>
      </c>
      <c r="S38" s="61">
        <v>0</v>
      </c>
      <c r="T38" s="63">
        <v>0</v>
      </c>
      <c r="U38" s="352">
        <f>T38</f>
        <v>0</v>
      </c>
      <c r="V38" s="62">
        <v>0</v>
      </c>
      <c r="W38" s="61">
        <v>0</v>
      </c>
      <c r="X38" s="61">
        <v>0</v>
      </c>
      <c r="Y38" s="63">
        <v>0</v>
      </c>
      <c r="Z38" s="352">
        <f>Y38</f>
        <v>0</v>
      </c>
      <c r="AA38" s="62">
        <v>0</v>
      </c>
      <c r="AB38" s="61">
        <v>0</v>
      </c>
      <c r="AC38" s="61">
        <v>0</v>
      </c>
      <c r="AD38" s="61">
        <v>0</v>
      </c>
      <c r="AE38" s="352">
        <f>AD38</f>
        <v>0</v>
      </c>
      <c r="AF38" s="61">
        <v>0</v>
      </c>
      <c r="AG38" s="61">
        <v>0</v>
      </c>
      <c r="AH38" s="61">
        <v>0</v>
      </c>
      <c r="AI38" s="61">
        <v>0</v>
      </c>
      <c r="AJ38" s="352">
        <f>AI38</f>
        <v>0</v>
      </c>
      <c r="AK38" s="61">
        <v>0</v>
      </c>
      <c r="AL38" s="61">
        <v>0</v>
      </c>
      <c r="AM38" s="61">
        <v>0</v>
      </c>
      <c r="AN38" s="61">
        <v>0</v>
      </c>
      <c r="AO38" s="352">
        <f>AN38</f>
        <v>0</v>
      </c>
      <c r="AP38" s="61">
        <v>0</v>
      </c>
      <c r="AQ38" s="61">
        <v>0.59099999999999997</v>
      </c>
      <c r="AR38" s="61">
        <v>10.805999999999999</v>
      </c>
      <c r="AS38" s="61">
        <v>17.247</v>
      </c>
      <c r="AT38" s="352">
        <f t="shared" si="41"/>
        <v>17.247</v>
      </c>
      <c r="AU38" s="61">
        <v>19.640999999999998</v>
      </c>
      <c r="AV38" s="61">
        <v>10.779</v>
      </c>
      <c r="AW38" s="61">
        <v>1.4510000000000001</v>
      </c>
      <c r="AX38" s="61">
        <v>1.024</v>
      </c>
      <c r="AY38" s="352">
        <f t="shared" si="42"/>
        <v>1.024</v>
      </c>
      <c r="AZ38" s="61">
        <v>5.9539999999999997</v>
      </c>
      <c r="BA38" s="61">
        <v>6.2750000000000004</v>
      </c>
      <c r="BB38" s="61">
        <v>8.6319999999999997</v>
      </c>
      <c r="BC38" s="61">
        <v>11.949</v>
      </c>
      <c r="BD38" s="352">
        <f t="shared" si="43"/>
        <v>11.949</v>
      </c>
      <c r="BE38" s="61">
        <v>30.5</v>
      </c>
      <c r="BF38" s="61">
        <v>28.117999999999999</v>
      </c>
      <c r="BG38" s="61">
        <v>38.241999999999997</v>
      </c>
      <c r="BH38" s="61">
        <v>52.816000000000003</v>
      </c>
      <c r="BI38" s="352">
        <f t="shared" si="44"/>
        <v>52.816000000000003</v>
      </c>
      <c r="BJ38" s="61">
        <v>49.133000000000003</v>
      </c>
      <c r="BK38" s="61">
        <v>58.918999999999997</v>
      </c>
      <c r="BL38" s="61">
        <v>72.036000000000001</v>
      </c>
      <c r="BM38" s="61">
        <v>80.617999999999995</v>
      </c>
      <c r="BN38" s="352">
        <f t="shared" si="45"/>
        <v>80.617999999999995</v>
      </c>
      <c r="BO38" s="61">
        <v>86.584000000000003</v>
      </c>
      <c r="BP38" s="61">
        <v>87.286000000000001</v>
      </c>
      <c r="BQ38" s="61">
        <v>105.322</v>
      </c>
      <c r="BR38" s="61">
        <v>109.80800000000001</v>
      </c>
      <c r="BS38" s="352">
        <f t="shared" si="46"/>
        <v>109.80800000000001</v>
      </c>
      <c r="BT38" s="61">
        <v>112.306</v>
      </c>
      <c r="BU38" s="61">
        <v>112.846</v>
      </c>
      <c r="BV38" s="61">
        <v>135.57</v>
      </c>
      <c r="BW38" s="61">
        <v>164.19200000000001</v>
      </c>
      <c r="BX38" s="352">
        <f t="shared" si="47"/>
        <v>164.19200000000001</v>
      </c>
      <c r="BY38" s="61">
        <v>164.07400000000001</v>
      </c>
      <c r="BZ38" s="61">
        <v>167.46199999999999</v>
      </c>
      <c r="CA38" s="61">
        <v>154.92699999999999</v>
      </c>
      <c r="CB38" s="61">
        <v>178.82400000000001</v>
      </c>
      <c r="CC38" s="352">
        <f t="shared" si="48"/>
        <v>178.82400000000001</v>
      </c>
      <c r="CD38" s="86">
        <v>164.96700000000001</v>
      </c>
      <c r="CE38" s="86">
        <v>165.94200000000001</v>
      </c>
      <c r="CF38" s="86">
        <v>160.74600000000001</v>
      </c>
      <c r="CG38" s="441">
        <v>221.345</v>
      </c>
      <c r="CH38" s="352">
        <f t="shared" si="49"/>
        <v>221.345</v>
      </c>
      <c r="CI38" s="441">
        <v>140.56800000000001</v>
      </c>
      <c r="CJ38" s="86">
        <v>123.295</v>
      </c>
      <c r="CK38" s="86">
        <v>142.733</v>
      </c>
      <c r="CL38" s="441">
        <v>144.43799999999999</v>
      </c>
      <c r="CM38" s="352">
        <f t="shared" si="50"/>
        <v>144.43799999999999</v>
      </c>
      <c r="CN38" s="441">
        <v>153.30000000000001</v>
      </c>
      <c r="CO38" s="86">
        <v>159.80000000000001</v>
      </c>
      <c r="CP38" s="86">
        <v>203.7</v>
      </c>
      <c r="CQ38" s="441">
        <v>347.8</v>
      </c>
      <c r="CR38" s="352">
        <f t="shared" si="52"/>
        <v>347.8</v>
      </c>
      <c r="CS38" s="441">
        <v>295</v>
      </c>
      <c r="CT38" s="441">
        <v>328.7</v>
      </c>
      <c r="CU38" s="86">
        <v>385.3</v>
      </c>
      <c r="CV38" s="441">
        <v>425</v>
      </c>
      <c r="CW38" s="352">
        <f t="shared" si="53"/>
        <v>425</v>
      </c>
      <c r="CX38" s="441">
        <v>458</v>
      </c>
      <c r="CY38" s="441">
        <v>457</v>
      </c>
      <c r="CZ38" s="1035">
        <v>464</v>
      </c>
      <c r="DA38" s="441">
        <v>418</v>
      </c>
      <c r="DB38" s="352">
        <f t="shared" si="85"/>
        <v>418</v>
      </c>
      <c r="DC38" s="15">
        <f t="shared" ref="DC38" si="120">DA38+60</f>
        <v>478</v>
      </c>
      <c r="DD38" s="15">
        <f t="shared" ref="DD38:DD39" si="121">DB38+60</f>
        <v>478</v>
      </c>
      <c r="DE38" s="15">
        <f t="shared" ref="DE38:DE39" si="122">DC38+60</f>
        <v>538</v>
      </c>
      <c r="DF38" s="15">
        <f t="shared" ref="DF38:DF39" si="123">DD38+60</f>
        <v>538</v>
      </c>
      <c r="DG38" s="352">
        <f t="shared" si="87"/>
        <v>538</v>
      </c>
      <c r="DH38" s="15">
        <f t="shared" ref="DH38" si="124">DF38+60</f>
        <v>598</v>
      </c>
      <c r="DI38" s="15">
        <f t="shared" ref="DI38:DI39" si="125">DG38+60</f>
        <v>598</v>
      </c>
      <c r="DJ38" s="15">
        <f t="shared" ref="DJ38:DJ39" si="126">DH38+60</f>
        <v>658</v>
      </c>
      <c r="DK38" s="15">
        <f t="shared" ref="DK38:DK39" si="127">DI38+60</f>
        <v>658</v>
      </c>
      <c r="DL38" s="352">
        <f t="shared" si="89"/>
        <v>658</v>
      </c>
      <c r="DM38" s="15">
        <f>DK38+50</f>
        <v>708</v>
      </c>
      <c r="DN38" s="15">
        <f t="shared" ref="DN38:DN39" si="128">DL38+50</f>
        <v>708</v>
      </c>
      <c r="DO38" s="15">
        <f t="shared" ref="DO38:DO39" si="129">DM38+50</f>
        <v>758</v>
      </c>
      <c r="DP38" s="15">
        <f t="shared" ref="DP38:DP39" si="130">DN38+50</f>
        <v>758</v>
      </c>
      <c r="DQ38" s="352">
        <f t="shared" si="93"/>
        <v>758</v>
      </c>
      <c r="DR38" s="61"/>
      <c r="DS38" s="260"/>
      <c r="DT38"/>
      <c r="DU38"/>
      <c r="DV38"/>
      <c r="DW38"/>
      <c r="DX38"/>
      <c r="DY38"/>
    </row>
    <row r="39" spans="2:129" s="180" customFormat="1" ht="11.25" customHeight="1">
      <c r="B39" s="62"/>
      <c r="C39" s="36" t="s">
        <v>159</v>
      </c>
      <c r="D39" s="36"/>
      <c r="E39" s="36"/>
      <c r="F39" s="36"/>
      <c r="G39" s="62"/>
      <c r="H39" s="61">
        <v>0.17100000000000001</v>
      </c>
      <c r="I39" s="61">
        <v>0.153</v>
      </c>
      <c r="J39" s="63">
        <v>1.212</v>
      </c>
      <c r="K39" s="352">
        <f>J39</f>
        <v>1.212</v>
      </c>
      <c r="L39" s="62">
        <v>1.4330000000000001</v>
      </c>
      <c r="M39" s="61">
        <v>1.304</v>
      </c>
      <c r="N39" s="61">
        <v>1.45</v>
      </c>
      <c r="O39" s="63">
        <v>1.3280000000000001</v>
      </c>
      <c r="P39" s="352">
        <f>O39</f>
        <v>1.3280000000000001</v>
      </c>
      <c r="Q39" s="62">
        <v>1.456</v>
      </c>
      <c r="R39" s="61">
        <v>1.764</v>
      </c>
      <c r="S39" s="61">
        <v>1.7669999999999999</v>
      </c>
      <c r="T39" s="63">
        <v>2.23</v>
      </c>
      <c r="U39" s="352">
        <f>T39</f>
        <v>2.23</v>
      </c>
      <c r="V39" s="62">
        <v>2.31</v>
      </c>
      <c r="W39" s="61">
        <v>2.2010000000000001</v>
      </c>
      <c r="X39" s="61">
        <v>2.2000000000000002</v>
      </c>
      <c r="Y39" s="63">
        <v>2.431</v>
      </c>
      <c r="Z39" s="352">
        <f>Y39</f>
        <v>2.431</v>
      </c>
      <c r="AA39" s="62">
        <v>2.1240000000000001</v>
      </c>
      <c r="AB39" s="61">
        <v>4.8049999999999997</v>
      </c>
      <c r="AC39" s="61">
        <v>4.6760000000000002</v>
      </c>
      <c r="AD39" s="61">
        <v>2.8010000000000002</v>
      </c>
      <c r="AE39" s="352">
        <f>AD39</f>
        <v>2.8010000000000002</v>
      </c>
      <c r="AF39" s="61">
        <v>2.976</v>
      </c>
      <c r="AG39" s="61">
        <v>3.0179999999999998</v>
      </c>
      <c r="AH39" s="61">
        <v>3.0310000000000001</v>
      </c>
      <c r="AI39" s="61">
        <v>2.7410000000000001</v>
      </c>
      <c r="AJ39" s="352">
        <f>AI39</f>
        <v>2.7410000000000001</v>
      </c>
      <c r="AK39" s="61">
        <v>3.153</v>
      </c>
      <c r="AL39" s="61">
        <v>3.6560000000000001</v>
      </c>
      <c r="AM39" s="61">
        <v>4.5330000000000004</v>
      </c>
      <c r="AN39" s="61">
        <v>6.2160000000000002</v>
      </c>
      <c r="AO39" s="352">
        <f>AN39</f>
        <v>6.2160000000000002</v>
      </c>
      <c r="AP39" s="61">
        <v>6.6260000000000003</v>
      </c>
      <c r="AQ39" s="61">
        <v>7.125</v>
      </c>
      <c r="AR39" s="61">
        <v>7.3890000000000002</v>
      </c>
      <c r="AS39" s="61">
        <v>7.7409999999999997</v>
      </c>
      <c r="AT39" s="352">
        <f t="shared" si="41"/>
        <v>7.7409999999999997</v>
      </c>
      <c r="AU39" s="61">
        <v>9.9030000000000005</v>
      </c>
      <c r="AV39" s="61">
        <v>10.576000000000001</v>
      </c>
      <c r="AW39" s="61">
        <v>13.494</v>
      </c>
      <c r="AX39" s="61">
        <v>16.759</v>
      </c>
      <c r="AY39" s="352">
        <f t="shared" si="42"/>
        <v>16.759</v>
      </c>
      <c r="AZ39" s="61">
        <v>18.577000000000002</v>
      </c>
      <c r="BA39" s="61">
        <v>24.654</v>
      </c>
      <c r="BB39" s="61">
        <v>27.405999999999999</v>
      </c>
      <c r="BC39" s="61">
        <v>33.777000000000001</v>
      </c>
      <c r="BD39" s="352">
        <f t="shared" si="43"/>
        <v>33.777000000000001</v>
      </c>
      <c r="BE39" s="61">
        <v>35.103999999999999</v>
      </c>
      <c r="BF39" s="61">
        <v>36.213999999999999</v>
      </c>
      <c r="BG39" s="61">
        <v>36.140999999999998</v>
      </c>
      <c r="BH39" s="61">
        <v>34.853000000000002</v>
      </c>
      <c r="BI39" s="352">
        <f t="shared" si="44"/>
        <v>34.853000000000002</v>
      </c>
      <c r="BJ39" s="61">
        <v>35.43</v>
      </c>
      <c r="BK39" s="61">
        <v>42.932000000000002</v>
      </c>
      <c r="BL39" s="61">
        <v>43.996000000000002</v>
      </c>
      <c r="BM39" s="61">
        <v>49.277999999999999</v>
      </c>
      <c r="BN39" s="352">
        <f t="shared" si="45"/>
        <v>49.277999999999999</v>
      </c>
      <c r="BO39" s="61">
        <v>67.477000000000004</v>
      </c>
      <c r="BP39" s="61">
        <v>59.389000000000003</v>
      </c>
      <c r="BQ39" s="61">
        <v>72.418999999999997</v>
      </c>
      <c r="BR39" s="61">
        <v>75.484999999999999</v>
      </c>
      <c r="BS39" s="352">
        <f t="shared" si="46"/>
        <v>75.484999999999999</v>
      </c>
      <c r="BT39" s="61">
        <v>82.269000000000005</v>
      </c>
      <c r="BU39" s="61">
        <v>119.479</v>
      </c>
      <c r="BV39" s="61">
        <v>100.116</v>
      </c>
      <c r="BW39" s="61">
        <v>113.813</v>
      </c>
      <c r="BX39" s="352">
        <f t="shared" si="47"/>
        <v>113.813</v>
      </c>
      <c r="BY39" s="61">
        <v>139.00899999999999</v>
      </c>
      <c r="BZ39" s="61">
        <v>120.98099999999999</v>
      </c>
      <c r="CA39" s="61">
        <v>143.03399999999999</v>
      </c>
      <c r="CB39" s="61">
        <v>160.30699999999999</v>
      </c>
      <c r="CC39" s="352">
        <f t="shared" si="48"/>
        <v>160.30699999999999</v>
      </c>
      <c r="CD39" s="86">
        <v>169.64699999999999</v>
      </c>
      <c r="CE39" s="86">
        <v>160.07400000000001</v>
      </c>
      <c r="CF39" s="86">
        <v>169.29499999999999</v>
      </c>
      <c r="CG39" s="441">
        <v>183.01300000000001</v>
      </c>
      <c r="CH39" s="352">
        <f t="shared" si="49"/>
        <v>183.01300000000001</v>
      </c>
      <c r="CI39" s="441">
        <v>187.18899999999999</v>
      </c>
      <c r="CJ39" s="86">
        <v>166.7</v>
      </c>
      <c r="CK39" s="86">
        <v>175.34800000000001</v>
      </c>
      <c r="CL39" s="441">
        <v>209.66300000000001</v>
      </c>
      <c r="CM39" s="352">
        <f t="shared" si="50"/>
        <v>209.66300000000001</v>
      </c>
      <c r="CN39" s="441">
        <v>223.6</v>
      </c>
      <c r="CO39" s="86">
        <v>277.7</v>
      </c>
      <c r="CP39" s="86">
        <v>262.10000000000002</v>
      </c>
      <c r="CQ39" s="441">
        <v>268.60000000000002</v>
      </c>
      <c r="CR39" s="352">
        <f t="shared" si="52"/>
        <v>268.60000000000002</v>
      </c>
      <c r="CS39" s="441">
        <v>275.89999999999998</v>
      </c>
      <c r="CT39" s="441">
        <f>59.6+286.2</f>
        <v>345.8</v>
      </c>
      <c r="CU39" s="86">
        <f>328.8+60.6</f>
        <v>389.40000000000003</v>
      </c>
      <c r="CV39" s="441">
        <f>62+359</f>
        <v>421</v>
      </c>
      <c r="CW39" s="352">
        <f t="shared" si="53"/>
        <v>421</v>
      </c>
      <c r="CX39" s="441">
        <v>427</v>
      </c>
      <c r="CY39" s="441">
        <v>430</v>
      </c>
      <c r="CZ39" s="1035">
        <v>428</v>
      </c>
      <c r="DA39" s="441">
        <v>448</v>
      </c>
      <c r="DB39" s="352">
        <f t="shared" si="85"/>
        <v>448</v>
      </c>
      <c r="DC39" s="15">
        <f>DA39+60</f>
        <v>508</v>
      </c>
      <c r="DD39" s="15">
        <f t="shared" si="121"/>
        <v>508</v>
      </c>
      <c r="DE39" s="15">
        <f t="shared" si="122"/>
        <v>568</v>
      </c>
      <c r="DF39" s="15">
        <f t="shared" si="123"/>
        <v>568</v>
      </c>
      <c r="DG39" s="352">
        <f t="shared" si="87"/>
        <v>568</v>
      </c>
      <c r="DH39" s="15">
        <f>DF39+60</f>
        <v>628</v>
      </c>
      <c r="DI39" s="15">
        <f t="shared" si="125"/>
        <v>628</v>
      </c>
      <c r="DJ39" s="15">
        <f t="shared" si="126"/>
        <v>688</v>
      </c>
      <c r="DK39" s="15">
        <f t="shared" si="127"/>
        <v>688</v>
      </c>
      <c r="DL39" s="352">
        <f t="shared" si="89"/>
        <v>688</v>
      </c>
      <c r="DM39" s="15">
        <f>DK39+50</f>
        <v>738</v>
      </c>
      <c r="DN39" s="15">
        <f t="shared" si="128"/>
        <v>738</v>
      </c>
      <c r="DO39" s="15">
        <f t="shared" si="129"/>
        <v>788</v>
      </c>
      <c r="DP39" s="15">
        <f t="shared" si="130"/>
        <v>788</v>
      </c>
      <c r="DQ39" s="352">
        <f t="shared" si="93"/>
        <v>788</v>
      </c>
      <c r="DR39" s="61"/>
      <c r="DS39" s="260"/>
      <c r="DT39"/>
      <c r="DU39"/>
      <c r="DV39"/>
      <c r="DW39"/>
      <c r="DX39"/>
      <c r="DY39"/>
    </row>
    <row r="40" spans="2:129" s="181" customFormat="1" ht="11.25" customHeight="1">
      <c r="B40" s="31" t="s">
        <v>86</v>
      </c>
      <c r="C40" s="40"/>
      <c r="D40" s="40"/>
      <c r="E40" s="40"/>
      <c r="F40" s="40"/>
      <c r="G40" s="39"/>
      <c r="H40" s="40">
        <f>SUM(H29:H31,H37:H39)</f>
        <v>7.5859999999999994</v>
      </c>
      <c r="I40" s="40">
        <f>SUM(I29:I31,I37:I39)</f>
        <v>7.5519999999999996</v>
      </c>
      <c r="J40" s="41">
        <f>SUM(J29:J31,J37:J39)</f>
        <v>9.3119999999999994</v>
      </c>
      <c r="K40" s="355">
        <f>J40</f>
        <v>9.3119999999999994</v>
      </c>
      <c r="L40" s="39">
        <f>SUM(L29:L31,L37:L39)</f>
        <v>10.122</v>
      </c>
      <c r="M40" s="40">
        <f>SUM(M29:M31,M37:M39)</f>
        <v>11.308999999999999</v>
      </c>
      <c r="N40" s="40">
        <f>SUM(N29:N31,N37:N39)</f>
        <v>12.304</v>
      </c>
      <c r="O40" s="41">
        <f>SUM(O29:O31,O37:O39)</f>
        <v>12.315</v>
      </c>
      <c r="P40" s="355">
        <f>O40</f>
        <v>12.315</v>
      </c>
      <c r="Q40" s="39">
        <f>SUM(Q29:Q31,Q37:Q39)</f>
        <v>12.264999999999999</v>
      </c>
      <c r="R40" s="40">
        <f>SUM(R29:R31,R37:R39)</f>
        <v>15.582999999999998</v>
      </c>
      <c r="S40" s="40">
        <f>SUM(S29:S31,S37:S39)</f>
        <v>17.855999999999998</v>
      </c>
      <c r="T40" s="41">
        <f>SUM(T29:T31,T37:T39)</f>
        <v>21.317000000000004</v>
      </c>
      <c r="U40" s="355">
        <f>T40</f>
        <v>21.317000000000004</v>
      </c>
      <c r="V40" s="39">
        <f>SUM(V29:V31,V37:V39)</f>
        <v>23.021999999999995</v>
      </c>
      <c r="W40" s="40">
        <f>SUM(W29:W31,W37:W39)</f>
        <v>23.562000000000005</v>
      </c>
      <c r="X40" s="40">
        <f>SUM(X29:X31,X37:X39)</f>
        <v>27.309000000000001</v>
      </c>
      <c r="Y40" s="41">
        <f>SUM(Y29:Y31,Y37:Y39)</f>
        <v>27.648</v>
      </c>
      <c r="Z40" s="355">
        <f>Y40</f>
        <v>27.648</v>
      </c>
      <c r="AA40" s="39">
        <f>SUM(AA29:AA31,AA37:AA39)</f>
        <v>27.248999999999999</v>
      </c>
      <c r="AB40" s="40">
        <f>SUM(AB29:AB31,AB37:AB39)</f>
        <v>30.847999999999999</v>
      </c>
      <c r="AC40" s="40">
        <f>SUM(AC29:AC31,AC37:AC39)</f>
        <v>31.46</v>
      </c>
      <c r="AD40" s="40">
        <f>SUM(AD29:AD31,AD37:AD39)</f>
        <v>55.639000000000003</v>
      </c>
      <c r="AE40" s="355">
        <f>AD40</f>
        <v>55.639000000000003</v>
      </c>
      <c r="AF40" s="40">
        <f>SUM(AF29:AF31,AF37:AF39)</f>
        <v>59.15</v>
      </c>
      <c r="AG40" s="40">
        <f>SUM(AG29:AG31,AG37:AG39)</f>
        <v>67.552999999999997</v>
      </c>
      <c r="AH40" s="40">
        <f>SUM(AH29:AH31,AH37:AH39)</f>
        <v>71.123000000000005</v>
      </c>
      <c r="AI40" s="40">
        <f>SUM(AI29:AI31,AI37:AI39)</f>
        <v>82.091999999999999</v>
      </c>
      <c r="AJ40" s="355">
        <f>AI40</f>
        <v>82.091999999999999</v>
      </c>
      <c r="AK40" s="40">
        <f>SUM(AK29:AK31,AK37:AK39)</f>
        <v>82.309000000000012</v>
      </c>
      <c r="AL40" s="40">
        <f>SUM(AL29:AL31,AL37:AL39)</f>
        <v>82.478000000000009</v>
      </c>
      <c r="AM40" s="40">
        <f>SUM(AM29:AM31,AM37:AM39)</f>
        <v>94.837999999999994</v>
      </c>
      <c r="AN40" s="40">
        <f>SUM(AN29:AN31,AN37:AN39)</f>
        <v>118.74799999999998</v>
      </c>
      <c r="AO40" s="355">
        <f>AN40</f>
        <v>118.74799999999998</v>
      </c>
      <c r="AP40" s="40">
        <f>SUM(AP29:AP31,AP37:AP39)</f>
        <v>122.468</v>
      </c>
      <c r="AQ40" s="40">
        <f>SUM(AQ29:AQ31,AQ37:AQ39)</f>
        <v>151.35000000000002</v>
      </c>
      <c r="AR40" s="40">
        <f>SUM(AR29:AR31,AR37:AR39)</f>
        <v>179.87600000000003</v>
      </c>
      <c r="AS40" s="40">
        <f>SUM(AS29:AS31,AS37:AS39)</f>
        <v>206.47000000000003</v>
      </c>
      <c r="AT40" s="355">
        <f t="shared" si="41"/>
        <v>206.47000000000003</v>
      </c>
      <c r="AU40" s="40">
        <f>SUM(AU29:AU31,AU37:AU39)</f>
        <v>225.19399999999999</v>
      </c>
      <c r="AV40" s="40">
        <f>SUM(AV29:AV31,AV37:AV39)</f>
        <v>234.47599999999997</v>
      </c>
      <c r="AW40" s="40">
        <f>SUM(AW29:AW31,AW37:AW39)</f>
        <v>261.29500000000002</v>
      </c>
      <c r="AX40" s="40">
        <f>SUM(AX29:AX31,AX37:AX39)</f>
        <v>285.59000000000003</v>
      </c>
      <c r="AY40" s="355">
        <f t="shared" si="42"/>
        <v>285.59000000000003</v>
      </c>
      <c r="AZ40" s="40">
        <f>SUM(AZ29:AZ31,AZ37:AZ39)</f>
        <v>307.09700000000004</v>
      </c>
      <c r="BA40" s="40">
        <f>SUM(BA29:BA31,BA37:BA39)</f>
        <v>354.78399999999999</v>
      </c>
      <c r="BB40" s="40">
        <f>SUM(BB29:BB31,BB37:BB39)</f>
        <v>385.41900000000004</v>
      </c>
      <c r="BC40" s="40">
        <f>SUM(BC29:BC31,BC37:BC39)</f>
        <v>596.12700000000007</v>
      </c>
      <c r="BD40" s="355">
        <f t="shared" si="43"/>
        <v>596.12700000000007</v>
      </c>
      <c r="BE40" s="40">
        <f>SUM(BE29:BE31,BE37:BE39)</f>
        <v>825.2360000000001</v>
      </c>
      <c r="BF40" s="40">
        <f>SUM(BF29:BF31,BF37:BF39)</f>
        <v>841.16100000000006</v>
      </c>
      <c r="BG40" s="40">
        <f>SUM(BG29:BG31,BG37:BG39)</f>
        <v>891.02</v>
      </c>
      <c r="BH40" s="40">
        <f>SUM(BH29:BH31,BH37:BH39)</f>
        <v>906.44099999999992</v>
      </c>
      <c r="BI40" s="355">
        <f t="shared" si="44"/>
        <v>906.44099999999992</v>
      </c>
      <c r="BJ40" s="40">
        <f>SUM(BJ29:BJ31,BJ37:BJ39)</f>
        <v>903.38900000000001</v>
      </c>
      <c r="BK40" s="40">
        <f>SUM(BK29:BK31,BK37:BK39)</f>
        <v>909.61299999999994</v>
      </c>
      <c r="BL40" s="40">
        <f>SUM(BL29:BL31,BL37:BL39)</f>
        <v>959.65600000000006</v>
      </c>
      <c r="BM40" s="40">
        <f>SUM(BM29:BM31,BM37:BM39)</f>
        <v>1030.672</v>
      </c>
      <c r="BN40" s="355">
        <f t="shared" si="45"/>
        <v>1030.672</v>
      </c>
      <c r="BO40" s="40">
        <f>SUM(BO29:BO31,BO37:BO39)</f>
        <v>1040.5140000000001</v>
      </c>
      <c r="BP40" s="40">
        <f>SUM(BP29:BP31,BP37:BP39)</f>
        <v>959.2299999999999</v>
      </c>
      <c r="BQ40" s="40">
        <f>SUM(BQ29:BQ31,BQ37:BQ39)</f>
        <v>1011.5989999999999</v>
      </c>
      <c r="BR40" s="40">
        <f>SUM(BR29:BR31,BR37:BR39)</f>
        <v>1064.8399999999999</v>
      </c>
      <c r="BS40" s="355">
        <f t="shared" si="46"/>
        <v>1064.8399999999999</v>
      </c>
      <c r="BT40" s="40">
        <f>SUM(BT29:BT31,BT37:BT39)</f>
        <v>1102.0729999999999</v>
      </c>
      <c r="BU40" s="40">
        <f>SUM(BU29:BU31,BU37:BU39)</f>
        <v>1158.8050000000001</v>
      </c>
      <c r="BV40" s="40">
        <f>SUM(BV29:BV31,BV37:BV39)</f>
        <v>1291.9179999999999</v>
      </c>
      <c r="BW40" s="40">
        <f>SUM(BW29:BW31,BW37:BW39)</f>
        <v>1422.4270000000004</v>
      </c>
      <c r="BX40" s="355">
        <f t="shared" si="47"/>
        <v>1422.4270000000004</v>
      </c>
      <c r="BY40" s="40">
        <f>SUM(BY29:BY31,BY37:BY39)</f>
        <v>1471.383</v>
      </c>
      <c r="BZ40" s="40">
        <f>SUM(BZ29:BZ31,BZ37:BZ39)</f>
        <v>1501.867</v>
      </c>
      <c r="CA40" s="40">
        <f>SUM(CA29:CA31,CA37:CA39)</f>
        <v>1565.5079999999998</v>
      </c>
      <c r="CB40" s="40">
        <f>SUM(CB29:CB31,CB37:CB39)</f>
        <v>1707.277</v>
      </c>
      <c r="CC40" s="355">
        <f t="shared" si="48"/>
        <v>1707.277</v>
      </c>
      <c r="CD40" s="40">
        <f>SUM(CD29:CD31,CD37:CD39)</f>
        <v>1872.662</v>
      </c>
      <c r="CE40" s="40">
        <f>SUM(CE29:CE31,CE37:CE39)</f>
        <v>1878.3590000000002</v>
      </c>
      <c r="CF40" s="40">
        <f>SUM(CF29:CF31,CF37:CF39)</f>
        <v>1877.9440000000002</v>
      </c>
      <c r="CG40" s="40">
        <f>SUM(CG29:CG31,CG37:CG39)</f>
        <v>2061.0320000000002</v>
      </c>
      <c r="CH40" s="355">
        <f t="shared" si="49"/>
        <v>2061.0320000000002</v>
      </c>
      <c r="CI40" s="40">
        <f>SUM(CI29:CI31,CI37:CI39)</f>
        <v>1988.559</v>
      </c>
      <c r="CJ40" s="40">
        <f>SUM(CJ29:CJ31,CJ37:CJ39)</f>
        <v>1946.604</v>
      </c>
      <c r="CK40" s="40">
        <f>SUM(CK29:CK31,CK37:CK39)</f>
        <v>1967.0170000000001</v>
      </c>
      <c r="CL40" s="40">
        <f>SUM(CL29:CL31,CL37:CL39)</f>
        <v>4968.6190000000006</v>
      </c>
      <c r="CM40" s="355">
        <f t="shared" si="50"/>
        <v>4968.6190000000006</v>
      </c>
      <c r="CN40" s="40">
        <f>SUM(CN29:CN31,CN37:CN39)</f>
        <v>4976.9000000000005</v>
      </c>
      <c r="CO40" s="40">
        <f>SUM(CO29:CO31,CO37:CO39)</f>
        <v>5026.2000000000007</v>
      </c>
      <c r="CP40" s="40">
        <f>SUM(CP29:CP31,CP37:CP39)</f>
        <v>5029.7</v>
      </c>
      <c r="CQ40" s="40">
        <f>SUM(CQ29:CQ31,CQ37:CQ39)</f>
        <v>5156.8</v>
      </c>
      <c r="CR40" s="355">
        <f t="shared" si="52"/>
        <v>5156.8</v>
      </c>
      <c r="CS40" s="40">
        <f t="shared" ref="CS40:DQ40" si="131">SUM(CS29:CS31,CS37:CS39)</f>
        <v>5165</v>
      </c>
      <c r="CT40" s="40">
        <f t="shared" si="131"/>
        <v>5381.2</v>
      </c>
      <c r="CU40" s="40">
        <f t="shared" si="131"/>
        <v>5516.9</v>
      </c>
      <c r="CV40" s="40">
        <f t="shared" si="131"/>
        <v>5662</v>
      </c>
      <c r="CW40" s="334">
        <f t="shared" si="131"/>
        <v>5662</v>
      </c>
      <c r="CX40" s="40">
        <f t="shared" si="131"/>
        <v>5787</v>
      </c>
      <c r="CY40" s="40">
        <f t="shared" si="131"/>
        <v>5839</v>
      </c>
      <c r="CZ40" s="40">
        <f t="shared" si="131"/>
        <v>6023</v>
      </c>
      <c r="DA40" s="40">
        <f t="shared" si="131"/>
        <v>6110</v>
      </c>
      <c r="DB40" s="334">
        <f t="shared" si="131"/>
        <v>6110</v>
      </c>
      <c r="DC40" s="40">
        <f t="shared" si="131"/>
        <v>6201.1291571124211</v>
      </c>
      <c r="DD40" s="40">
        <f t="shared" si="131"/>
        <v>6174.1664989992951</v>
      </c>
      <c r="DE40" s="40">
        <f t="shared" si="131"/>
        <v>6290.3491543606142</v>
      </c>
      <c r="DF40" s="40">
        <f t="shared" si="131"/>
        <v>6300.8964716909477</v>
      </c>
      <c r="DG40" s="334">
        <f t="shared" si="131"/>
        <v>6300.8964716909477</v>
      </c>
      <c r="DH40" s="40">
        <f t="shared" si="131"/>
        <v>6392.9255737435342</v>
      </c>
      <c r="DI40" s="40">
        <f t="shared" si="131"/>
        <v>6366.99461764845</v>
      </c>
      <c r="DJ40" s="40">
        <f t="shared" si="131"/>
        <v>6486.0227019394169</v>
      </c>
      <c r="DK40" s="40">
        <f t="shared" si="131"/>
        <v>6500.4038896806214</v>
      </c>
      <c r="DL40" s="334">
        <f t="shared" si="131"/>
        <v>6500.4038896806214</v>
      </c>
      <c r="DM40" s="40">
        <f t="shared" si="131"/>
        <v>6573.3079878363715</v>
      </c>
      <c r="DN40" s="40">
        <f t="shared" si="131"/>
        <v>6548.2104577429527</v>
      </c>
      <c r="DO40" s="40">
        <f t="shared" si="131"/>
        <v>6650.1340467541586</v>
      </c>
      <c r="DP40" s="40">
        <f t="shared" si="131"/>
        <v>6668.4684158961036</v>
      </c>
      <c r="DQ40" s="334">
        <f t="shared" si="131"/>
        <v>6668.4684158961036</v>
      </c>
      <c r="DR40" s="40"/>
      <c r="DS40" s="260"/>
      <c r="DT40"/>
      <c r="DU40"/>
      <c r="DV40"/>
      <c r="DW40"/>
      <c r="DX40"/>
      <c r="DY40"/>
    </row>
    <row r="41" spans="2:129" s="180" customFormat="1" ht="11.25" customHeight="1">
      <c r="B41" s="62"/>
      <c r="C41" s="36"/>
      <c r="D41" s="36"/>
      <c r="E41" s="36"/>
      <c r="F41" s="36"/>
      <c r="G41" s="62"/>
      <c r="H41" s="61"/>
      <c r="I41" s="61"/>
      <c r="J41" s="63"/>
      <c r="K41" s="352"/>
      <c r="L41" s="62"/>
      <c r="M41" s="61"/>
      <c r="N41" s="61"/>
      <c r="O41" s="63"/>
      <c r="P41" s="352"/>
      <c r="Q41" s="62"/>
      <c r="R41" s="61"/>
      <c r="S41" s="61"/>
      <c r="T41" s="63"/>
      <c r="U41" s="352"/>
      <c r="V41" s="62"/>
      <c r="W41" s="61"/>
      <c r="X41" s="61"/>
      <c r="Y41" s="63"/>
      <c r="Z41" s="352"/>
      <c r="AA41" s="62"/>
      <c r="AB41" s="61"/>
      <c r="AC41" s="61"/>
      <c r="AD41" s="61"/>
      <c r="AE41" s="352"/>
      <c r="AF41" s="61"/>
      <c r="AG41" s="61"/>
      <c r="AH41" s="61"/>
      <c r="AI41" s="61"/>
      <c r="AJ41" s="352"/>
      <c r="AK41" s="61"/>
      <c r="AL41" s="61"/>
      <c r="AM41" s="61"/>
      <c r="AN41" s="61"/>
      <c r="AO41" s="352"/>
      <c r="AP41" s="61"/>
      <c r="AQ41" s="61"/>
      <c r="AR41" s="61"/>
      <c r="AS41" s="61"/>
      <c r="AT41" s="352"/>
      <c r="AU41" s="61"/>
      <c r="AV41" s="61"/>
      <c r="AW41" s="61"/>
      <c r="AX41" s="61"/>
      <c r="AY41" s="352"/>
      <c r="AZ41" s="61"/>
      <c r="BA41" s="61"/>
      <c r="BB41" s="61"/>
      <c r="BC41" s="61"/>
      <c r="BD41" s="352"/>
      <c r="BE41" s="61"/>
      <c r="BF41" s="61"/>
      <c r="BG41" s="61"/>
      <c r="BH41" s="61"/>
      <c r="BI41" s="352"/>
      <c r="BJ41" s="61"/>
      <c r="BK41" s="61"/>
      <c r="BL41" s="61"/>
      <c r="BM41" s="61"/>
      <c r="BN41" s="352"/>
      <c r="BO41" s="61"/>
      <c r="BP41" s="61"/>
      <c r="BQ41" s="61"/>
      <c r="BR41" s="61"/>
      <c r="BS41" s="352"/>
      <c r="BT41" s="61"/>
      <c r="BU41" s="61"/>
      <c r="BV41" s="61"/>
      <c r="BW41" s="61"/>
      <c r="BX41" s="352"/>
      <c r="BY41" s="61"/>
      <c r="BZ41" s="61"/>
      <c r="CA41" s="322"/>
      <c r="CB41" s="322"/>
      <c r="CC41" s="352"/>
      <c r="CD41" s="15"/>
      <c r="CE41" s="15"/>
      <c r="CF41" s="15"/>
      <c r="CG41" s="15"/>
      <c r="CH41" s="352"/>
      <c r="CI41" s="15"/>
      <c r="CJ41" s="15"/>
      <c r="CK41" s="15"/>
      <c r="CL41" s="15"/>
      <c r="CM41" s="352"/>
      <c r="CN41" s="15"/>
      <c r="CO41" s="15"/>
      <c r="CP41" s="15"/>
      <c r="CQ41" s="15"/>
      <c r="CR41" s="352"/>
      <c r="CS41" s="15"/>
      <c r="CT41" s="15"/>
      <c r="CU41" s="15"/>
      <c r="CV41" s="15"/>
      <c r="CW41" s="331"/>
      <c r="CX41" s="15"/>
      <c r="CY41" s="15"/>
      <c r="CZ41" s="15"/>
      <c r="DA41" s="15"/>
      <c r="DB41" s="331"/>
      <c r="DC41" s="15"/>
      <c r="DD41" s="15"/>
      <c r="DE41" s="15"/>
      <c r="DF41" s="15"/>
      <c r="DG41" s="331"/>
      <c r="DH41" s="15"/>
      <c r="DI41" s="15"/>
      <c r="DJ41" s="15"/>
      <c r="DK41" s="15"/>
      <c r="DL41" s="331"/>
      <c r="DM41" s="15"/>
      <c r="DN41" s="15"/>
      <c r="DO41" s="15"/>
      <c r="DP41" s="15"/>
      <c r="DQ41" s="331"/>
      <c r="DR41" s="61"/>
      <c r="DS41" s="260"/>
      <c r="DT41"/>
      <c r="DU41"/>
      <c r="DV41"/>
      <c r="DW41"/>
      <c r="DX41"/>
      <c r="DY41"/>
    </row>
    <row r="42" spans="2:129" s="181" customFormat="1" ht="11.25" customHeight="1">
      <c r="B42" s="39" t="s">
        <v>55</v>
      </c>
      <c r="C42" s="40"/>
      <c r="D42" s="40"/>
      <c r="E42" s="40"/>
      <c r="F42" s="40"/>
      <c r="G42" s="39"/>
      <c r="H42" s="40">
        <f>H17+H40</f>
        <v>40.057000000000002</v>
      </c>
      <c r="I42" s="40">
        <f>I17+I40</f>
        <v>44.695999999999998</v>
      </c>
      <c r="J42" s="41">
        <f>J17+J40</f>
        <v>51.678999999999995</v>
      </c>
      <c r="K42" s="355">
        <f>J42</f>
        <v>51.678999999999995</v>
      </c>
      <c r="L42" s="39">
        <f>L17+L40</f>
        <v>53.849000000000004</v>
      </c>
      <c r="M42" s="40">
        <f>M17+M40</f>
        <v>56.373000000000005</v>
      </c>
      <c r="N42" s="40">
        <f>N17+N40</f>
        <v>61.049000000000007</v>
      </c>
      <c r="O42" s="41">
        <f>O17+O40</f>
        <v>69.025999999999996</v>
      </c>
      <c r="P42" s="355">
        <f>O42</f>
        <v>69.025999999999996</v>
      </c>
      <c r="Q42" s="39">
        <f>Q17+Q40</f>
        <v>72.808999999999997</v>
      </c>
      <c r="R42" s="40">
        <f>R17+R40</f>
        <v>83.048000000000002</v>
      </c>
      <c r="S42" s="40">
        <f>S17+S40</f>
        <v>95.377999999999986</v>
      </c>
      <c r="T42" s="41">
        <f>T17+T40</f>
        <v>109.54</v>
      </c>
      <c r="U42" s="355">
        <f>T42</f>
        <v>109.54</v>
      </c>
      <c r="V42" s="39">
        <f>V17+V40</f>
        <v>111.79499999999999</v>
      </c>
      <c r="W42" s="40">
        <f>W17+W40</f>
        <v>123.28300000000002</v>
      </c>
      <c r="X42" s="40">
        <f>X17+X40</f>
        <v>138.57300000000001</v>
      </c>
      <c r="Y42" s="41">
        <f>Y17+Y40</f>
        <v>144.983</v>
      </c>
      <c r="Z42" s="355">
        <f>Y42</f>
        <v>144.983</v>
      </c>
      <c r="AA42" s="39">
        <f>AA17+AA40</f>
        <v>154.321</v>
      </c>
      <c r="AB42" s="40">
        <f>AB17+AB40</f>
        <v>180.79199999999997</v>
      </c>
      <c r="AC42" s="40">
        <f>AC17+AC40</f>
        <v>200.77600000000001</v>
      </c>
      <c r="AD42" s="40">
        <f>AD17+AD40</f>
        <v>231.47300000000001</v>
      </c>
      <c r="AE42" s="355">
        <f>AD42</f>
        <v>231.47300000000001</v>
      </c>
      <c r="AF42" s="40">
        <f>AF17+AF40</f>
        <v>241.69200000000004</v>
      </c>
      <c r="AG42" s="40">
        <f>AG17+AG40</f>
        <v>271.41199999999998</v>
      </c>
      <c r="AH42" s="40">
        <f>AH17+AH40</f>
        <v>313.99299999999999</v>
      </c>
      <c r="AI42" s="40">
        <f>AI17+AI40</f>
        <v>360.58899999999994</v>
      </c>
      <c r="AJ42" s="355">
        <f>AI42</f>
        <v>360.58899999999994</v>
      </c>
      <c r="AK42" s="40">
        <f>AK17+AK40</f>
        <v>389.35000000000008</v>
      </c>
      <c r="AL42" s="40">
        <f>AL17+AL40</f>
        <v>442.68299999999999</v>
      </c>
      <c r="AM42" s="40">
        <f>AM17+AM40</f>
        <v>506.84199999999998</v>
      </c>
      <c r="AN42" s="40">
        <f>AN17+AN40</f>
        <v>572.745</v>
      </c>
      <c r="AO42" s="355">
        <f>AN42</f>
        <v>572.745</v>
      </c>
      <c r="AP42" s="40">
        <f>AP17+AP40</f>
        <v>604.84699999999998</v>
      </c>
      <c r="AQ42" s="40">
        <f>AQ17+AQ40</f>
        <v>683.20800000000008</v>
      </c>
      <c r="AR42" s="40">
        <f>AR17+AR40</f>
        <v>771.73599999999988</v>
      </c>
      <c r="AS42" s="40">
        <f>AS17+AS40</f>
        <v>869.89300000000003</v>
      </c>
      <c r="AT42" s="355">
        <f>AS42</f>
        <v>869.89300000000003</v>
      </c>
      <c r="AU42" s="40">
        <f>AU17+AU40</f>
        <v>934.32699999999988</v>
      </c>
      <c r="AV42" s="40">
        <f>AV17+AV40</f>
        <v>1046.066</v>
      </c>
      <c r="AW42" s="40">
        <f>AW17+AW40</f>
        <v>1182.5119999999999</v>
      </c>
      <c r="AX42" s="40">
        <f>AX17+AX40</f>
        <v>1325.9809999999998</v>
      </c>
      <c r="AY42" s="355">
        <f>AX42</f>
        <v>1325.9809999999998</v>
      </c>
      <c r="AZ42" s="40">
        <f>AZ17+AZ40</f>
        <v>1444.69</v>
      </c>
      <c r="BA42" s="40">
        <f>BA17+BA40</f>
        <v>1584.3540000000003</v>
      </c>
      <c r="BB42" s="40">
        <f>BB17+BB40</f>
        <v>1739.0130000000001</v>
      </c>
      <c r="BC42" s="40">
        <f>BC17+BC40</f>
        <v>1838.306</v>
      </c>
      <c r="BD42" s="355">
        <f>BC42</f>
        <v>1838.306</v>
      </c>
      <c r="BE42" s="40">
        <f>BE17+BE40</f>
        <v>1941.6570000000002</v>
      </c>
      <c r="BF42" s="40">
        <f>BF17+BF40</f>
        <v>2109.7809999999999</v>
      </c>
      <c r="BG42" s="40">
        <f>BG17+BG40</f>
        <v>2212.2280000000001</v>
      </c>
      <c r="BH42" s="40">
        <f>BH17+BH40</f>
        <v>2374.56</v>
      </c>
      <c r="BI42" s="355">
        <f>BH42</f>
        <v>2374.56</v>
      </c>
      <c r="BJ42" s="40">
        <f>BJ17+BJ40</f>
        <v>2429.0450000000001</v>
      </c>
      <c r="BK42" s="40">
        <f>BK17+BK40</f>
        <v>2673.2869999999998</v>
      </c>
      <c r="BL42" s="40">
        <f>BL17+BL40</f>
        <v>2976.482</v>
      </c>
      <c r="BM42" s="40">
        <f>BM17+BM40</f>
        <v>3338.2400000000002</v>
      </c>
      <c r="BN42" s="355">
        <f>BM42</f>
        <v>3338.2400000000002</v>
      </c>
      <c r="BO42" s="40">
        <f>BO17+BO40</f>
        <v>3509.7469999999998</v>
      </c>
      <c r="BP42" s="40">
        <f>BP17+BP40</f>
        <v>3764.1539999999995</v>
      </c>
      <c r="BQ42" s="40">
        <f>BQ17+BQ40</f>
        <v>4246.2789999999995</v>
      </c>
      <c r="BR42" s="40">
        <f>BR17+BR40</f>
        <v>4583.0740000000005</v>
      </c>
      <c r="BS42" s="355">
        <f>BR42</f>
        <v>4583.0740000000005</v>
      </c>
      <c r="BT42" s="40">
        <f>BT17+BT40</f>
        <v>4637.8729999999996</v>
      </c>
      <c r="BU42" s="40">
        <f>BU17+BU40</f>
        <v>4916.7020000000002</v>
      </c>
      <c r="BV42" s="40">
        <f>BV17+BV40</f>
        <v>5104.1149999999998</v>
      </c>
      <c r="BW42" s="40">
        <f>BW17+BW40</f>
        <v>5507.933</v>
      </c>
      <c r="BX42" s="355">
        <f>BW42</f>
        <v>5507.933</v>
      </c>
      <c r="BY42" s="40">
        <f>BY17+BY40</f>
        <v>5668.125</v>
      </c>
      <c r="BZ42" s="40">
        <f>BZ17+BZ40</f>
        <v>5654.2190000000001</v>
      </c>
      <c r="CA42" s="40">
        <f>CA17+CA40</f>
        <v>6107.0389999999998</v>
      </c>
      <c r="CB42" s="40">
        <f>CB17+CB40</f>
        <v>6521.5709999999999</v>
      </c>
      <c r="CC42" s="355">
        <f>CB42</f>
        <v>6521.5709999999999</v>
      </c>
      <c r="CD42" s="40">
        <f>CD17+CD40</f>
        <v>6709.3019999999997</v>
      </c>
      <c r="CE42" s="40">
        <f>CE17+CE40</f>
        <v>7012.3200000000006</v>
      </c>
      <c r="CF42" s="40">
        <f>CF17+CF40</f>
        <v>7617.1490000000013</v>
      </c>
      <c r="CG42" s="40">
        <f>CG17+CG40</f>
        <v>8208.9140000000007</v>
      </c>
      <c r="CH42" s="355">
        <f>CG42</f>
        <v>8208.9140000000007</v>
      </c>
      <c r="CI42" s="40">
        <f>CI17+CI40</f>
        <v>8279.2990000000009</v>
      </c>
      <c r="CJ42" s="40">
        <f>CJ17+CJ40</f>
        <v>8687.2939999999999</v>
      </c>
      <c r="CK42" s="40">
        <f>CK17+CK40</f>
        <v>9227.0429999999997</v>
      </c>
      <c r="CL42" s="40">
        <f>CL17+CL40</f>
        <v>11718.916000000001</v>
      </c>
      <c r="CM42" s="355">
        <f>CL42</f>
        <v>11718.916000000001</v>
      </c>
      <c r="CN42" s="40">
        <f>CN17+CN40</f>
        <v>11383.400000000001</v>
      </c>
      <c r="CO42" s="40">
        <f>CO17+CO40</f>
        <v>11797.6</v>
      </c>
      <c r="CP42" s="40">
        <f>CP17+CP40</f>
        <v>12267.599999999999</v>
      </c>
      <c r="CQ42" s="40">
        <f>CQ17+CQ40</f>
        <v>13065.400000000001</v>
      </c>
      <c r="CR42" s="355">
        <f>CQ42</f>
        <v>13065.400000000001</v>
      </c>
      <c r="CS42" s="40">
        <f t="shared" ref="CS42:DQ42" si="132">CS17+CS40</f>
        <v>12735.899999999998</v>
      </c>
      <c r="CT42" s="40">
        <f t="shared" si="132"/>
        <v>13140.1</v>
      </c>
      <c r="CU42" s="40">
        <f t="shared" si="132"/>
        <v>13716.7</v>
      </c>
      <c r="CV42" s="40">
        <f t="shared" si="132"/>
        <v>14262</v>
      </c>
      <c r="CW42" s="334">
        <f t="shared" si="132"/>
        <v>14262</v>
      </c>
      <c r="CX42" s="40">
        <f t="shared" si="132"/>
        <v>13629</v>
      </c>
      <c r="CY42" s="40">
        <f t="shared" si="132"/>
        <v>13938</v>
      </c>
      <c r="CZ42" s="40">
        <f t="shared" si="132"/>
        <v>14580</v>
      </c>
      <c r="DA42" s="40">
        <f t="shared" si="132"/>
        <v>15221</v>
      </c>
      <c r="DB42" s="334">
        <f t="shared" si="132"/>
        <v>15221</v>
      </c>
      <c r="DC42" s="40">
        <f t="shared" si="132"/>
        <v>15370.449040507778</v>
      </c>
      <c r="DD42" s="40">
        <f t="shared" si="132"/>
        <v>15418.13674123676</v>
      </c>
      <c r="DE42" s="40">
        <f t="shared" si="132"/>
        <v>16027.450780036974</v>
      </c>
      <c r="DF42" s="40">
        <f t="shared" si="132"/>
        <v>16529.547986736539</v>
      </c>
      <c r="DG42" s="334">
        <f t="shared" si="132"/>
        <v>16529.547986736539</v>
      </c>
      <c r="DH42" s="40">
        <f t="shared" si="132"/>
        <v>16777.952181879231</v>
      </c>
      <c r="DI42" s="40">
        <f t="shared" si="132"/>
        <v>16831.572123638063</v>
      </c>
      <c r="DJ42" s="40">
        <f t="shared" si="132"/>
        <v>17403.834387751569</v>
      </c>
      <c r="DK42" s="40">
        <f t="shared" si="132"/>
        <v>17920.689468829612</v>
      </c>
      <c r="DL42" s="334">
        <f t="shared" si="132"/>
        <v>17920.689468829612</v>
      </c>
      <c r="DM42" s="40">
        <f t="shared" si="132"/>
        <v>18313.74782256801</v>
      </c>
      <c r="DN42" s="40">
        <f t="shared" si="132"/>
        <v>18399.597673804506</v>
      </c>
      <c r="DO42" s="40">
        <f t="shared" si="132"/>
        <v>18980.443673301012</v>
      </c>
      <c r="DP42" s="40">
        <f t="shared" si="132"/>
        <v>19568.937632645291</v>
      </c>
      <c r="DQ42" s="334">
        <f t="shared" si="132"/>
        <v>19568.937632645291</v>
      </c>
      <c r="DR42" s="40"/>
      <c r="DS42" s="260"/>
      <c r="DT42"/>
      <c r="DU42"/>
      <c r="DV42"/>
      <c r="DW42"/>
      <c r="DX42"/>
      <c r="DY42"/>
    </row>
    <row r="43" spans="2:129" s="133" customFormat="1" ht="11.25" customHeight="1">
      <c r="B43" s="116"/>
      <c r="C43" s="33"/>
      <c r="D43" s="33"/>
      <c r="E43" s="33"/>
      <c r="F43" s="33"/>
      <c r="G43" s="62"/>
      <c r="H43" s="61"/>
      <c r="I43" s="61"/>
      <c r="J43" s="63"/>
      <c r="K43" s="352"/>
      <c r="L43" s="62"/>
      <c r="M43" s="61"/>
      <c r="N43" s="61"/>
      <c r="O43" s="63"/>
      <c r="P43" s="352"/>
      <c r="Q43" s="62"/>
      <c r="R43" s="61"/>
      <c r="S43" s="61"/>
      <c r="T43" s="63"/>
      <c r="U43" s="352"/>
      <c r="V43" s="62"/>
      <c r="W43" s="61"/>
      <c r="X43" s="61"/>
      <c r="Y43" s="63"/>
      <c r="Z43" s="352"/>
      <c r="AA43" s="62"/>
      <c r="AB43" s="61"/>
      <c r="AC43" s="61"/>
      <c r="AD43" s="61"/>
      <c r="AE43" s="352"/>
      <c r="AF43" s="61"/>
      <c r="AG43" s="61"/>
      <c r="AH43" s="61"/>
      <c r="AI43" s="61"/>
      <c r="AJ43" s="352"/>
      <c r="AK43" s="61"/>
      <c r="AL43" s="61"/>
      <c r="AM43" s="61"/>
      <c r="AN43" s="61"/>
      <c r="AO43" s="352"/>
      <c r="AP43" s="61"/>
      <c r="AQ43" s="61"/>
      <c r="AR43" s="61"/>
      <c r="AS43" s="61"/>
      <c r="AT43" s="352"/>
      <c r="AU43" s="61"/>
      <c r="AV43" s="61"/>
      <c r="AW43" s="61"/>
      <c r="AX43" s="61"/>
      <c r="AY43" s="352"/>
      <c r="AZ43" s="61"/>
      <c r="BA43" s="61"/>
      <c r="BB43" s="61"/>
      <c r="BC43" s="61"/>
      <c r="BD43" s="352"/>
      <c r="BE43" s="61"/>
      <c r="BF43" s="61"/>
      <c r="BG43" s="61"/>
      <c r="BH43" s="61"/>
      <c r="BI43" s="352"/>
      <c r="BJ43" s="61"/>
      <c r="BK43" s="61"/>
      <c r="BL43" s="61"/>
      <c r="BM43" s="61"/>
      <c r="BN43" s="352"/>
      <c r="BO43" s="61"/>
      <c r="BP43" s="61"/>
      <c r="BQ43" s="61"/>
      <c r="BR43" s="61"/>
      <c r="BS43" s="352"/>
      <c r="BT43" s="61"/>
      <c r="BU43" s="61"/>
      <c r="BV43" s="61"/>
      <c r="BW43" s="61"/>
      <c r="BX43" s="352"/>
      <c r="BY43" s="61"/>
      <c r="BZ43" s="61"/>
      <c r="CA43" s="61"/>
      <c r="CB43" s="110"/>
      <c r="CC43" s="352"/>
      <c r="CD43" s="15"/>
      <c r="CE43" s="15"/>
      <c r="CF43" s="15"/>
      <c r="CG43" s="15"/>
      <c r="CH43" s="352"/>
      <c r="CI43" s="15"/>
      <c r="CJ43" s="15"/>
      <c r="CK43" s="15"/>
      <c r="CL43" s="15"/>
      <c r="CM43" s="352"/>
      <c r="CN43" s="15"/>
      <c r="CO43" s="15"/>
      <c r="CP43" s="15"/>
      <c r="CQ43" s="15"/>
      <c r="CR43" s="352"/>
      <c r="CS43" s="15"/>
      <c r="CT43" s="15"/>
      <c r="CU43" s="15"/>
      <c r="CV43" s="15"/>
      <c r="CW43" s="331"/>
      <c r="CX43" s="15"/>
      <c r="CY43" s="15"/>
      <c r="CZ43" s="15"/>
      <c r="DA43" s="15"/>
      <c r="DB43" s="331"/>
      <c r="DC43" s="15"/>
      <c r="DD43" s="15"/>
      <c r="DE43" s="15"/>
      <c r="DF43" s="15"/>
      <c r="DG43" s="331"/>
      <c r="DH43" s="15"/>
      <c r="DI43" s="15"/>
      <c r="DJ43" s="15"/>
      <c r="DK43" s="15"/>
      <c r="DL43" s="331"/>
      <c r="DM43" s="15"/>
      <c r="DN43" s="15"/>
      <c r="DO43" s="15"/>
      <c r="DP43" s="15"/>
      <c r="DQ43" s="331"/>
      <c r="DR43" s="117"/>
      <c r="DS43" s="260"/>
      <c r="DT43"/>
      <c r="DU43"/>
      <c r="DV43"/>
      <c r="DW43"/>
      <c r="DX43"/>
      <c r="DY43"/>
    </row>
    <row r="44" spans="2:129" s="177" customFormat="1" ht="11.25" customHeight="1">
      <c r="B44" s="31" t="s">
        <v>56</v>
      </c>
      <c r="C44" s="27"/>
      <c r="D44" s="27"/>
      <c r="E44" s="27"/>
      <c r="F44" s="27"/>
      <c r="G44" s="39"/>
      <c r="H44" s="40"/>
      <c r="I44" s="40"/>
      <c r="J44" s="41"/>
      <c r="K44" s="355"/>
      <c r="L44" s="39"/>
      <c r="M44" s="40"/>
      <c r="N44" s="40"/>
      <c r="O44" s="41"/>
      <c r="P44" s="355"/>
      <c r="Q44" s="39"/>
      <c r="R44" s="40"/>
      <c r="S44" s="40"/>
      <c r="T44" s="41"/>
      <c r="U44" s="355"/>
      <c r="V44" s="39"/>
      <c r="W44" s="40"/>
      <c r="X44" s="40"/>
      <c r="Y44" s="41"/>
      <c r="Z44" s="355"/>
      <c r="AA44" s="39"/>
      <c r="AB44" s="40"/>
      <c r="AC44" s="40"/>
      <c r="AD44" s="40"/>
      <c r="AE44" s="355"/>
      <c r="AF44" s="40"/>
      <c r="AG44" s="40"/>
      <c r="AH44" s="40"/>
      <c r="AI44" s="40"/>
      <c r="AJ44" s="355"/>
      <c r="AK44" s="40"/>
      <c r="AL44" s="40"/>
      <c r="AM44" s="40"/>
      <c r="AN44" s="40"/>
      <c r="AO44" s="355"/>
      <c r="AP44" s="40"/>
      <c r="AQ44" s="40"/>
      <c r="AR44" s="40"/>
      <c r="AS44" s="40"/>
      <c r="AT44" s="355"/>
      <c r="AU44" s="40"/>
      <c r="AV44" s="94"/>
      <c r="AW44" s="94"/>
      <c r="AX44" s="40"/>
      <c r="AY44" s="355"/>
      <c r="AZ44" s="40"/>
      <c r="BA44" s="40"/>
      <c r="BB44" s="40"/>
      <c r="BC44" s="40"/>
      <c r="BD44" s="355"/>
      <c r="BE44" s="40"/>
      <c r="BF44" s="40"/>
      <c r="BG44" s="40"/>
      <c r="BH44" s="40"/>
      <c r="BI44" s="355"/>
      <c r="BJ44" s="40"/>
      <c r="BK44" s="40"/>
      <c r="BL44" s="40"/>
      <c r="BM44" s="40"/>
      <c r="BN44" s="355"/>
      <c r="BO44" s="40"/>
      <c r="BP44" s="40"/>
      <c r="BQ44" s="40"/>
      <c r="BR44" s="40"/>
      <c r="BS44" s="355"/>
      <c r="BT44" s="40"/>
      <c r="BU44" s="40"/>
      <c r="BV44" s="40"/>
      <c r="BW44" s="40"/>
      <c r="BX44" s="355"/>
      <c r="BY44" s="40"/>
      <c r="BZ44" s="40"/>
      <c r="CA44" s="40"/>
      <c r="CB44" s="40"/>
      <c r="CC44" s="355"/>
      <c r="CD44" s="40"/>
      <c r="CE44" s="40"/>
      <c r="CF44" s="40"/>
      <c r="CG44" s="40"/>
      <c r="CH44" s="355"/>
      <c r="CI44" s="40"/>
      <c r="CJ44" s="40"/>
      <c r="CK44" s="40"/>
      <c r="CL44" s="40"/>
      <c r="CM44" s="355"/>
      <c r="CN44" s="40"/>
      <c r="CO44" s="40"/>
      <c r="CP44" s="40"/>
      <c r="CQ44" s="40"/>
      <c r="CR44" s="355"/>
      <c r="CS44" s="40"/>
      <c r="CT44" s="40"/>
      <c r="CU44" s="40"/>
      <c r="CV44" s="40"/>
      <c r="CW44" s="334"/>
      <c r="CX44" s="40"/>
      <c r="CY44" s="40"/>
      <c r="CZ44" s="40"/>
      <c r="DA44" s="40"/>
      <c r="DB44" s="334"/>
      <c r="DC44" s="40"/>
      <c r="DD44" s="40"/>
      <c r="DE44" s="40"/>
      <c r="DF44" s="40"/>
      <c r="DG44" s="334"/>
      <c r="DH44" s="40"/>
      <c r="DI44" s="40"/>
      <c r="DJ44" s="40"/>
      <c r="DK44" s="40"/>
      <c r="DL44" s="334"/>
      <c r="DM44" s="40"/>
      <c r="DN44" s="40"/>
      <c r="DO44" s="40"/>
      <c r="DP44" s="40"/>
      <c r="DQ44" s="334"/>
      <c r="DR44" s="27"/>
      <c r="DS44" s="260"/>
      <c r="DT44"/>
      <c r="DU44"/>
      <c r="DV44"/>
      <c r="DW44"/>
      <c r="DX44"/>
      <c r="DY44"/>
    </row>
    <row r="45" spans="2:129" s="132" customFormat="1" ht="11.25" customHeight="1">
      <c r="B45" s="32"/>
      <c r="C45" s="33" t="s">
        <v>57</v>
      </c>
      <c r="D45" s="33"/>
      <c r="E45" s="33"/>
      <c r="F45" s="33"/>
      <c r="G45" s="35"/>
      <c r="H45" s="61">
        <v>0.91900000000000004</v>
      </c>
      <c r="I45" s="61">
        <v>0.91</v>
      </c>
      <c r="J45" s="63">
        <v>1.744</v>
      </c>
      <c r="K45" s="352">
        <f>J45</f>
        <v>1.744</v>
      </c>
      <c r="L45" s="62">
        <v>1.736</v>
      </c>
      <c r="M45" s="61">
        <v>1.077</v>
      </c>
      <c r="N45" s="61">
        <v>1.181</v>
      </c>
      <c r="O45" s="63">
        <v>1.4350000000000001</v>
      </c>
      <c r="P45" s="352">
        <f>O45</f>
        <v>1.4350000000000001</v>
      </c>
      <c r="Q45" s="62">
        <v>1.7709999999999999</v>
      </c>
      <c r="R45" s="61">
        <v>1.5229999999999999</v>
      </c>
      <c r="S45" s="61">
        <v>1.903</v>
      </c>
      <c r="T45" s="63">
        <v>2.8570000000000002</v>
      </c>
      <c r="U45" s="352">
        <f>T45</f>
        <v>2.8570000000000002</v>
      </c>
      <c r="V45" s="62">
        <v>2.23</v>
      </c>
      <c r="W45" s="61">
        <v>2.02</v>
      </c>
      <c r="X45" s="61">
        <f>2.995+0.016</f>
        <v>3.0110000000000001</v>
      </c>
      <c r="Y45" s="63">
        <v>3.6520000000000001</v>
      </c>
      <c r="Z45" s="352">
        <f>Y45</f>
        <v>3.6520000000000001</v>
      </c>
      <c r="AA45" s="62">
        <v>3.56</v>
      </c>
      <c r="AB45" s="61">
        <v>4.6070000000000002</v>
      </c>
      <c r="AC45" s="61">
        <v>4.8170000000000002</v>
      </c>
      <c r="AD45" s="61">
        <v>6.9480000000000004</v>
      </c>
      <c r="AE45" s="352">
        <f>AD45</f>
        <v>6.9480000000000004</v>
      </c>
      <c r="AF45" s="61">
        <v>5.6429999999999998</v>
      </c>
      <c r="AG45" s="61">
        <v>6.8390000000000004</v>
      </c>
      <c r="AH45" s="61">
        <v>6.2889999999999997</v>
      </c>
      <c r="AI45" s="61">
        <v>9.423</v>
      </c>
      <c r="AJ45" s="352">
        <f>AI45</f>
        <v>9.423</v>
      </c>
      <c r="AK45" s="61">
        <v>8.468</v>
      </c>
      <c r="AL45" s="61">
        <v>9.1690000000000005</v>
      </c>
      <c r="AM45" s="61">
        <v>11.739000000000001</v>
      </c>
      <c r="AN45" s="61">
        <v>11.19</v>
      </c>
      <c r="AO45" s="352">
        <f>AN45</f>
        <v>11.19</v>
      </c>
      <c r="AP45" s="61">
        <v>13.106999999999999</v>
      </c>
      <c r="AQ45" s="61">
        <v>16.363</v>
      </c>
      <c r="AR45" s="61">
        <v>15.004</v>
      </c>
      <c r="AS45" s="61">
        <v>16.420000000000002</v>
      </c>
      <c r="AT45" s="352">
        <f>AS45</f>
        <v>16.420000000000002</v>
      </c>
      <c r="AU45" s="61">
        <v>21.439</v>
      </c>
      <c r="AV45" s="61">
        <v>24.870999999999999</v>
      </c>
      <c r="AW45" s="61">
        <v>27.648</v>
      </c>
      <c r="AX45" s="61">
        <v>27.838999999999999</v>
      </c>
      <c r="AY45" s="352">
        <f>AX45</f>
        <v>27.838999999999999</v>
      </c>
      <c r="AZ45" s="61">
        <v>36.935000000000002</v>
      </c>
      <c r="BA45" s="61">
        <v>24.619</v>
      </c>
      <c r="BB45" s="61">
        <v>29.774999999999999</v>
      </c>
      <c r="BC45" s="61">
        <v>36.176000000000002</v>
      </c>
      <c r="BD45" s="352">
        <f>BC45</f>
        <v>36.176000000000002</v>
      </c>
      <c r="BE45" s="61">
        <v>47.45</v>
      </c>
      <c r="BF45" s="61">
        <v>50.808999999999997</v>
      </c>
      <c r="BG45" s="61">
        <v>45.753</v>
      </c>
      <c r="BH45" s="61">
        <v>39.97</v>
      </c>
      <c r="BI45" s="352">
        <f>BH45</f>
        <v>39.97</v>
      </c>
      <c r="BJ45" s="61">
        <v>55.713000000000001</v>
      </c>
      <c r="BK45" s="61">
        <v>45.738999999999997</v>
      </c>
      <c r="BL45" s="61">
        <v>53.402999999999999</v>
      </c>
      <c r="BM45" s="61">
        <v>54.64</v>
      </c>
      <c r="BN45" s="352">
        <f>BM45</f>
        <v>54.64</v>
      </c>
      <c r="BO45" s="61">
        <v>85.63</v>
      </c>
      <c r="BP45" s="61">
        <v>80.986000000000004</v>
      </c>
      <c r="BQ45" s="61">
        <v>93.944999999999993</v>
      </c>
      <c r="BR45" s="61">
        <v>75.373000000000005</v>
      </c>
      <c r="BS45" s="352">
        <f>BR45</f>
        <v>75.373000000000005</v>
      </c>
      <c r="BT45" s="61">
        <v>117.595</v>
      </c>
      <c r="BU45" s="61">
        <v>89.057000000000002</v>
      </c>
      <c r="BV45" s="61">
        <v>78.183000000000007</v>
      </c>
      <c r="BW45" s="61">
        <v>72.204999999999998</v>
      </c>
      <c r="BX45" s="352">
        <f>BW45</f>
        <v>72.204999999999998</v>
      </c>
      <c r="BY45" s="61">
        <v>109.983</v>
      </c>
      <c r="BZ45" s="61">
        <v>104.411</v>
      </c>
      <c r="CA45" s="61">
        <v>111.42</v>
      </c>
      <c r="CB45" s="86">
        <v>108.70699999999999</v>
      </c>
      <c r="CC45" s="352">
        <f>CB45</f>
        <v>108.70699999999999</v>
      </c>
      <c r="CD45" s="86">
        <v>132.501</v>
      </c>
      <c r="CE45" s="86">
        <v>94.069000000000003</v>
      </c>
      <c r="CF45" s="86">
        <v>114.825</v>
      </c>
      <c r="CG45" s="441">
        <v>113.39400000000001</v>
      </c>
      <c r="CH45" s="352">
        <f>CG45</f>
        <v>113.39400000000001</v>
      </c>
      <c r="CI45" s="441">
        <v>176.374</v>
      </c>
      <c r="CJ45" s="86">
        <v>119.145</v>
      </c>
      <c r="CK45" s="86">
        <v>130.04</v>
      </c>
      <c r="CL45" s="441">
        <v>145.68700000000001</v>
      </c>
      <c r="CM45" s="352">
        <f>CL45</f>
        <v>145.68700000000001</v>
      </c>
      <c r="CN45" s="441">
        <v>181.4</v>
      </c>
      <c r="CO45" s="86">
        <v>169</v>
      </c>
      <c r="CP45" s="86">
        <v>160.1</v>
      </c>
      <c r="CQ45" s="441">
        <v>165.3</v>
      </c>
      <c r="CR45" s="352">
        <f>CQ45</f>
        <v>165.3</v>
      </c>
      <c r="CS45" s="441">
        <v>213.2</v>
      </c>
      <c r="CT45" s="86">
        <v>164.5</v>
      </c>
      <c r="CU45" s="86">
        <v>171.5</v>
      </c>
      <c r="CV45" s="441">
        <v>175</v>
      </c>
      <c r="CW45" s="352">
        <f>CV45</f>
        <v>175</v>
      </c>
      <c r="CX45" s="441">
        <v>189</v>
      </c>
      <c r="CY45" s="441">
        <v>179</v>
      </c>
      <c r="CZ45" s="1035">
        <v>186</v>
      </c>
      <c r="DA45" s="441">
        <v>210</v>
      </c>
      <c r="DB45" s="352">
        <f>DA45</f>
        <v>210</v>
      </c>
      <c r="DC45" s="15">
        <f>BS!DC143*IS!DC$30*(4/365)</f>
        <v>193.98358842297171</v>
      </c>
      <c r="DD45" s="15">
        <f>BS!DD143*IS!DD$30*(4/365)</f>
        <v>196.73394257408225</v>
      </c>
      <c r="DE45" s="15">
        <f>BS!DE143*IS!DE$30*(4/365)</f>
        <v>192.73997270004278</v>
      </c>
      <c r="DF45" s="15">
        <f>BS!DF143*IS!DF$30*(4/365)</f>
        <v>209.84006440677962</v>
      </c>
      <c r="DG45" s="352">
        <f>DF45</f>
        <v>209.84006440677962</v>
      </c>
      <c r="DH45" s="15">
        <f>BS!DH143*IS!DH$30*(4/365)</f>
        <v>207.30294649703734</v>
      </c>
      <c r="DI45" s="15">
        <f>BS!DI143*IS!DI$30*(4/365)</f>
        <v>210.66781468341441</v>
      </c>
      <c r="DJ45" s="15">
        <f>BS!DJ143*IS!DJ$30*(4/365)</f>
        <v>206.75670347314934</v>
      </c>
      <c r="DK45" s="15">
        <f>BS!DK143*IS!DK$30*(4/365)</f>
        <v>225.60825594813562</v>
      </c>
      <c r="DL45" s="352">
        <f>DK45</f>
        <v>225.60825594813562</v>
      </c>
      <c r="DM45" s="15">
        <f>BS!DM143*IS!DM$30*(4/365)</f>
        <v>223.97482734781786</v>
      </c>
      <c r="DN45" s="15">
        <f>BS!DN143*IS!DN$30*(4/365)</f>
        <v>227.09020543593809</v>
      </c>
      <c r="DO45" s="15">
        <f>BS!DO143*IS!DO$30*(4/365)</f>
        <v>223.19926670007436</v>
      </c>
      <c r="DP45" s="15">
        <f>BS!DP143*IS!DP$30*(4/365)</f>
        <v>243.28124621963389</v>
      </c>
      <c r="DQ45" s="352">
        <f>DP45</f>
        <v>243.28124621963389</v>
      </c>
      <c r="DR45" s="33"/>
      <c r="DS45" s="260"/>
      <c r="DT45"/>
      <c r="DU45"/>
      <c r="DV45"/>
      <c r="DW45"/>
      <c r="DX45"/>
      <c r="DY45"/>
    </row>
    <row r="46" spans="2:129" ht="11.25" customHeight="1">
      <c r="B46" s="31"/>
      <c r="C46" s="4" t="s">
        <v>58</v>
      </c>
      <c r="D46" s="4"/>
      <c r="E46" s="4"/>
      <c r="F46" s="4"/>
      <c r="G46" s="87"/>
      <c r="H46" s="86">
        <v>0</v>
      </c>
      <c r="I46" s="86">
        <v>0</v>
      </c>
      <c r="J46" s="88">
        <v>0</v>
      </c>
      <c r="K46" s="352">
        <f>J46</f>
        <v>0</v>
      </c>
      <c r="L46" s="87">
        <v>0</v>
      </c>
      <c r="M46" s="86">
        <v>0</v>
      </c>
      <c r="N46" s="86">
        <v>0</v>
      </c>
      <c r="O46" s="88">
        <v>0</v>
      </c>
      <c r="P46" s="352">
        <f>O46</f>
        <v>0</v>
      </c>
      <c r="Q46" s="87">
        <v>0</v>
      </c>
      <c r="R46" s="86">
        <v>0</v>
      </c>
      <c r="S46" s="86">
        <v>0</v>
      </c>
      <c r="T46" s="88">
        <v>0</v>
      </c>
      <c r="U46" s="352">
        <f>T46</f>
        <v>0</v>
      </c>
      <c r="V46" s="87">
        <v>0</v>
      </c>
      <c r="W46" s="86">
        <v>0</v>
      </c>
      <c r="X46" s="86">
        <v>0</v>
      </c>
      <c r="Y46" s="88">
        <v>0</v>
      </c>
      <c r="Z46" s="352">
        <f>Y46</f>
        <v>0</v>
      </c>
      <c r="AA46" s="87">
        <v>0</v>
      </c>
      <c r="AB46" s="86">
        <v>0</v>
      </c>
      <c r="AC46" s="86">
        <v>0</v>
      </c>
      <c r="AD46" s="86">
        <v>0</v>
      </c>
      <c r="AE46" s="352">
        <f>AD46</f>
        <v>0</v>
      </c>
      <c r="AF46" s="86">
        <v>0</v>
      </c>
      <c r="AG46" s="86">
        <v>0</v>
      </c>
      <c r="AH46" s="86">
        <v>0</v>
      </c>
      <c r="AI46" s="86">
        <v>0</v>
      </c>
      <c r="AJ46" s="352">
        <f>AI46</f>
        <v>0</v>
      </c>
      <c r="AK46" s="86">
        <v>0</v>
      </c>
      <c r="AL46" s="86">
        <v>0</v>
      </c>
      <c r="AM46" s="86">
        <v>0</v>
      </c>
      <c r="AN46" s="86">
        <v>0</v>
      </c>
      <c r="AO46" s="352">
        <f>AN46</f>
        <v>0</v>
      </c>
      <c r="AP46" s="86">
        <v>0</v>
      </c>
      <c r="AQ46" s="86">
        <v>0</v>
      </c>
      <c r="AR46" s="86">
        <v>0</v>
      </c>
      <c r="AS46" s="86">
        <v>0</v>
      </c>
      <c r="AT46" s="352">
        <f>AS46</f>
        <v>0</v>
      </c>
      <c r="AU46" s="86">
        <v>0</v>
      </c>
      <c r="AV46" s="86">
        <v>0</v>
      </c>
      <c r="AW46" s="86">
        <v>0</v>
      </c>
      <c r="AX46" s="86">
        <v>19.401</v>
      </c>
      <c r="AY46" s="352">
        <f>AX46</f>
        <v>19.401</v>
      </c>
      <c r="AZ46" s="86">
        <v>15.638</v>
      </c>
      <c r="BA46" s="86">
        <v>15.004</v>
      </c>
      <c r="BB46" s="86">
        <v>19.068999999999999</v>
      </c>
      <c r="BC46" s="86">
        <v>29.02</v>
      </c>
      <c r="BD46" s="352">
        <f>BC46</f>
        <v>29.02</v>
      </c>
      <c r="BE46" s="86">
        <v>26.372</v>
      </c>
      <c r="BF46" s="86">
        <v>24.248999999999999</v>
      </c>
      <c r="BG46" s="86">
        <v>28.571999999999999</v>
      </c>
      <c r="BH46" s="86">
        <v>38.122999999999998</v>
      </c>
      <c r="BI46" s="352">
        <f>BH46</f>
        <v>38.122999999999998</v>
      </c>
      <c r="BJ46" s="86">
        <v>31.706</v>
      </c>
      <c r="BK46" s="86">
        <v>32.106999999999999</v>
      </c>
      <c r="BL46" s="86">
        <v>36.777000000000001</v>
      </c>
      <c r="BM46" s="86">
        <v>51.604999999999997</v>
      </c>
      <c r="BN46" s="352">
        <f>BM46</f>
        <v>51.604999999999997</v>
      </c>
      <c r="BO46" s="86">
        <v>53.576000000000001</v>
      </c>
      <c r="BP46" s="86">
        <v>56.820999999999998</v>
      </c>
      <c r="BQ46" s="86">
        <v>57.951999999999998</v>
      </c>
      <c r="BR46" s="86">
        <v>84.59</v>
      </c>
      <c r="BS46" s="352">
        <f>BR46</f>
        <v>84.59</v>
      </c>
      <c r="BT46" s="86">
        <v>82.021000000000001</v>
      </c>
      <c r="BU46" s="86">
        <v>84.629000000000005</v>
      </c>
      <c r="BV46" s="86">
        <v>87.893000000000001</v>
      </c>
      <c r="BW46" s="86">
        <v>105.71299999999999</v>
      </c>
      <c r="BX46" s="352">
        <f>BW46</f>
        <v>105.71299999999999</v>
      </c>
      <c r="BY46" s="86">
        <v>107.81699999999999</v>
      </c>
      <c r="BZ46" s="86">
        <v>106.625</v>
      </c>
      <c r="CA46" s="86">
        <v>116.42700000000001</v>
      </c>
      <c r="CB46" s="86">
        <v>149.696</v>
      </c>
      <c r="CC46" s="352">
        <f>CB46</f>
        <v>149.696</v>
      </c>
      <c r="CD46" s="86">
        <v>138.20400000000001</v>
      </c>
      <c r="CE46" s="86">
        <v>134.19200000000001</v>
      </c>
      <c r="CF46" s="86">
        <v>141.93700000000001</v>
      </c>
      <c r="CG46" s="441">
        <v>182.893</v>
      </c>
      <c r="CH46" s="352">
        <f>CG46</f>
        <v>182.893</v>
      </c>
      <c r="CI46" s="441">
        <v>166.50399999999999</v>
      </c>
      <c r="CJ46" s="86">
        <v>179.66</v>
      </c>
      <c r="CK46" s="86">
        <v>169.38499999999999</v>
      </c>
      <c r="CL46" s="441">
        <v>224.114</v>
      </c>
      <c r="CM46" s="352">
        <f>CL46</f>
        <v>224.114</v>
      </c>
      <c r="CN46" s="441">
        <v>330.9</v>
      </c>
      <c r="CO46" s="86">
        <v>288.8</v>
      </c>
      <c r="CP46" s="86">
        <v>262.7</v>
      </c>
      <c r="CQ46" s="441">
        <v>323.7</v>
      </c>
      <c r="CR46" s="352">
        <f>CQ46</f>
        <v>323.7</v>
      </c>
      <c r="CS46" s="441">
        <v>349.6</v>
      </c>
      <c r="CT46" s="86">
        <v>321.7</v>
      </c>
      <c r="CU46" s="86">
        <v>281.7</v>
      </c>
      <c r="CV46" s="441">
        <v>306</v>
      </c>
      <c r="CW46" s="352">
        <f>CV46</f>
        <v>306</v>
      </c>
      <c r="CX46" s="441">
        <v>397</v>
      </c>
      <c r="CY46" s="441">
        <v>337</v>
      </c>
      <c r="CZ46" s="1035">
        <v>333</v>
      </c>
      <c r="DA46" s="441">
        <v>383</v>
      </c>
      <c r="DB46" s="352">
        <f>DA46</f>
        <v>383</v>
      </c>
      <c r="DC46" s="15">
        <f>DC145*IS!DC$22</f>
        <v>433.45604201917655</v>
      </c>
      <c r="DD46" s="15">
        <f>DD145*IS!DD$22</f>
        <v>368.13622888283379</v>
      </c>
      <c r="DE46" s="15">
        <f>DE145*IS!DE$22</f>
        <v>362.52258098778549</v>
      </c>
      <c r="DF46" s="15">
        <f>DF145*IS!DF$22</f>
        <v>417.07179205851622</v>
      </c>
      <c r="DG46" s="352">
        <f>DF46</f>
        <v>417.07179205851622</v>
      </c>
      <c r="DH46" s="15">
        <f>DH145*IS!DH$22</f>
        <v>467.86580150169209</v>
      </c>
      <c r="DI46" s="15">
        <f>DI145*IS!DI$22</f>
        <v>397.50590284741139</v>
      </c>
      <c r="DJ46" s="15">
        <f>DJ145*IS!DJ$22</f>
        <v>391.4877495087627</v>
      </c>
      <c r="DK46" s="15">
        <f>DK145*IS!DK$22</f>
        <v>449.91188092998965</v>
      </c>
      <c r="DL46" s="352">
        <f>DK46</f>
        <v>449.91188092998965</v>
      </c>
      <c r="DM46" s="15">
        <f>DM145*IS!DM$22</f>
        <v>505.49287351681477</v>
      </c>
      <c r="DN46" s="15">
        <f>DN145*IS!DN$22</f>
        <v>428.49306276457776</v>
      </c>
      <c r="DO46" s="15">
        <f>DO145*IS!DO$22</f>
        <v>422.6212603731413</v>
      </c>
      <c r="DP46" s="15">
        <f>DP145*IS!DP$22</f>
        <v>485.15566339393945</v>
      </c>
      <c r="DQ46" s="352">
        <f>DP46</f>
        <v>485.15566339393945</v>
      </c>
      <c r="DR46" s="4"/>
      <c r="DS46" s="260"/>
    </row>
    <row r="47" spans="2:129" ht="11.25" customHeight="1">
      <c r="B47" s="31"/>
      <c r="C47" s="4" t="s">
        <v>280</v>
      </c>
      <c r="D47" s="4"/>
      <c r="E47" s="4"/>
      <c r="F47" s="4"/>
      <c r="G47" s="87"/>
      <c r="H47" s="86"/>
      <c r="I47" s="86"/>
      <c r="J47" s="88"/>
      <c r="K47" s="352"/>
      <c r="L47" s="87"/>
      <c r="M47" s="86"/>
      <c r="N47" s="86"/>
      <c r="O47" s="88"/>
      <c r="P47" s="352"/>
      <c r="Q47" s="87"/>
      <c r="R47" s="86"/>
      <c r="S47" s="86"/>
      <c r="T47" s="88"/>
      <c r="U47" s="352"/>
      <c r="V47" s="87"/>
      <c r="W47" s="86"/>
      <c r="X47" s="86"/>
      <c r="Y47" s="88"/>
      <c r="Z47" s="352"/>
      <c r="AA47" s="87"/>
      <c r="AB47" s="86"/>
      <c r="AC47" s="86"/>
      <c r="AD47" s="86"/>
      <c r="AE47" s="352"/>
      <c r="AF47" s="86"/>
      <c r="AG47" s="86"/>
      <c r="AH47" s="86"/>
      <c r="AI47" s="86"/>
      <c r="AJ47" s="352"/>
      <c r="AK47" s="86"/>
      <c r="AL47" s="86"/>
      <c r="AM47" s="86"/>
      <c r="AN47" s="86"/>
      <c r="AO47" s="352"/>
      <c r="AP47" s="86"/>
      <c r="AQ47" s="86"/>
      <c r="AR47" s="86"/>
      <c r="AS47" s="86"/>
      <c r="AT47" s="352"/>
      <c r="AU47" s="86"/>
      <c r="AV47" s="86"/>
      <c r="AW47" s="86"/>
      <c r="AX47" s="86"/>
      <c r="AY47" s="352"/>
      <c r="AZ47" s="86"/>
      <c r="BA47" s="86"/>
      <c r="BB47" s="86"/>
      <c r="BC47" s="86"/>
      <c r="BD47" s="352"/>
      <c r="BE47" s="86"/>
      <c r="BF47" s="86"/>
      <c r="BG47" s="86"/>
      <c r="BH47" s="86"/>
      <c r="BI47" s="352"/>
      <c r="BJ47" s="86"/>
      <c r="BK47" s="86"/>
      <c r="BL47" s="86"/>
      <c r="BM47" s="86"/>
      <c r="BN47" s="352"/>
      <c r="BO47" s="86"/>
      <c r="BP47" s="86"/>
      <c r="BQ47" s="86"/>
      <c r="BR47" s="86"/>
      <c r="BS47" s="352"/>
      <c r="BT47" s="86"/>
      <c r="BU47" s="86"/>
      <c r="BV47" s="86"/>
      <c r="BW47" s="86"/>
      <c r="BX47" s="352"/>
      <c r="BY47" s="86"/>
      <c r="BZ47" s="86"/>
      <c r="CA47" s="86"/>
      <c r="CB47" s="86"/>
      <c r="CC47" s="352">
        <f>CB47</f>
        <v>0</v>
      </c>
      <c r="CD47" s="86">
        <v>0</v>
      </c>
      <c r="CE47" s="86">
        <v>0</v>
      </c>
      <c r="CF47" s="86">
        <v>0</v>
      </c>
      <c r="CG47" s="441">
        <v>0</v>
      </c>
      <c r="CH47" s="352">
        <f>CG47</f>
        <v>0</v>
      </c>
      <c r="CI47" s="441">
        <v>0</v>
      </c>
      <c r="CJ47" s="86">
        <v>0</v>
      </c>
      <c r="CK47" s="86">
        <v>0</v>
      </c>
      <c r="CL47" s="441">
        <v>700.00199999999995</v>
      </c>
      <c r="CM47" s="352">
        <f>CL47</f>
        <v>700.00199999999995</v>
      </c>
      <c r="CN47" s="441">
        <v>150</v>
      </c>
      <c r="CO47" s="86">
        <v>150</v>
      </c>
      <c r="CP47" s="86">
        <v>50</v>
      </c>
      <c r="CQ47" s="441">
        <v>406.3</v>
      </c>
      <c r="CR47" s="352">
        <f>CQ47</f>
        <v>406.3</v>
      </c>
      <c r="CS47" s="441">
        <v>162.5</v>
      </c>
      <c r="CT47" s="86">
        <v>68.8</v>
      </c>
      <c r="CU47" s="86">
        <v>75</v>
      </c>
      <c r="CV47" s="441">
        <v>81</v>
      </c>
      <c r="CW47" s="352">
        <f>CV47</f>
        <v>81</v>
      </c>
      <c r="CX47" s="441">
        <v>437</v>
      </c>
      <c r="CY47" s="441">
        <v>244</v>
      </c>
      <c r="CZ47" s="1035">
        <v>100</v>
      </c>
      <c r="DA47" s="441">
        <v>175</v>
      </c>
      <c r="DB47" s="352">
        <f>DA47</f>
        <v>175</v>
      </c>
      <c r="DC47" s="15">
        <f>+DA47</f>
        <v>175</v>
      </c>
      <c r="DD47" s="15">
        <f t="shared" ref="DD47:DF47" si="133">+DC47</f>
        <v>175</v>
      </c>
      <c r="DE47" s="15">
        <f t="shared" si="133"/>
        <v>175</v>
      </c>
      <c r="DF47" s="15">
        <f t="shared" si="133"/>
        <v>175</v>
      </c>
      <c r="DG47" s="352">
        <f>DF47</f>
        <v>175</v>
      </c>
      <c r="DH47" s="15">
        <f>+DF47</f>
        <v>175</v>
      </c>
      <c r="DI47" s="15">
        <f>+DH47</f>
        <v>175</v>
      </c>
      <c r="DJ47" s="15">
        <f>+DI47</f>
        <v>175</v>
      </c>
      <c r="DK47" s="15">
        <f>+DJ47</f>
        <v>175</v>
      </c>
      <c r="DL47" s="352">
        <f>DK47</f>
        <v>175</v>
      </c>
      <c r="DM47" s="15">
        <f>+DK47</f>
        <v>175</v>
      </c>
      <c r="DN47" s="15">
        <f>+DM47</f>
        <v>175</v>
      </c>
      <c r="DO47" s="15">
        <f>+DN47</f>
        <v>175</v>
      </c>
      <c r="DP47" s="15">
        <f>+DO47</f>
        <v>175</v>
      </c>
      <c r="DQ47" s="352">
        <f>DP47</f>
        <v>175</v>
      </c>
      <c r="DR47" s="4"/>
      <c r="DS47" s="260"/>
    </row>
    <row r="48" spans="2:129" ht="11.25" customHeight="1">
      <c r="B48" s="31"/>
      <c r="C48" s="4" t="s">
        <v>59</v>
      </c>
      <c r="D48" s="4"/>
      <c r="E48" s="4"/>
      <c r="F48" s="4"/>
      <c r="G48" s="87"/>
      <c r="H48" s="86">
        <v>7.165</v>
      </c>
      <c r="I48" s="86">
        <v>8.9410000000000007</v>
      </c>
      <c r="J48" s="88">
        <v>11.207000000000001</v>
      </c>
      <c r="K48" s="352">
        <f>J48</f>
        <v>11.207000000000001</v>
      </c>
      <c r="L48" s="87">
        <v>8.9309999999999992</v>
      </c>
      <c r="M48" s="86">
        <v>9.2520000000000007</v>
      </c>
      <c r="N48" s="86">
        <v>10.247999999999999</v>
      </c>
      <c r="O48" s="88">
        <v>11.769</v>
      </c>
      <c r="P48" s="352">
        <f>O48</f>
        <v>11.769</v>
      </c>
      <c r="Q48" s="87">
        <v>9.7309999999999999</v>
      </c>
      <c r="R48" s="86">
        <v>13.034000000000001</v>
      </c>
      <c r="S48" s="86">
        <v>17.917000000000002</v>
      </c>
      <c r="T48" s="88">
        <v>23.864999999999998</v>
      </c>
      <c r="U48" s="352">
        <f>T48</f>
        <v>23.864999999999998</v>
      </c>
      <c r="V48" s="87">
        <v>18.306000000000001</v>
      </c>
      <c r="W48" s="86">
        <v>18.170999999999999</v>
      </c>
      <c r="X48" s="86">
        <v>20.689</v>
      </c>
      <c r="Y48" s="88">
        <v>18.045999999999999</v>
      </c>
      <c r="Z48" s="352">
        <f>Y48</f>
        <v>18.045999999999999</v>
      </c>
      <c r="AA48" s="87">
        <v>18.803999999999998</v>
      </c>
      <c r="AB48" s="86">
        <v>27.501000000000001</v>
      </c>
      <c r="AC48" s="86">
        <v>27.864999999999998</v>
      </c>
      <c r="AD48" s="86">
        <v>34.539000000000001</v>
      </c>
      <c r="AE48" s="352">
        <f>AD48</f>
        <v>34.539000000000001</v>
      </c>
      <c r="AF48" s="86">
        <v>31.882000000000001</v>
      </c>
      <c r="AG48" s="86">
        <v>34.752000000000002</v>
      </c>
      <c r="AH48" s="86">
        <v>43.280999999999999</v>
      </c>
      <c r="AI48" s="86">
        <v>53.213000000000001</v>
      </c>
      <c r="AJ48" s="352">
        <f>AI48</f>
        <v>53.213000000000001</v>
      </c>
      <c r="AK48" s="86">
        <v>54.371000000000002</v>
      </c>
      <c r="AL48" s="86">
        <v>63.456000000000003</v>
      </c>
      <c r="AM48" s="86">
        <v>84.545000000000002</v>
      </c>
      <c r="AN48" s="86">
        <v>103.87</v>
      </c>
      <c r="AO48" s="352">
        <f>AN48</f>
        <v>103.87</v>
      </c>
      <c r="AP48" s="86">
        <v>83.427000000000007</v>
      </c>
      <c r="AQ48" s="86">
        <v>101.657</v>
      </c>
      <c r="AR48" s="86">
        <v>115.08499999999999</v>
      </c>
      <c r="AS48" s="86">
        <v>137.375</v>
      </c>
      <c r="AT48" s="352">
        <f>AS48</f>
        <v>137.375</v>
      </c>
      <c r="AU48" s="86">
        <v>117.435</v>
      </c>
      <c r="AV48" s="86">
        <v>144.44900000000001</v>
      </c>
      <c r="AW48" s="86">
        <v>185.63300000000001</v>
      </c>
      <c r="AX48" s="86">
        <v>202.26300000000001</v>
      </c>
      <c r="AY48" s="352">
        <f>AX48</f>
        <v>202.26300000000001</v>
      </c>
      <c r="AZ48" s="86">
        <v>186.761</v>
      </c>
      <c r="BA48" s="86">
        <v>219.49600000000001</v>
      </c>
      <c r="BB48" s="86">
        <v>237.51</v>
      </c>
      <c r="BC48" s="86">
        <v>275.488</v>
      </c>
      <c r="BD48" s="352">
        <f>BC48</f>
        <v>275.488</v>
      </c>
      <c r="BE48" s="86">
        <v>238.83799999999999</v>
      </c>
      <c r="BF48" s="86">
        <v>253.38900000000001</v>
      </c>
      <c r="BG48" s="86">
        <v>271.57299999999998</v>
      </c>
      <c r="BH48" s="86">
        <v>309.48399999999998</v>
      </c>
      <c r="BI48" s="352">
        <f>BH48</f>
        <v>309.48399999999998</v>
      </c>
      <c r="BJ48" s="86">
        <v>253.101</v>
      </c>
      <c r="BK48" s="86">
        <v>312.012</v>
      </c>
      <c r="BL48" s="86">
        <v>418.19400000000002</v>
      </c>
      <c r="BM48" s="86">
        <v>540.36300000000006</v>
      </c>
      <c r="BN48" s="352">
        <f>BM48</f>
        <v>540.36300000000006</v>
      </c>
      <c r="BO48" s="86">
        <v>438.94099999999997</v>
      </c>
      <c r="BP48" s="86">
        <v>507.791</v>
      </c>
      <c r="BQ48" s="86">
        <v>652.27200000000005</v>
      </c>
      <c r="BR48" s="86">
        <v>770.76300000000003</v>
      </c>
      <c r="BS48" s="352">
        <f>BR48</f>
        <v>770.76300000000003</v>
      </c>
      <c r="BT48" s="86">
        <v>602.09699999999998</v>
      </c>
      <c r="BU48" s="86">
        <v>713.66499999999996</v>
      </c>
      <c r="BV48" s="86">
        <v>874.654</v>
      </c>
      <c r="BW48" s="86">
        <v>1031.787</v>
      </c>
      <c r="BX48" s="352">
        <f>BW48</f>
        <v>1031.787</v>
      </c>
      <c r="BY48" s="86">
        <v>803.44500000000005</v>
      </c>
      <c r="BZ48" s="86">
        <v>940.05899999999997</v>
      </c>
      <c r="CA48" s="86">
        <v>1047.741</v>
      </c>
      <c r="CB48" s="86">
        <v>1118.9269999999999</v>
      </c>
      <c r="CC48" s="352">
        <f>CB48</f>
        <v>1118.9269999999999</v>
      </c>
      <c r="CD48" s="86">
        <v>955.13800000000003</v>
      </c>
      <c r="CE48" s="86">
        <v>1129.0360000000001</v>
      </c>
      <c r="CF48" s="86">
        <v>1345.2760000000001</v>
      </c>
      <c r="CG48" s="441">
        <v>1478.221</v>
      </c>
      <c r="CH48" s="352">
        <f>CG48</f>
        <v>1478.221</v>
      </c>
      <c r="CI48" s="441">
        <v>1159.9880000000001</v>
      </c>
      <c r="CJ48" s="86">
        <v>1268.857</v>
      </c>
      <c r="CK48" s="86">
        <v>1442.039</v>
      </c>
      <c r="CL48" s="441">
        <v>1522.2909999999999</v>
      </c>
      <c r="CM48" s="352">
        <f>CL48</f>
        <v>1522.2909999999999</v>
      </c>
      <c r="CN48" s="441">
        <v>1221.8</v>
      </c>
      <c r="CO48" s="86">
        <v>1348.7</v>
      </c>
      <c r="CP48" s="86">
        <v>1655.6</v>
      </c>
      <c r="CQ48" s="441">
        <v>1818.4</v>
      </c>
      <c r="CR48" s="352">
        <f>CQ48</f>
        <v>1818.4</v>
      </c>
      <c r="CS48" s="441">
        <v>1325.1</v>
      </c>
      <c r="CT48" s="86">
        <v>1565</v>
      </c>
      <c r="CU48" s="86">
        <v>1772.5</v>
      </c>
      <c r="CV48" s="441">
        <v>1856</v>
      </c>
      <c r="CW48" s="352">
        <f>CV48</f>
        <v>1856</v>
      </c>
      <c r="CX48" s="441">
        <v>1562</v>
      </c>
      <c r="CY48" s="441">
        <v>1655</v>
      </c>
      <c r="CZ48" s="1035">
        <v>1981</v>
      </c>
      <c r="DA48" s="441">
        <v>2071</v>
      </c>
      <c r="DB48" s="352">
        <f>DA48</f>
        <v>2071</v>
      </c>
      <c r="DC48" s="15">
        <f>DC146*(IS!DC$30+IS!DC$46)</f>
        <v>1901.3359891049997</v>
      </c>
      <c r="DD48" s="15">
        <f>DD146*(IS!DD$30+IS!DD$46)</f>
        <v>1718.9985835254797</v>
      </c>
      <c r="DE48" s="15">
        <f>DE146*(IS!DE$30+IS!DE$46)</f>
        <v>1998.0310917556999</v>
      </c>
      <c r="DF48" s="15">
        <f>DF146*(IS!DF$30+IS!DF$46)</f>
        <v>2079.6834388088</v>
      </c>
      <c r="DG48" s="352">
        <f>DF48</f>
        <v>2079.6834388088</v>
      </c>
      <c r="DH48" s="15">
        <f>DH146*(IS!DH$30+IS!DH$46)</f>
        <v>1977.2190487238997</v>
      </c>
      <c r="DI48" s="15">
        <f>DI146*(IS!DI$30+IS!DI$46)</f>
        <v>1790.7799106904777</v>
      </c>
      <c r="DJ48" s="15">
        <f>DJ146*(IS!DJ$30+IS!DJ$46)</f>
        <v>2022.4394628204154</v>
      </c>
      <c r="DK48" s="15">
        <f>DK146*(IS!DK$30+IS!DK$46)</f>
        <v>2122.1593037173443</v>
      </c>
      <c r="DL48" s="352">
        <f>DK48</f>
        <v>2122.1593037173443</v>
      </c>
      <c r="DM48" s="15">
        <f>DM146*(IS!DM$30+IS!DM$46)</f>
        <v>2100.7893170317157</v>
      </c>
      <c r="DN48" s="15">
        <f>DN146*(IS!DN$30+IS!DN$46)</f>
        <v>1893.7938921106463</v>
      </c>
      <c r="DO48" s="15">
        <f>DO146*(IS!DO$30+IS!DO$46)</f>
        <v>2071.0045368601259</v>
      </c>
      <c r="DP48" s="15">
        <f>DP146*(IS!DP$30+IS!DP$46)</f>
        <v>2174.4947928673955</v>
      </c>
      <c r="DQ48" s="352">
        <f>DP48</f>
        <v>2174.4947928673955</v>
      </c>
      <c r="DR48" s="4"/>
      <c r="DS48" s="260"/>
    </row>
    <row r="49" spans="2:129" s="177" customFormat="1" ht="11.25" customHeight="1">
      <c r="B49" s="31" t="s">
        <v>60</v>
      </c>
      <c r="C49" s="27"/>
      <c r="D49" s="27"/>
      <c r="E49" s="27"/>
      <c r="F49" s="27"/>
      <c r="G49" s="39"/>
      <c r="H49" s="40">
        <f t="shared" ref="H49:AS49" si="134">SUM(H45:H48)</f>
        <v>8.0839999999999996</v>
      </c>
      <c r="I49" s="40">
        <f t="shared" si="134"/>
        <v>9.8510000000000009</v>
      </c>
      <c r="J49" s="41">
        <f t="shared" si="134"/>
        <v>12.951000000000001</v>
      </c>
      <c r="K49" s="355">
        <f>J49</f>
        <v>12.951000000000001</v>
      </c>
      <c r="L49" s="39">
        <f t="shared" si="134"/>
        <v>10.667</v>
      </c>
      <c r="M49" s="40">
        <f t="shared" si="134"/>
        <v>10.329000000000001</v>
      </c>
      <c r="N49" s="40">
        <f t="shared" si="134"/>
        <v>11.428999999999998</v>
      </c>
      <c r="O49" s="41">
        <f t="shared" si="134"/>
        <v>13.204000000000001</v>
      </c>
      <c r="P49" s="355">
        <f>O49</f>
        <v>13.204000000000001</v>
      </c>
      <c r="Q49" s="39">
        <f t="shared" si="134"/>
        <v>11.501999999999999</v>
      </c>
      <c r="R49" s="40">
        <f t="shared" si="134"/>
        <v>14.557</v>
      </c>
      <c r="S49" s="40">
        <f t="shared" si="134"/>
        <v>19.82</v>
      </c>
      <c r="T49" s="41">
        <f t="shared" si="134"/>
        <v>26.721999999999998</v>
      </c>
      <c r="U49" s="355">
        <f>T49</f>
        <v>26.721999999999998</v>
      </c>
      <c r="V49" s="39">
        <f t="shared" si="134"/>
        <v>20.536000000000001</v>
      </c>
      <c r="W49" s="40">
        <f t="shared" si="134"/>
        <v>20.190999999999999</v>
      </c>
      <c r="X49" s="40">
        <f t="shared" si="134"/>
        <v>23.7</v>
      </c>
      <c r="Y49" s="41">
        <f t="shared" si="134"/>
        <v>21.698</v>
      </c>
      <c r="Z49" s="355">
        <f>Y49</f>
        <v>21.698</v>
      </c>
      <c r="AA49" s="39">
        <f t="shared" si="134"/>
        <v>22.363999999999997</v>
      </c>
      <c r="AB49" s="40">
        <f t="shared" si="134"/>
        <v>32.108000000000004</v>
      </c>
      <c r="AC49" s="40">
        <f t="shared" si="134"/>
        <v>32.682000000000002</v>
      </c>
      <c r="AD49" s="40">
        <f t="shared" si="134"/>
        <v>41.487000000000002</v>
      </c>
      <c r="AE49" s="355">
        <f>AD49</f>
        <v>41.487000000000002</v>
      </c>
      <c r="AF49" s="40">
        <f t="shared" si="134"/>
        <v>37.524999999999999</v>
      </c>
      <c r="AG49" s="40">
        <f t="shared" si="134"/>
        <v>41.591000000000001</v>
      </c>
      <c r="AH49" s="40">
        <f t="shared" si="134"/>
        <v>49.57</v>
      </c>
      <c r="AI49" s="40">
        <f t="shared" si="134"/>
        <v>62.636000000000003</v>
      </c>
      <c r="AJ49" s="355">
        <f>AI49</f>
        <v>62.636000000000003</v>
      </c>
      <c r="AK49" s="40">
        <f t="shared" si="134"/>
        <v>62.838999999999999</v>
      </c>
      <c r="AL49" s="40">
        <f t="shared" si="134"/>
        <v>72.625</v>
      </c>
      <c r="AM49" s="40">
        <f t="shared" si="134"/>
        <v>96.284000000000006</v>
      </c>
      <c r="AN49" s="40">
        <f t="shared" si="134"/>
        <v>115.06</v>
      </c>
      <c r="AO49" s="355">
        <f>AN49</f>
        <v>115.06</v>
      </c>
      <c r="AP49" s="40">
        <f t="shared" si="134"/>
        <v>96.534000000000006</v>
      </c>
      <c r="AQ49" s="40">
        <f t="shared" si="134"/>
        <v>118.02</v>
      </c>
      <c r="AR49" s="40">
        <f t="shared" si="134"/>
        <v>130.089</v>
      </c>
      <c r="AS49" s="40">
        <f t="shared" si="134"/>
        <v>153.79500000000002</v>
      </c>
      <c r="AT49" s="355">
        <f>AS49</f>
        <v>153.79500000000002</v>
      </c>
      <c r="AU49" s="40">
        <f t="shared" ref="AU49:BZ49" si="135">SUM(AU45:AU48)</f>
        <v>138.874</v>
      </c>
      <c r="AV49" s="40">
        <f t="shared" si="135"/>
        <v>169.32000000000002</v>
      </c>
      <c r="AW49" s="40">
        <f t="shared" si="135"/>
        <v>213.28100000000001</v>
      </c>
      <c r="AX49" s="40">
        <f t="shared" si="135"/>
        <v>249.50299999999999</v>
      </c>
      <c r="AY49" s="355">
        <f>AX49</f>
        <v>249.50299999999999</v>
      </c>
      <c r="AZ49" s="40">
        <f t="shared" si="135"/>
        <v>239.334</v>
      </c>
      <c r="BA49" s="40">
        <f t="shared" si="135"/>
        <v>259.11900000000003</v>
      </c>
      <c r="BB49" s="40">
        <f t="shared" si="135"/>
        <v>286.35399999999998</v>
      </c>
      <c r="BC49" s="40">
        <f t="shared" si="135"/>
        <v>340.68399999999997</v>
      </c>
      <c r="BD49" s="355">
        <f>BC49</f>
        <v>340.68399999999997</v>
      </c>
      <c r="BE49" s="40">
        <f t="shared" si="135"/>
        <v>312.65999999999997</v>
      </c>
      <c r="BF49" s="40">
        <f t="shared" si="135"/>
        <v>328.447</v>
      </c>
      <c r="BG49" s="40">
        <f t="shared" si="135"/>
        <v>345.89799999999997</v>
      </c>
      <c r="BH49" s="40">
        <f t="shared" si="135"/>
        <v>387.577</v>
      </c>
      <c r="BI49" s="355">
        <f>BH49</f>
        <v>387.577</v>
      </c>
      <c r="BJ49" s="40">
        <f t="shared" si="135"/>
        <v>340.52</v>
      </c>
      <c r="BK49" s="40">
        <f t="shared" si="135"/>
        <v>389.858</v>
      </c>
      <c r="BL49" s="40">
        <f t="shared" si="135"/>
        <v>508.37400000000002</v>
      </c>
      <c r="BM49" s="40">
        <f t="shared" si="135"/>
        <v>646.60800000000006</v>
      </c>
      <c r="BN49" s="355">
        <f>BM49</f>
        <v>646.60800000000006</v>
      </c>
      <c r="BO49" s="40">
        <f t="shared" si="135"/>
        <v>578.14699999999993</v>
      </c>
      <c r="BP49" s="40">
        <f t="shared" si="135"/>
        <v>645.59799999999996</v>
      </c>
      <c r="BQ49" s="40">
        <f t="shared" si="135"/>
        <v>804.1690000000001</v>
      </c>
      <c r="BR49" s="40">
        <f t="shared" si="135"/>
        <v>930.72600000000011</v>
      </c>
      <c r="BS49" s="355">
        <f>BR49</f>
        <v>930.72600000000011</v>
      </c>
      <c r="BT49" s="40">
        <f t="shared" si="135"/>
        <v>801.71299999999997</v>
      </c>
      <c r="BU49" s="40">
        <f t="shared" si="135"/>
        <v>887.351</v>
      </c>
      <c r="BV49" s="40">
        <f t="shared" si="135"/>
        <v>1040.73</v>
      </c>
      <c r="BW49" s="40">
        <f t="shared" si="135"/>
        <v>1209.7049999999999</v>
      </c>
      <c r="BX49" s="355">
        <f>BW49</f>
        <v>1209.7049999999999</v>
      </c>
      <c r="BY49" s="40">
        <f t="shared" si="135"/>
        <v>1021.2450000000001</v>
      </c>
      <c r="BZ49" s="40">
        <f t="shared" si="135"/>
        <v>1151.095</v>
      </c>
      <c r="CA49" s="40">
        <f t="shared" ref="CA49:CN49" si="136">SUM(CA45:CA48)</f>
        <v>1275.588</v>
      </c>
      <c r="CB49" s="40">
        <f t="shared" si="136"/>
        <v>1377.33</v>
      </c>
      <c r="CC49" s="355">
        <f>CB49</f>
        <v>1377.33</v>
      </c>
      <c r="CD49" s="40">
        <f t="shared" si="136"/>
        <v>1225.8430000000001</v>
      </c>
      <c r="CE49" s="40">
        <f t="shared" si="136"/>
        <v>1357.297</v>
      </c>
      <c r="CF49" s="40">
        <f t="shared" si="136"/>
        <v>1602.038</v>
      </c>
      <c r="CG49" s="40">
        <f t="shared" si="136"/>
        <v>1774.508</v>
      </c>
      <c r="CH49" s="355">
        <f>CG49</f>
        <v>1774.508</v>
      </c>
      <c r="CI49" s="40">
        <f t="shared" si="136"/>
        <v>1502.866</v>
      </c>
      <c r="CJ49" s="40">
        <f t="shared" si="136"/>
        <v>1567.662</v>
      </c>
      <c r="CK49" s="40">
        <f t="shared" si="136"/>
        <v>1741.4639999999999</v>
      </c>
      <c r="CL49" s="40">
        <f t="shared" si="136"/>
        <v>2592.0940000000001</v>
      </c>
      <c r="CM49" s="355">
        <f>CL49</f>
        <v>2592.0940000000001</v>
      </c>
      <c r="CN49" s="40">
        <f t="shared" si="136"/>
        <v>1884.1</v>
      </c>
      <c r="CO49" s="40">
        <f>SUM(CO45:CO48)</f>
        <v>1956.5</v>
      </c>
      <c r="CP49" s="40">
        <f t="shared" ref="CP49:DA49" si="137">SUM(CP45:CP48)</f>
        <v>2128.3999999999996</v>
      </c>
      <c r="CQ49" s="40">
        <f t="shared" si="137"/>
        <v>2713.7</v>
      </c>
      <c r="CR49" s="355">
        <f>CQ49</f>
        <v>2713.7</v>
      </c>
      <c r="CS49" s="40">
        <f t="shared" si="137"/>
        <v>2050.3999999999996</v>
      </c>
      <c r="CT49" s="40">
        <f t="shared" si="137"/>
        <v>2120</v>
      </c>
      <c r="CU49" s="40">
        <f t="shared" si="137"/>
        <v>2300.6999999999998</v>
      </c>
      <c r="CV49" s="40">
        <f t="shared" si="137"/>
        <v>2418</v>
      </c>
      <c r="CW49" s="355">
        <f>CV49</f>
        <v>2418</v>
      </c>
      <c r="CX49" s="40">
        <f>SUM(CX45:CX48)</f>
        <v>2585</v>
      </c>
      <c r="CY49" s="40">
        <f t="shared" si="137"/>
        <v>2415</v>
      </c>
      <c r="CZ49" s="40">
        <f t="shared" si="137"/>
        <v>2600</v>
      </c>
      <c r="DA49" s="40">
        <f t="shared" si="137"/>
        <v>2839</v>
      </c>
      <c r="DB49" s="355">
        <f>SUM(DB45:DB48)</f>
        <v>2839</v>
      </c>
      <c r="DC49" s="40">
        <f t="shared" ref="DC49:DK49" si="138">SUM(DC45:DC48)</f>
        <v>2703.7756195471479</v>
      </c>
      <c r="DD49" s="40">
        <f t="shared" si="138"/>
        <v>2458.8687549823958</v>
      </c>
      <c r="DE49" s="40">
        <f t="shared" si="138"/>
        <v>2728.293645443528</v>
      </c>
      <c r="DF49" s="40">
        <f t="shared" si="138"/>
        <v>2881.5952952740959</v>
      </c>
      <c r="DG49" s="355">
        <f>SUM(DG45:DG48)</f>
        <v>2881.5952952740959</v>
      </c>
      <c r="DH49" s="40">
        <f t="shared" si="138"/>
        <v>2827.387796722629</v>
      </c>
      <c r="DI49" s="40">
        <f t="shared" si="138"/>
        <v>2573.9536282213035</v>
      </c>
      <c r="DJ49" s="40">
        <f t="shared" si="138"/>
        <v>2795.6839158023276</v>
      </c>
      <c r="DK49" s="40">
        <f t="shared" si="138"/>
        <v>2972.6794405954697</v>
      </c>
      <c r="DL49" s="355">
        <f>SUM(DL45:DL48)</f>
        <v>2972.6794405954697</v>
      </c>
      <c r="DM49" s="40">
        <f t="shared" ref="DM49:DP49" si="139">SUM(DM45:DM48)</f>
        <v>3005.2570178963483</v>
      </c>
      <c r="DN49" s="40">
        <f t="shared" si="139"/>
        <v>2724.3771603111622</v>
      </c>
      <c r="DO49" s="40">
        <f t="shared" si="139"/>
        <v>2891.8250639333414</v>
      </c>
      <c r="DP49" s="40">
        <f t="shared" si="139"/>
        <v>3077.9317024809689</v>
      </c>
      <c r="DQ49" s="355">
        <f>SUM(DQ45:DQ48)</f>
        <v>3077.9317024809689</v>
      </c>
      <c r="DR49" s="27"/>
      <c r="DS49" s="260"/>
      <c r="DT49"/>
      <c r="DU49"/>
      <c r="DV49"/>
      <c r="DW49"/>
      <c r="DX49"/>
      <c r="DY49"/>
    </row>
    <row r="50" spans="2:129" s="182" customFormat="1" ht="11.25" customHeight="1">
      <c r="B50" s="35"/>
      <c r="C50" s="36"/>
      <c r="D50" s="36"/>
      <c r="E50" s="36"/>
      <c r="F50" s="36"/>
      <c r="G50" s="35"/>
      <c r="H50" s="36"/>
      <c r="I50" s="36"/>
      <c r="J50" s="37"/>
      <c r="K50" s="352"/>
      <c r="L50" s="35"/>
      <c r="M50" s="36"/>
      <c r="N50" s="36"/>
      <c r="O50" s="37"/>
      <c r="P50" s="352"/>
      <c r="Q50" s="35"/>
      <c r="R50" s="36"/>
      <c r="S50" s="36"/>
      <c r="T50" s="37"/>
      <c r="U50" s="352"/>
      <c r="V50" s="35"/>
      <c r="W50" s="36"/>
      <c r="X50" s="36"/>
      <c r="Y50" s="37"/>
      <c r="Z50" s="352"/>
      <c r="AA50" s="35"/>
      <c r="AB50" s="36"/>
      <c r="AC50" s="36"/>
      <c r="AD50" s="36"/>
      <c r="AE50" s="352"/>
      <c r="AF50" s="36"/>
      <c r="AG50" s="36"/>
      <c r="AH50" s="36"/>
      <c r="AI50" s="36"/>
      <c r="AJ50" s="352"/>
      <c r="AK50" s="36"/>
      <c r="AL50" s="36"/>
      <c r="AM50" s="36"/>
      <c r="AN50" s="36"/>
      <c r="AO50" s="352"/>
      <c r="AP50" s="36"/>
      <c r="AQ50" s="36"/>
      <c r="AR50" s="36"/>
      <c r="AS50" s="36"/>
      <c r="AT50" s="352"/>
      <c r="AU50" s="36"/>
      <c r="AV50" s="36"/>
      <c r="AW50" s="36"/>
      <c r="AX50" s="36"/>
      <c r="AY50" s="352"/>
      <c r="AZ50" s="36"/>
      <c r="BA50" s="36"/>
      <c r="BB50" s="36"/>
      <c r="BC50" s="36"/>
      <c r="BD50" s="352"/>
      <c r="BE50" s="36"/>
      <c r="BF50" s="36"/>
      <c r="BG50" s="36"/>
      <c r="BH50" s="36"/>
      <c r="BI50" s="352"/>
      <c r="BJ50" s="36"/>
      <c r="BK50" s="36"/>
      <c r="BL50" s="36"/>
      <c r="BM50" s="36"/>
      <c r="BN50" s="352"/>
      <c r="BO50" s="36"/>
      <c r="BP50" s="36"/>
      <c r="BQ50" s="36"/>
      <c r="BR50" s="36"/>
      <c r="BS50" s="352"/>
      <c r="BT50" s="36"/>
      <c r="BU50" s="36"/>
      <c r="BV50" s="36"/>
      <c r="BW50" s="36"/>
      <c r="BX50" s="352"/>
      <c r="BY50" s="36"/>
      <c r="BZ50" s="36"/>
      <c r="CA50" s="130"/>
      <c r="CB50" s="905"/>
      <c r="CC50" s="352"/>
      <c r="CD50" s="36"/>
      <c r="CE50" s="36"/>
      <c r="CF50" s="36"/>
      <c r="CG50" s="36"/>
      <c r="CH50" s="352"/>
      <c r="CI50" s="36"/>
      <c r="CJ50" s="36"/>
      <c r="CK50" s="36"/>
      <c r="CL50" s="36"/>
      <c r="CM50" s="352"/>
      <c r="CN50" s="36"/>
      <c r="CO50" s="36"/>
      <c r="CP50" s="36"/>
      <c r="CQ50" s="36"/>
      <c r="CR50" s="352"/>
      <c r="CS50" s="36"/>
      <c r="CT50" s="36"/>
      <c r="CU50" s="36"/>
      <c r="CV50" s="36"/>
      <c r="CW50" s="333"/>
      <c r="CX50" s="36"/>
      <c r="CY50" s="36"/>
      <c r="CZ50" s="36"/>
      <c r="DA50" s="36"/>
      <c r="DB50" s="333"/>
      <c r="DC50" s="36"/>
      <c r="DD50" s="36"/>
      <c r="DE50" s="36"/>
      <c r="DF50" s="36"/>
      <c r="DG50" s="333"/>
      <c r="DH50" s="36"/>
      <c r="DI50" s="36"/>
      <c r="DJ50" s="36"/>
      <c r="DK50" s="36"/>
      <c r="DL50" s="333"/>
      <c r="DM50" s="36"/>
      <c r="DN50" s="36"/>
      <c r="DO50" s="36"/>
      <c r="DP50" s="36"/>
      <c r="DQ50" s="333"/>
      <c r="DR50" s="36"/>
      <c r="DS50" s="260"/>
      <c r="DT50"/>
      <c r="DU50"/>
      <c r="DV50"/>
      <c r="DW50"/>
      <c r="DX50"/>
      <c r="DY50"/>
    </row>
    <row r="51" spans="2:129" s="183" customFormat="1" ht="11.25" customHeight="1">
      <c r="B51" s="170" t="s">
        <v>87</v>
      </c>
      <c r="C51" s="171"/>
      <c r="D51" s="171"/>
      <c r="E51" s="171"/>
      <c r="F51" s="171"/>
      <c r="G51" s="172"/>
      <c r="H51" s="173"/>
      <c r="I51" s="173"/>
      <c r="J51" s="174"/>
      <c r="K51" s="897"/>
      <c r="L51" s="172"/>
      <c r="M51" s="173"/>
      <c r="N51" s="173"/>
      <c r="O51" s="174"/>
      <c r="P51" s="897"/>
      <c r="Q51" s="172"/>
      <c r="R51" s="173"/>
      <c r="S51" s="173"/>
      <c r="T51" s="174"/>
      <c r="U51" s="897"/>
      <c r="V51" s="172"/>
      <c r="W51" s="173"/>
      <c r="X51" s="173"/>
      <c r="Y51" s="174"/>
      <c r="Z51" s="897"/>
      <c r="AA51" s="172"/>
      <c r="AB51" s="173"/>
      <c r="AC51" s="173"/>
      <c r="AD51" s="173"/>
      <c r="AE51" s="897"/>
      <c r="AF51" s="173"/>
      <c r="AG51" s="173"/>
      <c r="AH51" s="173"/>
      <c r="AI51" s="173"/>
      <c r="AJ51" s="897"/>
      <c r="AK51" s="173"/>
      <c r="AL51" s="173"/>
      <c r="AM51" s="173"/>
      <c r="AN51" s="173"/>
      <c r="AO51" s="897"/>
      <c r="AP51" s="173"/>
      <c r="AQ51" s="173"/>
      <c r="AR51" s="173"/>
      <c r="AS51" s="173"/>
      <c r="AT51" s="897"/>
      <c r="AU51" s="173"/>
      <c r="AV51" s="173"/>
      <c r="AW51" s="173"/>
      <c r="AX51" s="173"/>
      <c r="AY51" s="897"/>
      <c r="AZ51" s="173"/>
      <c r="BA51" s="173"/>
      <c r="BB51" s="173"/>
      <c r="BC51" s="173"/>
      <c r="BD51" s="897"/>
      <c r="BE51" s="173"/>
      <c r="BF51" s="173"/>
      <c r="BG51" s="173"/>
      <c r="BH51" s="173"/>
      <c r="BI51" s="897"/>
      <c r="BJ51" s="173"/>
      <c r="BK51" s="173"/>
      <c r="BL51" s="173"/>
      <c r="BM51" s="173"/>
      <c r="BN51" s="897"/>
      <c r="BO51" s="173"/>
      <c r="BP51" s="173"/>
      <c r="BQ51" s="173"/>
      <c r="BR51" s="173"/>
      <c r="BS51" s="897"/>
      <c r="BT51" s="173"/>
      <c r="BU51" s="173"/>
      <c r="BV51" s="173"/>
      <c r="BW51" s="173"/>
      <c r="BX51" s="897"/>
      <c r="BY51" s="173"/>
      <c r="BZ51" s="173"/>
      <c r="CA51" s="173"/>
      <c r="CB51" s="173"/>
      <c r="CC51" s="897"/>
      <c r="CD51" s="173"/>
      <c r="CE51" s="173"/>
      <c r="CF51" s="173"/>
      <c r="CG51" s="173"/>
      <c r="CH51" s="897"/>
      <c r="CI51" s="173"/>
      <c r="CJ51" s="173"/>
      <c r="CK51" s="173"/>
      <c r="CL51" s="173"/>
      <c r="CM51" s="897"/>
      <c r="CN51" s="173"/>
      <c r="CO51" s="173"/>
      <c r="CP51" s="173"/>
      <c r="CQ51" s="173"/>
      <c r="CR51" s="897"/>
      <c r="CS51" s="173"/>
      <c r="CT51" s="173"/>
      <c r="CU51" s="173"/>
      <c r="CV51" s="173"/>
      <c r="CW51" s="334"/>
      <c r="CX51" s="173"/>
      <c r="CY51" s="173"/>
      <c r="CZ51" s="173"/>
      <c r="DA51" s="173"/>
      <c r="DB51" s="334"/>
      <c r="DC51" s="173"/>
      <c r="DD51" s="173"/>
      <c r="DE51" s="173"/>
      <c r="DF51" s="173"/>
      <c r="DG51" s="334"/>
      <c r="DH51" s="173"/>
      <c r="DI51" s="173"/>
      <c r="DJ51" s="173"/>
      <c r="DK51" s="173"/>
      <c r="DL51" s="334"/>
      <c r="DM51" s="173"/>
      <c r="DN51" s="173"/>
      <c r="DO51" s="173"/>
      <c r="DP51" s="173"/>
      <c r="DQ51" s="334"/>
      <c r="DR51" s="171"/>
      <c r="DS51" s="260"/>
      <c r="DT51"/>
      <c r="DU51"/>
      <c r="DV51"/>
      <c r="DW51"/>
      <c r="DX51"/>
      <c r="DY51"/>
    </row>
    <row r="52" spans="2:129" s="183" customFormat="1" ht="11.25" customHeight="1">
      <c r="B52" s="170"/>
      <c r="C52" s="4" t="s">
        <v>272</v>
      </c>
      <c r="D52" s="171"/>
      <c r="E52" s="171"/>
      <c r="F52" s="171"/>
      <c r="G52" s="172"/>
      <c r="H52" s="173"/>
      <c r="I52" s="173"/>
      <c r="J52" s="174"/>
      <c r="K52" s="897"/>
      <c r="L52" s="172"/>
      <c r="M52" s="173"/>
      <c r="N52" s="173"/>
      <c r="O52" s="174"/>
      <c r="P52" s="897"/>
      <c r="Q52" s="172"/>
      <c r="R52" s="173"/>
      <c r="S52" s="173"/>
      <c r="T52" s="174"/>
      <c r="U52" s="897"/>
      <c r="V52" s="172"/>
      <c r="W52" s="173"/>
      <c r="X52" s="173"/>
      <c r="Y52" s="174"/>
      <c r="Z52" s="897"/>
      <c r="AA52" s="172"/>
      <c r="AB52" s="173"/>
      <c r="AC52" s="173"/>
      <c r="AD52" s="173"/>
      <c r="AE52" s="897"/>
      <c r="AF52" s="173"/>
      <c r="AG52" s="173"/>
      <c r="AH52" s="173"/>
      <c r="AI52" s="173"/>
      <c r="AJ52" s="897"/>
      <c r="AK52" s="173"/>
      <c r="AL52" s="173"/>
      <c r="AM52" s="173"/>
      <c r="AN52" s="173"/>
      <c r="AO52" s="897"/>
      <c r="AP52" s="173"/>
      <c r="AQ52" s="173"/>
      <c r="AR52" s="173"/>
      <c r="AS52" s="173"/>
      <c r="AT52" s="897"/>
      <c r="AU52" s="173"/>
      <c r="AV52" s="173"/>
      <c r="AW52" s="173"/>
      <c r="AX52" s="173"/>
      <c r="AY52" s="897"/>
      <c r="AZ52" s="173"/>
      <c r="BA52" s="173"/>
      <c r="BB52" s="173"/>
      <c r="BC52" s="173"/>
      <c r="BD52" s="897"/>
      <c r="BE52" s="173"/>
      <c r="BF52" s="173"/>
      <c r="BG52" s="173"/>
      <c r="BH52" s="173"/>
      <c r="BI52" s="897"/>
      <c r="BJ52" s="173"/>
      <c r="BK52" s="173"/>
      <c r="BL52" s="173"/>
      <c r="BM52" s="173"/>
      <c r="BN52" s="897"/>
      <c r="BO52" s="173"/>
      <c r="BP52" s="173"/>
      <c r="BQ52" s="173"/>
      <c r="BR52" s="173"/>
      <c r="BS52" s="897"/>
      <c r="BT52" s="173"/>
      <c r="BU52" s="173"/>
      <c r="BV52" s="173"/>
      <c r="BW52" s="173"/>
      <c r="BX52" s="897"/>
      <c r="BY52" s="173"/>
      <c r="BZ52" s="173"/>
      <c r="CA52" s="173"/>
      <c r="CB52" s="173"/>
      <c r="CC52" s="352">
        <f>CB52</f>
        <v>0</v>
      </c>
      <c r="CD52" s="86">
        <v>0</v>
      </c>
      <c r="CE52" s="86">
        <v>0</v>
      </c>
      <c r="CF52" s="86">
        <v>0</v>
      </c>
      <c r="CG52" s="441">
        <v>0</v>
      </c>
      <c r="CH52" s="352">
        <f>CG52</f>
        <v>0</v>
      </c>
      <c r="CI52" s="441">
        <v>0</v>
      </c>
      <c r="CJ52" s="86">
        <v>0</v>
      </c>
      <c r="CK52" s="86">
        <v>0</v>
      </c>
      <c r="CL52" s="441">
        <v>937.5</v>
      </c>
      <c r="CM52" s="352">
        <f>CL52</f>
        <v>937.5</v>
      </c>
      <c r="CN52" s="441">
        <v>925</v>
      </c>
      <c r="CO52" s="86">
        <v>912.5</v>
      </c>
      <c r="CP52" s="86">
        <v>900</v>
      </c>
      <c r="CQ52" s="441">
        <v>881.2</v>
      </c>
      <c r="CR52" s="352">
        <f>CQ52</f>
        <v>881.2</v>
      </c>
      <c r="CS52" s="441">
        <v>858.4</v>
      </c>
      <c r="CT52" s="86">
        <v>840</v>
      </c>
      <c r="CU52" s="86">
        <v>821.6</v>
      </c>
      <c r="CV52" s="441">
        <v>797</v>
      </c>
      <c r="CW52" s="352">
        <f>CV52</f>
        <v>797</v>
      </c>
      <c r="CX52" s="441">
        <v>772</v>
      </c>
      <c r="CY52" s="441">
        <v>747</v>
      </c>
      <c r="CZ52" s="1035">
        <v>723</v>
      </c>
      <c r="DA52" s="441">
        <v>698</v>
      </c>
      <c r="DB52" s="352">
        <f>DA52</f>
        <v>698</v>
      </c>
      <c r="DC52" s="36">
        <f t="shared" ref="DC52:DF52" si="140">+DC154-DC47</f>
        <v>698</v>
      </c>
      <c r="DD52" s="36">
        <f t="shared" si="140"/>
        <v>673</v>
      </c>
      <c r="DE52" s="36">
        <f t="shared" si="140"/>
        <v>673</v>
      </c>
      <c r="DF52" s="36">
        <f t="shared" si="140"/>
        <v>648</v>
      </c>
      <c r="DG52" s="352">
        <f>DF52</f>
        <v>648</v>
      </c>
      <c r="DH52" s="36">
        <f>+DH154-DH47</f>
        <v>648</v>
      </c>
      <c r="DI52" s="36">
        <f>+DI154-DI47</f>
        <v>623</v>
      </c>
      <c r="DJ52" s="36">
        <f>+DJ154-DJ47</f>
        <v>623</v>
      </c>
      <c r="DK52" s="36">
        <f>+DK154-DK47</f>
        <v>598</v>
      </c>
      <c r="DL52" s="352">
        <f>DK52</f>
        <v>598</v>
      </c>
      <c r="DM52" s="36">
        <f>+DM154-DM47</f>
        <v>598</v>
      </c>
      <c r="DN52" s="36">
        <f>+DN154-DN47</f>
        <v>573</v>
      </c>
      <c r="DO52" s="36">
        <f>+DO154-DO47</f>
        <v>573</v>
      </c>
      <c r="DP52" s="36">
        <f>+DP154-DP47</f>
        <v>548</v>
      </c>
      <c r="DQ52" s="352">
        <f>DP52</f>
        <v>548</v>
      </c>
      <c r="DR52" s="171"/>
      <c r="DS52" s="260"/>
      <c r="DT52"/>
      <c r="DU52"/>
      <c r="DV52"/>
      <c r="DW52"/>
      <c r="DX52"/>
      <c r="DY52"/>
    </row>
    <row r="53" spans="2:129" s="132" customFormat="1" ht="11.25" customHeight="1">
      <c r="B53" s="32"/>
      <c r="C53" s="33" t="s">
        <v>61</v>
      </c>
      <c r="D53" s="33"/>
      <c r="E53" s="33"/>
      <c r="F53" s="33"/>
      <c r="G53" s="35"/>
      <c r="H53" s="61">
        <v>3.8450000000000002</v>
      </c>
      <c r="I53" s="61">
        <v>4.8159999999999998</v>
      </c>
      <c r="J53" s="63">
        <v>6.1029999999999998</v>
      </c>
      <c r="K53" s="352">
        <f>J53</f>
        <v>6.1029999999999998</v>
      </c>
      <c r="L53" s="62">
        <v>7.7160000000000002</v>
      </c>
      <c r="M53" s="61">
        <v>7.9029999999999996</v>
      </c>
      <c r="N53" s="61">
        <v>8.5579999999999998</v>
      </c>
      <c r="O53" s="63">
        <v>10.361000000000001</v>
      </c>
      <c r="P53" s="352">
        <f>O53</f>
        <v>10.361000000000001</v>
      </c>
      <c r="Q53" s="62">
        <v>12</v>
      </c>
      <c r="R53" s="61">
        <v>13.865</v>
      </c>
      <c r="S53" s="61">
        <v>15.426</v>
      </c>
      <c r="T53" s="63">
        <v>16.702000000000002</v>
      </c>
      <c r="U53" s="352">
        <f>T53</f>
        <v>16.702000000000002</v>
      </c>
      <c r="V53" s="62">
        <v>18.414999999999999</v>
      </c>
      <c r="W53" s="61">
        <v>20.138999999999999</v>
      </c>
      <c r="X53" s="61">
        <v>22.376999999999999</v>
      </c>
      <c r="Y53" s="63">
        <v>24.492999999999999</v>
      </c>
      <c r="Z53" s="352">
        <f>Y53</f>
        <v>24.492999999999999</v>
      </c>
      <c r="AA53" s="62">
        <v>25.004000000000001</v>
      </c>
      <c r="AB53" s="61">
        <v>25.591000000000001</v>
      </c>
      <c r="AC53" s="61">
        <v>25.472000000000001</v>
      </c>
      <c r="AD53" s="61">
        <v>24.504999999999999</v>
      </c>
      <c r="AE53" s="352">
        <f>AD53</f>
        <v>24.504999999999999</v>
      </c>
      <c r="AF53" s="61">
        <v>24.536999999999999</v>
      </c>
      <c r="AG53" s="61">
        <v>26.423999999999999</v>
      </c>
      <c r="AH53" s="61">
        <v>27.454000000000001</v>
      </c>
      <c r="AI53" s="61">
        <v>23.882999999999999</v>
      </c>
      <c r="AJ53" s="352">
        <f>AI53</f>
        <v>23.882999999999999</v>
      </c>
      <c r="AK53" s="61">
        <v>22.297999999999998</v>
      </c>
      <c r="AL53" s="61">
        <v>20.509</v>
      </c>
      <c r="AM53" s="61">
        <v>16.449000000000002</v>
      </c>
      <c r="AN53" s="61">
        <v>4.1559999999999997</v>
      </c>
      <c r="AO53" s="352">
        <f>AN53</f>
        <v>4.1559999999999997</v>
      </c>
      <c r="AP53" s="61">
        <v>1.2270000000000001</v>
      </c>
      <c r="AQ53" s="61">
        <v>0</v>
      </c>
      <c r="AR53" s="61">
        <v>0</v>
      </c>
      <c r="AS53" s="61">
        <v>0</v>
      </c>
      <c r="AT53" s="352">
        <f>AS53</f>
        <v>0</v>
      </c>
      <c r="AU53" s="61">
        <v>0</v>
      </c>
      <c r="AV53" s="61">
        <v>0</v>
      </c>
      <c r="AW53" s="61">
        <v>0</v>
      </c>
      <c r="AX53" s="61">
        <v>0</v>
      </c>
      <c r="AY53" s="352">
        <f>AX53</f>
        <v>0</v>
      </c>
      <c r="AZ53" s="61">
        <v>0</v>
      </c>
      <c r="BA53" s="61">
        <v>0</v>
      </c>
      <c r="BB53" s="61">
        <v>0</v>
      </c>
      <c r="BC53" s="61">
        <v>15.145</v>
      </c>
      <c r="BD53" s="352">
        <f>BC53</f>
        <v>15.145</v>
      </c>
      <c r="BE53" s="61">
        <v>12.502000000000001</v>
      </c>
      <c r="BF53" s="61">
        <v>10.452999999999999</v>
      </c>
      <c r="BG53" s="61">
        <v>8.0329999999999995</v>
      </c>
      <c r="BH53" s="61">
        <v>7.2939999999999996</v>
      </c>
      <c r="BI53" s="352">
        <f>BH53</f>
        <v>7.2939999999999996</v>
      </c>
      <c r="BJ53" s="61">
        <v>1.837</v>
      </c>
      <c r="BK53" s="61">
        <v>0.624</v>
      </c>
      <c r="BL53" s="61">
        <v>0</v>
      </c>
      <c r="BM53" s="61">
        <v>0</v>
      </c>
      <c r="BN53" s="352">
        <f>BM53</f>
        <v>0</v>
      </c>
      <c r="BO53" s="61">
        <v>0</v>
      </c>
      <c r="BP53" s="61">
        <v>6.0709999999999997</v>
      </c>
      <c r="BQ53" s="61">
        <v>6.0759999999999996</v>
      </c>
      <c r="BR53" s="61">
        <v>4.9459999999999997</v>
      </c>
      <c r="BS53" s="352">
        <f>BR53</f>
        <v>4.9459999999999997</v>
      </c>
      <c r="BT53" s="61">
        <v>3.87</v>
      </c>
      <c r="BU53" s="61">
        <v>3.5579999999999998</v>
      </c>
      <c r="BV53" s="61">
        <v>3.605</v>
      </c>
      <c r="BW53" s="61">
        <v>3.339</v>
      </c>
      <c r="BX53" s="352">
        <f>BW53</f>
        <v>3.339</v>
      </c>
      <c r="BY53" s="61">
        <v>2.9780000000000002</v>
      </c>
      <c r="BZ53" s="61">
        <v>3.073</v>
      </c>
      <c r="CA53" s="61">
        <v>4.593</v>
      </c>
      <c r="CB53" s="61">
        <v>2.7770000000000001</v>
      </c>
      <c r="CC53" s="352">
        <f>CB53</f>
        <v>2.7770000000000001</v>
      </c>
      <c r="CD53" s="61">
        <v>14.840999999999999</v>
      </c>
      <c r="CE53" s="61">
        <v>14.548</v>
      </c>
      <c r="CF53" s="61">
        <v>14.794</v>
      </c>
      <c r="CG53" s="441">
        <v>21.17</v>
      </c>
      <c r="CH53" s="352">
        <f>CG53</f>
        <v>21.17</v>
      </c>
      <c r="CI53" s="441">
        <v>20.274999999999999</v>
      </c>
      <c r="CJ53" s="61">
        <v>19.861999999999998</v>
      </c>
      <c r="CK53" s="61">
        <v>18.041</v>
      </c>
      <c r="CL53" s="441">
        <v>251.72399999999999</v>
      </c>
      <c r="CM53" s="352">
        <f>CL53</f>
        <v>251.72399999999999</v>
      </c>
      <c r="CN53" s="441">
        <v>237.3</v>
      </c>
      <c r="CO53" s="61">
        <v>233.6</v>
      </c>
      <c r="CP53" s="61">
        <v>230</v>
      </c>
      <c r="CQ53" s="441">
        <v>3.3</v>
      </c>
      <c r="CR53" s="352">
        <f>CQ53</f>
        <v>3.3</v>
      </c>
      <c r="CS53" s="441">
        <v>9.1</v>
      </c>
      <c r="CT53" s="61">
        <v>3</v>
      </c>
      <c r="CU53" s="61">
        <v>3.7</v>
      </c>
      <c r="CV53" s="441">
        <v>6</v>
      </c>
      <c r="CW53" s="352">
        <f>CV53</f>
        <v>6</v>
      </c>
      <c r="CX53" s="441">
        <v>6</v>
      </c>
      <c r="CY53" s="441">
        <v>5</v>
      </c>
      <c r="CZ53" s="1035">
        <v>5</v>
      </c>
      <c r="DA53" s="441">
        <v>146</v>
      </c>
      <c r="DB53" s="352">
        <f>DA53</f>
        <v>146</v>
      </c>
      <c r="DC53" s="36">
        <f>DA53</f>
        <v>146</v>
      </c>
      <c r="DD53" s="36">
        <f t="shared" ref="DD53:DF53" si="141">DC53</f>
        <v>146</v>
      </c>
      <c r="DE53" s="36">
        <f t="shared" si="141"/>
        <v>146</v>
      </c>
      <c r="DF53" s="36">
        <f t="shared" si="141"/>
        <v>146</v>
      </c>
      <c r="DG53" s="352">
        <f>DF53</f>
        <v>146</v>
      </c>
      <c r="DH53" s="36">
        <f>DF53</f>
        <v>146</v>
      </c>
      <c r="DI53" s="36">
        <f>DH53</f>
        <v>146</v>
      </c>
      <c r="DJ53" s="36">
        <f>DI53</f>
        <v>146</v>
      </c>
      <c r="DK53" s="36">
        <f>DJ53</f>
        <v>146</v>
      </c>
      <c r="DL53" s="352">
        <f>DK53</f>
        <v>146</v>
      </c>
      <c r="DM53" s="36">
        <f>DK53</f>
        <v>146</v>
      </c>
      <c r="DN53" s="36">
        <f>DM53</f>
        <v>146</v>
      </c>
      <c r="DO53" s="36">
        <f>DN53</f>
        <v>146</v>
      </c>
      <c r="DP53" s="36">
        <f>DO53</f>
        <v>146</v>
      </c>
      <c r="DQ53" s="352">
        <f>DP53</f>
        <v>146</v>
      </c>
      <c r="DR53" s="33"/>
      <c r="DS53" s="260"/>
      <c r="DT53"/>
      <c r="DU53"/>
      <c r="DV53"/>
      <c r="DW53"/>
      <c r="DX53"/>
      <c r="DY53"/>
    </row>
    <row r="54" spans="2:129" s="132" customFormat="1" ht="11.25" customHeight="1">
      <c r="B54" s="32"/>
      <c r="C54" s="33" t="s">
        <v>158</v>
      </c>
      <c r="D54" s="33"/>
      <c r="E54" s="33"/>
      <c r="F54" s="33"/>
      <c r="G54" s="35"/>
      <c r="H54" s="61">
        <v>2.3E-2</v>
      </c>
      <c r="I54" s="61">
        <v>0.14799999999999999</v>
      </c>
      <c r="J54" s="63">
        <v>8.9999999999999993E-3</v>
      </c>
      <c r="K54" s="352">
        <f>J54</f>
        <v>8.9999999999999993E-3</v>
      </c>
      <c r="L54" s="62">
        <v>0</v>
      </c>
      <c r="M54" s="61">
        <v>2E-3</v>
      </c>
      <c r="N54" s="61">
        <v>0</v>
      </c>
      <c r="O54" s="63">
        <v>0</v>
      </c>
      <c r="P54" s="352">
        <f>O54</f>
        <v>0</v>
      </c>
      <c r="Q54" s="62">
        <v>0</v>
      </c>
      <c r="R54" s="61">
        <v>0</v>
      </c>
      <c r="S54" s="61">
        <v>0</v>
      </c>
      <c r="T54" s="63">
        <v>0</v>
      </c>
      <c r="U54" s="352">
        <f>T54</f>
        <v>0</v>
      </c>
      <c r="V54" s="62">
        <v>0</v>
      </c>
      <c r="W54" s="61">
        <v>0</v>
      </c>
      <c r="X54" s="61">
        <v>0</v>
      </c>
      <c r="Y54" s="63">
        <v>0</v>
      </c>
      <c r="Z54" s="352">
        <f>Y54</f>
        <v>0</v>
      </c>
      <c r="AA54" s="62">
        <v>0</v>
      </c>
      <c r="AB54" s="61">
        <v>0</v>
      </c>
      <c r="AC54" s="61">
        <v>0</v>
      </c>
      <c r="AD54" s="61">
        <v>0</v>
      </c>
      <c r="AE54" s="352">
        <f>AD54</f>
        <v>0</v>
      </c>
      <c r="AF54" s="61">
        <v>0</v>
      </c>
      <c r="AG54" s="61">
        <v>0</v>
      </c>
      <c r="AH54" s="61">
        <v>0</v>
      </c>
      <c r="AI54" s="61">
        <v>0</v>
      </c>
      <c r="AJ54" s="352">
        <f>AI54</f>
        <v>0</v>
      </c>
      <c r="AK54" s="61">
        <v>0</v>
      </c>
      <c r="AL54" s="61">
        <v>0</v>
      </c>
      <c r="AM54" s="61">
        <v>0</v>
      </c>
      <c r="AN54" s="61">
        <v>0</v>
      </c>
      <c r="AO54" s="352">
        <f>AN54</f>
        <v>0</v>
      </c>
      <c r="AP54" s="61">
        <v>0</v>
      </c>
      <c r="AQ54" s="61">
        <v>0</v>
      </c>
      <c r="AR54" s="61">
        <v>0</v>
      </c>
      <c r="AS54" s="61">
        <v>1.9530000000000001</v>
      </c>
      <c r="AT54" s="352">
        <f>AS54</f>
        <v>1.9530000000000001</v>
      </c>
      <c r="AU54" s="61">
        <v>2.302</v>
      </c>
      <c r="AV54" s="61">
        <v>2.5529999999999999</v>
      </c>
      <c r="AW54" s="61">
        <v>2.673</v>
      </c>
      <c r="AX54" s="61">
        <v>2.9790000000000001</v>
      </c>
      <c r="AY54" s="352">
        <f>AX54</f>
        <v>2.9790000000000001</v>
      </c>
      <c r="AZ54" s="61">
        <v>8.0269999999999992</v>
      </c>
      <c r="BA54" s="61">
        <v>7.992</v>
      </c>
      <c r="BB54" s="61">
        <v>9.1519999999999992</v>
      </c>
      <c r="BC54" s="61">
        <v>14.266999999999999</v>
      </c>
      <c r="BD54" s="352">
        <f>BC54</f>
        <v>14.266999999999999</v>
      </c>
      <c r="BE54" s="61">
        <v>15.468999999999999</v>
      </c>
      <c r="BF54" s="61">
        <v>16.507000000000001</v>
      </c>
      <c r="BG54" s="61">
        <v>15.268000000000001</v>
      </c>
      <c r="BH54" s="61">
        <v>14.111000000000001</v>
      </c>
      <c r="BI54" s="352">
        <f>BH54</f>
        <v>14.111000000000001</v>
      </c>
      <c r="BJ54" s="61">
        <v>13.977</v>
      </c>
      <c r="BK54" s="61">
        <v>15.108000000000001</v>
      </c>
      <c r="BL54" s="61">
        <v>31.89</v>
      </c>
      <c r="BM54" s="61">
        <v>38.454999999999998</v>
      </c>
      <c r="BN54" s="352">
        <f>BM54</f>
        <v>38.454999999999998</v>
      </c>
      <c r="BO54" s="61">
        <v>45.231000000000002</v>
      </c>
      <c r="BP54" s="61">
        <v>71.597999999999999</v>
      </c>
      <c r="BQ54" s="61">
        <v>68.849999999999994</v>
      </c>
      <c r="BR54" s="61">
        <v>62.970999999999997</v>
      </c>
      <c r="BS54" s="352">
        <f>BR54</f>
        <v>62.970999999999997</v>
      </c>
      <c r="BT54" s="61">
        <v>68.100999999999999</v>
      </c>
      <c r="BU54" s="61">
        <v>73.944000000000003</v>
      </c>
      <c r="BV54" s="61">
        <v>120.258</v>
      </c>
      <c r="BW54" s="61">
        <v>342.00299999999999</v>
      </c>
      <c r="BX54" s="352">
        <f>BW54</f>
        <v>342.00299999999999</v>
      </c>
      <c r="BY54" s="61">
        <v>276.65300000000002</v>
      </c>
      <c r="BZ54" s="61">
        <v>407.71800000000002</v>
      </c>
      <c r="CA54" s="61">
        <v>254.488</v>
      </c>
      <c r="CB54" s="61">
        <v>287.08100000000002</v>
      </c>
      <c r="CC54" s="352">
        <f>CB54</f>
        <v>287.08100000000002</v>
      </c>
      <c r="CD54" s="61">
        <v>252.684</v>
      </c>
      <c r="CE54" s="61">
        <v>316.72699999999998</v>
      </c>
      <c r="CF54" s="61">
        <v>352.041</v>
      </c>
      <c r="CG54" s="441">
        <v>277.44499999999999</v>
      </c>
      <c r="CH54" s="352">
        <f>CG54</f>
        <v>277.44499999999999</v>
      </c>
      <c r="CI54" s="441">
        <v>133.20099999999999</v>
      </c>
      <c r="CJ54" s="61">
        <v>108.941</v>
      </c>
      <c r="CK54" s="61">
        <v>85.828000000000003</v>
      </c>
      <c r="CL54" s="441">
        <f>116.424+80.956</f>
        <v>197.38</v>
      </c>
      <c r="CM54" s="352">
        <f>CL54</f>
        <v>197.38</v>
      </c>
      <c r="CN54" s="441">
        <f>47.3+111.2</f>
        <v>158.5</v>
      </c>
      <c r="CO54" s="61">
        <f>50.3+103.9</f>
        <v>154.19999999999999</v>
      </c>
      <c r="CP54" s="61">
        <f>53+129.2</f>
        <v>182.2</v>
      </c>
      <c r="CQ54" s="441">
        <f>49.3+139.8</f>
        <v>189.10000000000002</v>
      </c>
      <c r="CR54" s="352">
        <f>CQ54</f>
        <v>189.10000000000002</v>
      </c>
      <c r="CS54" s="441">
        <f>67.6+138.1</f>
        <v>205.7</v>
      </c>
      <c r="CT54" s="61">
        <f>175.6+138.6</f>
        <v>314.2</v>
      </c>
      <c r="CU54" s="61">
        <f>158.3+140.1</f>
        <v>298.39999999999998</v>
      </c>
      <c r="CV54" s="441">
        <f>162+151</f>
        <v>313</v>
      </c>
      <c r="CW54" s="352">
        <f>CV54</f>
        <v>313</v>
      </c>
      <c r="CX54" s="441">
        <f>155+128</f>
        <v>283</v>
      </c>
      <c r="CY54" s="441">
        <f>155+133</f>
        <v>288</v>
      </c>
      <c r="CZ54" s="1035">
        <f>159+114</f>
        <v>273</v>
      </c>
      <c r="DA54" s="441">
        <f>104+181+584</f>
        <v>869</v>
      </c>
      <c r="DB54" s="352">
        <f>DA54</f>
        <v>869</v>
      </c>
      <c r="DC54" s="1035">
        <f>+DA54-(50/4)</f>
        <v>856.5</v>
      </c>
      <c r="DD54" s="1035">
        <f>+DC54-(50/4)</f>
        <v>844</v>
      </c>
      <c r="DE54" s="1035">
        <f t="shared" ref="DE54:DF54" si="142">+DD54-(50/4)</f>
        <v>831.5</v>
      </c>
      <c r="DF54" s="1035">
        <f t="shared" si="142"/>
        <v>819</v>
      </c>
      <c r="DG54" s="352">
        <f>DF54</f>
        <v>819</v>
      </c>
      <c r="DH54" s="1035">
        <f>+DF54-(50/4)</f>
        <v>806.5</v>
      </c>
      <c r="DI54" s="1035">
        <f>+DH54-(50/4)</f>
        <v>794</v>
      </c>
      <c r="DJ54" s="1035">
        <f t="shared" ref="DJ54:DK54" si="143">+DI54-(50/4)</f>
        <v>781.5</v>
      </c>
      <c r="DK54" s="1035">
        <f t="shared" si="143"/>
        <v>769</v>
      </c>
      <c r="DL54" s="352">
        <f>DK54</f>
        <v>769</v>
      </c>
      <c r="DM54" s="1035">
        <f>+DK54-(50/4)</f>
        <v>756.5</v>
      </c>
      <c r="DN54" s="1035">
        <f>+DM54-(50/4)</f>
        <v>744</v>
      </c>
      <c r="DO54" s="1035">
        <f>+DN54-(50/4)</f>
        <v>731.5</v>
      </c>
      <c r="DP54" s="1035">
        <f>+DO54-(50/4)</f>
        <v>719</v>
      </c>
      <c r="DQ54" s="352">
        <f>DP54</f>
        <v>719</v>
      </c>
      <c r="DR54" s="33"/>
      <c r="DS54" s="260"/>
      <c r="DT54"/>
      <c r="DU54"/>
      <c r="DV54"/>
      <c r="DW54"/>
      <c r="DX54"/>
      <c r="DY54"/>
    </row>
    <row r="55" spans="2:129" s="177" customFormat="1" ht="11.25" customHeight="1">
      <c r="B55" s="31" t="s">
        <v>88</v>
      </c>
      <c r="C55" s="27"/>
      <c r="D55" s="27"/>
      <c r="E55" s="27"/>
      <c r="F55" s="27"/>
      <c r="G55" s="39"/>
      <c r="H55" s="40">
        <f t="shared" ref="H55:AU55" si="144">SUM(H53:H54)</f>
        <v>3.8680000000000003</v>
      </c>
      <c r="I55" s="40">
        <f t="shared" si="144"/>
        <v>4.9639999999999995</v>
      </c>
      <c r="J55" s="41">
        <f t="shared" si="144"/>
        <v>6.1120000000000001</v>
      </c>
      <c r="K55" s="355">
        <f>J55</f>
        <v>6.1120000000000001</v>
      </c>
      <c r="L55" s="39">
        <f t="shared" si="144"/>
        <v>7.7160000000000002</v>
      </c>
      <c r="M55" s="40">
        <f t="shared" si="144"/>
        <v>7.9049999999999994</v>
      </c>
      <c r="N55" s="40">
        <f t="shared" si="144"/>
        <v>8.5579999999999998</v>
      </c>
      <c r="O55" s="41">
        <f t="shared" si="144"/>
        <v>10.361000000000001</v>
      </c>
      <c r="P55" s="355">
        <f>O55</f>
        <v>10.361000000000001</v>
      </c>
      <c r="Q55" s="39">
        <f t="shared" si="144"/>
        <v>12</v>
      </c>
      <c r="R55" s="40">
        <f t="shared" si="144"/>
        <v>13.865</v>
      </c>
      <c r="S55" s="40">
        <f t="shared" si="144"/>
        <v>15.426</v>
      </c>
      <c r="T55" s="41">
        <f t="shared" si="144"/>
        <v>16.702000000000002</v>
      </c>
      <c r="U55" s="355">
        <f>T55</f>
        <v>16.702000000000002</v>
      </c>
      <c r="V55" s="39">
        <f t="shared" si="144"/>
        <v>18.414999999999999</v>
      </c>
      <c r="W55" s="40">
        <f t="shared" si="144"/>
        <v>20.138999999999999</v>
      </c>
      <c r="X55" s="40">
        <f t="shared" si="144"/>
        <v>22.376999999999999</v>
      </c>
      <c r="Y55" s="41">
        <f t="shared" si="144"/>
        <v>24.492999999999999</v>
      </c>
      <c r="Z55" s="355">
        <f>Y55</f>
        <v>24.492999999999999</v>
      </c>
      <c r="AA55" s="39">
        <f t="shared" si="144"/>
        <v>25.004000000000001</v>
      </c>
      <c r="AB55" s="40">
        <f t="shared" si="144"/>
        <v>25.591000000000001</v>
      </c>
      <c r="AC55" s="40">
        <f t="shared" si="144"/>
        <v>25.472000000000001</v>
      </c>
      <c r="AD55" s="40">
        <f t="shared" si="144"/>
        <v>24.504999999999999</v>
      </c>
      <c r="AE55" s="355">
        <f>AD55</f>
        <v>24.504999999999999</v>
      </c>
      <c r="AF55" s="40">
        <f t="shared" si="144"/>
        <v>24.536999999999999</v>
      </c>
      <c r="AG55" s="40">
        <f t="shared" si="144"/>
        <v>26.423999999999999</v>
      </c>
      <c r="AH55" s="40">
        <f t="shared" si="144"/>
        <v>27.454000000000001</v>
      </c>
      <c r="AI55" s="40">
        <f t="shared" si="144"/>
        <v>23.882999999999999</v>
      </c>
      <c r="AJ55" s="355">
        <f>AI55</f>
        <v>23.882999999999999</v>
      </c>
      <c r="AK55" s="40">
        <f t="shared" si="144"/>
        <v>22.297999999999998</v>
      </c>
      <c r="AL55" s="40">
        <f t="shared" si="144"/>
        <v>20.509</v>
      </c>
      <c r="AM55" s="40">
        <f t="shared" si="144"/>
        <v>16.449000000000002</v>
      </c>
      <c r="AN55" s="40">
        <f t="shared" si="144"/>
        <v>4.1559999999999997</v>
      </c>
      <c r="AO55" s="355">
        <f>AN55</f>
        <v>4.1559999999999997</v>
      </c>
      <c r="AP55" s="40">
        <f t="shared" si="144"/>
        <v>1.2270000000000001</v>
      </c>
      <c r="AQ55" s="40">
        <f t="shared" si="144"/>
        <v>0</v>
      </c>
      <c r="AR55" s="40">
        <f t="shared" si="144"/>
        <v>0</v>
      </c>
      <c r="AS55" s="40">
        <f t="shared" si="144"/>
        <v>1.9530000000000001</v>
      </c>
      <c r="AT55" s="355">
        <f>AS55</f>
        <v>1.9530000000000001</v>
      </c>
      <c r="AU55" s="40">
        <f t="shared" si="144"/>
        <v>2.302</v>
      </c>
      <c r="AV55" s="40">
        <f t="shared" ref="AV55:CI55" si="145">SUM(AV53:AV54)</f>
        <v>2.5529999999999999</v>
      </c>
      <c r="AW55" s="40">
        <f t="shared" si="145"/>
        <v>2.673</v>
      </c>
      <c r="AX55" s="40">
        <f t="shared" si="145"/>
        <v>2.9790000000000001</v>
      </c>
      <c r="AY55" s="355">
        <f>AX55</f>
        <v>2.9790000000000001</v>
      </c>
      <c r="AZ55" s="40">
        <f t="shared" si="145"/>
        <v>8.0269999999999992</v>
      </c>
      <c r="BA55" s="40">
        <f t="shared" si="145"/>
        <v>7.992</v>
      </c>
      <c r="BB55" s="40">
        <f t="shared" si="145"/>
        <v>9.1519999999999992</v>
      </c>
      <c r="BC55" s="40">
        <f t="shared" si="145"/>
        <v>29.411999999999999</v>
      </c>
      <c r="BD55" s="355">
        <f>BC55</f>
        <v>29.411999999999999</v>
      </c>
      <c r="BE55" s="40">
        <f t="shared" si="145"/>
        <v>27.971</v>
      </c>
      <c r="BF55" s="40">
        <f t="shared" si="145"/>
        <v>26.96</v>
      </c>
      <c r="BG55" s="40">
        <f t="shared" si="145"/>
        <v>23.301000000000002</v>
      </c>
      <c r="BH55" s="40">
        <f t="shared" si="145"/>
        <v>21.405000000000001</v>
      </c>
      <c r="BI55" s="355">
        <f>BH55</f>
        <v>21.405000000000001</v>
      </c>
      <c r="BJ55" s="40">
        <f t="shared" si="145"/>
        <v>15.814</v>
      </c>
      <c r="BK55" s="40">
        <f t="shared" si="145"/>
        <v>15.732000000000001</v>
      </c>
      <c r="BL55" s="40">
        <f t="shared" si="145"/>
        <v>31.89</v>
      </c>
      <c r="BM55" s="40">
        <f t="shared" si="145"/>
        <v>38.454999999999998</v>
      </c>
      <c r="BN55" s="355">
        <f>BM55</f>
        <v>38.454999999999998</v>
      </c>
      <c r="BO55" s="40">
        <f t="shared" si="145"/>
        <v>45.231000000000002</v>
      </c>
      <c r="BP55" s="40">
        <f t="shared" si="145"/>
        <v>77.668999999999997</v>
      </c>
      <c r="BQ55" s="40">
        <f t="shared" si="145"/>
        <v>74.925999999999988</v>
      </c>
      <c r="BR55" s="40">
        <f t="shared" si="145"/>
        <v>67.917000000000002</v>
      </c>
      <c r="BS55" s="355">
        <f>BR55</f>
        <v>67.917000000000002</v>
      </c>
      <c r="BT55" s="40">
        <f t="shared" si="145"/>
        <v>71.971000000000004</v>
      </c>
      <c r="BU55" s="40">
        <f t="shared" si="145"/>
        <v>77.50200000000001</v>
      </c>
      <c r="BV55" s="40">
        <f t="shared" si="145"/>
        <v>123.863</v>
      </c>
      <c r="BW55" s="40">
        <f t="shared" si="145"/>
        <v>345.34199999999998</v>
      </c>
      <c r="BX55" s="355">
        <f>BW55</f>
        <v>345.34199999999998</v>
      </c>
      <c r="BY55" s="40">
        <f t="shared" si="145"/>
        <v>279.63100000000003</v>
      </c>
      <c r="BZ55" s="40">
        <f t="shared" si="145"/>
        <v>410.791</v>
      </c>
      <c r="CA55" s="40">
        <f t="shared" si="145"/>
        <v>259.08100000000002</v>
      </c>
      <c r="CB55" s="40">
        <f t="shared" si="145"/>
        <v>289.858</v>
      </c>
      <c r="CC55" s="355">
        <f>CB55</f>
        <v>289.858</v>
      </c>
      <c r="CD55" s="40">
        <f t="shared" si="145"/>
        <v>267.52499999999998</v>
      </c>
      <c r="CE55" s="40">
        <f t="shared" si="145"/>
        <v>331.27499999999998</v>
      </c>
      <c r="CF55" s="40">
        <f t="shared" si="145"/>
        <v>366.83499999999998</v>
      </c>
      <c r="CG55" s="40">
        <f t="shared" si="145"/>
        <v>298.61500000000001</v>
      </c>
      <c r="CH55" s="355">
        <f>CG55</f>
        <v>298.61500000000001</v>
      </c>
      <c r="CI55" s="40">
        <f t="shared" si="145"/>
        <v>153.476</v>
      </c>
      <c r="CJ55" s="40">
        <f>SUM(CJ53:CJ54)</f>
        <v>128.803</v>
      </c>
      <c r="CK55" s="40">
        <f>SUM(CK53:CK54)</f>
        <v>103.869</v>
      </c>
      <c r="CL55" s="40">
        <f t="shared" ref="CL55:DA55" si="146">SUM(CL52:CL54)</f>
        <v>1386.6039999999998</v>
      </c>
      <c r="CM55" s="355">
        <f>CL55</f>
        <v>1386.6039999999998</v>
      </c>
      <c r="CN55" s="40">
        <f t="shared" si="146"/>
        <v>1320.8</v>
      </c>
      <c r="CO55" s="40">
        <f>SUM(CO52:CO54)</f>
        <v>1300.3</v>
      </c>
      <c r="CP55" s="40">
        <f t="shared" si="146"/>
        <v>1312.2</v>
      </c>
      <c r="CQ55" s="40">
        <f t="shared" si="146"/>
        <v>1073.5999999999999</v>
      </c>
      <c r="CR55" s="355">
        <f>CQ55</f>
        <v>1073.5999999999999</v>
      </c>
      <c r="CS55" s="40">
        <f t="shared" si="146"/>
        <v>1073.2</v>
      </c>
      <c r="CT55" s="40">
        <f t="shared" si="146"/>
        <v>1157.2</v>
      </c>
      <c r="CU55" s="40">
        <f t="shared" si="146"/>
        <v>1123.7</v>
      </c>
      <c r="CV55" s="40">
        <f t="shared" si="146"/>
        <v>1116</v>
      </c>
      <c r="CW55" s="355">
        <f>CV55</f>
        <v>1116</v>
      </c>
      <c r="CX55" s="40">
        <f>SUM(CX52:CX54)</f>
        <v>1061</v>
      </c>
      <c r="CY55" s="40">
        <f t="shared" si="146"/>
        <v>1040</v>
      </c>
      <c r="CZ55" s="40">
        <f t="shared" si="146"/>
        <v>1001</v>
      </c>
      <c r="DA55" s="40">
        <f t="shared" si="146"/>
        <v>1713</v>
      </c>
      <c r="DB55" s="355">
        <f>DA55</f>
        <v>1713</v>
      </c>
      <c r="DC55" s="40">
        <f t="shared" ref="DC55:DK55" si="147">SUM(DC52:DC54)</f>
        <v>1700.5</v>
      </c>
      <c r="DD55" s="40">
        <f t="shared" si="147"/>
        <v>1663</v>
      </c>
      <c r="DE55" s="40">
        <f t="shared" si="147"/>
        <v>1650.5</v>
      </c>
      <c r="DF55" s="40">
        <f t="shared" si="147"/>
        <v>1613</v>
      </c>
      <c r="DG55" s="355">
        <f>SUM(DG52:DG54)</f>
        <v>1613</v>
      </c>
      <c r="DH55" s="40">
        <f t="shared" si="147"/>
        <v>1600.5</v>
      </c>
      <c r="DI55" s="40">
        <f t="shared" si="147"/>
        <v>1563</v>
      </c>
      <c r="DJ55" s="40">
        <f t="shared" si="147"/>
        <v>1550.5</v>
      </c>
      <c r="DK55" s="40">
        <f t="shared" si="147"/>
        <v>1513</v>
      </c>
      <c r="DL55" s="355">
        <f>SUM(DL52:DL54)</f>
        <v>1513</v>
      </c>
      <c r="DM55" s="40">
        <f t="shared" ref="DM55:DP55" si="148">SUM(DM52:DM54)</f>
        <v>1500.5</v>
      </c>
      <c r="DN55" s="40">
        <f t="shared" si="148"/>
        <v>1463</v>
      </c>
      <c r="DO55" s="40">
        <f t="shared" si="148"/>
        <v>1450.5</v>
      </c>
      <c r="DP55" s="40">
        <f t="shared" si="148"/>
        <v>1413</v>
      </c>
      <c r="DQ55" s="355">
        <f>SUM(DQ52:DQ54)</f>
        <v>1413</v>
      </c>
      <c r="DR55" s="27"/>
      <c r="DS55" s="260"/>
      <c r="DT55"/>
      <c r="DU55"/>
      <c r="DV55"/>
      <c r="DW55"/>
      <c r="DX55"/>
      <c r="DY55"/>
    </row>
    <row r="56" spans="2:129" s="132" customFormat="1" ht="11.25" customHeight="1">
      <c r="B56" s="32"/>
      <c r="C56" s="33"/>
      <c r="D56" s="33"/>
      <c r="E56" s="33"/>
      <c r="F56" s="33"/>
      <c r="G56" s="62"/>
      <c r="H56" s="61"/>
      <c r="I56" s="61"/>
      <c r="J56" s="63"/>
      <c r="K56" s="352"/>
      <c r="L56" s="62"/>
      <c r="M56" s="61"/>
      <c r="N56" s="61"/>
      <c r="O56" s="63"/>
      <c r="P56" s="352"/>
      <c r="Q56" s="62"/>
      <c r="R56" s="61"/>
      <c r="S56" s="61"/>
      <c r="T56" s="63"/>
      <c r="U56" s="352"/>
      <c r="V56" s="62"/>
      <c r="W56" s="61"/>
      <c r="X56" s="61"/>
      <c r="Y56" s="63"/>
      <c r="Z56" s="352"/>
      <c r="AA56" s="62"/>
      <c r="AB56" s="61"/>
      <c r="AC56" s="61"/>
      <c r="AD56" s="61"/>
      <c r="AE56" s="352"/>
      <c r="AF56" s="61"/>
      <c r="AG56" s="61"/>
      <c r="AH56" s="61"/>
      <c r="AI56" s="61"/>
      <c r="AJ56" s="352"/>
      <c r="AK56" s="61"/>
      <c r="AL56" s="61"/>
      <c r="AM56" s="61"/>
      <c r="AN56" s="61"/>
      <c r="AO56" s="352"/>
      <c r="AP56" s="61"/>
      <c r="AQ56" s="61"/>
      <c r="AR56" s="61"/>
      <c r="AS56" s="61"/>
      <c r="AT56" s="352"/>
      <c r="AU56" s="61"/>
      <c r="AV56" s="61"/>
      <c r="AW56" s="61"/>
      <c r="AX56" s="61"/>
      <c r="AY56" s="352"/>
      <c r="AZ56" s="61"/>
      <c r="BA56" s="61"/>
      <c r="BB56" s="61"/>
      <c r="BC56" s="61"/>
      <c r="BD56" s="352"/>
      <c r="BE56" s="61"/>
      <c r="BF56" s="61"/>
      <c r="BG56" s="61"/>
      <c r="BH56" s="61"/>
      <c r="BI56" s="352"/>
      <c r="BJ56" s="61"/>
      <c r="BK56" s="61"/>
      <c r="BL56" s="61"/>
      <c r="BM56" s="61"/>
      <c r="BN56" s="352"/>
      <c r="BO56" s="61"/>
      <c r="BP56" s="61"/>
      <c r="BQ56" s="61"/>
      <c r="BR56" s="61"/>
      <c r="BS56" s="352"/>
      <c r="BT56" s="61"/>
      <c r="BU56" s="61"/>
      <c r="BV56" s="61"/>
      <c r="BW56" s="61"/>
      <c r="BX56" s="352"/>
      <c r="BY56" s="61"/>
      <c r="BZ56" s="61"/>
      <c r="CA56" s="61"/>
      <c r="CB56" s="905"/>
      <c r="CC56" s="352"/>
      <c r="CD56" s="36"/>
      <c r="CE56" s="36"/>
      <c r="CF56" s="36"/>
      <c r="CG56" s="36"/>
      <c r="CH56" s="352"/>
      <c r="CI56" s="36"/>
      <c r="CJ56" s="36"/>
      <c r="CK56" s="36"/>
      <c r="CL56" s="36"/>
      <c r="CM56" s="352"/>
      <c r="CN56" s="36"/>
      <c r="CO56" s="36"/>
      <c r="CP56" s="36"/>
      <c r="CQ56" s="36"/>
      <c r="CR56" s="352"/>
      <c r="CS56" s="36"/>
      <c r="CT56" s="36"/>
      <c r="CU56" s="36"/>
      <c r="CV56" s="36"/>
      <c r="CW56" s="333"/>
      <c r="CX56" s="36"/>
      <c r="CY56" s="36"/>
      <c r="CZ56" s="36"/>
      <c r="DA56" s="36"/>
      <c r="DB56" s="333"/>
      <c r="DC56" s="36"/>
      <c r="DD56" s="36"/>
      <c r="DE56" s="36"/>
      <c r="DF56" s="36"/>
      <c r="DG56" s="333"/>
      <c r="DH56" s="36"/>
      <c r="DI56" s="36"/>
      <c r="DJ56" s="36"/>
      <c r="DK56" s="36"/>
      <c r="DL56" s="333"/>
      <c r="DM56" s="36"/>
      <c r="DN56" s="36"/>
      <c r="DO56" s="36"/>
      <c r="DP56" s="36"/>
      <c r="DQ56" s="333"/>
      <c r="DR56" s="33"/>
      <c r="DS56" s="260"/>
      <c r="DT56"/>
      <c r="DU56"/>
      <c r="DV56"/>
      <c r="DW56"/>
      <c r="DX56"/>
      <c r="DY56"/>
    </row>
    <row r="57" spans="2:129" s="177" customFormat="1" ht="11.25" customHeight="1">
      <c r="B57" s="31" t="s">
        <v>62</v>
      </c>
      <c r="C57" s="27"/>
      <c r="D57" s="27"/>
      <c r="E57" s="27"/>
      <c r="F57" s="27"/>
      <c r="G57" s="39"/>
      <c r="H57" s="40">
        <f t="shared" ref="H57:AU57" si="149">H49+H55</f>
        <v>11.952</v>
      </c>
      <c r="I57" s="40">
        <f t="shared" si="149"/>
        <v>14.815000000000001</v>
      </c>
      <c r="J57" s="41">
        <f t="shared" si="149"/>
        <v>19.063000000000002</v>
      </c>
      <c r="K57" s="355">
        <f>J57</f>
        <v>19.063000000000002</v>
      </c>
      <c r="L57" s="39">
        <f t="shared" si="149"/>
        <v>18.382999999999999</v>
      </c>
      <c r="M57" s="40">
        <f t="shared" si="149"/>
        <v>18.234000000000002</v>
      </c>
      <c r="N57" s="40">
        <f t="shared" si="149"/>
        <v>19.986999999999998</v>
      </c>
      <c r="O57" s="41">
        <f t="shared" si="149"/>
        <v>23.565000000000001</v>
      </c>
      <c r="P57" s="355">
        <f>O57</f>
        <v>23.565000000000001</v>
      </c>
      <c r="Q57" s="39">
        <f t="shared" si="149"/>
        <v>23.501999999999999</v>
      </c>
      <c r="R57" s="40">
        <f t="shared" si="149"/>
        <v>28.422000000000001</v>
      </c>
      <c r="S57" s="40">
        <f t="shared" si="149"/>
        <v>35.246000000000002</v>
      </c>
      <c r="T57" s="41">
        <f t="shared" si="149"/>
        <v>43.423999999999999</v>
      </c>
      <c r="U57" s="355">
        <f>T57</f>
        <v>43.423999999999999</v>
      </c>
      <c r="V57" s="39">
        <f t="shared" si="149"/>
        <v>38.951000000000001</v>
      </c>
      <c r="W57" s="40">
        <f t="shared" si="149"/>
        <v>40.33</v>
      </c>
      <c r="X57" s="40">
        <f t="shared" si="149"/>
        <v>46.076999999999998</v>
      </c>
      <c r="Y57" s="41">
        <f t="shared" si="149"/>
        <v>46.191000000000003</v>
      </c>
      <c r="Z57" s="355">
        <f>Y57</f>
        <v>46.191000000000003</v>
      </c>
      <c r="AA57" s="39">
        <f t="shared" si="149"/>
        <v>47.367999999999995</v>
      </c>
      <c r="AB57" s="40">
        <f t="shared" si="149"/>
        <v>57.699000000000005</v>
      </c>
      <c r="AC57" s="40">
        <f t="shared" si="149"/>
        <v>58.154000000000003</v>
      </c>
      <c r="AD57" s="40">
        <f t="shared" si="149"/>
        <v>65.992000000000004</v>
      </c>
      <c r="AE57" s="355">
        <f>AD57</f>
        <v>65.992000000000004</v>
      </c>
      <c r="AF57" s="40">
        <f t="shared" si="149"/>
        <v>62.061999999999998</v>
      </c>
      <c r="AG57" s="40">
        <f t="shared" si="149"/>
        <v>68.015000000000001</v>
      </c>
      <c r="AH57" s="40">
        <f t="shared" si="149"/>
        <v>77.024000000000001</v>
      </c>
      <c r="AI57" s="40">
        <f t="shared" si="149"/>
        <v>86.519000000000005</v>
      </c>
      <c r="AJ57" s="355">
        <f>AI57</f>
        <v>86.519000000000005</v>
      </c>
      <c r="AK57" s="40">
        <f t="shared" si="149"/>
        <v>85.137</v>
      </c>
      <c r="AL57" s="40">
        <f t="shared" si="149"/>
        <v>93.134</v>
      </c>
      <c r="AM57" s="40">
        <f t="shared" si="149"/>
        <v>112.733</v>
      </c>
      <c r="AN57" s="40">
        <f t="shared" si="149"/>
        <v>119.21600000000001</v>
      </c>
      <c r="AO57" s="355">
        <f>AN57</f>
        <v>119.21600000000001</v>
      </c>
      <c r="AP57" s="40">
        <f t="shared" si="149"/>
        <v>97.76100000000001</v>
      </c>
      <c r="AQ57" s="40">
        <f t="shared" si="149"/>
        <v>118.02</v>
      </c>
      <c r="AR57" s="40">
        <f t="shared" si="149"/>
        <v>130.089</v>
      </c>
      <c r="AS57" s="40">
        <f t="shared" si="149"/>
        <v>155.74800000000002</v>
      </c>
      <c r="AT57" s="355">
        <f>AS57</f>
        <v>155.74800000000002</v>
      </c>
      <c r="AU57" s="40">
        <f t="shared" si="149"/>
        <v>141.17599999999999</v>
      </c>
      <c r="AV57" s="40">
        <f t="shared" ref="AV57:CO57" si="150">AV49+AV55</f>
        <v>171.87300000000002</v>
      </c>
      <c r="AW57" s="40">
        <f t="shared" si="150"/>
        <v>215.95400000000001</v>
      </c>
      <c r="AX57" s="40">
        <f t="shared" si="150"/>
        <v>252.482</v>
      </c>
      <c r="AY57" s="355">
        <f>AX57</f>
        <v>252.482</v>
      </c>
      <c r="AZ57" s="40">
        <f t="shared" si="150"/>
        <v>247.36099999999999</v>
      </c>
      <c r="BA57" s="40">
        <f t="shared" si="150"/>
        <v>267.11100000000005</v>
      </c>
      <c r="BB57" s="40">
        <f t="shared" si="150"/>
        <v>295.50599999999997</v>
      </c>
      <c r="BC57" s="40">
        <f t="shared" si="150"/>
        <v>370.09599999999995</v>
      </c>
      <c r="BD57" s="355">
        <f>BC57</f>
        <v>370.09599999999995</v>
      </c>
      <c r="BE57" s="40">
        <f t="shared" si="150"/>
        <v>340.63099999999997</v>
      </c>
      <c r="BF57" s="40">
        <f t="shared" si="150"/>
        <v>355.40699999999998</v>
      </c>
      <c r="BG57" s="40">
        <f t="shared" si="150"/>
        <v>369.19899999999996</v>
      </c>
      <c r="BH57" s="40">
        <f t="shared" si="150"/>
        <v>408.98199999999997</v>
      </c>
      <c r="BI57" s="355">
        <f>BH57</f>
        <v>408.98199999999997</v>
      </c>
      <c r="BJ57" s="40">
        <f t="shared" si="150"/>
        <v>356.334</v>
      </c>
      <c r="BK57" s="40">
        <f t="shared" si="150"/>
        <v>405.59000000000003</v>
      </c>
      <c r="BL57" s="40">
        <f t="shared" si="150"/>
        <v>540.26400000000001</v>
      </c>
      <c r="BM57" s="40">
        <f t="shared" si="150"/>
        <v>685.0630000000001</v>
      </c>
      <c r="BN57" s="355">
        <f>BM57</f>
        <v>685.0630000000001</v>
      </c>
      <c r="BO57" s="40">
        <f t="shared" si="150"/>
        <v>623.37799999999993</v>
      </c>
      <c r="BP57" s="40">
        <f t="shared" si="150"/>
        <v>723.26699999999994</v>
      </c>
      <c r="BQ57" s="40">
        <f t="shared" si="150"/>
        <v>879.09500000000003</v>
      </c>
      <c r="BR57" s="40">
        <f t="shared" si="150"/>
        <v>998.64300000000014</v>
      </c>
      <c r="BS57" s="355">
        <f>BR57</f>
        <v>998.64300000000014</v>
      </c>
      <c r="BT57" s="40">
        <f t="shared" si="150"/>
        <v>873.68399999999997</v>
      </c>
      <c r="BU57" s="40">
        <f t="shared" si="150"/>
        <v>964.85300000000007</v>
      </c>
      <c r="BV57" s="40">
        <f t="shared" si="150"/>
        <v>1164.5930000000001</v>
      </c>
      <c r="BW57" s="40">
        <f t="shared" si="150"/>
        <v>1555.047</v>
      </c>
      <c r="BX57" s="355">
        <f>BW57</f>
        <v>1555.047</v>
      </c>
      <c r="BY57" s="40">
        <f t="shared" si="150"/>
        <v>1300.8760000000002</v>
      </c>
      <c r="BZ57" s="40">
        <f t="shared" si="150"/>
        <v>1561.886</v>
      </c>
      <c r="CA57" s="40">
        <f t="shared" si="150"/>
        <v>1534.6689999999999</v>
      </c>
      <c r="CB57" s="40">
        <f t="shared" si="150"/>
        <v>1667.1879999999999</v>
      </c>
      <c r="CC57" s="355">
        <f>CB57</f>
        <v>1667.1879999999999</v>
      </c>
      <c r="CD57" s="40">
        <f t="shared" si="150"/>
        <v>1493.3679999999999</v>
      </c>
      <c r="CE57" s="40">
        <f t="shared" si="150"/>
        <v>1688.5720000000001</v>
      </c>
      <c r="CF57" s="40">
        <f t="shared" si="150"/>
        <v>1968.873</v>
      </c>
      <c r="CG57" s="40">
        <f t="shared" si="150"/>
        <v>2073.123</v>
      </c>
      <c r="CH57" s="355">
        <f>CG57</f>
        <v>2073.123</v>
      </c>
      <c r="CI57" s="40">
        <f t="shared" si="150"/>
        <v>1656.3420000000001</v>
      </c>
      <c r="CJ57" s="40">
        <f t="shared" si="150"/>
        <v>1696.4650000000001</v>
      </c>
      <c r="CK57" s="40">
        <f t="shared" si="150"/>
        <v>1845.3329999999999</v>
      </c>
      <c r="CL57" s="40">
        <f t="shared" si="150"/>
        <v>3978.6979999999999</v>
      </c>
      <c r="CM57" s="355">
        <f>CL57</f>
        <v>3978.6979999999999</v>
      </c>
      <c r="CN57" s="40">
        <f t="shared" si="150"/>
        <v>3204.8999999999996</v>
      </c>
      <c r="CO57" s="40">
        <f t="shared" si="150"/>
        <v>3256.8</v>
      </c>
      <c r="CP57" s="40">
        <f t="shared" ref="CP57:DA57" si="151">CP49+CP55</f>
        <v>3440.5999999999995</v>
      </c>
      <c r="CQ57" s="40">
        <f t="shared" si="151"/>
        <v>3787.2999999999997</v>
      </c>
      <c r="CR57" s="355">
        <f>CQ57</f>
        <v>3787.2999999999997</v>
      </c>
      <c r="CS57" s="40">
        <f t="shared" si="151"/>
        <v>3123.5999999999995</v>
      </c>
      <c r="CT57" s="40">
        <f t="shared" si="151"/>
        <v>3277.2</v>
      </c>
      <c r="CU57" s="40">
        <f t="shared" si="151"/>
        <v>3424.3999999999996</v>
      </c>
      <c r="CV57" s="40">
        <f t="shared" si="151"/>
        <v>3534</v>
      </c>
      <c r="CW57" s="355">
        <f>CV57</f>
        <v>3534</v>
      </c>
      <c r="CX57" s="40">
        <f>CX49+CX55</f>
        <v>3646</v>
      </c>
      <c r="CY57" s="40">
        <f t="shared" si="151"/>
        <v>3455</v>
      </c>
      <c r="CZ57" s="40">
        <f t="shared" si="151"/>
        <v>3601</v>
      </c>
      <c r="DA57" s="40">
        <f t="shared" si="151"/>
        <v>4552</v>
      </c>
      <c r="DB57" s="355">
        <f>DA57</f>
        <v>4552</v>
      </c>
      <c r="DC57" s="40">
        <f t="shared" ref="DC57:DK57" si="152">DC49+DC55</f>
        <v>4404.2756195471484</v>
      </c>
      <c r="DD57" s="40">
        <f t="shared" si="152"/>
        <v>4121.8687549823953</v>
      </c>
      <c r="DE57" s="40">
        <f t="shared" si="152"/>
        <v>4378.7936454435276</v>
      </c>
      <c r="DF57" s="40">
        <f t="shared" si="152"/>
        <v>4494.5952952740954</v>
      </c>
      <c r="DG57" s="355">
        <f>DG49+DG55</f>
        <v>4494.5952952740954</v>
      </c>
      <c r="DH57" s="40">
        <f t="shared" si="152"/>
        <v>4427.887796722629</v>
      </c>
      <c r="DI57" s="40">
        <f t="shared" si="152"/>
        <v>4136.953628221303</v>
      </c>
      <c r="DJ57" s="40">
        <f t="shared" si="152"/>
        <v>4346.1839158023276</v>
      </c>
      <c r="DK57" s="40">
        <f t="shared" si="152"/>
        <v>4485.6794405954697</v>
      </c>
      <c r="DL57" s="355">
        <f>DL49+DL55</f>
        <v>4485.6794405954697</v>
      </c>
      <c r="DM57" s="40">
        <f t="shared" ref="DM57:DP57" si="153">DM49+DM55</f>
        <v>4505.7570178963488</v>
      </c>
      <c r="DN57" s="40">
        <f t="shared" si="153"/>
        <v>4187.3771603111618</v>
      </c>
      <c r="DO57" s="40">
        <f t="shared" si="153"/>
        <v>4342.3250639333419</v>
      </c>
      <c r="DP57" s="40">
        <f t="shared" si="153"/>
        <v>4490.9317024809689</v>
      </c>
      <c r="DQ57" s="355">
        <f>DQ49+DQ55</f>
        <v>4490.9317024809689</v>
      </c>
      <c r="DR57" s="27"/>
      <c r="DS57" s="260"/>
      <c r="DT57"/>
      <c r="DU57"/>
      <c r="DV57"/>
      <c r="DW57"/>
      <c r="DX57"/>
      <c r="DY57"/>
    </row>
    <row r="58" spans="2:129" s="177" customFormat="1" ht="11.25" customHeight="1">
      <c r="B58" s="31"/>
      <c r="C58" s="27"/>
      <c r="D58" s="27"/>
      <c r="E58" s="27"/>
      <c r="F58" s="27"/>
      <c r="G58" s="39"/>
      <c r="H58" s="40"/>
      <c r="I58" s="40"/>
      <c r="J58" s="41"/>
      <c r="K58" s="355"/>
      <c r="L58" s="39"/>
      <c r="M58" s="40"/>
      <c r="N58" s="40"/>
      <c r="O58" s="41"/>
      <c r="P58" s="355"/>
      <c r="Q58" s="39"/>
      <c r="R58" s="40"/>
      <c r="S58" s="40"/>
      <c r="T58" s="41"/>
      <c r="U58" s="355"/>
      <c r="V58" s="39"/>
      <c r="W58" s="40"/>
      <c r="X58" s="40"/>
      <c r="Y58" s="41"/>
      <c r="Z58" s="355"/>
      <c r="AA58" s="39"/>
      <c r="AB58" s="40"/>
      <c r="AC58" s="40"/>
      <c r="AD58" s="40"/>
      <c r="AE58" s="355"/>
      <c r="AF58" s="40"/>
      <c r="AG58" s="40"/>
      <c r="AH58" s="40"/>
      <c r="AI58" s="40"/>
      <c r="AJ58" s="355"/>
      <c r="AK58" s="40"/>
      <c r="AL58" s="40"/>
      <c r="AM58" s="40"/>
      <c r="AN58" s="40"/>
      <c r="AO58" s="355"/>
      <c r="AP58" s="40"/>
      <c r="AQ58" s="40"/>
      <c r="AR58" s="40"/>
      <c r="AS58" s="40"/>
      <c r="AT58" s="355"/>
      <c r="AU58" s="40"/>
      <c r="AV58" s="40"/>
      <c r="AW58" s="40"/>
      <c r="AX58" s="40"/>
      <c r="AY58" s="355"/>
      <c r="AZ58" s="40"/>
      <c r="BA58" s="40"/>
      <c r="BB58" s="40"/>
      <c r="BC58" s="40"/>
      <c r="BD58" s="355"/>
      <c r="BE58" s="40"/>
      <c r="BF58" s="40"/>
      <c r="BG58" s="40"/>
      <c r="BH58" s="40"/>
      <c r="BI58" s="355"/>
      <c r="BJ58" s="40"/>
      <c r="BK58" s="40"/>
      <c r="BL58" s="40"/>
      <c r="BM58" s="40"/>
      <c r="BN58" s="355"/>
      <c r="BO58" s="40"/>
      <c r="BP58" s="40"/>
      <c r="BQ58" s="40"/>
      <c r="BR58" s="40"/>
      <c r="BS58" s="355"/>
      <c r="BT58" s="40"/>
      <c r="BU58" s="40"/>
      <c r="BV58" s="40"/>
      <c r="BW58" s="40"/>
      <c r="BX58" s="355"/>
      <c r="BY58" s="40"/>
      <c r="BZ58" s="40"/>
      <c r="CA58" s="40"/>
      <c r="CB58" s="906"/>
      <c r="CC58" s="355"/>
      <c r="CD58" s="40"/>
      <c r="CE58" s="40"/>
      <c r="CF58" s="40"/>
      <c r="CG58" s="40"/>
      <c r="CH58" s="355"/>
      <c r="CI58" s="40"/>
      <c r="CJ58" s="40"/>
      <c r="CK58" s="40"/>
      <c r="CL58" s="40"/>
      <c r="CM58" s="355"/>
      <c r="CN58" s="40"/>
      <c r="CO58" s="40"/>
      <c r="CP58" s="40"/>
      <c r="CQ58" s="40"/>
      <c r="CR58" s="355"/>
      <c r="CS58" s="40"/>
      <c r="CT58" s="40"/>
      <c r="CU58" s="40"/>
      <c r="CV58" s="40"/>
      <c r="CW58" s="334"/>
      <c r="CX58" s="40"/>
      <c r="CY58" s="40"/>
      <c r="CZ58" s="40"/>
      <c r="DA58" s="40"/>
      <c r="DB58" s="334"/>
      <c r="DC58" s="40"/>
      <c r="DD58" s="40"/>
      <c r="DE58" s="40"/>
      <c r="DF58" s="40"/>
      <c r="DG58" s="334"/>
      <c r="DH58" s="40"/>
      <c r="DI58" s="40"/>
      <c r="DJ58" s="40"/>
      <c r="DK58" s="40"/>
      <c r="DL58" s="334"/>
      <c r="DM58" s="40"/>
      <c r="DN58" s="40"/>
      <c r="DO58" s="40"/>
      <c r="DP58" s="40"/>
      <c r="DQ58" s="334"/>
      <c r="DR58" s="27"/>
      <c r="DS58" s="260"/>
      <c r="DT58"/>
      <c r="DU58"/>
      <c r="DV58"/>
      <c r="DW58"/>
      <c r="DX58"/>
      <c r="DY58"/>
    </row>
    <row r="59" spans="2:129" s="177" customFormat="1" ht="11.25" customHeight="1">
      <c r="B59" s="31" t="s">
        <v>63</v>
      </c>
      <c r="C59" s="27"/>
      <c r="D59" s="27"/>
      <c r="E59" s="27"/>
      <c r="F59" s="27"/>
      <c r="G59" s="39"/>
      <c r="H59" s="40"/>
      <c r="I59" s="40"/>
      <c r="J59" s="41"/>
      <c r="K59" s="355"/>
      <c r="L59" s="39"/>
      <c r="M59" s="40"/>
      <c r="N59" s="40"/>
      <c r="O59" s="41"/>
      <c r="P59" s="355"/>
      <c r="Q59" s="39"/>
      <c r="R59" s="40"/>
      <c r="S59" s="40"/>
      <c r="T59" s="41"/>
      <c r="U59" s="355"/>
      <c r="V59" s="39"/>
      <c r="W59" s="40"/>
      <c r="X59" s="40"/>
      <c r="Y59" s="41"/>
      <c r="Z59" s="355"/>
      <c r="AA59" s="39"/>
      <c r="AB59" s="40"/>
      <c r="AC59" s="40"/>
      <c r="AD59" s="94"/>
      <c r="AE59" s="355"/>
      <c r="AF59" s="40"/>
      <c r="AG59" s="40"/>
      <c r="AH59" s="40"/>
      <c r="AI59" s="40"/>
      <c r="AJ59" s="355"/>
      <c r="AK59" s="40"/>
      <c r="AL59" s="40"/>
      <c r="AM59" s="40"/>
      <c r="AN59" s="40"/>
      <c r="AO59" s="355"/>
      <c r="AP59" s="40"/>
      <c r="AQ59" s="40"/>
      <c r="AR59" s="40"/>
      <c r="AS59" s="40"/>
      <c r="AT59" s="355"/>
      <c r="AU59" s="40"/>
      <c r="AV59" s="40"/>
      <c r="AW59" s="40"/>
      <c r="AX59" s="40"/>
      <c r="AY59" s="355"/>
      <c r="AZ59" s="40"/>
      <c r="BA59" s="40"/>
      <c r="BB59" s="40"/>
      <c r="BC59" s="40"/>
      <c r="BD59" s="355"/>
      <c r="BE59" s="40"/>
      <c r="BF59" s="40"/>
      <c r="BG59" s="40"/>
      <c r="BH59" s="40"/>
      <c r="BI59" s="355"/>
      <c r="BJ59" s="40"/>
      <c r="BK59" s="40"/>
      <c r="BL59" s="40"/>
      <c r="BM59" s="40"/>
      <c r="BN59" s="355"/>
      <c r="BO59" s="40"/>
      <c r="BP59" s="40"/>
      <c r="BQ59" s="40"/>
      <c r="BR59" s="40"/>
      <c r="BS59" s="355"/>
      <c r="BT59" s="40"/>
      <c r="BU59" s="40"/>
      <c r="BV59" s="40"/>
      <c r="BW59" s="40"/>
      <c r="BX59" s="355"/>
      <c r="BY59" s="40"/>
      <c r="BZ59" s="40"/>
      <c r="CA59" s="40"/>
      <c r="CB59" s="94"/>
      <c r="CC59" s="355"/>
      <c r="CD59" s="40"/>
      <c r="CE59" s="40"/>
      <c r="CF59" s="40"/>
      <c r="CG59" s="40"/>
      <c r="CH59" s="355"/>
      <c r="CI59" s="40"/>
      <c r="CJ59" s="40"/>
      <c r="CK59" s="40"/>
      <c r="CL59" s="40"/>
      <c r="CM59" s="355"/>
      <c r="CN59" s="40"/>
      <c r="CO59" s="40"/>
      <c r="CP59" s="40"/>
      <c r="CQ59" s="40"/>
      <c r="CR59" s="355"/>
      <c r="CS59" s="40"/>
      <c r="CT59" s="40"/>
      <c r="CU59" s="40"/>
      <c r="CV59" s="40"/>
      <c r="CW59" s="334"/>
      <c r="CX59" s="40"/>
      <c r="CY59" s="40"/>
      <c r="CZ59" s="40"/>
      <c r="DA59" s="40"/>
      <c r="DB59" s="334"/>
      <c r="DC59" s="40"/>
      <c r="DD59" s="40"/>
      <c r="DE59" s="40"/>
      <c r="DF59" s="40"/>
      <c r="DG59" s="334"/>
      <c r="DH59" s="40"/>
      <c r="DI59" s="40"/>
      <c r="DJ59" s="40"/>
      <c r="DK59" s="40"/>
      <c r="DL59" s="334"/>
      <c r="DM59" s="40"/>
      <c r="DN59" s="40"/>
      <c r="DO59" s="40"/>
      <c r="DP59" s="40"/>
      <c r="DQ59" s="334"/>
      <c r="DR59" s="27"/>
      <c r="DS59" s="260"/>
      <c r="DT59"/>
      <c r="DU59"/>
      <c r="DV59"/>
      <c r="DW59"/>
      <c r="DX59"/>
      <c r="DY59"/>
    </row>
    <row r="60" spans="2:129" s="132" customFormat="1" ht="11.25" customHeight="1">
      <c r="B60" s="32"/>
      <c r="C60" s="33" t="s">
        <v>64</v>
      </c>
      <c r="D60" s="33"/>
      <c r="E60" s="33"/>
      <c r="F60" s="33"/>
      <c r="G60" s="35"/>
      <c r="H60" s="61">
        <v>0</v>
      </c>
      <c r="I60" s="61">
        <v>0</v>
      </c>
      <c r="J60" s="63">
        <v>0</v>
      </c>
      <c r="K60" s="352">
        <f t="shared" ref="K60:K65" si="154">J60</f>
        <v>0</v>
      </c>
      <c r="L60" s="62">
        <v>0</v>
      </c>
      <c r="M60" s="61">
        <v>0</v>
      </c>
      <c r="N60" s="61">
        <v>0</v>
      </c>
      <c r="O60" s="63">
        <v>0</v>
      </c>
      <c r="P60" s="352">
        <f t="shared" ref="P60:P65" si="155">O60</f>
        <v>0</v>
      </c>
      <c r="Q60" s="62">
        <v>0</v>
      </c>
      <c r="R60" s="61">
        <v>0</v>
      </c>
      <c r="S60" s="61">
        <v>0</v>
      </c>
      <c r="T60" s="63">
        <v>0</v>
      </c>
      <c r="U60" s="352">
        <f t="shared" ref="U60:U65" si="156">T60</f>
        <v>0</v>
      </c>
      <c r="V60" s="62">
        <v>0</v>
      </c>
      <c r="W60" s="61">
        <v>0</v>
      </c>
      <c r="X60" s="61">
        <v>0</v>
      </c>
      <c r="Y60" s="63">
        <v>0</v>
      </c>
      <c r="Z60" s="352">
        <f t="shared" ref="Z60:Z65" si="157">Y60</f>
        <v>0</v>
      </c>
      <c r="AA60" s="62">
        <v>0</v>
      </c>
      <c r="AB60" s="61">
        <v>0</v>
      </c>
      <c r="AC60" s="61">
        <v>0</v>
      </c>
      <c r="AD60" s="61">
        <v>0</v>
      </c>
      <c r="AE60" s="352">
        <f t="shared" ref="AE60:AE65" si="158">AD60</f>
        <v>0</v>
      </c>
      <c r="AF60" s="61">
        <v>0</v>
      </c>
      <c r="AG60" s="61">
        <v>0</v>
      </c>
      <c r="AH60" s="61">
        <v>0</v>
      </c>
      <c r="AI60" s="61">
        <v>0</v>
      </c>
      <c r="AJ60" s="352">
        <f t="shared" ref="AJ60:AJ65" si="159">AI60</f>
        <v>0</v>
      </c>
      <c r="AK60" s="61">
        <v>0</v>
      </c>
      <c r="AL60" s="61">
        <v>0</v>
      </c>
      <c r="AM60" s="61">
        <v>0</v>
      </c>
      <c r="AN60" s="61">
        <v>0</v>
      </c>
      <c r="AO60" s="352">
        <f t="shared" ref="AO60:AO65" si="160">AN60</f>
        <v>0</v>
      </c>
      <c r="AP60" s="61">
        <v>0</v>
      </c>
      <c r="AQ60" s="61">
        <v>0</v>
      </c>
      <c r="AR60" s="61">
        <v>0</v>
      </c>
      <c r="AS60" s="61">
        <v>0</v>
      </c>
      <c r="AT60" s="352">
        <f t="shared" ref="AT60:AT65" si="161">AS60</f>
        <v>0</v>
      </c>
      <c r="AU60" s="61">
        <v>0</v>
      </c>
      <c r="AV60" s="61">
        <v>0</v>
      </c>
      <c r="AW60" s="61">
        <v>0</v>
      </c>
      <c r="AX60" s="61">
        <v>0</v>
      </c>
      <c r="AY60" s="352">
        <f t="shared" ref="AY60:AY65" si="162">AX60</f>
        <v>0</v>
      </c>
      <c r="AZ60" s="61">
        <v>0</v>
      </c>
      <c r="BA60" s="61">
        <v>0</v>
      </c>
      <c r="BB60" s="61">
        <v>0</v>
      </c>
      <c r="BC60" s="61">
        <v>0</v>
      </c>
      <c r="BD60" s="352">
        <f t="shared" ref="BD60:BD65" si="163">BC60</f>
        <v>0</v>
      </c>
      <c r="BE60" s="61">
        <v>0</v>
      </c>
      <c r="BF60" s="61">
        <v>0</v>
      </c>
      <c r="BG60" s="61">
        <v>0</v>
      </c>
      <c r="BH60" s="61">
        <v>0</v>
      </c>
      <c r="BI60" s="352">
        <f t="shared" ref="BI60:BI65" si="164">BH60</f>
        <v>0</v>
      </c>
      <c r="BJ60" s="61">
        <v>0</v>
      </c>
      <c r="BK60" s="61">
        <v>0</v>
      </c>
      <c r="BL60" s="61">
        <v>0</v>
      </c>
      <c r="BM60" s="61">
        <v>0</v>
      </c>
      <c r="BN60" s="352">
        <f t="shared" ref="BN60:BN65" si="165">BM60</f>
        <v>0</v>
      </c>
      <c r="BO60" s="61">
        <v>0</v>
      </c>
      <c r="BP60" s="61">
        <v>0</v>
      </c>
      <c r="BQ60" s="61">
        <v>0</v>
      </c>
      <c r="BR60" s="61">
        <v>0</v>
      </c>
      <c r="BS60" s="352">
        <f t="shared" ref="BS60:BS65" si="166">BR60</f>
        <v>0</v>
      </c>
      <c r="BT60" s="61">
        <v>0</v>
      </c>
      <c r="BU60" s="61">
        <v>0</v>
      </c>
      <c r="BV60" s="61">
        <v>0</v>
      </c>
      <c r="BW60" s="61">
        <v>0</v>
      </c>
      <c r="BX60" s="352">
        <f t="shared" ref="BX60:BX65" si="167">BW60</f>
        <v>0</v>
      </c>
      <c r="BY60" s="61">
        <v>0</v>
      </c>
      <c r="BZ60" s="61">
        <v>0</v>
      </c>
      <c r="CA60" s="61">
        <v>0</v>
      </c>
      <c r="CB60" s="61">
        <v>0</v>
      </c>
      <c r="CC60" s="352">
        <f t="shared" ref="CC60:CC65" si="168">CB60</f>
        <v>0</v>
      </c>
      <c r="CD60" s="61">
        <v>0</v>
      </c>
      <c r="CE60" s="251">
        <v>0</v>
      </c>
      <c r="CF60" s="251">
        <v>0</v>
      </c>
      <c r="CG60" s="442">
        <v>0</v>
      </c>
      <c r="CH60" s="352">
        <f t="shared" ref="CH60:CH65" si="169">CG60</f>
        <v>0</v>
      </c>
      <c r="CI60" s="442">
        <v>0</v>
      </c>
      <c r="CJ60" s="251">
        <f t="shared" ref="CJ60:CL61" si="170">CI60</f>
        <v>0</v>
      </c>
      <c r="CK60" s="251">
        <f t="shared" si="170"/>
        <v>0</v>
      </c>
      <c r="CL60" s="442">
        <f t="shared" si="170"/>
        <v>0</v>
      </c>
      <c r="CM60" s="352">
        <f t="shared" ref="CM60:CM65" si="171">CL60</f>
        <v>0</v>
      </c>
      <c r="CN60" s="442">
        <v>0</v>
      </c>
      <c r="CO60" s="251">
        <v>0</v>
      </c>
      <c r="CP60" s="251">
        <v>0</v>
      </c>
      <c r="CQ60" s="442">
        <v>0</v>
      </c>
      <c r="CR60" s="352">
        <f t="shared" ref="CR60:CR65" si="172">CQ60</f>
        <v>0</v>
      </c>
      <c r="CS60" s="442">
        <v>0</v>
      </c>
      <c r="CT60" s="251">
        <v>0</v>
      </c>
      <c r="CU60" s="251">
        <v>0</v>
      </c>
      <c r="CV60" s="251">
        <v>0</v>
      </c>
      <c r="CW60" s="352">
        <f t="shared" ref="CW60:CW65" si="173">CV60</f>
        <v>0</v>
      </c>
      <c r="CX60" s="1078">
        <v>0</v>
      </c>
      <c r="CY60" s="1098">
        <v>0</v>
      </c>
      <c r="CZ60" s="1103">
        <v>0</v>
      </c>
      <c r="DA60" s="1102">
        <v>0</v>
      </c>
      <c r="DB60" s="1038">
        <f>DA60</f>
        <v>0</v>
      </c>
      <c r="DC60" s="1102">
        <f>DA60</f>
        <v>0</v>
      </c>
      <c r="DD60" s="1102">
        <f t="shared" ref="DD60:DF61" si="174">DC60</f>
        <v>0</v>
      </c>
      <c r="DE60" s="1102">
        <f t="shared" si="174"/>
        <v>0</v>
      </c>
      <c r="DF60" s="1102">
        <f t="shared" si="174"/>
        <v>0</v>
      </c>
      <c r="DG60" s="1038">
        <f>DF60</f>
        <v>0</v>
      </c>
      <c r="DH60" s="1102">
        <f>DF60</f>
        <v>0</v>
      </c>
      <c r="DI60" s="1102">
        <f t="shared" ref="DI60:DK61" si="175">DH60</f>
        <v>0</v>
      </c>
      <c r="DJ60" s="1102">
        <f t="shared" si="175"/>
        <v>0</v>
      </c>
      <c r="DK60" s="1102">
        <f t="shared" si="175"/>
        <v>0</v>
      </c>
      <c r="DL60" s="1038">
        <f>DK60</f>
        <v>0</v>
      </c>
      <c r="DM60" s="1102">
        <f>DK60</f>
        <v>0</v>
      </c>
      <c r="DN60" s="1102">
        <f t="shared" ref="DN60:DN61" si="176">DM60</f>
        <v>0</v>
      </c>
      <c r="DO60" s="1102">
        <f t="shared" ref="DO60:DO61" si="177">DN60</f>
        <v>0</v>
      </c>
      <c r="DP60" s="1102">
        <f t="shared" ref="DP60:DP61" si="178">DO60</f>
        <v>0</v>
      </c>
      <c r="DQ60" s="1038">
        <f>DP60</f>
        <v>0</v>
      </c>
      <c r="DR60" s="33"/>
      <c r="DS60" s="260"/>
      <c r="DT60"/>
      <c r="DU60"/>
      <c r="DV60"/>
      <c r="DW60"/>
      <c r="DX60"/>
      <c r="DY60"/>
    </row>
    <row r="61" spans="2:129" s="132" customFormat="1" ht="11.25" customHeight="1">
      <c r="B61" s="32"/>
      <c r="C61" s="33" t="s">
        <v>65</v>
      </c>
      <c r="D61" s="33"/>
      <c r="E61" s="33"/>
      <c r="F61" s="33"/>
      <c r="G61" s="35"/>
      <c r="H61" s="61">
        <v>9.0999999999999998E-2</v>
      </c>
      <c r="I61" s="61">
        <v>0.09</v>
      </c>
      <c r="J61" s="63">
        <v>9.1999999999999998E-2</v>
      </c>
      <c r="K61" s="352">
        <f t="shared" si="154"/>
        <v>9.1999999999999998E-2</v>
      </c>
      <c r="L61" s="62">
        <v>9.1999999999999998E-2</v>
      </c>
      <c r="M61" s="61">
        <v>9.1999999999999998E-2</v>
      </c>
      <c r="N61" s="61">
        <v>9.1999999999999998E-2</v>
      </c>
      <c r="O61" s="63">
        <v>9.2999999999999999E-2</v>
      </c>
      <c r="P61" s="352">
        <f t="shared" si="155"/>
        <v>9.2999999999999999E-2</v>
      </c>
      <c r="Q61" s="62">
        <v>0.186</v>
      </c>
      <c r="R61" s="61">
        <v>0.186</v>
      </c>
      <c r="S61" s="61">
        <v>0.186</v>
      </c>
      <c r="T61" s="63">
        <v>0.186</v>
      </c>
      <c r="U61" s="352">
        <f t="shared" si="156"/>
        <v>0.186</v>
      </c>
      <c r="V61" s="62">
        <v>0.187</v>
      </c>
      <c r="W61" s="61">
        <v>0.191</v>
      </c>
      <c r="X61" s="61">
        <v>0.193</v>
      </c>
      <c r="Y61" s="63">
        <v>0.193</v>
      </c>
      <c r="Z61" s="352">
        <f t="shared" si="157"/>
        <v>0.193</v>
      </c>
      <c r="AA61" s="62">
        <v>0.19400000000000001</v>
      </c>
      <c r="AB61" s="61">
        <v>0.19700000000000001</v>
      </c>
      <c r="AC61" s="61">
        <v>0.2</v>
      </c>
      <c r="AD61" s="61">
        <v>0.20400000000000001</v>
      </c>
      <c r="AE61" s="352">
        <f t="shared" si="158"/>
        <v>0.20400000000000001</v>
      </c>
      <c r="AF61" s="61">
        <v>0.61499999999999999</v>
      </c>
      <c r="AG61" s="61">
        <v>0.623</v>
      </c>
      <c r="AH61" s="61">
        <v>0.63600000000000001</v>
      </c>
      <c r="AI61" s="61">
        <v>0.64300000000000002</v>
      </c>
      <c r="AJ61" s="352">
        <f t="shared" si="159"/>
        <v>0.64300000000000002</v>
      </c>
      <c r="AK61" s="61">
        <v>0.64600000000000002</v>
      </c>
      <c r="AL61" s="61">
        <v>1.3120000000000001</v>
      </c>
      <c r="AM61" s="61">
        <v>1.3260000000000001</v>
      </c>
      <c r="AN61" s="61">
        <v>1.3420000000000001</v>
      </c>
      <c r="AO61" s="352">
        <f t="shared" si="160"/>
        <v>1.3420000000000001</v>
      </c>
      <c r="AP61" s="61">
        <v>1.351</v>
      </c>
      <c r="AQ61" s="61">
        <v>1.365</v>
      </c>
      <c r="AR61" s="61">
        <v>1.3819999999999999</v>
      </c>
      <c r="AS61" s="61">
        <v>1.393</v>
      </c>
      <c r="AT61" s="352">
        <f t="shared" si="161"/>
        <v>1.393</v>
      </c>
      <c r="AU61" s="61">
        <v>1.403</v>
      </c>
      <c r="AV61" s="61">
        <v>1.409</v>
      </c>
      <c r="AW61" s="61">
        <v>1.4179999999999999</v>
      </c>
      <c r="AX61" s="61">
        <v>2.85</v>
      </c>
      <c r="AY61" s="352">
        <f t="shared" si="162"/>
        <v>2.85</v>
      </c>
      <c r="AZ61" s="61">
        <v>1.4370000000000001</v>
      </c>
      <c r="BA61" s="61">
        <v>1.446</v>
      </c>
      <c r="BB61" s="61">
        <v>2.903</v>
      </c>
      <c r="BC61" s="61">
        <v>2.88</v>
      </c>
      <c r="BD61" s="352">
        <f t="shared" si="163"/>
        <v>2.88</v>
      </c>
      <c r="BE61" s="61">
        <v>2.8879999999999999</v>
      </c>
      <c r="BF61" s="61">
        <v>2.9159999999999999</v>
      </c>
      <c r="BG61" s="61">
        <v>2.9119999999999999</v>
      </c>
      <c r="BH61" s="61">
        <v>2.9169999999999998</v>
      </c>
      <c r="BI61" s="352">
        <f t="shared" si="164"/>
        <v>2.9169999999999998</v>
      </c>
      <c r="BJ61" s="61">
        <v>2.92</v>
      </c>
      <c r="BK61" s="61">
        <v>2.931</v>
      </c>
      <c r="BL61" s="61">
        <v>2.9460000000000002</v>
      </c>
      <c r="BM61" s="61">
        <v>2.972</v>
      </c>
      <c r="BN61" s="352">
        <f t="shared" si="165"/>
        <v>2.972</v>
      </c>
      <c r="BO61" s="61">
        <v>2.9940000000000002</v>
      </c>
      <c r="BP61" s="61">
        <v>3.008</v>
      </c>
      <c r="BQ61" s="61">
        <v>3.0339999999999998</v>
      </c>
      <c r="BR61" s="61">
        <v>3.0390000000000001</v>
      </c>
      <c r="BS61" s="352">
        <f t="shared" si="166"/>
        <v>3.0390000000000001</v>
      </c>
      <c r="BT61" s="61">
        <v>3.0419999999999998</v>
      </c>
      <c r="BU61" s="61">
        <v>3.036</v>
      </c>
      <c r="BV61" s="61">
        <v>3.0209999999999999</v>
      </c>
      <c r="BW61" s="61">
        <v>3.0310000000000001</v>
      </c>
      <c r="BX61" s="352">
        <f t="shared" si="167"/>
        <v>3.0310000000000001</v>
      </c>
      <c r="BY61" s="61">
        <v>3.044</v>
      </c>
      <c r="BZ61" s="61">
        <v>2.9929999999999999</v>
      </c>
      <c r="CA61" s="61">
        <v>2.9990000000000001</v>
      </c>
      <c r="CB61" s="61">
        <v>3.0169999999999999</v>
      </c>
      <c r="CC61" s="352">
        <f t="shared" si="168"/>
        <v>3.0169999999999999</v>
      </c>
      <c r="CD61" s="61">
        <v>3.0169999999999999</v>
      </c>
      <c r="CE61" s="251">
        <v>3.0129999999999999</v>
      </c>
      <c r="CF61" s="251">
        <v>3.024</v>
      </c>
      <c r="CG61" s="442">
        <v>3.0390000000000001</v>
      </c>
      <c r="CH61" s="352">
        <f t="shared" si="169"/>
        <v>3.0390000000000001</v>
      </c>
      <c r="CI61" s="442">
        <v>3.0390000000000001</v>
      </c>
      <c r="CJ61" s="251">
        <v>6.0789999999999997</v>
      </c>
      <c r="CK61" s="251">
        <f t="shared" si="170"/>
        <v>6.0789999999999997</v>
      </c>
      <c r="CL61" s="442">
        <v>6.0940000000000003</v>
      </c>
      <c r="CM61" s="352">
        <f t="shared" si="171"/>
        <v>6.0940000000000003</v>
      </c>
      <c r="CN61" s="442">
        <f>CL61</f>
        <v>6.0940000000000003</v>
      </c>
      <c r="CO61" s="251">
        <v>6.1</v>
      </c>
      <c r="CP61" s="251">
        <v>6.1</v>
      </c>
      <c r="CQ61" s="442">
        <v>6.1</v>
      </c>
      <c r="CR61" s="352">
        <f t="shared" si="172"/>
        <v>6.1</v>
      </c>
      <c r="CS61" s="442">
        <v>6.1</v>
      </c>
      <c r="CT61" s="251">
        <v>6.1</v>
      </c>
      <c r="CU61" s="251">
        <v>6.1</v>
      </c>
      <c r="CV61" s="251">
        <v>6</v>
      </c>
      <c r="CW61" s="352">
        <f t="shared" si="173"/>
        <v>6</v>
      </c>
      <c r="CX61" s="1078">
        <v>6</v>
      </c>
      <c r="CY61" s="1098">
        <v>6</v>
      </c>
      <c r="CZ61" s="1103">
        <v>6</v>
      </c>
      <c r="DA61" s="1098">
        <v>6</v>
      </c>
      <c r="DB61" s="1038">
        <f>DA61</f>
        <v>6</v>
      </c>
      <c r="DC61" s="1102">
        <f>DA61</f>
        <v>6</v>
      </c>
      <c r="DD61" s="1102">
        <f t="shared" si="174"/>
        <v>6</v>
      </c>
      <c r="DE61" s="1102">
        <f t="shared" si="174"/>
        <v>6</v>
      </c>
      <c r="DF61" s="1102">
        <f t="shared" si="174"/>
        <v>6</v>
      </c>
      <c r="DG61" s="1038">
        <f>DF61</f>
        <v>6</v>
      </c>
      <c r="DH61" s="1102">
        <f>DF61</f>
        <v>6</v>
      </c>
      <c r="DI61" s="1102">
        <f t="shared" si="175"/>
        <v>6</v>
      </c>
      <c r="DJ61" s="1102">
        <f t="shared" si="175"/>
        <v>6</v>
      </c>
      <c r="DK61" s="1102">
        <f t="shared" si="175"/>
        <v>6</v>
      </c>
      <c r="DL61" s="1038">
        <f>DK61</f>
        <v>6</v>
      </c>
      <c r="DM61" s="1102">
        <f>DK61</f>
        <v>6</v>
      </c>
      <c r="DN61" s="1102">
        <f t="shared" si="176"/>
        <v>6</v>
      </c>
      <c r="DO61" s="1102">
        <f t="shared" si="177"/>
        <v>6</v>
      </c>
      <c r="DP61" s="1102">
        <f t="shared" si="178"/>
        <v>6</v>
      </c>
      <c r="DQ61" s="1038">
        <f>DP61</f>
        <v>6</v>
      </c>
      <c r="DR61" s="33"/>
      <c r="DS61" s="260"/>
      <c r="DT61"/>
      <c r="DU61"/>
      <c r="DV61"/>
      <c r="DW61"/>
      <c r="DX61"/>
      <c r="DY61"/>
    </row>
    <row r="62" spans="2:129" s="132" customFormat="1" ht="11.25" customHeight="1">
      <c r="B62" s="32"/>
      <c r="C62" s="33" t="s">
        <v>66</v>
      </c>
      <c r="D62" s="33"/>
      <c r="E62" s="33"/>
      <c r="F62" s="33"/>
      <c r="G62" s="35"/>
      <c r="H62" s="61">
        <v>24.3</v>
      </c>
      <c r="I62" s="61">
        <v>24.379000000000001</v>
      </c>
      <c r="J62" s="63">
        <v>24.565999999999999</v>
      </c>
      <c r="K62" s="352">
        <f t="shared" si="154"/>
        <v>24.565999999999999</v>
      </c>
      <c r="L62" s="62">
        <v>24.661999999999999</v>
      </c>
      <c r="M62" s="61">
        <v>24.788</v>
      </c>
      <c r="N62" s="61">
        <v>24.823</v>
      </c>
      <c r="O62" s="63">
        <v>26.173999999999999</v>
      </c>
      <c r="P62" s="352">
        <f t="shared" si="155"/>
        <v>26.173999999999999</v>
      </c>
      <c r="Q62" s="62">
        <v>26.462</v>
      </c>
      <c r="R62" s="61">
        <v>27.792000000000002</v>
      </c>
      <c r="S62" s="61">
        <v>28.533000000000001</v>
      </c>
      <c r="T62" s="63">
        <v>29.094000000000001</v>
      </c>
      <c r="U62" s="352">
        <f t="shared" si="156"/>
        <v>29.094000000000001</v>
      </c>
      <c r="V62" s="62">
        <v>30.373000000000001</v>
      </c>
      <c r="W62" s="61">
        <v>34.622999999999998</v>
      </c>
      <c r="X62" s="61">
        <v>38.006</v>
      </c>
      <c r="Y62" s="63">
        <v>39.710999999999999</v>
      </c>
      <c r="Z62" s="352">
        <f t="shared" si="157"/>
        <v>39.710999999999999</v>
      </c>
      <c r="AA62" s="62">
        <v>40.808</v>
      </c>
      <c r="AB62" s="61">
        <v>48.155999999999999</v>
      </c>
      <c r="AC62" s="61">
        <v>58.209000000000003</v>
      </c>
      <c r="AD62" s="61">
        <v>71.853999999999999</v>
      </c>
      <c r="AE62" s="352">
        <f t="shared" si="158"/>
        <v>71.853999999999999</v>
      </c>
      <c r="AF62" s="61">
        <v>75.424000000000007</v>
      </c>
      <c r="AG62" s="61">
        <v>85.540999999999997</v>
      </c>
      <c r="AH62" s="61">
        <v>102.848</v>
      </c>
      <c r="AI62" s="61">
        <v>118.45399999999999</v>
      </c>
      <c r="AJ62" s="352">
        <f t="shared" si="159"/>
        <v>118.45399999999999</v>
      </c>
      <c r="AK62" s="61">
        <v>127.28400000000001</v>
      </c>
      <c r="AL62" s="61">
        <v>149.37</v>
      </c>
      <c r="AM62" s="61">
        <v>167.99199999999999</v>
      </c>
      <c r="AN62" s="61">
        <v>191.322</v>
      </c>
      <c r="AO62" s="352">
        <f t="shared" si="160"/>
        <v>191.322</v>
      </c>
      <c r="AP62" s="61">
        <v>214.47300000000001</v>
      </c>
      <c r="AQ62" s="61">
        <v>240.05699999999999</v>
      </c>
      <c r="AR62" s="61">
        <v>276.80099999999999</v>
      </c>
      <c r="AS62" s="61">
        <v>293.149</v>
      </c>
      <c r="AT62" s="352">
        <f t="shared" si="161"/>
        <v>293.149</v>
      </c>
      <c r="AU62" s="61">
        <v>324.25900000000001</v>
      </c>
      <c r="AV62" s="61">
        <v>346.00599999999997</v>
      </c>
      <c r="AW62" s="61">
        <v>376.53399999999999</v>
      </c>
      <c r="AX62" s="61">
        <v>408.59399999999999</v>
      </c>
      <c r="AY62" s="352">
        <f t="shared" si="162"/>
        <v>408.59399999999999</v>
      </c>
      <c r="AZ62" s="61">
        <v>458.63299999999998</v>
      </c>
      <c r="BA62" s="61">
        <v>494.57100000000003</v>
      </c>
      <c r="BB62" s="61">
        <v>520.54600000000005</v>
      </c>
      <c r="BC62" s="61">
        <v>450.56700000000001</v>
      </c>
      <c r="BD62" s="352">
        <f t="shared" si="163"/>
        <v>450.56700000000001</v>
      </c>
      <c r="BE62" s="61">
        <v>480.64800000000002</v>
      </c>
      <c r="BF62" s="61">
        <v>532.23699999999997</v>
      </c>
      <c r="BG62" s="61">
        <v>523.529</v>
      </c>
      <c r="BH62" s="61">
        <v>541.73500000000001</v>
      </c>
      <c r="BI62" s="352">
        <f t="shared" si="164"/>
        <v>541.73500000000001</v>
      </c>
      <c r="BJ62" s="61">
        <v>551.25400000000002</v>
      </c>
      <c r="BK62" s="61">
        <v>572.08000000000004</v>
      </c>
      <c r="BL62" s="61">
        <v>605.54399999999998</v>
      </c>
      <c r="BM62" s="61">
        <v>664.56</v>
      </c>
      <c r="BN62" s="352">
        <f t="shared" si="165"/>
        <v>664.56</v>
      </c>
      <c r="BO62" s="61">
        <v>722.46400000000006</v>
      </c>
      <c r="BP62" s="61">
        <v>769.91600000000005</v>
      </c>
      <c r="BQ62" s="61">
        <v>845.69899999999996</v>
      </c>
      <c r="BR62" s="61">
        <v>846.88599999999997</v>
      </c>
      <c r="BS62" s="352">
        <f t="shared" si="166"/>
        <v>846.88599999999997</v>
      </c>
      <c r="BT62" s="61">
        <v>813.96199999999999</v>
      </c>
      <c r="BU62" s="61">
        <v>756.89599999999996</v>
      </c>
      <c r="BV62" s="61">
        <v>644.78300000000002</v>
      </c>
      <c r="BW62" s="61">
        <v>692.72299999999996</v>
      </c>
      <c r="BX62" s="352">
        <f t="shared" si="167"/>
        <v>692.72299999999996</v>
      </c>
      <c r="BY62" s="61">
        <v>731.35900000000004</v>
      </c>
      <c r="BZ62" s="61">
        <v>407.97199999999998</v>
      </c>
      <c r="CA62" s="61">
        <v>404.404</v>
      </c>
      <c r="CB62" s="61">
        <v>457.26</v>
      </c>
      <c r="CC62" s="352">
        <f t="shared" si="168"/>
        <v>457.26</v>
      </c>
      <c r="CD62" s="61">
        <v>508.05399999999997</v>
      </c>
      <c r="CE62" s="251">
        <v>426.92899999999997</v>
      </c>
      <c r="CF62" s="251">
        <v>482.30599999999998</v>
      </c>
      <c r="CG62" s="442">
        <v>546.64400000000001</v>
      </c>
      <c r="CH62" s="352">
        <f t="shared" si="169"/>
        <v>546.64400000000001</v>
      </c>
      <c r="CI62" s="442">
        <v>467.46100000000001</v>
      </c>
      <c r="CJ62" s="251">
        <v>513.05700000000002</v>
      </c>
      <c r="CK62" s="251">
        <f>CF!CK16+CF!CK36+CF!CK38+CF!CK39+CF!CK40+CF!CK42+CJ62</f>
        <v>535.928</v>
      </c>
      <c r="CL62" s="442">
        <v>555.55799999999999</v>
      </c>
      <c r="CM62" s="352">
        <f t="shared" si="171"/>
        <v>555.55799999999999</v>
      </c>
      <c r="CN62" s="442">
        <f>607.2-0.028</f>
        <v>607.17200000000003</v>
      </c>
      <c r="CO62" s="251">
        <v>520.6</v>
      </c>
      <c r="CP62" s="251">
        <v>432.4</v>
      </c>
      <c r="CQ62" s="442">
        <v>453</v>
      </c>
      <c r="CR62" s="352">
        <f t="shared" si="172"/>
        <v>453</v>
      </c>
      <c r="CS62" s="442">
        <v>301.39999999999998</v>
      </c>
      <c r="CT62" s="251">
        <v>333.7</v>
      </c>
      <c r="CU62" s="251">
        <v>279.2</v>
      </c>
      <c r="CV62" s="251">
        <v>358</v>
      </c>
      <c r="CW62" s="352">
        <f t="shared" si="173"/>
        <v>358</v>
      </c>
      <c r="CX62" s="1078">
        <v>59</v>
      </c>
      <c r="CY62" s="1098">
        <v>128</v>
      </c>
      <c r="CZ62" s="1103">
        <v>208</v>
      </c>
      <c r="DA62" s="1098">
        <v>49</v>
      </c>
      <c r="DB62" s="1038">
        <f>DA62</f>
        <v>49</v>
      </c>
      <c r="DC62" s="1102">
        <f>CF!DC16+CF!DC38+CF!DC39+CF!DC40+CF!DC42+DB62</f>
        <v>-215.39589010101298</v>
      </c>
      <c r="DD62" s="1102">
        <f>CF!DD16+CF!DD38+CF!DD39+CF!DD40+CF!DD42+DC62</f>
        <v>-477.41205735699504</v>
      </c>
      <c r="DE62" s="1102">
        <f>CF!DE16+CF!DE38+CF!DE39+CF!DE40+CF!DE42+DD62</f>
        <v>-737.75993172280528</v>
      </c>
      <c r="DF62" s="1102">
        <f>CF!DF16+CF!DF38+CF!DF39+CF!DF40+CF!DF42+DE62</f>
        <v>-996.78299060516792</v>
      </c>
      <c r="DG62" s="1038">
        <f>DF62</f>
        <v>-996.78299060516792</v>
      </c>
      <c r="DH62" s="1102">
        <f>CF!DH16+CF!DH38+CF!DH39+CF!DH40+CF!DH42+DG62</f>
        <v>-1330.1798936107662</v>
      </c>
      <c r="DI62" s="1102">
        <f>CF!DI16+CF!DI38+CF!DI39+CF!DI40+CF!DI42+DH62</f>
        <v>-1660.8724725504735</v>
      </c>
      <c r="DJ62" s="1102">
        <f>CF!DJ16+CF!DJ38+CF!DJ39+CF!DJ40+CF!DJ42+DI62</f>
        <v>-1989.6462477119105</v>
      </c>
      <c r="DK62" s="1102">
        <f>CF!DK16+CF!DK38+CF!DK39+CF!DK40+CF!DK42+DJ62</f>
        <v>-2316.953546465294</v>
      </c>
      <c r="DL62" s="1038">
        <f>DK62</f>
        <v>-2316.953546465294</v>
      </c>
      <c r="DM62" s="1102">
        <f>CF!DM16+CF!DM38+CF!DM39+CF!DM40+CF!DM42+DL62</f>
        <v>-2643.5734910874908</v>
      </c>
      <c r="DN62" s="1102">
        <f>CF!DN16+CF!DN38+CF!DN39+CF!DN40+CF!DN42+DM62</f>
        <v>-2967.5240517176835</v>
      </c>
      <c r="DO62" s="1102">
        <f>CF!DO16+CF!DO38+CF!DO39+CF!DO40+CF!DO42+DN62</f>
        <v>-3289.3906112748882</v>
      </c>
      <c r="DP62" s="1102">
        <f>CF!DP16+CF!DP38+CF!DP39+CF!DP40+CF!DP42+DO62</f>
        <v>-3609.8417290993889</v>
      </c>
      <c r="DQ62" s="1038">
        <f>DP62</f>
        <v>-3609.8417290993889</v>
      </c>
      <c r="DR62" s="33"/>
      <c r="DS62" s="260"/>
      <c r="DT62"/>
      <c r="DU62"/>
      <c r="DV62"/>
      <c r="DW62"/>
      <c r="DX62"/>
      <c r="DY62"/>
    </row>
    <row r="63" spans="2:129" s="132" customFormat="1" ht="11.25" customHeight="1">
      <c r="B63" s="32"/>
      <c r="C63" s="33" t="s">
        <v>67</v>
      </c>
      <c r="D63" s="33"/>
      <c r="E63" s="33"/>
      <c r="F63" s="33"/>
      <c r="G63" s="35"/>
      <c r="H63" s="61">
        <v>3.714</v>
      </c>
      <c r="I63" s="61">
        <v>5.4139999999999997</v>
      </c>
      <c r="J63" s="63">
        <v>7.9690000000000003</v>
      </c>
      <c r="K63" s="352">
        <f t="shared" si="154"/>
        <v>7.9690000000000003</v>
      </c>
      <c r="L63" s="62">
        <v>10.728</v>
      </c>
      <c r="M63" s="61">
        <v>13.282999999999999</v>
      </c>
      <c r="N63" s="61">
        <v>16.143000000000001</v>
      </c>
      <c r="O63" s="63">
        <v>19.202999999999999</v>
      </c>
      <c r="P63" s="352">
        <f t="shared" si="155"/>
        <v>19.202999999999999</v>
      </c>
      <c r="Q63" s="62">
        <v>22.664000000000001</v>
      </c>
      <c r="R63" s="61">
        <v>26.681999999999999</v>
      </c>
      <c r="S63" s="61">
        <v>31.466999999999999</v>
      </c>
      <c r="T63" s="63">
        <v>36.886000000000003</v>
      </c>
      <c r="U63" s="352">
        <f t="shared" si="156"/>
        <v>36.886000000000003</v>
      </c>
      <c r="V63" s="62">
        <v>42.45</v>
      </c>
      <c r="W63" s="61">
        <v>48.298000000000002</v>
      </c>
      <c r="X63" s="61">
        <v>54.405999999999999</v>
      </c>
      <c r="Y63" s="63">
        <v>59.045999999999999</v>
      </c>
      <c r="Z63" s="352">
        <f t="shared" si="157"/>
        <v>59.045999999999999</v>
      </c>
      <c r="AA63" s="62">
        <v>66.155000000000001</v>
      </c>
      <c r="AB63" s="61">
        <v>74.802000000000007</v>
      </c>
      <c r="AC63" s="61">
        <v>84.468999999999994</v>
      </c>
      <c r="AD63" s="61">
        <v>93.608000000000004</v>
      </c>
      <c r="AE63" s="352">
        <f t="shared" si="158"/>
        <v>93.608000000000004</v>
      </c>
      <c r="AF63" s="61">
        <v>103.786</v>
      </c>
      <c r="AG63" s="61">
        <v>117.288</v>
      </c>
      <c r="AH63" s="61">
        <v>133.24799999999999</v>
      </c>
      <c r="AI63" s="61">
        <v>150.97300000000001</v>
      </c>
      <c r="AJ63" s="352">
        <f t="shared" si="159"/>
        <v>150.97300000000001</v>
      </c>
      <c r="AK63" s="61">
        <v>170.761</v>
      </c>
      <c r="AL63" s="61">
        <v>194.56200000000001</v>
      </c>
      <c r="AM63" s="61">
        <v>220.614</v>
      </c>
      <c r="AN63" s="61">
        <v>251.21600000000001</v>
      </c>
      <c r="AO63" s="352">
        <f t="shared" si="160"/>
        <v>251.21600000000001</v>
      </c>
      <c r="AP63" s="61">
        <v>283.19400000000002</v>
      </c>
      <c r="AQ63" s="61">
        <v>319.226</v>
      </c>
      <c r="AR63" s="61">
        <v>359.80900000000003</v>
      </c>
      <c r="AS63" s="61">
        <v>417.48200000000003</v>
      </c>
      <c r="AT63" s="352">
        <f t="shared" si="161"/>
        <v>417.48200000000003</v>
      </c>
      <c r="AU63" s="61">
        <v>464.64600000000002</v>
      </c>
      <c r="AV63" s="61">
        <v>519.71699999999998</v>
      </c>
      <c r="AW63" s="61">
        <v>580.74400000000003</v>
      </c>
      <c r="AX63" s="61">
        <v>650.27700000000004</v>
      </c>
      <c r="AY63" s="352">
        <f t="shared" si="162"/>
        <v>650.27700000000004</v>
      </c>
      <c r="AZ63" s="61">
        <v>724.87300000000005</v>
      </c>
      <c r="BA63" s="61">
        <v>807.15</v>
      </c>
      <c r="BB63" s="61">
        <v>903.30399999999997</v>
      </c>
      <c r="BC63" s="61">
        <v>999.56</v>
      </c>
      <c r="BD63" s="352">
        <f t="shared" si="163"/>
        <v>999.56</v>
      </c>
      <c r="BE63" s="61">
        <v>1101.433</v>
      </c>
      <c r="BF63" s="61">
        <v>1205.289</v>
      </c>
      <c r="BG63" s="61">
        <v>1318.117</v>
      </c>
      <c r="BH63" s="61">
        <v>1430.405</v>
      </c>
      <c r="BI63" s="352">
        <f t="shared" si="164"/>
        <v>1430.405</v>
      </c>
      <c r="BJ63" s="61">
        <v>1543.5329999999999</v>
      </c>
      <c r="BK63" s="61">
        <v>1684.7919999999999</v>
      </c>
      <c r="BL63" s="61">
        <v>1821.364</v>
      </c>
      <c r="BM63" s="61">
        <v>1965.3679999999999</v>
      </c>
      <c r="BN63" s="352">
        <f t="shared" si="165"/>
        <v>1965.3679999999999</v>
      </c>
      <c r="BO63" s="61">
        <v>2116.8679999999999</v>
      </c>
      <c r="BP63" s="61">
        <v>2289.0430000000001</v>
      </c>
      <c r="BQ63" s="61">
        <v>2492.7420000000002</v>
      </c>
      <c r="BR63" s="61">
        <v>2698.9079999999999</v>
      </c>
      <c r="BS63" s="352">
        <f t="shared" si="166"/>
        <v>2698.9079999999999</v>
      </c>
      <c r="BT63" s="61">
        <v>2907.2350000000001</v>
      </c>
      <c r="BU63" s="61">
        <v>3115.28</v>
      </c>
      <c r="BV63" s="61">
        <v>3342.3989999999999</v>
      </c>
      <c r="BW63" s="61">
        <v>3582.5259999999998</v>
      </c>
      <c r="BX63" s="352">
        <f t="shared" si="167"/>
        <v>3582.5259999999998</v>
      </c>
      <c r="BY63" s="61">
        <v>3826.1770000000001</v>
      </c>
      <c r="BZ63" s="61">
        <v>4078.1090000000004</v>
      </c>
      <c r="CA63" s="61">
        <v>4355.01</v>
      </c>
      <c r="CB63" s="61">
        <v>4633.7889999999998</v>
      </c>
      <c r="CC63" s="352">
        <f t="shared" si="168"/>
        <v>4633.7889999999998</v>
      </c>
      <c r="CD63" s="61">
        <v>4917.9979999999996</v>
      </c>
      <c r="CE63" s="251">
        <v>5218.4080000000004</v>
      </c>
      <c r="CF63" s="251">
        <v>5538.0349999999999</v>
      </c>
      <c r="CG63" s="442">
        <v>5862.3670000000002</v>
      </c>
      <c r="CH63" s="352">
        <f t="shared" si="169"/>
        <v>5862.3670000000002</v>
      </c>
      <c r="CI63" s="442">
        <v>6211.2449999999999</v>
      </c>
      <c r="CJ63" s="251">
        <f>IS!CJ76+CI63</f>
        <v>6583.1529999999993</v>
      </c>
      <c r="CK63" s="251">
        <f>IS!CK76+CJ63</f>
        <v>6938.7769999999991</v>
      </c>
      <c r="CL63" s="442">
        <v>7301.634</v>
      </c>
      <c r="CM63" s="352">
        <f t="shared" si="171"/>
        <v>7301.634</v>
      </c>
      <c r="CN63" s="442">
        <f>IS!CN76+CL63</f>
        <v>7684.5340000000006</v>
      </c>
      <c r="CO63" s="251">
        <v>8104.6</v>
      </c>
      <c r="CP63" s="251">
        <v>8501.7999999999993</v>
      </c>
      <c r="CQ63" s="442">
        <v>8925.2000000000007</v>
      </c>
      <c r="CR63" s="352">
        <f t="shared" si="172"/>
        <v>8925.2000000000007</v>
      </c>
      <c r="CS63" s="442">
        <v>9366.4</v>
      </c>
      <c r="CT63" s="251">
        <v>9618.7999999999993</v>
      </c>
      <c r="CU63" s="251">
        <v>10063.200000000001</v>
      </c>
      <c r="CV63" s="251">
        <v>10478</v>
      </c>
      <c r="CW63" s="352">
        <f t="shared" si="173"/>
        <v>10478</v>
      </c>
      <c r="CX63" s="1078">
        <v>9935</v>
      </c>
      <c r="CY63" s="1098">
        <v>10316</v>
      </c>
      <c r="CZ63" s="1103">
        <v>10721</v>
      </c>
      <c r="DA63" s="1098">
        <v>10544</v>
      </c>
      <c r="DB63" s="1038">
        <f>DA63</f>
        <v>10544</v>
      </c>
      <c r="DC63" s="1102">
        <f>IS!DC76+DA63</f>
        <v>11105.569311061645</v>
      </c>
      <c r="DD63" s="1102">
        <f>IS!DD76+DC63</f>
        <v>11697.680043611361</v>
      </c>
      <c r="DE63" s="1102">
        <f>IS!DE76+DD63</f>
        <v>12310.417066316251</v>
      </c>
      <c r="DF63" s="1102">
        <f>IS!DF76+DE63</f>
        <v>12955.735682067614</v>
      </c>
      <c r="DG63" s="1038">
        <f>DF63</f>
        <v>12955.735682067614</v>
      </c>
      <c r="DH63" s="1102">
        <f>IS!DH76+DF63</f>
        <v>13604.244278767372</v>
      </c>
      <c r="DI63" s="1102">
        <f>IS!DI76+DH63</f>
        <v>14279.490967967233</v>
      </c>
      <c r="DJ63" s="1102">
        <f>IS!DJ76+DI63</f>
        <v>14971.296719661155</v>
      </c>
      <c r="DK63" s="1102">
        <f>IS!DK76+DJ63</f>
        <v>15675.963574699439</v>
      </c>
      <c r="DL63" s="1038">
        <f>DK63</f>
        <v>15675.963574699439</v>
      </c>
      <c r="DM63" s="1102">
        <f>IS!DM76+DK63</f>
        <v>16375.564295759155</v>
      </c>
      <c r="DN63" s="1102">
        <f>IS!DN76+DM63</f>
        <v>17103.744565211033</v>
      </c>
      <c r="DO63" s="1102">
        <f>IS!DO76+DN63</f>
        <v>17851.509220642562</v>
      </c>
      <c r="DP63" s="1102">
        <f>IS!DP76+DO63</f>
        <v>18611.847659263716</v>
      </c>
      <c r="DQ63" s="1038">
        <f>DP63</f>
        <v>18611.847659263716</v>
      </c>
      <c r="DR63" s="33"/>
      <c r="DS63" s="260"/>
      <c r="DT63"/>
      <c r="DU63"/>
      <c r="DV63"/>
      <c r="DW63"/>
      <c r="DX63"/>
      <c r="DY63"/>
    </row>
    <row r="64" spans="2:129" s="132" customFormat="1" ht="11.25" customHeight="1">
      <c r="B64" s="32"/>
      <c r="C64" s="33" t="s">
        <v>68</v>
      </c>
      <c r="D64" s="33"/>
      <c r="E64" s="33"/>
      <c r="F64" s="33"/>
      <c r="G64" s="35"/>
      <c r="H64" s="61">
        <v>0</v>
      </c>
      <c r="I64" s="61">
        <v>-2E-3</v>
      </c>
      <c r="J64" s="63">
        <v>-1.0999999999999999E-2</v>
      </c>
      <c r="K64" s="352">
        <f t="shared" si="154"/>
        <v>-1.0999999999999999E-2</v>
      </c>
      <c r="L64" s="62">
        <v>-1.6E-2</v>
      </c>
      <c r="M64" s="61">
        <v>-2.4E-2</v>
      </c>
      <c r="N64" s="61">
        <v>4.0000000000000001E-3</v>
      </c>
      <c r="O64" s="63">
        <v>-8.9999999999999993E-3</v>
      </c>
      <c r="P64" s="352">
        <f t="shared" si="155"/>
        <v>-8.9999999999999993E-3</v>
      </c>
      <c r="Q64" s="62">
        <v>-5.0000000000000001E-3</v>
      </c>
      <c r="R64" s="61">
        <v>-3.4000000000000002E-2</v>
      </c>
      <c r="S64" s="61">
        <v>-5.3999999999999999E-2</v>
      </c>
      <c r="T64" s="63">
        <v>-0.05</v>
      </c>
      <c r="U64" s="352">
        <f t="shared" si="156"/>
        <v>-0.05</v>
      </c>
      <c r="V64" s="62">
        <v>-0.16600000000000001</v>
      </c>
      <c r="W64" s="61">
        <v>-0.159</v>
      </c>
      <c r="X64" s="61">
        <v>-0.109</v>
      </c>
      <c r="Y64" s="63">
        <v>-0.158</v>
      </c>
      <c r="Z64" s="352">
        <f t="shared" si="157"/>
        <v>-0.158</v>
      </c>
      <c r="AA64" s="62">
        <v>-0.20399999999999999</v>
      </c>
      <c r="AB64" s="61">
        <v>-6.2E-2</v>
      </c>
      <c r="AC64" s="61">
        <v>-0.25600000000000001</v>
      </c>
      <c r="AD64" s="61">
        <v>-0.185</v>
      </c>
      <c r="AE64" s="352">
        <f t="shared" si="158"/>
        <v>-0.185</v>
      </c>
      <c r="AF64" s="61">
        <v>-0.19500000000000001</v>
      </c>
      <c r="AG64" s="61">
        <v>-5.5E-2</v>
      </c>
      <c r="AH64" s="61">
        <v>0.23699999999999999</v>
      </c>
      <c r="AI64" s="61">
        <v>4</v>
      </c>
      <c r="AJ64" s="352">
        <f t="shared" si="159"/>
        <v>4</v>
      </c>
      <c r="AK64" s="61">
        <v>5.5220000000000002</v>
      </c>
      <c r="AL64" s="61">
        <v>4.3049999999999997</v>
      </c>
      <c r="AM64" s="61">
        <v>4.1769999999999996</v>
      </c>
      <c r="AN64" s="61">
        <v>9.6489999999999991</v>
      </c>
      <c r="AO64" s="352">
        <f t="shared" si="160"/>
        <v>9.6489999999999991</v>
      </c>
      <c r="AP64" s="61">
        <v>8.0679999999999996</v>
      </c>
      <c r="AQ64" s="61">
        <v>4.54</v>
      </c>
      <c r="AR64" s="61">
        <v>3.6549999999999998</v>
      </c>
      <c r="AS64" s="61">
        <v>2.121</v>
      </c>
      <c r="AT64" s="352">
        <f t="shared" si="161"/>
        <v>2.121</v>
      </c>
      <c r="AU64" s="61">
        <v>2.843</v>
      </c>
      <c r="AV64" s="61">
        <v>7.0609999999999999</v>
      </c>
      <c r="AW64" s="61">
        <v>7.8620000000000001</v>
      </c>
      <c r="AX64" s="61">
        <v>11.778</v>
      </c>
      <c r="AY64" s="352">
        <f t="shared" si="162"/>
        <v>11.778</v>
      </c>
      <c r="AZ64" s="61">
        <v>12.385999999999999</v>
      </c>
      <c r="BA64" s="61">
        <v>14.076000000000001</v>
      </c>
      <c r="BB64" s="61">
        <v>16.754000000000001</v>
      </c>
      <c r="BC64" s="61">
        <v>15.202999999999999</v>
      </c>
      <c r="BD64" s="352">
        <f t="shared" si="163"/>
        <v>15.202999999999999</v>
      </c>
      <c r="BE64" s="61">
        <v>16.056999999999999</v>
      </c>
      <c r="BF64" s="61">
        <v>13.932</v>
      </c>
      <c r="BG64" s="61">
        <v>-1.5289999999999999</v>
      </c>
      <c r="BH64" s="61">
        <v>-9.4789999999999992</v>
      </c>
      <c r="BI64" s="352">
        <f t="shared" si="164"/>
        <v>-9.4789999999999992</v>
      </c>
      <c r="BJ64" s="61">
        <v>-24.995999999999999</v>
      </c>
      <c r="BK64" s="61">
        <v>7.8940000000000001</v>
      </c>
      <c r="BL64" s="61">
        <v>6.3639999999999999</v>
      </c>
      <c r="BM64" s="61">
        <v>20.277000000000001</v>
      </c>
      <c r="BN64" s="352">
        <f t="shared" si="165"/>
        <v>20.277000000000001</v>
      </c>
      <c r="BO64" s="61">
        <v>44.042999999999999</v>
      </c>
      <c r="BP64" s="61">
        <v>-21.08</v>
      </c>
      <c r="BQ64" s="61">
        <v>25.709</v>
      </c>
      <c r="BR64" s="61">
        <v>35.597999999999999</v>
      </c>
      <c r="BS64" s="352">
        <f t="shared" si="166"/>
        <v>35.597999999999999</v>
      </c>
      <c r="BT64" s="61">
        <v>39.950000000000003</v>
      </c>
      <c r="BU64" s="61">
        <v>76.637</v>
      </c>
      <c r="BV64" s="61">
        <v>-50.680999999999997</v>
      </c>
      <c r="BW64" s="61">
        <v>-325.39400000000001</v>
      </c>
      <c r="BX64" s="352">
        <f t="shared" si="167"/>
        <v>-325.39400000000001</v>
      </c>
      <c r="BY64" s="61">
        <v>-193.33099999999999</v>
      </c>
      <c r="BZ64" s="61">
        <v>-396.74099999999999</v>
      </c>
      <c r="CA64" s="61">
        <v>-190.04300000000001</v>
      </c>
      <c r="CB64" s="61">
        <v>-239.68299999999999</v>
      </c>
      <c r="CC64" s="352">
        <f t="shared" si="168"/>
        <v>-239.68299999999999</v>
      </c>
      <c r="CD64" s="61">
        <v>-213.13499999999931</v>
      </c>
      <c r="CE64" s="251">
        <v>-324.60199999999998</v>
      </c>
      <c r="CF64" s="251">
        <v>-375.089</v>
      </c>
      <c r="CG64" s="442">
        <v>-276.25900000000001</v>
      </c>
      <c r="CH64" s="352">
        <f t="shared" si="169"/>
        <v>-276.25900000000001</v>
      </c>
      <c r="CI64" s="442">
        <v>-58.787999999999556</v>
      </c>
      <c r="CJ64" s="251">
        <v>-111.46</v>
      </c>
      <c r="CK64" s="251">
        <f>+CK65-CK63-CK62-CK61</f>
        <v>-99.073999999999089</v>
      </c>
      <c r="CL64" s="442">
        <v>-123.068</v>
      </c>
      <c r="CM64" s="352">
        <f t="shared" si="171"/>
        <v>-123.068</v>
      </c>
      <c r="CN64" s="442">
        <v>-119.3</v>
      </c>
      <c r="CO64" s="251">
        <v>-90.5</v>
      </c>
      <c r="CP64" s="251">
        <v>-113.3</v>
      </c>
      <c r="CQ64" s="442">
        <v>-106.2</v>
      </c>
      <c r="CR64" s="352">
        <f t="shared" si="172"/>
        <v>-106.2</v>
      </c>
      <c r="CS64" s="442">
        <v>-61.6</v>
      </c>
      <c r="CT64" s="251">
        <v>-95.7</v>
      </c>
      <c r="CU64" s="251">
        <v>-56.2</v>
      </c>
      <c r="CV64" s="251">
        <v>-114</v>
      </c>
      <c r="CW64" s="352">
        <f t="shared" si="173"/>
        <v>-114</v>
      </c>
      <c r="CX64" s="1078">
        <v>-17</v>
      </c>
      <c r="CY64" s="1098">
        <v>33</v>
      </c>
      <c r="CZ64" s="1103">
        <v>44</v>
      </c>
      <c r="DA64" s="1098">
        <v>70</v>
      </c>
      <c r="DB64" s="1038">
        <f>DA64</f>
        <v>70</v>
      </c>
      <c r="DC64" s="1102">
        <f>DA64</f>
        <v>70</v>
      </c>
      <c r="DD64" s="1102">
        <f t="shared" ref="DD64:DK64" si="179">DC64</f>
        <v>70</v>
      </c>
      <c r="DE64" s="1102">
        <f t="shared" si="179"/>
        <v>70</v>
      </c>
      <c r="DF64" s="1102">
        <f t="shared" si="179"/>
        <v>70</v>
      </c>
      <c r="DG64" s="1038">
        <f>DB64+CF!DG48</f>
        <v>70</v>
      </c>
      <c r="DH64" s="1102">
        <f>DF64</f>
        <v>70</v>
      </c>
      <c r="DI64" s="1102">
        <f t="shared" si="179"/>
        <v>70</v>
      </c>
      <c r="DJ64" s="1102">
        <f t="shared" si="179"/>
        <v>70</v>
      </c>
      <c r="DK64" s="1102">
        <f t="shared" si="179"/>
        <v>70</v>
      </c>
      <c r="DL64" s="1038">
        <f>DG64+CF!DL48</f>
        <v>70</v>
      </c>
      <c r="DM64" s="1102">
        <f>DK64</f>
        <v>70</v>
      </c>
      <c r="DN64" s="1102">
        <f t="shared" ref="DN64" si="180">DM64</f>
        <v>70</v>
      </c>
      <c r="DO64" s="1102">
        <f t="shared" ref="DO64" si="181">DN64</f>
        <v>70</v>
      </c>
      <c r="DP64" s="1102">
        <f t="shared" ref="DP64" si="182">DO64</f>
        <v>70</v>
      </c>
      <c r="DQ64" s="1038">
        <f>DL64+CF!DQ48</f>
        <v>70</v>
      </c>
      <c r="DR64" s="33"/>
      <c r="DS64" s="260"/>
      <c r="DT64"/>
      <c r="DU64"/>
      <c r="DV64"/>
      <c r="DW64"/>
      <c r="DX64"/>
      <c r="DY64"/>
    </row>
    <row r="65" spans="1:129" s="181" customFormat="1" ht="11.25" customHeight="1">
      <c r="B65" s="39" t="s">
        <v>69</v>
      </c>
      <c r="C65" s="40"/>
      <c r="D65" s="40"/>
      <c r="E65" s="40"/>
      <c r="F65" s="40"/>
      <c r="G65" s="39"/>
      <c r="H65" s="40">
        <f t="shared" ref="H65:AU65" si="183">SUM(H60:H64)</f>
        <v>28.105</v>
      </c>
      <c r="I65" s="40">
        <f t="shared" si="183"/>
        <v>29.881000000000004</v>
      </c>
      <c r="J65" s="41">
        <f t="shared" si="183"/>
        <v>32.615999999999993</v>
      </c>
      <c r="K65" s="355">
        <f t="shared" si="154"/>
        <v>32.615999999999993</v>
      </c>
      <c r="L65" s="39">
        <f t="shared" si="183"/>
        <v>35.466000000000001</v>
      </c>
      <c r="M65" s="40">
        <f t="shared" si="183"/>
        <v>38.138999999999996</v>
      </c>
      <c r="N65" s="40">
        <f t="shared" si="183"/>
        <v>41.061999999999998</v>
      </c>
      <c r="O65" s="41">
        <f t="shared" si="183"/>
        <v>45.460999999999999</v>
      </c>
      <c r="P65" s="355">
        <f t="shared" si="155"/>
        <v>45.460999999999999</v>
      </c>
      <c r="Q65" s="39">
        <f t="shared" si="183"/>
        <v>49.306999999999995</v>
      </c>
      <c r="R65" s="40">
        <f t="shared" si="183"/>
        <v>54.625999999999998</v>
      </c>
      <c r="S65" s="40">
        <f t="shared" si="183"/>
        <v>60.131999999999998</v>
      </c>
      <c r="T65" s="41">
        <f t="shared" si="183"/>
        <v>66.116</v>
      </c>
      <c r="U65" s="355">
        <f t="shared" si="156"/>
        <v>66.116</v>
      </c>
      <c r="V65" s="39">
        <f t="shared" si="183"/>
        <v>72.844000000000008</v>
      </c>
      <c r="W65" s="40">
        <f t="shared" si="183"/>
        <v>82.952999999999989</v>
      </c>
      <c r="X65" s="40">
        <f t="shared" si="183"/>
        <v>92.495999999999995</v>
      </c>
      <c r="Y65" s="41">
        <f t="shared" si="183"/>
        <v>98.791999999999987</v>
      </c>
      <c r="Z65" s="355">
        <f t="shared" si="157"/>
        <v>98.791999999999987</v>
      </c>
      <c r="AA65" s="39">
        <f t="shared" si="183"/>
        <v>106.95300000000002</v>
      </c>
      <c r="AB65" s="40">
        <f t="shared" si="183"/>
        <v>123.093</v>
      </c>
      <c r="AC65" s="40">
        <f t="shared" si="183"/>
        <v>142.62199999999999</v>
      </c>
      <c r="AD65" s="40">
        <f t="shared" si="183"/>
        <v>165.48099999999999</v>
      </c>
      <c r="AE65" s="355">
        <f t="shared" si="158"/>
        <v>165.48099999999999</v>
      </c>
      <c r="AF65" s="40">
        <f t="shared" si="183"/>
        <v>179.63</v>
      </c>
      <c r="AG65" s="40">
        <f t="shared" si="183"/>
        <v>203.39699999999999</v>
      </c>
      <c r="AH65" s="40">
        <f t="shared" si="183"/>
        <v>236.96899999999997</v>
      </c>
      <c r="AI65" s="40">
        <f t="shared" si="183"/>
        <v>274.07</v>
      </c>
      <c r="AJ65" s="355">
        <f t="shared" si="159"/>
        <v>274.07</v>
      </c>
      <c r="AK65" s="40">
        <f t="shared" si="183"/>
        <v>304.21300000000002</v>
      </c>
      <c r="AL65" s="40">
        <f t="shared" si="183"/>
        <v>349.54900000000004</v>
      </c>
      <c r="AM65" s="40">
        <f t="shared" si="183"/>
        <v>394.10900000000004</v>
      </c>
      <c r="AN65" s="40">
        <f t="shared" si="183"/>
        <v>453.529</v>
      </c>
      <c r="AO65" s="355">
        <f t="shared" si="160"/>
        <v>453.529</v>
      </c>
      <c r="AP65" s="40">
        <f t="shared" si="183"/>
        <v>507.08600000000001</v>
      </c>
      <c r="AQ65" s="40">
        <f t="shared" si="183"/>
        <v>565.18799999999999</v>
      </c>
      <c r="AR65" s="40">
        <f t="shared" si="183"/>
        <v>641.64699999999993</v>
      </c>
      <c r="AS65" s="40">
        <f t="shared" si="183"/>
        <v>714.14499999999998</v>
      </c>
      <c r="AT65" s="355">
        <f t="shared" si="161"/>
        <v>714.14499999999998</v>
      </c>
      <c r="AU65" s="40">
        <f t="shared" si="183"/>
        <v>793.15099999999995</v>
      </c>
      <c r="AV65" s="40">
        <f t="shared" ref="AV65:CJ65" si="184">SUM(AV60:AV64)</f>
        <v>874.19299999999998</v>
      </c>
      <c r="AW65" s="40">
        <f t="shared" si="184"/>
        <v>966.55799999999999</v>
      </c>
      <c r="AX65" s="40">
        <f t="shared" si="184"/>
        <v>1073.499</v>
      </c>
      <c r="AY65" s="355">
        <f t="shared" si="162"/>
        <v>1073.499</v>
      </c>
      <c r="AZ65" s="40">
        <f t="shared" si="184"/>
        <v>1197.329</v>
      </c>
      <c r="BA65" s="40">
        <f t="shared" si="184"/>
        <v>1317.2429999999999</v>
      </c>
      <c r="BB65" s="40">
        <f t="shared" si="184"/>
        <v>1443.5070000000001</v>
      </c>
      <c r="BC65" s="40">
        <f t="shared" si="184"/>
        <v>1468.21</v>
      </c>
      <c r="BD65" s="355">
        <f t="shared" si="163"/>
        <v>1468.21</v>
      </c>
      <c r="BE65" s="40">
        <f t="shared" si="184"/>
        <v>1601.0260000000001</v>
      </c>
      <c r="BF65" s="40">
        <f t="shared" si="184"/>
        <v>1754.374</v>
      </c>
      <c r="BG65" s="40">
        <f t="shared" si="184"/>
        <v>1843.029</v>
      </c>
      <c r="BH65" s="40">
        <f t="shared" si="184"/>
        <v>1965.578</v>
      </c>
      <c r="BI65" s="355">
        <f t="shared" si="164"/>
        <v>1965.578</v>
      </c>
      <c r="BJ65" s="40">
        <f t="shared" si="184"/>
        <v>2072.7109999999998</v>
      </c>
      <c r="BK65" s="40">
        <f t="shared" si="184"/>
        <v>2267.6969999999997</v>
      </c>
      <c r="BL65" s="40">
        <f t="shared" si="184"/>
        <v>2436.2180000000003</v>
      </c>
      <c r="BM65" s="40">
        <f t="shared" si="184"/>
        <v>2653.1769999999997</v>
      </c>
      <c r="BN65" s="355">
        <f t="shared" si="165"/>
        <v>2653.1769999999997</v>
      </c>
      <c r="BO65" s="40">
        <f t="shared" si="184"/>
        <v>2886.3690000000001</v>
      </c>
      <c r="BP65" s="40">
        <f t="shared" si="184"/>
        <v>3040.8870000000002</v>
      </c>
      <c r="BQ65" s="40">
        <f t="shared" si="184"/>
        <v>3367.1840000000002</v>
      </c>
      <c r="BR65" s="40">
        <f t="shared" si="184"/>
        <v>3584.4309999999996</v>
      </c>
      <c r="BS65" s="355">
        <f t="shared" si="166"/>
        <v>3584.4309999999996</v>
      </c>
      <c r="BT65" s="40">
        <f t="shared" si="184"/>
        <v>3764.1889999999999</v>
      </c>
      <c r="BU65" s="40">
        <f t="shared" si="184"/>
        <v>3951.8490000000002</v>
      </c>
      <c r="BV65" s="40">
        <f t="shared" si="184"/>
        <v>3939.5219999999999</v>
      </c>
      <c r="BW65" s="40">
        <f t="shared" si="184"/>
        <v>3952.8859999999995</v>
      </c>
      <c r="BX65" s="355">
        <f t="shared" si="167"/>
        <v>3952.8859999999995</v>
      </c>
      <c r="BY65" s="40">
        <f t="shared" si="184"/>
        <v>4367.2489999999998</v>
      </c>
      <c r="BZ65" s="40">
        <f t="shared" si="184"/>
        <v>4092.3330000000005</v>
      </c>
      <c r="CA65" s="40">
        <f t="shared" si="184"/>
        <v>4572.3700000000008</v>
      </c>
      <c r="CB65" s="40">
        <f t="shared" si="184"/>
        <v>4854.3829999999998</v>
      </c>
      <c r="CC65" s="355">
        <f t="shared" si="168"/>
        <v>4854.3829999999998</v>
      </c>
      <c r="CD65" s="40">
        <f t="shared" si="184"/>
        <v>5215.9340000000002</v>
      </c>
      <c r="CE65" s="40">
        <f t="shared" si="184"/>
        <v>5323.7480000000005</v>
      </c>
      <c r="CF65" s="40">
        <f t="shared" si="184"/>
        <v>5648.2759999999998</v>
      </c>
      <c r="CG65" s="40">
        <f>SUM(CG60:CG64)</f>
        <v>6135.7910000000002</v>
      </c>
      <c r="CH65" s="355">
        <f t="shared" si="169"/>
        <v>6135.7910000000002</v>
      </c>
      <c r="CI65" s="77">
        <f t="shared" si="184"/>
        <v>6622.9570000000003</v>
      </c>
      <c r="CJ65" s="40">
        <f t="shared" si="184"/>
        <v>6990.8289999999988</v>
      </c>
      <c r="CK65" s="40">
        <v>7381.71</v>
      </c>
      <c r="CL65" s="40">
        <v>7740.2179999999998</v>
      </c>
      <c r="CM65" s="355">
        <f t="shared" si="171"/>
        <v>7740.2179999999998</v>
      </c>
      <c r="CN65" s="77">
        <f t="shared" ref="CN65:DA65" si="185">SUM(CN60:CN64)</f>
        <v>8178.5000000000009</v>
      </c>
      <c r="CO65" s="40">
        <f t="shared" si="185"/>
        <v>8540.8000000000011</v>
      </c>
      <c r="CP65" s="40">
        <f t="shared" si="185"/>
        <v>8827</v>
      </c>
      <c r="CQ65" s="40">
        <f>SUM(CQ60:CQ64)</f>
        <v>9278.1</v>
      </c>
      <c r="CR65" s="355">
        <f t="shared" si="172"/>
        <v>9278.1</v>
      </c>
      <c r="CS65" s="77">
        <f t="shared" si="185"/>
        <v>9612.2999999999993</v>
      </c>
      <c r="CT65" s="40">
        <f t="shared" si="185"/>
        <v>9862.8999999999978</v>
      </c>
      <c r="CU65" s="40">
        <f t="shared" si="185"/>
        <v>10292.299999999999</v>
      </c>
      <c r="CV65" s="40">
        <f t="shared" si="185"/>
        <v>10728</v>
      </c>
      <c r="CW65" s="355">
        <f t="shared" si="173"/>
        <v>10728</v>
      </c>
      <c r="CX65" s="77">
        <f>SUM(CX60:CX64)</f>
        <v>9983</v>
      </c>
      <c r="CY65" s="40">
        <f t="shared" si="185"/>
        <v>10483</v>
      </c>
      <c r="CZ65" s="40">
        <f t="shared" si="185"/>
        <v>10979</v>
      </c>
      <c r="DA65" s="194">
        <f t="shared" si="185"/>
        <v>10669</v>
      </c>
      <c r="DB65" s="355">
        <f>SUM(DB60:DB64)</f>
        <v>10669</v>
      </c>
      <c r="DC65" s="40">
        <f t="shared" ref="DC65:DK65" si="186">SUM(DC60:DC64)</f>
        <v>10966.173420960631</v>
      </c>
      <c r="DD65" s="40">
        <f t="shared" si="186"/>
        <v>11296.267986254366</v>
      </c>
      <c r="DE65" s="40">
        <f t="shared" si="186"/>
        <v>11648.657134593446</v>
      </c>
      <c r="DF65" s="40">
        <f t="shared" si="186"/>
        <v>12034.952691462446</v>
      </c>
      <c r="DG65" s="355">
        <f>SUM(DG60:DG64)</f>
        <v>12034.952691462446</v>
      </c>
      <c r="DH65" s="40">
        <f t="shared" si="186"/>
        <v>12350.064385156606</v>
      </c>
      <c r="DI65" s="40">
        <f t="shared" si="186"/>
        <v>12694.618495416758</v>
      </c>
      <c r="DJ65" s="40">
        <f t="shared" si="186"/>
        <v>13057.650471949244</v>
      </c>
      <c r="DK65" s="40">
        <f t="shared" si="186"/>
        <v>13435.010028234145</v>
      </c>
      <c r="DL65" s="355">
        <f>SUM(DL60:DL64)</f>
        <v>13435.010028234145</v>
      </c>
      <c r="DM65" s="40">
        <f t="shared" ref="DM65:DP65" si="187">SUM(DM60:DM64)</f>
        <v>13807.990804671665</v>
      </c>
      <c r="DN65" s="40">
        <f t="shared" si="187"/>
        <v>14212.22051349335</v>
      </c>
      <c r="DO65" s="40">
        <f t="shared" si="187"/>
        <v>14638.118609367673</v>
      </c>
      <c r="DP65" s="40">
        <f t="shared" si="187"/>
        <v>15078.005930164327</v>
      </c>
      <c r="DQ65" s="355">
        <f>SUM(DQ60:DQ64)</f>
        <v>15078.005930164327</v>
      </c>
      <c r="DR65" s="40"/>
      <c r="DS65" s="260"/>
      <c r="DT65"/>
      <c r="DU65"/>
      <c r="DV65"/>
      <c r="DW65"/>
      <c r="DX65"/>
      <c r="DY65"/>
    </row>
    <row r="66" spans="1:129" s="177" customFormat="1" ht="11.25" customHeight="1">
      <c r="B66" s="31"/>
      <c r="C66" s="27"/>
      <c r="D66" s="27"/>
      <c r="E66" s="27"/>
      <c r="F66" s="27"/>
      <c r="G66" s="39"/>
      <c r="H66" s="40"/>
      <c r="I66" s="40"/>
      <c r="J66" s="41"/>
      <c r="K66" s="898"/>
      <c r="L66" s="39"/>
      <c r="M66" s="40"/>
      <c r="N66" s="40"/>
      <c r="O66" s="41"/>
      <c r="P66" s="898"/>
      <c r="Q66" s="39"/>
      <c r="R66" s="40"/>
      <c r="S66" s="40"/>
      <c r="T66" s="41"/>
      <c r="U66" s="898"/>
      <c r="V66" s="39"/>
      <c r="W66" s="40"/>
      <c r="X66" s="40"/>
      <c r="Y66" s="41"/>
      <c r="Z66" s="898"/>
      <c r="AA66" s="39"/>
      <c r="AB66" s="40"/>
      <c r="AC66" s="40"/>
      <c r="AD66" s="40"/>
      <c r="AE66" s="898"/>
      <c r="AF66" s="40"/>
      <c r="AG66" s="40"/>
      <c r="AH66" s="94"/>
      <c r="AI66" s="94"/>
      <c r="AJ66" s="898"/>
      <c r="AK66" s="40"/>
      <c r="AL66" s="40"/>
      <c r="AM66" s="40"/>
      <c r="AN66" s="40"/>
      <c r="AO66" s="898"/>
      <c r="AP66" s="40"/>
      <c r="AQ66" s="40"/>
      <c r="AR66" s="40"/>
      <c r="AS66" s="40"/>
      <c r="AT66" s="898"/>
      <c r="AU66" s="40"/>
      <c r="AV66" s="40"/>
      <c r="AW66" s="40"/>
      <c r="AX66" s="40"/>
      <c r="AY66" s="898"/>
      <c r="AZ66" s="40"/>
      <c r="BA66" s="40"/>
      <c r="BB66" s="40"/>
      <c r="BC66" s="40"/>
      <c r="BD66" s="898"/>
      <c r="BE66" s="40"/>
      <c r="BF66" s="40"/>
      <c r="BG66" s="40"/>
      <c r="BH66" s="40"/>
      <c r="BI66" s="898"/>
      <c r="BJ66" s="40"/>
      <c r="BK66" s="40"/>
      <c r="BL66" s="40"/>
      <c r="BM66" s="40"/>
      <c r="BN66" s="898"/>
      <c r="BO66" s="40"/>
      <c r="BP66" s="40"/>
      <c r="BQ66" s="40"/>
      <c r="BR66" s="40"/>
      <c r="BS66" s="898"/>
      <c r="BT66" s="40"/>
      <c r="BU66" s="40"/>
      <c r="BV66" s="40"/>
      <c r="BW66" s="40"/>
      <c r="BX66" s="898"/>
      <c r="BY66" s="40"/>
      <c r="BZ66" s="40"/>
      <c r="CA66" s="94"/>
      <c r="CB66" s="438"/>
      <c r="CC66" s="898"/>
      <c r="CD66" s="40"/>
      <c r="CE66" s="40"/>
      <c r="CF66" s="40"/>
      <c r="CG66" s="40"/>
      <c r="CH66" s="898"/>
      <c r="CI66" s="40"/>
      <c r="CJ66" s="40"/>
      <c r="CK66" s="40"/>
      <c r="CL66" s="40"/>
      <c r="CM66" s="898"/>
      <c r="CN66" s="40"/>
      <c r="CO66" s="194"/>
      <c r="CP66" s="194"/>
      <c r="CQ66" s="40"/>
      <c r="CR66" s="898"/>
      <c r="CS66" s="40"/>
      <c r="CT66" s="40"/>
      <c r="CU66" s="194"/>
      <c r="CV66" s="40"/>
      <c r="CW66" s="334"/>
      <c r="CX66" s="40"/>
      <c r="CY66" s="40"/>
      <c r="CZ66" s="40"/>
      <c r="DA66" s="40"/>
      <c r="DB66" s="334"/>
      <c r="DC66" s="40"/>
      <c r="DD66" s="40"/>
      <c r="DE66" s="40"/>
      <c r="DF66" s="40"/>
      <c r="DG66" s="334"/>
      <c r="DH66" s="40"/>
      <c r="DI66" s="40"/>
      <c r="DJ66" s="40"/>
      <c r="DK66" s="40"/>
      <c r="DL66" s="334"/>
      <c r="DM66" s="40"/>
      <c r="DN66" s="40"/>
      <c r="DO66" s="40"/>
      <c r="DP66" s="40"/>
      <c r="DQ66" s="334"/>
      <c r="DR66" s="27"/>
      <c r="DS66" s="260"/>
      <c r="DT66"/>
      <c r="DU66"/>
      <c r="DV66"/>
      <c r="DW66"/>
      <c r="DX66"/>
      <c r="DY66"/>
    </row>
    <row r="67" spans="1:129" s="181" customFormat="1" ht="11.25" customHeight="1">
      <c r="B67" s="39" t="s">
        <v>70</v>
      </c>
      <c r="C67" s="40"/>
      <c r="D67" s="40"/>
      <c r="E67" s="40"/>
      <c r="F67" s="40"/>
      <c r="G67" s="39"/>
      <c r="H67" s="40">
        <f t="shared" ref="H67:AU67" si="188">H57+H65</f>
        <v>40.057000000000002</v>
      </c>
      <c r="I67" s="40">
        <f t="shared" si="188"/>
        <v>44.696000000000005</v>
      </c>
      <c r="J67" s="41">
        <f t="shared" si="188"/>
        <v>51.678999999999995</v>
      </c>
      <c r="K67" s="355">
        <f>J67</f>
        <v>51.678999999999995</v>
      </c>
      <c r="L67" s="39">
        <f t="shared" si="188"/>
        <v>53.849000000000004</v>
      </c>
      <c r="M67" s="40">
        <f t="shared" si="188"/>
        <v>56.372999999999998</v>
      </c>
      <c r="N67" s="40">
        <f t="shared" si="188"/>
        <v>61.048999999999992</v>
      </c>
      <c r="O67" s="41">
        <f t="shared" si="188"/>
        <v>69.025999999999996</v>
      </c>
      <c r="P67" s="355">
        <f>O67</f>
        <v>69.025999999999996</v>
      </c>
      <c r="Q67" s="39">
        <f t="shared" si="188"/>
        <v>72.808999999999997</v>
      </c>
      <c r="R67" s="40">
        <f t="shared" si="188"/>
        <v>83.048000000000002</v>
      </c>
      <c r="S67" s="40">
        <f t="shared" si="188"/>
        <v>95.378</v>
      </c>
      <c r="T67" s="41">
        <f t="shared" si="188"/>
        <v>109.53999999999999</v>
      </c>
      <c r="U67" s="355">
        <f>T67</f>
        <v>109.53999999999999</v>
      </c>
      <c r="V67" s="39">
        <f t="shared" si="188"/>
        <v>111.79500000000002</v>
      </c>
      <c r="W67" s="40">
        <f t="shared" si="188"/>
        <v>123.28299999999999</v>
      </c>
      <c r="X67" s="40">
        <f t="shared" si="188"/>
        <v>138.57299999999998</v>
      </c>
      <c r="Y67" s="41">
        <f t="shared" si="188"/>
        <v>144.983</v>
      </c>
      <c r="Z67" s="355">
        <f>Y67</f>
        <v>144.983</v>
      </c>
      <c r="AA67" s="39">
        <f t="shared" si="188"/>
        <v>154.32100000000003</v>
      </c>
      <c r="AB67" s="40">
        <f t="shared" si="188"/>
        <v>180.792</v>
      </c>
      <c r="AC67" s="40">
        <f t="shared" si="188"/>
        <v>200.77599999999998</v>
      </c>
      <c r="AD67" s="40">
        <f t="shared" si="188"/>
        <v>231.47300000000001</v>
      </c>
      <c r="AE67" s="355">
        <f>AD67</f>
        <v>231.47300000000001</v>
      </c>
      <c r="AF67" s="40">
        <f t="shared" si="188"/>
        <v>241.69200000000001</v>
      </c>
      <c r="AG67" s="40">
        <f t="shared" si="188"/>
        <v>271.41199999999998</v>
      </c>
      <c r="AH67" s="40">
        <f t="shared" si="188"/>
        <v>313.99299999999994</v>
      </c>
      <c r="AI67" s="40">
        <f t="shared" si="188"/>
        <v>360.589</v>
      </c>
      <c r="AJ67" s="355">
        <f>AI67</f>
        <v>360.589</v>
      </c>
      <c r="AK67" s="40">
        <f t="shared" si="188"/>
        <v>389.35</v>
      </c>
      <c r="AL67" s="40">
        <f t="shared" si="188"/>
        <v>442.68300000000005</v>
      </c>
      <c r="AM67" s="40">
        <f t="shared" si="188"/>
        <v>506.84200000000004</v>
      </c>
      <c r="AN67" s="40">
        <f t="shared" si="188"/>
        <v>572.745</v>
      </c>
      <c r="AO67" s="355">
        <f>AN67</f>
        <v>572.745</v>
      </c>
      <c r="AP67" s="40">
        <f t="shared" si="188"/>
        <v>604.84699999999998</v>
      </c>
      <c r="AQ67" s="40">
        <f t="shared" si="188"/>
        <v>683.20799999999997</v>
      </c>
      <c r="AR67" s="40">
        <f t="shared" si="188"/>
        <v>771.73599999999988</v>
      </c>
      <c r="AS67" s="40">
        <f t="shared" si="188"/>
        <v>869.89300000000003</v>
      </c>
      <c r="AT67" s="355">
        <f>AS67</f>
        <v>869.89300000000003</v>
      </c>
      <c r="AU67" s="40">
        <f t="shared" si="188"/>
        <v>934.327</v>
      </c>
      <c r="AV67" s="40">
        <f t="shared" ref="AV67:CL67" si="189">AV57+AV65</f>
        <v>1046.066</v>
      </c>
      <c r="AW67" s="40">
        <f t="shared" si="189"/>
        <v>1182.5119999999999</v>
      </c>
      <c r="AX67" s="40">
        <f t="shared" si="189"/>
        <v>1325.981</v>
      </c>
      <c r="AY67" s="355">
        <f>AX67</f>
        <v>1325.981</v>
      </c>
      <c r="AZ67" s="40">
        <f t="shared" si="189"/>
        <v>1444.69</v>
      </c>
      <c r="BA67" s="40">
        <f t="shared" si="189"/>
        <v>1584.354</v>
      </c>
      <c r="BB67" s="40">
        <f t="shared" si="189"/>
        <v>1739.0129999999999</v>
      </c>
      <c r="BC67" s="40">
        <f t="shared" si="189"/>
        <v>1838.306</v>
      </c>
      <c r="BD67" s="355">
        <f>BC67</f>
        <v>1838.306</v>
      </c>
      <c r="BE67" s="40">
        <f t="shared" si="189"/>
        <v>1941.6570000000002</v>
      </c>
      <c r="BF67" s="40">
        <f t="shared" si="189"/>
        <v>2109.7809999999999</v>
      </c>
      <c r="BG67" s="40">
        <f t="shared" si="189"/>
        <v>2212.2280000000001</v>
      </c>
      <c r="BH67" s="40">
        <f t="shared" si="189"/>
        <v>2374.56</v>
      </c>
      <c r="BI67" s="355">
        <f>BH67</f>
        <v>2374.56</v>
      </c>
      <c r="BJ67" s="40">
        <f t="shared" si="189"/>
        <v>2429.0449999999996</v>
      </c>
      <c r="BK67" s="40">
        <f t="shared" si="189"/>
        <v>2673.2869999999998</v>
      </c>
      <c r="BL67" s="40">
        <f t="shared" si="189"/>
        <v>2976.4820000000004</v>
      </c>
      <c r="BM67" s="40">
        <f t="shared" si="189"/>
        <v>3338.24</v>
      </c>
      <c r="BN67" s="355">
        <f>BM67</f>
        <v>3338.24</v>
      </c>
      <c r="BO67" s="40">
        <f t="shared" si="189"/>
        <v>3509.7470000000003</v>
      </c>
      <c r="BP67" s="40">
        <f t="shared" si="189"/>
        <v>3764.154</v>
      </c>
      <c r="BQ67" s="40">
        <f t="shared" si="189"/>
        <v>4246.2790000000005</v>
      </c>
      <c r="BR67" s="40">
        <f t="shared" si="189"/>
        <v>4583.0739999999996</v>
      </c>
      <c r="BS67" s="355">
        <f>BR67</f>
        <v>4583.0739999999996</v>
      </c>
      <c r="BT67" s="40">
        <f t="shared" si="189"/>
        <v>4637.8729999999996</v>
      </c>
      <c r="BU67" s="40">
        <f t="shared" si="189"/>
        <v>4916.7020000000002</v>
      </c>
      <c r="BV67" s="40">
        <f t="shared" si="189"/>
        <v>5104.1149999999998</v>
      </c>
      <c r="BW67" s="40">
        <f t="shared" si="189"/>
        <v>5507.9329999999991</v>
      </c>
      <c r="BX67" s="355">
        <f>BW67</f>
        <v>5507.9329999999991</v>
      </c>
      <c r="BY67" s="40">
        <f t="shared" si="189"/>
        <v>5668.125</v>
      </c>
      <c r="BZ67" s="40">
        <f t="shared" si="189"/>
        <v>5654.219000000001</v>
      </c>
      <c r="CA67" s="40">
        <f t="shared" si="189"/>
        <v>6107.0390000000007</v>
      </c>
      <c r="CB67" s="40">
        <f>CB57+CB65</f>
        <v>6521.5709999999999</v>
      </c>
      <c r="CC67" s="355">
        <f>CB67</f>
        <v>6521.5709999999999</v>
      </c>
      <c r="CD67" s="40">
        <f t="shared" si="189"/>
        <v>6709.3019999999997</v>
      </c>
      <c r="CE67" s="40">
        <f t="shared" si="189"/>
        <v>7012.3200000000006</v>
      </c>
      <c r="CF67" s="40">
        <f t="shared" si="189"/>
        <v>7617.1489999999994</v>
      </c>
      <c r="CG67" s="40">
        <f t="shared" si="189"/>
        <v>8208.9140000000007</v>
      </c>
      <c r="CH67" s="355">
        <f>CG67</f>
        <v>8208.9140000000007</v>
      </c>
      <c r="CI67" s="40">
        <f t="shared" si="189"/>
        <v>8279.2990000000009</v>
      </c>
      <c r="CJ67" s="40">
        <f t="shared" si="189"/>
        <v>8687.2939999999981</v>
      </c>
      <c r="CK67" s="40">
        <f t="shared" si="189"/>
        <v>9227.0429999999997</v>
      </c>
      <c r="CL67" s="40">
        <f t="shared" si="189"/>
        <v>11718.915999999999</v>
      </c>
      <c r="CM67" s="355">
        <f>CL67</f>
        <v>11718.915999999999</v>
      </c>
      <c r="CN67" s="40">
        <f t="shared" ref="CN67:DA67" si="190">CN57+CN65</f>
        <v>11383.400000000001</v>
      </c>
      <c r="CO67" s="194">
        <f t="shared" si="190"/>
        <v>11797.600000000002</v>
      </c>
      <c r="CP67" s="194">
        <f t="shared" si="190"/>
        <v>12267.599999999999</v>
      </c>
      <c r="CQ67" s="40">
        <f t="shared" si="190"/>
        <v>13065.4</v>
      </c>
      <c r="CR67" s="355">
        <f>CQ67</f>
        <v>13065.4</v>
      </c>
      <c r="CS67" s="40">
        <f t="shared" si="190"/>
        <v>12735.899999999998</v>
      </c>
      <c r="CT67" s="40">
        <f t="shared" si="190"/>
        <v>13140.099999999999</v>
      </c>
      <c r="CU67" s="194">
        <f t="shared" si="190"/>
        <v>13716.699999999999</v>
      </c>
      <c r="CV67" s="40">
        <f t="shared" si="190"/>
        <v>14262</v>
      </c>
      <c r="CW67" s="355">
        <f>CV67</f>
        <v>14262</v>
      </c>
      <c r="CX67" s="40">
        <f>CX57+CX65</f>
        <v>13629</v>
      </c>
      <c r="CY67" s="40">
        <f t="shared" si="190"/>
        <v>13938</v>
      </c>
      <c r="CZ67" s="40">
        <f t="shared" si="190"/>
        <v>14580</v>
      </c>
      <c r="DA67" s="40">
        <f t="shared" si="190"/>
        <v>15221</v>
      </c>
      <c r="DB67" s="355">
        <f>DB57+DB65</f>
        <v>15221</v>
      </c>
      <c r="DC67" s="40">
        <f t="shared" ref="DC67:DK67" si="191">DC57+DC65</f>
        <v>15370.44904050778</v>
      </c>
      <c r="DD67" s="40">
        <f t="shared" si="191"/>
        <v>15418.136741236762</v>
      </c>
      <c r="DE67" s="40">
        <f t="shared" si="191"/>
        <v>16027.450780036974</v>
      </c>
      <c r="DF67" s="40">
        <f t="shared" si="191"/>
        <v>16529.547986736543</v>
      </c>
      <c r="DG67" s="355">
        <f>DG57+DG65</f>
        <v>16529.547986736543</v>
      </c>
      <c r="DH67" s="40">
        <f t="shared" si="191"/>
        <v>16777.952181879235</v>
      </c>
      <c r="DI67" s="40">
        <f t="shared" si="191"/>
        <v>16831.572123638063</v>
      </c>
      <c r="DJ67" s="40">
        <f t="shared" si="191"/>
        <v>17403.834387751573</v>
      </c>
      <c r="DK67" s="40">
        <f t="shared" si="191"/>
        <v>17920.689468829616</v>
      </c>
      <c r="DL67" s="355">
        <f>DL57+DL65</f>
        <v>17920.689468829616</v>
      </c>
      <c r="DM67" s="40">
        <f t="shared" ref="DM67:DP67" si="192">DM57+DM65</f>
        <v>18313.747822568013</v>
      </c>
      <c r="DN67" s="40">
        <f t="shared" si="192"/>
        <v>18399.597673804514</v>
      </c>
      <c r="DO67" s="40">
        <f t="shared" si="192"/>
        <v>18980.443673301015</v>
      </c>
      <c r="DP67" s="40">
        <f t="shared" si="192"/>
        <v>19568.937632645295</v>
      </c>
      <c r="DQ67" s="355">
        <f>DQ57+DQ65</f>
        <v>19568.937632645295</v>
      </c>
      <c r="DR67" s="40"/>
      <c r="DS67" s="260"/>
      <c r="DT67"/>
      <c r="DU67"/>
      <c r="DV67"/>
      <c r="DW67"/>
      <c r="DX67"/>
      <c r="DY67"/>
    </row>
    <row r="68" spans="1:129" s="132" customFormat="1" ht="11.25" customHeight="1">
      <c r="B68" s="102"/>
      <c r="C68" s="103"/>
      <c r="D68" s="103"/>
      <c r="E68" s="103"/>
      <c r="F68" s="103"/>
      <c r="G68" s="104"/>
      <c r="H68" s="105"/>
      <c r="I68" s="105"/>
      <c r="J68" s="106"/>
      <c r="K68" s="808"/>
      <c r="L68" s="104"/>
      <c r="M68" s="105"/>
      <c r="N68" s="105"/>
      <c r="O68" s="106"/>
      <c r="P68" s="808"/>
      <c r="Q68" s="104"/>
      <c r="R68" s="105"/>
      <c r="S68" s="105"/>
      <c r="T68" s="106"/>
      <c r="U68" s="808"/>
      <c r="V68" s="104"/>
      <c r="W68" s="105"/>
      <c r="X68" s="105"/>
      <c r="Y68" s="106"/>
      <c r="Z68" s="808"/>
      <c r="AA68" s="104"/>
      <c r="AB68" s="105"/>
      <c r="AC68" s="105"/>
      <c r="AD68" s="105"/>
      <c r="AE68" s="808"/>
      <c r="AF68" s="105"/>
      <c r="AG68" s="105"/>
      <c r="AH68" s="105"/>
      <c r="AI68" s="105"/>
      <c r="AJ68" s="808"/>
      <c r="AK68" s="105"/>
      <c r="AL68" s="105"/>
      <c r="AM68" s="105"/>
      <c r="AN68" s="105"/>
      <c r="AO68" s="808"/>
      <c r="AP68" s="105"/>
      <c r="AQ68" s="105"/>
      <c r="AR68" s="105"/>
      <c r="AS68" s="105"/>
      <c r="AT68" s="808"/>
      <c r="AU68" s="105"/>
      <c r="AV68" s="105"/>
      <c r="AW68" s="105"/>
      <c r="AX68" s="105"/>
      <c r="AY68" s="808"/>
      <c r="AZ68" s="105"/>
      <c r="BA68" s="105"/>
      <c r="BB68" s="105"/>
      <c r="BC68" s="105"/>
      <c r="BD68" s="808"/>
      <c r="BE68" s="105"/>
      <c r="BF68" s="105"/>
      <c r="BG68" s="105"/>
      <c r="BH68" s="105"/>
      <c r="BI68" s="808"/>
      <c r="BJ68" s="105"/>
      <c r="BK68" s="105"/>
      <c r="BL68" s="105"/>
      <c r="BM68" s="105"/>
      <c r="BN68" s="808"/>
      <c r="BO68" s="105"/>
      <c r="BP68" s="105"/>
      <c r="BQ68" s="105"/>
      <c r="BR68" s="105"/>
      <c r="BS68" s="808"/>
      <c r="BT68" s="105"/>
      <c r="BU68" s="105"/>
      <c r="BV68" s="105"/>
      <c r="BW68" s="105"/>
      <c r="BX68" s="808"/>
      <c r="BY68" s="105"/>
      <c r="BZ68" s="105"/>
      <c r="CA68" s="105"/>
      <c r="CB68" s="107"/>
      <c r="CC68" s="808"/>
      <c r="CD68" s="107"/>
      <c r="CE68" s="107"/>
      <c r="CF68" s="107"/>
      <c r="CG68" s="107"/>
      <c r="CH68" s="808"/>
      <c r="CI68" s="107"/>
      <c r="CJ68" s="107"/>
      <c r="CK68" s="107"/>
      <c r="CL68" s="107"/>
      <c r="CM68" s="808"/>
      <c r="CN68" s="107"/>
      <c r="CO68" s="218"/>
      <c r="CP68" s="107"/>
      <c r="CQ68" s="107"/>
      <c r="CR68" s="808"/>
      <c r="CS68" s="107"/>
      <c r="CT68" s="107"/>
      <c r="CU68" s="107"/>
      <c r="CV68" s="107"/>
      <c r="CW68" s="808"/>
      <c r="CX68" s="107"/>
      <c r="CY68" s="107"/>
      <c r="CZ68" s="107"/>
      <c r="DA68" s="107"/>
      <c r="DB68" s="808"/>
      <c r="DC68" s="107"/>
      <c r="DD68" s="107"/>
      <c r="DE68" s="107"/>
      <c r="DF68" s="107"/>
      <c r="DG68" s="808"/>
      <c r="DH68" s="107"/>
      <c r="DI68" s="107"/>
      <c r="DJ68" s="107"/>
      <c r="DK68" s="107"/>
      <c r="DL68" s="808"/>
      <c r="DM68" s="107"/>
      <c r="DN68" s="107"/>
      <c r="DO68" s="107"/>
      <c r="DP68" s="107"/>
      <c r="DQ68" s="808"/>
      <c r="DR68" s="33"/>
      <c r="DS68" s="57"/>
      <c r="DT68"/>
      <c r="DU68"/>
      <c r="DV68"/>
      <c r="DW68"/>
      <c r="DX68"/>
      <c r="DY68"/>
    </row>
    <row r="69" spans="1:129" ht="11.25" customHeight="1">
      <c r="B69" s="43" t="s">
        <v>8</v>
      </c>
      <c r="C69" s="1"/>
      <c r="D69" s="1"/>
      <c r="E69" s="1"/>
      <c r="F69" s="1"/>
      <c r="G69" s="1"/>
      <c r="H69" s="92"/>
      <c r="I69" s="92"/>
      <c r="J69" s="92"/>
      <c r="K69" s="330"/>
      <c r="L69" s="92"/>
      <c r="M69" s="92"/>
      <c r="N69" s="92"/>
      <c r="O69" s="92"/>
      <c r="P69" s="330"/>
      <c r="Q69" s="92"/>
      <c r="R69" s="92"/>
      <c r="S69" s="92"/>
      <c r="T69" s="92"/>
      <c r="U69" s="330"/>
      <c r="V69" s="92"/>
      <c r="W69" s="92"/>
      <c r="X69" s="92"/>
      <c r="Y69" s="92"/>
      <c r="Z69" s="330"/>
      <c r="AA69" s="92"/>
      <c r="AB69" s="92"/>
      <c r="AC69" s="92"/>
      <c r="AD69" s="92"/>
      <c r="AE69" s="330"/>
      <c r="AF69" s="92"/>
      <c r="AG69" s="92"/>
      <c r="AH69" s="92"/>
      <c r="AI69" s="92"/>
      <c r="AJ69" s="330"/>
      <c r="AK69" s="92"/>
      <c r="AL69" s="92"/>
      <c r="AM69" s="92"/>
      <c r="AN69" s="92"/>
      <c r="AO69" s="330"/>
      <c r="AP69" s="92"/>
      <c r="AQ69" s="92"/>
      <c r="AR69" s="92"/>
      <c r="AS69" s="92"/>
      <c r="AT69" s="330"/>
      <c r="AU69" s="92"/>
      <c r="AV69" s="92"/>
      <c r="AW69" s="92"/>
      <c r="AX69" s="92"/>
      <c r="AY69" s="330"/>
      <c r="AZ69" s="92"/>
      <c r="BA69" s="92"/>
      <c r="BB69" s="92"/>
      <c r="BC69" s="92"/>
      <c r="BD69" s="330"/>
      <c r="BE69" s="92"/>
      <c r="BF69" s="92"/>
      <c r="BG69" s="92"/>
      <c r="BH69" s="92"/>
      <c r="BI69" s="330"/>
      <c r="BJ69" s="92"/>
      <c r="BK69" s="92"/>
      <c r="BL69" s="92"/>
      <c r="BM69" s="92"/>
      <c r="BN69" s="330"/>
      <c r="BO69" s="92"/>
      <c r="BP69" s="92"/>
      <c r="BQ69" s="92"/>
      <c r="BR69" s="92"/>
      <c r="BS69" s="330"/>
      <c r="BT69" s="92"/>
      <c r="BU69" s="92"/>
      <c r="BV69" s="294"/>
      <c r="BW69" s="293"/>
      <c r="BX69" s="330"/>
      <c r="BY69" s="92"/>
      <c r="BZ69" s="92"/>
      <c r="CA69" s="92"/>
      <c r="CB69" s="266"/>
      <c r="CC69" s="330"/>
      <c r="CD69" s="1"/>
      <c r="CE69" s="1"/>
      <c r="CF69" s="1"/>
      <c r="CG69" s="1"/>
      <c r="CH69" s="330"/>
      <c r="CI69" s="1"/>
      <c r="CJ69" s="1"/>
      <c r="CK69" s="1"/>
      <c r="CL69" s="1"/>
      <c r="CM69" s="330"/>
      <c r="CN69" s="4"/>
      <c r="CO69" s="4"/>
      <c r="CP69" s="4"/>
      <c r="CQ69" s="47"/>
      <c r="CR69" s="330"/>
      <c r="CS69" s="36"/>
      <c r="CT69" s="4"/>
      <c r="CU69" s="4"/>
      <c r="CV69" s="4"/>
      <c r="CW69" s="330"/>
      <c r="CX69" s="4"/>
      <c r="CY69" s="4"/>
      <c r="CZ69" s="4"/>
      <c r="DA69" s="4"/>
      <c r="DB69" s="330"/>
      <c r="DC69" s="4"/>
      <c r="DD69" s="4"/>
      <c r="DE69" s="4"/>
      <c r="DF69" s="4"/>
      <c r="DG69" s="330"/>
      <c r="DH69" s="4"/>
      <c r="DI69" s="4"/>
      <c r="DJ69" s="4"/>
      <c r="DK69" s="4"/>
      <c r="DL69" s="330"/>
      <c r="DM69" s="4"/>
      <c r="DN69" s="4"/>
      <c r="DO69" s="4"/>
      <c r="DP69" s="4"/>
      <c r="DQ69" s="330"/>
    </row>
    <row r="70" spans="1:129" ht="11.25" customHeight="1">
      <c r="B70" s="43"/>
      <c r="C70" s="1"/>
      <c r="D70" s="1"/>
      <c r="E70" s="1"/>
      <c r="F70" s="1"/>
      <c r="G70" s="1"/>
      <c r="H70" s="92"/>
      <c r="I70" s="92"/>
      <c r="J70" s="92"/>
      <c r="K70" s="330"/>
      <c r="L70" s="92"/>
      <c r="M70" s="92"/>
      <c r="N70" s="92"/>
      <c r="O70" s="92"/>
      <c r="P70" s="330"/>
      <c r="Q70" s="92"/>
      <c r="R70" s="92"/>
      <c r="S70" s="92"/>
      <c r="T70" s="92"/>
      <c r="U70" s="330"/>
      <c r="V70" s="92"/>
      <c r="W70" s="92"/>
      <c r="X70" s="92"/>
      <c r="Y70" s="92"/>
      <c r="Z70" s="330"/>
      <c r="AA70" s="92"/>
      <c r="AB70" s="92"/>
      <c r="AC70" s="92"/>
      <c r="AD70" s="92"/>
      <c r="AE70" s="330"/>
      <c r="AF70" s="92"/>
      <c r="AG70" s="92"/>
      <c r="AH70" s="92"/>
      <c r="AI70" s="92"/>
      <c r="AJ70" s="330"/>
      <c r="AK70" s="92"/>
      <c r="AL70" s="92"/>
      <c r="AM70" s="92"/>
      <c r="AN70" s="92"/>
      <c r="AO70" s="330"/>
      <c r="AP70" s="92"/>
      <c r="AQ70" s="92"/>
      <c r="AR70" s="92"/>
      <c r="AS70" s="92"/>
      <c r="AT70" s="330"/>
      <c r="AU70" s="92"/>
      <c r="AV70" s="92"/>
      <c r="AW70" s="92"/>
      <c r="AX70" s="92"/>
      <c r="AY70" s="330"/>
      <c r="AZ70" s="92"/>
      <c r="BA70" s="92"/>
      <c r="BB70" s="92"/>
      <c r="BC70" s="92"/>
      <c r="BD70" s="330"/>
      <c r="BE70" s="92"/>
      <c r="BF70" s="92"/>
      <c r="BG70" s="92"/>
      <c r="BH70" s="92"/>
      <c r="BI70" s="330"/>
      <c r="BJ70" s="92"/>
      <c r="BK70" s="92"/>
      <c r="BL70" s="92"/>
      <c r="BM70" s="92"/>
      <c r="BN70" s="330"/>
      <c r="BO70" s="92"/>
      <c r="BP70" s="92"/>
      <c r="BQ70" s="92"/>
      <c r="BR70" s="92"/>
      <c r="BS70" s="330"/>
      <c r="BT70" s="92"/>
      <c r="BU70" s="92"/>
      <c r="BV70" s="92"/>
      <c r="BW70" s="92"/>
      <c r="BX70" s="330"/>
      <c r="BY70" s="92"/>
      <c r="BZ70" s="92"/>
      <c r="CA70" s="92"/>
      <c r="CB70" s="320"/>
      <c r="CC70" s="330"/>
      <c r="CD70" s="320"/>
      <c r="CE70" s="320"/>
      <c r="CF70" s="320"/>
      <c r="CG70" s="320"/>
      <c r="CH70" s="330"/>
      <c r="CI70" s="320"/>
      <c r="CJ70" s="320"/>
      <c r="CK70" s="320"/>
      <c r="CL70" s="320"/>
      <c r="CM70" s="330"/>
      <c r="CN70" s="110"/>
      <c r="CO70" s="110"/>
      <c r="CP70" s="110"/>
      <c r="CQ70" s="320"/>
      <c r="CR70" s="330"/>
      <c r="CS70" s="110"/>
      <c r="CT70" s="110"/>
      <c r="CU70" s="110"/>
      <c r="CV70" s="110"/>
      <c r="CW70" s="330"/>
      <c r="CX70" s="110"/>
      <c r="CY70" s="110"/>
      <c r="CZ70" s="110"/>
      <c r="DA70" s="110"/>
      <c r="DB70" s="330"/>
      <c r="DC70" s="110"/>
      <c r="DD70" s="110"/>
      <c r="DE70" s="110"/>
      <c r="DF70" s="110"/>
      <c r="DG70" s="330"/>
      <c r="DH70" s="110"/>
      <c r="DI70" s="110"/>
      <c r="DJ70" s="110"/>
      <c r="DK70" s="110"/>
      <c r="DL70" s="330"/>
      <c r="DM70" s="110"/>
      <c r="DN70" s="110"/>
      <c r="DO70" s="110"/>
      <c r="DP70" s="110"/>
      <c r="DQ70" s="330"/>
    </row>
    <row r="71" spans="1:129" s="432" customFormat="1" ht="11.25" customHeight="1">
      <c r="A71" s="430"/>
      <c r="B71" s="430" t="s">
        <v>20</v>
      </c>
      <c r="C71" s="430"/>
      <c r="D71" s="430"/>
      <c r="E71" s="430"/>
      <c r="F71" s="430"/>
      <c r="G71" s="430"/>
      <c r="H71" s="431">
        <f t="shared" ref="H71:AU71" si="193">H42-H67</f>
        <v>0</v>
      </c>
      <c r="I71" s="431">
        <f t="shared" si="193"/>
        <v>0</v>
      </c>
      <c r="J71" s="431">
        <f t="shared" si="193"/>
        <v>0</v>
      </c>
      <c r="K71" s="899">
        <f>K42-K67</f>
        <v>0</v>
      </c>
      <c r="L71" s="431">
        <f t="shared" si="193"/>
        <v>0</v>
      </c>
      <c r="M71" s="431">
        <f t="shared" si="193"/>
        <v>0</v>
      </c>
      <c r="N71" s="431">
        <f t="shared" si="193"/>
        <v>0</v>
      </c>
      <c r="O71" s="431">
        <f t="shared" si="193"/>
        <v>0</v>
      </c>
      <c r="P71" s="899">
        <f>P42-P67</f>
        <v>0</v>
      </c>
      <c r="Q71" s="431">
        <f t="shared" si="193"/>
        <v>0</v>
      </c>
      <c r="R71" s="431">
        <f t="shared" si="193"/>
        <v>0</v>
      </c>
      <c r="S71" s="431">
        <f t="shared" si="193"/>
        <v>0</v>
      </c>
      <c r="T71" s="431">
        <f t="shared" si="193"/>
        <v>0</v>
      </c>
      <c r="U71" s="899">
        <f>U42-U67</f>
        <v>0</v>
      </c>
      <c r="V71" s="431">
        <f t="shared" si="193"/>
        <v>0</v>
      </c>
      <c r="W71" s="431">
        <f t="shared" si="193"/>
        <v>0</v>
      </c>
      <c r="X71" s="431">
        <f t="shared" si="193"/>
        <v>0</v>
      </c>
      <c r="Y71" s="431">
        <f t="shared" si="193"/>
        <v>0</v>
      </c>
      <c r="Z71" s="899">
        <f>Z42-Z67</f>
        <v>0</v>
      </c>
      <c r="AA71" s="431">
        <f t="shared" si="193"/>
        <v>0</v>
      </c>
      <c r="AB71" s="431">
        <f t="shared" si="193"/>
        <v>0</v>
      </c>
      <c r="AC71" s="431">
        <f t="shared" si="193"/>
        <v>0</v>
      </c>
      <c r="AD71" s="431">
        <f t="shared" si="193"/>
        <v>0</v>
      </c>
      <c r="AE71" s="899">
        <f>AE42-AE67</f>
        <v>0</v>
      </c>
      <c r="AF71" s="431">
        <f t="shared" si="193"/>
        <v>0</v>
      </c>
      <c r="AG71" s="431">
        <f t="shared" si="193"/>
        <v>0</v>
      </c>
      <c r="AH71" s="431">
        <f t="shared" si="193"/>
        <v>0</v>
      </c>
      <c r="AI71" s="431">
        <f t="shared" si="193"/>
        <v>0</v>
      </c>
      <c r="AJ71" s="899">
        <f>AJ42-AJ67</f>
        <v>0</v>
      </c>
      <c r="AK71" s="431">
        <f t="shared" si="193"/>
        <v>0</v>
      </c>
      <c r="AL71" s="431">
        <f t="shared" si="193"/>
        <v>0</v>
      </c>
      <c r="AM71" s="431">
        <f t="shared" si="193"/>
        <v>0</v>
      </c>
      <c r="AN71" s="431">
        <f t="shared" si="193"/>
        <v>0</v>
      </c>
      <c r="AO71" s="899">
        <f>AO42-AO67</f>
        <v>0</v>
      </c>
      <c r="AP71" s="431">
        <f t="shared" si="193"/>
        <v>0</v>
      </c>
      <c r="AQ71" s="431">
        <f t="shared" si="193"/>
        <v>0</v>
      </c>
      <c r="AR71" s="431">
        <f t="shared" si="193"/>
        <v>0</v>
      </c>
      <c r="AS71" s="431">
        <f t="shared" si="193"/>
        <v>0</v>
      </c>
      <c r="AT71" s="899">
        <f>AT42-AT67</f>
        <v>0</v>
      </c>
      <c r="AU71" s="431">
        <f t="shared" si="193"/>
        <v>0</v>
      </c>
      <c r="AV71" s="431">
        <f t="shared" ref="AV71:CL71" si="194">AV42-AV67</f>
        <v>0</v>
      </c>
      <c r="AW71" s="431">
        <f t="shared" si="194"/>
        <v>0</v>
      </c>
      <c r="AX71" s="431">
        <f t="shared" si="194"/>
        <v>0</v>
      </c>
      <c r="AY71" s="899">
        <f>AY42-AY67</f>
        <v>0</v>
      </c>
      <c r="AZ71" s="431">
        <f t="shared" si="194"/>
        <v>0</v>
      </c>
      <c r="BA71" s="431">
        <f t="shared" si="194"/>
        <v>0</v>
      </c>
      <c r="BB71" s="431">
        <f t="shared" si="194"/>
        <v>0</v>
      </c>
      <c r="BC71" s="431">
        <f t="shared" si="194"/>
        <v>0</v>
      </c>
      <c r="BD71" s="899">
        <f>BD42-BD67</f>
        <v>0</v>
      </c>
      <c r="BE71" s="431">
        <f t="shared" si="194"/>
        <v>0</v>
      </c>
      <c r="BF71" s="431">
        <f t="shared" si="194"/>
        <v>0</v>
      </c>
      <c r="BG71" s="431">
        <f t="shared" si="194"/>
        <v>0</v>
      </c>
      <c r="BH71" s="431">
        <f t="shared" si="194"/>
        <v>0</v>
      </c>
      <c r="BI71" s="899">
        <f>BI42-BI67</f>
        <v>0</v>
      </c>
      <c r="BJ71" s="431">
        <f t="shared" si="194"/>
        <v>0</v>
      </c>
      <c r="BK71" s="431">
        <f t="shared" si="194"/>
        <v>0</v>
      </c>
      <c r="BL71" s="431">
        <f t="shared" si="194"/>
        <v>0</v>
      </c>
      <c r="BM71" s="431">
        <f t="shared" si="194"/>
        <v>0</v>
      </c>
      <c r="BN71" s="899">
        <f>BN42-BN67</f>
        <v>0</v>
      </c>
      <c r="BO71" s="431">
        <f t="shared" si="194"/>
        <v>0</v>
      </c>
      <c r="BP71" s="431">
        <f t="shared" si="194"/>
        <v>0</v>
      </c>
      <c r="BQ71" s="431">
        <f t="shared" si="194"/>
        <v>0</v>
      </c>
      <c r="BR71" s="431">
        <f t="shared" si="194"/>
        <v>0</v>
      </c>
      <c r="BS71" s="899">
        <f>BS42-BS67</f>
        <v>0</v>
      </c>
      <c r="BT71" s="431">
        <f t="shared" si="194"/>
        <v>0</v>
      </c>
      <c r="BU71" s="431">
        <f t="shared" si="194"/>
        <v>0</v>
      </c>
      <c r="BV71" s="431">
        <f t="shared" si="194"/>
        <v>0</v>
      </c>
      <c r="BW71" s="431">
        <f t="shared" si="194"/>
        <v>0</v>
      </c>
      <c r="BX71" s="899">
        <f>BX42-BX67</f>
        <v>0</v>
      </c>
      <c r="BY71" s="431">
        <f t="shared" si="194"/>
        <v>0</v>
      </c>
      <c r="BZ71" s="431">
        <f t="shared" si="194"/>
        <v>0</v>
      </c>
      <c r="CA71" s="431">
        <f t="shared" si="194"/>
        <v>0</v>
      </c>
      <c r="CB71" s="431">
        <f t="shared" si="194"/>
        <v>0</v>
      </c>
      <c r="CC71" s="899">
        <f>CC42-CC67</f>
        <v>0</v>
      </c>
      <c r="CD71" s="431">
        <f t="shared" si="194"/>
        <v>0</v>
      </c>
      <c r="CE71" s="431">
        <f t="shared" si="194"/>
        <v>0</v>
      </c>
      <c r="CF71" s="431">
        <f t="shared" si="194"/>
        <v>0</v>
      </c>
      <c r="CG71" s="431">
        <f t="shared" si="194"/>
        <v>0</v>
      </c>
      <c r="CH71" s="899">
        <f>CH42-CH67</f>
        <v>0</v>
      </c>
      <c r="CI71" s="431">
        <f t="shared" si="194"/>
        <v>0</v>
      </c>
      <c r="CJ71" s="431">
        <f t="shared" si="194"/>
        <v>0</v>
      </c>
      <c r="CK71" s="431">
        <f t="shared" si="194"/>
        <v>0</v>
      </c>
      <c r="CL71" s="431">
        <f t="shared" si="194"/>
        <v>0</v>
      </c>
      <c r="CM71" s="899">
        <f>CM42-CM67</f>
        <v>0</v>
      </c>
      <c r="CN71" s="519">
        <f t="shared" ref="CN71:DK71" si="195">CN42-CN67</f>
        <v>0</v>
      </c>
      <c r="CO71" s="523">
        <f t="shared" si="195"/>
        <v>0</v>
      </c>
      <c r="CP71" s="472">
        <f t="shared" si="195"/>
        <v>0</v>
      </c>
      <c r="CQ71" s="431">
        <f t="shared" si="195"/>
        <v>0</v>
      </c>
      <c r="CR71" s="899">
        <f>CR42-CR67</f>
        <v>0</v>
      </c>
      <c r="CS71" s="538">
        <f>CS42-CS67</f>
        <v>0</v>
      </c>
      <c r="CT71" s="548">
        <f t="shared" si="195"/>
        <v>0</v>
      </c>
      <c r="CU71" s="519">
        <f t="shared" si="195"/>
        <v>0</v>
      </c>
      <c r="CV71" s="519">
        <f t="shared" si="195"/>
        <v>0</v>
      </c>
      <c r="CW71" s="809">
        <f>CW42-CW67</f>
        <v>0</v>
      </c>
      <c r="CX71" s="519">
        <f t="shared" si="195"/>
        <v>0</v>
      </c>
      <c r="CY71" s="519">
        <f t="shared" si="195"/>
        <v>0</v>
      </c>
      <c r="CZ71" s="519">
        <f t="shared" si="195"/>
        <v>0</v>
      </c>
      <c r="DA71" s="519">
        <f t="shared" si="195"/>
        <v>0</v>
      </c>
      <c r="DB71" s="809">
        <f>DB42-DB67</f>
        <v>0</v>
      </c>
      <c r="DC71" s="519">
        <f t="shared" si="195"/>
        <v>0</v>
      </c>
      <c r="DD71" s="519">
        <f t="shared" si="195"/>
        <v>0</v>
      </c>
      <c r="DE71" s="519">
        <f t="shared" si="195"/>
        <v>0</v>
      </c>
      <c r="DF71" s="519">
        <f t="shared" si="195"/>
        <v>0</v>
      </c>
      <c r="DG71" s="809">
        <f>DG42-DG67</f>
        <v>0</v>
      </c>
      <c r="DH71" s="519">
        <f t="shared" si="195"/>
        <v>0</v>
      </c>
      <c r="DI71" s="519">
        <f t="shared" si="195"/>
        <v>0</v>
      </c>
      <c r="DJ71" s="519">
        <f t="shared" si="195"/>
        <v>0</v>
      </c>
      <c r="DK71" s="519">
        <f t="shared" si="195"/>
        <v>0</v>
      </c>
      <c r="DL71" s="809">
        <f>DL42-DL67</f>
        <v>0</v>
      </c>
      <c r="DM71" s="519">
        <f t="shared" ref="DM71:DP71" si="196">DM42-DM67</f>
        <v>0</v>
      </c>
      <c r="DN71" s="519">
        <f t="shared" si="196"/>
        <v>0</v>
      </c>
      <c r="DO71" s="519">
        <f t="shared" si="196"/>
        <v>0</v>
      </c>
      <c r="DP71" s="519">
        <f t="shared" si="196"/>
        <v>0</v>
      </c>
      <c r="DQ71" s="809">
        <f>DQ42-DQ67</f>
        <v>0</v>
      </c>
      <c r="DR71" s="533"/>
      <c r="DT71"/>
      <c r="DU71"/>
      <c r="DV71"/>
      <c r="DW71"/>
      <c r="DX71"/>
      <c r="DY71"/>
    </row>
    <row r="72" spans="1:129" ht="11.25" customHeight="1">
      <c r="A72" s="1"/>
      <c r="B72" s="1"/>
      <c r="C72" s="1"/>
      <c r="D72" s="1"/>
      <c r="E72" s="1"/>
      <c r="F72" s="1"/>
      <c r="G72" s="1"/>
      <c r="H72" s="1"/>
      <c r="I72" s="1"/>
      <c r="J72" s="1"/>
      <c r="K72" s="330"/>
      <c r="L72" s="1"/>
      <c r="M72" s="1"/>
      <c r="N72" s="1"/>
      <c r="O72" s="1"/>
      <c r="P72" s="330"/>
      <c r="Q72" s="1"/>
      <c r="R72" s="1"/>
      <c r="S72" s="1"/>
      <c r="T72" s="1"/>
      <c r="U72" s="330"/>
      <c r="V72" s="1"/>
      <c r="W72" s="1"/>
      <c r="X72" s="1"/>
      <c r="Y72" s="1"/>
      <c r="Z72" s="330"/>
      <c r="AA72" s="1"/>
      <c r="AB72" s="1"/>
      <c r="AC72" s="1"/>
      <c r="AD72" s="1"/>
      <c r="AE72" s="330"/>
      <c r="AF72" s="1"/>
      <c r="AG72" s="1"/>
      <c r="AH72" s="1"/>
      <c r="AI72" s="1"/>
      <c r="AJ72" s="330"/>
      <c r="AK72" s="1"/>
      <c r="AL72" s="1"/>
      <c r="AM72" s="1"/>
      <c r="AN72" s="1"/>
      <c r="AO72" s="330"/>
      <c r="AP72" s="1"/>
      <c r="AQ72" s="1"/>
      <c r="AR72" s="1"/>
      <c r="AS72" s="1"/>
      <c r="AT72" s="330"/>
      <c r="AU72" s="1"/>
      <c r="AV72" s="1"/>
      <c r="AW72" s="1"/>
      <c r="AX72" s="1"/>
      <c r="AY72" s="330"/>
      <c r="AZ72" s="1"/>
      <c r="BA72" s="1"/>
      <c r="BB72" s="1"/>
      <c r="BC72" s="1"/>
      <c r="BD72" s="330"/>
      <c r="BE72" s="1"/>
      <c r="BF72" s="1"/>
      <c r="BG72" s="1"/>
      <c r="BH72" s="1"/>
      <c r="BI72" s="330"/>
      <c r="BJ72" s="1"/>
      <c r="BK72" s="1"/>
      <c r="BL72" s="1"/>
      <c r="BM72" s="1"/>
      <c r="BN72" s="330"/>
      <c r="BO72" s="1"/>
      <c r="BP72" s="1"/>
      <c r="BQ72" s="1"/>
      <c r="BR72" s="1"/>
      <c r="BS72" s="330"/>
      <c r="BT72" s="1"/>
      <c r="BU72" s="1"/>
      <c r="BV72" s="1"/>
      <c r="BW72" s="1"/>
      <c r="BX72" s="330"/>
      <c r="BY72" s="1"/>
      <c r="BZ72" s="1"/>
      <c r="CA72" s="1"/>
      <c r="CB72" s="1"/>
      <c r="CC72" s="330"/>
      <c r="CD72" s="1"/>
      <c r="CE72" s="1"/>
      <c r="CF72" s="1"/>
      <c r="CG72" s="1"/>
      <c r="CH72" s="330"/>
      <c r="CI72" s="1"/>
      <c r="CJ72" s="1"/>
      <c r="CK72" s="1"/>
      <c r="CL72" s="1"/>
      <c r="CM72" s="330"/>
      <c r="CN72" s="4"/>
      <c r="CO72" s="4"/>
      <c r="CP72" s="4"/>
      <c r="CQ72" s="1"/>
      <c r="CR72" s="330"/>
      <c r="CS72" s="4"/>
      <c r="CT72" s="4"/>
      <c r="CU72" s="4"/>
      <c r="CV72" s="4"/>
      <c r="CW72" s="330"/>
      <c r="CX72" s="4"/>
      <c r="CY72" s="4"/>
      <c r="CZ72" s="4"/>
      <c r="DA72" s="4"/>
      <c r="DB72" s="330"/>
      <c r="DC72" s="4"/>
      <c r="DD72" s="4"/>
      <c r="DE72" s="4"/>
      <c r="DF72" s="4"/>
      <c r="DG72" s="330"/>
      <c r="DH72" s="4"/>
      <c r="DI72" s="4"/>
      <c r="DJ72" s="4"/>
      <c r="DK72" s="4"/>
      <c r="DL72" s="330"/>
      <c r="DM72" s="4"/>
      <c r="DN72" s="4"/>
      <c r="DO72" s="4"/>
      <c r="DP72" s="4"/>
      <c r="DQ72" s="330"/>
    </row>
    <row r="73" spans="1:129">
      <c r="A73" s="1"/>
      <c r="B73" s="49" t="s">
        <v>106</v>
      </c>
      <c r="C73" s="47"/>
      <c r="D73" s="47"/>
      <c r="E73" s="47"/>
      <c r="F73" s="47"/>
      <c r="G73" s="46"/>
      <c r="H73" s="47"/>
      <c r="I73" s="47"/>
      <c r="J73" s="48"/>
      <c r="K73" s="604"/>
      <c r="L73" s="46"/>
      <c r="M73" s="47"/>
      <c r="N73" s="47"/>
      <c r="O73" s="47"/>
      <c r="P73" s="604"/>
      <c r="Q73" s="46"/>
      <c r="R73" s="47"/>
      <c r="S73" s="47"/>
      <c r="T73" s="48"/>
      <c r="U73" s="604"/>
      <c r="V73" s="47"/>
      <c r="W73" s="47"/>
      <c r="X73" s="47"/>
      <c r="Y73" s="48"/>
      <c r="Z73" s="604"/>
      <c r="AA73" s="47"/>
      <c r="AB73" s="47"/>
      <c r="AC73" s="47"/>
      <c r="AD73" s="47"/>
      <c r="AE73" s="604"/>
      <c r="AF73" s="47"/>
      <c r="AG73" s="47"/>
      <c r="AH73" s="47"/>
      <c r="AI73" s="47"/>
      <c r="AJ73" s="604"/>
      <c r="AK73" s="47"/>
      <c r="AL73" s="47"/>
      <c r="AM73" s="47"/>
      <c r="AN73" s="47"/>
      <c r="AO73" s="604"/>
      <c r="AP73" s="47"/>
      <c r="AQ73" s="47"/>
      <c r="AR73" s="47"/>
      <c r="AS73" s="47"/>
      <c r="AT73" s="604"/>
      <c r="AU73" s="47"/>
      <c r="AV73" s="47"/>
      <c r="AW73" s="47"/>
      <c r="AX73" s="47"/>
      <c r="AY73" s="604"/>
      <c r="AZ73" s="47"/>
      <c r="BA73" s="47"/>
      <c r="BB73" s="47"/>
      <c r="BC73" s="47"/>
      <c r="BD73" s="604"/>
      <c r="BE73" s="47"/>
      <c r="BF73" s="47"/>
      <c r="BG73" s="47"/>
      <c r="BH73" s="47"/>
      <c r="BI73" s="604"/>
      <c r="BJ73" s="47"/>
      <c r="BK73" s="47"/>
      <c r="BL73" s="47"/>
      <c r="BM73" s="47"/>
      <c r="BN73" s="604"/>
      <c r="BO73" s="47"/>
      <c r="BP73" s="47"/>
      <c r="BQ73" s="47"/>
      <c r="BR73" s="47"/>
      <c r="BS73" s="604"/>
      <c r="BT73" s="47"/>
      <c r="BU73" s="47"/>
      <c r="BV73" s="47"/>
      <c r="BW73" s="47"/>
      <c r="BX73" s="604"/>
      <c r="BY73" s="47"/>
      <c r="BZ73" s="47"/>
      <c r="CA73" s="47"/>
      <c r="CB73" s="47"/>
      <c r="CC73" s="604"/>
      <c r="CD73" s="47"/>
      <c r="CE73" s="47"/>
      <c r="CF73" s="47"/>
      <c r="CG73" s="47"/>
      <c r="CH73" s="604"/>
      <c r="CI73" s="47"/>
      <c r="CJ73" s="47"/>
      <c r="CK73" s="47"/>
      <c r="CL73" s="47"/>
      <c r="CM73" s="604"/>
      <c r="CN73" s="47"/>
      <c r="CO73" s="47"/>
      <c r="CP73" s="47"/>
      <c r="CQ73" s="47"/>
      <c r="CR73" s="604"/>
      <c r="CS73" s="47"/>
      <c r="CT73" s="47"/>
      <c r="CU73" s="47"/>
      <c r="CV73" s="47"/>
      <c r="CW73" s="604"/>
      <c r="CX73" s="47"/>
      <c r="CY73" s="47"/>
      <c r="CZ73" s="47"/>
      <c r="DA73" s="47"/>
      <c r="DB73" s="604"/>
      <c r="DC73" s="47"/>
      <c r="DD73" s="47"/>
      <c r="DE73" s="47"/>
      <c r="DF73" s="47"/>
      <c r="DG73" s="604"/>
      <c r="DH73" s="47"/>
      <c r="DI73" s="47"/>
      <c r="DJ73" s="47"/>
      <c r="DK73" s="47"/>
      <c r="DL73" s="604"/>
      <c r="DM73" s="47"/>
      <c r="DN73" s="47"/>
      <c r="DO73" s="47"/>
      <c r="DP73" s="47"/>
      <c r="DQ73" s="604"/>
      <c r="DR73" s="3"/>
      <c r="DS73" s="112"/>
    </row>
    <row r="74" spans="1:129" s="202" customFormat="1">
      <c r="A74" s="200"/>
      <c r="B74" s="169" t="s">
        <v>107</v>
      </c>
      <c r="C74" s="191"/>
      <c r="D74" s="191"/>
      <c r="E74" s="191"/>
      <c r="F74" s="191"/>
      <c r="G74" s="235"/>
      <c r="H74" s="236"/>
      <c r="I74" s="236">
        <f>H65</f>
        <v>28.105</v>
      </c>
      <c r="J74" s="237">
        <f t="shared" ref="J74:BZ74" si="197">I65</f>
        <v>29.881000000000004</v>
      </c>
      <c r="K74" s="334"/>
      <c r="L74" s="236">
        <f>J65</f>
        <v>32.615999999999993</v>
      </c>
      <c r="M74" s="236">
        <f t="shared" si="197"/>
        <v>35.466000000000001</v>
      </c>
      <c r="N74" s="236">
        <f t="shared" si="197"/>
        <v>38.138999999999996</v>
      </c>
      <c r="O74" s="237">
        <f t="shared" si="197"/>
        <v>41.061999999999998</v>
      </c>
      <c r="P74" s="334">
        <f>L74</f>
        <v>32.615999999999993</v>
      </c>
      <c r="Q74" s="236">
        <f>O65</f>
        <v>45.460999999999999</v>
      </c>
      <c r="R74" s="236">
        <f t="shared" si="197"/>
        <v>49.306999999999995</v>
      </c>
      <c r="S74" s="236">
        <f t="shared" si="197"/>
        <v>54.625999999999998</v>
      </c>
      <c r="T74" s="237">
        <f t="shared" si="197"/>
        <v>60.131999999999998</v>
      </c>
      <c r="U74" s="334">
        <f>P79</f>
        <v>45.460999999999999</v>
      </c>
      <c r="V74" s="236">
        <f>T65</f>
        <v>66.116</v>
      </c>
      <c r="W74" s="236">
        <f t="shared" si="197"/>
        <v>72.844000000000008</v>
      </c>
      <c r="X74" s="236">
        <f t="shared" si="197"/>
        <v>82.952999999999989</v>
      </c>
      <c r="Y74" s="237">
        <f t="shared" si="197"/>
        <v>92.495999999999995</v>
      </c>
      <c r="Z74" s="334">
        <f>U79</f>
        <v>66.116000000000014</v>
      </c>
      <c r="AA74" s="236">
        <f>Y65</f>
        <v>98.791999999999987</v>
      </c>
      <c r="AB74" s="236">
        <f t="shared" si="197"/>
        <v>106.95300000000002</v>
      </c>
      <c r="AC74" s="236">
        <f t="shared" si="197"/>
        <v>123.093</v>
      </c>
      <c r="AD74" s="236">
        <f t="shared" si="197"/>
        <v>142.62199999999999</v>
      </c>
      <c r="AE74" s="334">
        <f>Z79</f>
        <v>98.792000000000016</v>
      </c>
      <c r="AF74" s="236">
        <f>AD65</f>
        <v>165.48099999999999</v>
      </c>
      <c r="AG74" s="236">
        <f t="shared" si="197"/>
        <v>179.63</v>
      </c>
      <c r="AH74" s="236">
        <f t="shared" si="197"/>
        <v>203.39699999999999</v>
      </c>
      <c r="AI74" s="236">
        <f t="shared" si="197"/>
        <v>236.96899999999997</v>
      </c>
      <c r="AJ74" s="334">
        <f>AE79</f>
        <v>165.48100000000005</v>
      </c>
      <c r="AK74" s="236">
        <f>AI65</f>
        <v>274.07</v>
      </c>
      <c r="AL74" s="236">
        <f t="shared" si="197"/>
        <v>304.21300000000002</v>
      </c>
      <c r="AM74" s="236">
        <f t="shared" si="197"/>
        <v>349.54900000000004</v>
      </c>
      <c r="AN74" s="236">
        <f t="shared" si="197"/>
        <v>394.10900000000004</v>
      </c>
      <c r="AO74" s="334">
        <f>AJ79</f>
        <v>274.07000000000005</v>
      </c>
      <c r="AP74" s="236">
        <f>AN65</f>
        <v>453.529</v>
      </c>
      <c r="AQ74" s="236">
        <f t="shared" si="197"/>
        <v>507.08600000000001</v>
      </c>
      <c r="AR74" s="236">
        <f t="shared" si="197"/>
        <v>565.18799999999999</v>
      </c>
      <c r="AS74" s="236">
        <f t="shared" si="197"/>
        <v>641.64699999999993</v>
      </c>
      <c r="AT74" s="334">
        <f>AO79</f>
        <v>453.52900000000005</v>
      </c>
      <c r="AU74" s="236">
        <f>AS65</f>
        <v>714.14499999999998</v>
      </c>
      <c r="AV74" s="236">
        <f t="shared" si="197"/>
        <v>793.15099999999995</v>
      </c>
      <c r="AW74" s="236">
        <f t="shared" si="197"/>
        <v>874.19299999999998</v>
      </c>
      <c r="AX74" s="236">
        <f t="shared" si="197"/>
        <v>966.55799999999999</v>
      </c>
      <c r="AY74" s="334">
        <f>AT79</f>
        <v>714.14499999999998</v>
      </c>
      <c r="AZ74" s="236">
        <f>AX65</f>
        <v>1073.499</v>
      </c>
      <c r="BA74" s="236">
        <f t="shared" si="197"/>
        <v>1197.329</v>
      </c>
      <c r="BB74" s="236">
        <f t="shared" si="197"/>
        <v>1317.2429999999999</v>
      </c>
      <c r="BC74" s="236">
        <f t="shared" si="197"/>
        <v>1443.5070000000001</v>
      </c>
      <c r="BD74" s="334">
        <f>AY79</f>
        <v>1073.4990000000003</v>
      </c>
      <c r="BE74" s="236">
        <f>BC65</f>
        <v>1468.21</v>
      </c>
      <c r="BF74" s="236">
        <f t="shared" si="197"/>
        <v>1601.0260000000001</v>
      </c>
      <c r="BG74" s="236">
        <f t="shared" si="197"/>
        <v>1754.374</v>
      </c>
      <c r="BH74" s="236">
        <f t="shared" si="197"/>
        <v>1843.029</v>
      </c>
      <c r="BI74" s="334">
        <f>BD79</f>
        <v>1468.2099999999998</v>
      </c>
      <c r="BJ74" s="236">
        <f>BH65</f>
        <v>1965.578</v>
      </c>
      <c r="BK74" s="236">
        <f t="shared" si="197"/>
        <v>2072.7109999999998</v>
      </c>
      <c r="BL74" s="236">
        <f t="shared" si="197"/>
        <v>2267.6969999999997</v>
      </c>
      <c r="BM74" s="236">
        <f t="shared" si="197"/>
        <v>2436.2180000000003</v>
      </c>
      <c r="BN74" s="334">
        <f>BI79</f>
        <v>1965.578</v>
      </c>
      <c r="BO74" s="236">
        <f>BM65</f>
        <v>2653.1769999999997</v>
      </c>
      <c r="BP74" s="236">
        <f t="shared" si="197"/>
        <v>2886.3690000000001</v>
      </c>
      <c r="BQ74" s="236">
        <f t="shared" si="197"/>
        <v>3040.8870000000002</v>
      </c>
      <c r="BR74" s="236">
        <f t="shared" si="197"/>
        <v>3367.1840000000002</v>
      </c>
      <c r="BS74" s="334">
        <f>BN79</f>
        <v>2653.1769999999992</v>
      </c>
      <c r="BT74" s="236">
        <f>BR65</f>
        <v>3584.4309999999996</v>
      </c>
      <c r="BU74" s="236">
        <f t="shared" si="197"/>
        <v>3764.1889999999999</v>
      </c>
      <c r="BV74" s="236">
        <f t="shared" si="197"/>
        <v>3951.8490000000002</v>
      </c>
      <c r="BW74" s="236">
        <f t="shared" si="197"/>
        <v>3939.5219999999999</v>
      </c>
      <c r="BX74" s="334">
        <f>BS79</f>
        <v>3584.4309999999987</v>
      </c>
      <c r="BY74" s="236">
        <f>BW65</f>
        <v>3952.8859999999995</v>
      </c>
      <c r="BZ74" s="236">
        <f t="shared" si="197"/>
        <v>4367.2489999999998</v>
      </c>
      <c r="CA74" s="236">
        <f t="shared" ref="CA74:CL74" si="198">BZ65</f>
        <v>4092.3330000000005</v>
      </c>
      <c r="CB74" s="203">
        <f t="shared" si="198"/>
        <v>4572.3700000000008</v>
      </c>
      <c r="CC74" s="343">
        <f>BX79</f>
        <v>3952.8859999999977</v>
      </c>
      <c r="CD74" s="203">
        <f>CB65</f>
        <v>4854.3829999999998</v>
      </c>
      <c r="CE74" s="203">
        <f t="shared" si="198"/>
        <v>5215.9340000000002</v>
      </c>
      <c r="CF74" s="203">
        <f t="shared" si="198"/>
        <v>5323.7480000000005</v>
      </c>
      <c r="CG74" s="203">
        <f t="shared" si="198"/>
        <v>5648.2759999999998</v>
      </c>
      <c r="CH74" s="343">
        <f>CC79</f>
        <v>4854.3829999999989</v>
      </c>
      <c r="CI74" s="203">
        <f>CG65</f>
        <v>6135.7910000000002</v>
      </c>
      <c r="CJ74" s="203">
        <f t="shared" si="198"/>
        <v>6622.9570000000003</v>
      </c>
      <c r="CK74" s="203">
        <f t="shared" si="198"/>
        <v>6990.8289999999988</v>
      </c>
      <c r="CL74" s="203">
        <f t="shared" si="198"/>
        <v>7381.71</v>
      </c>
      <c r="CM74" s="343">
        <f>CH79</f>
        <v>6135.7909999999993</v>
      </c>
      <c r="CN74" s="203">
        <f>CL65</f>
        <v>7740.2179999999998</v>
      </c>
      <c r="CO74" s="524">
        <f t="shared" ref="CO74:DA74" si="199">CN65</f>
        <v>8178.5000000000009</v>
      </c>
      <c r="CP74" s="203">
        <f>CO65</f>
        <v>8540.8000000000011</v>
      </c>
      <c r="CQ74" s="203">
        <f t="shared" si="199"/>
        <v>8827</v>
      </c>
      <c r="CR74" s="343">
        <f>CM79</f>
        <v>7740.2179999999989</v>
      </c>
      <c r="CS74" s="203">
        <f>CQ65</f>
        <v>9278.1</v>
      </c>
      <c r="CT74" s="524">
        <f t="shared" si="199"/>
        <v>9612.2999999999993</v>
      </c>
      <c r="CU74" s="524">
        <f t="shared" si="199"/>
        <v>9862.8999999999978</v>
      </c>
      <c r="CV74" s="524">
        <f t="shared" si="199"/>
        <v>10292.299999999999</v>
      </c>
      <c r="CW74" s="343">
        <f>CR79</f>
        <v>9278.1000000000022</v>
      </c>
      <c r="CX74" s="203">
        <f>CV65</f>
        <v>10728</v>
      </c>
      <c r="CY74" s="524">
        <f t="shared" si="199"/>
        <v>9983</v>
      </c>
      <c r="CZ74" s="203">
        <f t="shared" si="199"/>
        <v>10483</v>
      </c>
      <c r="DA74" s="203">
        <f t="shared" si="199"/>
        <v>10979</v>
      </c>
      <c r="DB74" s="343">
        <f>CW79</f>
        <v>10728</v>
      </c>
      <c r="DC74" s="203">
        <f>DA65</f>
        <v>10669</v>
      </c>
      <c r="DD74" s="203">
        <f t="shared" ref="DD74:DK74" si="200">DC65</f>
        <v>10966.173420960631</v>
      </c>
      <c r="DE74" s="203">
        <f t="shared" si="200"/>
        <v>11296.267986254366</v>
      </c>
      <c r="DF74" s="203">
        <f t="shared" si="200"/>
        <v>11648.657134593446</v>
      </c>
      <c r="DG74" s="343">
        <f>DB79</f>
        <v>10669</v>
      </c>
      <c r="DH74" s="203">
        <f>DF65</f>
        <v>12034.952691462446</v>
      </c>
      <c r="DI74" s="203">
        <f t="shared" si="200"/>
        <v>12350.064385156606</v>
      </c>
      <c r="DJ74" s="203">
        <f t="shared" si="200"/>
        <v>12694.618495416758</v>
      </c>
      <c r="DK74" s="203">
        <f t="shared" si="200"/>
        <v>13057.650471949244</v>
      </c>
      <c r="DL74" s="343">
        <f>DG79</f>
        <v>12034.952691462444</v>
      </c>
      <c r="DM74" s="203">
        <f>DK65</f>
        <v>13435.010028234145</v>
      </c>
      <c r="DN74" s="203">
        <f t="shared" ref="DN74" si="201">DM65</f>
        <v>13807.990804671665</v>
      </c>
      <c r="DO74" s="203">
        <f t="shared" ref="DO74" si="202">DN65</f>
        <v>14212.22051349335</v>
      </c>
      <c r="DP74" s="203">
        <f t="shared" ref="DP74" si="203">DO65</f>
        <v>14638.118609367673</v>
      </c>
      <c r="DQ74" s="343">
        <f>DL79</f>
        <v>13435.010028234143</v>
      </c>
      <c r="DR74" s="169"/>
      <c r="DS74" s="269"/>
      <c r="DT74"/>
      <c r="DU74"/>
      <c r="DV74"/>
      <c r="DW74"/>
      <c r="DX74"/>
      <c r="DY74"/>
    </row>
    <row r="75" spans="1:129" s="154" customFormat="1">
      <c r="A75" s="137"/>
      <c r="B75" s="136"/>
      <c r="C75" s="135" t="s">
        <v>108</v>
      </c>
      <c r="D75" s="135"/>
      <c r="E75" s="135"/>
      <c r="F75" s="135"/>
      <c r="G75" s="263"/>
      <c r="H75" s="264"/>
      <c r="I75" s="264">
        <f>IS!I76</f>
        <v>1.6999999999999986</v>
      </c>
      <c r="J75" s="265">
        <f>IS!J76</f>
        <v>2.5549999999999988</v>
      </c>
      <c r="K75" s="333"/>
      <c r="L75" s="264">
        <f>IS!L76</f>
        <v>2.7589999999999977</v>
      </c>
      <c r="M75" s="264">
        <f>IS!M76</f>
        <v>2.5550000000000024</v>
      </c>
      <c r="N75" s="264">
        <f>IS!N76</f>
        <v>2.8600000000000021</v>
      </c>
      <c r="O75" s="265">
        <f>IS!O76</f>
        <v>3.0599999999999961</v>
      </c>
      <c r="P75" s="333">
        <f>SUM(L75:O75)</f>
        <v>11.233999999999998</v>
      </c>
      <c r="Q75" s="264">
        <f>IS!Q76</f>
        <v>3.4610000000000007</v>
      </c>
      <c r="R75" s="264">
        <f>IS!R76</f>
        <v>4.0169999999999977</v>
      </c>
      <c r="S75" s="264">
        <f>IS!S76</f>
        <v>4.7850000000000001</v>
      </c>
      <c r="T75" s="265">
        <f>IS!T76</f>
        <v>5.419999999999991</v>
      </c>
      <c r="U75" s="333">
        <f>SUM(Q75:T75)</f>
        <v>17.682999999999989</v>
      </c>
      <c r="V75" s="264">
        <f>IS!V76</f>
        <v>5.5650000000000022</v>
      </c>
      <c r="W75" s="264">
        <f>IS!W76</f>
        <v>5.8470000000000013</v>
      </c>
      <c r="X75" s="264">
        <f>IS!X76</f>
        <v>6.1079999999999997</v>
      </c>
      <c r="Y75" s="265">
        <f>IS!Y76</f>
        <v>6.5949999999999989</v>
      </c>
      <c r="Z75" s="333">
        <f>SUM(V75:Y75)</f>
        <v>24.115000000000002</v>
      </c>
      <c r="AA75" s="264">
        <f>IS!AA76</f>
        <v>7.1090000000000018</v>
      </c>
      <c r="AB75" s="264">
        <f>IS!AB76</f>
        <v>8.6469999999999985</v>
      </c>
      <c r="AC75" s="264">
        <f>IS!AC76</f>
        <v>9.6669999999999998</v>
      </c>
      <c r="AD75" s="264">
        <f>IS!AD76</f>
        <v>10.818999999999992</v>
      </c>
      <c r="AE75" s="333">
        <f>SUM(AA75:AD75)</f>
        <v>36.24199999999999</v>
      </c>
      <c r="AF75" s="264">
        <f>IS!AF76</f>
        <v>12.188000000000002</v>
      </c>
      <c r="AG75" s="264">
        <f>IS!AG76</f>
        <v>13.501999999999999</v>
      </c>
      <c r="AH75" s="264">
        <f>IS!AH76</f>
        <v>15.96</v>
      </c>
      <c r="AI75" s="264">
        <f>IS!AI76</f>
        <v>17.724999999999998</v>
      </c>
      <c r="AJ75" s="333">
        <f>SUM(AF75:AI75)</f>
        <v>59.375</v>
      </c>
      <c r="AK75" s="264">
        <f>IS!AK76</f>
        <v>19.787999999999997</v>
      </c>
      <c r="AL75" s="264">
        <f>IS!AL76</f>
        <v>23.800999999999984</v>
      </c>
      <c r="AM75" s="264">
        <f>IS!AM76</f>
        <v>26.052000000000007</v>
      </c>
      <c r="AN75" s="264">
        <f>IS!AN76</f>
        <v>30.602000000000011</v>
      </c>
      <c r="AO75" s="333">
        <f>SUM(AK75:AN75)</f>
        <v>100.24299999999999</v>
      </c>
      <c r="AP75" s="264">
        <f>IS!AP76</f>
        <v>31.978000000000019</v>
      </c>
      <c r="AQ75" s="264">
        <f>IS!AQ76</f>
        <v>36.031999999999989</v>
      </c>
      <c r="AR75" s="264">
        <f>IS!AR76</f>
        <v>40.582999999999984</v>
      </c>
      <c r="AS75" s="264">
        <f>IS!AS76</f>
        <v>57.67300000000003</v>
      </c>
      <c r="AT75" s="333">
        <f>SUM(AP75:AS75)</f>
        <v>166.26600000000002</v>
      </c>
      <c r="AU75" s="264">
        <f>IS!AU76</f>
        <v>47.163999999999994</v>
      </c>
      <c r="AV75" s="264">
        <f>IS!AV76</f>
        <v>55.071000000000026</v>
      </c>
      <c r="AW75" s="264">
        <f>IS!AW76</f>
        <v>61.027000000000058</v>
      </c>
      <c r="AX75" s="264">
        <f>IS!AX76</f>
        <v>69.533000000000001</v>
      </c>
      <c r="AY75" s="333">
        <f>SUM(AU75:AX75)</f>
        <v>232.79500000000007</v>
      </c>
      <c r="AZ75" s="264">
        <f>IS!AZ76</f>
        <v>75.446000000000041</v>
      </c>
      <c r="BA75" s="264">
        <f>IS!BA76</f>
        <v>82.276999999999987</v>
      </c>
      <c r="BB75" s="264">
        <f>IS!BB76</f>
        <v>96.153999999999996</v>
      </c>
      <c r="BC75" s="264">
        <f>IS!BC76</f>
        <v>96.255999999999915</v>
      </c>
      <c r="BD75" s="333">
        <f>SUM(AZ75:BC75)</f>
        <v>350.13299999999992</v>
      </c>
      <c r="BE75" s="264">
        <f>IS!BE76</f>
        <v>101.873</v>
      </c>
      <c r="BF75" s="264">
        <f>IS!BF76</f>
        <v>103.85600000000002</v>
      </c>
      <c r="BG75" s="264">
        <f>IS!BG76</f>
        <v>112.82800000000003</v>
      </c>
      <c r="BH75" s="264">
        <f>IS!BH76</f>
        <v>112.28799999999995</v>
      </c>
      <c r="BI75" s="333">
        <f>SUM(BE75:BH75)</f>
        <v>430.84500000000003</v>
      </c>
      <c r="BJ75" s="264">
        <f>IS!BJ76</f>
        <v>113.13200000000003</v>
      </c>
      <c r="BK75" s="264">
        <f>IS!BK76</f>
        <v>141.25500000000002</v>
      </c>
      <c r="BL75" s="264">
        <f>IS!BL76</f>
        <v>136.57200000000017</v>
      </c>
      <c r="BM75" s="264">
        <f>IS!BM76</f>
        <v>144.00399999999973</v>
      </c>
      <c r="BN75" s="333">
        <f>SUM(BJ75:BM75)</f>
        <v>534.96299999999997</v>
      </c>
      <c r="BO75" s="264">
        <f>IS!BO76</f>
        <v>151.5</v>
      </c>
      <c r="BP75" s="264">
        <f>IS!BP76</f>
        <v>172.17499999999998</v>
      </c>
      <c r="BQ75" s="264">
        <f>IS!BQ76</f>
        <v>203.69899999999996</v>
      </c>
      <c r="BR75" s="264">
        <f>IS!BR76</f>
        <v>206.16599999999988</v>
      </c>
      <c r="BS75" s="333">
        <f>SUM(BO75:BR75)</f>
        <v>733.53999999999974</v>
      </c>
      <c r="BT75" s="264">
        <f>IS!BT76</f>
        <v>208.32699999999988</v>
      </c>
      <c r="BU75" s="264">
        <f>IS!BU76</f>
        <v>208.04499999999996</v>
      </c>
      <c r="BV75" s="264">
        <f>IS!BV76</f>
        <v>227.11899999999994</v>
      </c>
      <c r="BW75" s="264">
        <f>IS!BW76</f>
        <v>240.12699999999992</v>
      </c>
      <c r="BX75" s="333">
        <f>SUM(BT75:BW75)</f>
        <v>883.61799999999971</v>
      </c>
      <c r="BY75" s="264">
        <f>IS!BY76</f>
        <v>243.65100000000015</v>
      </c>
      <c r="BZ75" s="264">
        <f>IS!BZ76</f>
        <v>251.93200000000016</v>
      </c>
      <c r="CA75" s="264">
        <f>IS!CA76</f>
        <v>276.90100000000018</v>
      </c>
      <c r="CB75" s="228">
        <f>IS!CB76</f>
        <v>278.77900000000022</v>
      </c>
      <c r="CC75" s="333">
        <f>SUM(BY75:CB75)</f>
        <v>1051.2630000000008</v>
      </c>
      <c r="CD75" s="228">
        <f>IS!CD76</f>
        <v>284.20900000000017</v>
      </c>
      <c r="CE75" s="228">
        <f>IS!CE76</f>
        <v>300.40999999999985</v>
      </c>
      <c r="CF75" s="228">
        <f>IS!CF76</f>
        <v>319.62699999999995</v>
      </c>
      <c r="CG75" s="228">
        <f>IS!CG76</f>
        <v>324.33199999999988</v>
      </c>
      <c r="CH75" s="333">
        <f>SUM(CD75:CG75)</f>
        <v>1228.578</v>
      </c>
      <c r="CI75" s="228">
        <f>IS!CI76</f>
        <v>348.87799999999999</v>
      </c>
      <c r="CJ75" s="228">
        <f>IS!CJ76</f>
        <v>371.90799999999962</v>
      </c>
      <c r="CK75" s="228">
        <f>IS!CK76</f>
        <v>355.62399999999957</v>
      </c>
      <c r="CL75" s="228">
        <f>IS!CL76</f>
        <v>362.8660000000001</v>
      </c>
      <c r="CM75" s="364">
        <f>SUM(CI75:CL75)</f>
        <v>1439.2759999999994</v>
      </c>
      <c r="CN75" s="228">
        <f>IS!CN76</f>
        <v>382.9000000000002</v>
      </c>
      <c r="CO75" s="228">
        <f>IS!CO76</f>
        <v>420.10000000000008</v>
      </c>
      <c r="CP75" s="228">
        <f>IS!CP76</f>
        <v>397.19999999999987</v>
      </c>
      <c r="CQ75" s="228">
        <f>IS!CQ76</f>
        <v>423.40000000000015</v>
      </c>
      <c r="CR75" s="364">
        <f>SUM(CN75:CQ75)</f>
        <v>1623.6000000000001</v>
      </c>
      <c r="CS75" s="228">
        <f>IS!CS76</f>
        <v>441.09999999999968</v>
      </c>
      <c r="CT75" s="228">
        <f>IS!CT76</f>
        <v>252.39999999999998</v>
      </c>
      <c r="CU75" s="228">
        <f>IS!CU76</f>
        <v>444.4</v>
      </c>
      <c r="CV75" s="228">
        <f>IS!CV76</f>
        <v>416</v>
      </c>
      <c r="CW75" s="364">
        <f>IS!CW76</f>
        <v>1553.8999999999996</v>
      </c>
      <c r="CX75" s="228">
        <f>IS!CX76</f>
        <v>557</v>
      </c>
      <c r="CY75" s="228">
        <f>IS!CY76</f>
        <v>470</v>
      </c>
      <c r="CZ75" s="228">
        <f>IS!CZ76</f>
        <v>495</v>
      </c>
      <c r="DA75" s="228">
        <f>IS!DA76</f>
        <v>-18</v>
      </c>
      <c r="DB75" s="364">
        <f>IS!DB76</f>
        <v>1504</v>
      </c>
      <c r="DC75" s="228">
        <f>IS!DC76</f>
        <v>561.56931106164393</v>
      </c>
      <c r="DD75" s="228">
        <f>IS!DD76</f>
        <v>592.11073254971529</v>
      </c>
      <c r="DE75" s="228">
        <f>IS!DE76</f>
        <v>612.73702270489059</v>
      </c>
      <c r="DF75" s="228">
        <f>IS!DF76</f>
        <v>645.31861575136293</v>
      </c>
      <c r="DG75" s="364">
        <f>IS!DG76</f>
        <v>2411.7356820676127</v>
      </c>
      <c r="DH75" s="228">
        <f>IS!DH76</f>
        <v>648.50859669975773</v>
      </c>
      <c r="DI75" s="228">
        <f>IS!DI76</f>
        <v>675.24668919986061</v>
      </c>
      <c r="DJ75" s="228">
        <f>IS!DJ76</f>
        <v>691.80575169392205</v>
      </c>
      <c r="DK75" s="228">
        <f>IS!DK76</f>
        <v>704.66685503828467</v>
      </c>
      <c r="DL75" s="364">
        <f>IS!DL76</f>
        <v>2720.2278926318249</v>
      </c>
      <c r="DM75" s="228">
        <f>IS!DM76</f>
        <v>699.6007210597154</v>
      </c>
      <c r="DN75" s="228">
        <f>IS!DN76</f>
        <v>728.18026945187671</v>
      </c>
      <c r="DO75" s="228">
        <f>IS!DO76</f>
        <v>747.76465543152813</v>
      </c>
      <c r="DP75" s="228">
        <f>IS!DP76</f>
        <v>760.33843862115282</v>
      </c>
      <c r="DQ75" s="364">
        <f>IS!DQ76</f>
        <v>2935.8840845642731</v>
      </c>
      <c r="DR75" s="136"/>
      <c r="DS75" s="145"/>
      <c r="DT75"/>
      <c r="DU75"/>
      <c r="DV75"/>
      <c r="DW75"/>
      <c r="DX75"/>
      <c r="DY75"/>
    </row>
    <row r="76" spans="1:129" s="154" customFormat="1">
      <c r="A76" s="137"/>
      <c r="B76" s="136"/>
      <c r="C76" s="135" t="s">
        <v>109</v>
      </c>
      <c r="D76" s="135"/>
      <c r="E76" s="135"/>
      <c r="F76" s="135"/>
      <c r="G76" s="263"/>
      <c r="H76" s="264"/>
      <c r="I76" s="264">
        <f>I64-H64</f>
        <v>-2E-3</v>
      </c>
      <c r="J76" s="265">
        <f t="shared" ref="J76:BZ76" si="204">J64-I64</f>
        <v>-8.9999999999999993E-3</v>
      </c>
      <c r="K76" s="333"/>
      <c r="L76" s="264">
        <f>L64-J64</f>
        <v>-5.000000000000001E-3</v>
      </c>
      <c r="M76" s="264">
        <f t="shared" si="204"/>
        <v>-8.0000000000000002E-3</v>
      </c>
      <c r="N76" s="264">
        <f t="shared" si="204"/>
        <v>2.8000000000000001E-2</v>
      </c>
      <c r="O76" s="265">
        <f t="shared" si="204"/>
        <v>-1.2999999999999999E-2</v>
      </c>
      <c r="P76" s="333">
        <f>SUM(L76:O76)</f>
        <v>2E-3</v>
      </c>
      <c r="Q76" s="264">
        <f>Q64-O64</f>
        <v>3.9999999999999992E-3</v>
      </c>
      <c r="R76" s="264">
        <f t="shared" si="204"/>
        <v>-2.9000000000000001E-2</v>
      </c>
      <c r="S76" s="264">
        <f t="shared" si="204"/>
        <v>-1.9999999999999997E-2</v>
      </c>
      <c r="T76" s="265">
        <f t="shared" si="204"/>
        <v>3.9999999999999966E-3</v>
      </c>
      <c r="U76" s="333">
        <f>SUM(Q76:T76)</f>
        <v>-4.1000000000000002E-2</v>
      </c>
      <c r="V76" s="264">
        <f>V64-T64</f>
        <v>-0.11600000000000001</v>
      </c>
      <c r="W76" s="264">
        <f t="shared" si="204"/>
        <v>7.0000000000000062E-3</v>
      </c>
      <c r="X76" s="264">
        <f t="shared" si="204"/>
        <v>0.05</v>
      </c>
      <c r="Y76" s="265">
        <f t="shared" si="204"/>
        <v>-4.9000000000000002E-2</v>
      </c>
      <c r="Z76" s="333">
        <f>SUM(V76:Y76)</f>
        <v>-0.108</v>
      </c>
      <c r="AA76" s="264">
        <f>AA64-Y64</f>
        <v>-4.5999999999999985E-2</v>
      </c>
      <c r="AB76" s="264">
        <f t="shared" si="204"/>
        <v>0.14199999999999999</v>
      </c>
      <c r="AC76" s="264">
        <f t="shared" si="204"/>
        <v>-0.19400000000000001</v>
      </c>
      <c r="AD76" s="264">
        <f t="shared" si="204"/>
        <v>7.1000000000000008E-2</v>
      </c>
      <c r="AE76" s="333">
        <f>SUM(AA76:AD76)</f>
        <v>-2.6999999999999996E-2</v>
      </c>
      <c r="AF76" s="264">
        <f>AF64-AD64</f>
        <v>-1.0000000000000009E-2</v>
      </c>
      <c r="AG76" s="264">
        <f t="shared" si="204"/>
        <v>0.14000000000000001</v>
      </c>
      <c r="AH76" s="264">
        <f t="shared" si="204"/>
        <v>0.29199999999999998</v>
      </c>
      <c r="AI76" s="264">
        <f t="shared" si="204"/>
        <v>3.7629999999999999</v>
      </c>
      <c r="AJ76" s="333">
        <f>SUM(AF76:AI76)</f>
        <v>4.1849999999999996</v>
      </c>
      <c r="AK76" s="264">
        <f>AK64-AI64</f>
        <v>1.5220000000000002</v>
      </c>
      <c r="AL76" s="264">
        <f t="shared" si="204"/>
        <v>-1.2170000000000005</v>
      </c>
      <c r="AM76" s="264">
        <f t="shared" si="204"/>
        <v>-0.12800000000000011</v>
      </c>
      <c r="AN76" s="264">
        <f t="shared" si="204"/>
        <v>5.4719999999999995</v>
      </c>
      <c r="AO76" s="333">
        <f>SUM(AK76:AN76)</f>
        <v>5.6489999999999991</v>
      </c>
      <c r="AP76" s="264">
        <f>AP64-AN64</f>
        <v>-1.5809999999999995</v>
      </c>
      <c r="AQ76" s="264">
        <f t="shared" si="204"/>
        <v>-3.5279999999999996</v>
      </c>
      <c r="AR76" s="264">
        <f t="shared" si="204"/>
        <v>-0.88500000000000023</v>
      </c>
      <c r="AS76" s="264">
        <f t="shared" si="204"/>
        <v>-1.5339999999999998</v>
      </c>
      <c r="AT76" s="333">
        <f>SUM(AP76:AS76)</f>
        <v>-7.5279999999999996</v>
      </c>
      <c r="AU76" s="264">
        <f>AU64-AS64</f>
        <v>0.72199999999999998</v>
      </c>
      <c r="AV76" s="264">
        <f t="shared" si="204"/>
        <v>4.218</v>
      </c>
      <c r="AW76" s="264">
        <f t="shared" si="204"/>
        <v>0.80100000000000016</v>
      </c>
      <c r="AX76" s="264">
        <f t="shared" si="204"/>
        <v>3.9160000000000004</v>
      </c>
      <c r="AY76" s="333">
        <f>SUM(AU76:AX76)</f>
        <v>9.657</v>
      </c>
      <c r="AZ76" s="264">
        <f>AZ64-AX64</f>
        <v>0.60799999999999876</v>
      </c>
      <c r="BA76" s="264">
        <f t="shared" si="204"/>
        <v>1.6900000000000013</v>
      </c>
      <c r="BB76" s="264">
        <f t="shared" si="204"/>
        <v>2.6780000000000008</v>
      </c>
      <c r="BC76" s="264">
        <f t="shared" si="204"/>
        <v>-1.5510000000000019</v>
      </c>
      <c r="BD76" s="333">
        <f>SUM(AZ76:BC76)</f>
        <v>3.4249999999999989</v>
      </c>
      <c r="BE76" s="264">
        <f>BE64-BC64</f>
        <v>0.8539999999999992</v>
      </c>
      <c r="BF76" s="264">
        <f t="shared" si="204"/>
        <v>-2.1249999999999982</v>
      </c>
      <c r="BG76" s="264">
        <f t="shared" si="204"/>
        <v>-15.461</v>
      </c>
      <c r="BH76" s="264">
        <f t="shared" si="204"/>
        <v>-7.9499999999999993</v>
      </c>
      <c r="BI76" s="333">
        <f>SUM(BE76:BH76)</f>
        <v>-24.681999999999999</v>
      </c>
      <c r="BJ76" s="264">
        <f>BJ64-BH64</f>
        <v>-15.516999999999999</v>
      </c>
      <c r="BK76" s="264">
        <f t="shared" si="204"/>
        <v>32.89</v>
      </c>
      <c r="BL76" s="264">
        <f t="shared" si="204"/>
        <v>-1.5300000000000002</v>
      </c>
      <c r="BM76" s="264">
        <f t="shared" si="204"/>
        <v>13.913</v>
      </c>
      <c r="BN76" s="333">
        <f>SUM(BJ76:BM76)</f>
        <v>29.756</v>
      </c>
      <c r="BO76" s="264">
        <f>BO64-BM64</f>
        <v>23.765999999999998</v>
      </c>
      <c r="BP76" s="264">
        <f t="shared" si="204"/>
        <v>-65.12299999999999</v>
      </c>
      <c r="BQ76" s="264">
        <f t="shared" si="204"/>
        <v>46.789000000000001</v>
      </c>
      <c r="BR76" s="264">
        <f t="shared" si="204"/>
        <v>9.8889999999999993</v>
      </c>
      <c r="BS76" s="333">
        <f>SUM(BO76:BR76)</f>
        <v>15.321000000000009</v>
      </c>
      <c r="BT76" s="264">
        <f>BT64-BR64</f>
        <v>4.3520000000000039</v>
      </c>
      <c r="BU76" s="264">
        <f t="shared" si="204"/>
        <v>36.686999999999998</v>
      </c>
      <c r="BV76" s="264">
        <f t="shared" si="204"/>
        <v>-127.318</v>
      </c>
      <c r="BW76" s="264">
        <f t="shared" si="204"/>
        <v>-274.71300000000002</v>
      </c>
      <c r="BX76" s="333">
        <f>SUM(BT76:BW76)</f>
        <v>-360.99200000000002</v>
      </c>
      <c r="BY76" s="264">
        <f>BY64-BW64</f>
        <v>132.06300000000002</v>
      </c>
      <c r="BZ76" s="264">
        <f t="shared" si="204"/>
        <v>-203.41</v>
      </c>
      <c r="CA76" s="264">
        <f t="shared" ref="CA76:CL76" si="205">CA64-BZ64</f>
        <v>206.69799999999998</v>
      </c>
      <c r="CB76" s="228">
        <f t="shared" si="205"/>
        <v>-49.639999999999986</v>
      </c>
      <c r="CC76" s="333">
        <f>SUM(BY76:CB76)</f>
        <v>85.711000000000013</v>
      </c>
      <c r="CD76" s="228">
        <f>CD64-CB64</f>
        <v>26.548000000000684</v>
      </c>
      <c r="CE76" s="228">
        <f t="shared" si="205"/>
        <v>-111.46700000000067</v>
      </c>
      <c r="CF76" s="228">
        <f t="shared" si="205"/>
        <v>-50.487000000000023</v>
      </c>
      <c r="CG76" s="228">
        <f t="shared" si="205"/>
        <v>98.829999999999984</v>
      </c>
      <c r="CH76" s="333">
        <f>SUM(CD76:CG76)</f>
        <v>-36.576000000000022</v>
      </c>
      <c r="CI76" s="228">
        <f>CI64-CG64</f>
        <v>217.47100000000046</v>
      </c>
      <c r="CJ76" s="228">
        <f t="shared" si="205"/>
        <v>-52.672000000000438</v>
      </c>
      <c r="CK76" s="228">
        <f t="shared" si="205"/>
        <v>12.386000000000905</v>
      </c>
      <c r="CL76" s="228">
        <f t="shared" si="205"/>
        <v>-23.994000000000909</v>
      </c>
      <c r="CM76" s="364">
        <f>SUM(CI76:CL76)</f>
        <v>153.19100000000003</v>
      </c>
      <c r="CN76" s="228">
        <f>CN64-CL64</f>
        <v>3.7680000000000007</v>
      </c>
      <c r="CO76" s="525">
        <f t="shared" ref="CO76:DA76" si="206">CO64-CN64</f>
        <v>28.799999999999997</v>
      </c>
      <c r="CP76" s="228">
        <f>CP64-CO64</f>
        <v>-22.799999999999997</v>
      </c>
      <c r="CQ76" s="228">
        <f t="shared" si="206"/>
        <v>7.0999999999999943</v>
      </c>
      <c r="CR76" s="364">
        <f>SUM(CN76:CQ76)</f>
        <v>16.867999999999995</v>
      </c>
      <c r="CS76" s="228">
        <f>CS64-CQ64</f>
        <v>44.6</v>
      </c>
      <c r="CT76" s="525">
        <f t="shared" si="206"/>
        <v>-34.1</v>
      </c>
      <c r="CU76" s="525">
        <f t="shared" si="206"/>
        <v>39.5</v>
      </c>
      <c r="CV76" s="525">
        <f t="shared" si="206"/>
        <v>-57.8</v>
      </c>
      <c r="CW76" s="364">
        <f>CW64-CR64</f>
        <v>-7.7999999999999972</v>
      </c>
      <c r="CX76" s="228">
        <f>CX64-CV64</f>
        <v>97</v>
      </c>
      <c r="CY76" s="525">
        <f t="shared" si="206"/>
        <v>50</v>
      </c>
      <c r="CZ76" s="228">
        <f t="shared" si="206"/>
        <v>11</v>
      </c>
      <c r="DA76" s="228">
        <f t="shared" si="206"/>
        <v>26</v>
      </c>
      <c r="DB76" s="364">
        <f>DB64-CW64</f>
        <v>184</v>
      </c>
      <c r="DC76" s="228">
        <f>DC64-DA64</f>
        <v>0</v>
      </c>
      <c r="DD76" s="228">
        <f t="shared" ref="DD76:DK76" si="207">DD64-DC64</f>
        <v>0</v>
      </c>
      <c r="DE76" s="228">
        <f t="shared" si="207"/>
        <v>0</v>
      </c>
      <c r="DF76" s="228">
        <f t="shared" si="207"/>
        <v>0</v>
      </c>
      <c r="DG76" s="364">
        <f>DG64-DB64</f>
        <v>0</v>
      </c>
      <c r="DH76" s="228">
        <f>DH64-DF64</f>
        <v>0</v>
      </c>
      <c r="DI76" s="228">
        <f t="shared" si="207"/>
        <v>0</v>
      </c>
      <c r="DJ76" s="228">
        <f t="shared" si="207"/>
        <v>0</v>
      </c>
      <c r="DK76" s="228">
        <f t="shared" si="207"/>
        <v>0</v>
      </c>
      <c r="DL76" s="364">
        <f>DL64-DG64</f>
        <v>0</v>
      </c>
      <c r="DM76" s="228">
        <f>DM64-DK64</f>
        <v>0</v>
      </c>
      <c r="DN76" s="228">
        <f t="shared" ref="DN76" si="208">DN64-DM64</f>
        <v>0</v>
      </c>
      <c r="DO76" s="228">
        <f t="shared" ref="DO76" si="209">DO64-DN64</f>
        <v>0</v>
      </c>
      <c r="DP76" s="228">
        <f t="shared" ref="DP76" si="210">DP64-DO64</f>
        <v>0</v>
      </c>
      <c r="DQ76" s="364">
        <f>DQ64-DL64</f>
        <v>0</v>
      </c>
      <c r="DR76" s="136"/>
      <c r="DS76" s="145"/>
      <c r="DT76"/>
      <c r="DU76"/>
      <c r="DV76"/>
      <c r="DW76"/>
      <c r="DX76"/>
      <c r="DY76"/>
    </row>
    <row r="77" spans="1:129" s="154" customFormat="1">
      <c r="A77" s="137"/>
      <c r="B77" s="136"/>
      <c r="C77" s="135" t="s">
        <v>133</v>
      </c>
      <c r="D77" s="135"/>
      <c r="E77" s="135"/>
      <c r="F77" s="135"/>
      <c r="G77" s="263"/>
      <c r="H77" s="264"/>
      <c r="I77" s="264">
        <f>I61+I62-(H61+H62)</f>
        <v>7.7999999999999403E-2</v>
      </c>
      <c r="J77" s="265">
        <f t="shared" ref="J77:BZ77" si="211">J61+J62-(I61+I62)</f>
        <v>0.1889999999999965</v>
      </c>
      <c r="K77" s="333"/>
      <c r="L77" s="264">
        <f>L61+L62-(J61+J62)</f>
        <v>9.6000000000000085E-2</v>
      </c>
      <c r="M77" s="264">
        <f t="shared" si="211"/>
        <v>0.12600000000000122</v>
      </c>
      <c r="N77" s="264">
        <f t="shared" si="211"/>
        <v>3.5000000000000142E-2</v>
      </c>
      <c r="O77" s="265">
        <f t="shared" si="211"/>
        <v>1.3520000000000003</v>
      </c>
      <c r="P77" s="333">
        <f>SUM(L77:O77)</f>
        <v>1.6090000000000018</v>
      </c>
      <c r="Q77" s="264">
        <f>Q61+Q62-(O61+O62)</f>
        <v>0.38100000000000023</v>
      </c>
      <c r="R77" s="264">
        <f t="shared" si="211"/>
        <v>1.3300000000000018</v>
      </c>
      <c r="S77" s="264">
        <f t="shared" si="211"/>
        <v>0.74099999999999966</v>
      </c>
      <c r="T77" s="265">
        <f t="shared" si="211"/>
        <v>0.56099999999999994</v>
      </c>
      <c r="U77" s="333">
        <f>SUM(Q77:T77)</f>
        <v>3.0130000000000017</v>
      </c>
      <c r="V77" s="264">
        <f>V61+V62-(T61+T62)</f>
        <v>1.2800000000000011</v>
      </c>
      <c r="W77" s="264">
        <f t="shared" si="211"/>
        <v>4.2539999999999978</v>
      </c>
      <c r="X77" s="264">
        <f t="shared" si="211"/>
        <v>3.384999999999998</v>
      </c>
      <c r="Y77" s="265">
        <f t="shared" si="211"/>
        <v>1.7049999999999983</v>
      </c>
      <c r="Z77" s="333">
        <f>SUM(V77:Y77)</f>
        <v>10.623999999999995</v>
      </c>
      <c r="AA77" s="264">
        <f>AA61+AA62-(Y61+Y62)</f>
        <v>1.0980000000000061</v>
      </c>
      <c r="AB77" s="264">
        <f t="shared" si="211"/>
        <v>7.3509999999999991</v>
      </c>
      <c r="AC77" s="264">
        <f t="shared" si="211"/>
        <v>10.056000000000004</v>
      </c>
      <c r="AD77" s="264">
        <f t="shared" si="211"/>
        <v>13.648999999999987</v>
      </c>
      <c r="AE77" s="333">
        <f>SUM(AA77:AD77)</f>
        <v>32.153999999999996</v>
      </c>
      <c r="AF77" s="264">
        <f>AF61+AF62-(AD61+AD62)</f>
        <v>3.9810000000000088</v>
      </c>
      <c r="AG77" s="264">
        <f t="shared" si="211"/>
        <v>10.125</v>
      </c>
      <c r="AH77" s="264">
        <f t="shared" si="211"/>
        <v>17.319999999999993</v>
      </c>
      <c r="AI77" s="264">
        <f t="shared" si="211"/>
        <v>15.613</v>
      </c>
      <c r="AJ77" s="333">
        <f>SUM(AF77:AI77)</f>
        <v>47.039000000000001</v>
      </c>
      <c r="AK77" s="264">
        <f>AK61+AK62-(AI61+AI62)</f>
        <v>8.8330000000000126</v>
      </c>
      <c r="AL77" s="264">
        <f t="shared" si="211"/>
        <v>22.75200000000001</v>
      </c>
      <c r="AM77" s="264">
        <f t="shared" si="211"/>
        <v>18.635999999999967</v>
      </c>
      <c r="AN77" s="264">
        <f t="shared" si="211"/>
        <v>23.346000000000032</v>
      </c>
      <c r="AO77" s="333">
        <f>SUM(AK77:AN77)</f>
        <v>73.567000000000021</v>
      </c>
      <c r="AP77" s="264">
        <f>AP61+AP62-(AN61+AN62)</f>
        <v>23.159999999999997</v>
      </c>
      <c r="AQ77" s="264">
        <f t="shared" si="211"/>
        <v>25.597999999999985</v>
      </c>
      <c r="AR77" s="264">
        <f t="shared" si="211"/>
        <v>36.760999999999996</v>
      </c>
      <c r="AS77" s="264">
        <f t="shared" si="211"/>
        <v>16.35899999999998</v>
      </c>
      <c r="AT77" s="333">
        <f>SUM(AP77:AS77)</f>
        <v>101.87799999999996</v>
      </c>
      <c r="AU77" s="264">
        <f>AU61+AU62-(AS61+AS62)</f>
        <v>31.120000000000061</v>
      </c>
      <c r="AV77" s="264">
        <f t="shared" si="211"/>
        <v>21.752999999999929</v>
      </c>
      <c r="AW77" s="264">
        <f t="shared" si="211"/>
        <v>30.537000000000035</v>
      </c>
      <c r="AX77" s="264">
        <f t="shared" si="211"/>
        <v>33.492000000000019</v>
      </c>
      <c r="AY77" s="333">
        <f>SUM(AU77:AX77)</f>
        <v>116.90200000000004</v>
      </c>
      <c r="AZ77" s="264">
        <f>AZ61+AZ62-(AX61+AX62)</f>
        <v>48.625999999999976</v>
      </c>
      <c r="BA77" s="264">
        <f t="shared" si="211"/>
        <v>35.94700000000006</v>
      </c>
      <c r="BB77" s="264">
        <f t="shared" si="211"/>
        <v>27.432000000000016</v>
      </c>
      <c r="BC77" s="264">
        <f t="shared" si="211"/>
        <v>-70.002000000000066</v>
      </c>
      <c r="BD77" s="333">
        <f>SUM(AZ77:BC77)</f>
        <v>42.002999999999986</v>
      </c>
      <c r="BE77" s="264">
        <f>BE61+BE62-(BC61+BC62)</f>
        <v>30.088999999999999</v>
      </c>
      <c r="BF77" s="264">
        <f t="shared" si="211"/>
        <v>51.617000000000019</v>
      </c>
      <c r="BG77" s="264">
        <f t="shared" si="211"/>
        <v>-8.7119999999999891</v>
      </c>
      <c r="BH77" s="264">
        <f t="shared" si="211"/>
        <v>18.211000000000013</v>
      </c>
      <c r="BI77" s="333">
        <f>SUM(BE77:BH77)</f>
        <v>91.205000000000041</v>
      </c>
      <c r="BJ77" s="264">
        <f>BJ61+BJ62-(BH61+BH62)</f>
        <v>9.5219999999999345</v>
      </c>
      <c r="BK77" s="264">
        <f t="shared" si="211"/>
        <v>20.837000000000103</v>
      </c>
      <c r="BL77" s="264">
        <f t="shared" si="211"/>
        <v>33.478999999999928</v>
      </c>
      <c r="BM77" s="264">
        <f t="shared" si="211"/>
        <v>59.041999999999916</v>
      </c>
      <c r="BN77" s="333">
        <f>SUM(BJ77:BM77)</f>
        <v>122.87999999999988</v>
      </c>
      <c r="BO77" s="264">
        <f>BO61+BO62-(BM61+BM62)</f>
        <v>57.926000000000158</v>
      </c>
      <c r="BP77" s="264">
        <f t="shared" si="211"/>
        <v>47.466000000000008</v>
      </c>
      <c r="BQ77" s="264">
        <f t="shared" si="211"/>
        <v>75.808999999999855</v>
      </c>
      <c r="BR77" s="264">
        <f t="shared" si="211"/>
        <v>1.1920000000000073</v>
      </c>
      <c r="BS77" s="333">
        <f>SUM(BO77:BR77)</f>
        <v>182.39300000000003</v>
      </c>
      <c r="BT77" s="264">
        <f>BT61+BT62-(BR61+BR62)</f>
        <v>-32.920999999999935</v>
      </c>
      <c r="BU77" s="264">
        <f t="shared" si="211"/>
        <v>-57.072000000000116</v>
      </c>
      <c r="BV77" s="264">
        <f t="shared" si="211"/>
        <v>-112.12799999999993</v>
      </c>
      <c r="BW77" s="264">
        <f t="shared" si="211"/>
        <v>47.949999999999932</v>
      </c>
      <c r="BX77" s="333">
        <f>SUM(BT77:BW77)</f>
        <v>-154.17100000000005</v>
      </c>
      <c r="BY77" s="264">
        <f>BY61+BY62-(BW61+BW62)</f>
        <v>38.649000000000115</v>
      </c>
      <c r="BZ77" s="264">
        <f t="shared" si="211"/>
        <v>-323.43800000000005</v>
      </c>
      <c r="CA77" s="264">
        <f t="shared" ref="CA77:CL77" si="212">CA61+CA62-(BZ61+BZ62)</f>
        <v>-3.561999999999955</v>
      </c>
      <c r="CB77" s="228">
        <f t="shared" si="212"/>
        <v>52.873999999999967</v>
      </c>
      <c r="CC77" s="333">
        <f>SUM(BY77:CB77)</f>
        <v>-235.47699999999992</v>
      </c>
      <c r="CD77" s="228">
        <f>CD61+CD62-(CB61+CB62)</f>
        <v>50.793999999999983</v>
      </c>
      <c r="CE77" s="228">
        <f t="shared" si="212"/>
        <v>-81.129000000000019</v>
      </c>
      <c r="CF77" s="228">
        <f t="shared" si="212"/>
        <v>55.388000000000034</v>
      </c>
      <c r="CG77" s="228">
        <f t="shared" si="212"/>
        <v>64.353000000000009</v>
      </c>
      <c r="CH77" s="333">
        <f>SUM(CD77:CG77)</f>
        <v>89.406000000000006</v>
      </c>
      <c r="CI77" s="228">
        <f>CI61+CI62-(CG61+CG62)</f>
        <v>-79.182999999999993</v>
      </c>
      <c r="CJ77" s="228">
        <f t="shared" si="212"/>
        <v>48.635999999999967</v>
      </c>
      <c r="CK77" s="228">
        <f t="shared" si="212"/>
        <v>22.870999999999981</v>
      </c>
      <c r="CL77" s="228">
        <f t="shared" si="212"/>
        <v>19.645000000000095</v>
      </c>
      <c r="CM77" s="364">
        <f>SUM(CI77:CL77)</f>
        <v>11.969000000000051</v>
      </c>
      <c r="CN77" s="228">
        <f>CN61+CN62-(CL61+CL62)</f>
        <v>51.614000000000033</v>
      </c>
      <c r="CO77" s="525">
        <f t="shared" ref="CO77:DA77" si="213">CO61+CO62-(CN61+CN62)</f>
        <v>-86.566000000000031</v>
      </c>
      <c r="CP77" s="228">
        <f>CP61+CP62-(CO61+CO62)</f>
        <v>-88.200000000000045</v>
      </c>
      <c r="CQ77" s="228">
        <f t="shared" si="213"/>
        <v>20.600000000000023</v>
      </c>
      <c r="CR77" s="364">
        <f>SUM(CN77:CQ77)</f>
        <v>-102.55200000000002</v>
      </c>
      <c r="CS77" s="228">
        <f>CS61+CS62-(CQ61+CQ62)</f>
        <v>-151.60000000000002</v>
      </c>
      <c r="CT77" s="525">
        <f t="shared" si="213"/>
        <v>32.300000000000011</v>
      </c>
      <c r="CU77" s="525">
        <f t="shared" si="213"/>
        <v>-54.5</v>
      </c>
      <c r="CV77" s="525">
        <f t="shared" si="213"/>
        <v>78.699999999999989</v>
      </c>
      <c r="CW77" s="364">
        <f>CW61+CW62-(CR61+CR62)</f>
        <v>-95.100000000000023</v>
      </c>
      <c r="CX77" s="228">
        <f>CX61+CX62-(CV61+CV62)</f>
        <v>-299</v>
      </c>
      <c r="CY77" s="525">
        <f t="shared" si="213"/>
        <v>69</v>
      </c>
      <c r="CZ77" s="228">
        <f t="shared" si="213"/>
        <v>80</v>
      </c>
      <c r="DA77" s="228">
        <f t="shared" si="213"/>
        <v>-159</v>
      </c>
      <c r="DB77" s="364">
        <f>DB61+DB62-(CW61+CW62)</f>
        <v>-309</v>
      </c>
      <c r="DC77" s="228">
        <f>DC61+DC62-(DA61+DA62)</f>
        <v>-264.39589010101298</v>
      </c>
      <c r="DD77" s="228">
        <f t="shared" ref="DD77:DK77" si="214">DD61+DD62-(DC61+DC62)</f>
        <v>-262.01616725598205</v>
      </c>
      <c r="DE77" s="228">
        <f t="shared" si="214"/>
        <v>-260.34787436581024</v>
      </c>
      <c r="DF77" s="228">
        <f t="shared" si="214"/>
        <v>-259.02305888236265</v>
      </c>
      <c r="DG77" s="364">
        <f>DG61+DG62-(DB61+DB62)</f>
        <v>-1045.7829906051679</v>
      </c>
      <c r="DH77" s="228">
        <f>DH61+DH62-(DF61+DF62)</f>
        <v>-333.39690300559823</v>
      </c>
      <c r="DI77" s="228">
        <f t="shared" si="214"/>
        <v>-330.69257893970735</v>
      </c>
      <c r="DJ77" s="228">
        <f t="shared" si="214"/>
        <v>-328.77377516143702</v>
      </c>
      <c r="DK77" s="228">
        <f t="shared" si="214"/>
        <v>-327.30729875338352</v>
      </c>
      <c r="DL77" s="364">
        <f>DL61+DL62-(DG61+DG62)</f>
        <v>-1320.1705558601261</v>
      </c>
      <c r="DM77" s="228">
        <f>DM61+DM62-(DK61+DK62)</f>
        <v>-326.61994462219673</v>
      </c>
      <c r="DN77" s="228">
        <f t="shared" ref="DN77" si="215">DN61+DN62-(DM61+DM62)</f>
        <v>-323.95056063019274</v>
      </c>
      <c r="DO77" s="228">
        <f t="shared" ref="DO77" si="216">DO61+DO62-(DN61+DN62)</f>
        <v>-321.86655955720471</v>
      </c>
      <c r="DP77" s="228">
        <f t="shared" ref="DP77" si="217">DP61+DP62-(DO61+DO62)</f>
        <v>-320.45111782450067</v>
      </c>
      <c r="DQ77" s="364">
        <f>DQ61+DQ62-(DL61+DL62)</f>
        <v>-1292.8881826340948</v>
      </c>
      <c r="DR77" s="136"/>
      <c r="DS77" s="145"/>
      <c r="DT77"/>
      <c r="DU77"/>
      <c r="DV77"/>
      <c r="DW77"/>
      <c r="DX77"/>
      <c r="DY77"/>
    </row>
    <row r="78" spans="1:129" s="154" customFormat="1">
      <c r="A78" s="137"/>
      <c r="B78" s="136"/>
      <c r="C78" s="135" t="s">
        <v>110</v>
      </c>
      <c r="D78" s="135"/>
      <c r="E78" s="135"/>
      <c r="F78" s="135"/>
      <c r="G78" s="35"/>
      <c r="H78" s="36"/>
      <c r="I78" s="36">
        <f t="shared" ref="I78:AV78" si="218">I65-SUM(I74:I77)</f>
        <v>0</v>
      </c>
      <c r="J78" s="37">
        <f t="shared" si="218"/>
        <v>0</v>
      </c>
      <c r="K78" s="333"/>
      <c r="L78" s="36">
        <f t="shared" si="218"/>
        <v>0</v>
      </c>
      <c r="M78" s="36">
        <f t="shared" si="218"/>
        <v>0</v>
      </c>
      <c r="N78" s="36">
        <f t="shared" si="218"/>
        <v>0</v>
      </c>
      <c r="O78" s="37">
        <f t="shared" si="218"/>
        <v>0</v>
      </c>
      <c r="P78" s="333">
        <f>SUM(L78:O78)</f>
        <v>0</v>
      </c>
      <c r="Q78" s="36">
        <f t="shared" si="218"/>
        <v>0</v>
      </c>
      <c r="R78" s="36">
        <f t="shared" si="218"/>
        <v>1.0000000000118803E-3</v>
      </c>
      <c r="S78" s="36">
        <f t="shared" si="218"/>
        <v>0</v>
      </c>
      <c r="T78" s="37">
        <f t="shared" si="218"/>
        <v>-9.9999999999056399E-4</v>
      </c>
      <c r="U78" s="333">
        <f>SUM(Q78:T78)</f>
        <v>2.1316282072803006E-14</v>
      </c>
      <c r="V78" s="36">
        <f t="shared" si="218"/>
        <v>-9.9999999999056399E-4</v>
      </c>
      <c r="W78" s="36">
        <f t="shared" si="218"/>
        <v>9.9999999999056399E-4</v>
      </c>
      <c r="X78" s="36">
        <f t="shared" si="218"/>
        <v>0</v>
      </c>
      <c r="Y78" s="37">
        <f t="shared" si="218"/>
        <v>-1.9549999999999983</v>
      </c>
      <c r="Z78" s="333">
        <f>SUM(V78:Y78)</f>
        <v>-1.9549999999999983</v>
      </c>
      <c r="AA78" s="36">
        <f t="shared" si="218"/>
        <v>0</v>
      </c>
      <c r="AB78" s="36">
        <f t="shared" si="218"/>
        <v>0</v>
      </c>
      <c r="AC78" s="36">
        <f t="shared" si="218"/>
        <v>0</v>
      </c>
      <c r="AD78" s="36">
        <f t="shared" si="218"/>
        <v>-1.67999999999995</v>
      </c>
      <c r="AE78" s="333">
        <f>SUM(AA78:AD78)</f>
        <v>-1.67999999999995</v>
      </c>
      <c r="AF78" s="36">
        <f t="shared" si="218"/>
        <v>-2.0099999999999909</v>
      </c>
      <c r="AG78" s="36">
        <f t="shared" si="218"/>
        <v>0</v>
      </c>
      <c r="AH78" s="36">
        <f t="shared" si="218"/>
        <v>0</v>
      </c>
      <c r="AI78" s="36">
        <f t="shared" si="218"/>
        <v>0</v>
      </c>
      <c r="AJ78" s="333">
        <f>SUM(AF78:AI78)</f>
        <v>-2.0099999999999909</v>
      </c>
      <c r="AK78" s="36">
        <f t="shared" si="218"/>
        <v>0</v>
      </c>
      <c r="AL78" s="36">
        <f t="shared" si="218"/>
        <v>0</v>
      </c>
      <c r="AM78" s="36">
        <f t="shared" si="218"/>
        <v>0</v>
      </c>
      <c r="AN78" s="36">
        <f t="shared" si="218"/>
        <v>0</v>
      </c>
      <c r="AO78" s="333">
        <f>SUM(AK78:AN78)</f>
        <v>0</v>
      </c>
      <c r="AP78" s="36">
        <f t="shared" si="218"/>
        <v>0</v>
      </c>
      <c r="AQ78" s="36">
        <f t="shared" si="218"/>
        <v>0</v>
      </c>
      <c r="AR78" s="36">
        <f t="shared" si="218"/>
        <v>0</v>
      </c>
      <c r="AS78" s="36">
        <f t="shared" si="218"/>
        <v>0</v>
      </c>
      <c r="AT78" s="333">
        <f>SUM(AP78:AS78)</f>
        <v>0</v>
      </c>
      <c r="AU78" s="36">
        <f t="shared" si="218"/>
        <v>0</v>
      </c>
      <c r="AV78" s="36">
        <f t="shared" si="218"/>
        <v>0</v>
      </c>
      <c r="AW78" s="36">
        <f t="shared" ref="AW78:BZ78" si="219">AW65-SUM(AW74:AW77)</f>
        <v>0</v>
      </c>
      <c r="AX78" s="36">
        <f t="shared" si="219"/>
        <v>0</v>
      </c>
      <c r="AY78" s="333">
        <f>SUM(AU78:AX78)</f>
        <v>0</v>
      </c>
      <c r="AZ78" s="36">
        <f t="shared" si="219"/>
        <v>-0.85000000000013642</v>
      </c>
      <c r="BA78" s="36">
        <f t="shared" si="219"/>
        <v>0</v>
      </c>
      <c r="BB78" s="36">
        <f t="shared" si="219"/>
        <v>0</v>
      </c>
      <c r="BC78" s="36">
        <f t="shared" si="219"/>
        <v>0</v>
      </c>
      <c r="BD78" s="333">
        <f>SUM(AZ78:BC78)</f>
        <v>-0.85000000000013642</v>
      </c>
      <c r="BE78" s="36">
        <f t="shared" si="219"/>
        <v>0</v>
      </c>
      <c r="BF78" s="36">
        <f t="shared" si="219"/>
        <v>0</v>
      </c>
      <c r="BG78" s="36">
        <f t="shared" si="219"/>
        <v>0</v>
      </c>
      <c r="BH78" s="36">
        <f t="shared" si="219"/>
        <v>0</v>
      </c>
      <c r="BI78" s="333">
        <f>SUM(BE78:BH78)</f>
        <v>0</v>
      </c>
      <c r="BJ78" s="36">
        <f t="shared" si="219"/>
        <v>-4.0000000003601599E-3</v>
      </c>
      <c r="BK78" s="36">
        <f t="shared" si="219"/>
        <v>3.9999999999054126E-3</v>
      </c>
      <c r="BL78" s="36">
        <f t="shared" si="219"/>
        <v>0</v>
      </c>
      <c r="BM78" s="36">
        <f t="shared" si="219"/>
        <v>0</v>
      </c>
      <c r="BN78" s="333">
        <f>SUM(BJ78:BM78)</f>
        <v>-4.5474735088646412E-13</v>
      </c>
      <c r="BO78" s="36">
        <f t="shared" si="219"/>
        <v>0</v>
      </c>
      <c r="BP78" s="36">
        <f t="shared" si="219"/>
        <v>0</v>
      </c>
      <c r="BQ78" s="36">
        <f t="shared" si="219"/>
        <v>0</v>
      </c>
      <c r="BR78" s="36">
        <f t="shared" si="219"/>
        <v>0</v>
      </c>
      <c r="BS78" s="333">
        <f>SUM(BO78:BR78)</f>
        <v>0</v>
      </c>
      <c r="BT78" s="36">
        <f t="shared" si="219"/>
        <v>0</v>
      </c>
      <c r="BU78" s="36">
        <f t="shared" si="219"/>
        <v>0</v>
      </c>
      <c r="BV78" s="36">
        <f t="shared" si="219"/>
        <v>0</v>
      </c>
      <c r="BW78" s="36">
        <f t="shared" si="219"/>
        <v>0</v>
      </c>
      <c r="BX78" s="333">
        <f>SUM(BT78:BW78)</f>
        <v>0</v>
      </c>
      <c r="BY78" s="36">
        <f t="shared" si="219"/>
        <v>0</v>
      </c>
      <c r="BZ78" s="36">
        <f t="shared" si="219"/>
        <v>0</v>
      </c>
      <c r="CA78" s="36">
        <f t="shared" ref="CA78:CL78" si="220">CA65-SUM(CA74:CA77)</f>
        <v>0</v>
      </c>
      <c r="CB78" s="135">
        <f t="shared" si="220"/>
        <v>0</v>
      </c>
      <c r="CC78" s="333">
        <f>SUM(BY78:CB78)</f>
        <v>0</v>
      </c>
      <c r="CD78" s="135">
        <f t="shared" si="220"/>
        <v>0</v>
      </c>
      <c r="CE78" s="135">
        <f t="shared" si="220"/>
        <v>0</v>
      </c>
      <c r="CF78" s="135">
        <f t="shared" si="220"/>
        <v>0</v>
      </c>
      <c r="CG78" s="135">
        <f t="shared" si="220"/>
        <v>0</v>
      </c>
      <c r="CH78" s="333">
        <f>SUM(CD78:CG78)</f>
        <v>0</v>
      </c>
      <c r="CI78" s="135">
        <f t="shared" si="220"/>
        <v>0</v>
      </c>
      <c r="CJ78" s="135">
        <f t="shared" si="220"/>
        <v>0</v>
      </c>
      <c r="CK78" s="135">
        <f t="shared" si="220"/>
        <v>0</v>
      </c>
      <c r="CL78" s="135">
        <f t="shared" si="220"/>
        <v>-9.0000000000145519E-3</v>
      </c>
      <c r="CM78" s="364">
        <f>SUM(CI78:CL78)</f>
        <v>-9.0000000000145519E-3</v>
      </c>
      <c r="CN78" s="135">
        <f>CN65-SUM(CN74:CN77)</f>
        <v>0</v>
      </c>
      <c r="CO78" s="185">
        <f>CO65-SUM(CO74:CO77)</f>
        <v>-3.3999999997831765E-2</v>
      </c>
      <c r="CP78" s="135">
        <f>CP65-SUM(CP74:CP77)</f>
        <v>0</v>
      </c>
      <c r="CQ78" s="135">
        <f>CQ65-SUM(CQ74:CQ77)</f>
        <v>0</v>
      </c>
      <c r="CR78" s="364">
        <f>SUM(CN78:CQ78)</f>
        <v>-3.3999999997831765E-2</v>
      </c>
      <c r="CS78" s="135">
        <f t="shared" ref="CS78:CX78" si="221">CS65-SUM(CS74:CS77)</f>
        <v>9.9999999998544808E-2</v>
      </c>
      <c r="CT78" s="185">
        <f t="shared" si="221"/>
        <v>0</v>
      </c>
      <c r="CU78" s="185">
        <f t="shared" si="221"/>
        <v>0</v>
      </c>
      <c r="CV78" s="185">
        <f t="shared" si="221"/>
        <v>-1.2000000000007276</v>
      </c>
      <c r="CW78" s="364">
        <f t="shared" si="221"/>
        <v>-1.1000000000021828</v>
      </c>
      <c r="CX78" s="135">
        <f t="shared" si="221"/>
        <v>-1100</v>
      </c>
      <c r="CY78" s="185">
        <f>CY65-SUM(CY74:CY77)</f>
        <v>-89</v>
      </c>
      <c r="CZ78" s="135">
        <f>CZ65-SUM(CZ74:CZ77)</f>
        <v>-90</v>
      </c>
      <c r="DA78" s="135">
        <f>DA65-SUM(DA74:DA77)</f>
        <v>-159</v>
      </c>
      <c r="DB78" s="364">
        <f>DB65-SUM(DB74:DB77)</f>
        <v>-1438</v>
      </c>
      <c r="DC78" s="135">
        <f t="shared" ref="DC78:DK78" si="222">DC65-SUM(DC74:DC77)</f>
        <v>0</v>
      </c>
      <c r="DD78" s="135">
        <f t="shared" si="222"/>
        <v>0</v>
      </c>
      <c r="DE78" s="135">
        <f t="shared" si="222"/>
        <v>0</v>
      </c>
      <c r="DF78" s="135">
        <f t="shared" si="222"/>
        <v>0</v>
      </c>
      <c r="DG78" s="364">
        <f>DG65-SUM(DG74:DG77)</f>
        <v>0</v>
      </c>
      <c r="DH78" s="135">
        <f t="shared" si="222"/>
        <v>0</v>
      </c>
      <c r="DI78" s="135">
        <f t="shared" si="222"/>
        <v>0</v>
      </c>
      <c r="DJ78" s="135">
        <f t="shared" si="222"/>
        <v>0</v>
      </c>
      <c r="DK78" s="135">
        <f t="shared" si="222"/>
        <v>0</v>
      </c>
      <c r="DL78" s="364">
        <f>DL65-SUM(DL74:DL77)</f>
        <v>0</v>
      </c>
      <c r="DM78" s="135">
        <f t="shared" ref="DM78:DP78" si="223">DM65-SUM(DM74:DM77)</f>
        <v>0</v>
      </c>
      <c r="DN78" s="135">
        <f t="shared" si="223"/>
        <v>0</v>
      </c>
      <c r="DO78" s="135">
        <f t="shared" si="223"/>
        <v>0</v>
      </c>
      <c r="DP78" s="135">
        <f t="shared" si="223"/>
        <v>0</v>
      </c>
      <c r="DQ78" s="364">
        <f>DQ65-SUM(DQ74:DQ77)</f>
        <v>0</v>
      </c>
      <c r="DR78" s="136"/>
      <c r="DS78" s="145"/>
      <c r="DT78"/>
      <c r="DU78"/>
      <c r="DV78"/>
      <c r="DW78"/>
      <c r="DX78"/>
      <c r="DY78"/>
    </row>
    <row r="79" spans="1:129" s="202" customFormat="1">
      <c r="A79" s="200"/>
      <c r="B79" s="169" t="s">
        <v>111</v>
      </c>
      <c r="C79" s="191"/>
      <c r="D79" s="191"/>
      <c r="E79" s="191"/>
      <c r="F79" s="191"/>
      <c r="G79" s="39"/>
      <c r="H79" s="40"/>
      <c r="I79" s="40">
        <f>SUM(I74:I78)</f>
        <v>29.881</v>
      </c>
      <c r="J79" s="41">
        <f t="shared" ref="J79:BZ79" si="224">SUM(J74:J78)</f>
        <v>32.616</v>
      </c>
      <c r="K79" s="334"/>
      <c r="L79" s="40">
        <f t="shared" si="224"/>
        <v>35.465999999999994</v>
      </c>
      <c r="M79" s="40">
        <f t="shared" si="224"/>
        <v>38.138999999999996</v>
      </c>
      <c r="N79" s="40">
        <f t="shared" si="224"/>
        <v>41.061999999999998</v>
      </c>
      <c r="O79" s="41">
        <f t="shared" si="224"/>
        <v>45.460999999999999</v>
      </c>
      <c r="P79" s="334">
        <f>SUM(P74:P78)</f>
        <v>45.460999999999999</v>
      </c>
      <c r="Q79" s="40">
        <f t="shared" si="224"/>
        <v>49.306999999999995</v>
      </c>
      <c r="R79" s="40">
        <f t="shared" si="224"/>
        <v>54.625999999999998</v>
      </c>
      <c r="S79" s="40">
        <f t="shared" si="224"/>
        <v>60.131999999999998</v>
      </c>
      <c r="T79" s="41">
        <f t="shared" si="224"/>
        <v>66.116</v>
      </c>
      <c r="U79" s="334">
        <f>SUM(U74:U78)</f>
        <v>66.116000000000014</v>
      </c>
      <c r="V79" s="40">
        <f t="shared" si="224"/>
        <v>72.844000000000008</v>
      </c>
      <c r="W79" s="40">
        <f t="shared" si="224"/>
        <v>82.952999999999989</v>
      </c>
      <c r="X79" s="40">
        <f t="shared" si="224"/>
        <v>92.495999999999981</v>
      </c>
      <c r="Y79" s="41">
        <f t="shared" si="224"/>
        <v>98.791999999999987</v>
      </c>
      <c r="Z79" s="334">
        <f>SUM(Z74:Z78)</f>
        <v>98.792000000000016</v>
      </c>
      <c r="AA79" s="40">
        <f t="shared" si="224"/>
        <v>106.95299999999997</v>
      </c>
      <c r="AB79" s="40">
        <f t="shared" si="224"/>
        <v>123.09300000000002</v>
      </c>
      <c r="AC79" s="40">
        <f t="shared" si="224"/>
        <v>142.62200000000001</v>
      </c>
      <c r="AD79" s="40">
        <f t="shared" si="224"/>
        <v>165.48099999999999</v>
      </c>
      <c r="AE79" s="334">
        <f>SUM(AE74:AE78)</f>
        <v>165.48100000000005</v>
      </c>
      <c r="AF79" s="40">
        <f t="shared" si="224"/>
        <v>179.63</v>
      </c>
      <c r="AG79" s="40">
        <f t="shared" si="224"/>
        <v>203.39699999999999</v>
      </c>
      <c r="AH79" s="40">
        <f t="shared" si="224"/>
        <v>236.96899999999999</v>
      </c>
      <c r="AI79" s="40">
        <f t="shared" si="224"/>
        <v>274.06999999999994</v>
      </c>
      <c r="AJ79" s="334">
        <f>SUM(AJ74:AJ78)</f>
        <v>274.07000000000005</v>
      </c>
      <c r="AK79" s="40">
        <f t="shared" si="224"/>
        <v>304.21300000000002</v>
      </c>
      <c r="AL79" s="40">
        <f t="shared" si="224"/>
        <v>349.54900000000004</v>
      </c>
      <c r="AM79" s="40">
        <f t="shared" si="224"/>
        <v>394.10900000000004</v>
      </c>
      <c r="AN79" s="40">
        <f t="shared" si="224"/>
        <v>453.52900000000011</v>
      </c>
      <c r="AO79" s="334">
        <f>SUM(AO74:AO78)</f>
        <v>453.52900000000005</v>
      </c>
      <c r="AP79" s="40">
        <f t="shared" si="224"/>
        <v>507.08600000000001</v>
      </c>
      <c r="AQ79" s="40">
        <f t="shared" si="224"/>
        <v>565.18799999999999</v>
      </c>
      <c r="AR79" s="40">
        <f t="shared" si="224"/>
        <v>641.64699999999993</v>
      </c>
      <c r="AS79" s="40">
        <f t="shared" si="224"/>
        <v>714.14499999999998</v>
      </c>
      <c r="AT79" s="334">
        <f>SUM(AT74:AT78)</f>
        <v>714.14499999999998</v>
      </c>
      <c r="AU79" s="40">
        <f t="shared" si="224"/>
        <v>793.15100000000007</v>
      </c>
      <c r="AV79" s="40">
        <f t="shared" si="224"/>
        <v>874.19299999999987</v>
      </c>
      <c r="AW79" s="40">
        <f t="shared" si="224"/>
        <v>966.55800000000011</v>
      </c>
      <c r="AX79" s="40">
        <f t="shared" si="224"/>
        <v>1073.4989999999998</v>
      </c>
      <c r="AY79" s="334">
        <f>SUM(AY74:AY78)</f>
        <v>1073.4990000000003</v>
      </c>
      <c r="AZ79" s="40">
        <f t="shared" si="224"/>
        <v>1197.329</v>
      </c>
      <c r="BA79" s="40">
        <f t="shared" si="224"/>
        <v>1317.2430000000002</v>
      </c>
      <c r="BB79" s="40">
        <f t="shared" si="224"/>
        <v>1443.5070000000001</v>
      </c>
      <c r="BC79" s="40">
        <f t="shared" si="224"/>
        <v>1468.21</v>
      </c>
      <c r="BD79" s="334">
        <f>SUM(BD74:BD78)</f>
        <v>1468.2099999999998</v>
      </c>
      <c r="BE79" s="40">
        <f t="shared" si="224"/>
        <v>1601.0260000000001</v>
      </c>
      <c r="BF79" s="40">
        <f t="shared" si="224"/>
        <v>1754.374</v>
      </c>
      <c r="BG79" s="40">
        <f t="shared" si="224"/>
        <v>1843.029</v>
      </c>
      <c r="BH79" s="40">
        <f t="shared" si="224"/>
        <v>1965.578</v>
      </c>
      <c r="BI79" s="334">
        <f>SUM(BI74:BI78)</f>
        <v>1965.578</v>
      </c>
      <c r="BJ79" s="40">
        <f t="shared" si="224"/>
        <v>2072.7109999999998</v>
      </c>
      <c r="BK79" s="40">
        <f t="shared" si="224"/>
        <v>2267.6969999999997</v>
      </c>
      <c r="BL79" s="40">
        <f t="shared" si="224"/>
        <v>2436.2179999999994</v>
      </c>
      <c r="BM79" s="40">
        <f t="shared" si="224"/>
        <v>2653.1770000000001</v>
      </c>
      <c r="BN79" s="334">
        <f>SUM(BN74:BN78)</f>
        <v>2653.1769999999992</v>
      </c>
      <c r="BO79" s="40">
        <f t="shared" si="224"/>
        <v>2886.3689999999997</v>
      </c>
      <c r="BP79" s="40">
        <f t="shared" si="224"/>
        <v>3040.8870000000002</v>
      </c>
      <c r="BQ79" s="40">
        <f t="shared" si="224"/>
        <v>3367.1840000000002</v>
      </c>
      <c r="BR79" s="40">
        <f t="shared" si="224"/>
        <v>3584.431</v>
      </c>
      <c r="BS79" s="334">
        <f>SUM(BS74:BS78)</f>
        <v>3584.4309999999987</v>
      </c>
      <c r="BT79" s="40">
        <f t="shared" si="224"/>
        <v>3764.1889999999994</v>
      </c>
      <c r="BU79" s="40">
        <f t="shared" si="224"/>
        <v>3951.8489999999997</v>
      </c>
      <c r="BV79" s="40">
        <f t="shared" si="224"/>
        <v>3939.5219999999999</v>
      </c>
      <c r="BW79" s="40">
        <f t="shared" si="224"/>
        <v>3952.8859999999991</v>
      </c>
      <c r="BX79" s="334">
        <f>SUM(BX74:BX78)</f>
        <v>3952.8859999999977</v>
      </c>
      <c r="BY79" s="40">
        <f t="shared" si="224"/>
        <v>4367.2489999999998</v>
      </c>
      <c r="BZ79" s="40">
        <f t="shared" si="224"/>
        <v>4092.3329999999996</v>
      </c>
      <c r="CA79" s="40">
        <f t="shared" ref="CA79:CL79" si="225">SUM(CA74:CA78)</f>
        <v>4572.3700000000008</v>
      </c>
      <c r="CB79" s="191">
        <f t="shared" si="225"/>
        <v>4854.3830000000007</v>
      </c>
      <c r="CC79" s="334">
        <f>SUM(CC74:CC78)</f>
        <v>4854.3829999999989</v>
      </c>
      <c r="CD79" s="191">
        <f t="shared" si="225"/>
        <v>5215.9340000000002</v>
      </c>
      <c r="CE79" s="191">
        <f t="shared" si="225"/>
        <v>5323.7479999999996</v>
      </c>
      <c r="CF79" s="191">
        <f t="shared" si="225"/>
        <v>5648.2759999999998</v>
      </c>
      <c r="CG79" s="191">
        <f t="shared" si="225"/>
        <v>6135.7910000000002</v>
      </c>
      <c r="CH79" s="334">
        <f>SUM(CH74:CH78)</f>
        <v>6135.7909999999993</v>
      </c>
      <c r="CI79" s="191">
        <f t="shared" si="225"/>
        <v>6622.9570000000003</v>
      </c>
      <c r="CJ79" s="191">
        <f t="shared" si="225"/>
        <v>6990.8289999999997</v>
      </c>
      <c r="CK79" s="191">
        <f t="shared" si="225"/>
        <v>7381.71</v>
      </c>
      <c r="CL79" s="40">
        <f t="shared" si="225"/>
        <v>7740.2179999999998</v>
      </c>
      <c r="CM79" s="334">
        <f>SUM(CM74:CM78)</f>
        <v>7740.2179999999989</v>
      </c>
      <c r="CN79" s="191">
        <f>SUM(CN74:CN78)</f>
        <v>8178.5</v>
      </c>
      <c r="CO79" s="526">
        <f>SUM(CO74:CO78)</f>
        <v>8540.8000000000011</v>
      </c>
      <c r="CP79" s="191">
        <f>SUM(CP74:CP78)</f>
        <v>8827.0000000000018</v>
      </c>
      <c r="CQ79" s="40">
        <f>SUM(CQ74:CQ78)</f>
        <v>9278.1</v>
      </c>
      <c r="CR79" s="343">
        <f t="shared" ref="CR79:CW79" si="226">SUM(CR74:CR78)</f>
        <v>9278.1000000000022</v>
      </c>
      <c r="CS79" s="40">
        <f t="shared" si="226"/>
        <v>9612.2999999999993</v>
      </c>
      <c r="CT79" s="526">
        <f t="shared" si="226"/>
        <v>9862.8999999999978</v>
      </c>
      <c r="CU79" s="526">
        <f t="shared" si="226"/>
        <v>10292.299999999997</v>
      </c>
      <c r="CV79" s="526">
        <f t="shared" si="226"/>
        <v>10728</v>
      </c>
      <c r="CW79" s="343">
        <f t="shared" si="226"/>
        <v>10728</v>
      </c>
      <c r="CX79" s="40">
        <f>SUM(CX74:CX78)</f>
        <v>9983</v>
      </c>
      <c r="CY79" s="526">
        <f>SUM(CY74:CY78)</f>
        <v>10483</v>
      </c>
      <c r="CZ79" s="191">
        <f>SUM(CZ74:CZ78)</f>
        <v>10979</v>
      </c>
      <c r="DA79" s="40">
        <f>SUM(DA74:DA78)</f>
        <v>10669</v>
      </c>
      <c r="DB79" s="343">
        <f>SUM(DB74:DB78)</f>
        <v>10669</v>
      </c>
      <c r="DC79" s="191">
        <f t="shared" ref="DC79:DK79" si="227">SUM(DC74:DC78)</f>
        <v>10966.173420960631</v>
      </c>
      <c r="DD79" s="191">
        <f t="shared" si="227"/>
        <v>11296.267986254365</v>
      </c>
      <c r="DE79" s="191">
        <f t="shared" si="227"/>
        <v>11648.657134593446</v>
      </c>
      <c r="DF79" s="40">
        <f t="shared" si="227"/>
        <v>12034.952691462446</v>
      </c>
      <c r="DG79" s="343">
        <f>SUM(DG74:DG78)</f>
        <v>12034.952691462444</v>
      </c>
      <c r="DH79" s="191">
        <f t="shared" si="227"/>
        <v>12350.064385156606</v>
      </c>
      <c r="DI79" s="191">
        <f t="shared" si="227"/>
        <v>12694.618495416758</v>
      </c>
      <c r="DJ79" s="191">
        <f t="shared" si="227"/>
        <v>13057.650471949244</v>
      </c>
      <c r="DK79" s="40">
        <f t="shared" si="227"/>
        <v>13435.010028234146</v>
      </c>
      <c r="DL79" s="343">
        <f>SUM(DL74:DL78)</f>
        <v>13435.010028234143</v>
      </c>
      <c r="DM79" s="191">
        <f t="shared" ref="DM79:DP79" si="228">SUM(DM74:DM78)</f>
        <v>13807.990804671665</v>
      </c>
      <c r="DN79" s="191">
        <f t="shared" si="228"/>
        <v>14212.22051349335</v>
      </c>
      <c r="DO79" s="191">
        <f t="shared" si="228"/>
        <v>14638.118609367673</v>
      </c>
      <c r="DP79" s="40">
        <f t="shared" si="228"/>
        <v>15078.005930164325</v>
      </c>
      <c r="DQ79" s="343">
        <f>SUM(DQ74:DQ78)</f>
        <v>15078.005930164321</v>
      </c>
      <c r="DR79" s="169"/>
      <c r="DS79" s="269"/>
      <c r="DT79"/>
      <c r="DU79"/>
      <c r="DV79"/>
      <c r="DW79"/>
      <c r="DX79"/>
      <c r="DY79"/>
    </row>
    <row r="80" spans="1:129">
      <c r="A80" s="1"/>
      <c r="B80" s="32"/>
      <c r="C80" s="33"/>
      <c r="D80" s="33"/>
      <c r="E80" s="33"/>
      <c r="F80" s="33"/>
      <c r="G80" s="119"/>
      <c r="H80" s="120"/>
      <c r="I80" s="120"/>
      <c r="J80" s="121"/>
      <c r="K80" s="330"/>
      <c r="L80" s="120"/>
      <c r="M80" s="120"/>
      <c r="N80" s="120"/>
      <c r="O80" s="121"/>
      <c r="P80" s="330"/>
      <c r="Q80" s="120"/>
      <c r="R80" s="120"/>
      <c r="S80" s="120"/>
      <c r="T80" s="121"/>
      <c r="U80" s="330"/>
      <c r="V80" s="120"/>
      <c r="W80" s="120"/>
      <c r="X80" s="120"/>
      <c r="Y80" s="121"/>
      <c r="Z80" s="330"/>
      <c r="AA80" s="120"/>
      <c r="AB80" s="120"/>
      <c r="AC80" s="120"/>
      <c r="AD80" s="120"/>
      <c r="AE80" s="330"/>
      <c r="AF80" s="120"/>
      <c r="AG80" s="120"/>
      <c r="AH80" s="120"/>
      <c r="AI80" s="120"/>
      <c r="AJ80" s="330"/>
      <c r="AK80" s="120"/>
      <c r="AL80" s="120"/>
      <c r="AM80" s="120"/>
      <c r="AN80" s="120"/>
      <c r="AO80" s="330"/>
      <c r="AP80" s="120"/>
      <c r="AQ80" s="120"/>
      <c r="AR80" s="120"/>
      <c r="AS80" s="120"/>
      <c r="AT80" s="330"/>
      <c r="AU80" s="120"/>
      <c r="AV80" s="120"/>
      <c r="AW80" s="120"/>
      <c r="AX80" s="120"/>
      <c r="AY80" s="330"/>
      <c r="AZ80" s="120"/>
      <c r="BA80" s="120"/>
      <c r="BB80" s="120"/>
      <c r="BC80" s="120"/>
      <c r="BD80" s="330"/>
      <c r="BE80" s="120"/>
      <c r="BF80" s="120"/>
      <c r="BG80" s="120"/>
      <c r="BH80" s="120"/>
      <c r="BI80" s="330"/>
      <c r="BJ80" s="120"/>
      <c r="BK80" s="120"/>
      <c r="BL80" s="120"/>
      <c r="BM80" s="120"/>
      <c r="BN80" s="330"/>
      <c r="BO80" s="120"/>
      <c r="BP80" s="120"/>
      <c r="BQ80" s="120"/>
      <c r="BR80" s="120"/>
      <c r="BS80" s="330"/>
      <c r="BT80" s="120"/>
      <c r="BU80" s="120"/>
      <c r="BV80" s="120"/>
      <c r="BW80" s="120"/>
      <c r="BX80" s="330"/>
      <c r="BY80" s="120"/>
      <c r="BZ80" s="120"/>
      <c r="CA80" s="120"/>
      <c r="CB80" s="191"/>
      <c r="CC80" s="330"/>
      <c r="CD80" s="120"/>
      <c r="CE80" s="120"/>
      <c r="CF80" s="120"/>
      <c r="CG80" s="120"/>
      <c r="CH80" s="330"/>
      <c r="CI80" s="120"/>
      <c r="CJ80" s="120"/>
      <c r="CK80" s="120"/>
      <c r="CL80" s="803"/>
      <c r="CM80" s="330"/>
      <c r="CN80" s="120"/>
      <c r="CO80" s="120"/>
      <c r="CP80" s="120"/>
      <c r="CQ80" s="803"/>
      <c r="CR80" s="330"/>
      <c r="CS80" s="803"/>
      <c r="CT80" s="120"/>
      <c r="CU80" s="120"/>
      <c r="CV80" s="803"/>
      <c r="CW80" s="330"/>
      <c r="CX80" s="803"/>
      <c r="CY80" s="120"/>
      <c r="CZ80" s="120"/>
      <c r="DA80" s="803"/>
      <c r="DB80" s="330"/>
      <c r="DC80" s="120"/>
      <c r="DD80" s="120"/>
      <c r="DE80" s="120"/>
      <c r="DF80" s="803"/>
      <c r="DG80" s="330"/>
      <c r="DH80" s="120"/>
      <c r="DI80" s="120"/>
      <c r="DJ80" s="120"/>
      <c r="DK80" s="803"/>
      <c r="DL80" s="330"/>
      <c r="DM80" s="120"/>
      <c r="DN80" s="120"/>
      <c r="DO80" s="120"/>
      <c r="DP80" s="803"/>
      <c r="DQ80" s="330"/>
      <c r="DR80" s="3"/>
      <c r="DS80" s="112"/>
    </row>
    <row r="81" spans="1:129" s="220" customFormat="1">
      <c r="A81" s="219"/>
      <c r="B81" s="224" t="s">
        <v>20</v>
      </c>
      <c r="C81" s="225"/>
      <c r="D81" s="225"/>
      <c r="E81" s="225"/>
      <c r="F81" s="225"/>
      <c r="G81" s="226"/>
      <c r="H81" s="227"/>
      <c r="I81" s="325">
        <f>I65-I79</f>
        <v>0</v>
      </c>
      <c r="J81" s="326">
        <f t="shared" ref="J81:CK81" si="229">J65-J79</f>
        <v>0</v>
      </c>
      <c r="K81" s="810"/>
      <c r="L81" s="325">
        <f t="shared" si="229"/>
        <v>0</v>
      </c>
      <c r="M81" s="325">
        <f t="shared" si="229"/>
        <v>0</v>
      </c>
      <c r="N81" s="325">
        <f t="shared" si="229"/>
        <v>0</v>
      </c>
      <c r="O81" s="326">
        <f t="shared" si="229"/>
        <v>0</v>
      </c>
      <c r="P81" s="810">
        <f>P65-P79</f>
        <v>0</v>
      </c>
      <c r="Q81" s="325">
        <f t="shared" si="229"/>
        <v>0</v>
      </c>
      <c r="R81" s="325">
        <f t="shared" si="229"/>
        <v>0</v>
      </c>
      <c r="S81" s="325">
        <f t="shared" si="229"/>
        <v>0</v>
      </c>
      <c r="T81" s="326">
        <f t="shared" si="229"/>
        <v>0</v>
      </c>
      <c r="U81" s="810">
        <f>U65-U79</f>
        <v>0</v>
      </c>
      <c r="V81" s="325">
        <f t="shared" si="229"/>
        <v>0</v>
      </c>
      <c r="W81" s="325">
        <f t="shared" si="229"/>
        <v>0</v>
      </c>
      <c r="X81" s="325">
        <f t="shared" si="229"/>
        <v>0</v>
      </c>
      <c r="Y81" s="326">
        <f t="shared" si="229"/>
        <v>0</v>
      </c>
      <c r="Z81" s="810">
        <f>Z65-Z79</f>
        <v>0</v>
      </c>
      <c r="AA81" s="325">
        <f t="shared" si="229"/>
        <v>0</v>
      </c>
      <c r="AB81" s="325">
        <f t="shared" si="229"/>
        <v>0</v>
      </c>
      <c r="AC81" s="325">
        <f t="shared" si="229"/>
        <v>0</v>
      </c>
      <c r="AD81" s="327">
        <f t="shared" si="229"/>
        <v>0</v>
      </c>
      <c r="AE81" s="810">
        <f>AE65-AE79</f>
        <v>0</v>
      </c>
      <c r="AF81" s="325">
        <f t="shared" si="229"/>
        <v>0</v>
      </c>
      <c r="AG81" s="325">
        <f t="shared" si="229"/>
        <v>0</v>
      </c>
      <c r="AH81" s="325">
        <f t="shared" si="229"/>
        <v>0</v>
      </c>
      <c r="AI81" s="327">
        <f t="shared" si="229"/>
        <v>0</v>
      </c>
      <c r="AJ81" s="810">
        <f>AJ65-AJ79</f>
        <v>0</v>
      </c>
      <c r="AK81" s="325">
        <f t="shared" si="229"/>
        <v>0</v>
      </c>
      <c r="AL81" s="325">
        <f t="shared" si="229"/>
        <v>0</v>
      </c>
      <c r="AM81" s="325">
        <f t="shared" si="229"/>
        <v>0</v>
      </c>
      <c r="AN81" s="327">
        <f t="shared" si="229"/>
        <v>0</v>
      </c>
      <c r="AO81" s="810">
        <f>AO65-AO79</f>
        <v>0</v>
      </c>
      <c r="AP81" s="325">
        <f t="shared" si="229"/>
        <v>0</v>
      </c>
      <c r="AQ81" s="325">
        <f t="shared" si="229"/>
        <v>0</v>
      </c>
      <c r="AR81" s="325">
        <f t="shared" si="229"/>
        <v>0</v>
      </c>
      <c r="AS81" s="327">
        <f t="shared" si="229"/>
        <v>0</v>
      </c>
      <c r="AT81" s="810">
        <f>AT65-AT79</f>
        <v>0</v>
      </c>
      <c r="AU81" s="325">
        <f t="shared" si="229"/>
        <v>0</v>
      </c>
      <c r="AV81" s="325">
        <f t="shared" si="229"/>
        <v>0</v>
      </c>
      <c r="AW81" s="325">
        <f t="shared" si="229"/>
        <v>0</v>
      </c>
      <c r="AX81" s="327">
        <f t="shared" si="229"/>
        <v>0</v>
      </c>
      <c r="AY81" s="810">
        <f>AY65-AY79</f>
        <v>0</v>
      </c>
      <c r="AZ81" s="325">
        <f t="shared" si="229"/>
        <v>0</v>
      </c>
      <c r="BA81" s="325">
        <f t="shared" si="229"/>
        <v>0</v>
      </c>
      <c r="BB81" s="325">
        <f t="shared" si="229"/>
        <v>0</v>
      </c>
      <c r="BC81" s="327">
        <f t="shared" si="229"/>
        <v>0</v>
      </c>
      <c r="BD81" s="810">
        <f>BD65-BD79</f>
        <v>0</v>
      </c>
      <c r="BE81" s="325">
        <f t="shared" si="229"/>
        <v>0</v>
      </c>
      <c r="BF81" s="325">
        <f t="shared" si="229"/>
        <v>0</v>
      </c>
      <c r="BG81" s="325">
        <f t="shared" si="229"/>
        <v>0</v>
      </c>
      <c r="BH81" s="327">
        <f t="shared" si="229"/>
        <v>0</v>
      </c>
      <c r="BI81" s="810">
        <f>BI65-BI79</f>
        <v>0</v>
      </c>
      <c r="BJ81" s="325">
        <f t="shared" si="229"/>
        <v>0</v>
      </c>
      <c r="BK81" s="325">
        <f t="shared" si="229"/>
        <v>0</v>
      </c>
      <c r="BL81" s="325">
        <f t="shared" si="229"/>
        <v>0</v>
      </c>
      <c r="BM81" s="327">
        <f t="shared" si="229"/>
        <v>0</v>
      </c>
      <c r="BN81" s="810">
        <f>BN65-BN79</f>
        <v>0</v>
      </c>
      <c r="BO81" s="325">
        <f t="shared" si="229"/>
        <v>0</v>
      </c>
      <c r="BP81" s="325">
        <f t="shared" si="229"/>
        <v>0</v>
      </c>
      <c r="BQ81" s="325">
        <f t="shared" si="229"/>
        <v>0</v>
      </c>
      <c r="BR81" s="327">
        <f t="shared" si="229"/>
        <v>0</v>
      </c>
      <c r="BS81" s="810">
        <f>BS65-BS79</f>
        <v>0</v>
      </c>
      <c r="BT81" s="325">
        <f t="shared" si="229"/>
        <v>0</v>
      </c>
      <c r="BU81" s="325">
        <f t="shared" si="229"/>
        <v>0</v>
      </c>
      <c r="BV81" s="325">
        <f t="shared" si="229"/>
        <v>0</v>
      </c>
      <c r="BW81" s="327">
        <f t="shared" si="229"/>
        <v>0</v>
      </c>
      <c r="BX81" s="810">
        <f>BX65-BX79</f>
        <v>0</v>
      </c>
      <c r="BY81" s="325">
        <f t="shared" si="229"/>
        <v>0</v>
      </c>
      <c r="BZ81" s="325">
        <f t="shared" si="229"/>
        <v>0</v>
      </c>
      <c r="CA81" s="325">
        <f t="shared" si="229"/>
        <v>0</v>
      </c>
      <c r="CB81" s="327">
        <f t="shared" si="229"/>
        <v>0</v>
      </c>
      <c r="CC81" s="810">
        <f>CC65-CC79</f>
        <v>0</v>
      </c>
      <c r="CD81" s="325">
        <f t="shared" si="229"/>
        <v>0</v>
      </c>
      <c r="CE81" s="325">
        <f t="shared" si="229"/>
        <v>0</v>
      </c>
      <c r="CF81" s="325">
        <f t="shared" si="229"/>
        <v>0</v>
      </c>
      <c r="CG81" s="327">
        <f t="shared" si="229"/>
        <v>0</v>
      </c>
      <c r="CH81" s="810">
        <f>CH65-CH79</f>
        <v>0</v>
      </c>
      <c r="CI81" s="325">
        <f t="shared" si="229"/>
        <v>0</v>
      </c>
      <c r="CJ81" s="325">
        <f t="shared" si="229"/>
        <v>0</v>
      </c>
      <c r="CK81" s="325">
        <f t="shared" si="229"/>
        <v>0</v>
      </c>
      <c r="CL81" s="327">
        <f t="shared" ref="CL81:CQ81" si="230">CL65-CL79</f>
        <v>0</v>
      </c>
      <c r="CM81" s="810">
        <f t="shared" si="230"/>
        <v>0</v>
      </c>
      <c r="CN81" s="327">
        <f t="shared" si="230"/>
        <v>0</v>
      </c>
      <c r="CO81" s="327">
        <f t="shared" si="230"/>
        <v>0</v>
      </c>
      <c r="CP81" s="327">
        <f t="shared" si="230"/>
        <v>0</v>
      </c>
      <c r="CQ81" s="327">
        <f t="shared" si="230"/>
        <v>0</v>
      </c>
      <c r="CR81" s="810">
        <f t="shared" ref="CR81:CW81" si="231">CR65-CR79</f>
        <v>0</v>
      </c>
      <c r="CS81" s="327">
        <f t="shared" si="231"/>
        <v>0</v>
      </c>
      <c r="CT81" s="327">
        <f t="shared" si="231"/>
        <v>0</v>
      </c>
      <c r="CU81" s="327">
        <f t="shared" si="231"/>
        <v>0</v>
      </c>
      <c r="CV81" s="327">
        <f t="shared" si="231"/>
        <v>0</v>
      </c>
      <c r="CW81" s="810">
        <f t="shared" si="231"/>
        <v>0</v>
      </c>
      <c r="CX81" s="327">
        <f>CX65-CX79</f>
        <v>0</v>
      </c>
      <c r="CY81" s="327">
        <f>CY65-CY79</f>
        <v>0</v>
      </c>
      <c r="CZ81" s="327">
        <f>CZ65-CZ79</f>
        <v>0</v>
      </c>
      <c r="DA81" s="327">
        <f>DA65-DA79</f>
        <v>0</v>
      </c>
      <c r="DB81" s="810">
        <f>DB65-DB79</f>
        <v>0</v>
      </c>
      <c r="DC81" s="327">
        <f t="shared" ref="DC81:DK81" si="232">DC65-DC79</f>
        <v>0</v>
      </c>
      <c r="DD81" s="327">
        <f t="shared" si="232"/>
        <v>0</v>
      </c>
      <c r="DE81" s="327">
        <f t="shared" si="232"/>
        <v>0</v>
      </c>
      <c r="DF81" s="327">
        <f t="shared" si="232"/>
        <v>0</v>
      </c>
      <c r="DG81" s="810">
        <f>DG65-DG79</f>
        <v>0</v>
      </c>
      <c r="DH81" s="327">
        <f t="shared" si="232"/>
        <v>0</v>
      </c>
      <c r="DI81" s="327">
        <f t="shared" si="232"/>
        <v>0</v>
      </c>
      <c r="DJ81" s="327">
        <f t="shared" si="232"/>
        <v>0</v>
      </c>
      <c r="DK81" s="327">
        <f t="shared" si="232"/>
        <v>0</v>
      </c>
      <c r="DL81" s="810">
        <f>DL65-DL79</f>
        <v>0</v>
      </c>
      <c r="DM81" s="327">
        <f t="shared" ref="DM81:DP81" si="233">DM65-DM79</f>
        <v>0</v>
      </c>
      <c r="DN81" s="327">
        <f t="shared" si="233"/>
        <v>0</v>
      </c>
      <c r="DO81" s="327">
        <f t="shared" si="233"/>
        <v>0</v>
      </c>
      <c r="DP81" s="327">
        <f t="shared" si="233"/>
        <v>0</v>
      </c>
      <c r="DQ81" s="810">
        <f>DQ65-DQ79</f>
        <v>0</v>
      </c>
      <c r="DR81" s="224"/>
      <c r="DS81" s="350"/>
      <c r="DT81"/>
      <c r="DU81"/>
      <c r="DV81"/>
      <c r="DW81"/>
      <c r="DX81"/>
      <c r="DY81"/>
    </row>
    <row r="82" spans="1:129">
      <c r="A82" s="1"/>
      <c r="B82" s="3"/>
      <c r="C82" s="4"/>
      <c r="D82" s="4"/>
      <c r="E82" s="4"/>
      <c r="F82" s="4"/>
      <c r="G82" s="119"/>
      <c r="H82" s="120"/>
      <c r="I82" s="120"/>
      <c r="J82" s="121"/>
      <c r="K82" s="330"/>
      <c r="L82" s="119"/>
      <c r="M82" s="120"/>
      <c r="N82" s="120"/>
      <c r="O82" s="120"/>
      <c r="P82" s="330"/>
      <c r="Q82" s="119"/>
      <c r="R82" s="120"/>
      <c r="S82" s="120"/>
      <c r="T82" s="121"/>
      <c r="U82" s="330"/>
      <c r="V82" s="120"/>
      <c r="W82" s="120"/>
      <c r="X82" s="120"/>
      <c r="Y82" s="121"/>
      <c r="Z82" s="330"/>
      <c r="AA82" s="120"/>
      <c r="AB82" s="120"/>
      <c r="AC82" s="120"/>
      <c r="AD82" s="120"/>
      <c r="AE82" s="330"/>
      <c r="AF82" s="120"/>
      <c r="AG82" s="120"/>
      <c r="AH82" s="120"/>
      <c r="AI82" s="120"/>
      <c r="AJ82" s="330"/>
      <c r="AK82" s="120"/>
      <c r="AL82" s="120"/>
      <c r="AM82" s="120"/>
      <c r="AN82" s="120"/>
      <c r="AO82" s="330"/>
      <c r="AP82" s="120"/>
      <c r="AQ82" s="120"/>
      <c r="AR82" s="120"/>
      <c r="AS82" s="120"/>
      <c r="AT82" s="330"/>
      <c r="AU82" s="120"/>
      <c r="AV82" s="120"/>
      <c r="AW82" s="120"/>
      <c r="AX82" s="120"/>
      <c r="AY82" s="330"/>
      <c r="AZ82" s="120"/>
      <c r="BA82" s="120"/>
      <c r="BB82" s="120"/>
      <c r="BC82" s="120"/>
      <c r="BD82" s="330"/>
      <c r="BE82" s="120"/>
      <c r="BF82" s="120"/>
      <c r="BG82" s="120"/>
      <c r="BH82" s="120"/>
      <c r="BI82" s="330"/>
      <c r="BJ82" s="120"/>
      <c r="BK82" s="120"/>
      <c r="BL82" s="120"/>
      <c r="BM82" s="120"/>
      <c r="BN82" s="330"/>
      <c r="BO82" s="120"/>
      <c r="BP82" s="120"/>
      <c r="BQ82" s="120"/>
      <c r="BR82" s="120"/>
      <c r="BS82" s="330"/>
      <c r="BT82" s="120"/>
      <c r="BU82" s="120"/>
      <c r="BV82" s="120"/>
      <c r="BW82" s="120"/>
      <c r="BX82" s="330"/>
      <c r="BY82" s="120"/>
      <c r="BZ82" s="120"/>
      <c r="CA82" s="120"/>
      <c r="CB82" s="120"/>
      <c r="CC82" s="330"/>
      <c r="CD82" s="120"/>
      <c r="CE82" s="120"/>
      <c r="CF82" s="120"/>
      <c r="CG82" s="120"/>
      <c r="CH82" s="330"/>
      <c r="CI82" s="120"/>
      <c r="CJ82" s="120"/>
      <c r="CK82" s="120"/>
      <c r="CL82" s="120"/>
      <c r="CM82" s="330"/>
      <c r="CN82" s="120"/>
      <c r="CO82" s="120"/>
      <c r="CP82" s="120"/>
      <c r="CQ82" s="120"/>
      <c r="CR82" s="330"/>
      <c r="CS82" s="120"/>
      <c r="CT82" s="120"/>
      <c r="CU82" s="120"/>
      <c r="CV82" s="120"/>
      <c r="CW82" s="330"/>
      <c r="CX82" s="120"/>
      <c r="CY82" s="120"/>
      <c r="CZ82" s="120"/>
      <c r="DA82" s="120"/>
      <c r="DB82" s="330"/>
      <c r="DC82" s="120"/>
      <c r="DD82" s="120"/>
      <c r="DE82" s="120"/>
      <c r="DF82" s="120"/>
      <c r="DG82" s="330"/>
      <c r="DH82" s="120"/>
      <c r="DI82" s="120"/>
      <c r="DJ82" s="120"/>
      <c r="DK82" s="120"/>
      <c r="DL82" s="330"/>
      <c r="DM82" s="120"/>
      <c r="DN82" s="120"/>
      <c r="DO82" s="120"/>
      <c r="DP82" s="120"/>
      <c r="DQ82" s="330"/>
      <c r="DR82" s="3"/>
      <c r="DS82" s="112"/>
    </row>
    <row r="83" spans="1:129">
      <c r="A83" s="1"/>
      <c r="B83" s="3" t="s">
        <v>112</v>
      </c>
      <c r="C83" s="4"/>
      <c r="D83" s="4"/>
      <c r="E83" s="4"/>
      <c r="F83" s="4"/>
      <c r="G83" s="119"/>
      <c r="H83" s="120"/>
      <c r="I83" s="86">
        <v>0</v>
      </c>
      <c r="J83" s="88">
        <v>0</v>
      </c>
      <c r="K83" s="351"/>
      <c r="L83" s="87">
        <v>0</v>
      </c>
      <c r="M83" s="86">
        <v>0</v>
      </c>
      <c r="N83" s="86">
        <v>0</v>
      </c>
      <c r="O83" s="86">
        <v>0</v>
      </c>
      <c r="P83" s="351">
        <v>0</v>
      </c>
      <c r="Q83" s="87">
        <v>0</v>
      </c>
      <c r="R83" s="86">
        <v>0</v>
      </c>
      <c r="S83" s="86">
        <v>0</v>
      </c>
      <c r="T83" s="88">
        <v>0</v>
      </c>
      <c r="U83" s="351">
        <v>0</v>
      </c>
      <c r="V83" s="86">
        <v>0</v>
      </c>
      <c r="W83" s="86">
        <v>0</v>
      </c>
      <c r="X83" s="86">
        <v>0</v>
      </c>
      <c r="Y83" s="88">
        <v>0</v>
      </c>
      <c r="Z83" s="351">
        <v>0</v>
      </c>
      <c r="AA83" s="86">
        <v>0</v>
      </c>
      <c r="AB83" s="86">
        <v>0</v>
      </c>
      <c r="AC83" s="86">
        <v>0</v>
      </c>
      <c r="AD83" s="86">
        <v>0</v>
      </c>
      <c r="AE83" s="351">
        <v>0</v>
      </c>
      <c r="AF83" s="86">
        <v>0</v>
      </c>
      <c r="AG83" s="86">
        <v>0</v>
      </c>
      <c r="AH83" s="86">
        <v>0</v>
      </c>
      <c r="AI83" s="86">
        <v>0</v>
      </c>
      <c r="AJ83" s="351">
        <v>0</v>
      </c>
      <c r="AK83" s="86">
        <v>0</v>
      </c>
      <c r="AL83" s="86">
        <v>0</v>
      </c>
      <c r="AM83" s="86">
        <v>0</v>
      </c>
      <c r="AN83" s="86">
        <v>0</v>
      </c>
      <c r="AO83" s="351">
        <v>0</v>
      </c>
      <c r="AP83" s="86">
        <v>0</v>
      </c>
      <c r="AQ83" s="86">
        <v>0</v>
      </c>
      <c r="AR83" s="86">
        <v>0</v>
      </c>
      <c r="AS83" s="86">
        <v>0</v>
      </c>
      <c r="AT83" s="351">
        <v>0</v>
      </c>
      <c r="AU83" s="86">
        <v>0</v>
      </c>
      <c r="AV83" s="86">
        <v>0</v>
      </c>
      <c r="AW83" s="86">
        <v>0</v>
      </c>
      <c r="AX83" s="86">
        <v>0</v>
      </c>
      <c r="AY83" s="351">
        <v>0</v>
      </c>
      <c r="AZ83" s="86">
        <v>0</v>
      </c>
      <c r="BA83" s="86">
        <v>0</v>
      </c>
      <c r="BB83" s="86">
        <v>0</v>
      </c>
      <c r="BC83" s="86">
        <v>0</v>
      </c>
      <c r="BD83" s="351">
        <v>0</v>
      </c>
      <c r="BE83" s="86">
        <v>0</v>
      </c>
      <c r="BF83" s="86">
        <v>0</v>
      </c>
      <c r="BG83" s="86">
        <v>0</v>
      </c>
      <c r="BH83" s="86">
        <v>0</v>
      </c>
      <c r="BI83" s="351">
        <v>0</v>
      </c>
      <c r="BJ83" s="86">
        <v>0</v>
      </c>
      <c r="BK83" s="86">
        <v>0</v>
      </c>
      <c r="BL83" s="86">
        <v>0</v>
      </c>
      <c r="BM83" s="86">
        <v>0</v>
      </c>
      <c r="BN83" s="351">
        <v>0</v>
      </c>
      <c r="BO83" s="86">
        <v>0</v>
      </c>
      <c r="BP83" s="86">
        <v>0</v>
      </c>
      <c r="BQ83" s="86">
        <v>0</v>
      </c>
      <c r="BR83" s="86">
        <v>0</v>
      </c>
      <c r="BS83" s="351">
        <v>0</v>
      </c>
      <c r="BT83" s="86">
        <v>0</v>
      </c>
      <c r="BU83" s="86">
        <v>0</v>
      </c>
      <c r="BV83" s="86">
        <v>0</v>
      </c>
      <c r="BW83" s="86">
        <v>0</v>
      </c>
      <c r="BX83" s="351">
        <v>0</v>
      </c>
      <c r="BY83" s="86">
        <v>0</v>
      </c>
      <c r="BZ83" s="86">
        <v>0</v>
      </c>
      <c r="CA83" s="86">
        <v>0</v>
      </c>
      <c r="CB83" s="86">
        <v>0</v>
      </c>
      <c r="CC83" s="351">
        <v>0</v>
      </c>
      <c r="CD83" s="86">
        <v>0</v>
      </c>
      <c r="CE83" s="86">
        <v>0</v>
      </c>
      <c r="CF83" s="86">
        <v>0</v>
      </c>
      <c r="CG83" s="86">
        <v>0</v>
      </c>
      <c r="CH83" s="351">
        <v>0</v>
      </c>
      <c r="CI83" s="86">
        <v>0</v>
      </c>
      <c r="CJ83" s="86">
        <v>0</v>
      </c>
      <c r="CK83" s="86">
        <v>0</v>
      </c>
      <c r="CL83" s="86">
        <v>0</v>
      </c>
      <c r="CM83" s="351">
        <v>0</v>
      </c>
      <c r="CN83" s="86">
        <v>0</v>
      </c>
      <c r="CO83" s="86">
        <v>0</v>
      </c>
      <c r="CP83" s="86">
        <v>0</v>
      </c>
      <c r="CQ83" s="86">
        <v>0</v>
      </c>
      <c r="CR83" s="811">
        <v>0</v>
      </c>
      <c r="CS83" s="86">
        <v>0</v>
      </c>
      <c r="CT83" s="86">
        <v>0</v>
      </c>
      <c r="CU83" s="86">
        <v>0</v>
      </c>
      <c r="CV83" s="86">
        <v>0</v>
      </c>
      <c r="CW83" s="811">
        <v>0</v>
      </c>
      <c r="CX83" s="86">
        <v>0</v>
      </c>
      <c r="CY83" s="86">
        <v>0</v>
      </c>
      <c r="CZ83" s="86">
        <v>0</v>
      </c>
      <c r="DA83" s="86">
        <v>0</v>
      </c>
      <c r="DB83" s="811">
        <v>0</v>
      </c>
      <c r="DC83" s="86">
        <v>0</v>
      </c>
      <c r="DD83" s="86">
        <v>0</v>
      </c>
      <c r="DE83" s="86">
        <v>0</v>
      </c>
      <c r="DF83" s="86">
        <v>0</v>
      </c>
      <c r="DG83" s="811">
        <v>0</v>
      </c>
      <c r="DH83" s="86">
        <v>0</v>
      </c>
      <c r="DI83" s="86">
        <v>0</v>
      </c>
      <c r="DJ83" s="86">
        <v>0</v>
      </c>
      <c r="DK83" s="86">
        <v>0</v>
      </c>
      <c r="DL83" s="811">
        <v>0</v>
      </c>
      <c r="DM83" s="86">
        <v>0</v>
      </c>
      <c r="DN83" s="86">
        <v>0</v>
      </c>
      <c r="DO83" s="86">
        <v>0</v>
      </c>
      <c r="DP83" s="86">
        <v>0</v>
      </c>
      <c r="DQ83" s="811">
        <v>0</v>
      </c>
      <c r="DR83" s="324"/>
      <c r="DS83" s="112"/>
    </row>
    <row r="84" spans="1:129">
      <c r="A84" s="1"/>
      <c r="B84" s="6"/>
      <c r="C84" s="7"/>
      <c r="D84" s="7"/>
      <c r="E84" s="7"/>
      <c r="F84" s="7"/>
      <c r="G84" s="295"/>
      <c r="H84" s="296"/>
      <c r="I84" s="296"/>
      <c r="J84" s="297"/>
      <c r="K84" s="812"/>
      <c r="L84" s="295"/>
      <c r="M84" s="296"/>
      <c r="N84" s="296"/>
      <c r="O84" s="296"/>
      <c r="P84" s="812"/>
      <c r="Q84" s="295"/>
      <c r="R84" s="296"/>
      <c r="S84" s="296"/>
      <c r="T84" s="297"/>
      <c r="U84" s="812"/>
      <c r="V84" s="296"/>
      <c r="W84" s="296"/>
      <c r="X84" s="296"/>
      <c r="Y84" s="297"/>
      <c r="Z84" s="812"/>
      <c r="AA84" s="296"/>
      <c r="AB84" s="296"/>
      <c r="AC84" s="296"/>
      <c r="AD84" s="296"/>
      <c r="AE84" s="812"/>
      <c r="AF84" s="296"/>
      <c r="AG84" s="296"/>
      <c r="AH84" s="296"/>
      <c r="AI84" s="296"/>
      <c r="AJ84" s="812"/>
      <c r="AK84" s="296"/>
      <c r="AL84" s="296"/>
      <c r="AM84" s="296"/>
      <c r="AN84" s="296"/>
      <c r="AO84" s="812"/>
      <c r="AP84" s="296"/>
      <c r="AQ84" s="296"/>
      <c r="AR84" s="296"/>
      <c r="AS84" s="296"/>
      <c r="AT84" s="812"/>
      <c r="AU84" s="296"/>
      <c r="AV84" s="296"/>
      <c r="AW84" s="296"/>
      <c r="AX84" s="296"/>
      <c r="AY84" s="812"/>
      <c r="AZ84" s="296"/>
      <c r="BA84" s="296"/>
      <c r="BB84" s="296"/>
      <c r="BC84" s="296"/>
      <c r="BD84" s="812"/>
      <c r="BE84" s="296"/>
      <c r="BF84" s="296"/>
      <c r="BG84" s="296"/>
      <c r="BH84" s="296"/>
      <c r="BI84" s="812"/>
      <c r="BJ84" s="296"/>
      <c r="BK84" s="296"/>
      <c r="BL84" s="296"/>
      <c r="BM84" s="296"/>
      <c r="BN84" s="812"/>
      <c r="BO84" s="296"/>
      <c r="BP84" s="296"/>
      <c r="BQ84" s="296"/>
      <c r="BR84" s="296"/>
      <c r="BS84" s="812"/>
      <c r="BT84" s="296"/>
      <c r="BU84" s="296"/>
      <c r="BV84" s="296"/>
      <c r="BW84" s="296"/>
      <c r="BX84" s="812"/>
      <c r="BY84" s="296"/>
      <c r="BZ84" s="296"/>
      <c r="CA84" s="296"/>
      <c r="CB84" s="296"/>
      <c r="CC84" s="812"/>
      <c r="CD84" s="296"/>
      <c r="CE84" s="296"/>
      <c r="CF84" s="296"/>
      <c r="CG84" s="296"/>
      <c r="CH84" s="812"/>
      <c r="CI84" s="296"/>
      <c r="CJ84" s="296"/>
      <c r="CK84" s="296"/>
      <c r="CL84" s="296"/>
      <c r="CM84" s="812"/>
      <c r="CN84" s="296"/>
      <c r="CO84" s="296"/>
      <c r="CP84" s="296"/>
      <c r="CQ84" s="296"/>
      <c r="CR84" s="812"/>
      <c r="CS84" s="296"/>
      <c r="CT84" s="296"/>
      <c r="CU84" s="296"/>
      <c r="CV84" s="296"/>
      <c r="CW84" s="812"/>
      <c r="CX84" s="296"/>
      <c r="CY84" s="296"/>
      <c r="CZ84" s="296"/>
      <c r="DA84" s="296"/>
      <c r="DB84" s="812"/>
      <c r="DC84" s="296"/>
      <c r="DD84" s="296"/>
      <c r="DE84" s="296"/>
      <c r="DF84" s="296"/>
      <c r="DG84" s="812"/>
      <c r="DH84" s="296"/>
      <c r="DI84" s="296"/>
      <c r="DJ84" s="296"/>
      <c r="DK84" s="296"/>
      <c r="DL84" s="812"/>
      <c r="DM84" s="296"/>
      <c r="DN84" s="296"/>
      <c r="DO84" s="296"/>
      <c r="DP84" s="296"/>
      <c r="DQ84" s="812"/>
      <c r="DR84" s="3"/>
      <c r="DS84" s="112"/>
    </row>
    <row r="85" spans="1:129">
      <c r="A85" s="1"/>
      <c r="B85" s="4"/>
      <c r="C85" s="4"/>
      <c r="D85" s="4"/>
      <c r="E85" s="4"/>
      <c r="F85" s="4"/>
      <c r="G85" s="120"/>
      <c r="H85" s="120"/>
      <c r="I85" s="120"/>
      <c r="J85" s="120"/>
      <c r="K85" s="330"/>
      <c r="L85" s="120"/>
      <c r="M85" s="120"/>
      <c r="N85" s="120"/>
      <c r="O85" s="120"/>
      <c r="P85" s="330"/>
      <c r="Q85" s="120"/>
      <c r="R85" s="120"/>
      <c r="S85" s="120"/>
      <c r="T85" s="120"/>
      <c r="U85" s="330"/>
      <c r="V85" s="120"/>
      <c r="W85" s="120"/>
      <c r="X85" s="120"/>
      <c r="Y85" s="120"/>
      <c r="Z85" s="330"/>
      <c r="AA85" s="120"/>
      <c r="AB85" s="120"/>
      <c r="AC85" s="120"/>
      <c r="AD85" s="120"/>
      <c r="AE85" s="330"/>
      <c r="AF85" s="120"/>
      <c r="AG85" s="120"/>
      <c r="AH85" s="120"/>
      <c r="AI85" s="120"/>
      <c r="AJ85" s="330"/>
      <c r="AK85" s="120"/>
      <c r="AL85" s="120"/>
      <c r="AM85" s="120"/>
      <c r="AN85" s="120"/>
      <c r="AO85" s="330"/>
      <c r="AP85" s="120"/>
      <c r="AQ85" s="120"/>
      <c r="AR85" s="120"/>
      <c r="AS85" s="120"/>
      <c r="AT85" s="330"/>
      <c r="AU85" s="120"/>
      <c r="AV85" s="120"/>
      <c r="AW85" s="120"/>
      <c r="AX85" s="120"/>
      <c r="AY85" s="330"/>
      <c r="AZ85" s="120"/>
      <c r="BA85" s="120"/>
      <c r="BB85" s="120"/>
      <c r="BC85" s="120"/>
      <c r="BD85" s="330"/>
      <c r="BE85" s="120"/>
      <c r="BF85" s="120"/>
      <c r="BG85" s="120"/>
      <c r="BH85" s="120"/>
      <c r="BI85" s="330"/>
      <c r="BJ85" s="120"/>
      <c r="BK85" s="120"/>
      <c r="BL85" s="120"/>
      <c r="BM85" s="120"/>
      <c r="BN85" s="330"/>
      <c r="BO85" s="120"/>
      <c r="BP85" s="120"/>
      <c r="BQ85" s="120"/>
      <c r="BR85" s="120"/>
      <c r="BS85" s="330"/>
      <c r="BT85" s="120"/>
      <c r="BU85" s="120"/>
      <c r="BV85" s="120"/>
      <c r="BW85" s="120"/>
      <c r="BX85" s="330"/>
      <c r="BY85" s="120"/>
      <c r="BZ85" s="120"/>
      <c r="CA85" s="120"/>
      <c r="CB85" s="120"/>
      <c r="CC85" s="330"/>
      <c r="CD85" s="120"/>
      <c r="CE85" s="120"/>
      <c r="CF85" s="120"/>
      <c r="CG85" s="120"/>
      <c r="CH85" s="330"/>
      <c r="CI85" s="120"/>
      <c r="CJ85" s="120"/>
      <c r="CK85" s="120"/>
      <c r="CL85" s="120"/>
      <c r="CM85" s="330"/>
      <c r="CN85" s="120"/>
      <c r="CO85" s="120"/>
      <c r="CP85" s="120"/>
      <c r="CQ85" s="120"/>
      <c r="CR85" s="330"/>
      <c r="CS85" s="120"/>
      <c r="CT85" s="120"/>
      <c r="CU85" s="120"/>
      <c r="CV85" s="120"/>
      <c r="CW85" s="330"/>
      <c r="CX85" s="120"/>
      <c r="CY85" s="120"/>
      <c r="CZ85" s="120"/>
      <c r="DA85" s="120"/>
      <c r="DB85" s="330"/>
      <c r="DC85" s="120"/>
      <c r="DD85" s="120"/>
      <c r="DE85" s="120"/>
      <c r="DF85" s="120"/>
      <c r="DG85" s="330"/>
      <c r="DH85" s="120"/>
      <c r="DI85" s="120"/>
      <c r="DJ85" s="120"/>
      <c r="DK85" s="120"/>
      <c r="DL85" s="330"/>
      <c r="DM85" s="120"/>
      <c r="DN85" s="120"/>
      <c r="DO85" s="120"/>
      <c r="DP85" s="120"/>
      <c r="DQ85" s="330"/>
    </row>
    <row r="86" spans="1:129" s="177" customFormat="1">
      <c r="A86" s="19"/>
      <c r="B86" s="49" t="s">
        <v>134</v>
      </c>
      <c r="C86" s="298"/>
      <c r="D86" s="298"/>
      <c r="E86" s="298"/>
      <c r="F86" s="298"/>
      <c r="G86" s="299"/>
      <c r="H86" s="300"/>
      <c r="I86" s="300"/>
      <c r="J86" s="301"/>
      <c r="K86" s="813"/>
      <c r="L86" s="299"/>
      <c r="M86" s="300"/>
      <c r="N86" s="300"/>
      <c r="O86" s="300"/>
      <c r="P86" s="813"/>
      <c r="Q86" s="299"/>
      <c r="R86" s="300"/>
      <c r="S86" s="300"/>
      <c r="T86" s="301"/>
      <c r="U86" s="813"/>
      <c r="V86" s="300"/>
      <c r="W86" s="300"/>
      <c r="X86" s="300"/>
      <c r="Y86" s="301"/>
      <c r="Z86" s="813"/>
      <c r="AA86" s="300"/>
      <c r="AB86" s="300"/>
      <c r="AC86" s="300"/>
      <c r="AD86" s="300"/>
      <c r="AE86" s="813"/>
      <c r="AF86" s="300"/>
      <c r="AG86" s="300"/>
      <c r="AH86" s="300"/>
      <c r="AI86" s="300"/>
      <c r="AJ86" s="813"/>
      <c r="AK86" s="300"/>
      <c r="AL86" s="300"/>
      <c r="AM86" s="300"/>
      <c r="AN86" s="300"/>
      <c r="AO86" s="813"/>
      <c r="AP86" s="300"/>
      <c r="AQ86" s="300"/>
      <c r="AR86" s="300"/>
      <c r="AS86" s="300"/>
      <c r="AT86" s="813"/>
      <c r="AU86" s="300"/>
      <c r="AV86" s="300"/>
      <c r="AW86" s="300"/>
      <c r="AX86" s="300"/>
      <c r="AY86" s="813"/>
      <c r="AZ86" s="300"/>
      <c r="BA86" s="300"/>
      <c r="BB86" s="300"/>
      <c r="BC86" s="300"/>
      <c r="BD86" s="813"/>
      <c r="BE86" s="300"/>
      <c r="BF86" s="300"/>
      <c r="BG86" s="300"/>
      <c r="BH86" s="300"/>
      <c r="BI86" s="813"/>
      <c r="BJ86" s="300"/>
      <c r="BK86" s="300"/>
      <c r="BL86" s="300"/>
      <c r="BM86" s="300"/>
      <c r="BN86" s="813"/>
      <c r="BO86" s="300"/>
      <c r="BP86" s="300"/>
      <c r="BQ86" s="300"/>
      <c r="BR86" s="300"/>
      <c r="BS86" s="813"/>
      <c r="BT86" s="300"/>
      <c r="BU86" s="300"/>
      <c r="BV86" s="300"/>
      <c r="BW86" s="300"/>
      <c r="BX86" s="813"/>
      <c r="BY86" s="300"/>
      <c r="BZ86" s="300"/>
      <c r="CA86" s="300"/>
      <c r="CB86" s="300"/>
      <c r="CC86" s="813"/>
      <c r="CD86" s="300"/>
      <c r="CE86" s="300"/>
      <c r="CF86" s="300"/>
      <c r="CG86" s="300"/>
      <c r="CH86" s="813"/>
      <c r="CI86" s="300"/>
      <c r="CJ86" s="300"/>
      <c r="CK86" s="300"/>
      <c r="CL86" s="300"/>
      <c r="CM86" s="813"/>
      <c r="CN86" s="300"/>
      <c r="CO86" s="527"/>
      <c r="CP86" s="300"/>
      <c r="CQ86" s="300"/>
      <c r="CR86" s="813"/>
      <c r="CS86" s="300"/>
      <c r="CT86" s="300"/>
      <c r="CU86" s="300"/>
      <c r="CV86" s="300"/>
      <c r="CW86" s="813"/>
      <c r="CX86" s="300"/>
      <c r="CY86" s="300"/>
      <c r="CZ86" s="300"/>
      <c r="DA86" s="300"/>
      <c r="DB86" s="813"/>
      <c r="DC86" s="300"/>
      <c r="DD86" s="300"/>
      <c r="DE86" s="300"/>
      <c r="DF86" s="300"/>
      <c r="DG86" s="813"/>
      <c r="DH86" s="300"/>
      <c r="DI86" s="300"/>
      <c r="DJ86" s="300"/>
      <c r="DK86" s="300"/>
      <c r="DL86" s="813"/>
      <c r="DM86" s="300"/>
      <c r="DN86" s="300"/>
      <c r="DO86" s="300"/>
      <c r="DP86" s="300"/>
      <c r="DQ86" s="813"/>
      <c r="DR86" s="31"/>
      <c r="DS86" s="54"/>
      <c r="DT86"/>
      <c r="DU86"/>
      <c r="DV86"/>
      <c r="DW86"/>
      <c r="DX86"/>
      <c r="DY86"/>
    </row>
    <row r="87" spans="1:129" s="202" customFormat="1">
      <c r="B87" s="169" t="s">
        <v>135</v>
      </c>
      <c r="C87" s="191"/>
      <c r="D87" s="191"/>
      <c r="E87" s="191"/>
      <c r="F87" s="191"/>
      <c r="G87" s="235"/>
      <c r="H87" s="236"/>
      <c r="I87" s="236"/>
      <c r="J87" s="237">
        <f t="shared" ref="J87:AW87" si="234">I91</f>
        <v>9.3949999999999996</v>
      </c>
      <c r="K87" s="334"/>
      <c r="L87" s="236">
        <f>J91</f>
        <v>10.391</v>
      </c>
      <c r="M87" s="236">
        <f t="shared" si="234"/>
        <v>11.591999999999999</v>
      </c>
      <c r="N87" s="236">
        <f t="shared" si="234"/>
        <v>13.622</v>
      </c>
      <c r="O87" s="237">
        <f t="shared" si="234"/>
        <v>15.279</v>
      </c>
      <c r="P87" s="334">
        <f>K20</f>
        <v>10.391</v>
      </c>
      <c r="Q87" s="236">
        <f>O91</f>
        <v>16.291</v>
      </c>
      <c r="R87" s="236">
        <f t="shared" si="234"/>
        <v>17.074999999999999</v>
      </c>
      <c r="S87" s="236">
        <f t="shared" si="234"/>
        <v>19.143999999999998</v>
      </c>
      <c r="T87" s="237">
        <f t="shared" si="234"/>
        <v>22.645</v>
      </c>
      <c r="U87" s="334">
        <f>P20</f>
        <v>16.291</v>
      </c>
      <c r="V87" s="236">
        <f>T91</f>
        <v>26.934000000000005</v>
      </c>
      <c r="W87" s="236">
        <f t="shared" si="234"/>
        <v>29.930999999999997</v>
      </c>
      <c r="X87" s="236">
        <f t="shared" si="234"/>
        <v>32.108000000000004</v>
      </c>
      <c r="Y87" s="237">
        <f t="shared" si="234"/>
        <v>37.504999999999995</v>
      </c>
      <c r="Z87" s="334">
        <f>U20</f>
        <v>26.934000000000005</v>
      </c>
      <c r="AA87" s="236">
        <f>Y91</f>
        <v>41.143999999999998</v>
      </c>
      <c r="AB87" s="236">
        <f t="shared" si="234"/>
        <v>42.938000000000002</v>
      </c>
      <c r="AC87" s="236">
        <f t="shared" si="234"/>
        <v>45.768999999999998</v>
      </c>
      <c r="AD87" s="236">
        <f t="shared" si="234"/>
        <v>48.527999999999999</v>
      </c>
      <c r="AE87" s="334">
        <f>Z20</f>
        <v>41.143999999999998</v>
      </c>
      <c r="AF87" s="236">
        <f>AD91</f>
        <v>63.649000000000008</v>
      </c>
      <c r="AG87" s="236">
        <f t="shared" si="234"/>
        <v>68.316000000000003</v>
      </c>
      <c r="AH87" s="236">
        <f t="shared" si="234"/>
        <v>76.176000000000002</v>
      </c>
      <c r="AI87" s="236">
        <f t="shared" si="234"/>
        <v>82.786000000000001</v>
      </c>
      <c r="AJ87" s="334">
        <f>AE20</f>
        <v>63.649000000000008</v>
      </c>
      <c r="AK87" s="236">
        <f>AI91</f>
        <v>92.605999999999995</v>
      </c>
      <c r="AL87" s="236">
        <f t="shared" si="234"/>
        <v>95.47</v>
      </c>
      <c r="AM87" s="236">
        <f t="shared" si="234"/>
        <v>99.051999999999992</v>
      </c>
      <c r="AN87" s="236">
        <f t="shared" si="234"/>
        <v>113.161</v>
      </c>
      <c r="AO87" s="334">
        <f>AJ20</f>
        <v>92.605999999999995</v>
      </c>
      <c r="AP87" s="236">
        <f>AN91</f>
        <v>138.14099999999999</v>
      </c>
      <c r="AQ87" s="236">
        <f t="shared" si="234"/>
        <v>146.61600000000001</v>
      </c>
      <c r="AR87" s="236">
        <f t="shared" si="234"/>
        <v>165.52100000000002</v>
      </c>
      <c r="AS87" s="236">
        <f t="shared" si="234"/>
        <v>187.988</v>
      </c>
      <c r="AT87" s="334">
        <f>AO20</f>
        <v>138.14099999999999</v>
      </c>
      <c r="AU87" s="236">
        <f>AS91</f>
        <v>211.71800000000002</v>
      </c>
      <c r="AV87" s="236">
        <f t="shared" si="234"/>
        <v>232.80599999999998</v>
      </c>
      <c r="AW87" s="236">
        <f t="shared" si="234"/>
        <v>257.78300000000002</v>
      </c>
      <c r="AX87" s="236">
        <f t="shared" ref="AX87:CO87" si="235">AW91</f>
        <v>284.09000000000003</v>
      </c>
      <c r="AY87" s="334">
        <f>AT20</f>
        <v>211.71800000000002</v>
      </c>
      <c r="AZ87" s="236">
        <f>AX91</f>
        <v>315.69299999999998</v>
      </c>
      <c r="BA87" s="236">
        <f t="shared" si="235"/>
        <v>342.6</v>
      </c>
      <c r="BB87" s="236">
        <f t="shared" si="235"/>
        <v>383.18500000000006</v>
      </c>
      <c r="BC87" s="236">
        <f t="shared" si="235"/>
        <v>421.56000000000006</v>
      </c>
      <c r="BD87" s="334">
        <f>AY20</f>
        <v>315.69299999999998</v>
      </c>
      <c r="BE87" s="236">
        <f>BC91</f>
        <v>499.02800000000002</v>
      </c>
      <c r="BF87" s="236">
        <f t="shared" si="235"/>
        <v>544.99399999999991</v>
      </c>
      <c r="BG87" s="236">
        <f t="shared" si="235"/>
        <v>576.16800000000001</v>
      </c>
      <c r="BH87" s="236">
        <f t="shared" si="235"/>
        <v>635.65000000000009</v>
      </c>
      <c r="BI87" s="334">
        <f>BD20</f>
        <v>499.02800000000002</v>
      </c>
      <c r="BJ87" s="236">
        <f>BH91</f>
        <v>654.44200000000001</v>
      </c>
      <c r="BK87" s="236">
        <f t="shared" si="235"/>
        <v>672.95600000000002</v>
      </c>
      <c r="BL87" s="236">
        <f t="shared" si="235"/>
        <v>681.45899999999995</v>
      </c>
      <c r="BM87" s="236">
        <f t="shared" si="235"/>
        <v>714.29600000000005</v>
      </c>
      <c r="BN87" s="334">
        <f>BI20</f>
        <v>654.44200000000001</v>
      </c>
      <c r="BO87" s="236">
        <f>BM91</f>
        <v>756.08600000000001</v>
      </c>
      <c r="BP87" s="236">
        <f t="shared" si="235"/>
        <v>776.274</v>
      </c>
      <c r="BQ87" s="236">
        <f t="shared" si="235"/>
        <v>822.99299999999994</v>
      </c>
      <c r="BR87" s="236">
        <f t="shared" si="235"/>
        <v>862.09799999999996</v>
      </c>
      <c r="BS87" s="334">
        <f>BN20</f>
        <v>756.08600000000001</v>
      </c>
      <c r="BT87" s="236">
        <f>BR91</f>
        <v>922.92</v>
      </c>
      <c r="BU87" s="236">
        <f t="shared" si="235"/>
        <v>978.75</v>
      </c>
      <c r="BV87" s="236">
        <f t="shared" si="235"/>
        <v>1017.075</v>
      </c>
      <c r="BW87" s="236">
        <f t="shared" si="235"/>
        <v>1093.8780000000002</v>
      </c>
      <c r="BX87" s="334">
        <f>BS20</f>
        <v>922.92</v>
      </c>
      <c r="BY87" s="236">
        <f>BW91</f>
        <v>1213.5400000000002</v>
      </c>
      <c r="BZ87" s="236">
        <f t="shared" si="235"/>
        <v>1267.6790000000001</v>
      </c>
      <c r="CA87" s="236">
        <f t="shared" si="235"/>
        <v>1352.836</v>
      </c>
      <c r="CB87" s="236">
        <f t="shared" si="235"/>
        <v>1430.1849999999999</v>
      </c>
      <c r="CC87" s="334">
        <f>BX20</f>
        <v>1213.5400000000002</v>
      </c>
      <c r="CD87" s="236">
        <f>CB91</f>
        <v>1545.2779999999998</v>
      </c>
      <c r="CE87" s="236">
        <f t="shared" si="235"/>
        <v>1618.3600000000001</v>
      </c>
      <c r="CF87" s="236">
        <f t="shared" si="235"/>
        <v>1664.38</v>
      </c>
      <c r="CG87" s="236">
        <f t="shared" si="235"/>
        <v>1692.4670000000001</v>
      </c>
      <c r="CH87" s="334">
        <f>CC20</f>
        <v>1545.2779999999998</v>
      </c>
      <c r="CI87" s="236">
        <f>CG91</f>
        <v>1800.5</v>
      </c>
      <c r="CJ87" s="236">
        <f>CI91</f>
        <v>1843.4850000000001</v>
      </c>
      <c r="CK87" s="236">
        <f>CJ91</f>
        <v>1854.7339999999999</v>
      </c>
      <c r="CL87" s="236">
        <f>CK91</f>
        <v>1938.0680000000002</v>
      </c>
      <c r="CM87" s="334">
        <f>CH20</f>
        <v>1800.5</v>
      </c>
      <c r="CN87" s="236">
        <f>CL91</f>
        <v>2099.3289999999997</v>
      </c>
      <c r="CO87" s="241">
        <f t="shared" si="235"/>
        <v>2157.3289999999997</v>
      </c>
      <c r="CP87" s="236">
        <f>CO91</f>
        <v>2232.9289999999996</v>
      </c>
      <c r="CQ87" s="236">
        <f t="shared" ref="CQ87:CV87" si="236">CP91</f>
        <v>2292.3000000000002</v>
      </c>
      <c r="CR87" s="343">
        <f>CM91</f>
        <v>2099.3289999999997</v>
      </c>
      <c r="CS87" s="236">
        <f>CQ91</f>
        <v>2350.5</v>
      </c>
      <c r="CT87" s="241">
        <f>CS91</f>
        <v>2405.6</v>
      </c>
      <c r="CU87" s="236">
        <f t="shared" si="236"/>
        <v>2478.6000000000004</v>
      </c>
      <c r="CV87" s="236">
        <f t="shared" si="236"/>
        <v>2578.6</v>
      </c>
      <c r="CW87" s="343">
        <f>CR91</f>
        <v>2350.5</v>
      </c>
      <c r="CX87" s="236">
        <f>CV91</f>
        <v>2624</v>
      </c>
      <c r="CY87" s="241">
        <f>CX91</f>
        <v>2561.3000000000002</v>
      </c>
      <c r="CZ87" s="241">
        <f>CY91</f>
        <v>2597</v>
      </c>
      <c r="DA87" s="236">
        <f>CZ91</f>
        <v>2617</v>
      </c>
      <c r="DB87" s="343">
        <f>CW91</f>
        <v>2624</v>
      </c>
      <c r="DC87" s="236">
        <f>DA91</f>
        <v>2697</v>
      </c>
      <c r="DD87" s="236">
        <f t="shared" ref="DD87:DK87" si="237">DC91</f>
        <v>2758.9459999999999</v>
      </c>
      <c r="DE87" s="236">
        <f t="shared" si="237"/>
        <v>2823.0912800000001</v>
      </c>
      <c r="DF87" s="236">
        <f t="shared" si="237"/>
        <v>2911.2386999999999</v>
      </c>
      <c r="DG87" s="343">
        <f>DB91</f>
        <v>2697</v>
      </c>
      <c r="DH87" s="236">
        <f>DF91</f>
        <v>3015.4521999999997</v>
      </c>
      <c r="DI87" s="236">
        <f t="shared" si="237"/>
        <v>3082.3157619999997</v>
      </c>
      <c r="DJ87" s="236">
        <f t="shared" si="237"/>
        <v>3151.5785115999997</v>
      </c>
      <c r="DK87" s="236">
        <f t="shared" si="237"/>
        <v>3246.7688166749999</v>
      </c>
      <c r="DL87" s="343">
        <f>DG91</f>
        <v>3015.4521999999997</v>
      </c>
      <c r="DM87" s="236">
        <f>DK91</f>
        <v>3359.1880516749998</v>
      </c>
      <c r="DN87" s="236">
        <f t="shared" ref="DN87" si="238">DM91</f>
        <v>3431.4289677249999</v>
      </c>
      <c r="DO87" s="236">
        <f t="shared" ref="DO87" si="239">DN91</f>
        <v>3506.0910230529998</v>
      </c>
      <c r="DP87" s="236">
        <f t="shared" ref="DP87" si="240">DO91</f>
        <v>3608.8514459693747</v>
      </c>
      <c r="DQ87" s="343">
        <f>DL91</f>
        <v>3359.1880516749998</v>
      </c>
      <c r="DR87" s="169"/>
      <c r="DS87" s="269"/>
      <c r="DT87"/>
      <c r="DU87"/>
      <c r="DV87"/>
      <c r="DW87"/>
      <c r="DX87"/>
      <c r="DY87"/>
    </row>
    <row r="88" spans="1:129" s="154" customFormat="1" hidden="1" outlineLevel="1">
      <c r="B88" s="136"/>
      <c r="C88" s="135" t="s">
        <v>148</v>
      </c>
      <c r="D88" s="135"/>
      <c r="E88" s="135"/>
      <c r="F88" s="135"/>
      <c r="G88" s="263"/>
      <c r="H88" s="264"/>
      <c r="I88" s="264"/>
      <c r="J88" s="265">
        <f>-CF!J28</f>
        <v>1.343</v>
      </c>
      <c r="K88" s="333"/>
      <c r="L88" s="264">
        <f>-CF!L28</f>
        <v>1.2190000000000001</v>
      </c>
      <c r="M88" s="264">
        <f>-CF!M28</f>
        <v>2.0279999999999996</v>
      </c>
      <c r="N88" s="264">
        <f>-CF!N28</f>
        <v>1.6559999999999999</v>
      </c>
      <c r="O88" s="265">
        <f>-CF!O28</f>
        <v>1.021000000000001</v>
      </c>
      <c r="P88" s="333">
        <f>-CF!P28</f>
        <v>5.9240000000000004</v>
      </c>
      <c r="Q88" s="264">
        <f>-CF!Q28</f>
        <v>0.79300000000000004</v>
      </c>
      <c r="R88" s="264">
        <f>-CF!R28</f>
        <v>2.081</v>
      </c>
      <c r="S88" s="264">
        <f>-CF!S28</f>
        <v>3.4810000000000008</v>
      </c>
      <c r="T88" s="265">
        <f>-CF!T28</f>
        <v>4.2969999999999979</v>
      </c>
      <c r="U88" s="333">
        <f>-CF!U28</f>
        <v>10.651999999999997</v>
      </c>
      <c r="V88" s="264">
        <f>-CF!V28</f>
        <v>3.1080000000000001</v>
      </c>
      <c r="W88" s="264">
        <f>-CF!W28</f>
        <v>2.1779999999999995</v>
      </c>
      <c r="X88" s="264">
        <f>-CF!X28</f>
        <v>5.4050000000000011</v>
      </c>
      <c r="Y88" s="265">
        <f>-CF!Y28</f>
        <v>4.2619999999999987</v>
      </c>
      <c r="Z88" s="333">
        <f>-CF!Z28</f>
        <v>14.952999999999999</v>
      </c>
      <c r="AA88" s="264">
        <f>-CF!AA28</f>
        <v>1.944</v>
      </c>
      <c r="AB88" s="264">
        <f>-CF!AB28</f>
        <v>2.8970000000000002</v>
      </c>
      <c r="AC88" s="264">
        <f>-CF!AC28</f>
        <v>2.758</v>
      </c>
      <c r="AD88" s="264">
        <f>-CF!AD28</f>
        <v>14.669</v>
      </c>
      <c r="AE88" s="333">
        <f>-CF!AE28</f>
        <v>22.268000000000001</v>
      </c>
      <c r="AF88" s="264">
        <f>-CF!AF28</f>
        <v>6.0540000000000003</v>
      </c>
      <c r="AG88" s="264">
        <f>-CF!AG28</f>
        <v>7.645999999999999</v>
      </c>
      <c r="AH88" s="264">
        <f>-CF!AH28</f>
        <v>6.5620000000000012</v>
      </c>
      <c r="AI88" s="264">
        <f>-CF!AI28</f>
        <v>9.7289999999999992</v>
      </c>
      <c r="AJ88" s="333">
        <f>-CF!AJ28</f>
        <v>29.991</v>
      </c>
      <c r="AK88" s="264">
        <f>-CF!AK28</f>
        <v>2.6909999999999998</v>
      </c>
      <c r="AL88" s="264">
        <f>-CF!AL28</f>
        <v>3.6260000000000003</v>
      </c>
      <c r="AM88" s="264">
        <f>-CF!AM28</f>
        <v>15.474</v>
      </c>
      <c r="AN88" s="264">
        <f>-CF!AN28</f>
        <v>24.790000000000003</v>
      </c>
      <c r="AO88" s="333">
        <f>-CF!AO28</f>
        <v>46.581000000000003</v>
      </c>
      <c r="AP88" s="264">
        <f>-CF!AP28</f>
        <v>8.64</v>
      </c>
      <c r="AQ88" s="264">
        <f>-CF!AQ28</f>
        <v>13.712</v>
      </c>
      <c r="AR88" s="264">
        <f>-CF!AR28</f>
        <v>27.221000000000004</v>
      </c>
      <c r="AS88" s="264">
        <f>-CF!AS28</f>
        <v>22.196999999999992</v>
      </c>
      <c r="AT88" s="333">
        <f>-CF!AT28</f>
        <v>71.77</v>
      </c>
      <c r="AU88" s="264">
        <f>-CF!AU28</f>
        <v>20.587</v>
      </c>
      <c r="AV88" s="264">
        <f>-CF!AV28</f>
        <v>24.401999999999997</v>
      </c>
      <c r="AW88" s="264">
        <f>-CF!AW28</f>
        <v>26.223000000000003</v>
      </c>
      <c r="AX88" s="264">
        <f>-CF!AX28</f>
        <v>33.521999999999991</v>
      </c>
      <c r="AY88" s="333">
        <f>-CF!AY28</f>
        <v>104.73399999999999</v>
      </c>
      <c r="AZ88" s="264">
        <f>-CF!AZ28</f>
        <v>28.675000000000001</v>
      </c>
      <c r="BA88" s="264">
        <f>-CF!BA28</f>
        <v>42.195999999999998</v>
      </c>
      <c r="BB88" s="264">
        <f>-CF!BB28</f>
        <v>39.562000000000012</v>
      </c>
      <c r="BC88" s="264">
        <f>-CF!BC28</f>
        <v>72.034000000000006</v>
      </c>
      <c r="BD88" s="333">
        <f>-CF!BD28</f>
        <v>182.46700000000001</v>
      </c>
      <c r="BE88" s="264">
        <f>-CF!BE28</f>
        <v>53.423000000000002</v>
      </c>
      <c r="BF88" s="264">
        <f>-CF!BF28</f>
        <v>31.786999999999992</v>
      </c>
      <c r="BG88" s="264">
        <f>-CF!BG28</f>
        <v>61.114999999999995</v>
      </c>
      <c r="BH88" s="264">
        <f>-CF!BH28</f>
        <v>23.085000000000008</v>
      </c>
      <c r="BI88" s="333">
        <f>-CF!BI28</f>
        <v>169.41</v>
      </c>
      <c r="BJ88" s="264">
        <f>-CF!BJ28</f>
        <v>20.472000000000001</v>
      </c>
      <c r="BK88" s="264">
        <f>-CF!BK28</f>
        <v>9.5529999999999973</v>
      </c>
      <c r="BL88" s="264">
        <f>-CF!BL28</f>
        <v>31.988</v>
      </c>
      <c r="BM88" s="264">
        <f>-CF!BM28</f>
        <v>14.625999999999998</v>
      </c>
      <c r="BN88" s="333">
        <f>-CF!BN28</f>
        <v>76.638999999999996</v>
      </c>
      <c r="BO88" s="264">
        <f>-CF!BO28</f>
        <v>24.219000000000001</v>
      </c>
      <c r="BP88" s="264">
        <f>-CF!BP28</f>
        <v>41.946000000000005</v>
      </c>
      <c r="BQ88" s="264">
        <f>-CF!BQ28</f>
        <v>44.795999999999985</v>
      </c>
      <c r="BR88" s="264">
        <f>-CF!BR28</f>
        <v>74.551000000000016</v>
      </c>
      <c r="BS88" s="333">
        <f>-CF!BS28</f>
        <v>185.512</v>
      </c>
      <c r="BT88" s="264">
        <f>-CF!BT28</f>
        <v>55.814999999999998</v>
      </c>
      <c r="BU88" s="264">
        <f>-CF!BU28</f>
        <v>33.734999999999999</v>
      </c>
      <c r="BV88" s="264">
        <f>-CF!BV28</f>
        <v>74.110000000000014</v>
      </c>
      <c r="BW88" s="264">
        <f>-CF!BW28</f>
        <v>124.56099999999998</v>
      </c>
      <c r="BX88" s="333">
        <f>-CF!BX28</f>
        <v>288.221</v>
      </c>
      <c r="BY88" s="264">
        <f>-CF!BY28</f>
        <v>60.451000000000001</v>
      </c>
      <c r="BZ88" s="264">
        <f>-CF!BZ28</f>
        <v>78.320999999999998</v>
      </c>
      <c r="CA88" s="264">
        <f>-CF!CA28</f>
        <v>69.944000000000017</v>
      </c>
      <c r="CB88" s="264">
        <f>-CF!CB28</f>
        <v>125.74899999999997</v>
      </c>
      <c r="CC88" s="333">
        <f>-CF!CC28</f>
        <v>334.46499999999997</v>
      </c>
      <c r="CD88" s="264">
        <f>-CF!CD28</f>
        <v>72.185000000000002</v>
      </c>
      <c r="CE88" s="264">
        <f>-CF!CE28</f>
        <v>50.325000000000003</v>
      </c>
      <c r="CF88" s="264">
        <f>-CF!CF28</f>
        <v>31.835999999999999</v>
      </c>
      <c r="CG88" s="264">
        <f>-CF!CG28</f>
        <v>107.27999999999997</v>
      </c>
      <c r="CH88" s="333">
        <f>-CF!CH28</f>
        <v>261.62599999999998</v>
      </c>
      <c r="CI88" s="264">
        <f>-CF!CI28</f>
        <v>43</v>
      </c>
      <c r="CJ88" s="264">
        <f>-CF!CJ28</f>
        <v>38.956999999999994</v>
      </c>
      <c r="CK88" s="264">
        <f>-CF!CK28</f>
        <v>55.59</v>
      </c>
      <c r="CL88" s="264">
        <f>-CF!CL28</f>
        <v>74.656000000000006</v>
      </c>
      <c r="CM88" s="333">
        <f>-CF!CM28</f>
        <v>212.203</v>
      </c>
      <c r="CN88" s="264">
        <f>-CF!CN28</f>
        <v>58</v>
      </c>
      <c r="CO88" s="264">
        <f>-CF!CO28</f>
        <v>75.599999999999994</v>
      </c>
      <c r="CP88" s="264">
        <f>-CF!CP28</f>
        <v>65.099999999999994</v>
      </c>
      <c r="CQ88" s="264">
        <f>-CF!CQ28</f>
        <v>74.100000000000023</v>
      </c>
      <c r="CR88" s="333">
        <f>-CF!CR28</f>
        <v>272.8</v>
      </c>
      <c r="CS88" s="264">
        <f>-CF!CS28</f>
        <v>63.7</v>
      </c>
      <c r="CT88" s="264">
        <f>-CF!CT28</f>
        <v>74.899999999999991</v>
      </c>
      <c r="CU88" s="264">
        <f>-CF!CU28</f>
        <v>74.200000000000031</v>
      </c>
      <c r="CV88" s="264">
        <f>-CF!CV28</f>
        <v>87.199999999999974</v>
      </c>
      <c r="CW88" s="333">
        <f>-CF!CW28</f>
        <v>300</v>
      </c>
      <c r="CX88" s="264">
        <f>-CF!CX28</f>
        <v>66</v>
      </c>
      <c r="CY88" s="264">
        <f>-CF!CY28</f>
        <v>60</v>
      </c>
      <c r="CZ88" s="264">
        <f>-CF!CZ28</f>
        <v>78</v>
      </c>
      <c r="DA88" s="1105">
        <f>-CF!DA28</f>
        <v>80</v>
      </c>
      <c r="DB88" s="333">
        <f>-CF!DB28</f>
        <v>284</v>
      </c>
      <c r="DC88" s="264">
        <f>DC106*IS!DC22</f>
        <v>61.945999999999998</v>
      </c>
      <c r="DD88" s="264">
        <f>DD106*IS!DD22</f>
        <v>64.14528</v>
      </c>
      <c r="DE88" s="264">
        <f>DE106*IS!DE22</f>
        <v>88.147419999999997</v>
      </c>
      <c r="DF88" s="264">
        <f>DF106*IS!DF22</f>
        <v>104.21350000000001</v>
      </c>
      <c r="DG88" s="333">
        <f>-CF!DG28</f>
        <v>318.4522</v>
      </c>
      <c r="DH88" s="264">
        <f>DH106*IS!DH22</f>
        <v>66.863562000000002</v>
      </c>
      <c r="DI88" s="264">
        <f>DI106*IS!DI22</f>
        <v>69.262749599999992</v>
      </c>
      <c r="DJ88" s="264">
        <f>DJ106*IS!DJ22</f>
        <v>95.190305075000012</v>
      </c>
      <c r="DK88" s="264">
        <f>DK106*IS!DK22</f>
        <v>112.41923500000003</v>
      </c>
      <c r="DL88" s="333">
        <f>-CF!DL28</f>
        <v>343.73585167500005</v>
      </c>
      <c r="DM88" s="264">
        <f>DM106*IS!DM22</f>
        <v>72.240916049999996</v>
      </c>
      <c r="DN88" s="264">
        <f>DN106*IS!DN22</f>
        <v>74.662055328000022</v>
      </c>
      <c r="DO88" s="264">
        <f>DO106*IS!DO22</f>
        <v>102.76042291637501</v>
      </c>
      <c r="DP88" s="264">
        <f>DP106*IS!DP22</f>
        <v>121.22557960000002</v>
      </c>
      <c r="DQ88" s="333">
        <f>-CF!DQ28</f>
        <v>370.88897389437506</v>
      </c>
      <c r="DR88" s="136"/>
      <c r="DS88" s="145"/>
      <c r="DT88"/>
      <c r="DU88"/>
      <c r="DV88"/>
      <c r="DW88"/>
      <c r="DX88"/>
      <c r="DY88"/>
    </row>
    <row r="89" spans="1:129" s="154" customFormat="1" hidden="1" outlineLevel="1">
      <c r="B89" s="136"/>
      <c r="C89" s="135" t="s">
        <v>137</v>
      </c>
      <c r="D89" s="135"/>
      <c r="E89" s="135"/>
      <c r="F89" s="135"/>
      <c r="G89" s="263"/>
      <c r="H89" s="264"/>
      <c r="I89" s="264"/>
      <c r="J89" s="265">
        <f>-CF!J29</f>
        <v>0</v>
      </c>
      <c r="K89" s="333"/>
      <c r="L89" s="264">
        <f>-CF!L29</f>
        <v>0</v>
      </c>
      <c r="M89" s="264">
        <f>-CF!M29</f>
        <v>0</v>
      </c>
      <c r="N89" s="264">
        <f>-CF!N29</f>
        <v>0</v>
      </c>
      <c r="O89" s="265">
        <f>-CF!O29</f>
        <v>0</v>
      </c>
      <c r="P89" s="333">
        <f>-CF!P29</f>
        <v>0</v>
      </c>
      <c r="Q89" s="264">
        <f>-CF!Q29</f>
        <v>0</v>
      </c>
      <c r="R89" s="264">
        <f>-CF!R29</f>
        <v>0</v>
      </c>
      <c r="S89" s="264">
        <f>-CF!S29</f>
        <v>0</v>
      </c>
      <c r="T89" s="265">
        <f>-CF!T29</f>
        <v>0</v>
      </c>
      <c r="U89" s="333">
        <f>-CF!U29</f>
        <v>0</v>
      </c>
      <c r="V89" s="264">
        <f>-CF!V29</f>
        <v>0</v>
      </c>
      <c r="W89" s="264">
        <f>-CF!W29</f>
        <v>0</v>
      </c>
      <c r="X89" s="264">
        <f>-CF!X29</f>
        <v>0</v>
      </c>
      <c r="Y89" s="265">
        <f>-CF!Y29</f>
        <v>0</v>
      </c>
      <c r="Z89" s="333">
        <f>-CF!Z29</f>
        <v>0</v>
      </c>
      <c r="AA89" s="264">
        <f>-CF!AA29</f>
        <v>0</v>
      </c>
      <c r="AB89" s="264">
        <f>-CF!AB29</f>
        <v>0</v>
      </c>
      <c r="AC89" s="264">
        <f>-CF!AC29</f>
        <v>0</v>
      </c>
      <c r="AD89" s="264">
        <f>-CF!AD29</f>
        <v>0</v>
      </c>
      <c r="AE89" s="333">
        <f>-CF!AE29</f>
        <v>0</v>
      </c>
      <c r="AF89" s="264">
        <f>-CF!AF29</f>
        <v>0</v>
      </c>
      <c r="AG89" s="264">
        <f>-CF!AG29</f>
        <v>0</v>
      </c>
      <c r="AH89" s="264">
        <f>-CF!AH29</f>
        <v>0</v>
      </c>
      <c r="AI89" s="264">
        <f>-CF!AI29</f>
        <v>0</v>
      </c>
      <c r="AJ89" s="333">
        <f>-CF!AJ29</f>
        <v>0</v>
      </c>
      <c r="AK89" s="264">
        <f>-CF!AK29</f>
        <v>0</v>
      </c>
      <c r="AL89" s="264">
        <f>-CF!AL29</f>
        <v>0</v>
      </c>
      <c r="AM89" s="264">
        <f>-CF!AM29</f>
        <v>0</v>
      </c>
      <c r="AN89" s="264">
        <f>-CF!AN29</f>
        <v>0</v>
      </c>
      <c r="AO89" s="333">
        <f>-CF!AO29</f>
        <v>0</v>
      </c>
      <c r="AP89" s="264">
        <f>-CF!AP29</f>
        <v>0</v>
      </c>
      <c r="AQ89" s="264">
        <f>-CF!AQ29</f>
        <v>0</v>
      </c>
      <c r="AR89" s="264">
        <f>-CF!AR29</f>
        <v>0</v>
      </c>
      <c r="AS89" s="264">
        <f>-CF!AS29</f>
        <v>0</v>
      </c>
      <c r="AT89" s="333">
        <f>-CF!AT29</f>
        <v>0</v>
      </c>
      <c r="AU89" s="264">
        <f>-CF!AU29</f>
        <v>0</v>
      </c>
      <c r="AV89" s="264">
        <f>-CF!AV29</f>
        <v>0</v>
      </c>
      <c r="AW89" s="264">
        <f>-CF!AW29</f>
        <v>0</v>
      </c>
      <c r="AX89" s="264">
        <f>-CF!AX29</f>
        <v>0</v>
      </c>
      <c r="AY89" s="333">
        <f>-CF!AY29</f>
        <v>0</v>
      </c>
      <c r="AZ89" s="264">
        <f>-CF!AZ29</f>
        <v>0</v>
      </c>
      <c r="BA89" s="264">
        <f>-CF!BA29</f>
        <v>0</v>
      </c>
      <c r="BB89" s="264">
        <f>-CF!BB29</f>
        <v>0</v>
      </c>
      <c r="BC89" s="264">
        <f>-CF!BC29</f>
        <v>0</v>
      </c>
      <c r="BD89" s="333">
        <f>-CF!BD29</f>
        <v>0</v>
      </c>
      <c r="BE89" s="264">
        <f>-CF!BE29</f>
        <v>0</v>
      </c>
      <c r="BF89" s="264">
        <f>-CF!BF29</f>
        <v>0</v>
      </c>
      <c r="BG89" s="264">
        <f>-CF!BG29</f>
        <v>0</v>
      </c>
      <c r="BH89" s="264">
        <f>-CF!BH29</f>
        <v>0</v>
      </c>
      <c r="BI89" s="333">
        <f>-CF!BI29</f>
        <v>0</v>
      </c>
      <c r="BJ89" s="264">
        <f>-CF!BJ29</f>
        <v>0</v>
      </c>
      <c r="BK89" s="264">
        <f>-CF!BK29</f>
        <v>0</v>
      </c>
      <c r="BL89" s="264">
        <f>-CF!BL29</f>
        <v>0</v>
      </c>
      <c r="BM89" s="264">
        <f>-CF!BM29</f>
        <v>0</v>
      </c>
      <c r="BN89" s="333">
        <f>-CF!BN29</f>
        <v>0</v>
      </c>
      <c r="BO89" s="264">
        <f>-CF!BO29</f>
        <v>0</v>
      </c>
      <c r="BP89" s="264">
        <f>-CF!BP29</f>
        <v>0</v>
      </c>
      <c r="BQ89" s="264">
        <f>-CF!BQ29</f>
        <v>0</v>
      </c>
      <c r="BR89" s="264">
        <f>-CF!BR29</f>
        <v>0</v>
      </c>
      <c r="BS89" s="333">
        <f>-CF!BS29</f>
        <v>0</v>
      </c>
      <c r="BT89" s="264">
        <f>-CF!BT29</f>
        <v>0</v>
      </c>
      <c r="BU89" s="264">
        <f>-CF!BU29</f>
        <v>0</v>
      </c>
      <c r="BV89" s="264">
        <f>-CF!BV29</f>
        <v>0</v>
      </c>
      <c r="BW89" s="264">
        <f>-CF!BW29</f>
        <v>0</v>
      </c>
      <c r="BX89" s="333">
        <f>-CF!BX29</f>
        <v>0</v>
      </c>
      <c r="BY89" s="264">
        <f>-CF!BY29</f>
        <v>0</v>
      </c>
      <c r="BZ89" s="264">
        <f>-CF!BZ29</f>
        <v>0</v>
      </c>
      <c r="CA89" s="264">
        <f>-CF!CA29</f>
        <v>0</v>
      </c>
      <c r="CB89" s="264">
        <f>-CF!CB29</f>
        <v>0</v>
      </c>
      <c r="CC89" s="333">
        <f>-CF!CC29</f>
        <v>0</v>
      </c>
      <c r="CD89" s="264">
        <f>-CF!CD29</f>
        <v>0</v>
      </c>
      <c r="CE89" s="264">
        <f>-CF!CE29</f>
        <v>0</v>
      </c>
      <c r="CF89" s="264">
        <f>-CF!CF29</f>
        <v>0</v>
      </c>
      <c r="CG89" s="264">
        <f>-CF!CG29</f>
        <v>0</v>
      </c>
      <c r="CH89" s="333">
        <f>-CF!CH29</f>
        <v>0</v>
      </c>
      <c r="CI89" s="264">
        <f>-CF!CI29</f>
        <v>0</v>
      </c>
      <c r="CJ89" s="264">
        <f>-CF!CJ29</f>
        <v>0</v>
      </c>
      <c r="CK89" s="264">
        <f>-CF!CK29</f>
        <v>0</v>
      </c>
      <c r="CL89" s="264">
        <f>-CF!CL29</f>
        <v>0</v>
      </c>
      <c r="CM89" s="333">
        <f>-CF!CM29</f>
        <v>0</v>
      </c>
      <c r="CN89" s="264">
        <f>CN103*CN87</f>
        <v>0</v>
      </c>
      <c r="CO89" s="264">
        <f>CO103*CO87</f>
        <v>0</v>
      </c>
      <c r="CP89" s="264">
        <f>-CF!CP29</f>
        <v>0</v>
      </c>
      <c r="CQ89" s="264">
        <f>-CF!CQ29</f>
        <v>0</v>
      </c>
      <c r="CR89" s="333">
        <f>-CF!CR29</f>
        <v>0</v>
      </c>
      <c r="CS89" s="264">
        <f>-CF!CS29</f>
        <v>0</v>
      </c>
      <c r="CT89" s="264">
        <f>-CF!CT29</f>
        <v>0</v>
      </c>
      <c r="CU89" s="264">
        <f>-CF!CU29</f>
        <v>0</v>
      </c>
      <c r="CV89" s="264">
        <f>-CF!CV29</f>
        <v>0</v>
      </c>
      <c r="CW89" s="333">
        <f>-CF!CW29</f>
        <v>0</v>
      </c>
      <c r="CX89" s="264">
        <f>-CF!CX29</f>
        <v>0</v>
      </c>
      <c r="CY89" s="264">
        <f>-CF!CY29</f>
        <v>0</v>
      </c>
      <c r="CZ89" s="264">
        <v>0</v>
      </c>
      <c r="DA89" s="1105">
        <v>0</v>
      </c>
      <c r="DB89" s="333">
        <f>-CF!DB29</f>
        <v>0</v>
      </c>
      <c r="DC89" s="264">
        <f t="shared" ref="DC89:DF89" si="241">DC103*DC87</f>
        <v>0</v>
      </c>
      <c r="DD89" s="264">
        <f t="shared" si="241"/>
        <v>0</v>
      </c>
      <c r="DE89" s="264">
        <f t="shared" si="241"/>
        <v>0</v>
      </c>
      <c r="DF89" s="264">
        <f t="shared" si="241"/>
        <v>0</v>
      </c>
      <c r="DG89" s="333">
        <f>-CF!DG29</f>
        <v>0</v>
      </c>
      <c r="DH89" s="264">
        <f>DH103*DH87</f>
        <v>0</v>
      </c>
      <c r="DI89" s="264">
        <f>DI103*DI87</f>
        <v>0</v>
      </c>
      <c r="DJ89" s="264">
        <f>DJ103*DJ87</f>
        <v>0</v>
      </c>
      <c r="DK89" s="264">
        <f>DK103*DK87</f>
        <v>0</v>
      </c>
      <c r="DL89" s="333">
        <f>-CF!DL29</f>
        <v>0</v>
      </c>
      <c r="DM89" s="264">
        <f>DM103*DM87</f>
        <v>0</v>
      </c>
      <c r="DN89" s="264">
        <f>DN103*DN87</f>
        <v>0</v>
      </c>
      <c r="DO89" s="264">
        <f>DO103*DO87</f>
        <v>0</v>
      </c>
      <c r="DP89" s="264">
        <f>DP103*DP87</f>
        <v>0</v>
      </c>
      <c r="DQ89" s="333">
        <f>-CF!DQ29</f>
        <v>0</v>
      </c>
      <c r="DR89" s="136"/>
      <c r="DS89" s="145"/>
      <c r="DT89"/>
      <c r="DU89"/>
      <c r="DV89"/>
      <c r="DW89"/>
      <c r="DX89"/>
      <c r="DY89"/>
    </row>
    <row r="90" spans="1:129" s="154" customFormat="1" hidden="1" outlineLevel="1">
      <c r="B90" s="136"/>
      <c r="C90" s="135" t="s">
        <v>7</v>
      </c>
      <c r="D90" s="135"/>
      <c r="E90" s="135"/>
      <c r="F90" s="135"/>
      <c r="G90" s="263"/>
      <c r="H90" s="264"/>
      <c r="I90" s="264"/>
      <c r="J90" s="265">
        <f>J91-SUM(J87:J89)</f>
        <v>-0.34699999999999953</v>
      </c>
      <c r="K90" s="333"/>
      <c r="L90" s="264">
        <f>L91-SUM(L87:L89)</f>
        <v>-1.8000000000000682E-2</v>
      </c>
      <c r="M90" s="264">
        <f>M91-SUM(M87:M89)</f>
        <v>2.0000000000024443E-3</v>
      </c>
      <c r="N90" s="264">
        <f>N91-SUM(N87:N89)</f>
        <v>9.9999999999944578E-4</v>
      </c>
      <c r="O90" s="265">
        <f t="shared" ref="O90:BB90" si="242">O91-SUM(O87:O89)</f>
        <v>-9.0000000000003411E-3</v>
      </c>
      <c r="P90" s="333">
        <f>P91-SUM(P87:P89)</f>
        <v>-2.4000000000000909E-2</v>
      </c>
      <c r="Q90" s="264">
        <f t="shared" si="242"/>
        <v>-9.0000000000003411E-3</v>
      </c>
      <c r="R90" s="264">
        <f t="shared" si="242"/>
        <v>-1.2000000000000455E-2</v>
      </c>
      <c r="S90" s="264">
        <f t="shared" si="242"/>
        <v>1.9999999999999574E-2</v>
      </c>
      <c r="T90" s="265">
        <f t="shared" si="242"/>
        <v>-7.9999999999920135E-3</v>
      </c>
      <c r="U90" s="333">
        <f>U91-SUM(U87:U89)</f>
        <v>-8.9999999999932356E-3</v>
      </c>
      <c r="V90" s="264">
        <f t="shared" si="242"/>
        <v>-0.11100000000000776</v>
      </c>
      <c r="W90" s="264">
        <f t="shared" si="242"/>
        <v>-9.9999999999056399E-4</v>
      </c>
      <c r="X90" s="264">
        <f t="shared" si="242"/>
        <v>-8.0000000000097771E-3</v>
      </c>
      <c r="Y90" s="265">
        <f t="shared" si="242"/>
        <v>-0.62299999999999756</v>
      </c>
      <c r="Z90" s="333">
        <f>Z91-SUM(Z87:Z89)</f>
        <v>-0.7430000000000021</v>
      </c>
      <c r="AA90" s="264">
        <f t="shared" si="242"/>
        <v>-0.14999999999999858</v>
      </c>
      <c r="AB90" s="264">
        <f t="shared" si="242"/>
        <v>-6.6000000000002501E-2</v>
      </c>
      <c r="AC90" s="264">
        <f t="shared" si="242"/>
        <v>9.9999999999766942E-4</v>
      </c>
      <c r="AD90" s="264">
        <f t="shared" si="242"/>
        <v>0.45200000000000529</v>
      </c>
      <c r="AE90" s="333">
        <f>AE91-SUM(AE87:AE89)</f>
        <v>0.23700000000000898</v>
      </c>
      <c r="AF90" s="264">
        <f t="shared" si="242"/>
        <v>-1.3870000000000005</v>
      </c>
      <c r="AG90" s="264">
        <f t="shared" si="242"/>
        <v>0.21399999999999864</v>
      </c>
      <c r="AH90" s="264">
        <f t="shared" si="242"/>
        <v>4.8000000000001819E-2</v>
      </c>
      <c r="AI90" s="264">
        <f t="shared" si="242"/>
        <v>9.0999999999993975E-2</v>
      </c>
      <c r="AJ90" s="333">
        <f>AJ91-SUM(AJ87:AJ89)</f>
        <v>-1.0340000000000202</v>
      </c>
      <c r="AK90" s="264">
        <f t="shared" si="242"/>
        <v>0.17300000000000182</v>
      </c>
      <c r="AL90" s="264">
        <f t="shared" si="242"/>
        <v>-4.4000000000011141E-2</v>
      </c>
      <c r="AM90" s="264">
        <f t="shared" si="242"/>
        <v>-1.3649999999999949</v>
      </c>
      <c r="AN90" s="264">
        <f t="shared" si="242"/>
        <v>0.18999999999999773</v>
      </c>
      <c r="AO90" s="333">
        <f>AO91-SUM(AO87:AO89)</f>
        <v>-1.0460000000000207</v>
      </c>
      <c r="AP90" s="264">
        <f t="shared" si="242"/>
        <v>-0.16499999999999204</v>
      </c>
      <c r="AQ90" s="264">
        <f t="shared" si="242"/>
        <v>5.1930000000000121</v>
      </c>
      <c r="AR90" s="264">
        <f t="shared" si="242"/>
        <v>-4.7540000000000191</v>
      </c>
      <c r="AS90" s="264">
        <f t="shared" si="242"/>
        <v>1.5330000000000155</v>
      </c>
      <c r="AT90" s="333">
        <f>AT91-SUM(AT87:AT89)</f>
        <v>1.8070000000000164</v>
      </c>
      <c r="AU90" s="264">
        <f t="shared" si="242"/>
        <v>0.50099999999997635</v>
      </c>
      <c r="AV90" s="264">
        <f t="shared" si="242"/>
        <v>0.57500000000004547</v>
      </c>
      <c r="AW90" s="264">
        <f t="shared" si="242"/>
        <v>8.4000000000003183E-2</v>
      </c>
      <c r="AX90" s="264">
        <f t="shared" si="242"/>
        <v>-1.9190000000000396</v>
      </c>
      <c r="AY90" s="333">
        <f>AY91-SUM(AY87:AY89)</f>
        <v>-0.75900000000001455</v>
      </c>
      <c r="AZ90" s="264">
        <f t="shared" si="242"/>
        <v>-1.7679999999999723</v>
      </c>
      <c r="BA90" s="264">
        <f t="shared" si="242"/>
        <v>-1.61099999999999</v>
      </c>
      <c r="BB90" s="264">
        <f t="shared" si="242"/>
        <v>-1.1870000000000118</v>
      </c>
      <c r="BC90" s="264">
        <f t="shared" ref="BC90:CE90" si="243">BC91-SUM(BC87:BC89)</f>
        <v>5.4339999999999691</v>
      </c>
      <c r="BD90" s="333">
        <f>BD91-SUM(BD87:BD89)</f>
        <v>0.86800000000005184</v>
      </c>
      <c r="BE90" s="264">
        <f t="shared" si="243"/>
        <v>-7.4570000000001073</v>
      </c>
      <c r="BF90" s="264">
        <f t="shared" si="243"/>
        <v>-0.6129999999999427</v>
      </c>
      <c r="BG90" s="264">
        <f t="shared" si="243"/>
        <v>-1.6329999999999245</v>
      </c>
      <c r="BH90" s="264">
        <f t="shared" si="243"/>
        <v>-4.2930000000001201</v>
      </c>
      <c r="BI90" s="333">
        <f>BI91-SUM(BI87:BI89)</f>
        <v>-13.995999999999981</v>
      </c>
      <c r="BJ90" s="264">
        <f t="shared" si="243"/>
        <v>-1.95799999999997</v>
      </c>
      <c r="BK90" s="264">
        <f t="shared" si="243"/>
        <v>-1.0500000000000682</v>
      </c>
      <c r="BL90" s="264">
        <f t="shared" si="243"/>
        <v>0.84900000000016007</v>
      </c>
      <c r="BM90" s="264">
        <f t="shared" si="243"/>
        <v>27.163999999999987</v>
      </c>
      <c r="BN90" s="333">
        <f>BN91-SUM(BN87:BN89)</f>
        <v>25.004999999999995</v>
      </c>
      <c r="BO90" s="264">
        <f t="shared" si="243"/>
        <v>-4.0310000000000628</v>
      </c>
      <c r="BP90" s="264">
        <f t="shared" si="243"/>
        <v>4.7729999999999109</v>
      </c>
      <c r="BQ90" s="264">
        <f t="shared" si="243"/>
        <v>-5.6909999999999172</v>
      </c>
      <c r="BR90" s="264">
        <f t="shared" si="243"/>
        <v>-13.729000000000042</v>
      </c>
      <c r="BS90" s="333">
        <f>BS91-SUM(BS87:BS89)</f>
        <v>-18.677999999999997</v>
      </c>
      <c r="BT90" s="264">
        <f t="shared" si="243"/>
        <v>1.5000000000100044E-2</v>
      </c>
      <c r="BU90" s="264">
        <f t="shared" si="243"/>
        <v>4.5900000000000318</v>
      </c>
      <c r="BV90" s="264">
        <f t="shared" si="243"/>
        <v>2.693000000000211</v>
      </c>
      <c r="BW90" s="264">
        <f t="shared" si="243"/>
        <v>-4.8989999999998872</v>
      </c>
      <c r="BX90" s="333">
        <f>BX91-SUM(BX87:BX89)</f>
        <v>2.3990000000001146</v>
      </c>
      <c r="BY90" s="264">
        <f t="shared" si="243"/>
        <v>-6.3120000000001255</v>
      </c>
      <c r="BZ90" s="264">
        <f t="shared" si="243"/>
        <v>6.8360000000000127</v>
      </c>
      <c r="CA90" s="264">
        <f t="shared" si="243"/>
        <v>7.4049999999999727</v>
      </c>
      <c r="CB90" s="264">
        <f t="shared" si="243"/>
        <v>-10.656000000000176</v>
      </c>
      <c r="CC90" s="333">
        <f>CC91-SUM(CC87:CC89)</f>
        <v>-2.7270000000003165</v>
      </c>
      <c r="CD90" s="264">
        <f t="shared" si="243"/>
        <v>0.89700000000038926</v>
      </c>
      <c r="CE90" s="264">
        <f t="shared" si="243"/>
        <v>-4.3050000000000637</v>
      </c>
      <c r="CF90" s="264">
        <f t="shared" ref="CF90:CL90" si="244">CF91-SUM(CF87:CF89)</f>
        <v>-3.7490000000000236</v>
      </c>
      <c r="CG90" s="264">
        <f t="shared" si="244"/>
        <v>0.75299999999992906</v>
      </c>
      <c r="CH90" s="333">
        <f>CH91-SUM(CH87:CH89)</f>
        <v>-6.403999999999769</v>
      </c>
      <c r="CI90" s="264">
        <f t="shared" si="244"/>
        <v>-1.4999999999872671E-2</v>
      </c>
      <c r="CJ90" s="264">
        <f t="shared" si="244"/>
        <v>-27.708000000000084</v>
      </c>
      <c r="CK90" s="264">
        <f t="shared" si="244"/>
        <v>27.744000000000369</v>
      </c>
      <c r="CL90" s="264">
        <f t="shared" si="244"/>
        <v>86.604999999999563</v>
      </c>
      <c r="CM90" s="333">
        <f>CM91-SUM(CM87:CM89)</f>
        <v>86.625999999999749</v>
      </c>
      <c r="CN90" s="307">
        <v>0</v>
      </c>
      <c r="CO90" s="307">
        <v>0</v>
      </c>
      <c r="CP90" s="264">
        <f t="shared" ref="CP90:CV90" si="245">CP91-SUM(CP87:CP89)</f>
        <v>-5.7289999999993597</v>
      </c>
      <c r="CQ90" s="264">
        <f t="shared" si="245"/>
        <v>-15.900000000000091</v>
      </c>
      <c r="CR90" s="333">
        <f>CR91-SUM(CR87:CR89)</f>
        <v>-21.628999999999905</v>
      </c>
      <c r="CS90" s="264">
        <f t="shared" si="245"/>
        <v>-8.5999999999999091</v>
      </c>
      <c r="CT90" s="264">
        <f t="shared" si="245"/>
        <v>-1.8999999999996362</v>
      </c>
      <c r="CU90" s="264">
        <f t="shared" si="245"/>
        <v>25.799999999999727</v>
      </c>
      <c r="CV90" s="264">
        <f t="shared" si="245"/>
        <v>-41.799999999999727</v>
      </c>
      <c r="CW90" s="342">
        <v>0</v>
      </c>
      <c r="CX90" s="264">
        <f>CX91-SUM(CX87:CX89)</f>
        <v>-128.69999999999982</v>
      </c>
      <c r="CY90" s="264">
        <f>CY91-SUM(CY87:CY89)</f>
        <v>-24.300000000000182</v>
      </c>
      <c r="CZ90" s="264">
        <f>CZ91-SUM(CZ87:CZ89)</f>
        <v>-58</v>
      </c>
      <c r="DA90" s="1128">
        <v>0</v>
      </c>
      <c r="DB90" s="342">
        <v>0</v>
      </c>
      <c r="DC90" s="307">
        <v>0</v>
      </c>
      <c r="DD90" s="307">
        <v>0</v>
      </c>
      <c r="DE90" s="307">
        <v>0</v>
      </c>
      <c r="DF90" s="307">
        <v>0</v>
      </c>
      <c r="DG90" s="342">
        <v>0</v>
      </c>
      <c r="DH90" s="307">
        <v>0</v>
      </c>
      <c r="DI90" s="307">
        <v>0</v>
      </c>
      <c r="DJ90" s="307">
        <v>0</v>
      </c>
      <c r="DK90" s="307">
        <v>0</v>
      </c>
      <c r="DL90" s="342">
        <v>0</v>
      </c>
      <c r="DM90" s="307">
        <v>0</v>
      </c>
      <c r="DN90" s="307">
        <v>0</v>
      </c>
      <c r="DO90" s="307">
        <v>0</v>
      </c>
      <c r="DP90" s="307">
        <v>0</v>
      </c>
      <c r="DQ90" s="342">
        <v>0</v>
      </c>
      <c r="DR90" s="136"/>
      <c r="DS90" s="145"/>
      <c r="DT90"/>
      <c r="DU90"/>
      <c r="DV90"/>
      <c r="DW90"/>
      <c r="DX90"/>
      <c r="DY90"/>
    </row>
    <row r="91" spans="1:129" s="202" customFormat="1" collapsed="1">
      <c r="B91" s="169" t="s">
        <v>136</v>
      </c>
      <c r="C91" s="191"/>
      <c r="D91" s="191"/>
      <c r="E91" s="191"/>
      <c r="F91" s="191"/>
      <c r="G91" s="235"/>
      <c r="H91" s="236"/>
      <c r="I91" s="236">
        <f>I20</f>
        <v>9.3949999999999996</v>
      </c>
      <c r="J91" s="237">
        <f>J20</f>
        <v>10.391</v>
      </c>
      <c r="K91" s="334"/>
      <c r="L91" s="236">
        <f t="shared" ref="L91:AQ91" si="246">L20</f>
        <v>11.591999999999999</v>
      </c>
      <c r="M91" s="236">
        <f t="shared" si="246"/>
        <v>13.622</v>
      </c>
      <c r="N91" s="236">
        <f t="shared" si="246"/>
        <v>15.279</v>
      </c>
      <c r="O91" s="237">
        <f t="shared" si="246"/>
        <v>16.291</v>
      </c>
      <c r="P91" s="334">
        <f t="shared" si="246"/>
        <v>16.291</v>
      </c>
      <c r="Q91" s="236">
        <f t="shared" si="246"/>
        <v>17.074999999999999</v>
      </c>
      <c r="R91" s="236">
        <f t="shared" si="246"/>
        <v>19.143999999999998</v>
      </c>
      <c r="S91" s="236">
        <f t="shared" si="246"/>
        <v>22.645</v>
      </c>
      <c r="T91" s="237">
        <f t="shared" si="246"/>
        <v>26.934000000000005</v>
      </c>
      <c r="U91" s="334">
        <f t="shared" si="246"/>
        <v>26.934000000000005</v>
      </c>
      <c r="V91" s="236">
        <f t="shared" si="246"/>
        <v>29.930999999999997</v>
      </c>
      <c r="W91" s="236">
        <f t="shared" si="246"/>
        <v>32.108000000000004</v>
      </c>
      <c r="X91" s="236">
        <f t="shared" si="246"/>
        <v>37.504999999999995</v>
      </c>
      <c r="Y91" s="237">
        <f t="shared" si="246"/>
        <v>41.143999999999998</v>
      </c>
      <c r="Z91" s="334">
        <f t="shared" si="246"/>
        <v>41.143999999999998</v>
      </c>
      <c r="AA91" s="236">
        <f t="shared" si="246"/>
        <v>42.938000000000002</v>
      </c>
      <c r="AB91" s="236">
        <f t="shared" si="246"/>
        <v>45.768999999999998</v>
      </c>
      <c r="AC91" s="236">
        <f t="shared" si="246"/>
        <v>48.527999999999999</v>
      </c>
      <c r="AD91" s="236">
        <f t="shared" si="246"/>
        <v>63.649000000000008</v>
      </c>
      <c r="AE91" s="334">
        <f t="shared" si="246"/>
        <v>63.649000000000008</v>
      </c>
      <c r="AF91" s="236">
        <f t="shared" si="246"/>
        <v>68.316000000000003</v>
      </c>
      <c r="AG91" s="236">
        <f t="shared" si="246"/>
        <v>76.176000000000002</v>
      </c>
      <c r="AH91" s="236">
        <f t="shared" si="246"/>
        <v>82.786000000000001</v>
      </c>
      <c r="AI91" s="236">
        <f t="shared" si="246"/>
        <v>92.605999999999995</v>
      </c>
      <c r="AJ91" s="334">
        <f t="shared" si="246"/>
        <v>92.605999999999995</v>
      </c>
      <c r="AK91" s="236">
        <f t="shared" si="246"/>
        <v>95.47</v>
      </c>
      <c r="AL91" s="236">
        <f t="shared" si="246"/>
        <v>99.051999999999992</v>
      </c>
      <c r="AM91" s="236">
        <f t="shared" si="246"/>
        <v>113.161</v>
      </c>
      <c r="AN91" s="236">
        <f t="shared" si="246"/>
        <v>138.14099999999999</v>
      </c>
      <c r="AO91" s="334">
        <f t="shared" si="246"/>
        <v>138.14099999999999</v>
      </c>
      <c r="AP91" s="236">
        <f t="shared" si="246"/>
        <v>146.61600000000001</v>
      </c>
      <c r="AQ91" s="236">
        <f t="shared" si="246"/>
        <v>165.52100000000002</v>
      </c>
      <c r="AR91" s="236">
        <f t="shared" ref="AR91:BW91" si="247">AR20</f>
        <v>187.988</v>
      </c>
      <c r="AS91" s="236">
        <f t="shared" si="247"/>
        <v>211.71800000000002</v>
      </c>
      <c r="AT91" s="334">
        <f t="shared" si="247"/>
        <v>211.71800000000002</v>
      </c>
      <c r="AU91" s="236">
        <f t="shared" si="247"/>
        <v>232.80599999999998</v>
      </c>
      <c r="AV91" s="236">
        <f t="shared" si="247"/>
        <v>257.78300000000002</v>
      </c>
      <c r="AW91" s="236">
        <f t="shared" si="247"/>
        <v>284.09000000000003</v>
      </c>
      <c r="AX91" s="236">
        <f t="shared" si="247"/>
        <v>315.69299999999998</v>
      </c>
      <c r="AY91" s="334">
        <f t="shared" si="247"/>
        <v>315.69299999999998</v>
      </c>
      <c r="AZ91" s="236">
        <f t="shared" si="247"/>
        <v>342.6</v>
      </c>
      <c r="BA91" s="236">
        <f t="shared" si="247"/>
        <v>383.18500000000006</v>
      </c>
      <c r="BB91" s="236">
        <f t="shared" si="247"/>
        <v>421.56000000000006</v>
      </c>
      <c r="BC91" s="236">
        <f t="shared" si="247"/>
        <v>499.02800000000002</v>
      </c>
      <c r="BD91" s="334">
        <f t="shared" si="247"/>
        <v>499.02800000000002</v>
      </c>
      <c r="BE91" s="236">
        <f t="shared" si="247"/>
        <v>544.99399999999991</v>
      </c>
      <c r="BF91" s="236">
        <f t="shared" si="247"/>
        <v>576.16800000000001</v>
      </c>
      <c r="BG91" s="236">
        <f t="shared" si="247"/>
        <v>635.65000000000009</v>
      </c>
      <c r="BH91" s="236">
        <f t="shared" si="247"/>
        <v>654.44200000000001</v>
      </c>
      <c r="BI91" s="334">
        <f t="shared" si="247"/>
        <v>654.44200000000001</v>
      </c>
      <c r="BJ91" s="236">
        <f t="shared" si="247"/>
        <v>672.95600000000002</v>
      </c>
      <c r="BK91" s="236">
        <f t="shared" si="247"/>
        <v>681.45899999999995</v>
      </c>
      <c r="BL91" s="236">
        <f t="shared" si="247"/>
        <v>714.29600000000005</v>
      </c>
      <c r="BM91" s="236">
        <f t="shared" si="247"/>
        <v>756.08600000000001</v>
      </c>
      <c r="BN91" s="334">
        <f t="shared" si="247"/>
        <v>756.08600000000001</v>
      </c>
      <c r="BO91" s="236">
        <f t="shared" si="247"/>
        <v>776.274</v>
      </c>
      <c r="BP91" s="236">
        <f t="shared" si="247"/>
        <v>822.99299999999994</v>
      </c>
      <c r="BQ91" s="236">
        <f t="shared" si="247"/>
        <v>862.09799999999996</v>
      </c>
      <c r="BR91" s="236">
        <f t="shared" si="247"/>
        <v>922.92</v>
      </c>
      <c r="BS91" s="334">
        <f t="shared" si="247"/>
        <v>922.92</v>
      </c>
      <c r="BT91" s="236">
        <f t="shared" si="247"/>
        <v>978.75</v>
      </c>
      <c r="BU91" s="236">
        <f t="shared" si="247"/>
        <v>1017.075</v>
      </c>
      <c r="BV91" s="236">
        <f t="shared" si="247"/>
        <v>1093.8780000000002</v>
      </c>
      <c r="BW91" s="236">
        <f t="shared" si="247"/>
        <v>1213.5400000000002</v>
      </c>
      <c r="BX91" s="334">
        <f t="shared" ref="BX91:CM91" si="248">BX20</f>
        <v>1213.5400000000002</v>
      </c>
      <c r="BY91" s="236">
        <f t="shared" si="248"/>
        <v>1267.6790000000001</v>
      </c>
      <c r="BZ91" s="236">
        <f t="shared" si="248"/>
        <v>1352.836</v>
      </c>
      <c r="CA91" s="236">
        <f t="shared" si="248"/>
        <v>1430.1849999999999</v>
      </c>
      <c r="CB91" s="236">
        <f t="shared" si="248"/>
        <v>1545.2779999999998</v>
      </c>
      <c r="CC91" s="334">
        <f t="shared" si="248"/>
        <v>1545.2779999999998</v>
      </c>
      <c r="CD91" s="236">
        <f t="shared" si="248"/>
        <v>1618.3600000000001</v>
      </c>
      <c r="CE91" s="236">
        <f t="shared" si="248"/>
        <v>1664.38</v>
      </c>
      <c r="CF91" s="236">
        <f t="shared" si="248"/>
        <v>1692.4670000000001</v>
      </c>
      <c r="CG91" s="236">
        <f t="shared" si="248"/>
        <v>1800.5</v>
      </c>
      <c r="CH91" s="334">
        <f t="shared" si="248"/>
        <v>1800.5</v>
      </c>
      <c r="CI91" s="236">
        <f t="shared" si="248"/>
        <v>1843.4850000000001</v>
      </c>
      <c r="CJ91" s="236">
        <f t="shared" si="248"/>
        <v>1854.7339999999999</v>
      </c>
      <c r="CK91" s="236">
        <f t="shared" si="248"/>
        <v>1938.0680000000002</v>
      </c>
      <c r="CL91" s="236">
        <f t="shared" si="248"/>
        <v>2099.3289999999997</v>
      </c>
      <c r="CM91" s="334">
        <f t="shared" si="248"/>
        <v>2099.3289999999997</v>
      </c>
      <c r="CN91" s="236">
        <f>SUM(CN87:CN90)</f>
        <v>2157.3289999999997</v>
      </c>
      <c r="CO91" s="241">
        <f>SUM(CO87:CO90)</f>
        <v>2232.9289999999996</v>
      </c>
      <c r="CP91" s="236">
        <f t="shared" ref="CP91:CZ91" si="249">CP20</f>
        <v>2292.3000000000002</v>
      </c>
      <c r="CQ91" s="236">
        <f t="shared" si="249"/>
        <v>2350.5</v>
      </c>
      <c r="CR91" s="334">
        <f t="shared" si="249"/>
        <v>2350.5</v>
      </c>
      <c r="CS91" s="236">
        <f t="shared" si="249"/>
        <v>2405.6</v>
      </c>
      <c r="CT91" s="241">
        <f t="shared" si="249"/>
        <v>2478.6000000000004</v>
      </c>
      <c r="CU91" s="241">
        <f t="shared" si="249"/>
        <v>2578.6</v>
      </c>
      <c r="CV91" s="241">
        <f t="shared" si="249"/>
        <v>2624</v>
      </c>
      <c r="CW91" s="334">
        <f t="shared" si="249"/>
        <v>2624</v>
      </c>
      <c r="CX91" s="236">
        <f t="shared" si="249"/>
        <v>2561.3000000000002</v>
      </c>
      <c r="CY91" s="241">
        <f t="shared" si="249"/>
        <v>2597</v>
      </c>
      <c r="CZ91" s="241">
        <f t="shared" si="249"/>
        <v>2617</v>
      </c>
      <c r="DA91" s="1129">
        <f>SUM(DA87:DA90)</f>
        <v>2697</v>
      </c>
      <c r="DB91" s="334">
        <f>DB20</f>
        <v>2697</v>
      </c>
      <c r="DC91" s="236">
        <f t="shared" ref="DC91:DF91" si="250">SUM(DC87:DC90)</f>
        <v>2758.9459999999999</v>
      </c>
      <c r="DD91" s="236">
        <f t="shared" si="250"/>
        <v>2823.0912800000001</v>
      </c>
      <c r="DE91" s="236">
        <f t="shared" si="250"/>
        <v>2911.2386999999999</v>
      </c>
      <c r="DF91" s="236">
        <f t="shared" si="250"/>
        <v>3015.4521999999997</v>
      </c>
      <c r="DG91" s="334">
        <f>DG20</f>
        <v>3015.4521999999997</v>
      </c>
      <c r="DH91" s="236">
        <f>SUM(DH87:DH90)</f>
        <v>3082.3157619999997</v>
      </c>
      <c r="DI91" s="236">
        <f>SUM(DI87:DI90)</f>
        <v>3151.5785115999997</v>
      </c>
      <c r="DJ91" s="236">
        <f>SUM(DJ87:DJ90)</f>
        <v>3246.7688166749999</v>
      </c>
      <c r="DK91" s="236">
        <f>SUM(DK87:DK90)</f>
        <v>3359.1880516749998</v>
      </c>
      <c r="DL91" s="334">
        <f>DL20</f>
        <v>3359.1880516749998</v>
      </c>
      <c r="DM91" s="236">
        <f>SUM(DM87:DM90)</f>
        <v>3431.4289677249999</v>
      </c>
      <c r="DN91" s="236">
        <f>SUM(DN87:DN90)</f>
        <v>3506.0910230529998</v>
      </c>
      <c r="DO91" s="236">
        <f>SUM(DO87:DO90)</f>
        <v>3608.8514459693747</v>
      </c>
      <c r="DP91" s="236">
        <f>SUM(DP87:DP90)</f>
        <v>3730.0770255693747</v>
      </c>
      <c r="DQ91" s="334">
        <f>DQ20</f>
        <v>3730.0770255693747</v>
      </c>
      <c r="DR91" s="169"/>
      <c r="DS91" s="269"/>
      <c r="DT91"/>
      <c r="DU91"/>
      <c r="DV91"/>
      <c r="DW91"/>
      <c r="DX91"/>
      <c r="DY91"/>
    </row>
    <row r="92" spans="1:129" s="154" customFormat="1">
      <c r="B92" s="136"/>
      <c r="C92" s="135"/>
      <c r="D92" s="135"/>
      <c r="E92" s="135"/>
      <c r="F92" s="135"/>
      <c r="G92" s="263"/>
      <c r="H92" s="264"/>
      <c r="I92" s="264"/>
      <c r="J92" s="265"/>
      <c r="K92" s="333"/>
      <c r="L92" s="264"/>
      <c r="M92" s="264"/>
      <c r="N92" s="264"/>
      <c r="O92" s="265"/>
      <c r="P92" s="333"/>
      <c r="Q92" s="264"/>
      <c r="R92" s="264"/>
      <c r="S92" s="264"/>
      <c r="T92" s="265"/>
      <c r="U92" s="333"/>
      <c r="V92" s="264"/>
      <c r="W92" s="264"/>
      <c r="X92" s="264"/>
      <c r="Y92" s="265"/>
      <c r="Z92" s="333"/>
      <c r="AA92" s="264"/>
      <c r="AB92" s="264"/>
      <c r="AC92" s="264"/>
      <c r="AD92" s="264"/>
      <c r="AE92" s="333"/>
      <c r="AF92" s="264"/>
      <c r="AG92" s="264"/>
      <c r="AH92" s="264"/>
      <c r="AI92" s="264"/>
      <c r="AJ92" s="333"/>
      <c r="AK92" s="264"/>
      <c r="AL92" s="264"/>
      <c r="AM92" s="264"/>
      <c r="AN92" s="264"/>
      <c r="AO92" s="333"/>
      <c r="AP92" s="264"/>
      <c r="AQ92" s="264"/>
      <c r="AR92" s="264"/>
      <c r="AS92" s="264"/>
      <c r="AT92" s="333"/>
      <c r="AU92" s="264"/>
      <c r="AV92" s="264"/>
      <c r="AW92" s="264"/>
      <c r="AX92" s="264"/>
      <c r="AY92" s="333"/>
      <c r="AZ92" s="264"/>
      <c r="BA92" s="264"/>
      <c r="BB92" s="264"/>
      <c r="BC92" s="264"/>
      <c r="BD92" s="333"/>
      <c r="BE92" s="264"/>
      <c r="BF92" s="264"/>
      <c r="BG92" s="264"/>
      <c r="BH92" s="264"/>
      <c r="BI92" s="333"/>
      <c r="BJ92" s="264"/>
      <c r="BK92" s="264"/>
      <c r="BL92" s="264"/>
      <c r="BM92" s="264"/>
      <c r="BN92" s="333"/>
      <c r="BO92" s="264"/>
      <c r="BP92" s="264"/>
      <c r="BQ92" s="264"/>
      <c r="BR92" s="264"/>
      <c r="BS92" s="333"/>
      <c r="BT92" s="264"/>
      <c r="BU92" s="264"/>
      <c r="BV92" s="264"/>
      <c r="BW92" s="264"/>
      <c r="BX92" s="333"/>
      <c r="BY92" s="264"/>
      <c r="BZ92" s="264"/>
      <c r="CA92" s="264"/>
      <c r="CB92" s="264"/>
      <c r="CC92" s="342"/>
      <c r="CD92" s="264"/>
      <c r="CE92" s="228"/>
      <c r="CF92" s="228"/>
      <c r="CG92" s="228"/>
      <c r="CH92" s="342"/>
      <c r="CI92" s="264"/>
      <c r="CJ92" s="228"/>
      <c r="CK92" s="228"/>
      <c r="CL92" s="228"/>
      <c r="CM92" s="342"/>
      <c r="CN92" s="228"/>
      <c r="CO92" s="525"/>
      <c r="CP92" s="228"/>
      <c r="CQ92" s="228"/>
      <c r="CR92" s="342"/>
      <c r="CS92" s="228"/>
      <c r="CT92" s="525"/>
      <c r="CU92" s="228"/>
      <c r="CV92" s="228"/>
      <c r="CW92" s="342"/>
      <c r="CX92" s="228"/>
      <c r="CY92" s="228"/>
      <c r="CZ92" s="228"/>
      <c r="DA92" s="228"/>
      <c r="DB92" s="342"/>
      <c r="DC92" s="228"/>
      <c r="DD92" s="228"/>
      <c r="DE92" s="228"/>
      <c r="DF92" s="228"/>
      <c r="DG92" s="342"/>
      <c r="DH92" s="228"/>
      <c r="DI92" s="228"/>
      <c r="DJ92" s="228"/>
      <c r="DK92" s="228"/>
      <c r="DL92" s="342"/>
      <c r="DM92" s="228"/>
      <c r="DN92" s="228"/>
      <c r="DO92" s="228"/>
      <c r="DP92" s="228"/>
      <c r="DQ92" s="342"/>
      <c r="DR92" s="136"/>
      <c r="DS92" s="145"/>
      <c r="DT92"/>
      <c r="DU92"/>
      <c r="DV92"/>
      <c r="DW92"/>
      <c r="DX92"/>
      <c r="DY92"/>
    </row>
    <row r="93" spans="1:129" s="202" customFormat="1">
      <c r="B93" s="169" t="s">
        <v>144</v>
      </c>
      <c r="C93" s="191"/>
      <c r="D93" s="191"/>
      <c r="E93" s="191"/>
      <c r="F93" s="191"/>
      <c r="G93" s="235"/>
      <c r="H93" s="236"/>
      <c r="I93" s="236"/>
      <c r="J93" s="237">
        <f t="shared" ref="J93:AW93" si="251">I96</f>
        <v>-3.9049999999999998</v>
      </c>
      <c r="K93" s="334"/>
      <c r="L93" s="236">
        <f>J96</f>
        <v>-4.1210000000000004</v>
      </c>
      <c r="M93" s="236">
        <f t="shared" si="251"/>
        <v>-4.6539999999999999</v>
      </c>
      <c r="N93" s="236">
        <f t="shared" si="251"/>
        <v>-5.2880000000000003</v>
      </c>
      <c r="O93" s="237">
        <f t="shared" si="251"/>
        <v>-6.0170000000000003</v>
      </c>
      <c r="P93" s="334">
        <f>K36</f>
        <v>0</v>
      </c>
      <c r="Q93" s="236">
        <f>O96</f>
        <v>-6.8170000000000002</v>
      </c>
      <c r="R93" s="236">
        <f t="shared" si="251"/>
        <v>-7.6989999999999998</v>
      </c>
      <c r="S93" s="236">
        <f t="shared" si="251"/>
        <v>-8.6340000000000003</v>
      </c>
      <c r="T93" s="237">
        <f t="shared" si="251"/>
        <v>-9.7859999999999996</v>
      </c>
      <c r="U93" s="334">
        <f>P96</f>
        <v>-6.8170000000000002</v>
      </c>
      <c r="V93" s="236">
        <f>T96</f>
        <v>-10.997</v>
      </c>
      <c r="W93" s="236">
        <f t="shared" si="251"/>
        <v>-12.29</v>
      </c>
      <c r="X93" s="236">
        <f t="shared" si="251"/>
        <v>-13.738</v>
      </c>
      <c r="Y93" s="237">
        <f t="shared" si="251"/>
        <v>-15.308</v>
      </c>
      <c r="Z93" s="334">
        <f>U96</f>
        <v>-10.997</v>
      </c>
      <c r="AA93" s="236">
        <f>Y96</f>
        <v>-16.805</v>
      </c>
      <c r="AB93" s="236">
        <f t="shared" si="251"/>
        <v>-18.690999999999999</v>
      </c>
      <c r="AC93" s="236">
        <f t="shared" si="251"/>
        <v>-20.603999999999999</v>
      </c>
      <c r="AD93" s="236">
        <f t="shared" si="251"/>
        <v>-22.622</v>
      </c>
      <c r="AE93" s="334">
        <f>Z96</f>
        <v>-16.805</v>
      </c>
      <c r="AF93" s="236">
        <f>AD96</f>
        <v>-24.559000000000001</v>
      </c>
      <c r="AG93" s="236">
        <f t="shared" si="251"/>
        <v>-25.55</v>
      </c>
      <c r="AH93" s="236">
        <f t="shared" si="251"/>
        <v>-28.411000000000001</v>
      </c>
      <c r="AI93" s="236">
        <f t="shared" si="251"/>
        <v>-31.13</v>
      </c>
      <c r="AJ93" s="334">
        <f>AE96</f>
        <v>-24.559000000000001</v>
      </c>
      <c r="AK93" s="236">
        <f>AI96</f>
        <v>-34.167999999999999</v>
      </c>
      <c r="AL93" s="236">
        <f t="shared" si="251"/>
        <v>-37.656999999999996</v>
      </c>
      <c r="AM93" s="236">
        <f t="shared" si="251"/>
        <v>-40.942</v>
      </c>
      <c r="AN93" s="236">
        <f t="shared" si="251"/>
        <v>-43.085999999999999</v>
      </c>
      <c r="AO93" s="334">
        <f>AJ96</f>
        <v>-34.167999999999999</v>
      </c>
      <c r="AP93" s="236">
        <f>AN96</f>
        <v>-47.436</v>
      </c>
      <c r="AQ93" s="236">
        <f t="shared" si="251"/>
        <v>-51.978000000000002</v>
      </c>
      <c r="AR93" s="236">
        <f t="shared" si="251"/>
        <v>-56.999000000000002</v>
      </c>
      <c r="AS93" s="236">
        <f t="shared" si="251"/>
        <v>-61.472999999999999</v>
      </c>
      <c r="AT93" s="334">
        <f>AO96</f>
        <v>-47.436</v>
      </c>
      <c r="AU93" s="236">
        <f>AS96</f>
        <v>-64.736000000000004</v>
      </c>
      <c r="AV93" s="236">
        <f t="shared" si="251"/>
        <v>-71.228999999999999</v>
      </c>
      <c r="AW93" s="236">
        <f t="shared" si="251"/>
        <v>-78.506</v>
      </c>
      <c r="AX93" s="236">
        <f t="shared" ref="AX93:CO93" si="252">AW96</f>
        <v>-85.981999999999999</v>
      </c>
      <c r="AY93" s="334">
        <f>AT96</f>
        <v>-64.736000000000004</v>
      </c>
      <c r="AZ93" s="236">
        <f>AX96</f>
        <v>-95.539000000000001</v>
      </c>
      <c r="BA93" s="236">
        <f t="shared" si="252"/>
        <v>-106.663</v>
      </c>
      <c r="BB93" s="236">
        <f t="shared" si="252"/>
        <v>-117.43600000000001</v>
      </c>
      <c r="BC93" s="236">
        <f t="shared" si="252"/>
        <v>-129.93100000000001</v>
      </c>
      <c r="BD93" s="334">
        <f>AY96</f>
        <v>-95.539000000000001</v>
      </c>
      <c r="BE93" s="236">
        <f>BC96</f>
        <v>-142.98099999999999</v>
      </c>
      <c r="BF93" s="236">
        <f t="shared" si="252"/>
        <v>-151.74299999999999</v>
      </c>
      <c r="BG93" s="236">
        <f t="shared" si="252"/>
        <v>-166.358</v>
      </c>
      <c r="BH93" s="236">
        <f t="shared" si="252"/>
        <v>-182.3</v>
      </c>
      <c r="BI93" s="334">
        <f>BD96</f>
        <v>-142.98099999999999</v>
      </c>
      <c r="BJ93" s="236">
        <f>BH96</f>
        <v>-199.18799999999999</v>
      </c>
      <c r="BK93" s="236">
        <f t="shared" si="252"/>
        <v>-216.655</v>
      </c>
      <c r="BL93" s="236">
        <f t="shared" si="252"/>
        <v>-234.53299999999999</v>
      </c>
      <c r="BM93" s="236">
        <f t="shared" si="252"/>
        <v>-254.059</v>
      </c>
      <c r="BN93" s="334">
        <f>BI96</f>
        <v>-199.18799999999999</v>
      </c>
      <c r="BO93" s="236">
        <f>BM96</f>
        <v>-274.57</v>
      </c>
      <c r="BP93" s="236">
        <f t="shared" si="252"/>
        <v>-297.911</v>
      </c>
      <c r="BQ93" s="236">
        <f t="shared" si="252"/>
        <v>-318.22399999999999</v>
      </c>
      <c r="BR93" s="236">
        <f t="shared" si="252"/>
        <v>-340.601</v>
      </c>
      <c r="BS93" s="334">
        <f>BN96</f>
        <v>-274.57</v>
      </c>
      <c r="BT93" s="236">
        <f>BR96</f>
        <v>-352.47199999999998</v>
      </c>
      <c r="BU93" s="236">
        <f t="shared" si="252"/>
        <v>-377.05099999999999</v>
      </c>
      <c r="BV93" s="236">
        <f t="shared" si="252"/>
        <v>-402.58100000000002</v>
      </c>
      <c r="BW93" s="236">
        <f t="shared" si="252"/>
        <v>-429.26900000000001</v>
      </c>
      <c r="BX93" s="334">
        <f>BS96</f>
        <v>-352.47199999999998</v>
      </c>
      <c r="BY93" s="236">
        <f>BW96</f>
        <v>-455.50599999999997</v>
      </c>
      <c r="BZ93" s="236">
        <f t="shared" si="252"/>
        <v>-482.70400000000001</v>
      </c>
      <c r="CA93" s="236">
        <f t="shared" si="252"/>
        <v>-515.15300000000002</v>
      </c>
      <c r="CB93" s="236">
        <f t="shared" si="252"/>
        <v>-551.62400000000002</v>
      </c>
      <c r="CC93" s="334">
        <f>BX96</f>
        <v>-455.50599999999997</v>
      </c>
      <c r="CD93" s="236">
        <f>CB96</f>
        <v>-573.79200000000003</v>
      </c>
      <c r="CE93" s="236">
        <f t="shared" si="252"/>
        <v>-610.16200000000003</v>
      </c>
      <c r="CF93" s="236">
        <f t="shared" si="252"/>
        <v>-646.67499999999995</v>
      </c>
      <c r="CG93" s="236">
        <f t="shared" si="252"/>
        <v>-680.66399999999999</v>
      </c>
      <c r="CH93" s="334">
        <f>CC96</f>
        <v>-573.79200000000003</v>
      </c>
      <c r="CI93" s="236">
        <f>CG96</f>
        <v>-719.33600000000001</v>
      </c>
      <c r="CJ93" s="236">
        <f>CI96</f>
        <v>-752.6</v>
      </c>
      <c r="CK93" s="236">
        <f>CJ96</f>
        <v>-768.61800000000005</v>
      </c>
      <c r="CL93" s="236">
        <f>CK96</f>
        <v>-836.6</v>
      </c>
      <c r="CM93" s="334">
        <f>CH96</f>
        <v>-719.33600000000001</v>
      </c>
      <c r="CN93" s="236">
        <f>CL96</f>
        <v>-852.12400000000002</v>
      </c>
      <c r="CO93" s="241">
        <f t="shared" si="252"/>
        <v>-889.32899999999972</v>
      </c>
      <c r="CP93" s="236">
        <f>CO96</f>
        <v>-955.62899999999968</v>
      </c>
      <c r="CQ93" s="236">
        <f t="shared" ref="CQ93:CY93" si="253">CP96</f>
        <v>-1013.4</v>
      </c>
      <c r="CR93" s="334">
        <f>CM96</f>
        <v>-852.12400000000002</v>
      </c>
      <c r="CS93" s="236">
        <f>CQ96</f>
        <v>-1079.0999999999999</v>
      </c>
      <c r="CT93" s="241">
        <f t="shared" si="253"/>
        <v>-1135.5999999999999</v>
      </c>
      <c r="CU93" s="241">
        <f t="shared" si="253"/>
        <v>-1191.2</v>
      </c>
      <c r="CV93" s="241">
        <f t="shared" si="253"/>
        <v>-1255.3</v>
      </c>
      <c r="CW93" s="334">
        <f>CR96</f>
        <v>-1079.0999999999999</v>
      </c>
      <c r="CX93" s="236">
        <f>CV96</f>
        <v>-1313</v>
      </c>
      <c r="CY93" s="241">
        <f t="shared" si="253"/>
        <v>-1255.3000000000002</v>
      </c>
      <c r="CZ93" s="241">
        <f>CY96</f>
        <v>-1313</v>
      </c>
      <c r="DA93" s="236">
        <f>CZ96</f>
        <v>-1313</v>
      </c>
      <c r="DB93" s="334">
        <f>CW96</f>
        <v>-1313</v>
      </c>
      <c r="DC93" s="236">
        <f>DA96</f>
        <v>-1373</v>
      </c>
      <c r="DD93" s="236">
        <f t="shared" ref="DD93:DK93" si="254">DC96</f>
        <v>-1433.2509585730725</v>
      </c>
      <c r="DE93" s="236">
        <f t="shared" si="254"/>
        <v>-1493.6680123716915</v>
      </c>
      <c r="DF93" s="236">
        <f t="shared" si="254"/>
        <v>-1554.8168926958654</v>
      </c>
      <c r="DG93" s="334">
        <f>DB96</f>
        <v>-1373</v>
      </c>
      <c r="DH93" s="236">
        <f>DF96</f>
        <v>-1617.5421910510249</v>
      </c>
      <c r="DI93" s="236">
        <f t="shared" si="254"/>
        <v>-1681.3107666839321</v>
      </c>
      <c r="DJ93" s="236">
        <f t="shared" si="254"/>
        <v>-1745.3135880645091</v>
      </c>
      <c r="DK93" s="236">
        <f t="shared" si="254"/>
        <v>-1810.1599245340356</v>
      </c>
      <c r="DL93" s="334">
        <f>DG96</f>
        <v>-1617.5421910510249</v>
      </c>
      <c r="DM93" s="236">
        <f>DK96</f>
        <v>-1876.7570874783241</v>
      </c>
      <c r="DN93" s="236">
        <f t="shared" ref="DN93" si="255">DM96</f>
        <v>-1944.5280210580681</v>
      </c>
      <c r="DO93" s="236">
        <f t="shared" ref="DO93" si="256">DN96</f>
        <v>-2012.5967221649787</v>
      </c>
      <c r="DP93" s="236">
        <f t="shared" ref="DP93" si="257">DO96</f>
        <v>-2081.6176717556418</v>
      </c>
      <c r="DQ93" s="334">
        <f>DL96</f>
        <v>-1876.7570874783241</v>
      </c>
      <c r="DR93" s="169"/>
      <c r="DS93" s="269"/>
      <c r="DT93"/>
      <c r="DU93"/>
      <c r="DV93"/>
      <c r="DW93"/>
      <c r="DX93"/>
      <c r="DY93"/>
    </row>
    <row r="94" spans="1:129" s="154" customFormat="1">
      <c r="B94" s="136"/>
      <c r="C94" s="135" t="s">
        <v>142</v>
      </c>
      <c r="D94" s="135"/>
      <c r="E94" s="135"/>
      <c r="F94" s="135"/>
      <c r="G94" s="263"/>
      <c r="H94" s="264"/>
      <c r="I94" s="264"/>
      <c r="J94" s="265">
        <f>-CF!J13</f>
        <v>-0.62000000000000011</v>
      </c>
      <c r="K94" s="333"/>
      <c r="L94" s="264">
        <f>-CF!L13</f>
        <v>-0.63100000000000001</v>
      </c>
      <c r="M94" s="264">
        <f>-CF!M13</f>
        <v>-0.71</v>
      </c>
      <c r="N94" s="264">
        <f>-CF!N13</f>
        <v>-0.80899999999999994</v>
      </c>
      <c r="O94" s="265">
        <f>-CF!O13</f>
        <v>-0.88699999999999979</v>
      </c>
      <c r="P94" s="333">
        <f>-CF!P13</f>
        <v>-3.0369999999999999</v>
      </c>
      <c r="Q94" s="264">
        <f>-CF!Q13</f>
        <v>-0.97099999999999997</v>
      </c>
      <c r="R94" s="264">
        <f>-CF!R13</f>
        <v>-1.0259999999999998</v>
      </c>
      <c r="S94" s="264">
        <f>-CF!S13</f>
        <v>-1.2450000000000001</v>
      </c>
      <c r="T94" s="265">
        <f>-CF!T13</f>
        <v>-1.2649999999999997</v>
      </c>
      <c r="U94" s="333">
        <f>-CF!U13</f>
        <v>-4.5069999999999997</v>
      </c>
      <c r="V94" s="264">
        <f>-CF!V13</f>
        <v>-1.4379999999999999</v>
      </c>
      <c r="W94" s="264">
        <f>-CF!W13</f>
        <v>-1.4990000000000003</v>
      </c>
      <c r="X94" s="264">
        <f>-CF!X13</f>
        <v>-1.6290000000000002</v>
      </c>
      <c r="Y94" s="265">
        <f>-CF!Y13</f>
        <v>-1.800999999999999</v>
      </c>
      <c r="Z94" s="333">
        <f>-CF!Z13</f>
        <v>-6.367</v>
      </c>
      <c r="AA94" s="264">
        <f>-CF!AA13</f>
        <v>-1.927</v>
      </c>
      <c r="AB94" s="264">
        <f>-CF!AB13</f>
        <v>-1.7470000000000003</v>
      </c>
      <c r="AC94" s="264">
        <f>-CF!AC13</f>
        <v>-2.0049999999999999</v>
      </c>
      <c r="AD94" s="264">
        <f>-CF!AD13</f>
        <v>-2.1629999999999998</v>
      </c>
      <c r="AE94" s="333">
        <f>-CF!AE13</f>
        <v>-7.8420000000000005</v>
      </c>
      <c r="AF94" s="264">
        <f>-CF!AF13</f>
        <v>-2.6219999999999999</v>
      </c>
      <c r="AG94" s="264">
        <f>-CF!AG13</f>
        <v>-2.7669999999999995</v>
      </c>
      <c r="AH94" s="264">
        <f>-CF!AH13</f>
        <v>-3.0079999999999991</v>
      </c>
      <c r="AI94" s="264">
        <f>-CF!AI13</f>
        <v>-3.5389999999999997</v>
      </c>
      <c r="AJ94" s="333">
        <f>-CF!AJ13</f>
        <v>-11.935999999999998</v>
      </c>
      <c r="AK94" s="264">
        <f>-CF!AK13</f>
        <v>-3.8650000000000002</v>
      </c>
      <c r="AL94" s="264">
        <f>-CF!AL13</f>
        <v>-3.8279999999999994</v>
      </c>
      <c r="AM94" s="264">
        <f>-CF!AM13</f>
        <v>-4.0830000000000002</v>
      </c>
      <c r="AN94" s="264">
        <f>-CF!AN13</f>
        <v>-4.6709999999999994</v>
      </c>
      <c r="AO94" s="333">
        <f>-CF!AO13</f>
        <v>-16.446999999999999</v>
      </c>
      <c r="AP94" s="264">
        <f>-CF!AP13</f>
        <v>-5.09</v>
      </c>
      <c r="AQ94" s="264">
        <f>-CF!AQ13</f>
        <v>-5.4489999999999998</v>
      </c>
      <c r="AR94" s="264">
        <f>-CF!AR13</f>
        <v>-5.5810000000000013</v>
      </c>
      <c r="AS94" s="264">
        <f>-CF!AS13</f>
        <v>-5.2799999999999976</v>
      </c>
      <c r="AT94" s="333">
        <f>-CF!AT13</f>
        <v>-21.4</v>
      </c>
      <c r="AU94" s="264">
        <f>-CF!AU13</f>
        <v>-7.03</v>
      </c>
      <c r="AV94" s="264">
        <f>-CF!AV13</f>
        <v>-7.8009999999999993</v>
      </c>
      <c r="AW94" s="264">
        <f>-CF!AW13</f>
        <v>-8.8610000000000007</v>
      </c>
      <c r="AX94" s="264">
        <f>-CF!AX13</f>
        <v>-10.470999999999997</v>
      </c>
      <c r="AY94" s="333">
        <f>-CF!AY13</f>
        <v>-34.162999999999997</v>
      </c>
      <c r="AZ94" s="264">
        <f>-CF!AZ13</f>
        <v>-12.26</v>
      </c>
      <c r="BA94" s="264">
        <f>-CF!BA13</f>
        <v>-13.053000000000003</v>
      </c>
      <c r="BB94" s="264">
        <f>-CF!BB13</f>
        <v>-13.869999999999996</v>
      </c>
      <c r="BC94" s="264">
        <f>-CF!BC13</f>
        <v>-14.734999999999998</v>
      </c>
      <c r="BD94" s="333">
        <f>-CF!BD13</f>
        <v>-53.917999999999999</v>
      </c>
      <c r="BE94" s="264">
        <f>-CF!BE13</f>
        <v>-16.292999999999999</v>
      </c>
      <c r="BF94" s="264">
        <f>-CF!BF13</f>
        <v>-17.777000000000001</v>
      </c>
      <c r="BG94" s="264">
        <f>-CF!BG13</f>
        <v>-19.473999999999997</v>
      </c>
      <c r="BH94" s="264">
        <f>-CF!BH13</f>
        <v>-21.253</v>
      </c>
      <c r="BI94" s="333">
        <f>-CF!BI13</f>
        <v>-74.796999999999997</v>
      </c>
      <c r="BJ94" s="264">
        <f>-CF!BJ13</f>
        <v>-21.152000000000001</v>
      </c>
      <c r="BK94" s="264">
        <f>-CF!BK13</f>
        <v>-21.579000000000001</v>
      </c>
      <c r="BL94" s="264">
        <f>-CF!BL13</f>
        <v>-22.300999999999995</v>
      </c>
      <c r="BM94" s="264">
        <f>-CF!BM13</f>
        <v>-24.338999999999992</v>
      </c>
      <c r="BN94" s="333">
        <f>-CF!BN13</f>
        <v>-89.370999999999981</v>
      </c>
      <c r="BO94" s="264">
        <f>-CF!BO13</f>
        <v>-27.381</v>
      </c>
      <c r="BP94" s="264">
        <f>-CF!BP13</f>
        <v>-25.247999999999998</v>
      </c>
      <c r="BQ94" s="264">
        <f>-CF!BQ13</f>
        <v>-27.929000000000009</v>
      </c>
      <c r="BR94" s="264">
        <f>-CF!BR13</f>
        <v>-29.613999999999997</v>
      </c>
      <c r="BS94" s="333">
        <f>-CF!BS13</f>
        <v>-110.172</v>
      </c>
      <c r="BT94" s="264">
        <f>-CF!BT13</f>
        <v>-28.963999999999999</v>
      </c>
      <c r="BU94" s="264">
        <f>-CF!BU13</f>
        <v>-29.273000000000003</v>
      </c>
      <c r="BV94" s="264">
        <f>-CF!BV13</f>
        <v>-31.639000000000003</v>
      </c>
      <c r="BW94" s="264">
        <f>-CF!BW13</f>
        <v>-34.298999999999999</v>
      </c>
      <c r="BX94" s="333">
        <f>-CF!BX13</f>
        <v>-124.17500000000001</v>
      </c>
      <c r="BY94" s="264">
        <f>-CF!BY13</f>
        <v>-36.625</v>
      </c>
      <c r="BZ94" s="264">
        <f>-CF!BZ13</f>
        <v>-37.433000000000007</v>
      </c>
      <c r="CA94" s="264">
        <f>-CF!CA13</f>
        <v>-41.366</v>
      </c>
      <c r="CB94" s="264">
        <f>-CF!CB13</f>
        <v>-41.163999999999987</v>
      </c>
      <c r="CC94" s="333">
        <f>-CF!CC13</f>
        <v>-156.58799999999999</v>
      </c>
      <c r="CD94" s="264">
        <f>-CF!CD13</f>
        <v>-43.600999999999999</v>
      </c>
      <c r="CE94" s="264">
        <f>-CF!CE13</f>
        <v>-43.834000000000003</v>
      </c>
      <c r="CF94" s="264">
        <f>-CF!CF13</f>
        <v>-44.578000000000003</v>
      </c>
      <c r="CG94" s="264">
        <f>-CF!CG13</f>
        <v>-47.917000000000002</v>
      </c>
      <c r="CH94" s="333">
        <f>-CF!CH13</f>
        <v>-179.93</v>
      </c>
      <c r="CI94" s="264">
        <f>-CF!CI13</f>
        <v>-46.197632101878291</v>
      </c>
      <c r="CJ94" s="264">
        <f>-CF!CJ13</f>
        <v>-49.276367898121713</v>
      </c>
      <c r="CK94" s="264">
        <f>-CF!CK13</f>
        <v>-49.716999999999992</v>
      </c>
      <c r="CL94" s="264">
        <f>-CF!CL13</f>
        <v>-62.876000000000012</v>
      </c>
      <c r="CM94" s="333">
        <f>-CF!CM13</f>
        <v>-208.06700000000001</v>
      </c>
      <c r="CN94" s="264">
        <f>-CF!CN13</f>
        <v>-75.599999999999994</v>
      </c>
      <c r="CO94" s="264">
        <f>-CF!CO13</f>
        <v>-84</v>
      </c>
      <c r="CP94" s="264">
        <f>-CF!CP13</f>
        <v>-82.4</v>
      </c>
      <c r="CQ94" s="264">
        <f>-CF!CQ13</f>
        <v>-88</v>
      </c>
      <c r="CR94" s="333">
        <f>-CF!CR13</f>
        <v>-330</v>
      </c>
      <c r="CS94" s="264">
        <f>-CF!CS13</f>
        <v>-87.7</v>
      </c>
      <c r="CT94" s="264">
        <f>-CF!CT13</f>
        <v>-92.899999999999991</v>
      </c>
      <c r="CU94" s="264">
        <f>-CF!CU13</f>
        <v>-97.8</v>
      </c>
      <c r="CV94" s="264">
        <f>-CF!CV13</f>
        <v>-100.60000000000001</v>
      </c>
      <c r="CW94" s="333">
        <f>-CF!CW13</f>
        <v>-379</v>
      </c>
      <c r="CX94" s="264">
        <f>-CF!CX13</f>
        <v>-104</v>
      </c>
      <c r="CY94" s="264">
        <f>-CF!CY13</f>
        <v>-103</v>
      </c>
      <c r="CZ94" s="264">
        <f>-CF!CZ13</f>
        <v>-114</v>
      </c>
      <c r="DA94" s="1105">
        <f>-DA100/DA105</f>
        <v>-116.18642117376295</v>
      </c>
      <c r="DB94" s="333">
        <f>-CF!DB13</f>
        <v>-407.00000000000011</v>
      </c>
      <c r="DC94" s="264">
        <f t="shared" ref="DC94:DF94" si="258">-DC100/DC105</f>
        <v>-119.2899585730725</v>
      </c>
      <c r="DD94" s="264">
        <f t="shared" si="258"/>
        <v>-122.04684501726123</v>
      </c>
      <c r="DE94" s="264">
        <f t="shared" si="258"/>
        <v>-125.37660485615652</v>
      </c>
      <c r="DF94" s="264">
        <f t="shared" si="258"/>
        <v>-129.5824247410817</v>
      </c>
      <c r="DG94" s="333">
        <f>-CF!DG13</f>
        <v>-387.55572830905191</v>
      </c>
      <c r="DH94" s="264">
        <f>-DH100/DH105</f>
        <v>-133.32288984810125</v>
      </c>
      <c r="DI94" s="264">
        <f>-DI100/DI105</f>
        <v>-136.29918434798617</v>
      </c>
      <c r="DJ94" s="264">
        <f>-DJ100/DJ105</f>
        <v>-139.89482075630036</v>
      </c>
      <c r="DK94" s="264">
        <f>-DK100/DK105</f>
        <v>-144.43403969925203</v>
      </c>
      <c r="DL94" s="333">
        <f>-CF!DL13</f>
        <v>-404.22843368532631</v>
      </c>
      <c r="DM94" s="264">
        <f>-DM100/DM105</f>
        <v>-148.47148834131184</v>
      </c>
      <c r="DN94" s="264">
        <f>-DN100/DN105</f>
        <v>-151.68340601240737</v>
      </c>
      <c r="DO94" s="264">
        <f>-DO100/DO105</f>
        <v>-155.56260864375733</v>
      </c>
      <c r="DP94" s="264">
        <f>-DP100/DP105</f>
        <v>-160.45988602904055</v>
      </c>
      <c r="DQ94" s="333">
        <f>-CF!DQ13</f>
        <v>-422.82444767889262</v>
      </c>
      <c r="DR94" s="136"/>
      <c r="DS94" s="145"/>
      <c r="DT94"/>
      <c r="DU94"/>
      <c r="DV94"/>
      <c r="DW94"/>
      <c r="DX94"/>
      <c r="DY94"/>
    </row>
    <row r="95" spans="1:129" s="154" customFormat="1">
      <c r="B95" s="136"/>
      <c r="C95" s="135" t="s">
        <v>137</v>
      </c>
      <c r="D95" s="135"/>
      <c r="E95" s="135"/>
      <c r="F95" s="135"/>
      <c r="G95" s="263"/>
      <c r="H95" s="264"/>
      <c r="I95" s="264"/>
      <c r="J95" s="265">
        <f t="shared" ref="J95:AW95" si="259">J96-SUM(J93:J94)</f>
        <v>0.40399999999999991</v>
      </c>
      <c r="K95" s="333"/>
      <c r="L95" s="264">
        <f t="shared" si="259"/>
        <v>9.8000000000000753E-2</v>
      </c>
      <c r="M95" s="264">
        <f t="shared" si="259"/>
        <v>7.5999999999999623E-2</v>
      </c>
      <c r="N95" s="264">
        <f t="shared" si="259"/>
        <v>8.0000000000000071E-2</v>
      </c>
      <c r="O95" s="265">
        <f t="shared" si="259"/>
        <v>8.6999999999999744E-2</v>
      </c>
      <c r="P95" s="333">
        <f>P96-SUM(P93:P94)</f>
        <v>-3.7800000000000002</v>
      </c>
      <c r="Q95" s="264">
        <f t="shared" si="259"/>
        <v>8.9000000000000412E-2</v>
      </c>
      <c r="R95" s="264">
        <f t="shared" si="259"/>
        <v>9.0999999999999304E-2</v>
      </c>
      <c r="S95" s="264">
        <f t="shared" si="259"/>
        <v>9.3000000000001748E-2</v>
      </c>
      <c r="T95" s="265">
        <f t="shared" si="259"/>
        <v>5.3999999999998494E-2</v>
      </c>
      <c r="U95" s="333">
        <f>U96-SUM(U93:U94)</f>
        <v>0.32699999999999996</v>
      </c>
      <c r="V95" s="264">
        <f t="shared" si="259"/>
        <v>0.14500000000000135</v>
      </c>
      <c r="W95" s="264">
        <f t="shared" si="259"/>
        <v>5.1000000000000156E-2</v>
      </c>
      <c r="X95" s="264">
        <f t="shared" si="259"/>
        <v>5.8999999999999275E-2</v>
      </c>
      <c r="Y95" s="265">
        <f t="shared" si="259"/>
        <v>0.30399999999999849</v>
      </c>
      <c r="Z95" s="333">
        <f>Z96-SUM(Z93:Z94)</f>
        <v>0.55900000000000105</v>
      </c>
      <c r="AA95" s="264">
        <f t="shared" si="259"/>
        <v>4.1000000000000369E-2</v>
      </c>
      <c r="AB95" s="264">
        <f t="shared" si="259"/>
        <v>-0.16600000000000037</v>
      </c>
      <c r="AC95" s="264">
        <f t="shared" si="259"/>
        <v>-1.3000000000001677E-2</v>
      </c>
      <c r="AD95" s="264">
        <f t="shared" si="259"/>
        <v>0.22599999999999909</v>
      </c>
      <c r="AE95" s="333">
        <f>AE96-SUM(AE93:AE94)</f>
        <v>8.7999999999997414E-2</v>
      </c>
      <c r="AF95" s="264">
        <f t="shared" si="259"/>
        <v>1.6310000000000002</v>
      </c>
      <c r="AG95" s="264">
        <f t="shared" si="259"/>
        <v>-9.4000000000001194E-2</v>
      </c>
      <c r="AH95" s="264">
        <f t="shared" si="259"/>
        <v>0.28900000000000148</v>
      </c>
      <c r="AI95" s="264">
        <f t="shared" si="259"/>
        <v>0.50099999999999767</v>
      </c>
      <c r="AJ95" s="333">
        <f>AJ96-SUM(AJ93:AJ94)</f>
        <v>2.3269999999999982</v>
      </c>
      <c r="AK95" s="264">
        <f t="shared" si="259"/>
        <v>0.37600000000000477</v>
      </c>
      <c r="AL95" s="264">
        <f t="shared" si="259"/>
        <v>0.54299999999999926</v>
      </c>
      <c r="AM95" s="264">
        <f t="shared" si="259"/>
        <v>1.9390000000000001</v>
      </c>
      <c r="AN95" s="264">
        <f t="shared" si="259"/>
        <v>0.32099999999999795</v>
      </c>
      <c r="AO95" s="333">
        <f>AO96-SUM(AO93:AO94)</f>
        <v>3.1789999999999949</v>
      </c>
      <c r="AP95" s="264">
        <f t="shared" si="259"/>
        <v>0.54799999999999471</v>
      </c>
      <c r="AQ95" s="264">
        <f t="shared" si="259"/>
        <v>0.42799999999999727</v>
      </c>
      <c r="AR95" s="264">
        <f t="shared" si="259"/>
        <v>1.1070000000000064</v>
      </c>
      <c r="AS95" s="264">
        <f t="shared" si="259"/>
        <v>2.0169999999999959</v>
      </c>
      <c r="AT95" s="333">
        <f>AT96-SUM(AT93:AT94)</f>
        <v>4.0999999999999943</v>
      </c>
      <c r="AU95" s="264">
        <f t="shared" si="259"/>
        <v>0.53700000000000614</v>
      </c>
      <c r="AV95" s="264">
        <f t="shared" si="259"/>
        <v>0.52400000000000091</v>
      </c>
      <c r="AW95" s="264">
        <f t="shared" si="259"/>
        <v>1.3850000000000051</v>
      </c>
      <c r="AX95" s="264">
        <f t="shared" ref="AX95:CF95" si="260">AX96-SUM(AX93:AX94)</f>
        <v>0.91400000000000148</v>
      </c>
      <c r="AY95" s="333">
        <f>AY96-SUM(AY93:AY94)</f>
        <v>3.3599999999999994</v>
      </c>
      <c r="AZ95" s="264">
        <f t="shared" si="260"/>
        <v>1.1360000000000099</v>
      </c>
      <c r="BA95" s="264">
        <f t="shared" si="260"/>
        <v>2.2799999999999869</v>
      </c>
      <c r="BB95" s="264">
        <f t="shared" si="260"/>
        <v>1.375</v>
      </c>
      <c r="BC95" s="264">
        <f t="shared" si="260"/>
        <v>1.6850000000000023</v>
      </c>
      <c r="BD95" s="333">
        <f>BD96-SUM(BD93:BD94)</f>
        <v>6.4759999999999991</v>
      </c>
      <c r="BE95" s="264">
        <f t="shared" si="260"/>
        <v>7.5310000000000059</v>
      </c>
      <c r="BF95" s="264">
        <f t="shared" si="260"/>
        <v>3.1619999999999777</v>
      </c>
      <c r="BG95" s="264">
        <f t="shared" si="260"/>
        <v>3.5319999999999823</v>
      </c>
      <c r="BH95" s="264">
        <f t="shared" si="260"/>
        <v>4.3650000000000091</v>
      </c>
      <c r="BI95" s="333">
        <f>BI96-SUM(BI93:BI94)</f>
        <v>18.590000000000003</v>
      </c>
      <c r="BJ95" s="264">
        <f t="shared" si="260"/>
        <v>3.6849999999999739</v>
      </c>
      <c r="BK95" s="264">
        <f t="shared" si="260"/>
        <v>3.7010000000000218</v>
      </c>
      <c r="BL95" s="264">
        <f t="shared" si="260"/>
        <v>2.7750000000000057</v>
      </c>
      <c r="BM95" s="264">
        <f t="shared" si="260"/>
        <v>3.8279999999999745</v>
      </c>
      <c r="BN95" s="333">
        <f>BN96-SUM(BN93:BN94)</f>
        <v>13.988999999999976</v>
      </c>
      <c r="BO95" s="264">
        <f t="shared" si="260"/>
        <v>4.0400000000000205</v>
      </c>
      <c r="BP95" s="264">
        <f t="shared" si="260"/>
        <v>4.9350000000000023</v>
      </c>
      <c r="BQ95" s="264">
        <f t="shared" si="260"/>
        <v>5.5520000000000209</v>
      </c>
      <c r="BR95" s="264">
        <f t="shared" si="260"/>
        <v>17.742999999999995</v>
      </c>
      <c r="BS95" s="333">
        <f>BS96-SUM(BS93:BS94)</f>
        <v>32.269999999999982</v>
      </c>
      <c r="BT95" s="264">
        <f t="shared" si="260"/>
        <v>4.3849999999999909</v>
      </c>
      <c r="BU95" s="264">
        <f t="shared" si="260"/>
        <v>3.742999999999995</v>
      </c>
      <c r="BV95" s="264">
        <f t="shared" si="260"/>
        <v>4.9510000000000218</v>
      </c>
      <c r="BW95" s="264">
        <f t="shared" si="260"/>
        <v>8.0620000000000118</v>
      </c>
      <c r="BX95" s="333">
        <f>BX96-SUM(BX93:BX94)</f>
        <v>21.14100000000002</v>
      </c>
      <c r="BY95" s="264">
        <f t="shared" si="260"/>
        <v>9.4269999999999641</v>
      </c>
      <c r="BZ95" s="264">
        <f t="shared" si="260"/>
        <v>4.9840000000000373</v>
      </c>
      <c r="CA95" s="264">
        <f t="shared" si="260"/>
        <v>4.8949999999999818</v>
      </c>
      <c r="CB95" s="264">
        <f t="shared" si="260"/>
        <v>18.995999999999981</v>
      </c>
      <c r="CC95" s="333">
        <f>CC96-SUM(CC93:CC94)</f>
        <v>38.301999999999907</v>
      </c>
      <c r="CD95" s="264">
        <f t="shared" si="260"/>
        <v>7.2309999999999945</v>
      </c>
      <c r="CE95" s="264">
        <f t="shared" si="260"/>
        <v>7.3210000000001401</v>
      </c>
      <c r="CF95" s="264">
        <f t="shared" si="260"/>
        <v>10.588999999999942</v>
      </c>
      <c r="CG95" s="264">
        <f t="shared" ref="CG95:CM95" si="261">CG96-SUM(CG93:CG94)</f>
        <v>9.2450000000000045</v>
      </c>
      <c r="CH95" s="333">
        <f t="shared" si="261"/>
        <v>34.385999999999967</v>
      </c>
      <c r="CI95" s="264">
        <f t="shared" si="261"/>
        <v>12.933632101878288</v>
      </c>
      <c r="CJ95" s="264">
        <f t="shared" si="261"/>
        <v>33.258367898121719</v>
      </c>
      <c r="CK95" s="264">
        <f t="shared" si="261"/>
        <v>-18.264999999999986</v>
      </c>
      <c r="CL95" s="264">
        <f t="shared" si="261"/>
        <v>47.351999999999975</v>
      </c>
      <c r="CM95" s="333">
        <f t="shared" si="261"/>
        <v>75.278999999999996</v>
      </c>
      <c r="CN95" s="264">
        <f>CN104*CN93</f>
        <v>48.230666564666478</v>
      </c>
      <c r="CO95" s="239">
        <f>CO104*CO93</f>
        <v>50.336489132201727</v>
      </c>
      <c r="CP95" s="264">
        <f t="shared" ref="CP95:CX95" si="262">CP96-SUM(CP93:CP94)</f>
        <v>24.628999999999792</v>
      </c>
      <c r="CQ95" s="264">
        <f t="shared" si="262"/>
        <v>22.300000000000182</v>
      </c>
      <c r="CR95" s="333">
        <f>CR96-SUM(CR93:CR94)</f>
        <v>103.02400000000011</v>
      </c>
      <c r="CS95" s="264">
        <f t="shared" si="262"/>
        <v>31.200000000000045</v>
      </c>
      <c r="CT95" s="239">
        <f t="shared" si="262"/>
        <v>37.299999999999955</v>
      </c>
      <c r="CU95" s="239">
        <f>CU96-SUM(CU93:CU94)</f>
        <v>33.700000000000045</v>
      </c>
      <c r="CV95" s="239">
        <f t="shared" si="262"/>
        <v>42.899999999999864</v>
      </c>
      <c r="CW95" s="333">
        <f>CW96-SUM(CW93:CW94)</f>
        <v>145.09999999999991</v>
      </c>
      <c r="CX95" s="264">
        <f t="shared" si="262"/>
        <v>161.69999999999982</v>
      </c>
      <c r="CY95" s="264">
        <f>CY96-SUM(CY93:CY94)</f>
        <v>45.300000000000182</v>
      </c>
      <c r="CZ95" s="264">
        <f>CZ96-SUM(CZ93:CZ94)</f>
        <v>114</v>
      </c>
      <c r="DA95" s="1105">
        <f>+DA96-SUM(DA93:DA94)</f>
        <v>56.186421173762938</v>
      </c>
      <c r="DB95" s="333">
        <f>DB96-SUM(DB93:DB94)</f>
        <v>347</v>
      </c>
      <c r="DC95" s="264">
        <f>DC104*DC93</f>
        <v>59.038999999999994</v>
      </c>
      <c r="DD95" s="264">
        <f>DD104*DD93</f>
        <v>61.629791218642112</v>
      </c>
      <c r="DE95" s="264">
        <f t="shared" ref="DE95:DK95" si="263">DE104*DE93</f>
        <v>64.22772453198273</v>
      </c>
      <c r="DF95" s="264">
        <f t="shared" si="263"/>
        <v>66.8571263859222</v>
      </c>
      <c r="DG95" s="333">
        <f>DG96-SUM(DG93:DG94)</f>
        <v>143.0135372580271</v>
      </c>
      <c r="DH95" s="264">
        <f t="shared" si="263"/>
        <v>69.554314215194069</v>
      </c>
      <c r="DI95" s="264">
        <f t="shared" si="263"/>
        <v>72.296362967409081</v>
      </c>
      <c r="DJ95" s="264">
        <f t="shared" si="263"/>
        <v>75.048484286773885</v>
      </c>
      <c r="DK95" s="264">
        <f t="shared" si="263"/>
        <v>77.836876754963527</v>
      </c>
      <c r="DL95" s="333">
        <f>DL96-SUM(DL93:DL94)</f>
        <v>145.0135372580271</v>
      </c>
      <c r="DM95" s="264">
        <f t="shared" ref="DM95:DP95" si="264">DM104*DM93</f>
        <v>80.700554761567929</v>
      </c>
      <c r="DN95" s="264">
        <f t="shared" si="264"/>
        <v>83.614704905496922</v>
      </c>
      <c r="DO95" s="264">
        <f t="shared" si="264"/>
        <v>86.541659053094079</v>
      </c>
      <c r="DP95" s="264">
        <f t="shared" si="264"/>
        <v>89.509559885492592</v>
      </c>
      <c r="DQ95" s="333">
        <f>DQ96-SUM(DQ93:DQ94)</f>
        <v>147.0135372580271</v>
      </c>
      <c r="DR95" s="136"/>
      <c r="DS95" s="145"/>
      <c r="DT95"/>
      <c r="DU95"/>
      <c r="DV95"/>
      <c r="DW95"/>
      <c r="DX95"/>
      <c r="DY95"/>
    </row>
    <row r="96" spans="1:129" s="202" customFormat="1">
      <c r="B96" s="169" t="s">
        <v>145</v>
      </c>
      <c r="C96" s="191"/>
      <c r="D96" s="191"/>
      <c r="E96" s="191"/>
      <c r="F96" s="191"/>
      <c r="G96" s="235"/>
      <c r="H96" s="236"/>
      <c r="I96" s="236">
        <f>I28</f>
        <v>-3.9049999999999998</v>
      </c>
      <c r="J96" s="237">
        <f>J28</f>
        <v>-4.1210000000000004</v>
      </c>
      <c r="K96" s="334"/>
      <c r="L96" s="236">
        <f t="shared" ref="L96:AQ96" si="265">L28</f>
        <v>-4.6539999999999999</v>
      </c>
      <c r="M96" s="236">
        <f t="shared" si="265"/>
        <v>-5.2880000000000003</v>
      </c>
      <c r="N96" s="236">
        <f t="shared" si="265"/>
        <v>-6.0170000000000003</v>
      </c>
      <c r="O96" s="237">
        <f t="shared" si="265"/>
        <v>-6.8170000000000002</v>
      </c>
      <c r="P96" s="334">
        <f t="shared" si="265"/>
        <v>-6.8170000000000002</v>
      </c>
      <c r="Q96" s="236">
        <f t="shared" si="265"/>
        <v>-7.6989999999999998</v>
      </c>
      <c r="R96" s="236">
        <f t="shared" si="265"/>
        <v>-8.6340000000000003</v>
      </c>
      <c r="S96" s="236">
        <f t="shared" si="265"/>
        <v>-9.7859999999999996</v>
      </c>
      <c r="T96" s="237">
        <f t="shared" si="265"/>
        <v>-10.997</v>
      </c>
      <c r="U96" s="334">
        <f t="shared" si="265"/>
        <v>-10.997</v>
      </c>
      <c r="V96" s="236">
        <f t="shared" si="265"/>
        <v>-12.29</v>
      </c>
      <c r="W96" s="236">
        <f t="shared" si="265"/>
        <v>-13.738</v>
      </c>
      <c r="X96" s="236">
        <f t="shared" si="265"/>
        <v>-15.308</v>
      </c>
      <c r="Y96" s="237">
        <f t="shared" si="265"/>
        <v>-16.805</v>
      </c>
      <c r="Z96" s="334">
        <f t="shared" si="265"/>
        <v>-16.805</v>
      </c>
      <c r="AA96" s="236">
        <f t="shared" si="265"/>
        <v>-18.690999999999999</v>
      </c>
      <c r="AB96" s="236">
        <f t="shared" si="265"/>
        <v>-20.603999999999999</v>
      </c>
      <c r="AC96" s="236">
        <f t="shared" si="265"/>
        <v>-22.622</v>
      </c>
      <c r="AD96" s="236">
        <f t="shared" si="265"/>
        <v>-24.559000000000001</v>
      </c>
      <c r="AE96" s="334">
        <f t="shared" si="265"/>
        <v>-24.559000000000001</v>
      </c>
      <c r="AF96" s="236">
        <f t="shared" si="265"/>
        <v>-25.55</v>
      </c>
      <c r="AG96" s="236">
        <f t="shared" si="265"/>
        <v>-28.411000000000001</v>
      </c>
      <c r="AH96" s="236">
        <f t="shared" si="265"/>
        <v>-31.13</v>
      </c>
      <c r="AI96" s="236">
        <f t="shared" si="265"/>
        <v>-34.167999999999999</v>
      </c>
      <c r="AJ96" s="334">
        <f t="shared" si="265"/>
        <v>-34.167999999999999</v>
      </c>
      <c r="AK96" s="236">
        <f t="shared" si="265"/>
        <v>-37.656999999999996</v>
      </c>
      <c r="AL96" s="236">
        <f t="shared" si="265"/>
        <v>-40.942</v>
      </c>
      <c r="AM96" s="236">
        <f t="shared" si="265"/>
        <v>-43.085999999999999</v>
      </c>
      <c r="AN96" s="236">
        <f t="shared" si="265"/>
        <v>-47.436</v>
      </c>
      <c r="AO96" s="334">
        <f t="shared" si="265"/>
        <v>-47.436</v>
      </c>
      <c r="AP96" s="236">
        <f t="shared" si="265"/>
        <v>-51.978000000000002</v>
      </c>
      <c r="AQ96" s="236">
        <f t="shared" si="265"/>
        <v>-56.999000000000002</v>
      </c>
      <c r="AR96" s="236">
        <f t="shared" ref="AR96:BW96" si="266">AR28</f>
        <v>-61.472999999999999</v>
      </c>
      <c r="AS96" s="236">
        <f t="shared" si="266"/>
        <v>-64.736000000000004</v>
      </c>
      <c r="AT96" s="334">
        <f t="shared" si="266"/>
        <v>-64.736000000000004</v>
      </c>
      <c r="AU96" s="236">
        <f t="shared" si="266"/>
        <v>-71.228999999999999</v>
      </c>
      <c r="AV96" s="236">
        <f t="shared" si="266"/>
        <v>-78.506</v>
      </c>
      <c r="AW96" s="236">
        <f t="shared" si="266"/>
        <v>-85.981999999999999</v>
      </c>
      <c r="AX96" s="236">
        <f t="shared" si="266"/>
        <v>-95.539000000000001</v>
      </c>
      <c r="AY96" s="334">
        <f t="shared" si="266"/>
        <v>-95.539000000000001</v>
      </c>
      <c r="AZ96" s="236">
        <f t="shared" si="266"/>
        <v>-106.663</v>
      </c>
      <c r="BA96" s="236">
        <f t="shared" si="266"/>
        <v>-117.43600000000001</v>
      </c>
      <c r="BB96" s="236">
        <f t="shared" si="266"/>
        <v>-129.93100000000001</v>
      </c>
      <c r="BC96" s="236">
        <f t="shared" si="266"/>
        <v>-142.98099999999999</v>
      </c>
      <c r="BD96" s="334">
        <f t="shared" si="266"/>
        <v>-142.98099999999999</v>
      </c>
      <c r="BE96" s="236">
        <f t="shared" si="266"/>
        <v>-151.74299999999999</v>
      </c>
      <c r="BF96" s="236">
        <f t="shared" si="266"/>
        <v>-166.358</v>
      </c>
      <c r="BG96" s="236">
        <f t="shared" si="266"/>
        <v>-182.3</v>
      </c>
      <c r="BH96" s="236">
        <f t="shared" si="266"/>
        <v>-199.18799999999999</v>
      </c>
      <c r="BI96" s="334">
        <f t="shared" si="266"/>
        <v>-199.18799999999999</v>
      </c>
      <c r="BJ96" s="236">
        <f t="shared" si="266"/>
        <v>-216.655</v>
      </c>
      <c r="BK96" s="236">
        <f t="shared" si="266"/>
        <v>-234.53299999999999</v>
      </c>
      <c r="BL96" s="236">
        <f t="shared" si="266"/>
        <v>-254.059</v>
      </c>
      <c r="BM96" s="236">
        <f t="shared" si="266"/>
        <v>-274.57</v>
      </c>
      <c r="BN96" s="334">
        <f t="shared" si="266"/>
        <v>-274.57</v>
      </c>
      <c r="BO96" s="236">
        <f t="shared" si="266"/>
        <v>-297.911</v>
      </c>
      <c r="BP96" s="236">
        <f t="shared" si="266"/>
        <v>-318.22399999999999</v>
      </c>
      <c r="BQ96" s="236">
        <f t="shared" si="266"/>
        <v>-340.601</v>
      </c>
      <c r="BR96" s="236">
        <f t="shared" si="266"/>
        <v>-352.47199999999998</v>
      </c>
      <c r="BS96" s="334">
        <f t="shared" si="266"/>
        <v>-352.47199999999998</v>
      </c>
      <c r="BT96" s="236">
        <f t="shared" si="266"/>
        <v>-377.05099999999999</v>
      </c>
      <c r="BU96" s="236">
        <f t="shared" si="266"/>
        <v>-402.58100000000002</v>
      </c>
      <c r="BV96" s="236">
        <f t="shared" si="266"/>
        <v>-429.26900000000001</v>
      </c>
      <c r="BW96" s="236">
        <f t="shared" si="266"/>
        <v>-455.50599999999997</v>
      </c>
      <c r="BX96" s="334">
        <f t="shared" ref="BX96:CW96" si="267">BX28</f>
        <v>-455.50599999999997</v>
      </c>
      <c r="BY96" s="236">
        <f t="shared" si="267"/>
        <v>-482.70400000000001</v>
      </c>
      <c r="BZ96" s="236">
        <f t="shared" si="267"/>
        <v>-515.15300000000002</v>
      </c>
      <c r="CA96" s="236">
        <f t="shared" si="267"/>
        <v>-551.62400000000002</v>
      </c>
      <c r="CB96" s="236">
        <f t="shared" si="267"/>
        <v>-573.79200000000003</v>
      </c>
      <c r="CC96" s="334">
        <f t="shared" si="267"/>
        <v>-573.79200000000003</v>
      </c>
      <c r="CD96" s="236">
        <f t="shared" si="267"/>
        <v>-610.16200000000003</v>
      </c>
      <c r="CE96" s="236">
        <f t="shared" si="267"/>
        <v>-646.67499999999995</v>
      </c>
      <c r="CF96" s="236">
        <f t="shared" si="267"/>
        <v>-680.66399999999999</v>
      </c>
      <c r="CG96" s="236">
        <f t="shared" si="267"/>
        <v>-719.33600000000001</v>
      </c>
      <c r="CH96" s="334">
        <f t="shared" si="267"/>
        <v>-719.33600000000001</v>
      </c>
      <c r="CI96" s="236">
        <f t="shared" si="267"/>
        <v>-752.6</v>
      </c>
      <c r="CJ96" s="236">
        <f t="shared" si="267"/>
        <v>-768.61800000000005</v>
      </c>
      <c r="CK96" s="236">
        <f t="shared" si="267"/>
        <v>-836.6</v>
      </c>
      <c r="CL96" s="236">
        <f t="shared" si="267"/>
        <v>-852.12400000000002</v>
      </c>
      <c r="CM96" s="334">
        <f t="shared" si="267"/>
        <v>-852.12400000000002</v>
      </c>
      <c r="CN96" s="236">
        <f t="shared" si="267"/>
        <v>-889.32899999999972</v>
      </c>
      <c r="CO96" s="236">
        <f t="shared" si="267"/>
        <v>-955.62899999999968</v>
      </c>
      <c r="CP96" s="236">
        <f t="shared" si="267"/>
        <v>-1013.4</v>
      </c>
      <c r="CQ96" s="236">
        <f t="shared" si="267"/>
        <v>-1079.0999999999999</v>
      </c>
      <c r="CR96" s="334">
        <f t="shared" si="267"/>
        <v>-1079.0999999999999</v>
      </c>
      <c r="CS96" s="236">
        <f t="shared" si="267"/>
        <v>-1135.5999999999999</v>
      </c>
      <c r="CT96" s="236">
        <f t="shared" si="267"/>
        <v>-1191.2</v>
      </c>
      <c r="CU96" s="236">
        <f t="shared" si="267"/>
        <v>-1255.3</v>
      </c>
      <c r="CV96" s="236">
        <f t="shared" si="267"/>
        <v>-1313</v>
      </c>
      <c r="CW96" s="334">
        <f t="shared" si="267"/>
        <v>-1313</v>
      </c>
      <c r="CX96" s="236">
        <f>+CX98-CX91</f>
        <v>-1255.3000000000002</v>
      </c>
      <c r="CY96" s="236">
        <f>+CY98-CY91</f>
        <v>-1313</v>
      </c>
      <c r="CZ96" s="236">
        <f>+CZ98-CZ91</f>
        <v>-1313</v>
      </c>
      <c r="DA96" s="1129">
        <f>+DA98-DA91</f>
        <v>-1373</v>
      </c>
      <c r="DB96" s="334">
        <f>DB28</f>
        <v>-1373</v>
      </c>
      <c r="DC96" s="236">
        <f t="shared" ref="DC96:DF96" si="268">SUM(DC93:DC95)</f>
        <v>-1433.2509585730725</v>
      </c>
      <c r="DD96" s="236">
        <f t="shared" si="268"/>
        <v>-1493.6680123716915</v>
      </c>
      <c r="DE96" s="236">
        <f t="shared" si="268"/>
        <v>-1554.8168926958654</v>
      </c>
      <c r="DF96" s="236">
        <f t="shared" si="268"/>
        <v>-1617.5421910510249</v>
      </c>
      <c r="DG96" s="334">
        <f>DG28</f>
        <v>-1617.5421910510249</v>
      </c>
      <c r="DH96" s="236">
        <f>SUM(DH93:DH95)</f>
        <v>-1681.3107666839321</v>
      </c>
      <c r="DI96" s="236">
        <f>SUM(DI93:DI95)</f>
        <v>-1745.3135880645091</v>
      </c>
      <c r="DJ96" s="236">
        <f>SUM(DJ93:DJ95)</f>
        <v>-1810.1599245340356</v>
      </c>
      <c r="DK96" s="236">
        <f>SUM(DK93:DK95)</f>
        <v>-1876.7570874783241</v>
      </c>
      <c r="DL96" s="334">
        <f>DL28</f>
        <v>-1876.7570874783241</v>
      </c>
      <c r="DM96" s="236">
        <f>SUM(DM93:DM95)</f>
        <v>-1944.5280210580681</v>
      </c>
      <c r="DN96" s="236">
        <f>SUM(DN93:DN95)</f>
        <v>-2012.5967221649787</v>
      </c>
      <c r="DO96" s="236">
        <f>SUM(DO93:DO95)</f>
        <v>-2081.6176717556418</v>
      </c>
      <c r="DP96" s="236">
        <f>SUM(DP93:DP95)</f>
        <v>-2152.5679978991898</v>
      </c>
      <c r="DQ96" s="334">
        <f>DQ28</f>
        <v>-2152.5679978991898</v>
      </c>
      <c r="DR96" s="169"/>
      <c r="DS96" s="269"/>
      <c r="DT96"/>
      <c r="DU96"/>
      <c r="DV96"/>
      <c r="DW96"/>
      <c r="DX96"/>
      <c r="DY96"/>
    </row>
    <row r="97" spans="1:129" s="154" customFormat="1">
      <c r="B97" s="136"/>
      <c r="C97" s="135"/>
      <c r="D97" s="135"/>
      <c r="E97" s="135"/>
      <c r="F97" s="135"/>
      <c r="G97" s="263"/>
      <c r="H97" s="264"/>
      <c r="I97" s="264"/>
      <c r="J97" s="265"/>
      <c r="K97" s="333"/>
      <c r="L97" s="264"/>
      <c r="M97" s="264"/>
      <c r="N97" s="264"/>
      <c r="O97" s="265"/>
      <c r="P97" s="333"/>
      <c r="Q97" s="264"/>
      <c r="R97" s="264"/>
      <c r="S97" s="264"/>
      <c r="T97" s="265"/>
      <c r="U97" s="333"/>
      <c r="V97" s="264"/>
      <c r="W97" s="264"/>
      <c r="X97" s="264"/>
      <c r="Y97" s="265"/>
      <c r="Z97" s="333"/>
      <c r="AA97" s="264"/>
      <c r="AB97" s="264"/>
      <c r="AC97" s="264"/>
      <c r="AD97" s="264"/>
      <c r="AE97" s="333"/>
      <c r="AF97" s="264"/>
      <c r="AG97" s="264"/>
      <c r="AH97" s="264"/>
      <c r="AI97" s="264"/>
      <c r="AJ97" s="333"/>
      <c r="AK97" s="264"/>
      <c r="AL97" s="264"/>
      <c r="AM97" s="264"/>
      <c r="AN97" s="264"/>
      <c r="AO97" s="333"/>
      <c r="AP97" s="264"/>
      <c r="AQ97" s="264"/>
      <c r="AR97" s="264"/>
      <c r="AS97" s="264"/>
      <c r="AT97" s="333"/>
      <c r="AU97" s="264"/>
      <c r="AV97" s="264"/>
      <c r="AW97" s="264"/>
      <c r="AX97" s="264"/>
      <c r="AY97" s="333"/>
      <c r="AZ97" s="264"/>
      <c r="BA97" s="264"/>
      <c r="BB97" s="264"/>
      <c r="BC97" s="264"/>
      <c r="BD97" s="333"/>
      <c r="BE97" s="264"/>
      <c r="BF97" s="264"/>
      <c r="BG97" s="264"/>
      <c r="BH97" s="264"/>
      <c r="BI97" s="333"/>
      <c r="BJ97" s="264"/>
      <c r="BK97" s="264"/>
      <c r="BL97" s="264"/>
      <c r="BM97" s="264"/>
      <c r="BN97" s="333"/>
      <c r="BO97" s="264"/>
      <c r="BP97" s="264"/>
      <c r="BQ97" s="264"/>
      <c r="BR97" s="264"/>
      <c r="BS97" s="333"/>
      <c r="BT97" s="264"/>
      <c r="BU97" s="264"/>
      <c r="BV97" s="264"/>
      <c r="BW97" s="264"/>
      <c r="BX97" s="333"/>
      <c r="BY97" s="264"/>
      <c r="BZ97" s="264"/>
      <c r="CA97" s="264"/>
      <c r="CB97" s="264"/>
      <c r="CC97" s="333"/>
      <c r="CD97" s="264"/>
      <c r="CE97" s="264"/>
      <c r="CF97" s="228"/>
      <c r="CG97" s="228"/>
      <c r="CH97" s="333"/>
      <c r="CI97" s="264"/>
      <c r="CJ97" s="264"/>
      <c r="CK97" s="228"/>
      <c r="CL97" s="228"/>
      <c r="CM97" s="333"/>
      <c r="CN97" s="228"/>
      <c r="CO97" s="525"/>
      <c r="CP97" s="228"/>
      <c r="CQ97" s="228"/>
      <c r="CR97" s="333"/>
      <c r="CS97" s="228"/>
      <c r="CT97" s="525"/>
      <c r="CU97" s="525"/>
      <c r="CV97" s="525"/>
      <c r="CW97" s="333"/>
      <c r="CX97" s="228"/>
      <c r="CY97" s="228"/>
      <c r="CZ97" s="228"/>
      <c r="DA97" s="228"/>
      <c r="DB97" s="333"/>
      <c r="DC97" s="228"/>
      <c r="DD97" s="228"/>
      <c r="DE97" s="228"/>
      <c r="DF97" s="228"/>
      <c r="DG97" s="333"/>
      <c r="DH97" s="228"/>
      <c r="DI97" s="228"/>
      <c r="DJ97" s="228"/>
      <c r="DK97" s="228"/>
      <c r="DL97" s="333"/>
      <c r="DM97" s="228"/>
      <c r="DN97" s="228"/>
      <c r="DO97" s="228"/>
      <c r="DP97" s="228"/>
      <c r="DQ97" s="333"/>
      <c r="DR97" s="136"/>
      <c r="DS97" s="145"/>
      <c r="DT97"/>
      <c r="DU97"/>
      <c r="DV97"/>
      <c r="DW97"/>
      <c r="DX97"/>
      <c r="DY97"/>
    </row>
    <row r="98" spans="1:129" s="202" customFormat="1">
      <c r="A98" s="200"/>
      <c r="B98" s="169" t="s">
        <v>44</v>
      </c>
      <c r="C98" s="191"/>
      <c r="D98" s="191"/>
      <c r="E98" s="191"/>
      <c r="F98" s="191"/>
      <c r="G98" s="235"/>
      <c r="H98" s="236"/>
      <c r="I98" s="236"/>
      <c r="J98" s="237">
        <f t="shared" ref="J98:AW98" si="269">J91+J96</f>
        <v>6.27</v>
      </c>
      <c r="K98" s="900"/>
      <c r="L98" s="236">
        <f t="shared" si="269"/>
        <v>6.9379999999999988</v>
      </c>
      <c r="M98" s="236">
        <f t="shared" si="269"/>
        <v>8.3339999999999996</v>
      </c>
      <c r="N98" s="236">
        <f t="shared" si="269"/>
        <v>9.2620000000000005</v>
      </c>
      <c r="O98" s="237">
        <f t="shared" si="269"/>
        <v>9.4740000000000002</v>
      </c>
      <c r="P98" s="900">
        <f>P91+P96</f>
        <v>9.4740000000000002</v>
      </c>
      <c r="Q98" s="236">
        <f t="shared" si="269"/>
        <v>9.3759999999999994</v>
      </c>
      <c r="R98" s="236">
        <f t="shared" si="269"/>
        <v>10.509999999999998</v>
      </c>
      <c r="S98" s="236">
        <f t="shared" si="269"/>
        <v>12.859</v>
      </c>
      <c r="T98" s="237">
        <f t="shared" si="269"/>
        <v>15.937000000000005</v>
      </c>
      <c r="U98" s="900">
        <f>U91+U96</f>
        <v>15.937000000000005</v>
      </c>
      <c r="V98" s="236">
        <f t="shared" si="269"/>
        <v>17.640999999999998</v>
      </c>
      <c r="W98" s="236">
        <f t="shared" si="269"/>
        <v>18.370000000000005</v>
      </c>
      <c r="X98" s="236">
        <f t="shared" si="269"/>
        <v>22.196999999999996</v>
      </c>
      <c r="Y98" s="237">
        <f t="shared" si="269"/>
        <v>24.338999999999999</v>
      </c>
      <c r="Z98" s="900">
        <f>Z91+Z96</f>
        <v>24.338999999999999</v>
      </c>
      <c r="AA98" s="236">
        <f t="shared" si="269"/>
        <v>24.247000000000003</v>
      </c>
      <c r="AB98" s="236">
        <f t="shared" si="269"/>
        <v>25.164999999999999</v>
      </c>
      <c r="AC98" s="236">
        <f t="shared" si="269"/>
        <v>25.905999999999999</v>
      </c>
      <c r="AD98" s="236">
        <f t="shared" si="269"/>
        <v>39.090000000000003</v>
      </c>
      <c r="AE98" s="900">
        <f>AE91+AE96</f>
        <v>39.090000000000003</v>
      </c>
      <c r="AF98" s="236">
        <f t="shared" si="269"/>
        <v>42.766000000000005</v>
      </c>
      <c r="AG98" s="236">
        <f t="shared" si="269"/>
        <v>47.765000000000001</v>
      </c>
      <c r="AH98" s="236">
        <f t="shared" si="269"/>
        <v>51.656000000000006</v>
      </c>
      <c r="AI98" s="236">
        <f t="shared" si="269"/>
        <v>58.437999999999995</v>
      </c>
      <c r="AJ98" s="900">
        <f>AJ91+AJ96</f>
        <v>58.437999999999995</v>
      </c>
      <c r="AK98" s="236">
        <f t="shared" si="269"/>
        <v>57.813000000000002</v>
      </c>
      <c r="AL98" s="236">
        <f t="shared" si="269"/>
        <v>58.109999999999992</v>
      </c>
      <c r="AM98" s="236">
        <f t="shared" si="269"/>
        <v>70.075000000000003</v>
      </c>
      <c r="AN98" s="236">
        <f t="shared" si="269"/>
        <v>90.704999999999984</v>
      </c>
      <c r="AO98" s="900">
        <f>AO91+AO96</f>
        <v>90.704999999999984</v>
      </c>
      <c r="AP98" s="236">
        <f t="shared" si="269"/>
        <v>94.638000000000005</v>
      </c>
      <c r="AQ98" s="236">
        <f t="shared" si="269"/>
        <v>108.52200000000002</v>
      </c>
      <c r="AR98" s="236">
        <f t="shared" si="269"/>
        <v>126.515</v>
      </c>
      <c r="AS98" s="236">
        <f t="shared" si="269"/>
        <v>146.98200000000003</v>
      </c>
      <c r="AT98" s="900">
        <f>AT91+AT96</f>
        <v>146.98200000000003</v>
      </c>
      <c r="AU98" s="236">
        <f t="shared" si="269"/>
        <v>161.577</v>
      </c>
      <c r="AV98" s="236">
        <f t="shared" si="269"/>
        <v>179.27700000000002</v>
      </c>
      <c r="AW98" s="236">
        <f t="shared" si="269"/>
        <v>198.10800000000003</v>
      </c>
      <c r="AX98" s="236">
        <f t="shared" ref="AX98:CG98" si="270">AX91+AX96</f>
        <v>220.154</v>
      </c>
      <c r="AY98" s="900">
        <f>AY91+AY96</f>
        <v>220.154</v>
      </c>
      <c r="AZ98" s="236">
        <f t="shared" si="270"/>
        <v>235.93700000000001</v>
      </c>
      <c r="BA98" s="236">
        <f t="shared" si="270"/>
        <v>265.74900000000002</v>
      </c>
      <c r="BB98" s="236">
        <f t="shared" si="270"/>
        <v>291.62900000000002</v>
      </c>
      <c r="BC98" s="236">
        <f t="shared" si="270"/>
        <v>356.04700000000003</v>
      </c>
      <c r="BD98" s="900">
        <f>BD91+BD96</f>
        <v>356.04700000000003</v>
      </c>
      <c r="BE98" s="236">
        <f t="shared" si="270"/>
        <v>393.25099999999992</v>
      </c>
      <c r="BF98" s="236">
        <f t="shared" si="270"/>
        <v>409.81</v>
      </c>
      <c r="BG98" s="236">
        <f t="shared" si="270"/>
        <v>453.35000000000008</v>
      </c>
      <c r="BH98" s="236">
        <f t="shared" si="270"/>
        <v>455.25400000000002</v>
      </c>
      <c r="BI98" s="900">
        <f>BI91+BI96</f>
        <v>455.25400000000002</v>
      </c>
      <c r="BJ98" s="236">
        <f t="shared" si="270"/>
        <v>456.30100000000004</v>
      </c>
      <c r="BK98" s="236">
        <f t="shared" si="270"/>
        <v>446.92599999999993</v>
      </c>
      <c r="BL98" s="236">
        <f t="shared" si="270"/>
        <v>460.23700000000008</v>
      </c>
      <c r="BM98" s="236">
        <f t="shared" si="270"/>
        <v>481.51600000000002</v>
      </c>
      <c r="BN98" s="900">
        <f>BN91+BN96</f>
        <v>481.51600000000002</v>
      </c>
      <c r="BO98" s="236">
        <f t="shared" si="270"/>
        <v>478.363</v>
      </c>
      <c r="BP98" s="236">
        <f t="shared" si="270"/>
        <v>504.76899999999995</v>
      </c>
      <c r="BQ98" s="236">
        <f t="shared" si="270"/>
        <v>521.49699999999996</v>
      </c>
      <c r="BR98" s="236">
        <f t="shared" si="270"/>
        <v>570.44799999999998</v>
      </c>
      <c r="BS98" s="900">
        <f>BS91+BS96</f>
        <v>570.44799999999998</v>
      </c>
      <c r="BT98" s="236">
        <f t="shared" si="270"/>
        <v>601.69900000000007</v>
      </c>
      <c r="BU98" s="236">
        <f t="shared" si="270"/>
        <v>614.49400000000003</v>
      </c>
      <c r="BV98" s="236">
        <f t="shared" si="270"/>
        <v>664.60900000000015</v>
      </c>
      <c r="BW98" s="236">
        <f t="shared" si="270"/>
        <v>758.03400000000022</v>
      </c>
      <c r="BX98" s="900">
        <f>BX91+BX96</f>
        <v>758.03400000000022</v>
      </c>
      <c r="BY98" s="236">
        <f t="shared" si="270"/>
        <v>784.97500000000014</v>
      </c>
      <c r="BZ98" s="236">
        <f t="shared" si="270"/>
        <v>837.68299999999999</v>
      </c>
      <c r="CA98" s="236">
        <f t="shared" si="270"/>
        <v>878.56099999999992</v>
      </c>
      <c r="CB98" s="236">
        <f>CB91+CB96</f>
        <v>971.48599999999976</v>
      </c>
      <c r="CC98" s="900">
        <f>CC91+CC96</f>
        <v>971.48599999999976</v>
      </c>
      <c r="CD98" s="236">
        <f>CD91+CD96</f>
        <v>1008.1980000000001</v>
      </c>
      <c r="CE98" s="236">
        <f>CE91+CE96</f>
        <v>1017.7050000000002</v>
      </c>
      <c r="CF98" s="236">
        <f t="shared" si="270"/>
        <v>1011.8030000000001</v>
      </c>
      <c r="CG98" s="236">
        <f t="shared" si="270"/>
        <v>1081.164</v>
      </c>
      <c r="CH98" s="900">
        <f t="shared" ref="CH98:CM98" si="271">CH91+CH96</f>
        <v>1081.164</v>
      </c>
      <c r="CI98" s="236">
        <f t="shared" si="271"/>
        <v>1090.8850000000002</v>
      </c>
      <c r="CJ98" s="236">
        <f t="shared" si="271"/>
        <v>1086.116</v>
      </c>
      <c r="CK98" s="236">
        <f t="shared" si="271"/>
        <v>1101.4680000000003</v>
      </c>
      <c r="CL98" s="236">
        <f t="shared" si="271"/>
        <v>1247.2049999999997</v>
      </c>
      <c r="CM98" s="900">
        <f t="shared" si="271"/>
        <v>1247.2049999999997</v>
      </c>
      <c r="CN98" s="236">
        <f>CN91+CN96</f>
        <v>1268</v>
      </c>
      <c r="CO98" s="241">
        <f>CO91+CO96</f>
        <v>1277.3</v>
      </c>
      <c r="CP98" s="236">
        <f>CP91+CP96</f>
        <v>1278.9000000000001</v>
      </c>
      <c r="CQ98" s="236">
        <f>CQ91+CQ96</f>
        <v>1271.4000000000001</v>
      </c>
      <c r="CR98" s="900">
        <f t="shared" ref="CR98:CW98" si="272">CR91+CR96</f>
        <v>1271.4000000000001</v>
      </c>
      <c r="CS98" s="236">
        <f t="shared" si="272"/>
        <v>1270</v>
      </c>
      <c r="CT98" s="241">
        <f t="shared" si="272"/>
        <v>1287.4000000000003</v>
      </c>
      <c r="CU98" s="241">
        <f t="shared" si="272"/>
        <v>1323.3</v>
      </c>
      <c r="CV98" s="241">
        <f t="shared" si="272"/>
        <v>1311</v>
      </c>
      <c r="CW98" s="334">
        <f t="shared" si="272"/>
        <v>1311</v>
      </c>
      <c r="CX98" s="236">
        <f>+CX29</f>
        <v>1306</v>
      </c>
      <c r="CY98" s="236">
        <f>+CY29</f>
        <v>1284</v>
      </c>
      <c r="CZ98" s="236">
        <f>+CZ29</f>
        <v>1304</v>
      </c>
      <c r="DA98" s="236">
        <f>+DA29</f>
        <v>1324</v>
      </c>
      <c r="DB98" s="334">
        <f>DB91+DB96</f>
        <v>1324</v>
      </c>
      <c r="DC98" s="1068">
        <f t="shared" ref="DC98:DK98" si="273">DC91+DC96</f>
        <v>1325.6950414269274</v>
      </c>
      <c r="DD98" s="1068">
        <f t="shared" si="273"/>
        <v>1329.4232676283086</v>
      </c>
      <c r="DE98" s="1068">
        <f t="shared" si="273"/>
        <v>1356.4218073041345</v>
      </c>
      <c r="DF98" s="1068">
        <f t="shared" si="273"/>
        <v>1397.9100089489748</v>
      </c>
      <c r="DG98" s="334">
        <f>DG91+DG96</f>
        <v>1397.9100089489748</v>
      </c>
      <c r="DH98" s="1068">
        <f t="shared" si="273"/>
        <v>1401.0049953160676</v>
      </c>
      <c r="DI98" s="1068">
        <f t="shared" si="273"/>
        <v>1406.2649235354907</v>
      </c>
      <c r="DJ98" s="1068">
        <f t="shared" si="273"/>
        <v>1436.6088921409644</v>
      </c>
      <c r="DK98" s="1068">
        <f t="shared" si="273"/>
        <v>1482.4309641966756</v>
      </c>
      <c r="DL98" s="334">
        <f>DL91+DL96</f>
        <v>1482.4309641966756</v>
      </c>
      <c r="DM98" s="1068">
        <f t="shared" ref="DM98:DP98" si="274">DM91+DM96</f>
        <v>1486.9009466669318</v>
      </c>
      <c r="DN98" s="1068">
        <f t="shared" si="274"/>
        <v>1493.4943008880211</v>
      </c>
      <c r="DO98" s="1068">
        <f t="shared" si="274"/>
        <v>1527.2337742137329</v>
      </c>
      <c r="DP98" s="1068">
        <f t="shared" si="274"/>
        <v>1577.5090276701849</v>
      </c>
      <c r="DQ98" s="334">
        <f>DQ91+DQ96</f>
        <v>1577.5090276701849</v>
      </c>
      <c r="DR98" s="169"/>
      <c r="DS98" s="269"/>
      <c r="DT98"/>
      <c r="DU98"/>
      <c r="DV98"/>
      <c r="DW98"/>
      <c r="DX98"/>
      <c r="DY98"/>
    </row>
    <row r="99" spans="1:129" s="154" customFormat="1">
      <c r="A99" s="137"/>
      <c r="B99" s="136"/>
      <c r="C99" s="135"/>
      <c r="D99" s="135"/>
      <c r="E99" s="135"/>
      <c r="F99" s="135"/>
      <c r="G99" s="263"/>
      <c r="H99" s="264"/>
      <c r="I99" s="264"/>
      <c r="J99" s="265"/>
      <c r="K99" s="333"/>
      <c r="L99" s="264"/>
      <c r="M99" s="264"/>
      <c r="N99" s="264"/>
      <c r="O99" s="265"/>
      <c r="P99" s="333"/>
      <c r="Q99" s="264"/>
      <c r="R99" s="264"/>
      <c r="S99" s="264"/>
      <c r="T99" s="265"/>
      <c r="U99" s="333"/>
      <c r="V99" s="264"/>
      <c r="W99" s="264"/>
      <c r="X99" s="264"/>
      <c r="Y99" s="265"/>
      <c r="Z99" s="333"/>
      <c r="AA99" s="264"/>
      <c r="AB99" s="264"/>
      <c r="AC99" s="264"/>
      <c r="AD99" s="264"/>
      <c r="AE99" s="333"/>
      <c r="AF99" s="264"/>
      <c r="AG99" s="264"/>
      <c r="AH99" s="264"/>
      <c r="AI99" s="264"/>
      <c r="AJ99" s="333"/>
      <c r="AK99" s="264"/>
      <c r="AL99" s="264"/>
      <c r="AM99" s="264"/>
      <c r="AN99" s="264"/>
      <c r="AO99" s="333"/>
      <c r="AP99" s="264"/>
      <c r="AQ99" s="264"/>
      <c r="AR99" s="264"/>
      <c r="AS99" s="264"/>
      <c r="AT99" s="333"/>
      <c r="AU99" s="264"/>
      <c r="AV99" s="264"/>
      <c r="AW99" s="264"/>
      <c r="AX99" s="264"/>
      <c r="AY99" s="333"/>
      <c r="AZ99" s="264"/>
      <c r="BA99" s="264"/>
      <c r="BB99" s="264"/>
      <c r="BC99" s="264"/>
      <c r="BD99" s="333"/>
      <c r="BE99" s="264"/>
      <c r="BF99" s="264"/>
      <c r="BG99" s="264"/>
      <c r="BH99" s="264"/>
      <c r="BI99" s="333"/>
      <c r="BJ99" s="264"/>
      <c r="BK99" s="264"/>
      <c r="BL99" s="264"/>
      <c r="BM99" s="264"/>
      <c r="BN99" s="333"/>
      <c r="BO99" s="264"/>
      <c r="BP99" s="264"/>
      <c r="BQ99" s="264"/>
      <c r="BR99" s="264"/>
      <c r="BS99" s="333"/>
      <c r="BT99" s="264"/>
      <c r="BU99" s="264"/>
      <c r="BV99" s="264"/>
      <c r="BW99" s="264"/>
      <c r="BX99" s="333"/>
      <c r="BY99" s="264"/>
      <c r="BZ99" s="264"/>
      <c r="CA99" s="264"/>
      <c r="CB99" s="264"/>
      <c r="CC99" s="333"/>
      <c r="CD99" s="264"/>
      <c r="CE99" s="264"/>
      <c r="CF99" s="264"/>
      <c r="CG99" s="264"/>
      <c r="CH99" s="333"/>
      <c r="CI99" s="264"/>
      <c r="CJ99" s="264"/>
      <c r="CK99" s="264"/>
      <c r="CL99" s="264"/>
      <c r="CM99" s="333"/>
      <c r="CN99" s="264"/>
      <c r="CO99" s="476"/>
      <c r="CP99" s="546"/>
      <c r="CQ99" s="547"/>
      <c r="CR99" s="333"/>
      <c r="CS99" s="547"/>
      <c r="CT99" s="476"/>
      <c r="CU99" s="476"/>
      <c r="CV99" s="476"/>
      <c r="CW99" s="333"/>
      <c r="CX99" s="264"/>
      <c r="CY99" s="264"/>
      <c r="CZ99" s="264"/>
      <c r="DA99" s="264"/>
      <c r="DB99" s="333"/>
      <c r="DC99" s="264"/>
      <c r="DD99" s="264"/>
      <c r="DE99" s="264"/>
      <c r="DF99" s="264"/>
      <c r="DG99" s="333"/>
      <c r="DH99" s="264"/>
      <c r="DI99" s="264"/>
      <c r="DJ99" s="264"/>
      <c r="DK99" s="264"/>
      <c r="DL99" s="333"/>
      <c r="DM99" s="264"/>
      <c r="DN99" s="264"/>
      <c r="DO99" s="264"/>
      <c r="DP99" s="264"/>
      <c r="DQ99" s="333"/>
      <c r="DR99" s="136"/>
      <c r="DS99" s="145"/>
      <c r="DT99"/>
      <c r="DU99"/>
      <c r="DV99"/>
      <c r="DW99"/>
      <c r="DX99"/>
      <c r="DY99"/>
    </row>
    <row r="100" spans="1:129" s="154" customFormat="1">
      <c r="A100" s="137"/>
      <c r="B100" s="136" t="s">
        <v>140</v>
      </c>
      <c r="C100" s="135"/>
      <c r="D100" s="135"/>
      <c r="E100" s="135"/>
      <c r="F100" s="135"/>
      <c r="G100" s="263"/>
      <c r="H100" s="264"/>
      <c r="I100" s="264"/>
      <c r="J100" s="265">
        <f t="shared" ref="J100:AW100" si="275">AVERAGE(J87,J91)</f>
        <v>9.8930000000000007</v>
      </c>
      <c r="K100" s="818"/>
      <c r="L100" s="264">
        <f t="shared" si="275"/>
        <v>10.991499999999998</v>
      </c>
      <c r="M100" s="264">
        <f t="shared" si="275"/>
        <v>12.606999999999999</v>
      </c>
      <c r="N100" s="264">
        <f t="shared" si="275"/>
        <v>14.4505</v>
      </c>
      <c r="O100" s="265">
        <f t="shared" si="275"/>
        <v>15.785</v>
      </c>
      <c r="P100" s="818">
        <f>AVERAGE(P87,P91)</f>
        <v>13.341000000000001</v>
      </c>
      <c r="Q100" s="264">
        <f t="shared" si="275"/>
        <v>16.683</v>
      </c>
      <c r="R100" s="264">
        <f t="shared" si="275"/>
        <v>18.109499999999997</v>
      </c>
      <c r="S100" s="264">
        <f t="shared" si="275"/>
        <v>20.894500000000001</v>
      </c>
      <c r="T100" s="265">
        <f t="shared" si="275"/>
        <v>24.789500000000004</v>
      </c>
      <c r="U100" s="818">
        <f>AVERAGE(U87,U91)</f>
        <v>21.612500000000004</v>
      </c>
      <c r="V100" s="264">
        <f t="shared" si="275"/>
        <v>28.432500000000001</v>
      </c>
      <c r="W100" s="264">
        <f t="shared" si="275"/>
        <v>31.019500000000001</v>
      </c>
      <c r="X100" s="264">
        <f t="shared" si="275"/>
        <v>34.8065</v>
      </c>
      <c r="Y100" s="265">
        <f t="shared" si="275"/>
        <v>39.3245</v>
      </c>
      <c r="Z100" s="818">
        <f>AVERAGE(Z87,Z91)</f>
        <v>34.039000000000001</v>
      </c>
      <c r="AA100" s="264">
        <f t="shared" si="275"/>
        <v>42.040999999999997</v>
      </c>
      <c r="AB100" s="264">
        <f t="shared" si="275"/>
        <v>44.353499999999997</v>
      </c>
      <c r="AC100" s="264">
        <f t="shared" si="275"/>
        <v>47.148499999999999</v>
      </c>
      <c r="AD100" s="264">
        <f t="shared" si="275"/>
        <v>56.088500000000003</v>
      </c>
      <c r="AE100" s="818">
        <f>AVERAGE(AE87,AE91)</f>
        <v>52.396500000000003</v>
      </c>
      <c r="AF100" s="264">
        <f t="shared" si="275"/>
        <v>65.982500000000002</v>
      </c>
      <c r="AG100" s="264">
        <f t="shared" si="275"/>
        <v>72.246000000000009</v>
      </c>
      <c r="AH100" s="264">
        <f t="shared" si="275"/>
        <v>79.480999999999995</v>
      </c>
      <c r="AI100" s="264">
        <f t="shared" si="275"/>
        <v>87.695999999999998</v>
      </c>
      <c r="AJ100" s="818">
        <f>AVERAGE(AJ87,AJ91)</f>
        <v>78.127499999999998</v>
      </c>
      <c r="AK100" s="264">
        <f t="shared" si="275"/>
        <v>94.037999999999997</v>
      </c>
      <c r="AL100" s="264">
        <f t="shared" si="275"/>
        <v>97.260999999999996</v>
      </c>
      <c r="AM100" s="264">
        <f t="shared" si="275"/>
        <v>106.1065</v>
      </c>
      <c r="AN100" s="264">
        <f t="shared" si="275"/>
        <v>125.651</v>
      </c>
      <c r="AO100" s="818">
        <f>AVERAGE(AO87,AO91)</f>
        <v>115.37349999999999</v>
      </c>
      <c r="AP100" s="264">
        <f t="shared" si="275"/>
        <v>142.3785</v>
      </c>
      <c r="AQ100" s="264">
        <f t="shared" si="275"/>
        <v>156.06850000000003</v>
      </c>
      <c r="AR100" s="264">
        <f t="shared" si="275"/>
        <v>176.75450000000001</v>
      </c>
      <c r="AS100" s="264">
        <f t="shared" si="275"/>
        <v>199.85300000000001</v>
      </c>
      <c r="AT100" s="818">
        <f>AVERAGE(AT87,AT91)</f>
        <v>174.92950000000002</v>
      </c>
      <c r="AU100" s="264">
        <f t="shared" si="275"/>
        <v>222.262</v>
      </c>
      <c r="AV100" s="264">
        <f t="shared" si="275"/>
        <v>245.2945</v>
      </c>
      <c r="AW100" s="264">
        <f t="shared" si="275"/>
        <v>270.93650000000002</v>
      </c>
      <c r="AX100" s="264">
        <f t="shared" ref="AX100:CG100" si="276">AVERAGE(AX87,AX91)</f>
        <v>299.89150000000001</v>
      </c>
      <c r="AY100" s="818">
        <f>AVERAGE(AY87,AY91)</f>
        <v>263.70550000000003</v>
      </c>
      <c r="AZ100" s="264">
        <f t="shared" si="276"/>
        <v>329.1465</v>
      </c>
      <c r="BA100" s="264">
        <f t="shared" si="276"/>
        <v>362.89250000000004</v>
      </c>
      <c r="BB100" s="264">
        <f t="shared" si="276"/>
        <v>402.37250000000006</v>
      </c>
      <c r="BC100" s="264">
        <f t="shared" si="276"/>
        <v>460.29400000000004</v>
      </c>
      <c r="BD100" s="818">
        <f>AVERAGE(BD87,BD91)</f>
        <v>407.3605</v>
      </c>
      <c r="BE100" s="264">
        <f t="shared" si="276"/>
        <v>522.01099999999997</v>
      </c>
      <c r="BF100" s="264">
        <f t="shared" si="276"/>
        <v>560.5809999999999</v>
      </c>
      <c r="BG100" s="264">
        <f t="shared" si="276"/>
        <v>605.90900000000011</v>
      </c>
      <c r="BH100" s="264">
        <f t="shared" si="276"/>
        <v>645.04600000000005</v>
      </c>
      <c r="BI100" s="818">
        <f>AVERAGE(BI87,BI91)</f>
        <v>576.73500000000001</v>
      </c>
      <c r="BJ100" s="264">
        <f t="shared" si="276"/>
        <v>663.69900000000007</v>
      </c>
      <c r="BK100" s="264">
        <f t="shared" si="276"/>
        <v>677.20749999999998</v>
      </c>
      <c r="BL100" s="264">
        <f t="shared" si="276"/>
        <v>697.87750000000005</v>
      </c>
      <c r="BM100" s="264">
        <f t="shared" si="276"/>
        <v>735.19100000000003</v>
      </c>
      <c r="BN100" s="818">
        <f>AVERAGE(BN87,BN91)</f>
        <v>705.26400000000001</v>
      </c>
      <c r="BO100" s="264">
        <f t="shared" si="276"/>
        <v>766.18000000000006</v>
      </c>
      <c r="BP100" s="264">
        <f t="shared" si="276"/>
        <v>799.63349999999991</v>
      </c>
      <c r="BQ100" s="264">
        <f t="shared" si="276"/>
        <v>842.54549999999995</v>
      </c>
      <c r="BR100" s="264">
        <f t="shared" si="276"/>
        <v>892.50900000000001</v>
      </c>
      <c r="BS100" s="818">
        <f>AVERAGE(BS87,BS91)</f>
        <v>839.50299999999993</v>
      </c>
      <c r="BT100" s="264">
        <f t="shared" si="276"/>
        <v>950.83500000000004</v>
      </c>
      <c r="BU100" s="264">
        <f t="shared" si="276"/>
        <v>997.91250000000002</v>
      </c>
      <c r="BV100" s="264">
        <f t="shared" si="276"/>
        <v>1055.4765000000002</v>
      </c>
      <c r="BW100" s="264">
        <f t="shared" si="276"/>
        <v>1153.7090000000003</v>
      </c>
      <c r="BX100" s="818">
        <f>AVERAGE(BX87,BX91)</f>
        <v>1068.23</v>
      </c>
      <c r="BY100" s="264">
        <f t="shared" si="276"/>
        <v>1240.6095</v>
      </c>
      <c r="BZ100" s="264">
        <f t="shared" si="276"/>
        <v>1310.2575000000002</v>
      </c>
      <c r="CA100" s="264">
        <f t="shared" si="276"/>
        <v>1391.5104999999999</v>
      </c>
      <c r="CB100" s="264">
        <f>AVERAGE(CB87,CB91)</f>
        <v>1487.7314999999999</v>
      </c>
      <c r="CC100" s="818">
        <f>AVERAGE(CC87,CC91)</f>
        <v>1379.4090000000001</v>
      </c>
      <c r="CD100" s="264">
        <f>AVERAGE(CD87,CD91)</f>
        <v>1581.819</v>
      </c>
      <c r="CE100" s="264">
        <f>AVERAGE(CE87,CE91)</f>
        <v>1641.3700000000001</v>
      </c>
      <c r="CF100" s="264">
        <f t="shared" si="276"/>
        <v>1678.4235000000001</v>
      </c>
      <c r="CG100" s="264">
        <f t="shared" si="276"/>
        <v>1746.4835</v>
      </c>
      <c r="CH100" s="818">
        <f t="shared" ref="CH100:CM100" si="277">AVERAGE(CH87,CH91)</f>
        <v>1672.8889999999999</v>
      </c>
      <c r="CI100" s="264">
        <f t="shared" si="277"/>
        <v>1821.9925000000001</v>
      </c>
      <c r="CJ100" s="264">
        <f t="shared" si="277"/>
        <v>1849.1095</v>
      </c>
      <c r="CK100" s="264">
        <f t="shared" si="277"/>
        <v>1896.4010000000001</v>
      </c>
      <c r="CL100" s="264">
        <f t="shared" si="277"/>
        <v>2018.6985</v>
      </c>
      <c r="CM100" s="818">
        <f t="shared" si="277"/>
        <v>1949.9144999999999</v>
      </c>
      <c r="CN100" s="264">
        <f t="shared" ref="CN100:DA100" si="278">AVERAGE(CN87,CN91)</f>
        <v>2128.3289999999997</v>
      </c>
      <c r="CO100" s="239">
        <f t="shared" si="278"/>
        <v>2195.1289999999999</v>
      </c>
      <c r="CP100" s="264">
        <f t="shared" si="278"/>
        <v>2262.6144999999997</v>
      </c>
      <c r="CQ100" s="264">
        <f t="shared" si="278"/>
        <v>2321.4</v>
      </c>
      <c r="CR100" s="818">
        <f t="shared" ref="CR100:CY100" si="279">AVERAGE(CR87,CR91)</f>
        <v>2224.9144999999999</v>
      </c>
      <c r="CS100" s="264">
        <f t="shared" si="279"/>
        <v>2378.0500000000002</v>
      </c>
      <c r="CT100" s="239">
        <f t="shared" si="279"/>
        <v>2442.1000000000004</v>
      </c>
      <c r="CU100" s="239">
        <f t="shared" si="279"/>
        <v>2528.6000000000004</v>
      </c>
      <c r="CV100" s="239">
        <f t="shared" si="279"/>
        <v>2601.3000000000002</v>
      </c>
      <c r="CW100" s="333">
        <f t="shared" si="279"/>
        <v>2487.25</v>
      </c>
      <c r="CX100" s="264">
        <f t="shared" si="278"/>
        <v>2592.65</v>
      </c>
      <c r="CY100" s="239">
        <f t="shared" si="279"/>
        <v>2579.15</v>
      </c>
      <c r="CZ100" s="264">
        <f>AVERAGE(CZ87,CZ91)</f>
        <v>2607</v>
      </c>
      <c r="DA100" s="264">
        <f t="shared" si="278"/>
        <v>2657</v>
      </c>
      <c r="DB100" s="333">
        <f>AVERAGE(DB87,DB91)</f>
        <v>2660.5</v>
      </c>
      <c r="DC100" s="264">
        <f t="shared" ref="DC100:DK100" si="280">AVERAGE(DC87,DC91)</f>
        <v>2727.973</v>
      </c>
      <c r="DD100" s="264">
        <f t="shared" si="280"/>
        <v>2791.0186400000002</v>
      </c>
      <c r="DE100" s="264">
        <f t="shared" si="280"/>
        <v>2867.1649900000002</v>
      </c>
      <c r="DF100" s="264">
        <f t="shared" si="280"/>
        <v>2963.3454499999998</v>
      </c>
      <c r="DG100" s="333">
        <f>AVERAGE(DG87,DG91)</f>
        <v>2856.2260999999999</v>
      </c>
      <c r="DH100" s="264">
        <f t="shared" si="280"/>
        <v>3048.8839809999999</v>
      </c>
      <c r="DI100" s="264">
        <f t="shared" si="280"/>
        <v>3116.9471367999995</v>
      </c>
      <c r="DJ100" s="264">
        <f t="shared" si="280"/>
        <v>3199.1736641375001</v>
      </c>
      <c r="DK100" s="264">
        <f t="shared" si="280"/>
        <v>3302.9784341750001</v>
      </c>
      <c r="DL100" s="333">
        <f>AVERAGE(DL87,DL91)</f>
        <v>3187.3201258374997</v>
      </c>
      <c r="DM100" s="264">
        <f t="shared" ref="DM100:DP100" si="281">AVERAGE(DM87,DM91)</f>
        <v>3395.3085096999998</v>
      </c>
      <c r="DN100" s="264">
        <f t="shared" si="281"/>
        <v>3468.7599953889999</v>
      </c>
      <c r="DO100" s="264">
        <f t="shared" si="281"/>
        <v>3557.4712345111875</v>
      </c>
      <c r="DP100" s="264">
        <f t="shared" si="281"/>
        <v>3669.4642357693747</v>
      </c>
      <c r="DQ100" s="333">
        <f>AVERAGE(DQ87,DQ91)</f>
        <v>3544.632538622187</v>
      </c>
      <c r="DR100" s="136"/>
      <c r="DS100" s="145"/>
      <c r="DT100"/>
      <c r="DU100"/>
      <c r="DV100"/>
      <c r="DW100"/>
      <c r="DX100"/>
      <c r="DY100"/>
    </row>
    <row r="101" spans="1:129" s="154" customFormat="1">
      <c r="A101" s="137"/>
      <c r="B101" s="136"/>
      <c r="C101" s="135"/>
      <c r="D101" s="135"/>
      <c r="E101" s="135"/>
      <c r="F101" s="135"/>
      <c r="G101" s="263"/>
      <c r="H101" s="264"/>
      <c r="I101" s="264"/>
      <c r="J101" s="265"/>
      <c r="K101" s="333"/>
      <c r="L101" s="264"/>
      <c r="M101" s="264"/>
      <c r="N101" s="264"/>
      <c r="O101" s="265"/>
      <c r="P101" s="333"/>
      <c r="Q101" s="264"/>
      <c r="R101" s="264"/>
      <c r="S101" s="264"/>
      <c r="T101" s="265"/>
      <c r="U101" s="333"/>
      <c r="V101" s="264"/>
      <c r="W101" s="264"/>
      <c r="X101" s="264"/>
      <c r="Y101" s="265"/>
      <c r="Z101" s="333"/>
      <c r="AA101" s="264"/>
      <c r="AB101" s="264"/>
      <c r="AC101" s="264"/>
      <c r="AD101" s="264"/>
      <c r="AE101" s="333"/>
      <c r="AF101" s="264"/>
      <c r="AG101" s="264"/>
      <c r="AH101" s="264"/>
      <c r="AI101" s="264"/>
      <c r="AJ101" s="333"/>
      <c r="AK101" s="264"/>
      <c r="AL101" s="264"/>
      <c r="AM101" s="264"/>
      <c r="AN101" s="264"/>
      <c r="AO101" s="333"/>
      <c r="AP101" s="264"/>
      <c r="AQ101" s="264"/>
      <c r="AR101" s="264"/>
      <c r="AS101" s="264"/>
      <c r="AT101" s="333"/>
      <c r="AU101" s="264"/>
      <c r="AV101" s="264"/>
      <c r="AW101" s="264"/>
      <c r="AX101" s="264"/>
      <c r="AY101" s="333"/>
      <c r="AZ101" s="264"/>
      <c r="BA101" s="264"/>
      <c r="BB101" s="264"/>
      <c r="BC101" s="264"/>
      <c r="BD101" s="333"/>
      <c r="BE101" s="264"/>
      <c r="BF101" s="264"/>
      <c r="BG101" s="264"/>
      <c r="BH101" s="264"/>
      <c r="BI101" s="333"/>
      <c r="BJ101" s="264"/>
      <c r="BK101" s="264"/>
      <c r="BL101" s="264"/>
      <c r="BM101" s="264"/>
      <c r="BN101" s="333"/>
      <c r="BO101" s="264"/>
      <c r="BP101" s="264"/>
      <c r="BQ101" s="264"/>
      <c r="BR101" s="264"/>
      <c r="BS101" s="333"/>
      <c r="BT101" s="264"/>
      <c r="BU101" s="264"/>
      <c r="BV101" s="264"/>
      <c r="BW101" s="264"/>
      <c r="BX101" s="333"/>
      <c r="BY101" s="264"/>
      <c r="BZ101" s="264"/>
      <c r="CA101" s="264"/>
      <c r="CB101" s="264"/>
      <c r="CC101" s="333"/>
      <c r="CD101" s="264"/>
      <c r="CE101" s="264"/>
      <c r="CF101" s="264"/>
      <c r="CG101" s="264"/>
      <c r="CH101" s="333"/>
      <c r="CI101" s="264"/>
      <c r="CJ101" s="264"/>
      <c r="CK101" s="264"/>
      <c r="CL101" s="264"/>
      <c r="CM101" s="333"/>
      <c r="CN101" s="264"/>
      <c r="CO101" s="239"/>
      <c r="CP101" s="264"/>
      <c r="CQ101" s="264"/>
      <c r="CR101" s="333"/>
      <c r="CS101" s="264"/>
      <c r="CT101" s="264"/>
      <c r="CU101" s="264"/>
      <c r="CV101" s="264"/>
      <c r="CW101" s="333"/>
      <c r="CX101" s="264"/>
      <c r="CY101" s="264"/>
      <c r="CZ101" s="264"/>
      <c r="DA101" s="264"/>
      <c r="DB101" s="333"/>
      <c r="DC101" s="264"/>
      <c r="DD101" s="264"/>
      <c r="DE101" s="264"/>
      <c r="DF101" s="264"/>
      <c r="DG101" s="333"/>
      <c r="DH101" s="264"/>
      <c r="DI101" s="264"/>
      <c r="DJ101" s="264"/>
      <c r="DK101" s="264"/>
      <c r="DL101" s="333"/>
      <c r="DM101" s="264"/>
      <c r="DN101" s="264"/>
      <c r="DO101" s="264"/>
      <c r="DP101" s="264"/>
      <c r="DQ101" s="333"/>
      <c r="DR101" s="136"/>
      <c r="DS101" s="145"/>
      <c r="DT101"/>
      <c r="DU101"/>
      <c r="DV101"/>
      <c r="DW101"/>
      <c r="DX101"/>
      <c r="DY101"/>
    </row>
    <row r="102" spans="1:129" s="202" customFormat="1">
      <c r="A102" s="200"/>
      <c r="B102" s="169"/>
      <c r="C102" s="191"/>
      <c r="D102" s="191"/>
      <c r="E102" s="191"/>
      <c r="F102" s="191"/>
      <c r="G102" s="235"/>
      <c r="H102" s="236"/>
      <c r="I102" s="236"/>
      <c r="J102" s="237"/>
      <c r="K102" s="334"/>
      <c r="L102" s="236"/>
      <c r="M102" s="236"/>
      <c r="N102" s="236"/>
      <c r="O102" s="237"/>
      <c r="P102" s="334"/>
      <c r="Q102" s="236"/>
      <c r="R102" s="236"/>
      <c r="S102" s="236"/>
      <c r="T102" s="237"/>
      <c r="U102" s="334"/>
      <c r="V102" s="236"/>
      <c r="W102" s="236"/>
      <c r="X102" s="236"/>
      <c r="Y102" s="237"/>
      <c r="Z102" s="334"/>
      <c r="AA102" s="236"/>
      <c r="AB102" s="236"/>
      <c r="AC102" s="236"/>
      <c r="AD102" s="236"/>
      <c r="AE102" s="334"/>
      <c r="AF102" s="236"/>
      <c r="AG102" s="236"/>
      <c r="AH102" s="236"/>
      <c r="AI102" s="236"/>
      <c r="AJ102" s="334"/>
      <c r="AK102" s="236"/>
      <c r="AL102" s="236"/>
      <c r="AM102" s="236"/>
      <c r="AN102" s="236"/>
      <c r="AO102" s="334"/>
      <c r="AP102" s="236"/>
      <c r="AQ102" s="236"/>
      <c r="AR102" s="236"/>
      <c r="AS102" s="236"/>
      <c r="AT102" s="334"/>
      <c r="AU102" s="236"/>
      <c r="AV102" s="236"/>
      <c r="AW102" s="236"/>
      <c r="AX102" s="236"/>
      <c r="AY102" s="334"/>
      <c r="AZ102" s="236"/>
      <c r="BA102" s="236"/>
      <c r="BB102" s="236"/>
      <c r="BC102" s="236"/>
      <c r="BD102" s="334"/>
      <c r="BE102" s="236"/>
      <c r="BF102" s="236"/>
      <c r="BG102" s="236"/>
      <c r="BH102" s="236"/>
      <c r="BI102" s="334"/>
      <c r="BJ102" s="236"/>
      <c r="BK102" s="236"/>
      <c r="BL102" s="236"/>
      <c r="BM102" s="236"/>
      <c r="BN102" s="334"/>
      <c r="BO102" s="236"/>
      <c r="BP102" s="236"/>
      <c r="BQ102" s="236"/>
      <c r="BR102" s="236"/>
      <c r="BS102" s="334"/>
      <c r="BT102" s="236"/>
      <c r="BU102" s="236"/>
      <c r="BV102" s="236"/>
      <c r="BW102" s="236"/>
      <c r="BX102" s="334"/>
      <c r="BY102" s="236"/>
      <c r="BZ102" s="236"/>
      <c r="CA102" s="236"/>
      <c r="CB102" s="236"/>
      <c r="CC102" s="334"/>
      <c r="CD102" s="236"/>
      <c r="CE102" s="236"/>
      <c r="CF102" s="203"/>
      <c r="CG102" s="203"/>
      <c r="CH102" s="334"/>
      <c r="CI102" s="236"/>
      <c r="CJ102" s="236"/>
      <c r="CK102" s="203"/>
      <c r="CL102" s="203"/>
      <c r="CM102" s="334"/>
      <c r="CN102" s="203"/>
      <c r="CO102" s="524"/>
      <c r="CP102" s="203"/>
      <c r="CQ102" s="203"/>
      <c r="CR102" s="334"/>
      <c r="CS102" s="203"/>
      <c r="CT102" s="203"/>
      <c r="CU102" s="203"/>
      <c r="CV102" s="203"/>
      <c r="CW102" s="334"/>
      <c r="CX102" s="203"/>
      <c r="CY102" s="203"/>
      <c r="CZ102" s="203"/>
      <c r="DA102" s="203"/>
      <c r="DB102" s="334"/>
      <c r="DC102" s="203"/>
      <c r="DD102" s="203"/>
      <c r="DE102" s="203"/>
      <c r="DF102" s="203"/>
      <c r="DG102" s="334"/>
      <c r="DH102" s="203"/>
      <c r="DI102" s="203"/>
      <c r="DJ102" s="203"/>
      <c r="DK102" s="203"/>
      <c r="DL102" s="334"/>
      <c r="DM102" s="203"/>
      <c r="DN102" s="203"/>
      <c r="DO102" s="203"/>
      <c r="DP102" s="203"/>
      <c r="DQ102" s="334"/>
      <c r="DR102" s="169"/>
      <c r="DS102" s="269"/>
      <c r="DT102"/>
      <c r="DU102"/>
      <c r="DV102"/>
      <c r="DW102"/>
      <c r="DX102"/>
      <c r="DY102"/>
    </row>
    <row r="103" spans="1:129" s="154" customFormat="1" hidden="1" outlineLevel="1">
      <c r="A103" s="137"/>
      <c r="B103" s="136" t="s">
        <v>141</v>
      </c>
      <c r="C103" s="135"/>
      <c r="D103" s="135"/>
      <c r="E103" s="135"/>
      <c r="F103" s="135"/>
      <c r="G103" s="263"/>
      <c r="H103" s="264"/>
      <c r="I103" s="264"/>
      <c r="J103" s="69">
        <f t="shared" ref="J103:AW103" si="282">J89/J87</f>
        <v>0</v>
      </c>
      <c r="K103" s="336"/>
      <c r="L103" s="68">
        <f t="shared" si="282"/>
        <v>0</v>
      </c>
      <c r="M103" s="68">
        <f t="shared" si="282"/>
        <v>0</v>
      </c>
      <c r="N103" s="68">
        <f t="shared" si="282"/>
        <v>0</v>
      </c>
      <c r="O103" s="69">
        <f t="shared" si="282"/>
        <v>0</v>
      </c>
      <c r="P103" s="336">
        <f>P89/P87</f>
        <v>0</v>
      </c>
      <c r="Q103" s="68">
        <f t="shared" si="282"/>
        <v>0</v>
      </c>
      <c r="R103" s="68">
        <f t="shared" si="282"/>
        <v>0</v>
      </c>
      <c r="S103" s="68">
        <f t="shared" si="282"/>
        <v>0</v>
      </c>
      <c r="T103" s="69">
        <f t="shared" si="282"/>
        <v>0</v>
      </c>
      <c r="U103" s="336">
        <f>U89/U87</f>
        <v>0</v>
      </c>
      <c r="V103" s="68">
        <f t="shared" si="282"/>
        <v>0</v>
      </c>
      <c r="W103" s="68">
        <f t="shared" si="282"/>
        <v>0</v>
      </c>
      <c r="X103" s="68">
        <f t="shared" si="282"/>
        <v>0</v>
      </c>
      <c r="Y103" s="69">
        <f t="shared" si="282"/>
        <v>0</v>
      </c>
      <c r="Z103" s="336">
        <f>Z89/Z87</f>
        <v>0</v>
      </c>
      <c r="AA103" s="68">
        <f t="shared" si="282"/>
        <v>0</v>
      </c>
      <c r="AB103" s="68">
        <f t="shared" si="282"/>
        <v>0</v>
      </c>
      <c r="AC103" s="68">
        <f t="shared" si="282"/>
        <v>0</v>
      </c>
      <c r="AD103" s="68">
        <f t="shared" si="282"/>
        <v>0</v>
      </c>
      <c r="AE103" s="336">
        <f>AE89/AE87</f>
        <v>0</v>
      </c>
      <c r="AF103" s="68">
        <f t="shared" si="282"/>
        <v>0</v>
      </c>
      <c r="AG103" s="68">
        <f t="shared" si="282"/>
        <v>0</v>
      </c>
      <c r="AH103" s="68">
        <f t="shared" si="282"/>
        <v>0</v>
      </c>
      <c r="AI103" s="68">
        <f t="shared" si="282"/>
        <v>0</v>
      </c>
      <c r="AJ103" s="336">
        <f>AJ89/AJ87</f>
        <v>0</v>
      </c>
      <c r="AK103" s="68">
        <f t="shared" si="282"/>
        <v>0</v>
      </c>
      <c r="AL103" s="68">
        <f t="shared" si="282"/>
        <v>0</v>
      </c>
      <c r="AM103" s="68">
        <f t="shared" si="282"/>
        <v>0</v>
      </c>
      <c r="AN103" s="68">
        <f t="shared" si="282"/>
        <v>0</v>
      </c>
      <c r="AO103" s="336">
        <f>AO89/AO87</f>
        <v>0</v>
      </c>
      <c r="AP103" s="68">
        <f t="shared" si="282"/>
        <v>0</v>
      </c>
      <c r="AQ103" s="68">
        <f t="shared" si="282"/>
        <v>0</v>
      </c>
      <c r="AR103" s="68">
        <f t="shared" si="282"/>
        <v>0</v>
      </c>
      <c r="AS103" s="68">
        <f t="shared" si="282"/>
        <v>0</v>
      </c>
      <c r="AT103" s="336">
        <f>AT89/AT87</f>
        <v>0</v>
      </c>
      <c r="AU103" s="68">
        <f t="shared" si="282"/>
        <v>0</v>
      </c>
      <c r="AV103" s="68">
        <f t="shared" si="282"/>
        <v>0</v>
      </c>
      <c r="AW103" s="68">
        <f t="shared" si="282"/>
        <v>0</v>
      </c>
      <c r="AX103" s="68">
        <f t="shared" ref="AX103:CA103" si="283">AX89/AX87</f>
        <v>0</v>
      </c>
      <c r="AY103" s="336">
        <f>AY89/AY87</f>
        <v>0</v>
      </c>
      <c r="AZ103" s="68">
        <f t="shared" si="283"/>
        <v>0</v>
      </c>
      <c r="BA103" s="68">
        <f t="shared" si="283"/>
        <v>0</v>
      </c>
      <c r="BB103" s="68">
        <f t="shared" si="283"/>
        <v>0</v>
      </c>
      <c r="BC103" s="68">
        <f t="shared" si="283"/>
        <v>0</v>
      </c>
      <c r="BD103" s="336">
        <f>BD89/BD87</f>
        <v>0</v>
      </c>
      <c r="BE103" s="68">
        <f t="shared" si="283"/>
        <v>0</v>
      </c>
      <c r="BF103" s="68">
        <f t="shared" si="283"/>
        <v>0</v>
      </c>
      <c r="BG103" s="68">
        <f t="shared" si="283"/>
        <v>0</v>
      </c>
      <c r="BH103" s="68">
        <f t="shared" si="283"/>
        <v>0</v>
      </c>
      <c r="BI103" s="336">
        <f>BI89/BI87</f>
        <v>0</v>
      </c>
      <c r="BJ103" s="68">
        <f t="shared" si="283"/>
        <v>0</v>
      </c>
      <c r="BK103" s="68">
        <f t="shared" si="283"/>
        <v>0</v>
      </c>
      <c r="BL103" s="68">
        <f t="shared" si="283"/>
        <v>0</v>
      </c>
      <c r="BM103" s="68">
        <f t="shared" si="283"/>
        <v>0</v>
      </c>
      <c r="BN103" s="336">
        <f>BN89/BN87</f>
        <v>0</v>
      </c>
      <c r="BO103" s="68">
        <f t="shared" si="283"/>
        <v>0</v>
      </c>
      <c r="BP103" s="68">
        <f t="shared" si="283"/>
        <v>0</v>
      </c>
      <c r="BQ103" s="68">
        <f t="shared" si="283"/>
        <v>0</v>
      </c>
      <c r="BR103" s="68">
        <f t="shared" si="283"/>
        <v>0</v>
      </c>
      <c r="BS103" s="336">
        <f>BS89/BS87</f>
        <v>0</v>
      </c>
      <c r="BT103" s="68">
        <f t="shared" si="283"/>
        <v>0</v>
      </c>
      <c r="BU103" s="68">
        <f t="shared" si="283"/>
        <v>0</v>
      </c>
      <c r="BV103" s="68">
        <f t="shared" si="283"/>
        <v>0</v>
      </c>
      <c r="BW103" s="68">
        <f t="shared" si="283"/>
        <v>0</v>
      </c>
      <c r="BX103" s="336">
        <f>BX89/BX87</f>
        <v>0</v>
      </c>
      <c r="BY103" s="68">
        <f t="shared" si="283"/>
        <v>0</v>
      </c>
      <c r="BZ103" s="68">
        <f t="shared" si="283"/>
        <v>0</v>
      </c>
      <c r="CA103" s="68">
        <f t="shared" si="283"/>
        <v>0</v>
      </c>
      <c r="CB103" s="68">
        <f t="shared" ref="CB103:CL103" si="284">CB89/CB87</f>
        <v>0</v>
      </c>
      <c r="CC103" s="336">
        <f>CC89/CC87</f>
        <v>0</v>
      </c>
      <c r="CD103" s="68">
        <f t="shared" si="284"/>
        <v>0</v>
      </c>
      <c r="CE103" s="68">
        <f t="shared" si="284"/>
        <v>0</v>
      </c>
      <c r="CF103" s="68">
        <f t="shared" si="284"/>
        <v>0</v>
      </c>
      <c r="CG103" s="68">
        <f t="shared" si="284"/>
        <v>0</v>
      </c>
      <c r="CH103" s="336">
        <f>CH89/CH87</f>
        <v>0</v>
      </c>
      <c r="CI103" s="68">
        <f t="shared" si="284"/>
        <v>0</v>
      </c>
      <c r="CJ103" s="68">
        <f t="shared" si="284"/>
        <v>0</v>
      </c>
      <c r="CK103" s="68">
        <f t="shared" si="284"/>
        <v>0</v>
      </c>
      <c r="CL103" s="68">
        <f t="shared" si="284"/>
        <v>0</v>
      </c>
      <c r="CM103" s="336">
        <f>CM89/CM87</f>
        <v>0</v>
      </c>
      <c r="CN103" s="59">
        <f>CL103</f>
        <v>0</v>
      </c>
      <c r="CO103" s="85">
        <f>CN103</f>
        <v>0</v>
      </c>
      <c r="CP103" s="68">
        <f t="shared" ref="CP103:CV103" si="285">CP89/CP87</f>
        <v>0</v>
      </c>
      <c r="CQ103" s="68">
        <f t="shared" si="285"/>
        <v>0</v>
      </c>
      <c r="CR103" s="336">
        <f>CR89/CR87</f>
        <v>0</v>
      </c>
      <c r="CS103" s="68">
        <f t="shared" si="285"/>
        <v>0</v>
      </c>
      <c r="CT103" s="68">
        <f t="shared" si="285"/>
        <v>0</v>
      </c>
      <c r="CU103" s="68">
        <f t="shared" si="285"/>
        <v>0</v>
      </c>
      <c r="CV103" s="68">
        <f t="shared" si="285"/>
        <v>0</v>
      </c>
      <c r="CW103" s="336">
        <f t="shared" ref="CW103:DB103" si="286">CW89/CW87</f>
        <v>0</v>
      </c>
      <c r="CX103" s="68">
        <f t="shared" si="286"/>
        <v>0</v>
      </c>
      <c r="CY103" s="68">
        <f t="shared" si="286"/>
        <v>0</v>
      </c>
      <c r="CZ103" s="68">
        <f t="shared" si="286"/>
        <v>0</v>
      </c>
      <c r="DA103" s="68">
        <f t="shared" si="286"/>
        <v>0</v>
      </c>
      <c r="DB103" s="336">
        <f t="shared" si="286"/>
        <v>0</v>
      </c>
      <c r="DC103" s="59">
        <f>DA103</f>
        <v>0</v>
      </c>
      <c r="DD103" s="59">
        <f t="shared" ref="DD103:DF105" si="287">DC103</f>
        <v>0</v>
      </c>
      <c r="DE103" s="59">
        <f t="shared" si="287"/>
        <v>0</v>
      </c>
      <c r="DF103" s="59">
        <f t="shared" si="287"/>
        <v>0</v>
      </c>
      <c r="DG103" s="336">
        <f>DG89/DG87</f>
        <v>0</v>
      </c>
      <c r="DH103" s="59">
        <f>DF103</f>
        <v>0</v>
      </c>
      <c r="DI103" s="59">
        <f t="shared" ref="DI103:DK105" si="288">DH103</f>
        <v>0</v>
      </c>
      <c r="DJ103" s="59">
        <f t="shared" si="288"/>
        <v>0</v>
      </c>
      <c r="DK103" s="59">
        <f t="shared" si="288"/>
        <v>0</v>
      </c>
      <c r="DL103" s="336">
        <f>DL89/DL87</f>
        <v>0</v>
      </c>
      <c r="DM103" s="59">
        <f>DK103</f>
        <v>0</v>
      </c>
      <c r="DN103" s="59">
        <f t="shared" ref="DN103:DN105" si="289">DM103</f>
        <v>0</v>
      </c>
      <c r="DO103" s="59">
        <f t="shared" ref="DO103:DO105" si="290">DN103</f>
        <v>0</v>
      </c>
      <c r="DP103" s="59">
        <f t="shared" ref="DP103:DP105" si="291">DO103</f>
        <v>0</v>
      </c>
      <c r="DQ103" s="336">
        <f>DQ89/DQ87</f>
        <v>0</v>
      </c>
      <c r="DR103" s="136"/>
      <c r="DS103" s="145"/>
      <c r="DT103"/>
      <c r="DU103"/>
      <c r="DV103"/>
      <c r="DW103"/>
      <c r="DX103"/>
      <c r="DY103"/>
    </row>
    <row r="104" spans="1:129" s="154" customFormat="1" hidden="1" outlineLevel="1">
      <c r="A104" s="137"/>
      <c r="B104" s="136" t="s">
        <v>143</v>
      </c>
      <c r="C104" s="135"/>
      <c r="D104" s="135"/>
      <c r="E104" s="135"/>
      <c r="F104" s="135"/>
      <c r="G104" s="263"/>
      <c r="H104" s="264"/>
      <c r="I104" s="264"/>
      <c r="J104" s="69">
        <f t="shared" ref="J104:AW104" si="292">J95/J93</f>
        <v>-0.10345710627400767</v>
      </c>
      <c r="K104" s="336"/>
      <c r="L104" s="68">
        <f t="shared" si="292"/>
        <v>-2.3780635768017651E-2</v>
      </c>
      <c r="M104" s="68">
        <f t="shared" si="292"/>
        <v>-1.633003867640731E-2</v>
      </c>
      <c r="N104" s="68">
        <f t="shared" si="292"/>
        <v>-1.5128593040847214E-2</v>
      </c>
      <c r="O104" s="69">
        <f t="shared" si="292"/>
        <v>-1.4459032740568346E-2</v>
      </c>
      <c r="P104" s="336" t="e">
        <f>P95/P93</f>
        <v>#DIV/0!</v>
      </c>
      <c r="Q104" s="68">
        <f t="shared" si="292"/>
        <v>-1.3055596303359309E-2</v>
      </c>
      <c r="R104" s="68">
        <f t="shared" si="292"/>
        <v>-1.1819716846343592E-2</v>
      </c>
      <c r="S104" s="68">
        <f t="shared" si="292"/>
        <v>-1.0771369006254545E-2</v>
      </c>
      <c r="T104" s="69">
        <f t="shared" si="292"/>
        <v>-5.5180870631512868E-3</v>
      </c>
      <c r="U104" s="336">
        <f>U95/U93</f>
        <v>-4.7968314507848019E-2</v>
      </c>
      <c r="V104" s="68">
        <f t="shared" si="292"/>
        <v>-1.3185414203873907E-2</v>
      </c>
      <c r="W104" s="68">
        <f t="shared" si="292"/>
        <v>-4.1497152156224704E-3</v>
      </c>
      <c r="X104" s="68">
        <f t="shared" si="292"/>
        <v>-4.294657155335513E-3</v>
      </c>
      <c r="Y104" s="69">
        <f t="shared" si="292"/>
        <v>-1.9858897308596715E-2</v>
      </c>
      <c r="Z104" s="336">
        <f>Z95/Z93</f>
        <v>-5.0832045103210065E-2</v>
      </c>
      <c r="AA104" s="68">
        <f t="shared" si="292"/>
        <v>-2.4397500743826464E-3</v>
      </c>
      <c r="AB104" s="68">
        <f t="shared" si="292"/>
        <v>8.8812797603124698E-3</v>
      </c>
      <c r="AC104" s="68">
        <f t="shared" si="292"/>
        <v>6.3094544748600653E-4</v>
      </c>
      <c r="AD104" s="68">
        <f t="shared" si="292"/>
        <v>-9.9902749535849648E-3</v>
      </c>
      <c r="AE104" s="336">
        <f>AE95/AE93</f>
        <v>-5.2365367450162102E-3</v>
      </c>
      <c r="AF104" s="68">
        <f t="shared" si="292"/>
        <v>-6.6411498839529307E-2</v>
      </c>
      <c r="AG104" s="68">
        <f t="shared" si="292"/>
        <v>3.6790606653620819E-3</v>
      </c>
      <c r="AH104" s="68">
        <f t="shared" si="292"/>
        <v>-1.0172116433775701E-2</v>
      </c>
      <c r="AI104" s="68">
        <f t="shared" si="292"/>
        <v>-1.6093800192740048E-2</v>
      </c>
      <c r="AJ104" s="336">
        <f>AJ95/AJ93</f>
        <v>-9.4751414959892422E-2</v>
      </c>
      <c r="AK104" s="68">
        <f t="shared" si="292"/>
        <v>-1.1004448606883774E-2</v>
      </c>
      <c r="AL104" s="68">
        <f t="shared" si="292"/>
        <v>-1.4419629816501562E-2</v>
      </c>
      <c r="AM104" s="68">
        <f t="shared" si="292"/>
        <v>-4.735967954667579E-2</v>
      </c>
      <c r="AN104" s="68">
        <f t="shared" si="292"/>
        <v>-7.4502158473749702E-3</v>
      </c>
      <c r="AO104" s="336">
        <f>AO95/AO93</f>
        <v>-9.3040271599156954E-2</v>
      </c>
      <c r="AP104" s="68">
        <f t="shared" si="292"/>
        <v>-1.1552407454254041E-2</v>
      </c>
      <c r="AQ104" s="68">
        <f t="shared" si="292"/>
        <v>-8.2342529531724429E-3</v>
      </c>
      <c r="AR104" s="68">
        <f t="shared" si="292"/>
        <v>-1.9421393357778319E-2</v>
      </c>
      <c r="AS104" s="68">
        <f t="shared" si="292"/>
        <v>-3.2811152863858863E-2</v>
      </c>
      <c r="AT104" s="336">
        <f>AT95/AT93</f>
        <v>-8.643224555190139E-2</v>
      </c>
      <c r="AU104" s="68">
        <f t="shared" si="292"/>
        <v>-8.2952298566486369E-3</v>
      </c>
      <c r="AV104" s="68">
        <f t="shared" si="292"/>
        <v>-7.3565542124696534E-3</v>
      </c>
      <c r="AW104" s="68">
        <f t="shared" si="292"/>
        <v>-1.764196367156657E-2</v>
      </c>
      <c r="AX104" s="68">
        <f t="shared" ref="AX104:CA104" si="293">AX95/AX93</f>
        <v>-1.0630131888069614E-2</v>
      </c>
      <c r="AY104" s="336">
        <f>AY95/AY93</f>
        <v>-5.1903114186851201E-2</v>
      </c>
      <c r="AZ104" s="68">
        <f t="shared" si="293"/>
        <v>-1.1890432179528882E-2</v>
      </c>
      <c r="BA104" s="68">
        <f t="shared" si="293"/>
        <v>-2.1375734790883314E-2</v>
      </c>
      <c r="BB104" s="68">
        <f t="shared" si="293"/>
        <v>-1.1708505058074184E-2</v>
      </c>
      <c r="BC104" s="68">
        <f t="shared" si="293"/>
        <v>-1.2968421700748875E-2</v>
      </c>
      <c r="BD104" s="336">
        <f>BD95/BD93</f>
        <v>-6.7783836967102426E-2</v>
      </c>
      <c r="BE104" s="68">
        <f t="shared" si="293"/>
        <v>-5.2671333953462393E-2</v>
      </c>
      <c r="BF104" s="68">
        <f t="shared" si="293"/>
        <v>-2.0837864020086447E-2</v>
      </c>
      <c r="BG104" s="68">
        <f t="shared" si="293"/>
        <v>-2.1231320405390677E-2</v>
      </c>
      <c r="BH104" s="68">
        <f t="shared" si="293"/>
        <v>-2.3944048272079039E-2</v>
      </c>
      <c r="BI104" s="336">
        <f>BI95/BI93</f>
        <v>-0.13001727502255547</v>
      </c>
      <c r="BJ104" s="68">
        <f t="shared" si="293"/>
        <v>-1.8500110448420457E-2</v>
      </c>
      <c r="BK104" s="68">
        <f t="shared" si="293"/>
        <v>-1.7082458286215511E-2</v>
      </c>
      <c r="BL104" s="68">
        <f t="shared" si="293"/>
        <v>-1.1832023638464547E-2</v>
      </c>
      <c r="BM104" s="68">
        <f t="shared" si="293"/>
        <v>-1.5067366241699662E-2</v>
      </c>
      <c r="BN104" s="336">
        <f>BN95/BN93</f>
        <v>-7.0230134345442383E-2</v>
      </c>
      <c r="BO104" s="68">
        <f t="shared" si="293"/>
        <v>-1.4713916305495942E-2</v>
      </c>
      <c r="BP104" s="68">
        <f t="shared" si="293"/>
        <v>-1.656535005421083E-2</v>
      </c>
      <c r="BQ104" s="68">
        <f t="shared" si="293"/>
        <v>-1.7446829905978244E-2</v>
      </c>
      <c r="BR104" s="68">
        <f t="shared" si="293"/>
        <v>-5.209321170519169E-2</v>
      </c>
      <c r="BS104" s="336">
        <f>BS95/BS93</f>
        <v>-0.1175292275193939</v>
      </c>
      <c r="BT104" s="68">
        <f t="shared" si="293"/>
        <v>-1.244070450986175E-2</v>
      </c>
      <c r="BU104" s="68">
        <f t="shared" si="293"/>
        <v>-9.9270390477680607E-3</v>
      </c>
      <c r="BV104" s="68">
        <f t="shared" si="293"/>
        <v>-1.22981462115699E-2</v>
      </c>
      <c r="BW104" s="68">
        <f t="shared" si="293"/>
        <v>-1.8780764508967599E-2</v>
      </c>
      <c r="BX104" s="336">
        <f>BX95/BX93</f>
        <v>-5.9979232392927725E-2</v>
      </c>
      <c r="BY104" s="68">
        <f t="shared" si="293"/>
        <v>-2.0695665918780356E-2</v>
      </c>
      <c r="BZ104" s="68">
        <f t="shared" si="293"/>
        <v>-1.0325168219032859E-2</v>
      </c>
      <c r="CA104" s="68">
        <f t="shared" si="293"/>
        <v>-9.5020314353211205E-3</v>
      </c>
      <c r="CB104" s="68">
        <f t="shared" ref="CB104:CL104" si="294">CB95/CB93</f>
        <v>-3.4436500224790764E-2</v>
      </c>
      <c r="CC104" s="336">
        <f>CC95/CC93</f>
        <v>-8.4086707968720295E-2</v>
      </c>
      <c r="CD104" s="68">
        <f t="shared" si="294"/>
        <v>-1.2602127600245375E-2</v>
      </c>
      <c r="CE104" s="68">
        <f t="shared" si="294"/>
        <v>-1.1998452869893797E-2</v>
      </c>
      <c r="CF104" s="68">
        <f t="shared" si="294"/>
        <v>-1.6374531256040426E-2</v>
      </c>
      <c r="CG104" s="68">
        <f t="shared" si="294"/>
        <v>-1.3582325493929464E-2</v>
      </c>
      <c r="CH104" s="336">
        <f>CH95/CH93</f>
        <v>-5.9927639283921641E-2</v>
      </c>
      <c r="CI104" s="68">
        <f t="shared" si="294"/>
        <v>-1.7979959437423247E-2</v>
      </c>
      <c r="CJ104" s="68">
        <f t="shared" si="294"/>
        <v>-4.4191294044806963E-2</v>
      </c>
      <c r="CK104" s="68">
        <f t="shared" si="294"/>
        <v>2.3763429948296794E-2</v>
      </c>
      <c r="CL104" s="68">
        <f t="shared" si="294"/>
        <v>-5.6600525938321745E-2</v>
      </c>
      <c r="CM104" s="336">
        <f>CM95/CM93</f>
        <v>-0.10465067784734811</v>
      </c>
      <c r="CN104" s="59">
        <f>CL104</f>
        <v>-5.6600525938321745E-2</v>
      </c>
      <c r="CO104" s="85">
        <f>CN104</f>
        <v>-5.6600525938321745E-2</v>
      </c>
      <c r="CP104" s="68">
        <f t="shared" ref="CP104:CX104" si="295">CP95/CP93</f>
        <v>-2.5772553993233565E-2</v>
      </c>
      <c r="CQ104" s="68">
        <f t="shared" si="295"/>
        <v>-2.2005131241365879E-2</v>
      </c>
      <c r="CR104" s="336">
        <f>CR95/CR93</f>
        <v>-0.1209025916415922</v>
      </c>
      <c r="CS104" s="68">
        <f t="shared" si="295"/>
        <v>-2.8912983041423455E-2</v>
      </c>
      <c r="CT104" s="68">
        <f t="shared" si="295"/>
        <v>-3.2846072560760796E-2</v>
      </c>
      <c r="CU104" s="68">
        <f t="shared" si="295"/>
        <v>-2.8290799194090031E-2</v>
      </c>
      <c r="CV104" s="68">
        <f t="shared" si="295"/>
        <v>-3.4175097586234257E-2</v>
      </c>
      <c r="CW104" s="336">
        <f>CW95/CW93</f>
        <v>-0.13446390510610687</v>
      </c>
      <c r="CX104" s="68">
        <f t="shared" si="295"/>
        <v>-0.12315308453922301</v>
      </c>
      <c r="CY104" s="68">
        <f>CY95/CY93</f>
        <v>-3.6086991157492372E-2</v>
      </c>
      <c r="CZ104" s="68">
        <f>CZ95/CZ93</f>
        <v>-8.6824067022086823E-2</v>
      </c>
      <c r="DA104" s="68">
        <f>DA95/DA93</f>
        <v>-4.2792399980017472E-2</v>
      </c>
      <c r="DB104" s="336">
        <f>DB95/DB93</f>
        <v>-0.26428027418126426</v>
      </c>
      <c r="DC104" s="59">
        <v>-4.2999999999999997E-2</v>
      </c>
      <c r="DD104" s="59">
        <f t="shared" si="287"/>
        <v>-4.2999999999999997E-2</v>
      </c>
      <c r="DE104" s="59">
        <f t="shared" si="287"/>
        <v>-4.2999999999999997E-2</v>
      </c>
      <c r="DF104" s="59">
        <f t="shared" si="287"/>
        <v>-4.2999999999999997E-2</v>
      </c>
      <c r="DG104" s="336">
        <f>DG95/DG93</f>
        <v>-0.10416135270067524</v>
      </c>
      <c r="DH104" s="59">
        <f>DF104</f>
        <v>-4.2999999999999997E-2</v>
      </c>
      <c r="DI104" s="59">
        <f t="shared" si="288"/>
        <v>-4.2999999999999997E-2</v>
      </c>
      <c r="DJ104" s="59">
        <f t="shared" si="288"/>
        <v>-4.2999999999999997E-2</v>
      </c>
      <c r="DK104" s="59">
        <f t="shared" si="288"/>
        <v>-4.2999999999999997E-2</v>
      </c>
      <c r="DL104" s="336">
        <f>DL95/DL93</f>
        <v>-8.965054393035779E-2</v>
      </c>
      <c r="DM104" s="59">
        <f>DK104</f>
        <v>-4.2999999999999997E-2</v>
      </c>
      <c r="DN104" s="59">
        <f t="shared" si="289"/>
        <v>-4.2999999999999997E-2</v>
      </c>
      <c r="DO104" s="59">
        <f t="shared" si="290"/>
        <v>-4.2999999999999997E-2</v>
      </c>
      <c r="DP104" s="59">
        <f t="shared" si="291"/>
        <v>-4.2999999999999997E-2</v>
      </c>
      <c r="DQ104" s="336">
        <f>DQ95/DQ93</f>
        <v>-7.8333812211978687E-2</v>
      </c>
      <c r="DR104" s="136"/>
      <c r="DS104" s="145"/>
      <c r="DT104"/>
      <c r="DU104"/>
      <c r="DV104"/>
      <c r="DW104"/>
      <c r="DX104"/>
      <c r="DY104"/>
    </row>
    <row r="105" spans="1:129" s="154" customFormat="1" hidden="1" outlineLevel="1">
      <c r="A105" s="137"/>
      <c r="B105" s="136" t="s">
        <v>147</v>
      </c>
      <c r="C105" s="135"/>
      <c r="D105" s="135"/>
      <c r="E105" s="135"/>
      <c r="F105" s="135"/>
      <c r="G105" s="263"/>
      <c r="H105" s="264"/>
      <c r="I105" s="264"/>
      <c r="J105" s="305">
        <f t="shared" ref="J105:AW105" si="296">-J100/J94</f>
        <v>15.956451612903225</v>
      </c>
      <c r="K105" s="814"/>
      <c r="L105" s="289">
        <f t="shared" si="296"/>
        <v>17.41917591125198</v>
      </c>
      <c r="M105" s="289">
        <f t="shared" si="296"/>
        <v>17.756338028169015</v>
      </c>
      <c r="N105" s="289">
        <f t="shared" si="296"/>
        <v>17.862175525339929</v>
      </c>
      <c r="O105" s="305">
        <f t="shared" si="296"/>
        <v>17.795941375422778</v>
      </c>
      <c r="P105" s="814">
        <f>-P100/P94</f>
        <v>4.3928218636812648</v>
      </c>
      <c r="Q105" s="289">
        <f t="shared" si="296"/>
        <v>17.181256436663233</v>
      </c>
      <c r="R105" s="289">
        <f t="shared" si="296"/>
        <v>17.650584795321638</v>
      </c>
      <c r="S105" s="289">
        <f t="shared" si="296"/>
        <v>16.782730923694778</v>
      </c>
      <c r="T105" s="305">
        <f t="shared" si="296"/>
        <v>19.596442687747043</v>
      </c>
      <c r="U105" s="814">
        <f>-U100/U94</f>
        <v>4.7953183936099411</v>
      </c>
      <c r="V105" s="289">
        <f t="shared" si="296"/>
        <v>19.772253129346314</v>
      </c>
      <c r="W105" s="289">
        <f t="shared" si="296"/>
        <v>20.693462308205465</v>
      </c>
      <c r="X105" s="289">
        <f t="shared" si="296"/>
        <v>21.366789441375072</v>
      </c>
      <c r="Y105" s="305">
        <f t="shared" si="296"/>
        <v>21.834813992226554</v>
      </c>
      <c r="Z105" s="814">
        <f>-Z100/Z94</f>
        <v>5.346159886916916</v>
      </c>
      <c r="AA105" s="289">
        <f t="shared" si="296"/>
        <v>21.816813700051892</v>
      </c>
      <c r="AB105" s="289">
        <f t="shared" si="296"/>
        <v>25.38838008013737</v>
      </c>
      <c r="AC105" s="289">
        <f t="shared" si="296"/>
        <v>23.515461346633415</v>
      </c>
      <c r="AD105" s="289">
        <f t="shared" si="296"/>
        <v>25.930883032824784</v>
      </c>
      <c r="AE105" s="814">
        <f>-AE100/AE94</f>
        <v>6.6815225707727617</v>
      </c>
      <c r="AF105" s="289">
        <f t="shared" si="296"/>
        <v>25.164950419527081</v>
      </c>
      <c r="AG105" s="289">
        <f t="shared" si="296"/>
        <v>26.109866281170952</v>
      </c>
      <c r="AH105" s="289">
        <f t="shared" si="296"/>
        <v>26.423204787234049</v>
      </c>
      <c r="AI105" s="289">
        <f t="shared" si="296"/>
        <v>24.779881322407462</v>
      </c>
      <c r="AJ105" s="814">
        <f>-AJ100/AJ94</f>
        <v>6.5455345174262742</v>
      </c>
      <c r="AK105" s="289">
        <f t="shared" si="296"/>
        <v>24.330659767141007</v>
      </c>
      <c r="AL105" s="289">
        <f t="shared" si="296"/>
        <v>25.407784743991645</v>
      </c>
      <c r="AM105" s="289">
        <f t="shared" si="296"/>
        <v>25.987386725446974</v>
      </c>
      <c r="AN105" s="289">
        <f t="shared" si="296"/>
        <v>26.90023549561122</v>
      </c>
      <c r="AO105" s="814">
        <f>-AO100/AO94</f>
        <v>7.0148659329968988</v>
      </c>
      <c r="AP105" s="289">
        <f t="shared" si="296"/>
        <v>27.972200392927309</v>
      </c>
      <c r="AQ105" s="289">
        <f t="shared" si="296"/>
        <v>28.641677371994867</v>
      </c>
      <c r="AR105" s="289">
        <f t="shared" si="296"/>
        <v>31.670757928686609</v>
      </c>
      <c r="AS105" s="289">
        <f t="shared" si="296"/>
        <v>37.850946969696992</v>
      </c>
      <c r="AT105" s="814">
        <f>-AT100/AT94</f>
        <v>8.1742757009345812</v>
      </c>
      <c r="AU105" s="289">
        <f t="shared" si="296"/>
        <v>31.616216216216216</v>
      </c>
      <c r="AV105" s="289">
        <f t="shared" si="296"/>
        <v>31.443981540828101</v>
      </c>
      <c r="AW105" s="289">
        <f t="shared" si="296"/>
        <v>30.576289357860286</v>
      </c>
      <c r="AX105" s="289">
        <f t="shared" ref="AX105:CA105" si="297">-AX100/AX94</f>
        <v>28.640196733836319</v>
      </c>
      <c r="AY105" s="814">
        <f>-AY100/AY94</f>
        <v>7.7190381406785136</v>
      </c>
      <c r="AZ105" s="289">
        <f t="shared" si="297"/>
        <v>26.847185970636215</v>
      </c>
      <c r="BA105" s="289">
        <f t="shared" si="297"/>
        <v>27.801463265149771</v>
      </c>
      <c r="BB105" s="289">
        <f t="shared" si="297"/>
        <v>29.010273972602754</v>
      </c>
      <c r="BC105" s="289">
        <f t="shared" si="297"/>
        <v>31.238140481845953</v>
      </c>
      <c r="BD105" s="814">
        <f>-BD100/BD94</f>
        <v>7.5551856522868057</v>
      </c>
      <c r="BE105" s="289">
        <f t="shared" si="297"/>
        <v>32.038973792426198</v>
      </c>
      <c r="BF105" s="289">
        <f t="shared" si="297"/>
        <v>31.534060865162843</v>
      </c>
      <c r="BG105" s="289">
        <f t="shared" si="297"/>
        <v>31.113741398788139</v>
      </c>
      <c r="BH105" s="289">
        <f t="shared" si="297"/>
        <v>30.350821060556157</v>
      </c>
      <c r="BI105" s="814">
        <f>-BI100/BI94</f>
        <v>7.7106702140460186</v>
      </c>
      <c r="BJ105" s="289">
        <f t="shared" si="297"/>
        <v>31.377600226928898</v>
      </c>
      <c r="BK105" s="289">
        <f t="shared" si="297"/>
        <v>31.382710042170626</v>
      </c>
      <c r="BL105" s="289">
        <f t="shared" si="297"/>
        <v>31.293551858661058</v>
      </c>
      <c r="BM105" s="289">
        <f t="shared" si="297"/>
        <v>30.206294424586066</v>
      </c>
      <c r="BN105" s="814">
        <f>-BN100/BN94</f>
        <v>7.8914189166508173</v>
      </c>
      <c r="BO105" s="289">
        <f t="shared" si="297"/>
        <v>27.982177422300136</v>
      </c>
      <c r="BP105" s="289">
        <f t="shared" si="297"/>
        <v>31.671162072243344</v>
      </c>
      <c r="BQ105" s="289">
        <f t="shared" si="297"/>
        <v>30.167406638261294</v>
      </c>
      <c r="BR105" s="289">
        <f t="shared" si="297"/>
        <v>30.1380765853988</v>
      </c>
      <c r="BS105" s="814">
        <f>-BS100/BS94</f>
        <v>7.6199306538866498</v>
      </c>
      <c r="BT105" s="289">
        <f t="shared" si="297"/>
        <v>32.828165999171389</v>
      </c>
      <c r="BU105" s="289">
        <f t="shared" si="297"/>
        <v>34.089860964028283</v>
      </c>
      <c r="BV105" s="289">
        <f t="shared" si="297"/>
        <v>33.359982932456781</v>
      </c>
      <c r="BW105" s="289">
        <f t="shared" si="297"/>
        <v>33.636811568850412</v>
      </c>
      <c r="BX105" s="814">
        <f>-BX100/BX94</f>
        <v>8.6026172740084554</v>
      </c>
      <c r="BY105" s="289">
        <f t="shared" si="297"/>
        <v>33.873296928327647</v>
      </c>
      <c r="BZ105" s="289">
        <f t="shared" si="297"/>
        <v>35.002738225629791</v>
      </c>
      <c r="CA105" s="289">
        <f t="shared" si="297"/>
        <v>33.638990958758399</v>
      </c>
      <c r="CB105" s="289">
        <f t="shared" ref="CB105:CH105" si="298">-CB100/CB94</f>
        <v>36.141567874842103</v>
      </c>
      <c r="CC105" s="814">
        <f t="shared" si="298"/>
        <v>8.8091616215801984</v>
      </c>
      <c r="CD105" s="289">
        <f t="shared" si="298"/>
        <v>36.279420196784478</v>
      </c>
      <c r="CE105" s="289">
        <f t="shared" si="298"/>
        <v>37.445133914313089</v>
      </c>
      <c r="CF105" s="289">
        <f t="shared" si="298"/>
        <v>37.651386334066132</v>
      </c>
      <c r="CG105" s="289">
        <f t="shared" si="298"/>
        <v>36.448097752363459</v>
      </c>
      <c r="CH105" s="814">
        <f t="shared" si="298"/>
        <v>9.2974434502306451</v>
      </c>
      <c r="CI105" s="289">
        <f t="shared" ref="CI105:CO105" si="299">-CI100/CI94</f>
        <v>39.439088479297233</v>
      </c>
      <c r="CJ105" s="289">
        <f t="shared" si="299"/>
        <v>37.525279943988792</v>
      </c>
      <c r="CK105" s="289">
        <f t="shared" si="299"/>
        <v>38.14391455638917</v>
      </c>
      <c r="CL105" s="289">
        <f t="shared" si="299"/>
        <v>32.106026146701439</v>
      </c>
      <c r="CM105" s="814">
        <f>-CM100/CM94</f>
        <v>9.3715702153633202</v>
      </c>
      <c r="CN105" s="289">
        <f t="shared" si="299"/>
        <v>28.1525</v>
      </c>
      <c r="CO105" s="289">
        <f t="shared" si="299"/>
        <v>26.132488095238095</v>
      </c>
      <c r="CP105" s="289">
        <f t="shared" ref="CP105:CV105" si="300">-CP100/CP94</f>
        <v>27.458913834951449</v>
      </c>
      <c r="CQ105" s="289">
        <f t="shared" si="300"/>
        <v>26.379545454545454</v>
      </c>
      <c r="CR105" s="814">
        <f>-CR100/CR94</f>
        <v>6.7421651515151515</v>
      </c>
      <c r="CS105" s="289">
        <f t="shared" si="300"/>
        <v>27.115735461801599</v>
      </c>
      <c r="CT105" s="289">
        <f t="shared" si="300"/>
        <v>26.287405812701838</v>
      </c>
      <c r="CU105" s="289">
        <f t="shared" si="300"/>
        <v>25.854805725971374</v>
      </c>
      <c r="CV105" s="289">
        <f t="shared" si="300"/>
        <v>25.857852882703778</v>
      </c>
      <c r="CW105" s="814">
        <f>-CW100/CW94</f>
        <v>6.5626649076517154</v>
      </c>
      <c r="CX105" s="289">
        <f>-CX100/CX94</f>
        <v>24.929326923076925</v>
      </c>
      <c r="CY105" s="289">
        <f>-CY100/CY94</f>
        <v>25.040291262135923</v>
      </c>
      <c r="CZ105" s="289">
        <f>-CZ100/CZ94</f>
        <v>22.868421052631579</v>
      </c>
      <c r="DA105" s="1070">
        <f t="shared" ref="DA105" si="301">CZ105</f>
        <v>22.868421052631579</v>
      </c>
      <c r="DB105" s="814">
        <f>-DB100/DB94</f>
        <v>6.5368550368550347</v>
      </c>
      <c r="DC105" s="306">
        <f>DA105</f>
        <v>22.868421052631579</v>
      </c>
      <c r="DD105" s="306">
        <f t="shared" si="287"/>
        <v>22.868421052631579</v>
      </c>
      <c r="DE105" s="306">
        <f t="shared" si="287"/>
        <v>22.868421052631579</v>
      </c>
      <c r="DF105" s="306">
        <f t="shared" si="287"/>
        <v>22.868421052631579</v>
      </c>
      <c r="DG105" s="814">
        <f>-DG100/DG94</f>
        <v>7.3698461701547471</v>
      </c>
      <c r="DH105" s="306">
        <f>DF105</f>
        <v>22.868421052631579</v>
      </c>
      <c r="DI105" s="306">
        <f t="shared" si="288"/>
        <v>22.868421052631579</v>
      </c>
      <c r="DJ105" s="306">
        <f t="shared" si="288"/>
        <v>22.868421052631579</v>
      </c>
      <c r="DK105" s="306">
        <f t="shared" si="288"/>
        <v>22.868421052631579</v>
      </c>
      <c r="DL105" s="814">
        <f>-DL100/DL94</f>
        <v>7.8849478666774973</v>
      </c>
      <c r="DM105" s="306">
        <f>DK105</f>
        <v>22.868421052631579</v>
      </c>
      <c r="DN105" s="306">
        <f t="shared" si="289"/>
        <v>22.868421052631579</v>
      </c>
      <c r="DO105" s="306">
        <f t="shared" si="290"/>
        <v>22.868421052631579</v>
      </c>
      <c r="DP105" s="306">
        <f t="shared" si="291"/>
        <v>22.868421052631579</v>
      </c>
      <c r="DQ105" s="814">
        <f>-DQ100/DQ94</f>
        <v>8.3832251377150797</v>
      </c>
      <c r="DR105" s="136"/>
      <c r="DS105" s="145"/>
      <c r="DT105"/>
      <c r="DU105"/>
      <c r="DV105"/>
      <c r="DW105"/>
      <c r="DX105"/>
      <c r="DY105"/>
    </row>
    <row r="106" spans="1:129" s="154" customFormat="1" hidden="1" outlineLevel="1">
      <c r="A106" s="137"/>
      <c r="B106" s="136" t="s">
        <v>149</v>
      </c>
      <c r="C106" s="135"/>
      <c r="D106" s="135"/>
      <c r="E106" s="135"/>
      <c r="F106" s="135"/>
      <c r="G106" s="263"/>
      <c r="H106" s="264"/>
      <c r="I106" s="264"/>
      <c r="J106" s="69">
        <f>J88/IS!J22</f>
        <v>6.8871794871794872E-2</v>
      </c>
      <c r="K106" s="336"/>
      <c r="L106" s="68">
        <f>L88/IS!L22</f>
        <v>5.967884069323412E-2</v>
      </c>
      <c r="M106" s="68">
        <f>M88/IS!M22</f>
        <v>9.4334356684342702E-2</v>
      </c>
      <c r="N106" s="68">
        <f>N88/IS!N22</f>
        <v>7.239027802063297E-2</v>
      </c>
      <c r="O106" s="69">
        <f>O88/IS!O22</f>
        <v>4.235811483571196E-2</v>
      </c>
      <c r="P106" s="336">
        <f>P88/IS!P22</f>
        <v>6.6633672275713138E-2</v>
      </c>
      <c r="Q106" s="68">
        <f>Q88/IS!Q22</f>
        <v>2.929442186922793E-2</v>
      </c>
      <c r="R106" s="68">
        <f>R88/IS!R22</f>
        <v>6.543819376749159E-2</v>
      </c>
      <c r="S106" s="68">
        <f>S88/IS!S22</f>
        <v>9.3809793300455468E-2</v>
      </c>
      <c r="T106" s="69">
        <f>T88/IS!T22</f>
        <v>0.10466957347818669</v>
      </c>
      <c r="U106" s="336">
        <f>U88/IS!U22</f>
        <v>7.7734235319015382E-2</v>
      </c>
      <c r="V106" s="68">
        <f>V88/IS!V22</f>
        <v>7.1606303566491558E-2</v>
      </c>
      <c r="W106" s="68">
        <f>W88/IS!W22</f>
        <v>4.7961947545748812E-2</v>
      </c>
      <c r="X106" s="68">
        <f>X88/IS!X22</f>
        <v>0.11878598742912401</v>
      </c>
      <c r="Y106" s="69">
        <f>Y88/IS!Y22</f>
        <v>9.8064931777915809E-2</v>
      </c>
      <c r="Z106" s="336">
        <f>Z88/IS!Z22</f>
        <v>8.4110519861850155E-2</v>
      </c>
      <c r="AA106" s="68">
        <f>AA88/IS!AA22</f>
        <v>4.182084157989846E-2</v>
      </c>
      <c r="AB106" s="68">
        <f>AB88/IS!AB22</f>
        <v>5.3294823209095267E-2</v>
      </c>
      <c r="AC106" s="68">
        <f>AC88/IS!AC22</f>
        <v>4.5041072624238565E-2</v>
      </c>
      <c r="AD106" s="68">
        <f>AD88/IS!AD22</f>
        <v>0.21890435898583815</v>
      </c>
      <c r="AE106" s="336">
        <f>AE88/IS!AE22</f>
        <v>9.7203670237378109E-2</v>
      </c>
      <c r="AF106" s="68">
        <f>AF88/IS!AF22</f>
        <v>8.124429652692039E-2</v>
      </c>
      <c r="AG106" s="68">
        <f>AG88/IS!AG22</f>
        <v>8.7436818150630091E-2</v>
      </c>
      <c r="AH106" s="68">
        <f>AH88/IS!AH22</f>
        <v>6.6883427954052055E-2</v>
      </c>
      <c r="AI106" s="68">
        <f>AI88/IS!AI22</f>
        <v>8.9951737273248386E-2</v>
      </c>
      <c r="AJ106" s="336">
        <f>AJ88/IS!AJ22</f>
        <v>8.1446157439216141E-2</v>
      </c>
      <c r="AK106" s="68">
        <f>AK88/IS!AK22</f>
        <v>2.2472942276857293E-2</v>
      </c>
      <c r="AL106" s="68">
        <f>AL88/IS!AL22</f>
        <v>2.613917343694808E-2</v>
      </c>
      <c r="AM106" s="68">
        <f>AM88/IS!AM22</f>
        <v>9.9556710781128363E-2</v>
      </c>
      <c r="AN106" s="68">
        <f>AN88/IS!AN22</f>
        <v>0.14347642391235149</v>
      </c>
      <c r="AO106" s="336">
        <f>AO88/IS!AO22</f>
        <v>7.9398574674477945E-2</v>
      </c>
      <c r="AP106" s="68">
        <f>AP88/IS!AP22</f>
        <v>4.7555880912148213E-2</v>
      </c>
      <c r="AQ106" s="68">
        <f>AQ88/IS!AQ22</f>
        <v>6.4767536878102702E-2</v>
      </c>
      <c r="AR106" s="68">
        <f>AR88/IS!AR22</f>
        <v>0.11557044358399567</v>
      </c>
      <c r="AS106" s="68">
        <f>AS88/IS!AS22</f>
        <v>8.6402597099282955E-2</v>
      </c>
      <c r="AT106" s="336">
        <f>AT88/IS!AT22</f>
        <v>8.102006028244696E-2</v>
      </c>
      <c r="AU106" s="68">
        <f>AU88/IS!AU22</f>
        <v>7.2113885784943904E-2</v>
      </c>
      <c r="AV106" s="68">
        <f>AV88/IS!AV22</f>
        <v>7.2444750561103916E-2</v>
      </c>
      <c r="AW106" s="68">
        <f>AW88/IS!AW22</f>
        <v>6.9460852612562976E-2</v>
      </c>
      <c r="AX106" s="68">
        <f>AX88/IS!AX22</f>
        <v>7.8981221874042815E-2</v>
      </c>
      <c r="AY106" s="336">
        <f>AY88/IS!AY22</f>
        <v>7.3535369421604227E-2</v>
      </c>
      <c r="AZ106" s="68">
        <f>AZ88/IS!AZ22</f>
        <v>6.2300388902166118E-2</v>
      </c>
      <c r="BA106" s="68">
        <f>BA88/IS!BA22</f>
        <v>8.169381662452517E-2</v>
      </c>
      <c r="BB106" s="68">
        <f>BB88/IS!BB22</f>
        <v>7.0793451399961016E-2</v>
      </c>
      <c r="BC106" s="68">
        <f>BC88/IS!BC22</f>
        <v>0.12006547146790768</v>
      </c>
      <c r="BD106" s="336">
        <f>BD88/IS!BD22</f>
        <v>8.5441545774280203E-2</v>
      </c>
      <c r="BE106" s="68">
        <f>BE88/IS!BE22</f>
        <v>8.3070287013338392E-2</v>
      </c>
      <c r="BF106" s="68">
        <f>BF88/IS!BF22</f>
        <v>4.6375471056728131E-2</v>
      </c>
      <c r="BG106" s="68">
        <f>BG88/IS!BG22</f>
        <v>8.3180668711873532E-2</v>
      </c>
      <c r="BH106" s="68">
        <f>BH88/IS!BH22</f>
        <v>3.0655538513634655E-2</v>
      </c>
      <c r="BI106" s="336">
        <f>BI88/IS!BI22</f>
        <v>6.0153307313415026E-2</v>
      </c>
      <c r="BJ106" s="68">
        <f>BJ88/IS!BJ22</f>
        <v>2.744743665718323E-2</v>
      </c>
      <c r="BK106" s="68">
        <f>BK88/IS!BK22</f>
        <v>1.2301182602962686E-2</v>
      </c>
      <c r="BL106" s="68">
        <f>BL88/IS!BL22</f>
        <v>3.7479144405076568E-2</v>
      </c>
      <c r="BM106" s="68">
        <f>BM88/IS!BM22</f>
        <v>1.6202126681444214E-2</v>
      </c>
      <c r="BN106" s="336">
        <f>BN88/IS!BN22</f>
        <v>2.3375076974974245E-2</v>
      </c>
      <c r="BO106" s="68">
        <f>BO88/IS!BO22</f>
        <v>2.523548534989372E-2</v>
      </c>
      <c r="BP106" s="68">
        <f>BP88/IS!BP22</f>
        <v>3.7954891354508066E-2</v>
      </c>
      <c r="BQ106" s="68">
        <f>BQ88/IS!BQ22</f>
        <v>3.681117713427335E-2</v>
      </c>
      <c r="BR106" s="68">
        <f>BR88/IS!BR22</f>
        <v>5.6883020169357305E-2</v>
      </c>
      <c r="BS106" s="336">
        <f>BS88/IS!BS22</f>
        <v>4.0395532695509904E-2</v>
      </c>
      <c r="BT106" s="68">
        <f>BT88/IS!BT22</f>
        <v>4.0703648414989795E-2</v>
      </c>
      <c r="BU106" s="68">
        <f>BU88/IS!BU22</f>
        <v>2.2713470262758526E-2</v>
      </c>
      <c r="BV106" s="68">
        <f>BV88/IS!BV22</f>
        <v>4.6291148902466911E-2</v>
      </c>
      <c r="BW106" s="68">
        <f>BW88/IS!BW22</f>
        <v>7.4869553352843968E-2</v>
      </c>
      <c r="BX106" s="336">
        <f>BX88/IS!BX22</f>
        <v>4.7086040610629765E-2</v>
      </c>
      <c r="BY106" s="68">
        <f>BY88/IS!BY22</f>
        <v>3.5323595596222626E-2</v>
      </c>
      <c r="BZ106" s="68">
        <f>BZ88/IS!BZ22</f>
        <v>4.3627521975022558E-2</v>
      </c>
      <c r="CA106" s="68">
        <f>CA88/IS!CA22</f>
        <v>3.6974384782268541E-2</v>
      </c>
      <c r="CB106" s="68">
        <f>CB88/IS!CB22</f>
        <v>6.4545750853986839E-2</v>
      </c>
      <c r="CC106" s="336">
        <f>CC88/IS!CC22</f>
        <v>4.5527295278604468E-2</v>
      </c>
      <c r="CD106" s="68">
        <f>CD88/IS!CD22</f>
        <v>3.5722097570293626E-2</v>
      </c>
      <c r="CE106" s="68">
        <f>CE88/IS!CE22</f>
        <v>2.3285243656419468E-2</v>
      </c>
      <c r="CF106" s="68">
        <f>CF88/IS!CF22</f>
        <v>1.3807382760201464E-2</v>
      </c>
      <c r="CG106" s="68">
        <f>CG88/IS!CG22</f>
        <v>4.5544702414106963E-2</v>
      </c>
      <c r="CH106" s="336">
        <f>CH88/IS!CH22</f>
        <v>2.9585028658779086E-2</v>
      </c>
      <c r="CI106" s="68">
        <f>CI88/IS!CI22</f>
        <v>1.7751371809500534E-2</v>
      </c>
      <c r="CJ106" s="68">
        <f>CJ88/IS!CJ22</f>
        <v>1.547697463821375E-2</v>
      </c>
      <c r="CK106" s="68">
        <f>CK88/IS!CK22</f>
        <v>2.1538088398761885E-2</v>
      </c>
      <c r="CL106" s="68">
        <f>CL88/IS!CL22</f>
        <v>2.7224558115110698E-2</v>
      </c>
      <c r="CM106" s="336">
        <f>CM88/IS!CM22</f>
        <v>2.067715054185159E-2</v>
      </c>
      <c r="CN106" s="68">
        <f>CN88/IS!CN22</f>
        <v>1.99216871608161E-2</v>
      </c>
      <c r="CO106" s="68">
        <f>CO88/IS!CO22</f>
        <v>2.4504878285955073E-2</v>
      </c>
      <c r="CP106" s="68">
        <f>CP88/IS!CP22</f>
        <v>2.0426733605271415E-2</v>
      </c>
      <c r="CQ106" s="68">
        <f>CQ88/IS!CQ22</f>
        <v>2.2923433874709985E-2</v>
      </c>
      <c r="CR106" s="336">
        <f>CR88/IS!CR22</f>
        <v>2.1971649484536084E-2</v>
      </c>
      <c r="CS106" s="68">
        <f>CS88/IS!CS22</f>
        <v>1.989381636477202E-2</v>
      </c>
      <c r="CT106" s="68">
        <f>CT88/IS!CT22</f>
        <v>2.2226178818362561E-2</v>
      </c>
      <c r="CU106" s="68">
        <f>CU88/IS!CU22</f>
        <v>2.1487316112591227E-2</v>
      </c>
      <c r="CV106" s="68">
        <f>CV88/IS!CV22</f>
        <v>2.518775274407856E-2</v>
      </c>
      <c r="CW106" s="336">
        <f>CW88/IS!CW22</f>
        <v>2.2243477100340324E-2</v>
      </c>
      <c r="CX106" s="68">
        <f>CX88/IS!CX22</f>
        <v>1.8612521150592216E-2</v>
      </c>
      <c r="CY106" s="68">
        <f>CY88/IS!CY22</f>
        <v>1.6348773841961851E-2</v>
      </c>
      <c r="CZ106" s="68">
        <f>CZ88/IS!CZ22</f>
        <v>2.0711630377057887E-2</v>
      </c>
      <c r="DA106" s="68">
        <f>DA88/IS!DA22</f>
        <v>2.0898641588296761E-2</v>
      </c>
      <c r="DB106" s="336">
        <f>DB88/IS!DB22</f>
        <v>1.9176232275489535E-2</v>
      </c>
      <c r="DC106" s="59">
        <v>1.6E-2</v>
      </c>
      <c r="DD106" s="59">
        <v>1.6E-2</v>
      </c>
      <c r="DE106" s="59">
        <v>2.1499999999999998E-2</v>
      </c>
      <c r="DF106" s="59">
        <v>2.5000000000000001E-2</v>
      </c>
      <c r="DG106" s="336">
        <f>DG88/IS!DG22</f>
        <v>1.971947086916474E-2</v>
      </c>
      <c r="DH106" s="59">
        <v>1.6E-2</v>
      </c>
      <c r="DI106" s="59">
        <v>1.6E-2</v>
      </c>
      <c r="DJ106" s="59">
        <v>2.1499999999999998E-2</v>
      </c>
      <c r="DK106" s="59">
        <v>2.5000000000000001E-2</v>
      </c>
      <c r="DL106" s="336">
        <f>DL88/IS!DL22</f>
        <v>1.971853412860226E-2</v>
      </c>
      <c r="DM106" s="59">
        <v>1.6E-2</v>
      </c>
      <c r="DN106" s="59">
        <v>1.6E-2</v>
      </c>
      <c r="DO106" s="59">
        <v>2.1499999999999998E-2</v>
      </c>
      <c r="DP106" s="59">
        <v>2.5000000000000001E-2</v>
      </c>
      <c r="DQ106" s="336">
        <f>DQ88/IS!DQ22</f>
        <v>1.9717634699867721E-2</v>
      </c>
      <c r="DR106" s="136"/>
      <c r="DS106" s="145"/>
      <c r="DT106"/>
      <c r="DU106"/>
      <c r="DV106"/>
      <c r="DW106"/>
      <c r="DX106"/>
      <c r="DY106"/>
    </row>
    <row r="107" spans="1:129" s="154" customFormat="1" hidden="1" outlineLevel="1">
      <c r="A107" s="137"/>
      <c r="B107" s="136"/>
      <c r="C107" s="135"/>
      <c r="D107" s="135"/>
      <c r="E107" s="135"/>
      <c r="F107" s="135"/>
      <c r="G107" s="263"/>
      <c r="H107" s="264"/>
      <c r="I107" s="264"/>
      <c r="J107" s="265"/>
      <c r="K107" s="333"/>
      <c r="L107" s="264"/>
      <c r="M107" s="264"/>
      <c r="N107" s="264"/>
      <c r="O107" s="265"/>
      <c r="P107" s="333"/>
      <c r="Q107" s="264"/>
      <c r="R107" s="264"/>
      <c r="S107" s="264"/>
      <c r="T107" s="265"/>
      <c r="U107" s="333"/>
      <c r="V107" s="264"/>
      <c r="W107" s="264"/>
      <c r="X107" s="264"/>
      <c r="Y107" s="265"/>
      <c r="Z107" s="333"/>
      <c r="AA107" s="264"/>
      <c r="AB107" s="264"/>
      <c r="AC107" s="264"/>
      <c r="AD107" s="264"/>
      <c r="AE107" s="333"/>
      <c r="AF107" s="264"/>
      <c r="AG107" s="264"/>
      <c r="AH107" s="264"/>
      <c r="AI107" s="264"/>
      <c r="AJ107" s="333"/>
      <c r="AK107" s="264"/>
      <c r="AL107" s="264"/>
      <c r="AM107" s="264"/>
      <c r="AN107" s="264"/>
      <c r="AO107" s="333"/>
      <c r="AP107" s="264"/>
      <c r="AQ107" s="264"/>
      <c r="AR107" s="264"/>
      <c r="AS107" s="264"/>
      <c r="AT107" s="333"/>
      <c r="AU107" s="264"/>
      <c r="AV107" s="264"/>
      <c r="AW107" s="264"/>
      <c r="AX107" s="264"/>
      <c r="AY107" s="333"/>
      <c r="AZ107" s="264"/>
      <c r="BA107" s="264"/>
      <c r="BB107" s="264"/>
      <c r="BC107" s="264"/>
      <c r="BD107" s="333"/>
      <c r="BE107" s="264"/>
      <c r="BF107" s="264"/>
      <c r="BG107" s="264"/>
      <c r="BH107" s="264"/>
      <c r="BI107" s="333"/>
      <c r="BJ107" s="264"/>
      <c r="BK107" s="264"/>
      <c r="BL107" s="264"/>
      <c r="BM107" s="264"/>
      <c r="BN107" s="333"/>
      <c r="BO107" s="264"/>
      <c r="BP107" s="264"/>
      <c r="BQ107" s="264"/>
      <c r="BR107" s="264"/>
      <c r="BS107" s="333"/>
      <c r="BT107" s="264"/>
      <c r="BU107" s="264"/>
      <c r="BV107" s="264"/>
      <c r="BW107" s="264"/>
      <c r="BX107" s="333"/>
      <c r="BY107" s="264"/>
      <c r="BZ107" s="264"/>
      <c r="CA107" s="264"/>
      <c r="CB107" s="264"/>
      <c r="CC107" s="333"/>
      <c r="CD107" s="264"/>
      <c r="CE107" s="228"/>
      <c r="CF107" s="228"/>
      <c r="CG107" s="228"/>
      <c r="CH107" s="333"/>
      <c r="CI107" s="228"/>
      <c r="CJ107" s="228"/>
      <c r="CK107" s="228"/>
      <c r="CL107" s="228"/>
      <c r="CM107" s="333"/>
      <c r="CN107" s="228"/>
      <c r="CO107" s="525"/>
      <c r="CP107" s="228"/>
      <c r="CQ107" s="228"/>
      <c r="CR107" s="333"/>
      <c r="CS107" s="228"/>
      <c r="CT107" s="228"/>
      <c r="CU107" s="228"/>
      <c r="CV107" s="228"/>
      <c r="CW107" s="333"/>
      <c r="CX107" s="228"/>
      <c r="CY107" s="228"/>
      <c r="CZ107" s="228"/>
      <c r="DA107" s="228"/>
      <c r="DB107" s="333"/>
      <c r="DC107" s="228"/>
      <c r="DD107" s="228"/>
      <c r="DE107" s="228"/>
      <c r="DF107" s="228"/>
      <c r="DG107" s="333"/>
      <c r="DH107" s="228"/>
      <c r="DI107" s="228"/>
      <c r="DJ107" s="228"/>
      <c r="DK107" s="228"/>
      <c r="DL107" s="333"/>
      <c r="DM107" s="228"/>
      <c r="DN107" s="228"/>
      <c r="DO107" s="228"/>
      <c r="DP107" s="228"/>
      <c r="DQ107" s="333"/>
      <c r="DR107" s="136"/>
      <c r="DS107" s="145"/>
      <c r="DT107"/>
      <c r="DU107"/>
      <c r="DV107"/>
      <c r="DW107"/>
      <c r="DX107"/>
      <c r="DY107"/>
    </row>
    <row r="108" spans="1:129" hidden="1" outlineLevel="1">
      <c r="A108" s="1"/>
      <c r="B108" s="3" t="s">
        <v>139</v>
      </c>
      <c r="C108" s="4"/>
      <c r="D108" s="4"/>
      <c r="E108" s="4"/>
      <c r="F108" s="4"/>
      <c r="G108" s="119"/>
      <c r="H108" s="120"/>
      <c r="I108" s="120"/>
      <c r="J108" s="121"/>
      <c r="K108" s="352"/>
      <c r="L108" s="119"/>
      <c r="M108" s="120"/>
      <c r="N108" s="120"/>
      <c r="O108" s="120"/>
      <c r="P108" s="352"/>
      <c r="Q108" s="119"/>
      <c r="R108" s="120"/>
      <c r="S108" s="120"/>
      <c r="T108" s="121"/>
      <c r="U108" s="352"/>
      <c r="V108" s="120"/>
      <c r="W108" s="120"/>
      <c r="X108" s="120"/>
      <c r="Y108" s="121"/>
      <c r="Z108" s="352"/>
      <c r="AA108" s="120"/>
      <c r="AB108" s="120"/>
      <c r="AC108" s="120"/>
      <c r="AD108" s="120"/>
      <c r="AE108" s="352"/>
      <c r="AF108" s="120"/>
      <c r="AG108" s="120"/>
      <c r="AH108" s="120"/>
      <c r="AI108" s="120"/>
      <c r="AJ108" s="352"/>
      <c r="AK108" s="120"/>
      <c r="AL108" s="120"/>
      <c r="AM108" s="120"/>
      <c r="AN108" s="120"/>
      <c r="AO108" s="352"/>
      <c r="AP108" s="120"/>
      <c r="AQ108" s="120"/>
      <c r="AR108" s="120"/>
      <c r="AS108" s="120"/>
      <c r="AT108" s="352"/>
      <c r="AU108" s="120"/>
      <c r="AV108" s="120"/>
      <c r="AW108" s="120"/>
      <c r="AX108" s="120"/>
      <c r="AY108" s="352"/>
      <c r="AZ108" s="120"/>
      <c r="BA108" s="120"/>
      <c r="BB108" s="120"/>
      <c r="BC108" s="120"/>
      <c r="BD108" s="352"/>
      <c r="BE108" s="120"/>
      <c r="BF108" s="120"/>
      <c r="BG108" s="120"/>
      <c r="BH108" s="120"/>
      <c r="BI108" s="352"/>
      <c r="BJ108" s="120"/>
      <c r="BK108" s="120"/>
      <c r="BL108" s="120"/>
      <c r="BM108" s="120"/>
      <c r="BN108" s="352"/>
      <c r="BO108" s="120"/>
      <c r="BP108" s="120"/>
      <c r="BQ108" s="120"/>
      <c r="BR108" s="120"/>
      <c r="BS108" s="352"/>
      <c r="BT108" s="120"/>
      <c r="BU108" s="120"/>
      <c r="BV108" s="120"/>
      <c r="BW108" s="120"/>
      <c r="BX108" s="352"/>
      <c r="BY108" s="120"/>
      <c r="BZ108" s="120"/>
      <c r="CA108" s="120"/>
      <c r="CB108" s="120"/>
      <c r="CC108" s="352"/>
      <c r="CD108" s="120"/>
      <c r="CE108" s="120"/>
      <c r="CF108" s="120"/>
      <c r="CG108" s="120"/>
      <c r="CH108" s="352"/>
      <c r="CI108" s="120"/>
      <c r="CJ108" s="120"/>
      <c r="CK108" s="120"/>
      <c r="CL108" s="120"/>
      <c r="CM108" s="352"/>
      <c r="CN108" s="120"/>
      <c r="CO108" s="120"/>
      <c r="CP108" s="120"/>
      <c r="CQ108" s="120"/>
      <c r="CR108" s="352"/>
      <c r="CS108" s="120"/>
      <c r="CT108" s="120"/>
      <c r="CU108" s="120"/>
      <c r="CV108" s="120"/>
      <c r="CW108" s="352"/>
      <c r="CX108" s="120"/>
      <c r="CY108" s="120"/>
      <c r="CZ108" s="120"/>
      <c r="DA108" s="120"/>
      <c r="DB108" s="352"/>
      <c r="DC108" s="120"/>
      <c r="DD108" s="120"/>
      <c r="DE108" s="120"/>
      <c r="DF108" s="120"/>
      <c r="DG108" s="352"/>
      <c r="DH108" s="120"/>
      <c r="DI108" s="120"/>
      <c r="DJ108" s="120"/>
      <c r="DK108" s="120"/>
      <c r="DL108" s="352"/>
      <c r="DM108" s="120"/>
      <c r="DN108" s="120"/>
      <c r="DO108" s="120"/>
      <c r="DP108" s="120"/>
      <c r="DQ108" s="352"/>
      <c r="DR108" s="3"/>
      <c r="DS108" s="112"/>
    </row>
    <row r="109" spans="1:129" hidden="1" outlineLevel="1">
      <c r="A109" s="1"/>
      <c r="B109" s="3"/>
      <c r="C109" s="4" t="s">
        <v>46</v>
      </c>
      <c r="D109" s="4"/>
      <c r="E109" s="4"/>
      <c r="F109" s="4"/>
      <c r="G109" s="119"/>
      <c r="H109" s="120"/>
      <c r="I109" s="120"/>
      <c r="J109" s="121">
        <f t="shared" ref="J109:J115" si="302">J21/J$20</f>
        <v>0</v>
      </c>
      <c r="K109" s="337"/>
      <c r="L109" s="303">
        <f>J109</f>
        <v>0</v>
      </c>
      <c r="M109" s="304">
        <f>J109</f>
        <v>0</v>
      </c>
      <c r="N109" s="304">
        <f>J109</f>
        <v>0</v>
      </c>
      <c r="O109" s="120">
        <f t="shared" ref="O109:P115" si="303">O21/O$20</f>
        <v>0</v>
      </c>
      <c r="P109" s="337">
        <f t="shared" si="303"/>
        <v>0</v>
      </c>
      <c r="Q109" s="303">
        <f>O109</f>
        <v>0</v>
      </c>
      <c r="R109" s="304">
        <f>O109</f>
        <v>0</v>
      </c>
      <c r="S109" s="304">
        <f>O109</f>
        <v>0</v>
      </c>
      <c r="T109" s="121">
        <f t="shared" ref="T109:U115" si="304">T21/T$20</f>
        <v>5.7325313729858163E-2</v>
      </c>
      <c r="U109" s="337">
        <f t="shared" si="304"/>
        <v>5.7325313729858163E-2</v>
      </c>
      <c r="V109" s="303">
        <f>T109</f>
        <v>5.7325313729858163E-2</v>
      </c>
      <c r="W109" s="304">
        <f>T109</f>
        <v>5.7325313729858163E-2</v>
      </c>
      <c r="X109" s="304">
        <f>T109</f>
        <v>5.7325313729858163E-2</v>
      </c>
      <c r="Y109" s="121">
        <f t="shared" ref="Y109:Z115" si="305">Y21/Y$20</f>
        <v>9.5518180050554152E-2</v>
      </c>
      <c r="Z109" s="337">
        <f t="shared" si="305"/>
        <v>9.5518180050554152E-2</v>
      </c>
      <c r="AA109" s="303">
        <f>Y109</f>
        <v>9.5518180050554152E-2</v>
      </c>
      <c r="AB109" s="304">
        <f>Y109</f>
        <v>9.5518180050554152E-2</v>
      </c>
      <c r="AC109" s="304">
        <f>Y109</f>
        <v>9.5518180050554152E-2</v>
      </c>
      <c r="AD109" s="120">
        <f t="shared" ref="AD109:AE115" si="306">AD21/AD$20</f>
        <v>0.27610802997690459</v>
      </c>
      <c r="AE109" s="337">
        <f t="shared" si="306"/>
        <v>0.27610802997690459</v>
      </c>
      <c r="AF109" s="304">
        <f>AD109</f>
        <v>0.27610802997690459</v>
      </c>
      <c r="AG109" s="304">
        <f>AD109</f>
        <v>0.27610802997690459</v>
      </c>
      <c r="AH109" s="304">
        <f>AD109</f>
        <v>0.27610802997690459</v>
      </c>
      <c r="AI109" s="120">
        <f t="shared" ref="AI109:AJ115" si="307">AI21/AI$20</f>
        <v>0.19950111223894781</v>
      </c>
      <c r="AJ109" s="337">
        <f t="shared" si="307"/>
        <v>0.19950111223894781</v>
      </c>
      <c r="AK109" s="304">
        <f>AI109</f>
        <v>0.19950111223894781</v>
      </c>
      <c r="AL109" s="304">
        <f>AI109</f>
        <v>0.19950111223894781</v>
      </c>
      <c r="AM109" s="304">
        <f>AI109</f>
        <v>0.19950111223894781</v>
      </c>
      <c r="AN109" s="120">
        <f t="shared" ref="AN109:AO115" si="308">AN21/AN$20</f>
        <v>0.13004104501921948</v>
      </c>
      <c r="AO109" s="337">
        <f t="shared" si="308"/>
        <v>0.13004104501921948</v>
      </c>
      <c r="AP109" s="304">
        <f>AN109</f>
        <v>0.13004104501921948</v>
      </c>
      <c r="AQ109" s="304">
        <f>AN109</f>
        <v>0.13004104501921948</v>
      </c>
      <c r="AR109" s="304">
        <f>AN109</f>
        <v>0.13004104501921948</v>
      </c>
      <c r="AS109" s="120">
        <f t="shared" ref="AS109:AT115" si="309">AS21/AS$20</f>
        <v>9.5230448048819638E-2</v>
      </c>
      <c r="AT109" s="337">
        <f t="shared" si="309"/>
        <v>9.5230448048819638E-2</v>
      </c>
      <c r="AU109" s="304">
        <f>AS109</f>
        <v>9.5230448048819638E-2</v>
      </c>
      <c r="AV109" s="304">
        <f>AS109</f>
        <v>9.5230448048819638E-2</v>
      </c>
      <c r="AW109" s="304">
        <f>AS109</f>
        <v>9.5230448048819638E-2</v>
      </c>
      <c r="AX109" s="120">
        <f t="shared" ref="AX109:AY115" si="310">AX21/AX$20</f>
        <v>0.18026056960401401</v>
      </c>
      <c r="AY109" s="337">
        <f t="shared" si="310"/>
        <v>0.18026056960401401</v>
      </c>
      <c r="AZ109" s="304">
        <f>AX109</f>
        <v>0.18026056960401401</v>
      </c>
      <c r="BA109" s="304">
        <f>AX109</f>
        <v>0.18026056960401401</v>
      </c>
      <c r="BB109" s="304">
        <f>AX109</f>
        <v>0.18026056960401401</v>
      </c>
      <c r="BC109" s="120">
        <f t="shared" ref="BC109:BD115" si="311">BC21/BC$20</f>
        <v>0.19509125740439412</v>
      </c>
      <c r="BD109" s="337">
        <f t="shared" si="311"/>
        <v>0.19509125740439412</v>
      </c>
      <c r="BE109" s="304">
        <f>BC109</f>
        <v>0.19509125740439412</v>
      </c>
      <c r="BF109" s="304">
        <f>BC109</f>
        <v>0.19509125740439412</v>
      </c>
      <c r="BG109" s="304">
        <f>BC109</f>
        <v>0.19509125740439412</v>
      </c>
      <c r="BH109" s="120">
        <f t="shared" ref="BH109:BI115" si="312">BH21/BH$20</f>
        <v>0.24306050039575697</v>
      </c>
      <c r="BI109" s="337">
        <f t="shared" si="312"/>
        <v>0.24306050039575697</v>
      </c>
      <c r="BJ109" s="304">
        <f>BH109</f>
        <v>0.24306050039575697</v>
      </c>
      <c r="BK109" s="304">
        <f>BH109</f>
        <v>0.24306050039575697</v>
      </c>
      <c r="BL109" s="304">
        <f>BH109</f>
        <v>0.24306050039575697</v>
      </c>
      <c r="BM109" s="120">
        <f t="shared" ref="BM109:BN115" si="313">BM21/BM$20</f>
        <v>0.30475104683858717</v>
      </c>
      <c r="BN109" s="337">
        <f t="shared" si="313"/>
        <v>0.30475104683858717</v>
      </c>
      <c r="BO109" s="304">
        <f>BM109</f>
        <v>0.30475104683858717</v>
      </c>
      <c r="BP109" s="304">
        <f>BM109</f>
        <v>0.30475104683858717</v>
      </c>
      <c r="BQ109" s="304">
        <f>BM109</f>
        <v>0.30475104683858717</v>
      </c>
      <c r="BR109" s="120">
        <f t="shared" ref="BR109:BS115" si="314">BR21/BR$20</f>
        <v>0.31341828110778835</v>
      </c>
      <c r="BS109" s="337">
        <f t="shared" si="314"/>
        <v>0.31341828110778835</v>
      </c>
      <c r="BT109" s="304">
        <f>BR109</f>
        <v>0.31341828110778835</v>
      </c>
      <c r="BU109" s="304">
        <f>BR109</f>
        <v>0.31341828110778835</v>
      </c>
      <c r="BV109" s="304">
        <f>BR109</f>
        <v>0.31341828110778835</v>
      </c>
      <c r="BW109" s="120">
        <f t="shared" ref="BW109:BX115" si="315">BW21/BW$20</f>
        <v>0.26474611467277548</v>
      </c>
      <c r="BX109" s="337">
        <f t="shared" si="315"/>
        <v>0.26474611467277548</v>
      </c>
      <c r="BY109" s="304">
        <f>BW109</f>
        <v>0.26474611467277548</v>
      </c>
      <c r="BZ109" s="304">
        <f>BW109</f>
        <v>0.26474611467277548</v>
      </c>
      <c r="CA109" s="304">
        <f>BW109</f>
        <v>0.26474611467277548</v>
      </c>
      <c r="CB109" s="120">
        <f t="shared" ref="CB109:CC115" si="316">CB21/CB$20</f>
        <v>0.27395717793173785</v>
      </c>
      <c r="CC109" s="337">
        <f t="shared" si="316"/>
        <v>0.27395717793173785</v>
      </c>
      <c r="CD109" s="304">
        <f>CB109</f>
        <v>0.27395717793173785</v>
      </c>
      <c r="CE109" s="304">
        <f t="shared" ref="CE109:CL109" si="317">CD109</f>
        <v>0.27395717793173785</v>
      </c>
      <c r="CF109" s="304">
        <f t="shared" si="317"/>
        <v>0.27395717793173785</v>
      </c>
      <c r="CG109" s="120">
        <f t="shared" ref="CG109:CH115" si="318">CG21/CG$20</f>
        <v>0.24712857539572339</v>
      </c>
      <c r="CH109" s="337">
        <f t="shared" si="318"/>
        <v>0.24712857539572339</v>
      </c>
      <c r="CI109" s="304">
        <f t="shared" ref="CI109:CI115" si="319">CG109</f>
        <v>0.24712857539572339</v>
      </c>
      <c r="CJ109" s="302">
        <f t="shared" si="317"/>
        <v>0.24712857539572339</v>
      </c>
      <c r="CK109" s="302">
        <f t="shared" si="317"/>
        <v>0.24712857539572339</v>
      </c>
      <c r="CL109" s="302">
        <f t="shared" si="317"/>
        <v>0.24712857539572339</v>
      </c>
      <c r="CM109" s="337">
        <f t="shared" ref="CM109:CM115" si="320">CM21/CM$20</f>
        <v>0.28821209062514741</v>
      </c>
      <c r="CN109" s="302">
        <f t="shared" ref="CN109:CN115" si="321">CL109</f>
        <v>0.24712857539572339</v>
      </c>
      <c r="CO109" s="302">
        <f t="shared" ref="CO109:CO115" si="322">CN109</f>
        <v>0.24712857539572339</v>
      </c>
      <c r="CP109" s="302">
        <f t="shared" ref="CP109:CP115" si="323">CO109</f>
        <v>0.24712857539572339</v>
      </c>
      <c r="CQ109" s="302">
        <f t="shared" ref="CQ109:CQ115" si="324">CP109</f>
        <v>0.24712857539572339</v>
      </c>
      <c r="CR109" s="337">
        <f t="shared" ref="CR109:CR115" si="325">CR21/CR$20</f>
        <v>0.24712857539572342</v>
      </c>
      <c r="CS109" s="302">
        <f t="shared" ref="CS109:CS115" si="326">CQ109</f>
        <v>0.24712857539572339</v>
      </c>
      <c r="CT109" s="302">
        <f t="shared" ref="CT109:CU115" si="327">CS109</f>
        <v>0.24712857539572339</v>
      </c>
      <c r="CU109" s="302">
        <f t="shared" si="327"/>
        <v>0.24712857539572339</v>
      </c>
      <c r="CV109" s="302">
        <f t="shared" ref="CV109:CV115" si="328">CU109</f>
        <v>0.24712857539572339</v>
      </c>
      <c r="CW109" s="337">
        <f t="shared" ref="CW109:CW115" si="329">CW21/CW$20</f>
        <v>0.24712857539572342</v>
      </c>
      <c r="CX109" s="302">
        <f t="shared" ref="CX109:CX115" si="330">CV109</f>
        <v>0.24712857539572339</v>
      </c>
      <c r="CY109" s="302">
        <f t="shared" ref="CY109:CY115" si="331">CX109</f>
        <v>0.24712857539572339</v>
      </c>
      <c r="CZ109" s="302">
        <f t="shared" ref="CZ109:CZ115" si="332">CY109</f>
        <v>0.24712857539572339</v>
      </c>
      <c r="DA109" s="302">
        <f t="shared" ref="DA109:DA115" si="333">CZ109</f>
        <v>0.24712857539572339</v>
      </c>
      <c r="DB109" s="337">
        <f t="shared" ref="DB109:DB115" si="334">DB21/DB$20</f>
        <v>0.24712857539572339</v>
      </c>
      <c r="DC109" s="302">
        <f t="shared" ref="DC109:DC115" si="335">DA109</f>
        <v>0.24712857539572339</v>
      </c>
      <c r="DD109" s="302">
        <f t="shared" ref="DD109:DD115" si="336">DC109</f>
        <v>0.24712857539572339</v>
      </c>
      <c r="DE109" s="302">
        <f t="shared" ref="DE109:DE115" si="337">DD109</f>
        <v>0.24712857539572339</v>
      </c>
      <c r="DF109" s="302">
        <f t="shared" ref="DF109:DF115" si="338">DE109</f>
        <v>0.24712857539572339</v>
      </c>
      <c r="DG109" s="337">
        <f t="shared" ref="DG109:DG115" si="339">DG21/DG$20</f>
        <v>0.24712857539572336</v>
      </c>
      <c r="DH109" s="302">
        <f t="shared" ref="DH109:DH115" si="340">DF109</f>
        <v>0.24712857539572339</v>
      </c>
      <c r="DI109" s="302">
        <f t="shared" ref="DI109:DI115" si="341">DH109</f>
        <v>0.24712857539572339</v>
      </c>
      <c r="DJ109" s="302">
        <f t="shared" ref="DJ109:DJ115" si="342">DI109</f>
        <v>0.24712857539572339</v>
      </c>
      <c r="DK109" s="302">
        <f t="shared" ref="DK109:DK115" si="343">DJ109</f>
        <v>0.24712857539572339</v>
      </c>
      <c r="DL109" s="337">
        <f t="shared" ref="DL109:DL115" si="344">DL21/DL$20</f>
        <v>0.24712857539572339</v>
      </c>
      <c r="DM109" s="302">
        <f t="shared" ref="DM109:DM115" si="345">DK109</f>
        <v>0.24712857539572339</v>
      </c>
      <c r="DN109" s="302">
        <f t="shared" ref="DN109:DN115" si="346">DM109</f>
        <v>0.24712857539572339</v>
      </c>
      <c r="DO109" s="302">
        <f t="shared" ref="DO109:DO115" si="347">DN109</f>
        <v>0.24712857539572339</v>
      </c>
      <c r="DP109" s="302">
        <f t="shared" ref="DP109:DP115" si="348">DO109</f>
        <v>0.24712857539572339</v>
      </c>
      <c r="DQ109" s="337">
        <f t="shared" ref="DQ109:DQ115" si="349">DQ21/DQ$20</f>
        <v>0.24712857539572339</v>
      </c>
      <c r="DR109" s="3"/>
      <c r="DS109" s="112"/>
    </row>
    <row r="110" spans="1:129" hidden="1" outlineLevel="1">
      <c r="A110" s="1"/>
      <c r="B110" s="3"/>
      <c r="C110" s="4" t="s">
        <v>47</v>
      </c>
      <c r="D110" s="4"/>
      <c r="E110" s="4"/>
      <c r="F110" s="4"/>
      <c r="G110" s="119"/>
      <c r="H110" s="120"/>
      <c r="I110" s="120"/>
      <c r="J110" s="121">
        <f t="shared" si="302"/>
        <v>0.53334616495043785</v>
      </c>
      <c r="K110" s="337"/>
      <c r="L110" s="303">
        <f t="shared" ref="L110:L115" si="350">J110</f>
        <v>0.53334616495043785</v>
      </c>
      <c r="M110" s="304">
        <f t="shared" ref="M110:M115" si="351">J110</f>
        <v>0.53334616495043785</v>
      </c>
      <c r="N110" s="304">
        <f t="shared" ref="N110:N115" si="352">J110</f>
        <v>0.53334616495043785</v>
      </c>
      <c r="O110" s="120">
        <f t="shared" si="303"/>
        <v>0.51543797188631757</v>
      </c>
      <c r="P110" s="337">
        <f t="shared" si="303"/>
        <v>0.51543797188631757</v>
      </c>
      <c r="Q110" s="303">
        <f t="shared" ref="Q110:Q115" si="353">O110</f>
        <v>0.51543797188631757</v>
      </c>
      <c r="R110" s="304">
        <f t="shared" ref="R110:R115" si="354">O110</f>
        <v>0.51543797188631757</v>
      </c>
      <c r="S110" s="304">
        <f t="shared" ref="S110:S115" si="355">O110</f>
        <v>0.51543797188631757</v>
      </c>
      <c r="T110" s="121">
        <f t="shared" si="304"/>
        <v>0.67223583574663992</v>
      </c>
      <c r="U110" s="337">
        <f t="shared" si="304"/>
        <v>0.67223583574663992</v>
      </c>
      <c r="V110" s="303">
        <f t="shared" ref="V110:V115" si="356">T110</f>
        <v>0.67223583574663992</v>
      </c>
      <c r="W110" s="304">
        <f t="shared" ref="W110:W115" si="357">T110</f>
        <v>0.67223583574663992</v>
      </c>
      <c r="X110" s="304">
        <f t="shared" ref="X110:X115" si="358">T110</f>
        <v>0.67223583574663992</v>
      </c>
      <c r="Y110" s="121">
        <f t="shared" si="305"/>
        <v>0.66012055220688315</v>
      </c>
      <c r="Z110" s="337">
        <f t="shared" si="305"/>
        <v>0.66012055220688315</v>
      </c>
      <c r="AA110" s="303">
        <f t="shared" ref="AA110:AA115" si="359">Y110</f>
        <v>0.66012055220688315</v>
      </c>
      <c r="AB110" s="304">
        <f t="shared" ref="AB110:AB115" si="360">Y110</f>
        <v>0.66012055220688315</v>
      </c>
      <c r="AC110" s="304">
        <f t="shared" ref="AC110:AC115" si="361">Y110</f>
        <v>0.66012055220688315</v>
      </c>
      <c r="AD110" s="120">
        <f t="shared" si="306"/>
        <v>0.53149303209791188</v>
      </c>
      <c r="AE110" s="337">
        <f t="shared" si="306"/>
        <v>0.53149303209791188</v>
      </c>
      <c r="AF110" s="304">
        <f t="shared" ref="AF110:AF115" si="362">AD110</f>
        <v>0.53149303209791188</v>
      </c>
      <c r="AG110" s="304">
        <f t="shared" ref="AG110:AG115" si="363">AD110</f>
        <v>0.53149303209791188</v>
      </c>
      <c r="AH110" s="304">
        <f t="shared" ref="AH110:AH115" si="364">AD110</f>
        <v>0.53149303209791188</v>
      </c>
      <c r="AI110" s="120">
        <f t="shared" si="307"/>
        <v>0.53983543182947114</v>
      </c>
      <c r="AJ110" s="337">
        <f t="shared" si="307"/>
        <v>0.53983543182947114</v>
      </c>
      <c r="AK110" s="304">
        <f t="shared" ref="AK110:AK115" si="365">AI110</f>
        <v>0.53983543182947114</v>
      </c>
      <c r="AL110" s="304">
        <f t="shared" ref="AL110:AL115" si="366">AI110</f>
        <v>0.53983543182947114</v>
      </c>
      <c r="AM110" s="304">
        <f t="shared" ref="AM110:AM115" si="367">AI110</f>
        <v>0.53983543182947114</v>
      </c>
      <c r="AN110" s="120">
        <f t="shared" si="308"/>
        <v>0.36159431305694911</v>
      </c>
      <c r="AO110" s="337">
        <f t="shared" si="308"/>
        <v>0.36159431305694911</v>
      </c>
      <c r="AP110" s="304">
        <f t="shared" ref="AP110:AP115" si="368">AN110</f>
        <v>0.36159431305694911</v>
      </c>
      <c r="AQ110" s="304">
        <f t="shared" ref="AQ110:AQ115" si="369">AN110</f>
        <v>0.36159431305694911</v>
      </c>
      <c r="AR110" s="304">
        <f t="shared" ref="AR110:AR115" si="370">AN110</f>
        <v>0.36159431305694911</v>
      </c>
      <c r="AS110" s="120">
        <f t="shared" si="309"/>
        <v>0.31497085746134007</v>
      </c>
      <c r="AT110" s="337">
        <f t="shared" si="309"/>
        <v>0.31497085746134007</v>
      </c>
      <c r="AU110" s="304">
        <f t="shared" ref="AU110:AU115" si="371">AS110</f>
        <v>0.31497085746134007</v>
      </c>
      <c r="AV110" s="304">
        <f t="shared" ref="AV110:AV115" si="372">AS110</f>
        <v>0.31497085746134007</v>
      </c>
      <c r="AW110" s="304">
        <f t="shared" ref="AW110:AW115" si="373">AS110</f>
        <v>0.31497085746134007</v>
      </c>
      <c r="AX110" s="120">
        <f t="shared" si="310"/>
        <v>0.30721618787873034</v>
      </c>
      <c r="AY110" s="337">
        <f t="shared" si="310"/>
        <v>0.30721618787873034</v>
      </c>
      <c r="AZ110" s="304">
        <f t="shared" ref="AZ110:AZ115" si="374">AX110</f>
        <v>0.30721618787873034</v>
      </c>
      <c r="BA110" s="304">
        <f t="shared" ref="BA110:BA115" si="375">AX110</f>
        <v>0.30721618787873034</v>
      </c>
      <c r="BB110" s="304">
        <f t="shared" ref="BB110:BB115" si="376">AX110</f>
        <v>0.30721618787873034</v>
      </c>
      <c r="BC110" s="120">
        <f t="shared" si="311"/>
        <v>0.2632217029906137</v>
      </c>
      <c r="BD110" s="337">
        <f t="shared" si="311"/>
        <v>0.2632217029906137</v>
      </c>
      <c r="BE110" s="304">
        <f t="shared" ref="BE110:BE115" si="377">BC110</f>
        <v>0.2632217029906137</v>
      </c>
      <c r="BF110" s="304">
        <f t="shared" ref="BF110:BF115" si="378">BC110</f>
        <v>0.2632217029906137</v>
      </c>
      <c r="BG110" s="304">
        <f t="shared" ref="BG110:BG115" si="379">BC110</f>
        <v>0.2632217029906137</v>
      </c>
      <c r="BH110" s="120">
        <f t="shared" si="312"/>
        <v>0.25553677789628415</v>
      </c>
      <c r="BI110" s="337">
        <f t="shared" si="312"/>
        <v>0.25553677789628415</v>
      </c>
      <c r="BJ110" s="304">
        <f t="shared" ref="BJ110:BJ115" si="380">BH110</f>
        <v>0.25553677789628415</v>
      </c>
      <c r="BK110" s="304">
        <f t="shared" ref="BK110:BK115" si="381">BH110</f>
        <v>0.25553677789628415</v>
      </c>
      <c r="BL110" s="304">
        <f t="shared" ref="BL110:BL115" si="382">BH110</f>
        <v>0.25553677789628415</v>
      </c>
      <c r="BM110" s="120">
        <f t="shared" si="313"/>
        <v>0.25876156945109419</v>
      </c>
      <c r="BN110" s="337">
        <f t="shared" si="313"/>
        <v>0.25876156945109419</v>
      </c>
      <c r="BO110" s="304">
        <f t="shared" ref="BO110:BO115" si="383">BM110</f>
        <v>0.25876156945109419</v>
      </c>
      <c r="BP110" s="304">
        <f t="shared" ref="BP110:BP115" si="384">BM110</f>
        <v>0.25876156945109419</v>
      </c>
      <c r="BQ110" s="304">
        <f t="shared" ref="BQ110:BQ115" si="385">BM110</f>
        <v>0.25876156945109419</v>
      </c>
      <c r="BR110" s="120">
        <f t="shared" si="314"/>
        <v>0.24616326442161834</v>
      </c>
      <c r="BS110" s="337">
        <f t="shared" si="314"/>
        <v>0.24616326442161834</v>
      </c>
      <c r="BT110" s="304">
        <f t="shared" ref="BT110:BT115" si="386">BR110</f>
        <v>0.24616326442161834</v>
      </c>
      <c r="BU110" s="304">
        <f t="shared" ref="BU110:BU115" si="387">BR110</f>
        <v>0.24616326442161834</v>
      </c>
      <c r="BV110" s="304">
        <f t="shared" ref="BV110:BV115" si="388">BR110</f>
        <v>0.24616326442161834</v>
      </c>
      <c r="BW110" s="120">
        <f t="shared" si="315"/>
        <v>0.24052194406447247</v>
      </c>
      <c r="BX110" s="337">
        <f t="shared" si="315"/>
        <v>0.24052194406447247</v>
      </c>
      <c r="BY110" s="304">
        <f t="shared" ref="BY110:BY115" si="389">BW110</f>
        <v>0.24052194406447247</v>
      </c>
      <c r="BZ110" s="304">
        <f t="shared" ref="BZ110:BZ115" si="390">BW110</f>
        <v>0.24052194406447247</v>
      </c>
      <c r="CA110" s="304">
        <f t="shared" ref="CA110:CA115" si="391">BW110</f>
        <v>0.24052194406447247</v>
      </c>
      <c r="CB110" s="120">
        <f t="shared" si="316"/>
        <v>0.22788585613721288</v>
      </c>
      <c r="CC110" s="337">
        <f t="shared" si="316"/>
        <v>0.22788585613721288</v>
      </c>
      <c r="CD110" s="304">
        <f t="shared" ref="CD110:CD115" si="392">CB110</f>
        <v>0.22788585613721288</v>
      </c>
      <c r="CE110" s="304">
        <f t="shared" ref="CE110:CL110" si="393">CD110</f>
        <v>0.22788585613721288</v>
      </c>
      <c r="CF110" s="304">
        <f t="shared" si="393"/>
        <v>0.22788585613721288</v>
      </c>
      <c r="CG110" s="120">
        <f t="shared" si="318"/>
        <v>0.23689364065537349</v>
      </c>
      <c r="CH110" s="337">
        <f t="shared" si="318"/>
        <v>0.23689364065537349</v>
      </c>
      <c r="CI110" s="304">
        <f t="shared" si="319"/>
        <v>0.23689364065537349</v>
      </c>
      <c r="CJ110" s="302">
        <f t="shared" si="393"/>
        <v>0.23689364065537349</v>
      </c>
      <c r="CK110" s="302">
        <f t="shared" si="393"/>
        <v>0.23689364065537349</v>
      </c>
      <c r="CL110" s="302">
        <f t="shared" si="393"/>
        <v>0.23689364065537349</v>
      </c>
      <c r="CM110" s="337">
        <f t="shared" si="320"/>
        <v>0.25593796875096758</v>
      </c>
      <c r="CN110" s="302">
        <f t="shared" si="321"/>
        <v>0.23689364065537349</v>
      </c>
      <c r="CO110" s="302">
        <f t="shared" si="322"/>
        <v>0.23689364065537349</v>
      </c>
      <c r="CP110" s="302">
        <f t="shared" si="323"/>
        <v>0.23689364065537349</v>
      </c>
      <c r="CQ110" s="302">
        <f t="shared" si="324"/>
        <v>0.23689364065537349</v>
      </c>
      <c r="CR110" s="337">
        <f t="shared" si="325"/>
        <v>0.23689364065537352</v>
      </c>
      <c r="CS110" s="302">
        <f t="shared" si="326"/>
        <v>0.23689364065537349</v>
      </c>
      <c r="CT110" s="302">
        <f t="shared" si="327"/>
        <v>0.23689364065537349</v>
      </c>
      <c r="CU110" s="302">
        <f t="shared" si="327"/>
        <v>0.23689364065537349</v>
      </c>
      <c r="CV110" s="302">
        <f t="shared" si="328"/>
        <v>0.23689364065537349</v>
      </c>
      <c r="CW110" s="337">
        <f t="shared" si="329"/>
        <v>0.23689364065537349</v>
      </c>
      <c r="CX110" s="302">
        <f t="shared" si="330"/>
        <v>0.23689364065537349</v>
      </c>
      <c r="CY110" s="302">
        <f t="shared" si="331"/>
        <v>0.23689364065537349</v>
      </c>
      <c r="CZ110" s="302">
        <f t="shared" si="332"/>
        <v>0.23689364065537349</v>
      </c>
      <c r="DA110" s="302">
        <f t="shared" si="333"/>
        <v>0.23689364065537349</v>
      </c>
      <c r="DB110" s="337">
        <f t="shared" si="334"/>
        <v>0.23689364065537349</v>
      </c>
      <c r="DC110" s="302">
        <f t="shared" si="335"/>
        <v>0.23689364065537349</v>
      </c>
      <c r="DD110" s="302">
        <f t="shared" si="336"/>
        <v>0.23689364065537349</v>
      </c>
      <c r="DE110" s="302">
        <f t="shared" si="337"/>
        <v>0.23689364065537349</v>
      </c>
      <c r="DF110" s="302">
        <f t="shared" si="338"/>
        <v>0.23689364065537349</v>
      </c>
      <c r="DG110" s="337">
        <f t="shared" si="339"/>
        <v>0.23689364065537349</v>
      </c>
      <c r="DH110" s="302">
        <f t="shared" si="340"/>
        <v>0.23689364065537349</v>
      </c>
      <c r="DI110" s="302">
        <f t="shared" si="341"/>
        <v>0.23689364065537349</v>
      </c>
      <c r="DJ110" s="302">
        <f t="shared" si="342"/>
        <v>0.23689364065537349</v>
      </c>
      <c r="DK110" s="302">
        <f t="shared" si="343"/>
        <v>0.23689364065537349</v>
      </c>
      <c r="DL110" s="337">
        <f t="shared" si="344"/>
        <v>0.23689364065537349</v>
      </c>
      <c r="DM110" s="302">
        <f t="shared" si="345"/>
        <v>0.23689364065537349</v>
      </c>
      <c r="DN110" s="302">
        <f t="shared" si="346"/>
        <v>0.23689364065537349</v>
      </c>
      <c r="DO110" s="302">
        <f t="shared" si="347"/>
        <v>0.23689364065537349</v>
      </c>
      <c r="DP110" s="302">
        <f t="shared" si="348"/>
        <v>0.23689364065537349</v>
      </c>
      <c r="DQ110" s="337">
        <f t="shared" si="349"/>
        <v>0.23689364065537349</v>
      </c>
      <c r="DR110" s="3"/>
      <c r="DS110" s="112"/>
    </row>
    <row r="111" spans="1:129" hidden="1" outlineLevel="1">
      <c r="A111" s="1"/>
      <c r="B111" s="3"/>
      <c r="C111" s="4" t="s">
        <v>48</v>
      </c>
      <c r="D111" s="4"/>
      <c r="E111" s="4"/>
      <c r="F111" s="4"/>
      <c r="G111" s="119"/>
      <c r="H111" s="120"/>
      <c r="I111" s="120"/>
      <c r="J111" s="121">
        <f t="shared" si="302"/>
        <v>0.29294581849677603</v>
      </c>
      <c r="K111" s="337"/>
      <c r="L111" s="303">
        <f t="shared" si="350"/>
        <v>0.29294581849677603</v>
      </c>
      <c r="M111" s="304">
        <f t="shared" si="351"/>
        <v>0.29294581849677603</v>
      </c>
      <c r="N111" s="304">
        <f t="shared" si="352"/>
        <v>0.29294581849677603</v>
      </c>
      <c r="O111" s="120">
        <f t="shared" si="303"/>
        <v>0.29218586949849606</v>
      </c>
      <c r="P111" s="337">
        <f t="shared" si="303"/>
        <v>0.29218586949849606</v>
      </c>
      <c r="Q111" s="303">
        <f t="shared" si="353"/>
        <v>0.29218586949849606</v>
      </c>
      <c r="R111" s="304">
        <f t="shared" si="354"/>
        <v>0.29218586949849606</v>
      </c>
      <c r="S111" s="304">
        <f t="shared" si="355"/>
        <v>0.29218586949849606</v>
      </c>
      <c r="T111" s="121">
        <f t="shared" si="304"/>
        <v>6.5085022647954238E-2</v>
      </c>
      <c r="U111" s="337">
        <f t="shared" si="304"/>
        <v>6.5085022647954238E-2</v>
      </c>
      <c r="V111" s="303">
        <f t="shared" si="356"/>
        <v>6.5085022647954238E-2</v>
      </c>
      <c r="W111" s="304">
        <f t="shared" si="357"/>
        <v>6.5085022647954238E-2</v>
      </c>
      <c r="X111" s="304">
        <f t="shared" si="358"/>
        <v>6.5085022647954238E-2</v>
      </c>
      <c r="Y111" s="121">
        <f t="shared" si="305"/>
        <v>4.7588955862337155E-2</v>
      </c>
      <c r="Z111" s="337">
        <f t="shared" si="305"/>
        <v>4.7588955862337155E-2</v>
      </c>
      <c r="AA111" s="303">
        <f t="shared" si="359"/>
        <v>4.7588955862337155E-2</v>
      </c>
      <c r="AB111" s="304">
        <f t="shared" si="360"/>
        <v>4.7588955862337155E-2</v>
      </c>
      <c r="AC111" s="304">
        <f t="shared" si="361"/>
        <v>4.7588955862337155E-2</v>
      </c>
      <c r="AD111" s="120">
        <f t="shared" si="306"/>
        <v>3.1406620685321053E-2</v>
      </c>
      <c r="AE111" s="337">
        <f t="shared" si="306"/>
        <v>3.1406620685321053E-2</v>
      </c>
      <c r="AF111" s="304">
        <f t="shared" si="362"/>
        <v>3.1406620685321053E-2</v>
      </c>
      <c r="AG111" s="304">
        <f t="shared" si="363"/>
        <v>3.1406620685321053E-2</v>
      </c>
      <c r="AH111" s="304">
        <f t="shared" si="364"/>
        <v>3.1406620685321053E-2</v>
      </c>
      <c r="AI111" s="120">
        <f t="shared" si="307"/>
        <v>3.4641383927607287E-2</v>
      </c>
      <c r="AJ111" s="337">
        <f t="shared" si="307"/>
        <v>3.4641383927607287E-2</v>
      </c>
      <c r="AK111" s="304">
        <f t="shared" si="365"/>
        <v>3.4641383927607287E-2</v>
      </c>
      <c r="AL111" s="304">
        <f t="shared" si="366"/>
        <v>3.4641383927607287E-2</v>
      </c>
      <c r="AM111" s="304">
        <f t="shared" si="367"/>
        <v>3.4641383927607287E-2</v>
      </c>
      <c r="AN111" s="120">
        <f t="shared" si="308"/>
        <v>0.16771269934342448</v>
      </c>
      <c r="AO111" s="337">
        <f t="shared" si="308"/>
        <v>0.16771269934342448</v>
      </c>
      <c r="AP111" s="304">
        <f t="shared" si="368"/>
        <v>0.16771269934342448</v>
      </c>
      <c r="AQ111" s="304">
        <f t="shared" si="369"/>
        <v>0.16771269934342448</v>
      </c>
      <c r="AR111" s="304">
        <f t="shared" si="370"/>
        <v>0.16771269934342448</v>
      </c>
      <c r="AS111" s="120">
        <f t="shared" si="309"/>
        <v>0.13201050453905666</v>
      </c>
      <c r="AT111" s="337">
        <f t="shared" si="309"/>
        <v>0.13201050453905666</v>
      </c>
      <c r="AU111" s="304">
        <f t="shared" si="371"/>
        <v>0.13201050453905666</v>
      </c>
      <c r="AV111" s="304">
        <f t="shared" si="372"/>
        <v>0.13201050453905666</v>
      </c>
      <c r="AW111" s="304">
        <f t="shared" si="373"/>
        <v>0.13201050453905666</v>
      </c>
      <c r="AX111" s="120">
        <f t="shared" si="310"/>
        <v>0.15851475959238881</v>
      </c>
      <c r="AY111" s="337">
        <f t="shared" si="310"/>
        <v>0.15851475959238881</v>
      </c>
      <c r="AZ111" s="304">
        <f t="shared" si="374"/>
        <v>0.15851475959238881</v>
      </c>
      <c r="BA111" s="304">
        <f t="shared" si="375"/>
        <v>0.15851475959238881</v>
      </c>
      <c r="BB111" s="304">
        <f t="shared" si="376"/>
        <v>0.15851475959238881</v>
      </c>
      <c r="BC111" s="120">
        <f t="shared" si="311"/>
        <v>0.13616470418493551</v>
      </c>
      <c r="BD111" s="337">
        <f t="shared" si="311"/>
        <v>0.13616470418493551</v>
      </c>
      <c r="BE111" s="304">
        <f t="shared" si="377"/>
        <v>0.13616470418493551</v>
      </c>
      <c r="BF111" s="304">
        <f t="shared" si="378"/>
        <v>0.13616470418493551</v>
      </c>
      <c r="BG111" s="304">
        <f t="shared" si="379"/>
        <v>0.13616470418493551</v>
      </c>
      <c r="BH111" s="120">
        <f t="shared" si="312"/>
        <v>0.13994670268717474</v>
      </c>
      <c r="BI111" s="337">
        <f t="shared" si="312"/>
        <v>0.13994670268717474</v>
      </c>
      <c r="BJ111" s="304">
        <f t="shared" si="380"/>
        <v>0.13994670268717474</v>
      </c>
      <c r="BK111" s="304">
        <f t="shared" si="381"/>
        <v>0.13994670268717474</v>
      </c>
      <c r="BL111" s="304">
        <f t="shared" si="382"/>
        <v>0.13994670268717474</v>
      </c>
      <c r="BM111" s="120">
        <f t="shared" si="313"/>
        <v>0.17374743084781361</v>
      </c>
      <c r="BN111" s="337">
        <f t="shared" si="313"/>
        <v>0.17374743084781361</v>
      </c>
      <c r="BO111" s="304">
        <f t="shared" si="383"/>
        <v>0.17374743084781361</v>
      </c>
      <c r="BP111" s="304">
        <f t="shared" si="384"/>
        <v>0.17374743084781361</v>
      </c>
      <c r="BQ111" s="304">
        <f t="shared" si="385"/>
        <v>0.17374743084781361</v>
      </c>
      <c r="BR111" s="120">
        <f t="shared" si="314"/>
        <v>0.16500780132622545</v>
      </c>
      <c r="BS111" s="337">
        <f t="shared" si="314"/>
        <v>0.16500780132622545</v>
      </c>
      <c r="BT111" s="304">
        <f t="shared" si="386"/>
        <v>0.16500780132622545</v>
      </c>
      <c r="BU111" s="304">
        <f t="shared" si="387"/>
        <v>0.16500780132622545</v>
      </c>
      <c r="BV111" s="304">
        <f t="shared" si="388"/>
        <v>0.16500780132622545</v>
      </c>
      <c r="BW111" s="120">
        <f t="shared" si="315"/>
        <v>0.15408062363004102</v>
      </c>
      <c r="BX111" s="337">
        <f t="shared" si="315"/>
        <v>0.15408062363004102</v>
      </c>
      <c r="BY111" s="304">
        <f t="shared" si="389"/>
        <v>0.15408062363004102</v>
      </c>
      <c r="BZ111" s="304">
        <f t="shared" si="390"/>
        <v>0.15408062363004102</v>
      </c>
      <c r="CA111" s="304">
        <f t="shared" si="391"/>
        <v>0.15408062363004102</v>
      </c>
      <c r="CB111" s="120">
        <f t="shared" si="316"/>
        <v>0.15595122689897872</v>
      </c>
      <c r="CC111" s="337">
        <f t="shared" si="316"/>
        <v>0.15595122689897872</v>
      </c>
      <c r="CD111" s="304">
        <f t="shared" si="392"/>
        <v>0.15595122689897872</v>
      </c>
      <c r="CE111" s="304">
        <f t="shared" ref="CE111:CL111" si="394">CD111</f>
        <v>0.15595122689897872</v>
      </c>
      <c r="CF111" s="304">
        <f t="shared" si="394"/>
        <v>0.15595122689897872</v>
      </c>
      <c r="CG111" s="120">
        <f t="shared" si="318"/>
        <v>0.15207720077756179</v>
      </c>
      <c r="CH111" s="337">
        <f t="shared" si="318"/>
        <v>0.15207720077756179</v>
      </c>
      <c r="CI111" s="304">
        <f t="shared" si="319"/>
        <v>0.15207720077756179</v>
      </c>
      <c r="CJ111" s="302">
        <f t="shared" si="394"/>
        <v>0.15207720077756179</v>
      </c>
      <c r="CK111" s="302">
        <f t="shared" si="394"/>
        <v>0.15207720077756179</v>
      </c>
      <c r="CL111" s="302">
        <f t="shared" si="394"/>
        <v>0.15207720077756179</v>
      </c>
      <c r="CM111" s="337">
        <f t="shared" si="320"/>
        <v>0.15365814505491995</v>
      </c>
      <c r="CN111" s="302">
        <f t="shared" si="321"/>
        <v>0.15207720077756179</v>
      </c>
      <c r="CO111" s="302">
        <f t="shared" si="322"/>
        <v>0.15207720077756179</v>
      </c>
      <c r="CP111" s="302">
        <f t="shared" si="323"/>
        <v>0.15207720077756179</v>
      </c>
      <c r="CQ111" s="302">
        <f t="shared" si="324"/>
        <v>0.15207720077756179</v>
      </c>
      <c r="CR111" s="337">
        <f t="shared" si="325"/>
        <v>0.15207720077756179</v>
      </c>
      <c r="CS111" s="302">
        <f t="shared" si="326"/>
        <v>0.15207720077756179</v>
      </c>
      <c r="CT111" s="302">
        <f t="shared" si="327"/>
        <v>0.15207720077756179</v>
      </c>
      <c r="CU111" s="302">
        <f t="shared" si="327"/>
        <v>0.15207720077756179</v>
      </c>
      <c r="CV111" s="302">
        <f t="shared" si="328"/>
        <v>0.15207720077756179</v>
      </c>
      <c r="CW111" s="337">
        <f t="shared" si="329"/>
        <v>0.15207720077756179</v>
      </c>
      <c r="CX111" s="302">
        <f t="shared" si="330"/>
        <v>0.15207720077756179</v>
      </c>
      <c r="CY111" s="302">
        <f t="shared" si="331"/>
        <v>0.15207720077756179</v>
      </c>
      <c r="CZ111" s="302">
        <f t="shared" si="332"/>
        <v>0.15207720077756179</v>
      </c>
      <c r="DA111" s="302">
        <f t="shared" si="333"/>
        <v>0.15207720077756179</v>
      </c>
      <c r="DB111" s="337">
        <f t="shared" si="334"/>
        <v>0.15207720077756179</v>
      </c>
      <c r="DC111" s="302">
        <f t="shared" si="335"/>
        <v>0.15207720077756179</v>
      </c>
      <c r="DD111" s="302">
        <f t="shared" si="336"/>
        <v>0.15207720077756179</v>
      </c>
      <c r="DE111" s="302">
        <f t="shared" si="337"/>
        <v>0.15207720077756179</v>
      </c>
      <c r="DF111" s="302">
        <f t="shared" si="338"/>
        <v>0.15207720077756179</v>
      </c>
      <c r="DG111" s="337">
        <f t="shared" si="339"/>
        <v>0.15207720077756179</v>
      </c>
      <c r="DH111" s="302">
        <f t="shared" si="340"/>
        <v>0.15207720077756179</v>
      </c>
      <c r="DI111" s="302">
        <f t="shared" si="341"/>
        <v>0.15207720077756179</v>
      </c>
      <c r="DJ111" s="302">
        <f t="shared" si="342"/>
        <v>0.15207720077756179</v>
      </c>
      <c r="DK111" s="302">
        <f t="shared" si="343"/>
        <v>0.15207720077756179</v>
      </c>
      <c r="DL111" s="337">
        <f t="shared" si="344"/>
        <v>0.15207720077756179</v>
      </c>
      <c r="DM111" s="302">
        <f t="shared" si="345"/>
        <v>0.15207720077756179</v>
      </c>
      <c r="DN111" s="302">
        <f t="shared" si="346"/>
        <v>0.15207720077756179</v>
      </c>
      <c r="DO111" s="302">
        <f t="shared" si="347"/>
        <v>0.15207720077756179</v>
      </c>
      <c r="DP111" s="302">
        <f t="shared" si="348"/>
        <v>0.15207720077756179</v>
      </c>
      <c r="DQ111" s="337">
        <f t="shared" si="349"/>
        <v>0.15207720077756179</v>
      </c>
      <c r="DR111" s="3"/>
      <c r="DS111" s="112"/>
    </row>
    <row r="112" spans="1:129" hidden="1" outlineLevel="1">
      <c r="A112" s="1"/>
      <c r="B112" s="3"/>
      <c r="C112" s="33" t="s">
        <v>49</v>
      </c>
      <c r="D112" s="4"/>
      <c r="E112" s="4"/>
      <c r="F112" s="4"/>
      <c r="G112" s="119"/>
      <c r="H112" s="120"/>
      <c r="I112" s="120"/>
      <c r="J112" s="121">
        <f t="shared" si="302"/>
        <v>0</v>
      </c>
      <c r="K112" s="337"/>
      <c r="L112" s="303">
        <f t="shared" si="350"/>
        <v>0</v>
      </c>
      <c r="M112" s="304">
        <f t="shared" si="351"/>
        <v>0</v>
      </c>
      <c r="N112" s="304">
        <f t="shared" si="352"/>
        <v>0</v>
      </c>
      <c r="O112" s="120">
        <f t="shared" si="303"/>
        <v>0</v>
      </c>
      <c r="P112" s="337">
        <f t="shared" si="303"/>
        <v>0</v>
      </c>
      <c r="Q112" s="303">
        <f t="shared" si="353"/>
        <v>0</v>
      </c>
      <c r="R112" s="304">
        <f t="shared" si="354"/>
        <v>0</v>
      </c>
      <c r="S112" s="304">
        <f t="shared" si="355"/>
        <v>0</v>
      </c>
      <c r="T112" s="121">
        <f t="shared" si="304"/>
        <v>5.8661914309051752E-2</v>
      </c>
      <c r="U112" s="337">
        <f t="shared" si="304"/>
        <v>5.8661914309051752E-2</v>
      </c>
      <c r="V112" s="303">
        <f t="shared" si="356"/>
        <v>5.8661914309051752E-2</v>
      </c>
      <c r="W112" s="304">
        <f t="shared" si="357"/>
        <v>5.8661914309051752E-2</v>
      </c>
      <c r="X112" s="304">
        <f t="shared" si="358"/>
        <v>5.8661914309051752E-2</v>
      </c>
      <c r="Y112" s="121">
        <f t="shared" si="305"/>
        <v>4.0783589344740426E-2</v>
      </c>
      <c r="Z112" s="337">
        <f t="shared" si="305"/>
        <v>4.0783589344740426E-2</v>
      </c>
      <c r="AA112" s="303">
        <f t="shared" si="359"/>
        <v>4.0783589344740426E-2</v>
      </c>
      <c r="AB112" s="304">
        <f t="shared" si="360"/>
        <v>4.0783589344740426E-2</v>
      </c>
      <c r="AC112" s="304">
        <f t="shared" si="361"/>
        <v>4.0783589344740426E-2</v>
      </c>
      <c r="AD112" s="120">
        <f t="shared" si="306"/>
        <v>2.6787537903187792E-2</v>
      </c>
      <c r="AE112" s="337">
        <f t="shared" si="306"/>
        <v>2.6787537903187792E-2</v>
      </c>
      <c r="AF112" s="304">
        <f t="shared" si="362"/>
        <v>2.6787537903187792E-2</v>
      </c>
      <c r="AG112" s="304">
        <f t="shared" si="363"/>
        <v>2.6787537903187792E-2</v>
      </c>
      <c r="AH112" s="304">
        <f t="shared" si="364"/>
        <v>2.6787537903187792E-2</v>
      </c>
      <c r="AI112" s="120">
        <f t="shared" si="307"/>
        <v>1.8821674621514808E-2</v>
      </c>
      <c r="AJ112" s="337">
        <f t="shared" si="307"/>
        <v>1.8821674621514808E-2</v>
      </c>
      <c r="AK112" s="304">
        <f t="shared" si="365"/>
        <v>1.8821674621514808E-2</v>
      </c>
      <c r="AL112" s="304">
        <f t="shared" si="366"/>
        <v>1.8821674621514808E-2</v>
      </c>
      <c r="AM112" s="304">
        <f t="shared" si="367"/>
        <v>1.8821674621514808E-2</v>
      </c>
      <c r="AN112" s="120">
        <f t="shared" si="308"/>
        <v>7.4358807305579089E-2</v>
      </c>
      <c r="AO112" s="337">
        <f t="shared" si="308"/>
        <v>7.4358807305579089E-2</v>
      </c>
      <c r="AP112" s="304">
        <f t="shared" si="368"/>
        <v>7.4358807305579089E-2</v>
      </c>
      <c r="AQ112" s="304">
        <f t="shared" si="369"/>
        <v>7.4358807305579089E-2</v>
      </c>
      <c r="AR112" s="304">
        <f t="shared" si="370"/>
        <v>7.4358807305579089E-2</v>
      </c>
      <c r="AS112" s="120">
        <f t="shared" si="309"/>
        <v>5.0973464703048386E-2</v>
      </c>
      <c r="AT112" s="337">
        <f t="shared" si="309"/>
        <v>5.0973464703048386E-2</v>
      </c>
      <c r="AU112" s="304">
        <f t="shared" si="371"/>
        <v>5.0973464703048386E-2</v>
      </c>
      <c r="AV112" s="304">
        <f t="shared" si="372"/>
        <v>5.0973464703048386E-2</v>
      </c>
      <c r="AW112" s="304">
        <f t="shared" si="373"/>
        <v>5.0973464703048386E-2</v>
      </c>
      <c r="AX112" s="120">
        <f t="shared" si="310"/>
        <v>2.8521379948240853E-2</v>
      </c>
      <c r="AY112" s="337">
        <f t="shared" si="310"/>
        <v>2.8521379948240853E-2</v>
      </c>
      <c r="AZ112" s="304">
        <f t="shared" si="374"/>
        <v>2.8521379948240853E-2</v>
      </c>
      <c r="BA112" s="304">
        <f t="shared" si="375"/>
        <v>2.8521379948240853E-2</v>
      </c>
      <c r="BB112" s="304">
        <f t="shared" si="376"/>
        <v>2.8521379948240853E-2</v>
      </c>
      <c r="BC112" s="120">
        <f t="shared" si="311"/>
        <v>2.5782120442139518E-2</v>
      </c>
      <c r="BD112" s="337">
        <f t="shared" si="311"/>
        <v>2.5782120442139518E-2</v>
      </c>
      <c r="BE112" s="304">
        <f t="shared" si="377"/>
        <v>2.5782120442139518E-2</v>
      </c>
      <c r="BF112" s="304">
        <f t="shared" si="378"/>
        <v>2.5782120442139518E-2</v>
      </c>
      <c r="BG112" s="304">
        <f t="shared" si="379"/>
        <v>2.5782120442139518E-2</v>
      </c>
      <c r="BH112" s="120">
        <f t="shared" si="312"/>
        <v>1.9659496181479795E-2</v>
      </c>
      <c r="BI112" s="337">
        <f t="shared" si="312"/>
        <v>1.9659496181479795E-2</v>
      </c>
      <c r="BJ112" s="304">
        <f t="shared" si="380"/>
        <v>1.9659496181479795E-2</v>
      </c>
      <c r="BK112" s="304">
        <f t="shared" si="381"/>
        <v>1.9659496181479795E-2</v>
      </c>
      <c r="BL112" s="304">
        <f t="shared" si="382"/>
        <v>1.9659496181479795E-2</v>
      </c>
      <c r="BM112" s="120">
        <f t="shared" si="313"/>
        <v>2.1217163126945878E-2</v>
      </c>
      <c r="BN112" s="337">
        <f t="shared" si="313"/>
        <v>2.1217163126945878E-2</v>
      </c>
      <c r="BO112" s="304">
        <f t="shared" si="383"/>
        <v>2.1217163126945878E-2</v>
      </c>
      <c r="BP112" s="304">
        <f t="shared" si="384"/>
        <v>2.1217163126945878E-2</v>
      </c>
      <c r="BQ112" s="304">
        <f t="shared" si="385"/>
        <v>2.1217163126945878E-2</v>
      </c>
      <c r="BR112" s="120">
        <f t="shared" si="314"/>
        <v>1.7381788237333683E-2</v>
      </c>
      <c r="BS112" s="337">
        <f t="shared" si="314"/>
        <v>1.7381788237333683E-2</v>
      </c>
      <c r="BT112" s="304">
        <f t="shared" si="386"/>
        <v>1.7381788237333683E-2</v>
      </c>
      <c r="BU112" s="304">
        <f t="shared" si="387"/>
        <v>1.7381788237333683E-2</v>
      </c>
      <c r="BV112" s="304">
        <f t="shared" si="388"/>
        <v>1.7381788237333683E-2</v>
      </c>
      <c r="BW112" s="120">
        <f t="shared" si="315"/>
        <v>1.3219176953376072E-2</v>
      </c>
      <c r="BX112" s="337">
        <f t="shared" si="315"/>
        <v>1.3219176953376072E-2</v>
      </c>
      <c r="BY112" s="304">
        <f t="shared" si="389"/>
        <v>1.3219176953376072E-2</v>
      </c>
      <c r="BZ112" s="304">
        <f t="shared" si="390"/>
        <v>1.3219176953376072E-2</v>
      </c>
      <c r="CA112" s="304">
        <f t="shared" si="391"/>
        <v>1.3219176953376072E-2</v>
      </c>
      <c r="CB112" s="120">
        <f t="shared" si="316"/>
        <v>1.319891954716239E-2</v>
      </c>
      <c r="CC112" s="337">
        <f t="shared" si="316"/>
        <v>1.319891954716239E-2</v>
      </c>
      <c r="CD112" s="304">
        <f t="shared" si="392"/>
        <v>1.319891954716239E-2</v>
      </c>
      <c r="CE112" s="304">
        <f t="shared" ref="CE112:CL112" si="395">CD112</f>
        <v>1.319891954716239E-2</v>
      </c>
      <c r="CF112" s="304">
        <f t="shared" si="395"/>
        <v>1.319891954716239E-2</v>
      </c>
      <c r="CG112" s="120">
        <f t="shared" si="318"/>
        <v>1.2576506525965009E-2</v>
      </c>
      <c r="CH112" s="337">
        <f t="shared" si="318"/>
        <v>1.2576506525965009E-2</v>
      </c>
      <c r="CI112" s="304">
        <f t="shared" si="319"/>
        <v>1.2576506525965009E-2</v>
      </c>
      <c r="CJ112" s="302">
        <f t="shared" si="395"/>
        <v>1.2576506525965009E-2</v>
      </c>
      <c r="CK112" s="302">
        <f t="shared" si="395"/>
        <v>1.2576506525965009E-2</v>
      </c>
      <c r="CL112" s="302">
        <f t="shared" si="395"/>
        <v>1.2576506525965009E-2</v>
      </c>
      <c r="CM112" s="337">
        <f t="shared" si="320"/>
        <v>1.0786303623681662E-2</v>
      </c>
      <c r="CN112" s="302">
        <f t="shared" si="321"/>
        <v>1.2576506525965009E-2</v>
      </c>
      <c r="CO112" s="302">
        <f t="shared" si="322"/>
        <v>1.2576506525965009E-2</v>
      </c>
      <c r="CP112" s="302">
        <f t="shared" si="323"/>
        <v>1.2576506525965009E-2</v>
      </c>
      <c r="CQ112" s="302">
        <f t="shared" si="324"/>
        <v>1.2576506525965009E-2</v>
      </c>
      <c r="CR112" s="337">
        <f t="shared" si="325"/>
        <v>1.2576506525965009E-2</v>
      </c>
      <c r="CS112" s="302">
        <f t="shared" si="326"/>
        <v>1.2576506525965009E-2</v>
      </c>
      <c r="CT112" s="302">
        <f t="shared" si="327"/>
        <v>1.2576506525965009E-2</v>
      </c>
      <c r="CU112" s="302">
        <f t="shared" si="327"/>
        <v>1.2576506525965009E-2</v>
      </c>
      <c r="CV112" s="302">
        <f t="shared" si="328"/>
        <v>1.2576506525965009E-2</v>
      </c>
      <c r="CW112" s="337">
        <f t="shared" si="329"/>
        <v>1.2576506525965009E-2</v>
      </c>
      <c r="CX112" s="302">
        <f t="shared" si="330"/>
        <v>1.2576506525965009E-2</v>
      </c>
      <c r="CY112" s="302">
        <f t="shared" si="331"/>
        <v>1.2576506525965009E-2</v>
      </c>
      <c r="CZ112" s="302">
        <f t="shared" si="332"/>
        <v>1.2576506525965009E-2</v>
      </c>
      <c r="DA112" s="302">
        <f t="shared" si="333"/>
        <v>1.2576506525965009E-2</v>
      </c>
      <c r="DB112" s="337">
        <f t="shared" si="334"/>
        <v>1.2576506525965009E-2</v>
      </c>
      <c r="DC112" s="302">
        <f t="shared" si="335"/>
        <v>1.2576506525965009E-2</v>
      </c>
      <c r="DD112" s="302">
        <f t="shared" si="336"/>
        <v>1.2576506525965009E-2</v>
      </c>
      <c r="DE112" s="302">
        <f t="shared" si="337"/>
        <v>1.2576506525965009E-2</v>
      </c>
      <c r="DF112" s="302">
        <f t="shared" si="338"/>
        <v>1.2576506525965009E-2</v>
      </c>
      <c r="DG112" s="337">
        <f t="shared" si="339"/>
        <v>1.2576506525965009E-2</v>
      </c>
      <c r="DH112" s="302">
        <f t="shared" si="340"/>
        <v>1.2576506525965009E-2</v>
      </c>
      <c r="DI112" s="302">
        <f t="shared" si="341"/>
        <v>1.2576506525965009E-2</v>
      </c>
      <c r="DJ112" s="302">
        <f t="shared" si="342"/>
        <v>1.2576506525965009E-2</v>
      </c>
      <c r="DK112" s="302">
        <f t="shared" si="343"/>
        <v>1.2576506525965009E-2</v>
      </c>
      <c r="DL112" s="337">
        <f t="shared" si="344"/>
        <v>1.2576506525965009E-2</v>
      </c>
      <c r="DM112" s="302">
        <f t="shared" si="345"/>
        <v>1.2576506525965009E-2</v>
      </c>
      <c r="DN112" s="302">
        <f t="shared" si="346"/>
        <v>1.2576506525965009E-2</v>
      </c>
      <c r="DO112" s="302">
        <f t="shared" si="347"/>
        <v>1.2576506525965009E-2</v>
      </c>
      <c r="DP112" s="302">
        <f t="shared" si="348"/>
        <v>1.2576506525965009E-2</v>
      </c>
      <c r="DQ112" s="337">
        <f t="shared" si="349"/>
        <v>1.2576506525965011E-2</v>
      </c>
      <c r="DR112" s="3"/>
      <c r="DS112" s="112"/>
    </row>
    <row r="113" spans="1:129" hidden="1" outlineLevel="1">
      <c r="A113" s="1"/>
      <c r="B113" s="3"/>
      <c r="C113" s="4" t="s">
        <v>50</v>
      </c>
      <c r="D113" s="4"/>
      <c r="E113" s="4"/>
      <c r="F113" s="4"/>
      <c r="G113" s="119"/>
      <c r="H113" s="120"/>
      <c r="I113" s="120"/>
      <c r="J113" s="121">
        <f t="shared" si="302"/>
        <v>0</v>
      </c>
      <c r="K113" s="337"/>
      <c r="L113" s="303">
        <f t="shared" si="350"/>
        <v>0</v>
      </c>
      <c r="M113" s="304">
        <f t="shared" si="351"/>
        <v>0</v>
      </c>
      <c r="N113" s="304">
        <f t="shared" si="352"/>
        <v>0</v>
      </c>
      <c r="O113" s="120">
        <f t="shared" si="303"/>
        <v>0</v>
      </c>
      <c r="P113" s="337">
        <f t="shared" si="303"/>
        <v>0</v>
      </c>
      <c r="Q113" s="303">
        <f t="shared" si="353"/>
        <v>0</v>
      </c>
      <c r="R113" s="304">
        <f t="shared" si="354"/>
        <v>0</v>
      </c>
      <c r="S113" s="304">
        <f t="shared" si="355"/>
        <v>0</v>
      </c>
      <c r="T113" s="121">
        <f t="shared" si="304"/>
        <v>0</v>
      </c>
      <c r="U113" s="337">
        <f t="shared" si="304"/>
        <v>0</v>
      </c>
      <c r="V113" s="303">
        <f t="shared" si="356"/>
        <v>0</v>
      </c>
      <c r="W113" s="304">
        <f t="shared" si="357"/>
        <v>0</v>
      </c>
      <c r="X113" s="304">
        <f t="shared" si="358"/>
        <v>0</v>
      </c>
      <c r="Y113" s="121">
        <f t="shared" si="305"/>
        <v>0</v>
      </c>
      <c r="Z113" s="337">
        <f t="shared" si="305"/>
        <v>0</v>
      </c>
      <c r="AA113" s="303">
        <f t="shared" si="359"/>
        <v>0</v>
      </c>
      <c r="AB113" s="304">
        <f t="shared" si="360"/>
        <v>0</v>
      </c>
      <c r="AC113" s="304">
        <f t="shared" si="361"/>
        <v>0</v>
      </c>
      <c r="AD113" s="120">
        <f t="shared" si="306"/>
        <v>0</v>
      </c>
      <c r="AE113" s="337">
        <f t="shared" si="306"/>
        <v>0</v>
      </c>
      <c r="AF113" s="304">
        <f t="shared" si="362"/>
        <v>0</v>
      </c>
      <c r="AG113" s="304">
        <f t="shared" si="363"/>
        <v>0</v>
      </c>
      <c r="AH113" s="304">
        <f t="shared" si="364"/>
        <v>0</v>
      </c>
      <c r="AI113" s="120">
        <f t="shared" si="307"/>
        <v>0</v>
      </c>
      <c r="AJ113" s="337">
        <f t="shared" si="307"/>
        <v>0</v>
      </c>
      <c r="AK113" s="304">
        <f t="shared" si="365"/>
        <v>0</v>
      </c>
      <c r="AL113" s="304">
        <f t="shared" si="366"/>
        <v>0</v>
      </c>
      <c r="AM113" s="304">
        <f t="shared" si="367"/>
        <v>0</v>
      </c>
      <c r="AN113" s="120">
        <f t="shared" si="308"/>
        <v>0</v>
      </c>
      <c r="AO113" s="337">
        <f t="shared" si="308"/>
        <v>0</v>
      </c>
      <c r="AP113" s="304">
        <f t="shared" si="368"/>
        <v>0</v>
      </c>
      <c r="AQ113" s="304">
        <f t="shared" si="369"/>
        <v>0</v>
      </c>
      <c r="AR113" s="304">
        <f t="shared" si="370"/>
        <v>0</v>
      </c>
      <c r="AS113" s="120">
        <f t="shared" si="309"/>
        <v>0</v>
      </c>
      <c r="AT113" s="337">
        <f t="shared" si="309"/>
        <v>0</v>
      </c>
      <c r="AU113" s="304">
        <f t="shared" si="371"/>
        <v>0</v>
      </c>
      <c r="AV113" s="304">
        <f t="shared" si="372"/>
        <v>0</v>
      </c>
      <c r="AW113" s="304">
        <f t="shared" si="373"/>
        <v>0</v>
      </c>
      <c r="AX113" s="120">
        <f t="shared" si="310"/>
        <v>5.9551526324625502E-3</v>
      </c>
      <c r="AY113" s="337">
        <f t="shared" si="310"/>
        <v>5.9551526324625502E-3</v>
      </c>
      <c r="AZ113" s="304">
        <f t="shared" si="374"/>
        <v>5.9551526324625502E-3</v>
      </c>
      <c r="BA113" s="304">
        <f t="shared" si="375"/>
        <v>5.9551526324625502E-3</v>
      </c>
      <c r="BB113" s="304">
        <f t="shared" si="376"/>
        <v>5.9551526324625502E-3</v>
      </c>
      <c r="BC113" s="120">
        <f t="shared" si="311"/>
        <v>3.3925952050786724E-2</v>
      </c>
      <c r="BD113" s="337">
        <f t="shared" si="311"/>
        <v>3.3925952050786724E-2</v>
      </c>
      <c r="BE113" s="304">
        <f t="shared" si="377"/>
        <v>3.3925952050786724E-2</v>
      </c>
      <c r="BF113" s="304">
        <f t="shared" si="378"/>
        <v>3.3925952050786724E-2</v>
      </c>
      <c r="BG113" s="304">
        <f t="shared" si="379"/>
        <v>3.3925952050786724E-2</v>
      </c>
      <c r="BH113" s="120">
        <f t="shared" si="312"/>
        <v>2.5869366574883642E-2</v>
      </c>
      <c r="BI113" s="337">
        <f t="shared" si="312"/>
        <v>2.5869366574883642E-2</v>
      </c>
      <c r="BJ113" s="304">
        <f t="shared" si="380"/>
        <v>2.5869366574883642E-2</v>
      </c>
      <c r="BK113" s="304">
        <f t="shared" si="381"/>
        <v>2.5869366574883642E-2</v>
      </c>
      <c r="BL113" s="304">
        <f t="shared" si="382"/>
        <v>2.5869366574883642E-2</v>
      </c>
      <c r="BM113" s="120">
        <f t="shared" si="313"/>
        <v>2.2391632697867703E-2</v>
      </c>
      <c r="BN113" s="337">
        <f t="shared" si="313"/>
        <v>2.2391632697867703E-2</v>
      </c>
      <c r="BO113" s="304">
        <f t="shared" si="383"/>
        <v>2.2391632697867703E-2</v>
      </c>
      <c r="BP113" s="304">
        <f t="shared" si="384"/>
        <v>2.2391632697867703E-2</v>
      </c>
      <c r="BQ113" s="304">
        <f t="shared" si="385"/>
        <v>2.2391632697867703E-2</v>
      </c>
      <c r="BR113" s="120">
        <f t="shared" si="314"/>
        <v>3.6463615481298485E-2</v>
      </c>
      <c r="BS113" s="337">
        <f t="shared" si="314"/>
        <v>3.6463615481298485E-2</v>
      </c>
      <c r="BT113" s="304">
        <f t="shared" si="386"/>
        <v>3.6463615481298485E-2</v>
      </c>
      <c r="BU113" s="304">
        <f t="shared" si="387"/>
        <v>3.6463615481298485E-2</v>
      </c>
      <c r="BV113" s="304">
        <f t="shared" si="388"/>
        <v>3.6463615481298485E-2</v>
      </c>
      <c r="BW113" s="120">
        <f t="shared" si="315"/>
        <v>3.2290653789739103E-2</v>
      </c>
      <c r="BX113" s="337">
        <f t="shared" si="315"/>
        <v>3.2290653789739103E-2</v>
      </c>
      <c r="BY113" s="304">
        <f t="shared" si="389"/>
        <v>3.2290653789739103E-2</v>
      </c>
      <c r="BZ113" s="304">
        <f t="shared" si="390"/>
        <v>3.2290653789739103E-2</v>
      </c>
      <c r="CA113" s="304">
        <f t="shared" si="391"/>
        <v>3.2290653789739103E-2</v>
      </c>
      <c r="CB113" s="120">
        <f t="shared" si="316"/>
        <v>3.9025987556931506E-2</v>
      </c>
      <c r="CC113" s="337">
        <f t="shared" si="316"/>
        <v>3.9025987556931506E-2</v>
      </c>
      <c r="CD113" s="304">
        <f t="shared" si="392"/>
        <v>3.9025987556931506E-2</v>
      </c>
      <c r="CE113" s="304">
        <f t="shared" ref="CE113:CL113" si="396">CD113</f>
        <v>3.9025987556931506E-2</v>
      </c>
      <c r="CF113" s="304">
        <f t="shared" si="396"/>
        <v>3.9025987556931506E-2</v>
      </c>
      <c r="CG113" s="120">
        <f t="shared" si="318"/>
        <v>3.3494029436267704E-2</v>
      </c>
      <c r="CH113" s="337">
        <f t="shared" si="318"/>
        <v>3.3494029436267704E-2</v>
      </c>
      <c r="CI113" s="304">
        <f t="shared" si="319"/>
        <v>3.3494029436267704E-2</v>
      </c>
      <c r="CJ113" s="302">
        <f t="shared" si="396"/>
        <v>3.3494029436267704E-2</v>
      </c>
      <c r="CK113" s="302">
        <f t="shared" si="396"/>
        <v>3.3494029436267704E-2</v>
      </c>
      <c r="CL113" s="302">
        <f t="shared" si="396"/>
        <v>3.3494029436267704E-2</v>
      </c>
      <c r="CM113" s="337">
        <f t="shared" si="320"/>
        <v>2.8633434778445876E-2</v>
      </c>
      <c r="CN113" s="302">
        <f t="shared" si="321"/>
        <v>3.3494029436267704E-2</v>
      </c>
      <c r="CO113" s="302">
        <f t="shared" si="322"/>
        <v>3.3494029436267704E-2</v>
      </c>
      <c r="CP113" s="302">
        <f t="shared" si="323"/>
        <v>3.3494029436267704E-2</v>
      </c>
      <c r="CQ113" s="302">
        <f t="shared" si="324"/>
        <v>3.3494029436267704E-2</v>
      </c>
      <c r="CR113" s="337">
        <f t="shared" si="325"/>
        <v>3.3494029436267704E-2</v>
      </c>
      <c r="CS113" s="302">
        <f t="shared" si="326"/>
        <v>3.3494029436267704E-2</v>
      </c>
      <c r="CT113" s="302">
        <f t="shared" si="327"/>
        <v>3.3494029436267704E-2</v>
      </c>
      <c r="CU113" s="302">
        <f t="shared" si="327"/>
        <v>3.3494029436267704E-2</v>
      </c>
      <c r="CV113" s="302">
        <f t="shared" si="328"/>
        <v>3.3494029436267704E-2</v>
      </c>
      <c r="CW113" s="337">
        <f t="shared" si="329"/>
        <v>3.3494029436267704E-2</v>
      </c>
      <c r="CX113" s="302">
        <f t="shared" si="330"/>
        <v>3.3494029436267704E-2</v>
      </c>
      <c r="CY113" s="302">
        <f t="shared" si="331"/>
        <v>3.3494029436267704E-2</v>
      </c>
      <c r="CZ113" s="302">
        <f t="shared" si="332"/>
        <v>3.3494029436267704E-2</v>
      </c>
      <c r="DA113" s="302">
        <f t="shared" si="333"/>
        <v>3.3494029436267704E-2</v>
      </c>
      <c r="DB113" s="337">
        <f t="shared" si="334"/>
        <v>3.3494029436267704E-2</v>
      </c>
      <c r="DC113" s="302">
        <f t="shared" si="335"/>
        <v>3.3494029436267704E-2</v>
      </c>
      <c r="DD113" s="302">
        <f t="shared" si="336"/>
        <v>3.3494029436267704E-2</v>
      </c>
      <c r="DE113" s="302">
        <f t="shared" si="337"/>
        <v>3.3494029436267704E-2</v>
      </c>
      <c r="DF113" s="302">
        <f t="shared" si="338"/>
        <v>3.3494029436267704E-2</v>
      </c>
      <c r="DG113" s="337">
        <f t="shared" si="339"/>
        <v>3.3494029436267704E-2</v>
      </c>
      <c r="DH113" s="302">
        <f t="shared" si="340"/>
        <v>3.3494029436267704E-2</v>
      </c>
      <c r="DI113" s="302">
        <f t="shared" si="341"/>
        <v>3.3494029436267704E-2</v>
      </c>
      <c r="DJ113" s="302">
        <f t="shared" si="342"/>
        <v>3.3494029436267704E-2</v>
      </c>
      <c r="DK113" s="302">
        <f t="shared" si="343"/>
        <v>3.3494029436267704E-2</v>
      </c>
      <c r="DL113" s="337">
        <f t="shared" si="344"/>
        <v>3.3494029436267704E-2</v>
      </c>
      <c r="DM113" s="302">
        <f t="shared" si="345"/>
        <v>3.3494029436267704E-2</v>
      </c>
      <c r="DN113" s="302">
        <f t="shared" si="346"/>
        <v>3.3494029436267704E-2</v>
      </c>
      <c r="DO113" s="302">
        <f t="shared" si="347"/>
        <v>3.3494029436267704E-2</v>
      </c>
      <c r="DP113" s="302">
        <f t="shared" si="348"/>
        <v>3.3494029436267704E-2</v>
      </c>
      <c r="DQ113" s="337">
        <f t="shared" si="349"/>
        <v>3.3494029436267704E-2</v>
      </c>
      <c r="DR113" s="3"/>
      <c r="DS113" s="112"/>
    </row>
    <row r="114" spans="1:129" hidden="1" outlineLevel="1">
      <c r="A114" s="1"/>
      <c r="B114" s="3"/>
      <c r="C114" s="4" t="s">
        <v>51</v>
      </c>
      <c r="D114" s="4"/>
      <c r="E114" s="4"/>
      <c r="F114" s="4"/>
      <c r="G114" s="119"/>
      <c r="H114" s="120"/>
      <c r="I114" s="120"/>
      <c r="J114" s="121">
        <f t="shared" si="302"/>
        <v>0</v>
      </c>
      <c r="K114" s="337"/>
      <c r="L114" s="303">
        <f t="shared" si="350"/>
        <v>0</v>
      </c>
      <c r="M114" s="304">
        <f t="shared" si="351"/>
        <v>0</v>
      </c>
      <c r="N114" s="304">
        <f t="shared" si="352"/>
        <v>0</v>
      </c>
      <c r="O114" s="120">
        <f t="shared" si="303"/>
        <v>0</v>
      </c>
      <c r="P114" s="337">
        <f t="shared" si="303"/>
        <v>0</v>
      </c>
      <c r="Q114" s="303">
        <f t="shared" si="353"/>
        <v>0</v>
      </c>
      <c r="R114" s="304">
        <f t="shared" si="354"/>
        <v>0</v>
      </c>
      <c r="S114" s="304">
        <f t="shared" si="355"/>
        <v>0</v>
      </c>
      <c r="T114" s="121">
        <f t="shared" si="304"/>
        <v>0</v>
      </c>
      <c r="U114" s="337">
        <f t="shared" si="304"/>
        <v>0</v>
      </c>
      <c r="V114" s="303">
        <f t="shared" si="356"/>
        <v>0</v>
      </c>
      <c r="W114" s="304">
        <f t="shared" si="357"/>
        <v>0</v>
      </c>
      <c r="X114" s="304">
        <f t="shared" si="358"/>
        <v>0</v>
      </c>
      <c r="Y114" s="121">
        <f t="shared" si="305"/>
        <v>0</v>
      </c>
      <c r="Z114" s="337">
        <f t="shared" si="305"/>
        <v>0</v>
      </c>
      <c r="AA114" s="303">
        <f t="shared" si="359"/>
        <v>0</v>
      </c>
      <c r="AB114" s="304">
        <f t="shared" si="360"/>
        <v>0</v>
      </c>
      <c r="AC114" s="304">
        <f t="shared" si="361"/>
        <v>0</v>
      </c>
      <c r="AD114" s="120">
        <f t="shared" si="306"/>
        <v>0</v>
      </c>
      <c r="AE114" s="337">
        <f t="shared" si="306"/>
        <v>0</v>
      </c>
      <c r="AF114" s="304">
        <f t="shared" si="362"/>
        <v>0</v>
      </c>
      <c r="AG114" s="304">
        <f t="shared" si="363"/>
        <v>0</v>
      </c>
      <c r="AH114" s="304">
        <f t="shared" si="364"/>
        <v>0</v>
      </c>
      <c r="AI114" s="120">
        <f t="shared" si="307"/>
        <v>0</v>
      </c>
      <c r="AJ114" s="337">
        <f t="shared" si="307"/>
        <v>0</v>
      </c>
      <c r="AK114" s="304">
        <f t="shared" si="365"/>
        <v>0</v>
      </c>
      <c r="AL114" s="304">
        <f t="shared" si="366"/>
        <v>0</v>
      </c>
      <c r="AM114" s="304">
        <f t="shared" si="367"/>
        <v>0</v>
      </c>
      <c r="AN114" s="120">
        <f t="shared" si="308"/>
        <v>0.10668085506837217</v>
      </c>
      <c r="AO114" s="337">
        <f t="shared" si="308"/>
        <v>0.10668085506837217</v>
      </c>
      <c r="AP114" s="304">
        <f t="shared" si="368"/>
        <v>0.10668085506837217</v>
      </c>
      <c r="AQ114" s="304">
        <f t="shared" si="369"/>
        <v>0.10668085506837217</v>
      </c>
      <c r="AR114" s="304">
        <f t="shared" si="370"/>
        <v>0.10668085506837217</v>
      </c>
      <c r="AS114" s="120">
        <f t="shared" si="309"/>
        <v>0.25423912940798604</v>
      </c>
      <c r="AT114" s="337">
        <f t="shared" si="309"/>
        <v>0.25423912940798604</v>
      </c>
      <c r="AU114" s="304">
        <f t="shared" si="371"/>
        <v>0.25423912940798604</v>
      </c>
      <c r="AV114" s="304">
        <f t="shared" si="372"/>
        <v>0.25423912940798604</v>
      </c>
      <c r="AW114" s="304">
        <f t="shared" si="373"/>
        <v>0.25423912940798604</v>
      </c>
      <c r="AX114" s="120">
        <f t="shared" si="310"/>
        <v>0.11524487397566623</v>
      </c>
      <c r="AY114" s="337">
        <f t="shared" si="310"/>
        <v>0.11524487397566623</v>
      </c>
      <c r="AZ114" s="304">
        <f t="shared" si="374"/>
        <v>0.11524487397566623</v>
      </c>
      <c r="BA114" s="304">
        <f t="shared" si="375"/>
        <v>0.11524487397566623</v>
      </c>
      <c r="BB114" s="304">
        <f t="shared" si="376"/>
        <v>0.11524487397566623</v>
      </c>
      <c r="BC114" s="120">
        <f t="shared" si="311"/>
        <v>0.2442768742435294</v>
      </c>
      <c r="BD114" s="337">
        <f t="shared" si="311"/>
        <v>0.2442768742435294</v>
      </c>
      <c r="BE114" s="304">
        <f t="shared" si="377"/>
        <v>0.2442768742435294</v>
      </c>
      <c r="BF114" s="304">
        <f t="shared" si="378"/>
        <v>0.2442768742435294</v>
      </c>
      <c r="BG114" s="304">
        <f t="shared" si="379"/>
        <v>0.2442768742435294</v>
      </c>
      <c r="BH114" s="120">
        <f t="shared" si="312"/>
        <v>0.1964513280015647</v>
      </c>
      <c r="BI114" s="337">
        <f t="shared" si="312"/>
        <v>0.1964513280015647</v>
      </c>
      <c r="BJ114" s="304">
        <f t="shared" si="380"/>
        <v>0.1964513280015647</v>
      </c>
      <c r="BK114" s="304">
        <f t="shared" si="381"/>
        <v>0.1964513280015647</v>
      </c>
      <c r="BL114" s="304">
        <f t="shared" si="382"/>
        <v>0.1964513280015647</v>
      </c>
      <c r="BM114" s="120">
        <f t="shared" si="313"/>
        <v>9.342720272561586E-2</v>
      </c>
      <c r="BN114" s="337">
        <f t="shared" si="313"/>
        <v>9.342720272561586E-2</v>
      </c>
      <c r="BO114" s="304">
        <f t="shared" si="383"/>
        <v>9.342720272561586E-2</v>
      </c>
      <c r="BP114" s="304">
        <f t="shared" si="384"/>
        <v>9.342720272561586E-2</v>
      </c>
      <c r="BQ114" s="304">
        <f t="shared" si="385"/>
        <v>9.342720272561586E-2</v>
      </c>
      <c r="BR114" s="120">
        <f t="shared" si="314"/>
        <v>0.10347159017032896</v>
      </c>
      <c r="BS114" s="337">
        <f t="shared" si="314"/>
        <v>0.10347159017032896</v>
      </c>
      <c r="BT114" s="304">
        <f t="shared" si="386"/>
        <v>0.10347159017032896</v>
      </c>
      <c r="BU114" s="304">
        <f t="shared" si="387"/>
        <v>0.10347159017032896</v>
      </c>
      <c r="BV114" s="304">
        <f t="shared" si="388"/>
        <v>0.10347159017032896</v>
      </c>
      <c r="BW114" s="120">
        <f t="shared" si="315"/>
        <v>0.17398684839395484</v>
      </c>
      <c r="BX114" s="337">
        <f t="shared" si="315"/>
        <v>0.17398684839395484</v>
      </c>
      <c r="BY114" s="304">
        <f t="shared" si="389"/>
        <v>0.17398684839395484</v>
      </c>
      <c r="BZ114" s="304">
        <f t="shared" si="390"/>
        <v>0.17398684839395484</v>
      </c>
      <c r="CA114" s="304">
        <f t="shared" si="391"/>
        <v>0.17398684839395484</v>
      </c>
      <c r="CB114" s="120">
        <f t="shared" si="316"/>
        <v>0.16584200383361442</v>
      </c>
      <c r="CC114" s="337">
        <f t="shared" si="316"/>
        <v>0.16584200383361442</v>
      </c>
      <c r="CD114" s="304">
        <f t="shared" si="392"/>
        <v>0.16584200383361442</v>
      </c>
      <c r="CE114" s="304">
        <f t="shared" ref="CE114:CL114" si="397">CD114</f>
        <v>0.16584200383361442</v>
      </c>
      <c r="CF114" s="304">
        <f t="shared" si="397"/>
        <v>0.16584200383361442</v>
      </c>
      <c r="CG114" s="120">
        <f t="shared" si="318"/>
        <v>0.20026548181060816</v>
      </c>
      <c r="CH114" s="337">
        <f t="shared" si="318"/>
        <v>0.20026548181060816</v>
      </c>
      <c r="CI114" s="304">
        <f t="shared" si="319"/>
        <v>0.20026548181060816</v>
      </c>
      <c r="CJ114" s="302">
        <f t="shared" si="397"/>
        <v>0.20026548181060816</v>
      </c>
      <c r="CK114" s="302">
        <f t="shared" si="397"/>
        <v>0.20026548181060816</v>
      </c>
      <c r="CL114" s="302">
        <f t="shared" si="397"/>
        <v>0.20026548181060816</v>
      </c>
      <c r="CM114" s="337">
        <f t="shared" si="320"/>
        <v>0.14513018207246223</v>
      </c>
      <c r="CN114" s="302">
        <f t="shared" si="321"/>
        <v>0.20026548181060816</v>
      </c>
      <c r="CO114" s="302">
        <f t="shared" si="322"/>
        <v>0.20026548181060816</v>
      </c>
      <c r="CP114" s="302">
        <f t="shared" si="323"/>
        <v>0.20026548181060816</v>
      </c>
      <c r="CQ114" s="302">
        <f t="shared" si="324"/>
        <v>0.20026548181060816</v>
      </c>
      <c r="CR114" s="337">
        <f t="shared" si="325"/>
        <v>0.20026548181060816</v>
      </c>
      <c r="CS114" s="302">
        <f t="shared" si="326"/>
        <v>0.20026548181060816</v>
      </c>
      <c r="CT114" s="302">
        <f t="shared" si="327"/>
        <v>0.20026548181060816</v>
      </c>
      <c r="CU114" s="302">
        <f t="shared" si="327"/>
        <v>0.20026548181060816</v>
      </c>
      <c r="CV114" s="302">
        <f t="shared" si="328"/>
        <v>0.20026548181060816</v>
      </c>
      <c r="CW114" s="337">
        <f t="shared" si="329"/>
        <v>0.20026548181060816</v>
      </c>
      <c r="CX114" s="302">
        <f t="shared" si="330"/>
        <v>0.20026548181060816</v>
      </c>
      <c r="CY114" s="302">
        <f t="shared" si="331"/>
        <v>0.20026548181060816</v>
      </c>
      <c r="CZ114" s="302">
        <f t="shared" si="332"/>
        <v>0.20026548181060816</v>
      </c>
      <c r="DA114" s="302">
        <f t="shared" si="333"/>
        <v>0.20026548181060816</v>
      </c>
      <c r="DB114" s="337">
        <f t="shared" si="334"/>
        <v>0.20026548181060813</v>
      </c>
      <c r="DC114" s="302">
        <f t="shared" si="335"/>
        <v>0.20026548181060816</v>
      </c>
      <c r="DD114" s="302">
        <f t="shared" si="336"/>
        <v>0.20026548181060816</v>
      </c>
      <c r="DE114" s="302">
        <f t="shared" si="337"/>
        <v>0.20026548181060816</v>
      </c>
      <c r="DF114" s="302">
        <f t="shared" si="338"/>
        <v>0.20026548181060816</v>
      </c>
      <c r="DG114" s="337">
        <f t="shared" si="339"/>
        <v>0.20026548181060816</v>
      </c>
      <c r="DH114" s="302">
        <f t="shared" si="340"/>
        <v>0.20026548181060816</v>
      </c>
      <c r="DI114" s="302">
        <f t="shared" si="341"/>
        <v>0.20026548181060816</v>
      </c>
      <c r="DJ114" s="302">
        <f t="shared" si="342"/>
        <v>0.20026548181060816</v>
      </c>
      <c r="DK114" s="302">
        <f t="shared" si="343"/>
        <v>0.20026548181060816</v>
      </c>
      <c r="DL114" s="337">
        <f t="shared" si="344"/>
        <v>0.20026548181060816</v>
      </c>
      <c r="DM114" s="302">
        <f t="shared" si="345"/>
        <v>0.20026548181060816</v>
      </c>
      <c r="DN114" s="302">
        <f t="shared" si="346"/>
        <v>0.20026548181060816</v>
      </c>
      <c r="DO114" s="302">
        <f t="shared" si="347"/>
        <v>0.20026548181060816</v>
      </c>
      <c r="DP114" s="302">
        <f t="shared" si="348"/>
        <v>0.20026548181060816</v>
      </c>
      <c r="DQ114" s="337">
        <f t="shared" si="349"/>
        <v>0.20026548181060816</v>
      </c>
      <c r="DR114" s="3"/>
      <c r="DS114" s="112"/>
    </row>
    <row r="115" spans="1:129" hidden="1" outlineLevel="1">
      <c r="A115" s="1"/>
      <c r="B115" s="3"/>
      <c r="C115" s="4" t="s">
        <v>52</v>
      </c>
      <c r="D115" s="4"/>
      <c r="E115" s="4"/>
      <c r="F115" s="4"/>
      <c r="G115" s="119"/>
      <c r="H115" s="120"/>
      <c r="I115" s="120"/>
      <c r="J115" s="121">
        <f t="shared" si="302"/>
        <v>0.17370801655278606</v>
      </c>
      <c r="K115" s="337"/>
      <c r="L115" s="303">
        <f t="shared" si="350"/>
        <v>0.17370801655278606</v>
      </c>
      <c r="M115" s="304">
        <f t="shared" si="351"/>
        <v>0.17370801655278606</v>
      </c>
      <c r="N115" s="304">
        <f t="shared" si="352"/>
        <v>0.17370801655278606</v>
      </c>
      <c r="O115" s="120">
        <f t="shared" si="303"/>
        <v>0.19237615861518628</v>
      </c>
      <c r="P115" s="337">
        <f t="shared" si="303"/>
        <v>0.19237615861518628</v>
      </c>
      <c r="Q115" s="303">
        <f t="shared" si="353"/>
        <v>0.19237615861518628</v>
      </c>
      <c r="R115" s="304">
        <f t="shared" si="354"/>
        <v>0.19237615861518628</v>
      </c>
      <c r="S115" s="304">
        <f t="shared" si="355"/>
        <v>0.19237615861518628</v>
      </c>
      <c r="T115" s="121">
        <f t="shared" si="304"/>
        <v>0.14669191356649586</v>
      </c>
      <c r="U115" s="337">
        <f t="shared" si="304"/>
        <v>0.14669191356649586</v>
      </c>
      <c r="V115" s="303">
        <f t="shared" si="356"/>
        <v>0.14669191356649586</v>
      </c>
      <c r="W115" s="304">
        <f t="shared" si="357"/>
        <v>0.14669191356649586</v>
      </c>
      <c r="X115" s="304">
        <f t="shared" si="358"/>
        <v>0.14669191356649586</v>
      </c>
      <c r="Y115" s="121">
        <f t="shared" si="305"/>
        <v>0.15598872253548512</v>
      </c>
      <c r="Z115" s="337">
        <f t="shared" si="305"/>
        <v>0.15598872253548512</v>
      </c>
      <c r="AA115" s="303">
        <f t="shared" si="359"/>
        <v>0.15598872253548512</v>
      </c>
      <c r="AB115" s="304">
        <f t="shared" si="360"/>
        <v>0.15598872253548512</v>
      </c>
      <c r="AC115" s="304">
        <f t="shared" si="361"/>
        <v>0.15598872253548512</v>
      </c>
      <c r="AD115" s="120">
        <f t="shared" si="306"/>
        <v>0.13420477933667455</v>
      </c>
      <c r="AE115" s="337">
        <f t="shared" si="306"/>
        <v>0.13420477933667455</v>
      </c>
      <c r="AF115" s="304">
        <f t="shared" si="362"/>
        <v>0.13420477933667455</v>
      </c>
      <c r="AG115" s="304">
        <f t="shared" si="363"/>
        <v>0.13420477933667455</v>
      </c>
      <c r="AH115" s="304">
        <f t="shared" si="364"/>
        <v>0.13420477933667455</v>
      </c>
      <c r="AI115" s="120">
        <f t="shared" si="307"/>
        <v>0.20720039738245902</v>
      </c>
      <c r="AJ115" s="337">
        <f t="shared" si="307"/>
        <v>0.20720039738245902</v>
      </c>
      <c r="AK115" s="304">
        <f t="shared" si="365"/>
        <v>0.20720039738245902</v>
      </c>
      <c r="AL115" s="304">
        <f t="shared" si="366"/>
        <v>0.20720039738245902</v>
      </c>
      <c r="AM115" s="304">
        <f t="shared" si="367"/>
        <v>0.20720039738245902</v>
      </c>
      <c r="AN115" s="120">
        <f t="shared" si="308"/>
        <v>0.15961228020645574</v>
      </c>
      <c r="AO115" s="337">
        <f t="shared" si="308"/>
        <v>0.15961228020645574</v>
      </c>
      <c r="AP115" s="304">
        <f t="shared" si="368"/>
        <v>0.15961228020645574</v>
      </c>
      <c r="AQ115" s="304">
        <f t="shared" si="369"/>
        <v>0.15961228020645574</v>
      </c>
      <c r="AR115" s="304">
        <f t="shared" si="370"/>
        <v>0.15961228020645574</v>
      </c>
      <c r="AS115" s="120">
        <f t="shared" si="309"/>
        <v>0.15257559583974908</v>
      </c>
      <c r="AT115" s="337">
        <f t="shared" si="309"/>
        <v>0.15257559583974908</v>
      </c>
      <c r="AU115" s="304">
        <f t="shared" si="371"/>
        <v>0.15257559583974908</v>
      </c>
      <c r="AV115" s="304">
        <f t="shared" si="372"/>
        <v>0.15257559583974908</v>
      </c>
      <c r="AW115" s="304">
        <f t="shared" si="373"/>
        <v>0.15257559583974908</v>
      </c>
      <c r="AX115" s="120">
        <f t="shared" si="310"/>
        <v>0.20428707636849727</v>
      </c>
      <c r="AY115" s="337">
        <f t="shared" si="310"/>
        <v>0.20428707636849727</v>
      </c>
      <c r="AZ115" s="304">
        <f t="shared" si="374"/>
        <v>0.20428707636849727</v>
      </c>
      <c r="BA115" s="304">
        <f t="shared" si="375"/>
        <v>0.20428707636849727</v>
      </c>
      <c r="BB115" s="304">
        <f t="shared" si="376"/>
        <v>0.20428707636849727</v>
      </c>
      <c r="BC115" s="120">
        <f t="shared" si="311"/>
        <v>0.10153738868360092</v>
      </c>
      <c r="BD115" s="337">
        <f t="shared" si="311"/>
        <v>0.10153738868360092</v>
      </c>
      <c r="BE115" s="304">
        <f t="shared" si="377"/>
        <v>0.10153738868360092</v>
      </c>
      <c r="BF115" s="304">
        <f t="shared" si="378"/>
        <v>0.10153738868360092</v>
      </c>
      <c r="BG115" s="304">
        <f t="shared" si="379"/>
        <v>0.10153738868360092</v>
      </c>
      <c r="BH115" s="120">
        <f t="shared" si="312"/>
        <v>0.11947582826285598</v>
      </c>
      <c r="BI115" s="337">
        <f t="shared" si="312"/>
        <v>0.11947582826285598</v>
      </c>
      <c r="BJ115" s="304">
        <f t="shared" si="380"/>
        <v>0.11947582826285598</v>
      </c>
      <c r="BK115" s="304">
        <f t="shared" si="381"/>
        <v>0.11947582826285598</v>
      </c>
      <c r="BL115" s="304">
        <f t="shared" si="382"/>
        <v>0.11947582826285598</v>
      </c>
      <c r="BM115" s="120">
        <f t="shared" si="313"/>
        <v>0.12570395431207562</v>
      </c>
      <c r="BN115" s="337">
        <f t="shared" si="313"/>
        <v>0.12570395431207562</v>
      </c>
      <c r="BO115" s="304">
        <f t="shared" si="383"/>
        <v>0.12570395431207562</v>
      </c>
      <c r="BP115" s="304">
        <f t="shared" si="384"/>
        <v>0.12570395431207562</v>
      </c>
      <c r="BQ115" s="304">
        <f t="shared" si="385"/>
        <v>0.12570395431207562</v>
      </c>
      <c r="BR115" s="120">
        <f t="shared" si="314"/>
        <v>0.11809365925540675</v>
      </c>
      <c r="BS115" s="337">
        <f t="shared" si="314"/>
        <v>0.11809365925540675</v>
      </c>
      <c r="BT115" s="304">
        <f t="shared" si="386"/>
        <v>0.11809365925540675</v>
      </c>
      <c r="BU115" s="304">
        <f t="shared" si="387"/>
        <v>0.11809365925540675</v>
      </c>
      <c r="BV115" s="304">
        <f t="shared" si="388"/>
        <v>0.11809365925540675</v>
      </c>
      <c r="BW115" s="120">
        <f t="shared" si="315"/>
        <v>0.12115463849564084</v>
      </c>
      <c r="BX115" s="337">
        <f t="shared" si="315"/>
        <v>0.12115463849564084</v>
      </c>
      <c r="BY115" s="304">
        <f t="shared" si="389"/>
        <v>0.12115463849564084</v>
      </c>
      <c r="BZ115" s="304">
        <f t="shared" si="390"/>
        <v>0.12115463849564084</v>
      </c>
      <c r="CA115" s="304">
        <f t="shared" si="391"/>
        <v>0.12115463849564084</v>
      </c>
      <c r="CB115" s="120">
        <f t="shared" si="316"/>
        <v>0.12413882809436233</v>
      </c>
      <c r="CC115" s="337">
        <f t="shared" si="316"/>
        <v>0.12413882809436233</v>
      </c>
      <c r="CD115" s="304">
        <f t="shared" si="392"/>
        <v>0.12413882809436233</v>
      </c>
      <c r="CE115" s="304">
        <f t="shared" ref="CE115:CL115" si="398">CD115</f>
        <v>0.12413882809436233</v>
      </c>
      <c r="CF115" s="304">
        <f t="shared" si="398"/>
        <v>0.12413882809436233</v>
      </c>
      <c r="CG115" s="120">
        <f t="shared" si="318"/>
        <v>0.11756456539850042</v>
      </c>
      <c r="CH115" s="337">
        <f t="shared" si="318"/>
        <v>0.11756456539850042</v>
      </c>
      <c r="CI115" s="304">
        <f t="shared" si="319"/>
        <v>0.11756456539850042</v>
      </c>
      <c r="CJ115" s="302">
        <f t="shared" si="398"/>
        <v>0.11756456539850042</v>
      </c>
      <c r="CK115" s="302">
        <f t="shared" si="398"/>
        <v>0.11756456539850042</v>
      </c>
      <c r="CL115" s="302">
        <f t="shared" si="398"/>
        <v>0.11756456539850042</v>
      </c>
      <c r="CM115" s="337">
        <f t="shared" si="320"/>
        <v>0.1176418750943754</v>
      </c>
      <c r="CN115" s="302">
        <f t="shared" si="321"/>
        <v>0.11756456539850042</v>
      </c>
      <c r="CO115" s="302">
        <f t="shared" si="322"/>
        <v>0.11756456539850042</v>
      </c>
      <c r="CP115" s="302">
        <f t="shared" si="323"/>
        <v>0.11756456539850042</v>
      </c>
      <c r="CQ115" s="302">
        <f t="shared" si="324"/>
        <v>0.11756456539850042</v>
      </c>
      <c r="CR115" s="337">
        <f t="shared" si="325"/>
        <v>0.11756456539850042</v>
      </c>
      <c r="CS115" s="302">
        <f t="shared" si="326"/>
        <v>0.11756456539850042</v>
      </c>
      <c r="CT115" s="302">
        <f t="shared" si="327"/>
        <v>0.11756456539850042</v>
      </c>
      <c r="CU115" s="302">
        <f t="shared" si="327"/>
        <v>0.11756456539850042</v>
      </c>
      <c r="CV115" s="302">
        <f t="shared" si="328"/>
        <v>0.11756456539850042</v>
      </c>
      <c r="CW115" s="337">
        <f t="shared" si="329"/>
        <v>0.11756456539850041</v>
      </c>
      <c r="CX115" s="302">
        <f t="shared" si="330"/>
        <v>0.11756456539850042</v>
      </c>
      <c r="CY115" s="302">
        <f t="shared" si="331"/>
        <v>0.11756456539850042</v>
      </c>
      <c r="CZ115" s="302">
        <f t="shared" si="332"/>
        <v>0.11756456539850042</v>
      </c>
      <c r="DA115" s="302">
        <f t="shared" si="333"/>
        <v>0.11756456539850042</v>
      </c>
      <c r="DB115" s="337">
        <f t="shared" si="334"/>
        <v>0.11756456539850044</v>
      </c>
      <c r="DC115" s="302">
        <f t="shared" si="335"/>
        <v>0.11756456539850042</v>
      </c>
      <c r="DD115" s="302">
        <f t="shared" si="336"/>
        <v>0.11756456539850042</v>
      </c>
      <c r="DE115" s="302">
        <f t="shared" si="337"/>
        <v>0.11756456539850042</v>
      </c>
      <c r="DF115" s="302">
        <f t="shared" si="338"/>
        <v>0.11756456539850042</v>
      </c>
      <c r="DG115" s="337">
        <f t="shared" si="339"/>
        <v>0.11756456539850042</v>
      </c>
      <c r="DH115" s="302">
        <f t="shared" si="340"/>
        <v>0.11756456539850042</v>
      </c>
      <c r="DI115" s="302">
        <f t="shared" si="341"/>
        <v>0.11756456539850042</v>
      </c>
      <c r="DJ115" s="302">
        <f t="shared" si="342"/>
        <v>0.11756456539850042</v>
      </c>
      <c r="DK115" s="302">
        <f t="shared" si="343"/>
        <v>0.11756456539850042</v>
      </c>
      <c r="DL115" s="337">
        <f t="shared" si="344"/>
        <v>0.11756456539850042</v>
      </c>
      <c r="DM115" s="302">
        <f t="shared" si="345"/>
        <v>0.11756456539850042</v>
      </c>
      <c r="DN115" s="302">
        <f t="shared" si="346"/>
        <v>0.11756456539850042</v>
      </c>
      <c r="DO115" s="302">
        <f t="shared" si="347"/>
        <v>0.11756456539850042</v>
      </c>
      <c r="DP115" s="302">
        <f t="shared" si="348"/>
        <v>0.11756456539850042</v>
      </c>
      <c r="DQ115" s="337">
        <f t="shared" si="349"/>
        <v>0.11756456539850042</v>
      </c>
      <c r="DR115" s="3"/>
      <c r="DS115" s="112"/>
    </row>
    <row r="116" spans="1:129" s="154" customFormat="1" hidden="1" outlineLevel="1">
      <c r="A116" s="137"/>
      <c r="B116" s="136"/>
      <c r="C116" s="135"/>
      <c r="D116" s="135"/>
      <c r="E116" s="135"/>
      <c r="F116" s="135"/>
      <c r="G116" s="263"/>
      <c r="H116" s="264"/>
      <c r="I116" s="264"/>
      <c r="J116" s="265"/>
      <c r="K116" s="333"/>
      <c r="L116" s="264"/>
      <c r="M116" s="264"/>
      <c r="N116" s="264"/>
      <c r="O116" s="265"/>
      <c r="P116" s="333"/>
      <c r="Q116" s="264"/>
      <c r="R116" s="264"/>
      <c r="S116" s="264"/>
      <c r="T116" s="265"/>
      <c r="U116" s="333"/>
      <c r="V116" s="264"/>
      <c r="W116" s="264"/>
      <c r="X116" s="264"/>
      <c r="Y116" s="265"/>
      <c r="Z116" s="333"/>
      <c r="AA116" s="264"/>
      <c r="AB116" s="264"/>
      <c r="AC116" s="264"/>
      <c r="AD116" s="264"/>
      <c r="AE116" s="333"/>
      <c r="AF116" s="264"/>
      <c r="AG116" s="264"/>
      <c r="AH116" s="264"/>
      <c r="AI116" s="264"/>
      <c r="AJ116" s="333"/>
      <c r="AK116" s="264"/>
      <c r="AL116" s="264"/>
      <c r="AM116" s="264"/>
      <c r="AN116" s="264"/>
      <c r="AO116" s="333"/>
      <c r="AP116" s="264"/>
      <c r="AQ116" s="264"/>
      <c r="AR116" s="264"/>
      <c r="AS116" s="264"/>
      <c r="AT116" s="333"/>
      <c r="AU116" s="264"/>
      <c r="AV116" s="264"/>
      <c r="AW116" s="264"/>
      <c r="AX116" s="264"/>
      <c r="AY116" s="333"/>
      <c r="AZ116" s="264"/>
      <c r="BA116" s="264"/>
      <c r="BB116" s="264"/>
      <c r="BC116" s="264"/>
      <c r="BD116" s="333"/>
      <c r="BE116" s="264"/>
      <c r="BF116" s="264"/>
      <c r="BG116" s="264"/>
      <c r="BH116" s="264"/>
      <c r="BI116" s="333"/>
      <c r="BJ116" s="264"/>
      <c r="BK116" s="264"/>
      <c r="BL116" s="264"/>
      <c r="BM116" s="264"/>
      <c r="BN116" s="333"/>
      <c r="BO116" s="264"/>
      <c r="BP116" s="264"/>
      <c r="BQ116" s="264"/>
      <c r="BR116" s="264"/>
      <c r="BS116" s="333"/>
      <c r="BT116" s="264"/>
      <c r="BU116" s="264"/>
      <c r="BV116" s="264"/>
      <c r="BW116" s="264"/>
      <c r="BX116" s="333"/>
      <c r="BY116" s="264"/>
      <c r="BZ116" s="264"/>
      <c r="CA116" s="264"/>
      <c r="CB116" s="264"/>
      <c r="CC116" s="333"/>
      <c r="CD116" s="264"/>
      <c r="CE116" s="228"/>
      <c r="CF116" s="228"/>
      <c r="CG116" s="228"/>
      <c r="CH116" s="333"/>
      <c r="CI116" s="228"/>
      <c r="CJ116" s="228"/>
      <c r="CK116" s="228"/>
      <c r="CL116" s="228"/>
      <c r="CM116" s="333"/>
      <c r="CN116" s="228"/>
      <c r="CO116" s="525"/>
      <c r="CP116" s="228"/>
      <c r="CQ116" s="228"/>
      <c r="CR116" s="333"/>
      <c r="CS116" s="228"/>
      <c r="CT116" s="228"/>
      <c r="CU116" s="228"/>
      <c r="CV116" s="228"/>
      <c r="CW116" s="333"/>
      <c r="CX116" s="228"/>
      <c r="CY116" s="228"/>
      <c r="CZ116" s="228"/>
      <c r="DA116" s="228"/>
      <c r="DB116" s="333"/>
      <c r="DC116" s="228"/>
      <c r="DD116" s="228"/>
      <c r="DE116" s="228"/>
      <c r="DF116" s="228"/>
      <c r="DG116" s="333"/>
      <c r="DH116" s="228"/>
      <c r="DI116" s="228"/>
      <c r="DJ116" s="228"/>
      <c r="DK116" s="228"/>
      <c r="DL116" s="333"/>
      <c r="DM116" s="228"/>
      <c r="DN116" s="228"/>
      <c r="DO116" s="228"/>
      <c r="DP116" s="228"/>
      <c r="DQ116" s="333"/>
      <c r="DR116" s="136"/>
      <c r="DS116" s="145"/>
      <c r="DT116"/>
      <c r="DU116"/>
      <c r="DV116"/>
      <c r="DW116"/>
      <c r="DX116"/>
      <c r="DY116"/>
    </row>
    <row r="117" spans="1:129" s="154" customFormat="1" hidden="1" outlineLevel="1">
      <c r="A117" s="137"/>
      <c r="B117" s="136" t="s">
        <v>150</v>
      </c>
      <c r="C117" s="135"/>
      <c r="D117" s="135"/>
      <c r="E117" s="135"/>
      <c r="F117" s="135"/>
      <c r="G117" s="263"/>
      <c r="H117" s="264"/>
      <c r="I117" s="264"/>
      <c r="J117" s="265">
        <f t="shared" ref="J117:AW117" si="399">-J98/J94</f>
        <v>10.112903225806448</v>
      </c>
      <c r="K117" s="333"/>
      <c r="L117" s="264">
        <f t="shared" si="399"/>
        <v>10.99524564183835</v>
      </c>
      <c r="M117" s="264">
        <f t="shared" si="399"/>
        <v>11.738028169014084</v>
      </c>
      <c r="N117" s="264">
        <f t="shared" si="399"/>
        <v>11.448702101359705</v>
      </c>
      <c r="O117" s="265">
        <f t="shared" si="399"/>
        <v>10.680947012401356</v>
      </c>
      <c r="P117" s="333">
        <f>-P98/P94</f>
        <v>3.1195258478761936</v>
      </c>
      <c r="Q117" s="264">
        <f t="shared" si="399"/>
        <v>9.656024716786817</v>
      </c>
      <c r="R117" s="264">
        <f t="shared" si="399"/>
        <v>10.243664717348928</v>
      </c>
      <c r="S117" s="264">
        <f t="shared" si="399"/>
        <v>10.328514056224899</v>
      </c>
      <c r="T117" s="265">
        <f t="shared" si="399"/>
        <v>12.598418972332023</v>
      </c>
      <c r="U117" s="333">
        <f>-U98/U94</f>
        <v>3.5360550255158656</v>
      </c>
      <c r="V117" s="264">
        <f t="shared" si="399"/>
        <v>12.267732962447843</v>
      </c>
      <c r="W117" s="264">
        <f t="shared" si="399"/>
        <v>12.254836557705136</v>
      </c>
      <c r="X117" s="264">
        <f t="shared" si="399"/>
        <v>13.62615101289134</v>
      </c>
      <c r="Y117" s="265">
        <f t="shared" si="399"/>
        <v>13.514158800666303</v>
      </c>
      <c r="Z117" s="333">
        <f>-Z98/Z94</f>
        <v>3.82267944086697</v>
      </c>
      <c r="AA117" s="264">
        <f t="shared" si="399"/>
        <v>12.582771146860406</v>
      </c>
      <c r="AB117" s="264">
        <f t="shared" si="399"/>
        <v>14.404693760732682</v>
      </c>
      <c r="AC117" s="264">
        <f t="shared" si="399"/>
        <v>12.92069825436409</v>
      </c>
      <c r="AD117" s="264">
        <f t="shared" si="399"/>
        <v>18.072122052704579</v>
      </c>
      <c r="AE117" s="333">
        <f>-AE98/AE94</f>
        <v>4.9846977811782711</v>
      </c>
      <c r="AF117" s="264">
        <f t="shared" si="399"/>
        <v>16.310450038138828</v>
      </c>
      <c r="AG117" s="264">
        <f t="shared" si="399"/>
        <v>17.262378026743768</v>
      </c>
      <c r="AH117" s="264">
        <f t="shared" si="399"/>
        <v>17.172872340425538</v>
      </c>
      <c r="AI117" s="264">
        <f t="shared" si="399"/>
        <v>16.512574173495338</v>
      </c>
      <c r="AJ117" s="333">
        <f>-AJ98/AJ94</f>
        <v>4.8959450402144773</v>
      </c>
      <c r="AK117" s="264">
        <f t="shared" si="399"/>
        <v>14.958085381630013</v>
      </c>
      <c r="AL117" s="264">
        <f t="shared" si="399"/>
        <v>15.18025078369906</v>
      </c>
      <c r="AM117" s="264">
        <f t="shared" si="399"/>
        <v>17.16262552045065</v>
      </c>
      <c r="AN117" s="264">
        <f t="shared" si="399"/>
        <v>19.418754014129735</v>
      </c>
      <c r="AO117" s="333">
        <f>-AO98/AO94</f>
        <v>5.5149875357207998</v>
      </c>
      <c r="AP117" s="264">
        <f t="shared" si="399"/>
        <v>18.592927308447937</v>
      </c>
      <c r="AQ117" s="264">
        <f t="shared" si="399"/>
        <v>19.915947880345023</v>
      </c>
      <c r="AR117" s="264">
        <f t="shared" si="399"/>
        <v>22.668876545421963</v>
      </c>
      <c r="AS117" s="264">
        <f t="shared" si="399"/>
        <v>27.837500000000016</v>
      </c>
      <c r="AT117" s="333">
        <f>-AT98/AT94</f>
        <v>6.8683177570093479</v>
      </c>
      <c r="AU117" s="264">
        <f t="shared" si="399"/>
        <v>22.983926031294452</v>
      </c>
      <c r="AV117" s="264">
        <f t="shared" si="399"/>
        <v>22.981284450711453</v>
      </c>
      <c r="AW117" s="264">
        <f t="shared" si="399"/>
        <v>22.357296016250988</v>
      </c>
      <c r="AX117" s="264">
        <f t="shared" ref="AX117:CO117" si="400">-AX98/AX94</f>
        <v>21.025116989781306</v>
      </c>
      <c r="AY117" s="333">
        <f>-AY98/AY94</f>
        <v>6.4442232824986103</v>
      </c>
      <c r="AZ117" s="264">
        <f t="shared" si="400"/>
        <v>19.244453507340946</v>
      </c>
      <c r="BA117" s="264">
        <f t="shared" si="400"/>
        <v>20.359227763732473</v>
      </c>
      <c r="BB117" s="264">
        <f t="shared" si="400"/>
        <v>21.025883201153576</v>
      </c>
      <c r="BC117" s="264">
        <f t="shared" si="400"/>
        <v>24.16335256192739</v>
      </c>
      <c r="BD117" s="333">
        <f>-BD98/BD94</f>
        <v>6.6034904855521352</v>
      </c>
      <c r="BE117" s="264">
        <f t="shared" si="400"/>
        <v>24.136193457312952</v>
      </c>
      <c r="BF117" s="264">
        <f t="shared" si="400"/>
        <v>23.052821060921413</v>
      </c>
      <c r="BG117" s="264">
        <f t="shared" si="400"/>
        <v>23.279757625552026</v>
      </c>
      <c r="BH117" s="264">
        <f t="shared" si="400"/>
        <v>21.420693549146005</v>
      </c>
      <c r="BI117" s="333">
        <f>-BI98/BI94</f>
        <v>6.0865275345267866</v>
      </c>
      <c r="BJ117" s="264">
        <f t="shared" si="400"/>
        <v>21.572475416036308</v>
      </c>
      <c r="BK117" s="264">
        <f t="shared" si="400"/>
        <v>20.711154363038133</v>
      </c>
      <c r="BL117" s="264">
        <f t="shared" si="400"/>
        <v>20.637505044616841</v>
      </c>
      <c r="BM117" s="264">
        <f t="shared" si="400"/>
        <v>19.783721599079673</v>
      </c>
      <c r="BN117" s="333">
        <f>-BN98/BN94</f>
        <v>5.3878327421646857</v>
      </c>
      <c r="BO117" s="264">
        <f t="shared" si="400"/>
        <v>17.470618311968153</v>
      </c>
      <c r="BP117" s="264">
        <f t="shared" si="400"/>
        <v>19.992435044359951</v>
      </c>
      <c r="BQ117" s="264">
        <f t="shared" si="400"/>
        <v>18.67224032367789</v>
      </c>
      <c r="BR117" s="264">
        <f t="shared" si="400"/>
        <v>19.262781117039239</v>
      </c>
      <c r="BS117" s="333">
        <f>-BS98/BS94</f>
        <v>5.1777947209817379</v>
      </c>
      <c r="BT117" s="264">
        <f t="shared" si="400"/>
        <v>20.774029830133962</v>
      </c>
      <c r="BU117" s="264">
        <f t="shared" si="400"/>
        <v>20.991835479793664</v>
      </c>
      <c r="BV117" s="264">
        <f t="shared" si="400"/>
        <v>21.006005246689217</v>
      </c>
      <c r="BW117" s="264">
        <f t="shared" si="400"/>
        <v>22.100760955129893</v>
      </c>
      <c r="BX117" s="333">
        <f>-BX98/BX94</f>
        <v>6.1045621099255092</v>
      </c>
      <c r="BY117" s="264">
        <f t="shared" si="400"/>
        <v>21.432764505119458</v>
      </c>
      <c r="BZ117" s="264">
        <f t="shared" si="400"/>
        <v>22.378195709667935</v>
      </c>
      <c r="CA117" s="264">
        <f t="shared" si="400"/>
        <v>21.23872262244355</v>
      </c>
      <c r="CB117" s="264">
        <f>-CB98/CB94</f>
        <v>23.600378971917209</v>
      </c>
      <c r="CC117" s="333">
        <f>-CC98/CC94</f>
        <v>6.2040897131325501</v>
      </c>
      <c r="CD117" s="264">
        <f>-CD98/CD94</f>
        <v>23.123276989059885</v>
      </c>
      <c r="CE117" s="228">
        <f t="shared" si="400"/>
        <v>23.217251448647172</v>
      </c>
      <c r="CF117" s="228">
        <f t="shared" si="400"/>
        <v>22.697361927408139</v>
      </c>
      <c r="CG117" s="228">
        <f t="shared" si="400"/>
        <v>22.563265646847672</v>
      </c>
      <c r="CH117" s="333">
        <f>-CH98/CH94</f>
        <v>6.0088034235536041</v>
      </c>
      <c r="CI117" s="228">
        <f t="shared" si="400"/>
        <v>23.613439701721148</v>
      </c>
      <c r="CJ117" s="228">
        <f t="shared" si="400"/>
        <v>22.041316077628359</v>
      </c>
      <c r="CK117" s="228">
        <f t="shared" si="400"/>
        <v>22.154755918498712</v>
      </c>
      <c r="CL117" s="228">
        <f t="shared" si="400"/>
        <v>19.835946943189761</v>
      </c>
      <c r="CM117" s="333">
        <f>-CM98/CM94</f>
        <v>5.9942470454228669</v>
      </c>
      <c r="CN117" s="228">
        <f t="shared" si="400"/>
        <v>16.772486772486772</v>
      </c>
      <c r="CO117" s="525">
        <f t="shared" si="400"/>
        <v>15.205952380952381</v>
      </c>
      <c r="CP117" s="228">
        <f t="shared" ref="CP117:DA117" si="401">-CP98/CP94</f>
        <v>15.520631067961165</v>
      </c>
      <c r="CQ117" s="228">
        <f t="shared" si="401"/>
        <v>14.447727272727274</v>
      </c>
      <c r="CR117" s="333">
        <f>-CR98/CR94</f>
        <v>3.852727272727273</v>
      </c>
      <c r="CS117" s="228">
        <f>-CS98/CS94</f>
        <v>14.481185860889395</v>
      </c>
      <c r="CT117" s="228">
        <f t="shared" si="401"/>
        <v>13.857911733046292</v>
      </c>
      <c r="CU117" s="228">
        <f t="shared" si="401"/>
        <v>13.530674846625766</v>
      </c>
      <c r="CV117" s="228">
        <f t="shared" si="401"/>
        <v>13.031809145129223</v>
      </c>
      <c r="CW117" s="333">
        <f>-CW98/CW94</f>
        <v>3.4591029023746702</v>
      </c>
      <c r="CX117" s="228">
        <f>-CX98/CX94</f>
        <v>12.557692307692308</v>
      </c>
      <c r="CY117" s="228">
        <f t="shared" si="401"/>
        <v>12.466019417475728</v>
      </c>
      <c r="CZ117" s="228">
        <f t="shared" si="401"/>
        <v>11.43859649122807</v>
      </c>
      <c r="DA117" s="228">
        <f t="shared" si="401"/>
        <v>11.395479666422359</v>
      </c>
      <c r="DB117" s="333">
        <f>-DB98/DB94</f>
        <v>3.2530712530712522</v>
      </c>
      <c r="DC117" s="228">
        <f t="shared" ref="DC117:DK117" si="402">-DC98/DC94</f>
        <v>11.113215708050205</v>
      </c>
      <c r="DD117" s="228">
        <f t="shared" si="402"/>
        <v>10.89272948792971</v>
      </c>
      <c r="DE117" s="228">
        <f t="shared" si="402"/>
        <v>10.818779220097285</v>
      </c>
      <c r="DF117" s="228">
        <f t="shared" si="402"/>
        <v>10.78780561285325</v>
      </c>
      <c r="DG117" s="333">
        <f>-DG98/DG94</f>
        <v>3.6069909611405029</v>
      </c>
      <c r="DH117" s="228">
        <f t="shared" si="402"/>
        <v>10.508360544181681</v>
      </c>
      <c r="DI117" s="228">
        <f t="shared" si="402"/>
        <v>10.317485979557649</v>
      </c>
      <c r="DJ117" s="228">
        <f t="shared" si="402"/>
        <v>10.269207139866646</v>
      </c>
      <c r="DK117" s="228">
        <f t="shared" si="402"/>
        <v>10.263722923512141</v>
      </c>
      <c r="DL117" s="333">
        <f>-DL98/DL94</f>
        <v>3.6673099679838002</v>
      </c>
      <c r="DM117" s="228">
        <f t="shared" ref="DM117:DP117" si="403">-DM98/DM94</f>
        <v>10.014723791606292</v>
      </c>
      <c r="DN117" s="228">
        <f t="shared" si="403"/>
        <v>9.8461284602605552</v>
      </c>
      <c r="DO117" s="228">
        <f t="shared" si="403"/>
        <v>9.8174862682531927</v>
      </c>
      <c r="DP117" s="228">
        <f t="shared" si="403"/>
        <v>9.8311738011871839</v>
      </c>
      <c r="DQ117" s="333">
        <f>-DQ98/DQ94</f>
        <v>3.730884144306148</v>
      </c>
      <c r="DR117" s="136"/>
      <c r="DS117" s="145"/>
      <c r="DT117"/>
      <c r="DU117"/>
      <c r="DV117"/>
      <c r="DW117"/>
      <c r="DX117"/>
      <c r="DY117"/>
    </row>
    <row r="118" spans="1:129" collapsed="1">
      <c r="A118" s="1"/>
      <c r="B118" s="6"/>
      <c r="C118" s="7"/>
      <c r="D118" s="7"/>
      <c r="E118" s="7"/>
      <c r="F118" s="7"/>
      <c r="G118" s="6"/>
      <c r="H118" s="7"/>
      <c r="I118" s="7"/>
      <c r="J118" s="8"/>
      <c r="K118" s="815"/>
      <c r="L118" s="6"/>
      <c r="M118" s="7"/>
      <c r="N118" s="7"/>
      <c r="O118" s="7"/>
      <c r="P118" s="815"/>
      <c r="Q118" s="6"/>
      <c r="R118" s="7"/>
      <c r="S118" s="7"/>
      <c r="T118" s="8"/>
      <c r="U118" s="815"/>
      <c r="V118" s="7"/>
      <c r="W118" s="7"/>
      <c r="X118" s="7"/>
      <c r="Y118" s="8"/>
      <c r="Z118" s="815"/>
      <c r="AA118" s="7"/>
      <c r="AB118" s="7"/>
      <c r="AC118" s="7"/>
      <c r="AD118" s="7"/>
      <c r="AE118" s="815"/>
      <c r="AF118" s="7"/>
      <c r="AG118" s="7"/>
      <c r="AH118" s="7"/>
      <c r="AI118" s="7"/>
      <c r="AJ118" s="815"/>
      <c r="AK118" s="7"/>
      <c r="AL118" s="7"/>
      <c r="AM118" s="7"/>
      <c r="AN118" s="7"/>
      <c r="AO118" s="815"/>
      <c r="AP118" s="7"/>
      <c r="AQ118" s="7"/>
      <c r="AR118" s="7"/>
      <c r="AS118" s="7"/>
      <c r="AT118" s="815"/>
      <c r="AU118" s="7"/>
      <c r="AV118" s="7"/>
      <c r="AW118" s="7"/>
      <c r="AX118" s="7"/>
      <c r="AY118" s="815"/>
      <c r="AZ118" s="7"/>
      <c r="BA118" s="7"/>
      <c r="BB118" s="7"/>
      <c r="BC118" s="7"/>
      <c r="BD118" s="815"/>
      <c r="BE118" s="7"/>
      <c r="BF118" s="7"/>
      <c r="BG118" s="7"/>
      <c r="BH118" s="7"/>
      <c r="BI118" s="815"/>
      <c r="BJ118" s="7"/>
      <c r="BK118" s="7"/>
      <c r="BL118" s="7"/>
      <c r="BM118" s="7"/>
      <c r="BN118" s="815"/>
      <c r="BO118" s="7"/>
      <c r="BP118" s="7"/>
      <c r="BQ118" s="7"/>
      <c r="BR118" s="7"/>
      <c r="BS118" s="815"/>
      <c r="BT118" s="7"/>
      <c r="BU118" s="7"/>
      <c r="BV118" s="7"/>
      <c r="BW118" s="7"/>
      <c r="BX118" s="815"/>
      <c r="BY118" s="7"/>
      <c r="BZ118" s="7"/>
      <c r="CA118" s="7"/>
      <c r="CB118" s="7"/>
      <c r="CC118" s="815"/>
      <c r="CD118" s="7"/>
      <c r="CE118" s="7"/>
      <c r="CF118" s="7"/>
      <c r="CG118" s="7"/>
      <c r="CH118" s="815"/>
      <c r="CI118" s="7"/>
      <c r="CJ118" s="7"/>
      <c r="CK118" s="7"/>
      <c r="CL118" s="7"/>
      <c r="CM118" s="815"/>
      <c r="CN118" s="7"/>
      <c r="CO118" s="7"/>
      <c r="CP118" s="7"/>
      <c r="CQ118" s="7"/>
      <c r="CR118" s="815"/>
      <c r="CS118" s="7"/>
      <c r="CT118" s="7"/>
      <c r="CU118" s="7"/>
      <c r="CV118" s="7"/>
      <c r="CW118" s="815"/>
      <c r="CX118" s="7"/>
      <c r="CY118" s="7"/>
      <c r="CZ118" s="7"/>
      <c r="DA118" s="7"/>
      <c r="DB118" s="815"/>
      <c r="DC118" s="7"/>
      <c r="DD118" s="7"/>
      <c r="DE118" s="7"/>
      <c r="DF118" s="7"/>
      <c r="DG118" s="815"/>
      <c r="DH118" s="7"/>
      <c r="DI118" s="7"/>
      <c r="DJ118" s="7"/>
      <c r="DK118" s="7"/>
      <c r="DL118" s="815"/>
      <c r="DM118" s="7"/>
      <c r="DN118" s="7"/>
      <c r="DO118" s="7"/>
      <c r="DP118" s="7"/>
      <c r="DQ118" s="815"/>
      <c r="DR118" s="3"/>
      <c r="DS118" s="112"/>
    </row>
    <row r="119" spans="1:129">
      <c r="A119" s="1"/>
      <c r="B119" s="4"/>
      <c r="C119" s="4"/>
      <c r="D119" s="4"/>
      <c r="E119" s="4"/>
      <c r="F119" s="4"/>
      <c r="G119" s="4"/>
      <c r="H119" s="4"/>
      <c r="I119" s="4"/>
      <c r="J119" s="4"/>
      <c r="K119" s="352"/>
      <c r="L119" s="4"/>
      <c r="M119" s="4"/>
      <c r="N119" s="4"/>
      <c r="O119" s="4"/>
      <c r="P119" s="352"/>
      <c r="Q119" s="4"/>
      <c r="R119" s="4"/>
      <c r="S119" s="4"/>
      <c r="T119" s="4"/>
      <c r="U119" s="352"/>
      <c r="V119" s="4"/>
      <c r="W119" s="4"/>
      <c r="X119" s="4"/>
      <c r="Y119" s="4"/>
      <c r="Z119" s="352"/>
      <c r="AA119" s="4"/>
      <c r="AB119" s="4"/>
      <c r="AC119" s="4"/>
      <c r="AD119" s="4"/>
      <c r="AE119" s="352"/>
      <c r="AF119" s="4"/>
      <c r="AG119" s="4"/>
      <c r="AH119" s="4"/>
      <c r="AI119" s="4"/>
      <c r="AJ119" s="352"/>
      <c r="AK119" s="4"/>
      <c r="AL119" s="4"/>
      <c r="AM119" s="4"/>
      <c r="AN119" s="4"/>
      <c r="AO119" s="352"/>
      <c r="AP119" s="4"/>
      <c r="AQ119" s="4"/>
      <c r="AR119" s="4"/>
      <c r="AS119" s="4"/>
      <c r="AT119" s="352"/>
      <c r="AU119" s="4"/>
      <c r="AV119" s="4"/>
      <c r="AW119" s="4"/>
      <c r="AX119" s="4"/>
      <c r="AY119" s="352"/>
      <c r="AZ119" s="4"/>
      <c r="BA119" s="4"/>
      <c r="BB119" s="4"/>
      <c r="BC119" s="4"/>
      <c r="BD119" s="352"/>
      <c r="BE119" s="4"/>
      <c r="BF119" s="4"/>
      <c r="BG119" s="4"/>
      <c r="BH119" s="4"/>
      <c r="BI119" s="352"/>
      <c r="BJ119" s="4"/>
      <c r="BK119" s="4"/>
      <c r="BL119" s="4"/>
      <c r="BM119" s="4"/>
      <c r="BN119" s="352"/>
      <c r="BO119" s="4"/>
      <c r="BP119" s="4"/>
      <c r="BQ119" s="4"/>
      <c r="BR119" s="4"/>
      <c r="BS119" s="352"/>
      <c r="BT119" s="4"/>
      <c r="BU119" s="4"/>
      <c r="BV119" s="4"/>
      <c r="BW119" s="4"/>
      <c r="BX119" s="352"/>
      <c r="BY119" s="4"/>
      <c r="BZ119" s="4"/>
      <c r="CA119" s="4"/>
      <c r="CB119" s="4"/>
      <c r="CC119" s="352"/>
      <c r="CD119" s="4"/>
      <c r="CE119" s="4"/>
      <c r="CF119" s="4"/>
      <c r="CG119" s="4"/>
      <c r="CH119" s="352"/>
      <c r="CI119" s="4"/>
      <c r="CJ119" s="4"/>
      <c r="CK119" s="4"/>
      <c r="CL119" s="4"/>
      <c r="CM119" s="352"/>
      <c r="CN119" s="4"/>
      <c r="CO119" s="4"/>
      <c r="CP119" s="4"/>
      <c r="CQ119" s="4"/>
      <c r="CR119" s="352"/>
      <c r="CS119" s="4"/>
      <c r="CT119" s="4"/>
      <c r="CU119" s="4"/>
      <c r="CV119" s="4"/>
      <c r="CW119" s="352"/>
      <c r="CX119" s="4"/>
      <c r="CY119" s="4"/>
      <c r="CZ119" s="4"/>
      <c r="DA119" s="4"/>
      <c r="DB119" s="352"/>
      <c r="DC119" s="4"/>
      <c r="DD119" s="4"/>
      <c r="DE119" s="4"/>
      <c r="DF119" s="4"/>
      <c r="DG119" s="352"/>
      <c r="DH119" s="4"/>
      <c r="DI119" s="4"/>
      <c r="DJ119" s="4"/>
      <c r="DK119" s="4"/>
      <c r="DL119" s="352"/>
      <c r="DM119" s="4"/>
      <c r="DN119" s="4"/>
      <c r="DO119" s="4"/>
      <c r="DP119" s="4"/>
      <c r="DQ119" s="352"/>
      <c r="DR119" s="3"/>
      <c r="DS119" s="112"/>
    </row>
    <row r="120" spans="1:129" s="177" customFormat="1">
      <c r="A120" s="19"/>
      <c r="B120" s="49" t="s">
        <v>161</v>
      </c>
      <c r="C120" s="298"/>
      <c r="D120" s="298"/>
      <c r="E120" s="298"/>
      <c r="F120" s="298"/>
      <c r="G120" s="299"/>
      <c r="H120" s="300"/>
      <c r="I120" s="300"/>
      <c r="J120" s="301"/>
      <c r="K120" s="816"/>
      <c r="L120" s="299"/>
      <c r="M120" s="300"/>
      <c r="N120" s="300"/>
      <c r="O120" s="300"/>
      <c r="P120" s="816"/>
      <c r="Q120" s="299"/>
      <c r="R120" s="300"/>
      <c r="S120" s="300"/>
      <c r="T120" s="301"/>
      <c r="U120" s="816"/>
      <c r="V120" s="300"/>
      <c r="W120" s="300"/>
      <c r="X120" s="300"/>
      <c r="Y120" s="301"/>
      <c r="Z120" s="816"/>
      <c r="AA120" s="300"/>
      <c r="AB120" s="300"/>
      <c r="AC120" s="300"/>
      <c r="AD120" s="300"/>
      <c r="AE120" s="816"/>
      <c r="AF120" s="300"/>
      <c r="AG120" s="300"/>
      <c r="AH120" s="300"/>
      <c r="AI120" s="300"/>
      <c r="AJ120" s="816"/>
      <c r="AK120" s="300"/>
      <c r="AL120" s="300"/>
      <c r="AM120" s="300"/>
      <c r="AN120" s="300"/>
      <c r="AO120" s="816"/>
      <c r="AP120" s="300"/>
      <c r="AQ120" s="300"/>
      <c r="AR120" s="300"/>
      <c r="AS120" s="300"/>
      <c r="AT120" s="816"/>
      <c r="AU120" s="300"/>
      <c r="AV120" s="300"/>
      <c r="AW120" s="300"/>
      <c r="AX120" s="300"/>
      <c r="AY120" s="816"/>
      <c r="AZ120" s="300"/>
      <c r="BA120" s="300"/>
      <c r="BB120" s="300"/>
      <c r="BC120" s="300"/>
      <c r="BD120" s="816"/>
      <c r="BE120" s="300"/>
      <c r="BF120" s="300"/>
      <c r="BG120" s="300"/>
      <c r="BH120" s="300"/>
      <c r="BI120" s="816"/>
      <c r="BJ120" s="300"/>
      <c r="BK120" s="300"/>
      <c r="BL120" s="300"/>
      <c r="BM120" s="300"/>
      <c r="BN120" s="816"/>
      <c r="BO120" s="300"/>
      <c r="BP120" s="300"/>
      <c r="BQ120" s="300"/>
      <c r="BR120" s="300"/>
      <c r="BS120" s="816"/>
      <c r="BT120" s="300"/>
      <c r="BU120" s="300"/>
      <c r="BV120" s="300"/>
      <c r="BW120" s="300"/>
      <c r="BX120" s="816"/>
      <c r="BY120" s="300"/>
      <c r="BZ120" s="300"/>
      <c r="CA120" s="300"/>
      <c r="CB120" s="300"/>
      <c r="CC120" s="816"/>
      <c r="CD120" s="300"/>
      <c r="CE120" s="300"/>
      <c r="CF120" s="300"/>
      <c r="CG120" s="300"/>
      <c r="CH120" s="816"/>
      <c r="CI120" s="300"/>
      <c r="CJ120" s="300"/>
      <c r="CK120" s="300"/>
      <c r="CL120" s="300"/>
      <c r="CM120" s="816"/>
      <c r="CN120" s="300"/>
      <c r="CO120" s="527"/>
      <c r="CP120" s="300"/>
      <c r="CQ120" s="300"/>
      <c r="CR120" s="816"/>
      <c r="CS120" s="300"/>
      <c r="CT120" s="300"/>
      <c r="CU120" s="300"/>
      <c r="CV120" s="300"/>
      <c r="CW120" s="816"/>
      <c r="CX120" s="300"/>
      <c r="CY120" s="300"/>
      <c r="CZ120" s="300"/>
      <c r="DA120" s="300"/>
      <c r="DB120" s="816"/>
      <c r="DC120" s="300"/>
      <c r="DD120" s="300"/>
      <c r="DE120" s="300"/>
      <c r="DF120" s="300"/>
      <c r="DG120" s="816"/>
      <c r="DH120" s="300"/>
      <c r="DI120" s="300"/>
      <c r="DJ120" s="300"/>
      <c r="DK120" s="300"/>
      <c r="DL120" s="816"/>
      <c r="DM120" s="300"/>
      <c r="DN120" s="300"/>
      <c r="DO120" s="300"/>
      <c r="DP120" s="300"/>
      <c r="DQ120" s="816"/>
      <c r="DR120" s="31"/>
      <c r="DS120" s="54"/>
      <c r="DT120"/>
      <c r="DU120"/>
      <c r="DV120"/>
      <c r="DW120"/>
      <c r="DX120"/>
      <c r="DY120"/>
    </row>
    <row r="121" spans="1:129" s="202" customFormat="1">
      <c r="B121" s="169" t="s">
        <v>162</v>
      </c>
      <c r="C121" s="191"/>
      <c r="D121" s="191"/>
      <c r="E121" s="191"/>
      <c r="F121" s="191"/>
      <c r="G121" s="235"/>
      <c r="H121" s="236"/>
      <c r="I121" s="236"/>
      <c r="J121" s="237"/>
      <c r="K121" s="334"/>
      <c r="L121" s="236"/>
      <c r="M121" s="236"/>
      <c r="N121" s="236"/>
      <c r="O121" s="237"/>
      <c r="P121" s="334"/>
      <c r="Q121" s="236"/>
      <c r="R121" s="236"/>
      <c r="S121" s="236"/>
      <c r="T121" s="237"/>
      <c r="U121" s="334"/>
      <c r="V121" s="236"/>
      <c r="W121" s="236"/>
      <c r="X121" s="236"/>
      <c r="Y121" s="237"/>
      <c r="Z121" s="334"/>
      <c r="AA121" s="236"/>
      <c r="AB121" s="236"/>
      <c r="AC121" s="236"/>
      <c r="AD121" s="236"/>
      <c r="AE121" s="334"/>
      <c r="AF121" s="236"/>
      <c r="AG121" s="236"/>
      <c r="AH121" s="236"/>
      <c r="AI121" s="236"/>
      <c r="AJ121" s="334"/>
      <c r="AK121" s="236"/>
      <c r="AL121" s="236"/>
      <c r="AM121" s="236"/>
      <c r="AN121" s="236"/>
      <c r="AO121" s="334"/>
      <c r="AP121" s="236"/>
      <c r="AQ121" s="236"/>
      <c r="AR121" s="236"/>
      <c r="AS121" s="236"/>
      <c r="AT121" s="334"/>
      <c r="AU121" s="236">
        <f>AS123</f>
        <v>21.914999999999999</v>
      </c>
      <c r="AV121" s="236">
        <f>AU123</f>
        <v>22.120249999999999</v>
      </c>
      <c r="AW121" s="236">
        <f>AV123</f>
        <v>22.410499999999999</v>
      </c>
      <c r="AX121" s="236">
        <f>AW123</f>
        <v>29.142749999999999</v>
      </c>
      <c r="AY121" s="334">
        <f>AT32</f>
        <v>21.914999999999999</v>
      </c>
      <c r="AZ121" s="236">
        <f>AX123</f>
        <v>28.818000000000001</v>
      </c>
      <c r="BA121" s="236">
        <f t="shared" ref="BA121:BG121" si="404">AZ123</f>
        <v>28.47025</v>
      </c>
      <c r="BB121" s="236">
        <f t="shared" si="404"/>
        <v>24.606500000000004</v>
      </c>
      <c r="BC121" s="236">
        <f t="shared" si="404"/>
        <v>24.755750000000003</v>
      </c>
      <c r="BD121" s="334">
        <f>AY123</f>
        <v>28.818000000000001</v>
      </c>
      <c r="BE121" s="236">
        <f>BC123</f>
        <v>56.912999999999997</v>
      </c>
      <c r="BF121" s="236">
        <f t="shared" si="404"/>
        <v>57.943750000000001</v>
      </c>
      <c r="BG121" s="236">
        <f t="shared" si="404"/>
        <v>62.544499999999999</v>
      </c>
      <c r="BH121" s="236">
        <f t="shared" ref="BH121:BV121" si="405">BG123</f>
        <v>62.250249999999994</v>
      </c>
      <c r="BI121" s="334">
        <f>BD123</f>
        <v>56.912999999999997</v>
      </c>
      <c r="BJ121" s="236">
        <f>BH123</f>
        <v>67.201000000000008</v>
      </c>
      <c r="BK121" s="236">
        <f t="shared" si="405"/>
        <v>69.028999999999996</v>
      </c>
      <c r="BL121" s="236">
        <f t="shared" si="405"/>
        <v>70.430999999999997</v>
      </c>
      <c r="BM121" s="236">
        <f t="shared" si="405"/>
        <v>92.628</v>
      </c>
      <c r="BN121" s="334">
        <f>BI123</f>
        <v>67.201000000000008</v>
      </c>
      <c r="BO121" s="236">
        <f>BM123</f>
        <v>105.492</v>
      </c>
      <c r="BP121" s="236">
        <f t="shared" si="405"/>
        <v>108.539</v>
      </c>
      <c r="BQ121" s="236">
        <f t="shared" si="405"/>
        <v>126.82499999999999</v>
      </c>
      <c r="BR121" s="236">
        <f t="shared" si="405"/>
        <v>125.42899999999999</v>
      </c>
      <c r="BS121" s="334">
        <f>BN123</f>
        <v>105.492</v>
      </c>
      <c r="BT121" s="236">
        <f>BR123</f>
        <v>123.10700000000003</v>
      </c>
      <c r="BU121" s="236">
        <f t="shared" si="405"/>
        <v>123.779</v>
      </c>
      <c r="BV121" s="236">
        <f t="shared" si="405"/>
        <v>133.857</v>
      </c>
      <c r="BW121" s="236">
        <f t="shared" ref="BW121:CL121" si="406">BV123</f>
        <v>152.59199999999998</v>
      </c>
      <c r="BX121" s="334">
        <f>BS123</f>
        <v>123.10700000000003</v>
      </c>
      <c r="BY121" s="236">
        <f>BW123</f>
        <v>151.65899999999999</v>
      </c>
      <c r="BZ121" s="236">
        <f t="shared" si="406"/>
        <v>152.2835</v>
      </c>
      <c r="CA121" s="236">
        <f t="shared" si="406"/>
        <v>150.21199999999999</v>
      </c>
      <c r="CB121" s="236">
        <f t="shared" si="406"/>
        <v>156.08449999999999</v>
      </c>
      <c r="CC121" s="334">
        <f>BX123</f>
        <v>151.65899999999999</v>
      </c>
      <c r="CD121" s="236">
        <f>CB123</f>
        <v>160.79599999999999</v>
      </c>
      <c r="CE121" s="236">
        <f t="shared" si="406"/>
        <v>200.64150000000001</v>
      </c>
      <c r="CF121" s="236">
        <f t="shared" si="406"/>
        <v>204.95100000000002</v>
      </c>
      <c r="CG121" s="236">
        <f t="shared" si="406"/>
        <v>205.9205</v>
      </c>
      <c r="CH121" s="334">
        <f>CC123</f>
        <v>160.79599999999999</v>
      </c>
      <c r="CI121" s="236">
        <f>CG123</f>
        <v>223.87300000000002</v>
      </c>
      <c r="CJ121" s="236">
        <f t="shared" si="406"/>
        <v>222.15350000000001</v>
      </c>
      <c r="CK121" s="236">
        <f t="shared" si="406"/>
        <v>223.19000000000003</v>
      </c>
      <c r="CL121" s="236">
        <f t="shared" si="406"/>
        <v>216.74950000000001</v>
      </c>
      <c r="CM121" s="334">
        <f>CH123</f>
        <v>223.87299999999999</v>
      </c>
      <c r="CN121" s="236">
        <f>CL123</f>
        <v>1065.626</v>
      </c>
      <c r="CO121" s="241">
        <f t="shared" ref="CO121:CY121" si="407">CN123</f>
        <v>1065.2176178937989</v>
      </c>
      <c r="CP121" s="241">
        <f t="shared" si="407"/>
        <v>1067.8486777418429</v>
      </c>
      <c r="CQ121" s="236">
        <f t="shared" si="407"/>
        <v>1068.1413166601478</v>
      </c>
      <c r="CR121" s="334">
        <f>CM123</f>
        <v>1065.626</v>
      </c>
      <c r="CS121" s="236">
        <f>CQ123</f>
        <v>1076.0408046938483</v>
      </c>
      <c r="CT121" s="236">
        <f t="shared" si="407"/>
        <v>1099.2251775864063</v>
      </c>
      <c r="CU121" s="241">
        <f t="shared" si="407"/>
        <v>1224.0521729238189</v>
      </c>
      <c r="CV121" s="236">
        <f t="shared" si="407"/>
        <v>1228.2007020766052</v>
      </c>
      <c r="CW121" s="334">
        <f>CR123</f>
        <v>1076.040804693848</v>
      </c>
      <c r="CX121" s="236">
        <f>CV123</f>
        <v>1271.046326158026</v>
      </c>
      <c r="CY121" s="236">
        <f t="shared" si="407"/>
        <v>1274.8224843119765</v>
      </c>
      <c r="CZ121" s="236">
        <f>CY123</f>
        <v>1277.693046419776</v>
      </c>
      <c r="DA121" s="236">
        <f>CZ123</f>
        <v>1372.6353725802705</v>
      </c>
      <c r="DB121" s="334">
        <f>CW123</f>
        <v>1271.046326158026</v>
      </c>
      <c r="DC121" s="236">
        <f>DA123</f>
        <v>1422.6353725802705</v>
      </c>
      <c r="DD121" s="236">
        <f t="shared" ref="DD121:DK121" si="408">DC123</f>
        <v>1427.6353725802705</v>
      </c>
      <c r="DE121" s="236">
        <f t="shared" si="408"/>
        <v>1432.6353725802705</v>
      </c>
      <c r="DF121" s="236">
        <f t="shared" si="408"/>
        <v>1437.6353725802705</v>
      </c>
      <c r="DG121" s="334">
        <f>DB123</f>
        <v>1422.6353725802705</v>
      </c>
      <c r="DH121" s="236">
        <f>DF123</f>
        <v>1442.6353725802705</v>
      </c>
      <c r="DI121" s="236">
        <f t="shared" si="408"/>
        <v>1447.6353725802705</v>
      </c>
      <c r="DJ121" s="236">
        <f t="shared" si="408"/>
        <v>1452.6353725802705</v>
      </c>
      <c r="DK121" s="236">
        <f t="shared" si="408"/>
        <v>1457.6353725802705</v>
      </c>
      <c r="DL121" s="334">
        <f>DG123</f>
        <v>1442.6353725802705</v>
      </c>
      <c r="DM121" s="236">
        <f>DK123</f>
        <v>1462.6353725802705</v>
      </c>
      <c r="DN121" s="236">
        <f t="shared" ref="DN121" si="409">DM123</f>
        <v>1467.6353725802705</v>
      </c>
      <c r="DO121" s="236">
        <f t="shared" ref="DO121" si="410">DN123</f>
        <v>1472.6353725802705</v>
      </c>
      <c r="DP121" s="236">
        <f t="shared" ref="DP121" si="411">DO123</f>
        <v>1477.6353725802705</v>
      </c>
      <c r="DQ121" s="334">
        <f>DL123</f>
        <v>1462.6353725802703</v>
      </c>
      <c r="DR121" s="169"/>
      <c r="DS121" s="269"/>
      <c r="DT121"/>
      <c r="DU121"/>
      <c r="DV121"/>
      <c r="DW121"/>
      <c r="DX121"/>
      <c r="DY121"/>
    </row>
    <row r="122" spans="1:129" s="154" customFormat="1">
      <c r="B122" s="136"/>
      <c r="C122" s="135" t="s">
        <v>168</v>
      </c>
      <c r="D122" s="135"/>
      <c r="E122" s="135"/>
      <c r="F122" s="135"/>
      <c r="G122" s="263"/>
      <c r="H122" s="264"/>
      <c r="I122" s="264"/>
      <c r="J122" s="265"/>
      <c r="K122" s="333"/>
      <c r="L122" s="264"/>
      <c r="M122" s="264"/>
      <c r="N122" s="264"/>
      <c r="O122" s="265"/>
      <c r="P122" s="333"/>
      <c r="Q122" s="264"/>
      <c r="R122" s="264"/>
      <c r="S122" s="264"/>
      <c r="T122" s="265"/>
      <c r="U122" s="333"/>
      <c r="V122" s="264"/>
      <c r="W122" s="264"/>
      <c r="X122" s="264"/>
      <c r="Y122" s="265"/>
      <c r="Z122" s="333"/>
      <c r="AA122" s="264"/>
      <c r="AB122" s="264"/>
      <c r="AC122" s="264"/>
      <c r="AD122" s="264"/>
      <c r="AE122" s="333"/>
      <c r="AF122" s="264"/>
      <c r="AG122" s="264"/>
      <c r="AH122" s="264"/>
      <c r="AI122" s="264"/>
      <c r="AJ122" s="333"/>
      <c r="AK122" s="264"/>
      <c r="AL122" s="264"/>
      <c r="AM122" s="264"/>
      <c r="AN122" s="264"/>
      <c r="AO122" s="333"/>
      <c r="AP122" s="264"/>
      <c r="AQ122" s="264"/>
      <c r="AR122" s="264"/>
      <c r="AS122" s="264"/>
      <c r="AT122" s="333"/>
      <c r="AU122" s="233">
        <f t="shared" ref="AU122:BW122" si="412">AU123-AU121</f>
        <v>0.20524999999999949</v>
      </c>
      <c r="AV122" s="233">
        <f t="shared" si="412"/>
        <v>0.29025000000000034</v>
      </c>
      <c r="AW122" s="233">
        <f t="shared" si="412"/>
        <v>6.7322500000000005</v>
      </c>
      <c r="AX122" s="233">
        <f t="shared" si="412"/>
        <v>-0.3247499999999981</v>
      </c>
      <c r="AY122" s="333">
        <f>SUM(AU122:AX122)</f>
        <v>6.9030000000000022</v>
      </c>
      <c r="AZ122" s="233">
        <f t="shared" si="412"/>
        <v>-0.34775000000000134</v>
      </c>
      <c r="BA122" s="233">
        <f t="shared" si="412"/>
        <v>-3.863749999999996</v>
      </c>
      <c r="BB122" s="233">
        <f t="shared" si="412"/>
        <v>0.14924999999999855</v>
      </c>
      <c r="BC122" s="233">
        <f t="shared" si="412"/>
        <v>32.157249999999991</v>
      </c>
      <c r="BD122" s="333">
        <f>SUM(AZ122:BC122)</f>
        <v>28.094999999999992</v>
      </c>
      <c r="BE122" s="233">
        <f t="shared" si="412"/>
        <v>1.0307500000000047</v>
      </c>
      <c r="BF122" s="233">
        <f t="shared" si="412"/>
        <v>4.6007499999999979</v>
      </c>
      <c r="BG122" s="233">
        <f t="shared" si="412"/>
        <v>-0.29425000000000523</v>
      </c>
      <c r="BH122" s="233">
        <f t="shared" si="412"/>
        <v>4.9507500000000135</v>
      </c>
      <c r="BI122" s="333">
        <f>SUM(BE122:BH122)</f>
        <v>10.288000000000011</v>
      </c>
      <c r="BJ122" s="233">
        <f t="shared" si="412"/>
        <v>1.8279999999999887</v>
      </c>
      <c r="BK122" s="233">
        <f t="shared" si="412"/>
        <v>1.402000000000001</v>
      </c>
      <c r="BL122" s="233">
        <f t="shared" si="412"/>
        <v>22.197000000000003</v>
      </c>
      <c r="BM122" s="233">
        <f t="shared" si="412"/>
        <v>12.864000000000004</v>
      </c>
      <c r="BN122" s="333">
        <f>SUM(BJ122:BM122)</f>
        <v>38.290999999999997</v>
      </c>
      <c r="BO122" s="233">
        <f t="shared" si="412"/>
        <v>3.046999999999997</v>
      </c>
      <c r="BP122" s="233">
        <f t="shared" si="412"/>
        <v>18.285999999999987</v>
      </c>
      <c r="BQ122" s="233">
        <f t="shared" si="412"/>
        <v>-1.3960000000000008</v>
      </c>
      <c r="BR122" s="233">
        <f t="shared" si="412"/>
        <v>-2.3219999999999601</v>
      </c>
      <c r="BS122" s="333">
        <f>SUM(BO122:BR122)</f>
        <v>17.615000000000023</v>
      </c>
      <c r="BT122" s="233">
        <f t="shared" si="412"/>
        <v>0.67199999999996862</v>
      </c>
      <c r="BU122" s="233">
        <f t="shared" si="412"/>
        <v>10.078000000000003</v>
      </c>
      <c r="BV122" s="233">
        <f t="shared" si="412"/>
        <v>18.734999999999985</v>
      </c>
      <c r="BW122" s="233">
        <f t="shared" si="412"/>
        <v>-0.93299999999999272</v>
      </c>
      <c r="BX122" s="333">
        <f>SUM(BT122:BW122)</f>
        <v>28.551999999999964</v>
      </c>
      <c r="BY122" s="233">
        <f t="shared" ref="BY122:CN122" si="413">BY123-BY121</f>
        <v>0.62450000000001182</v>
      </c>
      <c r="BZ122" s="233">
        <f t="shared" si="413"/>
        <v>-2.0715000000000146</v>
      </c>
      <c r="CA122" s="233">
        <f t="shared" si="413"/>
        <v>5.8725000000000023</v>
      </c>
      <c r="CB122" s="233">
        <f t="shared" si="413"/>
        <v>4.7115000000000009</v>
      </c>
      <c r="CC122" s="333">
        <f>SUM(BY122:CB122)</f>
        <v>9.1370000000000005</v>
      </c>
      <c r="CD122" s="233">
        <f t="shared" si="413"/>
        <v>39.845500000000015</v>
      </c>
      <c r="CE122" s="233">
        <f t="shared" si="413"/>
        <v>4.3095000000000141</v>
      </c>
      <c r="CF122" s="233">
        <f t="shared" si="413"/>
        <v>0.96949999999998226</v>
      </c>
      <c r="CG122" s="233">
        <f t="shared" si="413"/>
        <v>17.952500000000015</v>
      </c>
      <c r="CH122" s="333">
        <f>SUM(CD122:CG122)</f>
        <v>63.077000000000027</v>
      </c>
      <c r="CI122" s="233">
        <f t="shared" si="413"/>
        <v>-1.7195000000000107</v>
      </c>
      <c r="CJ122" s="233">
        <f t="shared" si="413"/>
        <v>1.036500000000018</v>
      </c>
      <c r="CK122" s="233">
        <f t="shared" si="413"/>
        <v>-6.4405000000000143</v>
      </c>
      <c r="CL122" s="233">
        <f t="shared" si="413"/>
        <v>848.87649999999996</v>
      </c>
      <c r="CM122" s="333">
        <f>SUM(CI122:CL122)</f>
        <v>841.75299999999993</v>
      </c>
      <c r="CN122" s="233">
        <f t="shared" si="413"/>
        <v>-0.40838210620108839</v>
      </c>
      <c r="CO122" s="230">
        <f t="shared" ref="CO122:CU122" si="414">CO123-CO121</f>
        <v>2.6310598480440603</v>
      </c>
      <c r="CP122" s="230">
        <f t="shared" si="414"/>
        <v>0.2926389183048741</v>
      </c>
      <c r="CQ122" s="230">
        <f t="shared" si="414"/>
        <v>7.8994880337004361</v>
      </c>
      <c r="CR122" s="333">
        <f>SUM(CN122:CQ122)</f>
        <v>10.414804693848282</v>
      </c>
      <c r="CS122" s="239">
        <f t="shared" si="414"/>
        <v>23.184372892558031</v>
      </c>
      <c r="CT122" s="239">
        <f t="shared" si="414"/>
        <v>124.82699533741265</v>
      </c>
      <c r="CU122" s="239">
        <f t="shared" si="414"/>
        <v>4.1485291527862955</v>
      </c>
      <c r="CV122" s="239">
        <f>CV123-CV121</f>
        <v>42.845624081420738</v>
      </c>
      <c r="CW122" s="352">
        <f>SUM(CS122:CV122)</f>
        <v>195.00552146417772</v>
      </c>
      <c r="CX122" s="239">
        <f>CX123-CX121</f>
        <v>3.7761581539505187</v>
      </c>
      <c r="CY122" s="239">
        <f>CY123-CY121</f>
        <v>2.8705621077995147</v>
      </c>
      <c r="CZ122" s="239">
        <f>CZ123-CZ121</f>
        <v>94.942326160494531</v>
      </c>
      <c r="DA122" s="1128">
        <v>50</v>
      </c>
      <c r="DB122" s="333">
        <f>SUM(CX122:DA122)</f>
        <v>151.58904642224456</v>
      </c>
      <c r="DC122" s="307">
        <v>5</v>
      </c>
      <c r="DD122" s="307">
        <v>5</v>
      </c>
      <c r="DE122" s="307">
        <v>5</v>
      </c>
      <c r="DF122" s="307">
        <v>5</v>
      </c>
      <c r="DG122" s="333">
        <f>SUM(DC122:DF122)</f>
        <v>20</v>
      </c>
      <c r="DH122" s="307">
        <v>5</v>
      </c>
      <c r="DI122" s="307">
        <v>5</v>
      </c>
      <c r="DJ122" s="307">
        <v>5</v>
      </c>
      <c r="DK122" s="307">
        <v>5</v>
      </c>
      <c r="DL122" s="333">
        <f>SUM(DH122:DK122)</f>
        <v>20</v>
      </c>
      <c r="DM122" s="307">
        <v>5</v>
      </c>
      <c r="DN122" s="307">
        <v>5</v>
      </c>
      <c r="DO122" s="307">
        <v>5</v>
      </c>
      <c r="DP122" s="307">
        <v>5</v>
      </c>
      <c r="DQ122" s="333">
        <f>SUM(DM122:DP122)</f>
        <v>20</v>
      </c>
      <c r="DR122" s="136"/>
      <c r="DS122" s="145"/>
      <c r="DT122"/>
      <c r="DU122"/>
      <c r="DV122"/>
      <c r="DW122"/>
      <c r="DX122"/>
      <c r="DY122"/>
    </row>
    <row r="123" spans="1:129" s="202" customFormat="1">
      <c r="B123" s="169" t="s">
        <v>163</v>
      </c>
      <c r="C123" s="191"/>
      <c r="D123" s="191"/>
      <c r="E123" s="191"/>
      <c r="F123" s="191"/>
      <c r="G123" s="235"/>
      <c r="H123" s="236"/>
      <c r="I123" s="236"/>
      <c r="J123" s="237"/>
      <c r="K123" s="334"/>
      <c r="L123" s="236"/>
      <c r="M123" s="236"/>
      <c r="N123" s="236"/>
      <c r="O123" s="237"/>
      <c r="P123" s="334"/>
      <c r="Q123" s="236"/>
      <c r="R123" s="236"/>
      <c r="S123" s="236"/>
      <c r="T123" s="237"/>
      <c r="U123" s="334"/>
      <c r="V123" s="236"/>
      <c r="W123" s="236"/>
      <c r="X123" s="236"/>
      <c r="Y123" s="237"/>
      <c r="Z123" s="334"/>
      <c r="AA123" s="236"/>
      <c r="AB123" s="236"/>
      <c r="AC123" s="236"/>
      <c r="AD123" s="236"/>
      <c r="AE123" s="334"/>
      <c r="AF123" s="236"/>
      <c r="AG123" s="236"/>
      <c r="AH123" s="236"/>
      <c r="AI123" s="236"/>
      <c r="AJ123" s="334"/>
      <c r="AK123" s="236"/>
      <c r="AL123" s="236"/>
      <c r="AM123" s="236"/>
      <c r="AN123" s="236"/>
      <c r="AO123" s="334"/>
      <c r="AP123" s="236"/>
      <c r="AQ123" s="236"/>
      <c r="AR123" s="236"/>
      <c r="AS123" s="236">
        <f>AS32</f>
        <v>21.914999999999999</v>
      </c>
      <c r="AT123" s="334"/>
      <c r="AU123" s="236">
        <f t="shared" ref="AU123:CB123" si="415">AU129-AU127</f>
        <v>22.120249999999999</v>
      </c>
      <c r="AV123" s="236">
        <f t="shared" si="415"/>
        <v>22.410499999999999</v>
      </c>
      <c r="AW123" s="236">
        <f t="shared" si="415"/>
        <v>29.142749999999999</v>
      </c>
      <c r="AX123" s="236">
        <f t="shared" si="415"/>
        <v>28.818000000000001</v>
      </c>
      <c r="AY123" s="334">
        <f>AY129-AY127</f>
        <v>28.818000000000001</v>
      </c>
      <c r="AZ123" s="236">
        <f t="shared" si="415"/>
        <v>28.47025</v>
      </c>
      <c r="BA123" s="236">
        <f t="shared" si="415"/>
        <v>24.606500000000004</v>
      </c>
      <c r="BB123" s="236">
        <f t="shared" si="415"/>
        <v>24.755750000000003</v>
      </c>
      <c r="BC123" s="236">
        <f t="shared" si="415"/>
        <v>56.912999999999997</v>
      </c>
      <c r="BD123" s="334">
        <f>BD129-BD127</f>
        <v>56.912999999999997</v>
      </c>
      <c r="BE123" s="236">
        <f t="shared" si="415"/>
        <v>57.943750000000001</v>
      </c>
      <c r="BF123" s="236">
        <f t="shared" si="415"/>
        <v>62.544499999999999</v>
      </c>
      <c r="BG123" s="236">
        <f t="shared" si="415"/>
        <v>62.250249999999994</v>
      </c>
      <c r="BH123" s="236">
        <f t="shared" si="415"/>
        <v>67.201000000000008</v>
      </c>
      <c r="BI123" s="334">
        <f>BI129-BI127</f>
        <v>67.201000000000008</v>
      </c>
      <c r="BJ123" s="236">
        <f t="shared" si="415"/>
        <v>69.028999999999996</v>
      </c>
      <c r="BK123" s="236">
        <f t="shared" si="415"/>
        <v>70.430999999999997</v>
      </c>
      <c r="BL123" s="236">
        <f t="shared" si="415"/>
        <v>92.628</v>
      </c>
      <c r="BM123" s="236">
        <f t="shared" si="415"/>
        <v>105.492</v>
      </c>
      <c r="BN123" s="334">
        <f>BN129-BN127</f>
        <v>105.492</v>
      </c>
      <c r="BO123" s="236">
        <f t="shared" si="415"/>
        <v>108.539</v>
      </c>
      <c r="BP123" s="236">
        <f t="shared" si="415"/>
        <v>126.82499999999999</v>
      </c>
      <c r="BQ123" s="236">
        <f t="shared" si="415"/>
        <v>125.42899999999999</v>
      </c>
      <c r="BR123" s="236">
        <f t="shared" si="415"/>
        <v>123.10700000000003</v>
      </c>
      <c r="BS123" s="334">
        <f>BS129-BS127</f>
        <v>123.10700000000003</v>
      </c>
      <c r="BT123" s="236">
        <f t="shared" si="415"/>
        <v>123.779</v>
      </c>
      <c r="BU123" s="236">
        <f t="shared" si="415"/>
        <v>133.857</v>
      </c>
      <c r="BV123" s="236">
        <f t="shared" si="415"/>
        <v>152.59199999999998</v>
      </c>
      <c r="BW123" s="236">
        <f t="shared" si="415"/>
        <v>151.65899999999999</v>
      </c>
      <c r="BX123" s="334">
        <f>BX129-BX127</f>
        <v>151.65899999999999</v>
      </c>
      <c r="BY123" s="236">
        <f t="shared" si="415"/>
        <v>152.2835</v>
      </c>
      <c r="BZ123" s="236">
        <f t="shared" si="415"/>
        <v>150.21199999999999</v>
      </c>
      <c r="CA123" s="236">
        <f t="shared" si="415"/>
        <v>156.08449999999999</v>
      </c>
      <c r="CB123" s="236">
        <f t="shared" si="415"/>
        <v>160.79599999999999</v>
      </c>
      <c r="CC123" s="334">
        <f>CC129-CC127</f>
        <v>160.79599999999999</v>
      </c>
      <c r="CD123" s="236">
        <f t="shared" ref="CD123:CN123" si="416">CD129-CD127</f>
        <v>200.64150000000001</v>
      </c>
      <c r="CE123" s="236">
        <f t="shared" si="416"/>
        <v>204.95100000000002</v>
      </c>
      <c r="CF123" s="236">
        <f t="shared" si="416"/>
        <v>205.9205</v>
      </c>
      <c r="CG123" s="236">
        <f t="shared" si="416"/>
        <v>223.87300000000002</v>
      </c>
      <c r="CH123" s="334">
        <f>CH129-CH127</f>
        <v>223.87299999999999</v>
      </c>
      <c r="CI123" s="236">
        <f t="shared" si="416"/>
        <v>222.15350000000001</v>
      </c>
      <c r="CJ123" s="236">
        <f t="shared" si="416"/>
        <v>223.19000000000003</v>
      </c>
      <c r="CK123" s="236">
        <f t="shared" si="416"/>
        <v>216.74950000000001</v>
      </c>
      <c r="CL123" s="236">
        <f t="shared" si="416"/>
        <v>1065.626</v>
      </c>
      <c r="CM123" s="334">
        <f>CM129-CM127</f>
        <v>1065.626</v>
      </c>
      <c r="CN123" s="236">
        <f t="shared" si="416"/>
        <v>1065.2176178937989</v>
      </c>
      <c r="CO123" s="241">
        <f t="shared" ref="CO123:CU123" si="417">CO129-CO127</f>
        <v>1067.8486777418429</v>
      </c>
      <c r="CP123" s="241">
        <f t="shared" si="417"/>
        <v>1068.1413166601478</v>
      </c>
      <c r="CQ123" s="241">
        <f t="shared" si="417"/>
        <v>1076.0408046938483</v>
      </c>
      <c r="CR123" s="334">
        <f>CR129-CR127</f>
        <v>1076.040804693848</v>
      </c>
      <c r="CS123" s="241">
        <f t="shared" si="417"/>
        <v>1099.2251775864063</v>
      </c>
      <c r="CT123" s="241">
        <f t="shared" si="417"/>
        <v>1224.0521729238189</v>
      </c>
      <c r="CU123" s="241">
        <f t="shared" si="417"/>
        <v>1228.2007020766052</v>
      </c>
      <c r="CV123" s="241">
        <f>CV129-CV127</f>
        <v>1271.046326158026</v>
      </c>
      <c r="CW123" s="334">
        <f>CW129-CW127</f>
        <v>1271.046326158026</v>
      </c>
      <c r="CX123" s="241">
        <f>CX129-CX127</f>
        <v>1274.8224843119765</v>
      </c>
      <c r="CY123" s="241">
        <f>CY129-CY127</f>
        <v>1277.693046419776</v>
      </c>
      <c r="CZ123" s="236">
        <f>+CZ129-CZ127</f>
        <v>1372.6353725802705</v>
      </c>
      <c r="DA123" s="236">
        <f>SUM(DA121:DA122)</f>
        <v>1422.6353725802705</v>
      </c>
      <c r="DB123" s="334">
        <f>DB129-DB127</f>
        <v>1422.6353725802705</v>
      </c>
      <c r="DC123" s="236">
        <f t="shared" ref="DC123:DF123" si="418">SUM(DC121:DC122)</f>
        <v>1427.6353725802705</v>
      </c>
      <c r="DD123" s="236">
        <f t="shared" si="418"/>
        <v>1432.6353725802705</v>
      </c>
      <c r="DE123" s="236">
        <f t="shared" si="418"/>
        <v>1437.6353725802705</v>
      </c>
      <c r="DF123" s="236">
        <f t="shared" si="418"/>
        <v>1442.6353725802705</v>
      </c>
      <c r="DG123" s="334">
        <f>DG129-DG127</f>
        <v>1442.6353725802705</v>
      </c>
      <c r="DH123" s="236">
        <f>SUM(DH121:DH122)</f>
        <v>1447.6353725802705</v>
      </c>
      <c r="DI123" s="236">
        <f>SUM(DI121:DI122)</f>
        <v>1452.6353725802705</v>
      </c>
      <c r="DJ123" s="236">
        <f>SUM(DJ121:DJ122)</f>
        <v>1457.6353725802705</v>
      </c>
      <c r="DK123" s="236">
        <f>SUM(DK121:DK122)</f>
        <v>1462.6353725802705</v>
      </c>
      <c r="DL123" s="334">
        <f>DL129-DL127</f>
        <v>1462.6353725802703</v>
      </c>
      <c r="DM123" s="236">
        <f>SUM(DM121:DM122)</f>
        <v>1467.6353725802705</v>
      </c>
      <c r="DN123" s="236">
        <f>SUM(DN121:DN122)</f>
        <v>1472.6353725802705</v>
      </c>
      <c r="DO123" s="236">
        <f>SUM(DO121:DO122)</f>
        <v>1477.6353725802705</v>
      </c>
      <c r="DP123" s="236">
        <f>SUM(DP121:DP122)</f>
        <v>1482.6353725802705</v>
      </c>
      <c r="DQ123" s="334">
        <f>DQ129-DQ127</f>
        <v>1482.6353725802703</v>
      </c>
      <c r="DR123" s="169"/>
      <c r="DS123" s="269"/>
      <c r="DT123"/>
      <c r="DU123"/>
      <c r="DV123"/>
      <c r="DW123"/>
      <c r="DX123"/>
      <c r="DY123"/>
    </row>
    <row r="124" spans="1:129" s="154" customFormat="1">
      <c r="B124" s="136"/>
      <c r="C124" s="135"/>
      <c r="D124" s="135"/>
      <c r="E124" s="135"/>
      <c r="F124" s="135"/>
      <c r="G124" s="263"/>
      <c r="H124" s="264"/>
      <c r="I124" s="264"/>
      <c r="J124" s="265"/>
      <c r="K124" s="333"/>
      <c r="L124" s="264"/>
      <c r="M124" s="264"/>
      <c r="N124" s="264"/>
      <c r="O124" s="265"/>
      <c r="P124" s="333"/>
      <c r="Q124" s="264"/>
      <c r="R124" s="264"/>
      <c r="S124" s="264"/>
      <c r="T124" s="265"/>
      <c r="U124" s="333"/>
      <c r="V124" s="264"/>
      <c r="W124" s="264"/>
      <c r="X124" s="264"/>
      <c r="Y124" s="265"/>
      <c r="Z124" s="333"/>
      <c r="AA124" s="264"/>
      <c r="AB124" s="264"/>
      <c r="AC124" s="264"/>
      <c r="AD124" s="264"/>
      <c r="AE124" s="333"/>
      <c r="AF124" s="264"/>
      <c r="AG124" s="264"/>
      <c r="AH124" s="264"/>
      <c r="AI124" s="264"/>
      <c r="AJ124" s="333"/>
      <c r="AK124" s="264"/>
      <c r="AL124" s="264"/>
      <c r="AM124" s="264"/>
      <c r="AN124" s="264"/>
      <c r="AO124" s="333"/>
      <c r="AP124" s="264"/>
      <c r="AQ124" s="264"/>
      <c r="AR124" s="264"/>
      <c r="AS124" s="264"/>
      <c r="AT124" s="333"/>
      <c r="AU124" s="264"/>
      <c r="AV124" s="264"/>
      <c r="AW124" s="264"/>
      <c r="AX124" s="264"/>
      <c r="AY124" s="333"/>
      <c r="AZ124" s="264"/>
      <c r="BA124" s="264"/>
      <c r="BB124" s="264"/>
      <c r="BC124" s="264"/>
      <c r="BD124" s="333"/>
      <c r="BE124" s="264"/>
      <c r="BF124" s="264"/>
      <c r="BG124" s="264"/>
      <c r="BH124" s="264"/>
      <c r="BI124" s="333"/>
      <c r="BJ124" s="264"/>
      <c r="BK124" s="264"/>
      <c r="BL124" s="264"/>
      <c r="BM124" s="264"/>
      <c r="BN124" s="333"/>
      <c r="BO124" s="264"/>
      <c r="BP124" s="264"/>
      <c r="BQ124" s="264"/>
      <c r="BR124" s="264"/>
      <c r="BS124" s="333"/>
      <c r="BT124" s="264"/>
      <c r="BU124" s="264"/>
      <c r="BV124" s="264"/>
      <c r="BW124" s="264"/>
      <c r="BX124" s="333"/>
      <c r="BY124" s="264"/>
      <c r="BZ124" s="264"/>
      <c r="CA124" s="264"/>
      <c r="CB124" s="228"/>
      <c r="CC124" s="333"/>
      <c r="CD124" s="264"/>
      <c r="CE124" s="228"/>
      <c r="CF124" s="228"/>
      <c r="CG124" s="228"/>
      <c r="CH124" s="333"/>
      <c r="CI124" s="228"/>
      <c r="CJ124" s="228"/>
      <c r="CK124" s="228"/>
      <c r="CL124" s="228"/>
      <c r="CM124" s="333"/>
      <c r="CN124" s="228"/>
      <c r="CO124" s="525"/>
      <c r="CP124" s="525"/>
      <c r="CQ124" s="228"/>
      <c r="CR124" s="333"/>
      <c r="CS124" s="228"/>
      <c r="CT124" s="228"/>
      <c r="CU124" s="525"/>
      <c r="CV124" s="228"/>
      <c r="CW124" s="333"/>
      <c r="CX124" s="228"/>
      <c r="CY124" s="228"/>
      <c r="CZ124" s="228"/>
      <c r="DA124" s="228"/>
      <c r="DB124" s="333"/>
      <c r="DC124" s="228"/>
      <c r="DD124" s="228"/>
      <c r="DE124" s="228"/>
      <c r="DF124" s="228"/>
      <c r="DG124" s="333"/>
      <c r="DH124" s="228"/>
      <c r="DI124" s="228"/>
      <c r="DJ124" s="228"/>
      <c r="DK124" s="228"/>
      <c r="DL124" s="333"/>
      <c r="DM124" s="228"/>
      <c r="DN124" s="228"/>
      <c r="DO124" s="228"/>
      <c r="DP124" s="228"/>
      <c r="DQ124" s="333"/>
      <c r="DR124" s="136"/>
      <c r="DS124" s="145"/>
      <c r="DT124"/>
      <c r="DU124"/>
      <c r="DV124"/>
      <c r="DW124"/>
      <c r="DX124"/>
      <c r="DY124"/>
    </row>
    <row r="125" spans="1:129" s="202" customFormat="1">
      <c r="B125" s="169" t="s">
        <v>144</v>
      </c>
      <c r="C125" s="191"/>
      <c r="D125" s="191"/>
      <c r="E125" s="191"/>
      <c r="F125" s="191"/>
      <c r="G125" s="235"/>
      <c r="H125" s="236"/>
      <c r="I125" s="236"/>
      <c r="J125" s="237"/>
      <c r="K125" s="334"/>
      <c r="L125" s="236"/>
      <c r="M125" s="236"/>
      <c r="N125" s="236"/>
      <c r="O125" s="237"/>
      <c r="P125" s="334"/>
      <c r="Q125" s="236"/>
      <c r="R125" s="236"/>
      <c r="S125" s="236"/>
      <c r="T125" s="237"/>
      <c r="U125" s="334"/>
      <c r="V125" s="236"/>
      <c r="W125" s="236"/>
      <c r="X125" s="236"/>
      <c r="Y125" s="237"/>
      <c r="Z125" s="334"/>
      <c r="AA125" s="236"/>
      <c r="AB125" s="236"/>
      <c r="AC125" s="236"/>
      <c r="AD125" s="236"/>
      <c r="AE125" s="334"/>
      <c r="AF125" s="236"/>
      <c r="AG125" s="236"/>
      <c r="AH125" s="236"/>
      <c r="AI125" s="236"/>
      <c r="AJ125" s="334"/>
      <c r="AK125" s="236"/>
      <c r="AL125" s="236"/>
      <c r="AM125" s="236"/>
      <c r="AN125" s="236"/>
      <c r="AO125" s="334"/>
      <c r="AP125" s="236"/>
      <c r="AQ125" s="236"/>
      <c r="AR125" s="236"/>
      <c r="AS125" s="236"/>
      <c r="AT125" s="334"/>
      <c r="AU125" s="236">
        <f>AS127</f>
        <v>-5.6379999999999999</v>
      </c>
      <c r="AV125" s="236">
        <f>AU127</f>
        <v>-6.3172499999999996</v>
      </c>
      <c r="AW125" s="236">
        <f>AV127</f>
        <v>-6.9964999999999993</v>
      </c>
      <c r="AX125" s="236">
        <f t="shared" ref="AX125:CL125" si="419">AW127</f>
        <v>-7.675749999999999</v>
      </c>
      <c r="AY125" s="334">
        <f>AT36</f>
        <v>-5.6379999999999999</v>
      </c>
      <c r="AZ125" s="236">
        <f>AX127</f>
        <v>-8.3550000000000004</v>
      </c>
      <c r="BA125" s="236">
        <f t="shared" si="419"/>
        <v>-9.103250000000001</v>
      </c>
      <c r="BB125" s="236">
        <f t="shared" si="419"/>
        <v>-9.8515000000000015</v>
      </c>
      <c r="BC125" s="236">
        <f t="shared" si="419"/>
        <v>-10.599750000000002</v>
      </c>
      <c r="BD125" s="334">
        <f>AY127</f>
        <v>-8.3550000000000004</v>
      </c>
      <c r="BE125" s="236">
        <f>BC127</f>
        <v>-11.348000000000001</v>
      </c>
      <c r="BF125" s="236">
        <f t="shared" si="419"/>
        <v>-13.363750000000001</v>
      </c>
      <c r="BG125" s="236">
        <f t="shared" si="419"/>
        <v>-15.379500000000002</v>
      </c>
      <c r="BH125" s="236">
        <f t="shared" si="419"/>
        <v>-17.395250000000001</v>
      </c>
      <c r="BI125" s="334">
        <f>BD127</f>
        <v>-11.348000000000001</v>
      </c>
      <c r="BJ125" s="236">
        <f>BH127</f>
        <v>-19.411000000000001</v>
      </c>
      <c r="BK125" s="236">
        <f t="shared" si="419"/>
        <v>-21.992000000000001</v>
      </c>
      <c r="BL125" s="236">
        <f t="shared" si="419"/>
        <v>-24.573</v>
      </c>
      <c r="BM125" s="236">
        <f t="shared" si="419"/>
        <v>-27.154</v>
      </c>
      <c r="BN125" s="334">
        <f>BI127</f>
        <v>-19.411000000000001</v>
      </c>
      <c r="BO125" s="236">
        <f>BM127</f>
        <v>-29.734999999999999</v>
      </c>
      <c r="BP125" s="236">
        <f t="shared" si="419"/>
        <v>-31.793999999999997</v>
      </c>
      <c r="BQ125" s="236">
        <f t="shared" si="419"/>
        <v>-33.852999999999994</v>
      </c>
      <c r="BR125" s="236">
        <f t="shared" si="419"/>
        <v>-35.911999999999992</v>
      </c>
      <c r="BS125" s="334">
        <f>BN127</f>
        <v>-29.734999999999999</v>
      </c>
      <c r="BT125" s="236">
        <f>BR127</f>
        <v>-37.970999999999997</v>
      </c>
      <c r="BU125" s="236">
        <f t="shared" si="419"/>
        <v>-41.988999999999997</v>
      </c>
      <c r="BV125" s="236">
        <f t="shared" si="419"/>
        <v>-46.006999999999998</v>
      </c>
      <c r="BW125" s="236">
        <f t="shared" si="419"/>
        <v>-50.024999999999999</v>
      </c>
      <c r="BX125" s="334">
        <f>BS127</f>
        <v>-37.970999999999997</v>
      </c>
      <c r="BY125" s="236">
        <f>BW127</f>
        <v>-54.042999999999999</v>
      </c>
      <c r="BZ125" s="236">
        <f t="shared" si="419"/>
        <v>-58.862499999999997</v>
      </c>
      <c r="CA125" s="236">
        <f t="shared" si="419"/>
        <v>-63.681999999999995</v>
      </c>
      <c r="CB125" s="236">
        <f t="shared" si="419"/>
        <v>-68.501499999999993</v>
      </c>
      <c r="CC125" s="334">
        <f>BX127</f>
        <v>-54.042999999999999</v>
      </c>
      <c r="CD125" s="236">
        <f>CB127</f>
        <v>-73.320999999999998</v>
      </c>
      <c r="CE125" s="236">
        <f t="shared" si="419"/>
        <v>-78.140500000000003</v>
      </c>
      <c r="CF125" s="236">
        <f t="shared" si="419"/>
        <v>-82.960000000000008</v>
      </c>
      <c r="CG125" s="236">
        <f t="shared" si="419"/>
        <v>-87.779500000000013</v>
      </c>
      <c r="CH125" s="334">
        <f>CC127</f>
        <v>-73.320999999999998</v>
      </c>
      <c r="CI125" s="236">
        <f>CG127</f>
        <v>-92.599000000000018</v>
      </c>
      <c r="CJ125" s="236">
        <f t="shared" si="419"/>
        <v>-97.418500000000023</v>
      </c>
      <c r="CK125" s="236">
        <f t="shared" si="419"/>
        <v>-102.23800000000003</v>
      </c>
      <c r="CL125" s="236">
        <f t="shared" si="419"/>
        <v>-107.05750000000003</v>
      </c>
      <c r="CM125" s="334">
        <f>CH127</f>
        <v>-92.59899999999999</v>
      </c>
      <c r="CN125" s="236">
        <f>CL127</f>
        <v>-111.87700000000004</v>
      </c>
      <c r="CO125" s="241">
        <f t="shared" ref="CO125:CY125" si="420">CN127</f>
        <v>-136.81761789379885</v>
      </c>
      <c r="CP125" s="241">
        <f t="shared" si="420"/>
        <v>-161.74867774184295</v>
      </c>
      <c r="CQ125" s="236">
        <f t="shared" si="420"/>
        <v>-186.7413166601479</v>
      </c>
      <c r="CR125" s="334">
        <f>CM127</f>
        <v>-111.87699999999998</v>
      </c>
      <c r="CS125" s="236">
        <f>CQ127</f>
        <v>-211.74080469384819</v>
      </c>
      <c r="CT125" s="236">
        <f t="shared" si="420"/>
        <v>-236.92517758640625</v>
      </c>
      <c r="CU125" s="241">
        <f t="shared" si="420"/>
        <v>-262.65217292381891</v>
      </c>
      <c r="CV125" s="236">
        <f t="shared" si="420"/>
        <v>-291.30070207660526</v>
      </c>
      <c r="CW125" s="334">
        <f>CR127</f>
        <v>-211.7408046938481</v>
      </c>
      <c r="CX125" s="236">
        <f>CV127</f>
        <v>-320.04632615802598</v>
      </c>
      <c r="CY125" s="236">
        <f t="shared" si="420"/>
        <v>-351.82248431197661</v>
      </c>
      <c r="CZ125" s="236">
        <f>CY127</f>
        <v>-383.69304641977601</v>
      </c>
      <c r="DA125" s="236">
        <f>CZ127</f>
        <v>-415.63537258027043</v>
      </c>
      <c r="DB125" s="334">
        <f>CW127</f>
        <v>-320.04632615802592</v>
      </c>
      <c r="DC125" s="236">
        <f>DA127</f>
        <v>-441.63537258027054</v>
      </c>
      <c r="DD125" s="236">
        <f t="shared" ref="DD125:DK125" si="421">DC127</f>
        <v>-477.20125689477732</v>
      </c>
      <c r="DE125" s="236">
        <f t="shared" si="421"/>
        <v>-512.89214120928409</v>
      </c>
      <c r="DF125" s="236">
        <f t="shared" si="421"/>
        <v>-548.70802552379087</v>
      </c>
      <c r="DG125" s="334">
        <f>DB127</f>
        <v>-441.63537258027048</v>
      </c>
      <c r="DH125" s="236">
        <f>DF127</f>
        <v>-584.64890983829764</v>
      </c>
      <c r="DI125" s="236">
        <f t="shared" si="421"/>
        <v>-620.71479415280442</v>
      </c>
      <c r="DJ125" s="236">
        <f t="shared" si="421"/>
        <v>-656.90567846731119</v>
      </c>
      <c r="DK125" s="236">
        <f t="shared" si="421"/>
        <v>-693.22156278181797</v>
      </c>
      <c r="DL125" s="334">
        <f>DG127</f>
        <v>-584.64890983829753</v>
      </c>
      <c r="DM125" s="236">
        <f>DK127</f>
        <v>-729.66244709632474</v>
      </c>
      <c r="DN125" s="236">
        <f t="shared" ref="DN125" si="422">DM127</f>
        <v>-766.22833141083152</v>
      </c>
      <c r="DO125" s="236">
        <f t="shared" ref="DO125" si="423">DN127</f>
        <v>-802.91921572533829</v>
      </c>
      <c r="DP125" s="236">
        <f t="shared" ref="DP125" si="424">DO127</f>
        <v>-839.73510003984507</v>
      </c>
      <c r="DQ125" s="334">
        <f>DL127</f>
        <v>-729.66244709632451</v>
      </c>
      <c r="DR125" s="169"/>
      <c r="DS125" s="269"/>
      <c r="DT125"/>
      <c r="DU125"/>
      <c r="DV125"/>
      <c r="DW125"/>
      <c r="DX125"/>
      <c r="DY125"/>
    </row>
    <row r="126" spans="1:129" s="154" customFormat="1">
      <c r="B126" s="136"/>
      <c r="C126" s="135" t="s">
        <v>169</v>
      </c>
      <c r="D126" s="135"/>
      <c r="E126" s="135"/>
      <c r="F126" s="135"/>
      <c r="G126" s="263"/>
      <c r="H126" s="264"/>
      <c r="I126" s="264"/>
      <c r="J126" s="265"/>
      <c r="K126" s="333"/>
      <c r="L126" s="264"/>
      <c r="M126" s="264"/>
      <c r="N126" s="264"/>
      <c r="O126" s="265"/>
      <c r="P126" s="333"/>
      <c r="Q126" s="264"/>
      <c r="R126" s="264"/>
      <c r="S126" s="264"/>
      <c r="T126" s="265"/>
      <c r="U126" s="333"/>
      <c r="V126" s="264"/>
      <c r="W126" s="264"/>
      <c r="X126" s="264"/>
      <c r="Y126" s="265"/>
      <c r="Z126" s="333"/>
      <c r="AA126" s="264"/>
      <c r="AB126" s="264"/>
      <c r="AC126" s="264"/>
      <c r="AD126" s="264"/>
      <c r="AE126" s="333"/>
      <c r="AF126" s="264"/>
      <c r="AG126" s="264"/>
      <c r="AH126" s="264"/>
      <c r="AI126" s="264"/>
      <c r="AJ126" s="333"/>
      <c r="AK126" s="264"/>
      <c r="AL126" s="264"/>
      <c r="AM126" s="264"/>
      <c r="AN126" s="264"/>
      <c r="AO126" s="333"/>
      <c r="AP126" s="264"/>
      <c r="AQ126" s="264"/>
      <c r="AR126" s="264"/>
      <c r="AS126" s="264"/>
      <c r="AT126" s="333"/>
      <c r="AU126" s="233">
        <f>($AX$36-$AS$36)/4</f>
        <v>-0.67925000000000013</v>
      </c>
      <c r="AV126" s="233">
        <f>($AX$36-$AS$36)/4</f>
        <v>-0.67925000000000013</v>
      </c>
      <c r="AW126" s="233">
        <f>($AX$36-$AS$36)/4</f>
        <v>-0.67925000000000013</v>
      </c>
      <c r="AX126" s="233">
        <f>($AX$36-$AS$36)/4</f>
        <v>-0.67925000000000013</v>
      </c>
      <c r="AY126" s="333">
        <f>SUM(AU126:AX126)</f>
        <v>-2.7170000000000005</v>
      </c>
      <c r="AZ126" s="233">
        <f>($BC$36-$AX$36)/4</f>
        <v>-0.74825000000000008</v>
      </c>
      <c r="BA126" s="233">
        <f>($BC$36-$AX$36)/4</f>
        <v>-0.74825000000000008</v>
      </c>
      <c r="BB126" s="233">
        <f>($BC$36-$AX$36)/4</f>
        <v>-0.74825000000000008</v>
      </c>
      <c r="BC126" s="233">
        <f>($BC$36-$AX$36)/4</f>
        <v>-0.74825000000000008</v>
      </c>
      <c r="BD126" s="333">
        <f>SUM(AZ126:BC126)</f>
        <v>-2.9930000000000003</v>
      </c>
      <c r="BE126" s="233">
        <f>($BH$36-$BC$36)/4</f>
        <v>-2.0157500000000002</v>
      </c>
      <c r="BF126" s="233">
        <f>($BH$36-$BC$36)/4</f>
        <v>-2.0157500000000002</v>
      </c>
      <c r="BG126" s="233">
        <f>($BH$36-$BC$36)/4</f>
        <v>-2.0157500000000002</v>
      </c>
      <c r="BH126" s="233">
        <f>($BH$36-$BC$36)/4</f>
        <v>-2.0157500000000002</v>
      </c>
      <c r="BI126" s="333">
        <f>SUM(BE126:BH126)</f>
        <v>-8.0630000000000006</v>
      </c>
      <c r="BJ126" s="233">
        <f>($BM$36-$BH$36)/4</f>
        <v>-2.5809999999999995</v>
      </c>
      <c r="BK126" s="233">
        <f>($BM$36-$BH$36)/4</f>
        <v>-2.5809999999999995</v>
      </c>
      <c r="BL126" s="233">
        <f>($BM$36-$BH$36)/4</f>
        <v>-2.5809999999999995</v>
      </c>
      <c r="BM126" s="233">
        <f>($BM$36-$BH$36)/4</f>
        <v>-2.5809999999999995</v>
      </c>
      <c r="BN126" s="333">
        <f>SUM(BJ126:BM126)</f>
        <v>-10.323999999999998</v>
      </c>
      <c r="BO126" s="233">
        <f>($BR$36-$BM$36)/4</f>
        <v>-2.0589999999999993</v>
      </c>
      <c r="BP126" s="233">
        <f>($BR$36-$BM$36)/4</f>
        <v>-2.0589999999999993</v>
      </c>
      <c r="BQ126" s="233">
        <f>($BR$36-$BM$36)/4</f>
        <v>-2.0589999999999993</v>
      </c>
      <c r="BR126" s="233">
        <f>($BR$36-$BM$36)/4</f>
        <v>-2.0589999999999993</v>
      </c>
      <c r="BS126" s="333">
        <f>SUM(BO126:BR126)</f>
        <v>-8.2359999999999971</v>
      </c>
      <c r="BT126" s="233">
        <f>($BW$36-$BR$36)/4</f>
        <v>-4.0180000000000007</v>
      </c>
      <c r="BU126" s="233">
        <f>($BW$36-$BR$36)/4</f>
        <v>-4.0180000000000007</v>
      </c>
      <c r="BV126" s="233">
        <f>($BW$36-$BR$36)/4</f>
        <v>-4.0180000000000007</v>
      </c>
      <c r="BW126" s="233">
        <f>($BW$36-$BR$36)/4</f>
        <v>-4.0180000000000007</v>
      </c>
      <c r="BX126" s="333">
        <f>SUM(BT126:BW126)</f>
        <v>-16.072000000000003</v>
      </c>
      <c r="BY126" s="233">
        <f>($CB$36-$BW$36)/4</f>
        <v>-4.8194999999999997</v>
      </c>
      <c r="BZ126" s="233">
        <f>($CB$36-$BW$36)/4</f>
        <v>-4.8194999999999997</v>
      </c>
      <c r="CA126" s="233">
        <f>($CB$36-$BW$36)/4</f>
        <v>-4.8194999999999997</v>
      </c>
      <c r="CB126" s="233">
        <f>($CB$36-$BW$36)/4</f>
        <v>-4.8194999999999997</v>
      </c>
      <c r="CC126" s="333">
        <f>SUM(BY126:CB126)</f>
        <v>-19.277999999999999</v>
      </c>
      <c r="CD126" s="233">
        <f>($CB$36-$BW$36)/4</f>
        <v>-4.8194999999999997</v>
      </c>
      <c r="CE126" s="233">
        <f>($CB$36-$BW$36)/4</f>
        <v>-4.8194999999999997</v>
      </c>
      <c r="CF126" s="233">
        <f>($CB$36-$BW$36)/4</f>
        <v>-4.8194999999999997</v>
      </c>
      <c r="CG126" s="233">
        <f>($CB$36-$BW$36)/4</f>
        <v>-4.8194999999999997</v>
      </c>
      <c r="CH126" s="333">
        <f>SUM(CD126:CG126)</f>
        <v>-19.277999999999999</v>
      </c>
      <c r="CI126" s="485">
        <f>($CB$36-$BW$36)/4</f>
        <v>-4.8194999999999997</v>
      </c>
      <c r="CJ126" s="485">
        <f>($CB$36-$BW$36)/4</f>
        <v>-4.8194999999999997</v>
      </c>
      <c r="CK126" s="485">
        <f>($CB$36-$BW$36)/4</f>
        <v>-4.8194999999999997</v>
      </c>
      <c r="CL126" s="485">
        <f>($CB$36-$BW$36)/4</f>
        <v>-4.8194999999999997</v>
      </c>
      <c r="CM126" s="333">
        <f>SUM(CI126:CL126)</f>
        <v>-19.277999999999999</v>
      </c>
      <c r="CN126" s="1125">
        <f t="shared" ref="CN126:CT126" si="425">-CN121/CN131</f>
        <v>-24.940617893798816</v>
      </c>
      <c r="CO126" s="1125">
        <f t="shared" si="425"/>
        <v>-24.931059848044089</v>
      </c>
      <c r="CP126" s="1125">
        <f t="shared" si="425"/>
        <v>-24.992638918304937</v>
      </c>
      <c r="CQ126" s="1126">
        <f t="shared" si="425"/>
        <v>-24.999488033700295</v>
      </c>
      <c r="CR126" s="1127">
        <f>SUM(CN126:CQ126)</f>
        <v>-99.863804693848124</v>
      </c>
      <c r="CS126" s="1126">
        <f t="shared" si="425"/>
        <v>-25.184372892558056</v>
      </c>
      <c r="CT126" s="1126">
        <f t="shared" si="425"/>
        <v>-25.726995337412664</v>
      </c>
      <c r="CU126" s="1125">
        <f t="shared" ref="CU126:DF126" si="426">-CU121/CU131</f>
        <v>-28.648529152786367</v>
      </c>
      <c r="CV126" s="1126">
        <f t="shared" si="426"/>
        <v>-28.745624081420736</v>
      </c>
      <c r="CW126" s="1127">
        <f>SUM(CS126:CV126)</f>
        <v>-108.30552146417782</v>
      </c>
      <c r="CX126" s="1126">
        <f>-CX121/CX131</f>
        <v>-31.77615815395065</v>
      </c>
      <c r="CY126" s="1126">
        <f>-CY121/CY131</f>
        <v>-31.870562107799412</v>
      </c>
      <c r="CZ126" s="1126">
        <f>-CZ121/CZ131</f>
        <v>-31.9423261604944</v>
      </c>
      <c r="DA126" s="1105">
        <f>+DA127-DA125</f>
        <v>-26.000000000000114</v>
      </c>
      <c r="DB126" s="333">
        <f>SUM(CX126:DA126)</f>
        <v>-121.58904642224458</v>
      </c>
      <c r="DC126" s="264">
        <f>-DC121/DC131</f>
        <v>-35.565884314506761</v>
      </c>
      <c r="DD126" s="264">
        <f t="shared" si="426"/>
        <v>-35.690884314506761</v>
      </c>
      <c r="DE126" s="264">
        <f t="shared" si="426"/>
        <v>-35.815884314506761</v>
      </c>
      <c r="DF126" s="264">
        <f t="shared" si="426"/>
        <v>-35.940884314506761</v>
      </c>
      <c r="DG126" s="333">
        <f>SUM(DC126:DF126)</f>
        <v>-143.01353725802704</v>
      </c>
      <c r="DH126" s="264">
        <f>-DH121/DH131</f>
        <v>-36.065884314506761</v>
      </c>
      <c r="DI126" s="264">
        <f>-DI121/DI131</f>
        <v>-36.190884314506761</v>
      </c>
      <c r="DJ126" s="264">
        <f>-DJ121/DJ131</f>
        <v>-36.315884314506761</v>
      </c>
      <c r="DK126" s="264">
        <f>-DK121/DK131</f>
        <v>-36.440884314506761</v>
      </c>
      <c r="DL126" s="333">
        <f>SUM(DH126:DK126)</f>
        <v>-145.01353725802704</v>
      </c>
      <c r="DM126" s="264">
        <f>-DM121/DM131</f>
        <v>-36.565884314506761</v>
      </c>
      <c r="DN126" s="264">
        <f>-DN121/DN131</f>
        <v>-36.690884314506761</v>
      </c>
      <c r="DO126" s="264">
        <f>-DO121/DO131</f>
        <v>-36.815884314506761</v>
      </c>
      <c r="DP126" s="264">
        <f>-DP121/DP131</f>
        <v>-36.940884314506761</v>
      </c>
      <c r="DQ126" s="333">
        <f>SUM(DM126:DP126)</f>
        <v>-147.01353725802704</v>
      </c>
      <c r="DR126" s="136"/>
      <c r="DS126" s="145"/>
      <c r="DT126"/>
      <c r="DU126"/>
      <c r="DV126"/>
      <c r="DW126"/>
      <c r="DX126"/>
      <c r="DY126"/>
    </row>
    <row r="127" spans="1:129" s="202" customFormat="1">
      <c r="B127" s="169" t="s">
        <v>145</v>
      </c>
      <c r="C127" s="191"/>
      <c r="D127" s="191"/>
      <c r="E127" s="191"/>
      <c r="F127" s="191"/>
      <c r="G127" s="235"/>
      <c r="H127" s="236"/>
      <c r="I127" s="236"/>
      <c r="J127" s="237"/>
      <c r="K127" s="334"/>
      <c r="L127" s="236"/>
      <c r="M127" s="236"/>
      <c r="N127" s="236"/>
      <c r="O127" s="237"/>
      <c r="P127" s="334"/>
      <c r="Q127" s="236"/>
      <c r="R127" s="236"/>
      <c r="S127" s="236"/>
      <c r="T127" s="237"/>
      <c r="U127" s="334"/>
      <c r="V127" s="236"/>
      <c r="W127" s="236"/>
      <c r="X127" s="236"/>
      <c r="Y127" s="237"/>
      <c r="Z127" s="334"/>
      <c r="AA127" s="236"/>
      <c r="AB127" s="236"/>
      <c r="AC127" s="236"/>
      <c r="AD127" s="236"/>
      <c r="AE127" s="334"/>
      <c r="AF127" s="236"/>
      <c r="AG127" s="236"/>
      <c r="AH127" s="236"/>
      <c r="AI127" s="236"/>
      <c r="AJ127" s="334"/>
      <c r="AK127" s="236"/>
      <c r="AL127" s="236"/>
      <c r="AM127" s="236"/>
      <c r="AN127" s="236"/>
      <c r="AO127" s="334"/>
      <c r="AP127" s="236"/>
      <c r="AQ127" s="236"/>
      <c r="AR127" s="236"/>
      <c r="AS127" s="236">
        <f>AS36</f>
        <v>-5.6379999999999999</v>
      </c>
      <c r="AT127" s="334"/>
      <c r="AU127" s="236">
        <f>SUM(AU125:AU126)</f>
        <v>-6.3172499999999996</v>
      </c>
      <c r="AV127" s="236">
        <f>SUM(AV125:AV126)</f>
        <v>-6.9964999999999993</v>
      </c>
      <c r="AW127" s="236">
        <f>SUM(AW125:AW126)</f>
        <v>-7.675749999999999</v>
      </c>
      <c r="AX127" s="236">
        <f>AX36</f>
        <v>-8.3550000000000004</v>
      </c>
      <c r="AY127" s="334">
        <f>SUM(AY125:AY126)</f>
        <v>-8.3550000000000004</v>
      </c>
      <c r="AZ127" s="236">
        <f>SUM(AZ125:AZ126)</f>
        <v>-9.103250000000001</v>
      </c>
      <c r="BA127" s="236">
        <f>SUM(BA125:BA126)</f>
        <v>-9.8515000000000015</v>
      </c>
      <c r="BB127" s="236">
        <f>SUM(BB125:BB126)</f>
        <v>-10.599750000000002</v>
      </c>
      <c r="BC127" s="236">
        <f>BC36</f>
        <v>-11.348000000000001</v>
      </c>
      <c r="BD127" s="334">
        <f>SUM(BD125:BD126)</f>
        <v>-11.348000000000001</v>
      </c>
      <c r="BE127" s="236">
        <f>SUM(BE125:BE126)</f>
        <v>-13.363750000000001</v>
      </c>
      <c r="BF127" s="236">
        <f>SUM(BF125:BF126)</f>
        <v>-15.379500000000002</v>
      </c>
      <c r="BG127" s="236">
        <f>SUM(BG125:BG126)</f>
        <v>-17.395250000000001</v>
      </c>
      <c r="BH127" s="236">
        <f>BH36</f>
        <v>-19.411000000000001</v>
      </c>
      <c r="BI127" s="334">
        <f>SUM(BI125:BI126)</f>
        <v>-19.411000000000001</v>
      </c>
      <c r="BJ127" s="236">
        <f>SUM(BJ125:BJ126)</f>
        <v>-21.992000000000001</v>
      </c>
      <c r="BK127" s="236">
        <f>SUM(BK125:BK126)</f>
        <v>-24.573</v>
      </c>
      <c r="BL127" s="236">
        <f>SUM(BL125:BL126)</f>
        <v>-27.154</v>
      </c>
      <c r="BM127" s="236">
        <f>BM36</f>
        <v>-29.734999999999999</v>
      </c>
      <c r="BN127" s="334">
        <f>SUM(BN125:BN126)</f>
        <v>-29.734999999999999</v>
      </c>
      <c r="BO127" s="236">
        <f>SUM(BO125:BO126)</f>
        <v>-31.793999999999997</v>
      </c>
      <c r="BP127" s="236">
        <f>SUM(BP125:BP126)</f>
        <v>-33.852999999999994</v>
      </c>
      <c r="BQ127" s="236">
        <f>SUM(BQ125:BQ126)</f>
        <v>-35.911999999999992</v>
      </c>
      <c r="BR127" s="236">
        <f>BR36</f>
        <v>-37.970999999999997</v>
      </c>
      <c r="BS127" s="334">
        <f>SUM(BS125:BS126)</f>
        <v>-37.970999999999997</v>
      </c>
      <c r="BT127" s="236">
        <f>SUM(BT125:BT126)</f>
        <v>-41.988999999999997</v>
      </c>
      <c r="BU127" s="236">
        <f>SUM(BU125:BU126)</f>
        <v>-46.006999999999998</v>
      </c>
      <c r="BV127" s="236">
        <f>SUM(BV125:BV126)</f>
        <v>-50.024999999999999</v>
      </c>
      <c r="BW127" s="236">
        <f>BW36</f>
        <v>-54.042999999999999</v>
      </c>
      <c r="BX127" s="334">
        <f>SUM(BX125:BX126)</f>
        <v>-54.042999999999999</v>
      </c>
      <c r="BY127" s="236">
        <f t="shared" ref="BY127:CL127" si="427">SUM(BY125:BY126)</f>
        <v>-58.862499999999997</v>
      </c>
      <c r="BZ127" s="236">
        <f t="shared" si="427"/>
        <v>-63.681999999999995</v>
      </c>
      <c r="CA127" s="236">
        <f t="shared" si="427"/>
        <v>-68.501499999999993</v>
      </c>
      <c r="CB127" s="236">
        <f>CB36</f>
        <v>-73.320999999999998</v>
      </c>
      <c r="CC127" s="334">
        <f>SUM(CC125:CC126)</f>
        <v>-73.320999999999998</v>
      </c>
      <c r="CD127" s="236">
        <f t="shared" si="427"/>
        <v>-78.140500000000003</v>
      </c>
      <c r="CE127" s="236">
        <f t="shared" si="427"/>
        <v>-82.960000000000008</v>
      </c>
      <c r="CF127" s="236">
        <f t="shared" si="427"/>
        <v>-87.779500000000013</v>
      </c>
      <c r="CG127" s="236">
        <f t="shared" si="427"/>
        <v>-92.599000000000018</v>
      </c>
      <c r="CH127" s="334">
        <f>SUM(CH125:CH126)</f>
        <v>-92.59899999999999</v>
      </c>
      <c r="CI127" s="236">
        <f t="shared" si="427"/>
        <v>-97.418500000000023</v>
      </c>
      <c r="CJ127" s="236">
        <f t="shared" si="427"/>
        <v>-102.23800000000003</v>
      </c>
      <c r="CK127" s="236">
        <f t="shared" si="427"/>
        <v>-107.05750000000003</v>
      </c>
      <c r="CL127" s="236">
        <f t="shared" si="427"/>
        <v>-111.87700000000004</v>
      </c>
      <c r="CM127" s="334">
        <f t="shared" ref="CM127:DB127" si="428">SUM(CM125:CM126)</f>
        <v>-111.87699999999998</v>
      </c>
      <c r="CN127" s="236">
        <f t="shared" si="428"/>
        <v>-136.81761789379885</v>
      </c>
      <c r="CO127" s="241">
        <f t="shared" si="428"/>
        <v>-161.74867774184295</v>
      </c>
      <c r="CP127" s="241">
        <f t="shared" si="428"/>
        <v>-186.7413166601479</v>
      </c>
      <c r="CQ127" s="236">
        <f t="shared" si="428"/>
        <v>-211.74080469384819</v>
      </c>
      <c r="CR127" s="334">
        <f t="shared" si="428"/>
        <v>-211.7408046938481</v>
      </c>
      <c r="CS127" s="236">
        <f t="shared" si="428"/>
        <v>-236.92517758640625</v>
      </c>
      <c r="CT127" s="236">
        <f t="shared" si="428"/>
        <v>-262.65217292381891</v>
      </c>
      <c r="CU127" s="241">
        <f t="shared" si="428"/>
        <v>-291.30070207660526</v>
      </c>
      <c r="CV127" s="236">
        <f t="shared" si="428"/>
        <v>-320.04632615802598</v>
      </c>
      <c r="CW127" s="334">
        <f t="shared" si="428"/>
        <v>-320.04632615802592</v>
      </c>
      <c r="CX127" s="236">
        <f>SUM(CX125:CX126)</f>
        <v>-351.82248431197661</v>
      </c>
      <c r="CY127" s="236">
        <f>SUM(CY125:CY126)</f>
        <v>-383.69304641977601</v>
      </c>
      <c r="CZ127" s="236">
        <f>SUM(CZ125:CZ126)</f>
        <v>-415.63537258027043</v>
      </c>
      <c r="DA127" s="236">
        <f>+DA129-DA123</f>
        <v>-441.63537258027054</v>
      </c>
      <c r="DB127" s="334">
        <f t="shared" si="428"/>
        <v>-441.63537258027048</v>
      </c>
      <c r="DC127" s="236">
        <f t="shared" ref="DC127:DK127" si="429">SUM(DC125:DC126)</f>
        <v>-477.20125689477732</v>
      </c>
      <c r="DD127" s="236">
        <f t="shared" si="429"/>
        <v>-512.89214120928409</v>
      </c>
      <c r="DE127" s="236">
        <f t="shared" si="429"/>
        <v>-548.70802552379087</v>
      </c>
      <c r="DF127" s="236">
        <f t="shared" si="429"/>
        <v>-584.64890983829764</v>
      </c>
      <c r="DG127" s="334">
        <f>SUM(DG125:DG126)</f>
        <v>-584.64890983829753</v>
      </c>
      <c r="DH127" s="236">
        <f t="shared" si="429"/>
        <v>-620.71479415280442</v>
      </c>
      <c r="DI127" s="236">
        <f t="shared" si="429"/>
        <v>-656.90567846731119</v>
      </c>
      <c r="DJ127" s="236">
        <f t="shared" si="429"/>
        <v>-693.22156278181797</v>
      </c>
      <c r="DK127" s="236">
        <f t="shared" si="429"/>
        <v>-729.66244709632474</v>
      </c>
      <c r="DL127" s="334">
        <f>SUM(DL125:DL126)</f>
        <v>-729.66244709632451</v>
      </c>
      <c r="DM127" s="236">
        <f t="shared" ref="DM127:DP127" si="430">SUM(DM125:DM126)</f>
        <v>-766.22833141083152</v>
      </c>
      <c r="DN127" s="236">
        <f t="shared" si="430"/>
        <v>-802.91921572533829</v>
      </c>
      <c r="DO127" s="236">
        <f t="shared" si="430"/>
        <v>-839.73510003984507</v>
      </c>
      <c r="DP127" s="236">
        <f t="shared" si="430"/>
        <v>-876.67598435435184</v>
      </c>
      <c r="DQ127" s="334">
        <f>SUM(DQ125:DQ126)</f>
        <v>-876.67598435435161</v>
      </c>
      <c r="DR127" s="169"/>
      <c r="DS127" s="269"/>
      <c r="DT127"/>
      <c r="DU127"/>
      <c r="DV127"/>
      <c r="DW127"/>
      <c r="DX127"/>
      <c r="DY127"/>
    </row>
    <row r="128" spans="1:129" s="154" customFormat="1">
      <c r="B128" s="136"/>
      <c r="C128" s="135"/>
      <c r="D128" s="135"/>
      <c r="E128" s="135"/>
      <c r="F128" s="135"/>
      <c r="G128" s="263"/>
      <c r="H128" s="264"/>
      <c r="I128" s="264"/>
      <c r="J128" s="265"/>
      <c r="K128" s="333"/>
      <c r="L128" s="264"/>
      <c r="M128" s="264"/>
      <c r="N128" s="264"/>
      <c r="O128" s="265"/>
      <c r="P128" s="333"/>
      <c r="Q128" s="264"/>
      <c r="R128" s="264"/>
      <c r="S128" s="264"/>
      <c r="T128" s="265"/>
      <c r="U128" s="333"/>
      <c r="V128" s="264"/>
      <c r="W128" s="264"/>
      <c r="X128" s="264"/>
      <c r="Y128" s="265"/>
      <c r="Z128" s="333"/>
      <c r="AA128" s="264"/>
      <c r="AB128" s="264"/>
      <c r="AC128" s="264"/>
      <c r="AD128" s="264"/>
      <c r="AE128" s="333"/>
      <c r="AF128" s="264"/>
      <c r="AG128" s="264"/>
      <c r="AH128" s="264"/>
      <c r="AI128" s="264"/>
      <c r="AJ128" s="333"/>
      <c r="AK128" s="264"/>
      <c r="AL128" s="264"/>
      <c r="AM128" s="264"/>
      <c r="AN128" s="264"/>
      <c r="AO128" s="333"/>
      <c r="AP128" s="264"/>
      <c r="AQ128" s="264"/>
      <c r="AR128" s="264"/>
      <c r="AS128" s="264"/>
      <c r="AT128" s="333"/>
      <c r="AU128" s="264"/>
      <c r="AV128" s="264"/>
      <c r="AW128" s="264"/>
      <c r="AX128" s="264"/>
      <c r="AY128" s="333"/>
      <c r="AZ128" s="264"/>
      <c r="BA128" s="264"/>
      <c r="BB128" s="264"/>
      <c r="BC128" s="264"/>
      <c r="BD128" s="333"/>
      <c r="BE128" s="264"/>
      <c r="BF128" s="264"/>
      <c r="BG128" s="264"/>
      <c r="BH128" s="264"/>
      <c r="BI128" s="333"/>
      <c r="BJ128" s="264"/>
      <c r="BK128" s="264"/>
      <c r="BL128" s="264"/>
      <c r="BM128" s="264"/>
      <c r="BN128" s="333"/>
      <c r="BO128" s="264"/>
      <c r="BP128" s="264"/>
      <c r="BQ128" s="264"/>
      <c r="BR128" s="264"/>
      <c r="BS128" s="333"/>
      <c r="BT128" s="264"/>
      <c r="BU128" s="264"/>
      <c r="BV128" s="264"/>
      <c r="BW128" s="264"/>
      <c r="BX128" s="333"/>
      <c r="BY128" s="264"/>
      <c r="BZ128" s="264"/>
      <c r="CA128" s="264"/>
      <c r="CB128" s="228"/>
      <c r="CC128" s="333"/>
      <c r="CD128" s="264"/>
      <c r="CE128" s="228"/>
      <c r="CF128" s="228"/>
      <c r="CG128" s="228"/>
      <c r="CH128" s="333"/>
      <c r="CI128" s="228"/>
      <c r="CJ128" s="228"/>
      <c r="CK128" s="228"/>
      <c r="CL128" s="228"/>
      <c r="CM128" s="333"/>
      <c r="CN128" s="228"/>
      <c r="CO128" s="525"/>
      <c r="CP128" s="525"/>
      <c r="CQ128" s="228"/>
      <c r="CR128" s="333"/>
      <c r="CS128" s="228"/>
      <c r="CT128" s="228"/>
      <c r="CU128" s="525"/>
      <c r="CV128" s="228"/>
      <c r="CW128" s="333"/>
      <c r="CX128" s="228"/>
      <c r="CY128" s="228"/>
      <c r="CZ128" s="228"/>
      <c r="DA128" s="228"/>
      <c r="DB128" s="333"/>
      <c r="DC128" s="228"/>
      <c r="DD128" s="228"/>
      <c r="DE128" s="228"/>
      <c r="DF128" s="228"/>
      <c r="DG128" s="333"/>
      <c r="DH128" s="228"/>
      <c r="DI128" s="228"/>
      <c r="DJ128" s="228"/>
      <c r="DK128" s="228"/>
      <c r="DL128" s="333"/>
      <c r="DM128" s="228"/>
      <c r="DN128" s="228"/>
      <c r="DO128" s="228"/>
      <c r="DP128" s="228"/>
      <c r="DQ128" s="333"/>
      <c r="DR128" s="136"/>
      <c r="DS128" s="145"/>
      <c r="DT128"/>
      <c r="DU128"/>
      <c r="DV128"/>
      <c r="DW128"/>
      <c r="DX128"/>
      <c r="DY128"/>
    </row>
    <row r="129" spans="1:129" s="202" customFormat="1">
      <c r="B129" s="169" t="s">
        <v>54</v>
      </c>
      <c r="C129" s="191"/>
      <c r="D129" s="191"/>
      <c r="E129" s="191"/>
      <c r="F129" s="191"/>
      <c r="G129" s="235"/>
      <c r="H129" s="236"/>
      <c r="I129" s="236"/>
      <c r="J129" s="237"/>
      <c r="K129" s="334"/>
      <c r="L129" s="236"/>
      <c r="M129" s="236"/>
      <c r="N129" s="236"/>
      <c r="O129" s="237"/>
      <c r="P129" s="334">
        <f>P37</f>
        <v>0</v>
      </c>
      <c r="Q129" s="236"/>
      <c r="R129" s="236"/>
      <c r="S129" s="236"/>
      <c r="T129" s="237"/>
      <c r="U129" s="334">
        <f>U37</f>
        <v>0</v>
      </c>
      <c r="V129" s="236"/>
      <c r="W129" s="236"/>
      <c r="X129" s="236"/>
      <c r="Y129" s="237"/>
      <c r="Z129" s="334">
        <f>Z37</f>
        <v>0</v>
      </c>
      <c r="AA129" s="236"/>
      <c r="AB129" s="236"/>
      <c r="AC129" s="236"/>
      <c r="AD129" s="236"/>
      <c r="AE129" s="334">
        <f>AE37</f>
        <v>12.87</v>
      </c>
      <c r="AF129" s="236"/>
      <c r="AG129" s="236"/>
      <c r="AH129" s="236"/>
      <c r="AI129" s="236"/>
      <c r="AJ129" s="334">
        <f>AJ37</f>
        <v>16.436</v>
      </c>
      <c r="AK129" s="236"/>
      <c r="AL129" s="236"/>
      <c r="AM129" s="236"/>
      <c r="AN129" s="236"/>
      <c r="AO129" s="334">
        <f>AO37</f>
        <v>12.125999999999999</v>
      </c>
      <c r="AP129" s="236"/>
      <c r="AQ129" s="236"/>
      <c r="AR129" s="236"/>
      <c r="AS129" s="236">
        <f t="shared" ref="AS129:BX129" si="431">AS37</f>
        <v>16.277000000000001</v>
      </c>
      <c r="AT129" s="334">
        <f t="shared" si="431"/>
        <v>16.277000000000001</v>
      </c>
      <c r="AU129" s="236">
        <f t="shared" si="431"/>
        <v>15.803000000000001</v>
      </c>
      <c r="AV129" s="236">
        <f t="shared" si="431"/>
        <v>15.414</v>
      </c>
      <c r="AW129" s="236">
        <f t="shared" si="431"/>
        <v>21.466999999999999</v>
      </c>
      <c r="AX129" s="236">
        <f t="shared" si="431"/>
        <v>20.463000000000001</v>
      </c>
      <c r="AY129" s="334">
        <f t="shared" si="431"/>
        <v>20.463000000000001</v>
      </c>
      <c r="AZ129" s="236">
        <f t="shared" si="431"/>
        <v>19.367000000000001</v>
      </c>
      <c r="BA129" s="236">
        <f t="shared" si="431"/>
        <v>14.755000000000001</v>
      </c>
      <c r="BB129" s="236">
        <f t="shared" si="431"/>
        <v>14.156000000000001</v>
      </c>
      <c r="BC129" s="236">
        <f t="shared" si="431"/>
        <v>45.564999999999998</v>
      </c>
      <c r="BD129" s="334">
        <f t="shared" si="431"/>
        <v>45.564999999999998</v>
      </c>
      <c r="BE129" s="236">
        <f t="shared" si="431"/>
        <v>44.58</v>
      </c>
      <c r="BF129" s="236">
        <f t="shared" si="431"/>
        <v>47.164999999999999</v>
      </c>
      <c r="BG129" s="236">
        <f t="shared" si="431"/>
        <v>44.854999999999997</v>
      </c>
      <c r="BH129" s="236">
        <f t="shared" si="431"/>
        <v>47.790000000000006</v>
      </c>
      <c r="BI129" s="334">
        <f t="shared" si="431"/>
        <v>47.790000000000006</v>
      </c>
      <c r="BJ129" s="236">
        <f t="shared" si="431"/>
        <v>47.036999999999999</v>
      </c>
      <c r="BK129" s="236">
        <f t="shared" si="431"/>
        <v>45.857999999999997</v>
      </c>
      <c r="BL129" s="236">
        <f t="shared" si="431"/>
        <v>65.474000000000004</v>
      </c>
      <c r="BM129" s="236">
        <f t="shared" si="431"/>
        <v>75.757000000000005</v>
      </c>
      <c r="BN129" s="334">
        <f t="shared" si="431"/>
        <v>75.757000000000005</v>
      </c>
      <c r="BO129" s="236">
        <f t="shared" si="431"/>
        <v>76.745000000000005</v>
      </c>
      <c r="BP129" s="236">
        <f t="shared" si="431"/>
        <v>92.971999999999994</v>
      </c>
      <c r="BQ129" s="236">
        <f t="shared" si="431"/>
        <v>89.516999999999996</v>
      </c>
      <c r="BR129" s="236">
        <f t="shared" si="431"/>
        <v>85.136000000000024</v>
      </c>
      <c r="BS129" s="334">
        <f t="shared" si="431"/>
        <v>85.136000000000024</v>
      </c>
      <c r="BT129" s="236">
        <f t="shared" si="431"/>
        <v>81.790000000000006</v>
      </c>
      <c r="BU129" s="236">
        <f t="shared" si="431"/>
        <v>87.85</v>
      </c>
      <c r="BV129" s="236">
        <f t="shared" si="431"/>
        <v>102.56699999999999</v>
      </c>
      <c r="BW129" s="236">
        <f t="shared" si="431"/>
        <v>97.615999999999985</v>
      </c>
      <c r="BX129" s="334">
        <f t="shared" si="431"/>
        <v>97.615999999999985</v>
      </c>
      <c r="BY129" s="236">
        <f t="shared" ref="BY129:CQ129" si="432">BY37</f>
        <v>93.421000000000006</v>
      </c>
      <c r="BZ129" s="236">
        <f t="shared" si="432"/>
        <v>86.53</v>
      </c>
      <c r="CA129" s="236">
        <f t="shared" si="432"/>
        <v>87.582999999999998</v>
      </c>
      <c r="CB129" s="236">
        <f t="shared" si="432"/>
        <v>87.474999999999994</v>
      </c>
      <c r="CC129" s="334">
        <f t="shared" si="432"/>
        <v>87.474999999999994</v>
      </c>
      <c r="CD129" s="236">
        <f t="shared" si="432"/>
        <v>122.501</v>
      </c>
      <c r="CE129" s="236">
        <f t="shared" si="432"/>
        <v>121.991</v>
      </c>
      <c r="CF129" s="236">
        <f t="shared" si="432"/>
        <v>118.14100000000001</v>
      </c>
      <c r="CG129" s="236">
        <f t="shared" si="432"/>
        <v>131.274</v>
      </c>
      <c r="CH129" s="334">
        <f t="shared" si="432"/>
        <v>131.274</v>
      </c>
      <c r="CI129" s="236">
        <f t="shared" si="432"/>
        <v>124.735</v>
      </c>
      <c r="CJ129" s="236">
        <f t="shared" si="432"/>
        <v>120.952</v>
      </c>
      <c r="CK129" s="236">
        <f t="shared" si="432"/>
        <v>109.69199999999999</v>
      </c>
      <c r="CL129" s="236">
        <f t="shared" si="432"/>
        <v>953.74900000000002</v>
      </c>
      <c r="CM129" s="334">
        <f t="shared" si="432"/>
        <v>953.74900000000002</v>
      </c>
      <c r="CN129" s="236">
        <f t="shared" si="432"/>
        <v>928.4</v>
      </c>
      <c r="CO129" s="241">
        <f t="shared" si="432"/>
        <v>906.1</v>
      </c>
      <c r="CP129" s="241">
        <f t="shared" si="432"/>
        <v>881.4</v>
      </c>
      <c r="CQ129" s="241">
        <f t="shared" si="432"/>
        <v>864.3</v>
      </c>
      <c r="CR129" s="355">
        <f>CQ129</f>
        <v>864.3</v>
      </c>
      <c r="CS129" s="241">
        <f>CS37</f>
        <v>862.3</v>
      </c>
      <c r="CT129" s="241">
        <f>CT37</f>
        <v>961.4</v>
      </c>
      <c r="CU129" s="241">
        <f>CU37</f>
        <v>936.9</v>
      </c>
      <c r="CV129" s="241">
        <f>CV37</f>
        <v>951</v>
      </c>
      <c r="CW129" s="355">
        <f>CV129</f>
        <v>951</v>
      </c>
      <c r="CX129" s="241">
        <f>CX37</f>
        <v>923</v>
      </c>
      <c r="CY129" s="241">
        <f>CY37</f>
        <v>894</v>
      </c>
      <c r="CZ129" s="241">
        <f>CZ37</f>
        <v>957</v>
      </c>
      <c r="DA129" s="241">
        <f>DA37</f>
        <v>981</v>
      </c>
      <c r="DB129" s="355">
        <f>DA129</f>
        <v>981</v>
      </c>
      <c r="DC129" s="1068">
        <f t="shared" ref="DC129:DF129" si="433">DC123+DC127</f>
        <v>950.43411568549323</v>
      </c>
      <c r="DD129" s="1068">
        <f t="shared" si="433"/>
        <v>919.74323137098645</v>
      </c>
      <c r="DE129" s="1068">
        <f t="shared" si="433"/>
        <v>888.92734705647968</v>
      </c>
      <c r="DF129" s="1068">
        <f t="shared" si="433"/>
        <v>857.9864627419729</v>
      </c>
      <c r="DG129" s="355">
        <f>DF129</f>
        <v>857.9864627419729</v>
      </c>
      <c r="DH129" s="1068">
        <f>DH123+DH127</f>
        <v>826.92057842746613</v>
      </c>
      <c r="DI129" s="1068">
        <f>DI123+DI127</f>
        <v>795.72969411295935</v>
      </c>
      <c r="DJ129" s="1068">
        <f>DJ123+DJ127</f>
        <v>764.41380979845258</v>
      </c>
      <c r="DK129" s="1068">
        <f>DK123+DK127</f>
        <v>732.9729254839458</v>
      </c>
      <c r="DL129" s="355">
        <f>DK129</f>
        <v>732.9729254839458</v>
      </c>
      <c r="DM129" s="1068">
        <f>DM123+DM127</f>
        <v>701.40704116943903</v>
      </c>
      <c r="DN129" s="1068">
        <f>DN123+DN127</f>
        <v>669.71615685493225</v>
      </c>
      <c r="DO129" s="1068">
        <f>DO123+DO127</f>
        <v>637.90027254042548</v>
      </c>
      <c r="DP129" s="1068">
        <f>DP123+DP127</f>
        <v>605.9593882259187</v>
      </c>
      <c r="DQ129" s="355">
        <f>DP129</f>
        <v>605.9593882259187</v>
      </c>
      <c r="DR129" s="169"/>
      <c r="DS129" s="269"/>
      <c r="DT129"/>
      <c r="DU129"/>
      <c r="DV129"/>
      <c r="DW129"/>
      <c r="DX129"/>
      <c r="DY129"/>
    </row>
    <row r="130" spans="1:129" s="154" customFormat="1">
      <c r="A130" s="137"/>
      <c r="B130" s="136"/>
      <c r="C130" s="135"/>
      <c r="D130" s="135"/>
      <c r="E130" s="135"/>
      <c r="F130" s="135"/>
      <c r="G130" s="263"/>
      <c r="H130" s="264"/>
      <c r="I130" s="264"/>
      <c r="J130" s="265"/>
      <c r="K130" s="333"/>
      <c r="L130" s="264"/>
      <c r="M130" s="264"/>
      <c r="N130" s="264"/>
      <c r="O130" s="265"/>
      <c r="P130" s="333"/>
      <c r="Q130" s="264"/>
      <c r="R130" s="264"/>
      <c r="S130" s="264"/>
      <c r="T130" s="265"/>
      <c r="U130" s="333"/>
      <c r="V130" s="264"/>
      <c r="W130" s="264"/>
      <c r="X130" s="264"/>
      <c r="Y130" s="265"/>
      <c r="Z130" s="333"/>
      <c r="AA130" s="264"/>
      <c r="AB130" s="264"/>
      <c r="AC130" s="264"/>
      <c r="AD130" s="264"/>
      <c r="AE130" s="333"/>
      <c r="AF130" s="264"/>
      <c r="AG130" s="264"/>
      <c r="AH130" s="264"/>
      <c r="AI130" s="264"/>
      <c r="AJ130" s="333"/>
      <c r="AK130" s="264"/>
      <c r="AL130" s="264"/>
      <c r="AM130" s="264"/>
      <c r="AN130" s="264"/>
      <c r="AO130" s="333"/>
      <c r="AP130" s="264"/>
      <c r="AQ130" s="264"/>
      <c r="AR130" s="264"/>
      <c r="AS130" s="264"/>
      <c r="AT130" s="333"/>
      <c r="AU130" s="264"/>
      <c r="AV130" s="264"/>
      <c r="AW130" s="264"/>
      <c r="AX130" s="264"/>
      <c r="AY130" s="333"/>
      <c r="AZ130" s="264"/>
      <c r="BA130" s="264"/>
      <c r="BB130" s="264"/>
      <c r="BC130" s="264"/>
      <c r="BD130" s="333"/>
      <c r="BE130" s="264"/>
      <c r="BF130" s="264"/>
      <c r="BG130" s="264"/>
      <c r="BH130" s="264"/>
      <c r="BI130" s="333"/>
      <c r="BJ130" s="264"/>
      <c r="BK130" s="264"/>
      <c r="BL130" s="264"/>
      <c r="BM130" s="264"/>
      <c r="BN130" s="333"/>
      <c r="BO130" s="264"/>
      <c r="BP130" s="264"/>
      <c r="BQ130" s="264"/>
      <c r="BR130" s="264"/>
      <c r="BS130" s="333"/>
      <c r="BT130" s="264"/>
      <c r="BU130" s="264"/>
      <c r="BV130" s="264"/>
      <c r="BW130" s="264"/>
      <c r="BX130" s="333"/>
      <c r="BY130" s="264"/>
      <c r="BZ130" s="264"/>
      <c r="CA130" s="264"/>
      <c r="CB130" s="264"/>
      <c r="CC130" s="333"/>
      <c r="CD130" s="264"/>
      <c r="CE130" s="264"/>
      <c r="CF130" s="264"/>
      <c r="CG130" s="264"/>
      <c r="CH130" s="333"/>
      <c r="CI130" s="264"/>
      <c r="CJ130" s="264"/>
      <c r="CK130" s="264"/>
      <c r="CL130" s="264"/>
      <c r="CM130" s="333"/>
      <c r="CN130" s="264"/>
      <c r="CO130" s="239"/>
      <c r="CP130" s="264"/>
      <c r="CQ130" s="264"/>
      <c r="CR130" s="333"/>
      <c r="CS130" s="264"/>
      <c r="CT130" s="264"/>
      <c r="CU130" s="264"/>
      <c r="CV130" s="264"/>
      <c r="CW130" s="333"/>
      <c r="CX130" s="264"/>
      <c r="CY130" s="264"/>
      <c r="CZ130" s="264"/>
      <c r="DA130" s="264"/>
      <c r="DB130" s="333"/>
      <c r="DC130" s="264"/>
      <c r="DD130" s="264"/>
      <c r="DE130" s="264"/>
      <c r="DF130" s="264"/>
      <c r="DG130" s="333"/>
      <c r="DH130" s="264"/>
      <c r="DI130" s="264"/>
      <c r="DJ130" s="264"/>
      <c r="DK130" s="264"/>
      <c r="DL130" s="333"/>
      <c r="DM130" s="264"/>
      <c r="DN130" s="264"/>
      <c r="DO130" s="264"/>
      <c r="DP130" s="264"/>
      <c r="DQ130" s="333"/>
      <c r="DR130" s="136"/>
      <c r="DS130" s="145"/>
      <c r="DT130"/>
      <c r="DU130"/>
      <c r="DV130"/>
      <c r="DW130"/>
      <c r="DX130"/>
      <c r="DY130"/>
    </row>
    <row r="131" spans="1:129" s="154" customFormat="1">
      <c r="A131" s="137"/>
      <c r="B131" s="136" t="s">
        <v>170</v>
      </c>
      <c r="C131" s="135"/>
      <c r="D131" s="135"/>
      <c r="E131" s="135"/>
      <c r="F131" s="135"/>
      <c r="G131" s="263"/>
      <c r="H131" s="264"/>
      <c r="I131" s="264"/>
      <c r="J131" s="69"/>
      <c r="K131" s="333"/>
      <c r="L131" s="68"/>
      <c r="M131" s="68"/>
      <c r="N131" s="68"/>
      <c r="O131" s="69"/>
      <c r="P131" s="333"/>
      <c r="Q131" s="68"/>
      <c r="R131" s="68"/>
      <c r="S131" s="68"/>
      <c r="T131" s="69"/>
      <c r="U131" s="333"/>
      <c r="V131" s="68"/>
      <c r="W131" s="68"/>
      <c r="X131" s="68"/>
      <c r="Y131" s="69"/>
      <c r="Z131" s="333"/>
      <c r="AA131" s="68"/>
      <c r="AB131" s="68"/>
      <c r="AC131" s="68"/>
      <c r="AD131" s="68"/>
      <c r="AE131" s="333"/>
      <c r="AF131" s="68"/>
      <c r="AG131" s="68"/>
      <c r="AH131" s="68"/>
      <c r="AI131" s="68"/>
      <c r="AJ131" s="333"/>
      <c r="AK131" s="68"/>
      <c r="AL131" s="68"/>
      <c r="AM131" s="68"/>
      <c r="AN131" s="68"/>
      <c r="AO131" s="333"/>
      <c r="AP131" s="68"/>
      <c r="AQ131" s="68"/>
      <c r="AR131" s="68"/>
      <c r="AS131" s="68"/>
      <c r="AT131" s="333"/>
      <c r="AU131" s="289">
        <f t="shared" ref="AU131:CB131" si="434">-AU121/AU126</f>
        <v>32.263525947736468</v>
      </c>
      <c r="AV131" s="289">
        <f t="shared" si="434"/>
        <v>32.565697460434293</v>
      </c>
      <c r="AW131" s="289">
        <f t="shared" si="434"/>
        <v>32.993006993006986</v>
      </c>
      <c r="AX131" s="289">
        <f t="shared" si="434"/>
        <v>42.904306220095684</v>
      </c>
      <c r="AY131" s="333">
        <f>-AY121/AY126</f>
        <v>8.0658814869341171</v>
      </c>
      <c r="AZ131" s="289">
        <f t="shared" si="434"/>
        <v>38.513865686602067</v>
      </c>
      <c r="BA131" s="289">
        <f t="shared" si="434"/>
        <v>38.049114600735045</v>
      </c>
      <c r="BB131" s="289">
        <f t="shared" si="434"/>
        <v>32.885399264951559</v>
      </c>
      <c r="BC131" s="289">
        <f t="shared" si="434"/>
        <v>33.08486468426328</v>
      </c>
      <c r="BD131" s="333">
        <f>-BD121/BD126</f>
        <v>9.6284664216505167</v>
      </c>
      <c r="BE131" s="289">
        <f t="shared" si="434"/>
        <v>28.234156021332005</v>
      </c>
      <c r="BF131" s="289">
        <f t="shared" si="434"/>
        <v>28.745504154781099</v>
      </c>
      <c r="BG131" s="289">
        <f t="shared" si="434"/>
        <v>31.027905246186279</v>
      </c>
      <c r="BH131" s="289">
        <f t="shared" si="434"/>
        <v>30.881929802802922</v>
      </c>
      <c r="BI131" s="333">
        <f>-BI121/BI126</f>
        <v>7.0585390053330013</v>
      </c>
      <c r="BJ131" s="289">
        <f t="shared" si="434"/>
        <v>26.036807438977149</v>
      </c>
      <c r="BK131" s="289">
        <f t="shared" si="434"/>
        <v>26.745060054242547</v>
      </c>
      <c r="BL131" s="289">
        <f t="shared" si="434"/>
        <v>27.288260364199928</v>
      </c>
      <c r="BM131" s="289">
        <f t="shared" si="434"/>
        <v>35.888415342890362</v>
      </c>
      <c r="BN131" s="333">
        <f>-BN121/BN126</f>
        <v>6.5092018597442873</v>
      </c>
      <c r="BO131" s="289">
        <f t="shared" si="434"/>
        <v>51.234579893152038</v>
      </c>
      <c r="BP131" s="289">
        <f t="shared" si="434"/>
        <v>52.714424477901915</v>
      </c>
      <c r="BQ131" s="289">
        <f t="shared" si="434"/>
        <v>61.595434677027697</v>
      </c>
      <c r="BR131" s="289">
        <f t="shared" si="434"/>
        <v>60.917435648373015</v>
      </c>
      <c r="BS131" s="333">
        <f>-BS121/BS126</f>
        <v>12.808644973288009</v>
      </c>
      <c r="BT131" s="289">
        <f t="shared" si="434"/>
        <v>30.638875062220013</v>
      </c>
      <c r="BU131" s="289">
        <f t="shared" si="434"/>
        <v>30.806122448979586</v>
      </c>
      <c r="BV131" s="289">
        <f t="shared" si="434"/>
        <v>33.314335490293672</v>
      </c>
      <c r="BW131" s="289">
        <f t="shared" si="434"/>
        <v>37.977103036336473</v>
      </c>
      <c r="BX131" s="333">
        <f>-BX121/BX126</f>
        <v>7.6597187655550032</v>
      </c>
      <c r="BY131" s="289">
        <f t="shared" si="434"/>
        <v>31.46778711484594</v>
      </c>
      <c r="BZ131" s="289">
        <f t="shared" si="434"/>
        <v>31.597364871874678</v>
      </c>
      <c r="CA131" s="289">
        <f t="shared" si="434"/>
        <v>31.167548500881836</v>
      </c>
      <c r="CB131" s="289">
        <f t="shared" si="434"/>
        <v>32.386035895839818</v>
      </c>
      <c r="CC131" s="333">
        <f t="shared" ref="CC131:CH131" si="435">-CC121/CC126</f>
        <v>7.8669467787114851</v>
      </c>
      <c r="CD131" s="289">
        <f t="shared" si="435"/>
        <v>33.363626932254384</v>
      </c>
      <c r="CE131" s="289">
        <f t="shared" si="435"/>
        <v>41.631185807656401</v>
      </c>
      <c r="CF131" s="289">
        <f t="shared" si="435"/>
        <v>42.5253657018363</v>
      </c>
      <c r="CG131" s="289">
        <f t="shared" si="435"/>
        <v>42.72652764809628</v>
      </c>
      <c r="CH131" s="333">
        <f t="shared" si="435"/>
        <v>8.340906733063596</v>
      </c>
      <c r="CI131" s="460">
        <f>CG131</f>
        <v>42.72652764809628</v>
      </c>
      <c r="CJ131" s="306">
        <f t="shared" ref="CJ131:CQ131" si="436">CI131</f>
        <v>42.72652764809628</v>
      </c>
      <c r="CK131" s="306">
        <f t="shared" si="436"/>
        <v>42.72652764809628</v>
      </c>
      <c r="CL131" s="306">
        <f t="shared" si="436"/>
        <v>42.72652764809628</v>
      </c>
      <c r="CM131" s="333">
        <f>-CM121/CM126</f>
        <v>11.612874779541446</v>
      </c>
      <c r="CN131" s="306">
        <f>CL131</f>
        <v>42.72652764809628</v>
      </c>
      <c r="CO131" s="528">
        <f t="shared" si="436"/>
        <v>42.72652764809628</v>
      </c>
      <c r="CP131" s="306">
        <f>CO131</f>
        <v>42.72652764809628</v>
      </c>
      <c r="CQ131" s="306">
        <f t="shared" si="436"/>
        <v>42.72652764809628</v>
      </c>
      <c r="CR131" s="333">
        <f>-CR121/CR126</f>
        <v>10.670793119357743</v>
      </c>
      <c r="CS131" s="306">
        <f>CQ131</f>
        <v>42.72652764809628</v>
      </c>
      <c r="CT131" s="306">
        <f t="shared" ref="CT131:DF131" si="437">CS131</f>
        <v>42.72652764809628</v>
      </c>
      <c r="CU131" s="306">
        <f t="shared" si="437"/>
        <v>42.72652764809628</v>
      </c>
      <c r="CV131" s="306">
        <f t="shared" si="437"/>
        <v>42.72652764809628</v>
      </c>
      <c r="CW131" s="333">
        <f>-CW121/CW126</f>
        <v>9.935234973682757</v>
      </c>
      <c r="CX131" s="306">
        <v>40</v>
      </c>
      <c r="CY131" s="306">
        <f t="shared" si="437"/>
        <v>40</v>
      </c>
      <c r="CZ131" s="306">
        <f t="shared" si="437"/>
        <v>40</v>
      </c>
      <c r="DA131" s="306">
        <f t="shared" si="437"/>
        <v>40</v>
      </c>
      <c r="DB131" s="333">
        <f>-DB121/DB126</f>
        <v>10.453625252919901</v>
      </c>
      <c r="DC131" s="306">
        <f>DA131</f>
        <v>40</v>
      </c>
      <c r="DD131" s="306">
        <f t="shared" si="437"/>
        <v>40</v>
      </c>
      <c r="DE131" s="306">
        <f t="shared" si="437"/>
        <v>40</v>
      </c>
      <c r="DF131" s="306">
        <f t="shared" si="437"/>
        <v>40</v>
      </c>
      <c r="DG131" s="333">
        <f>-DG121/DG126</f>
        <v>9.9475574120898198</v>
      </c>
      <c r="DH131" s="306">
        <f>DF131</f>
        <v>40</v>
      </c>
      <c r="DI131" s="306">
        <f>DH131</f>
        <v>40</v>
      </c>
      <c r="DJ131" s="306">
        <f>DI131</f>
        <v>40</v>
      </c>
      <c r="DK131" s="306">
        <f>DJ131</f>
        <v>40</v>
      </c>
      <c r="DL131" s="333">
        <f>-DL121/DL126</f>
        <v>9.9482806906043884</v>
      </c>
      <c r="DM131" s="306">
        <f>DK131</f>
        <v>40</v>
      </c>
      <c r="DN131" s="306">
        <f>DM131</f>
        <v>40</v>
      </c>
      <c r="DO131" s="306">
        <f>DN131</f>
        <v>40</v>
      </c>
      <c r="DP131" s="306">
        <f>DO131</f>
        <v>40</v>
      </c>
      <c r="DQ131" s="333">
        <f>-DQ121/DQ126</f>
        <v>9.9489842898832048</v>
      </c>
      <c r="DR131" s="136"/>
      <c r="DS131" s="145"/>
      <c r="DT131"/>
      <c r="DU131"/>
      <c r="DV131"/>
      <c r="DW131"/>
      <c r="DX131"/>
      <c r="DY131"/>
    </row>
    <row r="132" spans="1:129" s="154" customFormat="1">
      <c r="A132" s="137"/>
      <c r="B132" s="136"/>
      <c r="C132" s="135"/>
      <c r="D132" s="135"/>
      <c r="E132" s="135"/>
      <c r="F132" s="135"/>
      <c r="G132" s="263"/>
      <c r="H132" s="264"/>
      <c r="I132" s="264"/>
      <c r="J132" s="265"/>
      <c r="K132" s="333"/>
      <c r="L132" s="264"/>
      <c r="M132" s="264"/>
      <c r="N132" s="264"/>
      <c r="O132" s="265"/>
      <c r="P132" s="333"/>
      <c r="Q132" s="264"/>
      <c r="R132" s="264"/>
      <c r="S132" s="264"/>
      <c r="T132" s="265"/>
      <c r="U132" s="333"/>
      <c r="V132" s="264"/>
      <c r="W132" s="264"/>
      <c r="X132" s="264"/>
      <c r="Y132" s="265"/>
      <c r="Z132" s="333"/>
      <c r="AA132" s="264"/>
      <c r="AB132" s="264"/>
      <c r="AC132" s="264"/>
      <c r="AD132" s="264"/>
      <c r="AE132" s="333"/>
      <c r="AF132" s="264"/>
      <c r="AG132" s="264"/>
      <c r="AH132" s="264"/>
      <c r="AI132" s="264"/>
      <c r="AJ132" s="333"/>
      <c r="AK132" s="264"/>
      <c r="AL132" s="264"/>
      <c r="AM132" s="264"/>
      <c r="AN132" s="264"/>
      <c r="AO132" s="333"/>
      <c r="AP132" s="264"/>
      <c r="AQ132" s="264"/>
      <c r="AR132" s="264"/>
      <c r="AS132" s="264"/>
      <c r="AT132" s="333"/>
      <c r="AU132" s="264"/>
      <c r="AV132" s="264"/>
      <c r="AW132" s="264"/>
      <c r="AX132" s="264"/>
      <c r="AY132" s="333"/>
      <c r="AZ132" s="264"/>
      <c r="BA132" s="264"/>
      <c r="BB132" s="264"/>
      <c r="BC132" s="264"/>
      <c r="BD132" s="333"/>
      <c r="BE132" s="264"/>
      <c r="BF132" s="264"/>
      <c r="BG132" s="264"/>
      <c r="BH132" s="264"/>
      <c r="BI132" s="333"/>
      <c r="BJ132" s="264"/>
      <c r="BK132" s="264"/>
      <c r="BL132" s="264"/>
      <c r="BM132" s="264"/>
      <c r="BN132" s="333"/>
      <c r="BO132" s="264"/>
      <c r="BP132" s="264"/>
      <c r="BQ132" s="264"/>
      <c r="BR132" s="264"/>
      <c r="BS132" s="333"/>
      <c r="BT132" s="264"/>
      <c r="BU132" s="264"/>
      <c r="BV132" s="264"/>
      <c r="BW132" s="264"/>
      <c r="BX132" s="333"/>
      <c r="BY132" s="264"/>
      <c r="BZ132" s="264"/>
      <c r="CA132" s="264"/>
      <c r="CB132" s="228"/>
      <c r="CC132" s="333"/>
      <c r="CD132" s="264"/>
      <c r="CE132" s="228"/>
      <c r="CF132" s="228"/>
      <c r="CG132" s="228"/>
      <c r="CH132" s="333"/>
      <c r="CI132" s="228"/>
      <c r="CJ132" s="228"/>
      <c r="CK132" s="228"/>
      <c r="CL132" s="228"/>
      <c r="CM132" s="333"/>
      <c r="CN132" s="228"/>
      <c r="CO132" s="525"/>
      <c r="CP132" s="228"/>
      <c r="CQ132" s="228"/>
      <c r="CR132" s="333"/>
      <c r="CS132" s="228"/>
      <c r="CT132" s="228"/>
      <c r="CU132" s="228"/>
      <c r="CV132" s="228"/>
      <c r="CW132" s="333"/>
      <c r="CX132" s="228"/>
      <c r="CY132" s="228"/>
      <c r="CZ132" s="228"/>
      <c r="DA132" s="228"/>
      <c r="DB132" s="333"/>
      <c r="DC132" s="228"/>
      <c r="DD132" s="228"/>
      <c r="DE132" s="228"/>
      <c r="DF132" s="228"/>
      <c r="DG132" s="333"/>
      <c r="DH132" s="228"/>
      <c r="DI132" s="228"/>
      <c r="DJ132" s="228"/>
      <c r="DK132" s="228"/>
      <c r="DL132" s="333"/>
      <c r="DM132" s="228"/>
      <c r="DN132" s="228"/>
      <c r="DO132" s="228"/>
      <c r="DP132" s="228"/>
      <c r="DQ132" s="333"/>
      <c r="DR132" s="136"/>
      <c r="DS132" s="145"/>
      <c r="DT132"/>
      <c r="DU132"/>
      <c r="DV132"/>
      <c r="DW132"/>
      <c r="DX132"/>
      <c r="DY132"/>
    </row>
    <row r="133" spans="1:129" hidden="1" outlineLevel="1">
      <c r="A133" s="1"/>
      <c r="B133" s="3" t="s">
        <v>171</v>
      </c>
      <c r="C133" s="4"/>
      <c r="D133" s="4"/>
      <c r="E133" s="4"/>
      <c r="F133" s="4"/>
      <c r="G133" s="119"/>
      <c r="H133" s="120"/>
      <c r="I133" s="120"/>
      <c r="J133" s="121"/>
      <c r="K133" s="352"/>
      <c r="L133" s="119"/>
      <c r="M133" s="120"/>
      <c r="N133" s="120"/>
      <c r="O133" s="120"/>
      <c r="P133" s="352"/>
      <c r="Q133" s="119"/>
      <c r="R133" s="120"/>
      <c r="S133" s="120"/>
      <c r="T133" s="121"/>
      <c r="U133" s="352"/>
      <c r="V133" s="120"/>
      <c r="W133" s="120"/>
      <c r="X133" s="120"/>
      <c r="Y133" s="121"/>
      <c r="Z133" s="352"/>
      <c r="AA133" s="120"/>
      <c r="AB133" s="120"/>
      <c r="AC133" s="120"/>
      <c r="AD133" s="120"/>
      <c r="AE133" s="352"/>
      <c r="AF133" s="120"/>
      <c r="AG133" s="120"/>
      <c r="AH133" s="120"/>
      <c r="AI133" s="120"/>
      <c r="AJ133" s="352"/>
      <c r="AK133" s="120"/>
      <c r="AL133" s="120"/>
      <c r="AM133" s="120"/>
      <c r="AN133" s="120"/>
      <c r="AO133" s="352"/>
      <c r="AP133" s="120"/>
      <c r="AQ133" s="120"/>
      <c r="AR133" s="120"/>
      <c r="AS133" s="120"/>
      <c r="AT133" s="352"/>
      <c r="AU133" s="120"/>
      <c r="AV133" s="120"/>
      <c r="AW133" s="120"/>
      <c r="AX133" s="120"/>
      <c r="AY133" s="352"/>
      <c r="AZ133" s="120"/>
      <c r="BA133" s="120"/>
      <c r="BB133" s="120"/>
      <c r="BC133" s="120"/>
      <c r="BD133" s="352"/>
      <c r="BE133" s="120"/>
      <c r="BF133" s="120"/>
      <c r="BG133" s="120"/>
      <c r="BH133" s="120"/>
      <c r="BI133" s="352"/>
      <c r="BJ133" s="120"/>
      <c r="BK133" s="120"/>
      <c r="BL133" s="120"/>
      <c r="BM133" s="120"/>
      <c r="BN133" s="352"/>
      <c r="BO133" s="120"/>
      <c r="BP133" s="120"/>
      <c r="BQ133" s="120"/>
      <c r="BR133" s="120"/>
      <c r="BS133" s="352"/>
      <c r="BT133" s="120"/>
      <c r="BU133" s="120"/>
      <c r="BV133" s="120"/>
      <c r="BW133" s="120"/>
      <c r="BX133" s="352"/>
      <c r="BY133" s="120"/>
      <c r="BZ133" s="120"/>
      <c r="CA133" s="120"/>
      <c r="CB133" s="120"/>
      <c r="CC133" s="352"/>
      <c r="CD133" s="120"/>
      <c r="CE133" s="120"/>
      <c r="CF133" s="120"/>
      <c r="CG133" s="120"/>
      <c r="CH133" s="352"/>
      <c r="CI133" s="120"/>
      <c r="CJ133" s="120"/>
      <c r="CK133" s="120"/>
      <c r="CL133" s="120"/>
      <c r="CM133" s="352"/>
      <c r="CN133" s="120"/>
      <c r="CO133" s="120"/>
      <c r="CP133" s="120"/>
      <c r="CQ133" s="120"/>
      <c r="CR133" s="352"/>
      <c r="CS133" s="120"/>
      <c r="CT133" s="120"/>
      <c r="CU133" s="120"/>
      <c r="CV133" s="120"/>
      <c r="CW133" s="352"/>
      <c r="CX133" s="120"/>
      <c r="CY133" s="120"/>
      <c r="CZ133" s="120"/>
      <c r="DA133" s="120"/>
      <c r="DB133" s="352"/>
      <c r="DC133" s="120"/>
      <c r="DD133" s="120"/>
      <c r="DE133" s="120"/>
      <c r="DF133" s="120"/>
      <c r="DG133" s="352"/>
      <c r="DH133" s="120"/>
      <c r="DI133" s="120"/>
      <c r="DJ133" s="120"/>
      <c r="DK133" s="120"/>
      <c r="DL133" s="352"/>
      <c r="DM133" s="120"/>
      <c r="DN133" s="120"/>
      <c r="DO133" s="120"/>
      <c r="DP133" s="120"/>
      <c r="DQ133" s="352"/>
      <c r="DR133" s="3"/>
      <c r="DS133" s="112"/>
    </row>
    <row r="134" spans="1:129" hidden="1" outlineLevel="1">
      <c r="A134" s="1"/>
      <c r="B134" s="3"/>
      <c r="C134" s="4" t="s">
        <v>165</v>
      </c>
      <c r="D134" s="4"/>
      <c r="E134" s="4"/>
      <c r="F134" s="4"/>
      <c r="G134" s="119"/>
      <c r="H134" s="120"/>
      <c r="I134" s="120"/>
      <c r="J134" s="121"/>
      <c r="K134" s="337"/>
      <c r="L134" s="303"/>
      <c r="M134" s="304"/>
      <c r="N134" s="304"/>
      <c r="O134" s="120"/>
      <c r="P134" s="337"/>
      <c r="Q134" s="303"/>
      <c r="R134" s="304"/>
      <c r="S134" s="304"/>
      <c r="T134" s="121"/>
      <c r="U134" s="337"/>
      <c r="V134" s="303"/>
      <c r="W134" s="304"/>
      <c r="X134" s="304"/>
      <c r="Y134" s="121"/>
      <c r="Z134" s="337"/>
      <c r="AA134" s="303"/>
      <c r="AB134" s="304"/>
      <c r="AC134" s="304"/>
      <c r="AD134" s="120"/>
      <c r="AE134" s="337"/>
      <c r="AF134" s="304"/>
      <c r="AG134" s="304"/>
      <c r="AH134" s="304"/>
      <c r="AI134" s="120"/>
      <c r="AJ134" s="337"/>
      <c r="AK134" s="304"/>
      <c r="AL134" s="304"/>
      <c r="AM134" s="304"/>
      <c r="AN134" s="120"/>
      <c r="AO134" s="337"/>
      <c r="AP134" s="304"/>
      <c r="AQ134" s="304"/>
      <c r="AR134" s="304"/>
      <c r="AS134" s="120">
        <f t="shared" ref="AS134:AT136" si="438">AS33/AS$32</f>
        <v>0.95017111567419577</v>
      </c>
      <c r="AT134" s="337">
        <f t="shared" si="438"/>
        <v>0.95017111567419577</v>
      </c>
      <c r="AU134" s="304">
        <f>AS134</f>
        <v>0.95017111567419577</v>
      </c>
      <c r="AV134" s="304">
        <f t="shared" ref="AV134:AW136" si="439">AU134</f>
        <v>0.95017111567419577</v>
      </c>
      <c r="AW134" s="304">
        <f t="shared" si="439"/>
        <v>0.95017111567419577</v>
      </c>
      <c r="AX134" s="120">
        <f t="shared" ref="AX134:AY136" si="440">AX33/AX$32</f>
        <v>0.86650704420848079</v>
      </c>
      <c r="AY134" s="337">
        <f t="shared" si="440"/>
        <v>0.86650704420848079</v>
      </c>
      <c r="AZ134" s="304">
        <f>AX134</f>
        <v>0.86650704420848079</v>
      </c>
      <c r="BA134" s="304">
        <f t="shared" ref="BA134:BB136" si="441">AZ134</f>
        <v>0.86650704420848079</v>
      </c>
      <c r="BB134" s="304">
        <f t="shared" si="441"/>
        <v>0.86650704420848079</v>
      </c>
      <c r="BC134" s="120">
        <f t="shared" ref="BC134:BD136" si="442">BC33/BC$32</f>
        <v>0.84321683973784556</v>
      </c>
      <c r="BD134" s="337">
        <f t="shared" si="442"/>
        <v>0.84321683973784556</v>
      </c>
      <c r="BE134" s="304">
        <f>BC134</f>
        <v>0.84321683973784556</v>
      </c>
      <c r="BF134" s="304">
        <f t="shared" ref="BF134:BG136" si="443">BE134</f>
        <v>0.84321683973784556</v>
      </c>
      <c r="BG134" s="304">
        <f t="shared" si="443"/>
        <v>0.84321683973784556</v>
      </c>
      <c r="BH134" s="120">
        <f t="shared" ref="BH134:BI136" si="444">BH33/BH$32</f>
        <v>0.87007633814972984</v>
      </c>
      <c r="BI134" s="337">
        <f t="shared" si="444"/>
        <v>0.87007633814972984</v>
      </c>
      <c r="BJ134" s="304">
        <f>BH134</f>
        <v>0.87007633814972984</v>
      </c>
      <c r="BK134" s="304">
        <f t="shared" ref="BK134:BL136" si="445">BJ134</f>
        <v>0.87007633814972984</v>
      </c>
      <c r="BL134" s="304">
        <f t="shared" si="445"/>
        <v>0.87007633814972984</v>
      </c>
      <c r="BM134" s="120">
        <f t="shared" ref="BM134:BN136" si="446">BM33/BM$32</f>
        <v>0.89569825200015163</v>
      </c>
      <c r="BN134" s="337">
        <f t="shared" si="446"/>
        <v>0.89569825200015163</v>
      </c>
      <c r="BO134" s="304">
        <f>BM134</f>
        <v>0.89569825200015163</v>
      </c>
      <c r="BP134" s="304">
        <f t="shared" ref="BP134:BQ136" si="447">BO134</f>
        <v>0.89569825200015163</v>
      </c>
      <c r="BQ134" s="304">
        <f t="shared" si="447"/>
        <v>0.89569825200015163</v>
      </c>
      <c r="BR134" s="120">
        <f t="shared" ref="BR134:BS136" si="448">BR33/BR$32</f>
        <v>0.95282152923879226</v>
      </c>
      <c r="BS134" s="337">
        <f t="shared" si="448"/>
        <v>0.95282152923879226</v>
      </c>
      <c r="BT134" s="304">
        <f>BR134</f>
        <v>0.95282152923879226</v>
      </c>
      <c r="BU134" s="304">
        <f t="shared" ref="BU134:BV136" si="449">BT134</f>
        <v>0.95282152923879226</v>
      </c>
      <c r="BV134" s="304">
        <f t="shared" si="449"/>
        <v>0.95282152923879226</v>
      </c>
      <c r="BW134" s="120">
        <f t="shared" ref="BW134:BX136" si="450">BW33/BW$32</f>
        <v>0.88544036291944428</v>
      </c>
      <c r="BX134" s="337">
        <f t="shared" si="450"/>
        <v>0.88544036291944428</v>
      </c>
      <c r="BY134" s="304">
        <f>BW134</f>
        <v>0.88544036291944428</v>
      </c>
      <c r="BZ134" s="304">
        <f t="shared" ref="BZ134:CA136" si="451">BY134</f>
        <v>0.88544036291944428</v>
      </c>
      <c r="CA134" s="304">
        <f t="shared" si="451"/>
        <v>0.88544036291944428</v>
      </c>
      <c r="CB134" s="120">
        <f t="shared" ref="CB134:CC136" si="452">CB33/CB$32</f>
        <v>0.88716759123361277</v>
      </c>
      <c r="CC134" s="337">
        <f t="shared" si="452"/>
        <v>0.88716759123361277</v>
      </c>
      <c r="CD134" s="304">
        <f>CB134</f>
        <v>0.88716759123361277</v>
      </c>
      <c r="CE134" s="304">
        <f t="shared" ref="CE134:CL134" si="453">CD134</f>
        <v>0.88716759123361277</v>
      </c>
      <c r="CF134" s="304">
        <f t="shared" si="453"/>
        <v>0.88716759123361277</v>
      </c>
      <c r="CG134" s="120">
        <f t="shared" ref="CG134:CH136" si="454">CG33/CG$32</f>
        <v>0.88793836784728075</v>
      </c>
      <c r="CH134" s="337">
        <f t="shared" si="454"/>
        <v>0.88793836784728075</v>
      </c>
      <c r="CI134" s="304">
        <f>CG134</f>
        <v>0.88793836784728075</v>
      </c>
      <c r="CJ134" s="302">
        <f t="shared" si="453"/>
        <v>0.88793836784728075</v>
      </c>
      <c r="CK134" s="302">
        <f t="shared" si="453"/>
        <v>0.88793836784728075</v>
      </c>
      <c r="CL134" s="302">
        <f t="shared" si="453"/>
        <v>0.88793836784728075</v>
      </c>
      <c r="CM134" s="337">
        <f>CM33/CM$32</f>
        <v>0.5937175804189877</v>
      </c>
      <c r="CN134" s="302">
        <f>CL134</f>
        <v>0.88793836784728075</v>
      </c>
      <c r="CO134" s="302">
        <f>CN134</f>
        <v>0.88793836784728075</v>
      </c>
      <c r="CP134" s="302">
        <f t="shared" ref="CP134:CV136" si="455">CO134</f>
        <v>0.88793836784728075</v>
      </c>
      <c r="CQ134" s="302">
        <f t="shared" si="455"/>
        <v>0.88793836784728075</v>
      </c>
      <c r="CR134" s="337">
        <f>CR33/CR$32</f>
        <v>0.88793836784728075</v>
      </c>
      <c r="CS134" s="302">
        <f>CQ134</f>
        <v>0.88793836784728075</v>
      </c>
      <c r="CT134" s="302">
        <f>CS134</f>
        <v>0.88793836784728075</v>
      </c>
      <c r="CU134" s="302">
        <f t="shared" si="455"/>
        <v>0.88793836784728075</v>
      </c>
      <c r="CV134" s="302">
        <f t="shared" si="455"/>
        <v>0.88793836784728075</v>
      </c>
      <c r="CW134" s="337">
        <f>CW33/CW$32</f>
        <v>0.88793836784728075</v>
      </c>
      <c r="CX134" s="302">
        <f>CV134</f>
        <v>0.88793836784728075</v>
      </c>
      <c r="CY134" s="302">
        <f>CX134</f>
        <v>0.88793836784728075</v>
      </c>
      <c r="CZ134" s="302">
        <f t="shared" ref="CZ134:DA136" si="456">CY134</f>
        <v>0.88793836784728075</v>
      </c>
      <c r="DA134" s="302">
        <f t="shared" si="456"/>
        <v>0.88793836784728075</v>
      </c>
      <c r="DB134" s="337">
        <f>DB33/DB$32</f>
        <v>0.88793836784728075</v>
      </c>
      <c r="DC134" s="302">
        <f>DA134</f>
        <v>0.88793836784728075</v>
      </c>
      <c r="DD134" s="302">
        <f t="shared" ref="DD134:DF136" si="457">DC134</f>
        <v>0.88793836784728075</v>
      </c>
      <c r="DE134" s="302">
        <f t="shared" si="457"/>
        <v>0.88793836784728075</v>
      </c>
      <c r="DF134" s="302">
        <f t="shared" si="457"/>
        <v>0.88793836784728075</v>
      </c>
      <c r="DG134" s="337">
        <f>DG33/DG$32</f>
        <v>0.88793836784728075</v>
      </c>
      <c r="DH134" s="302">
        <f>DF134</f>
        <v>0.88793836784728075</v>
      </c>
      <c r="DI134" s="302">
        <f t="shared" ref="DI134:DK136" si="458">DH134</f>
        <v>0.88793836784728075</v>
      </c>
      <c r="DJ134" s="302">
        <f t="shared" si="458"/>
        <v>0.88793836784728075</v>
      </c>
      <c r="DK134" s="302">
        <f t="shared" si="458"/>
        <v>0.88793836784728075</v>
      </c>
      <c r="DL134" s="337">
        <f>DL33/DL$32</f>
        <v>0.88793836784728086</v>
      </c>
      <c r="DM134" s="302">
        <f>DK134</f>
        <v>0.88793836784728075</v>
      </c>
      <c r="DN134" s="302">
        <f t="shared" ref="DN134:DN136" si="459">DM134</f>
        <v>0.88793836784728075</v>
      </c>
      <c r="DO134" s="302">
        <f t="shared" ref="DO134:DO136" si="460">DN134</f>
        <v>0.88793836784728075</v>
      </c>
      <c r="DP134" s="302">
        <f t="shared" ref="DP134:DP136" si="461">DO134</f>
        <v>0.88793836784728075</v>
      </c>
      <c r="DQ134" s="337">
        <f>DQ33/DQ$32</f>
        <v>0.88793836784728075</v>
      </c>
      <c r="DR134" s="3"/>
      <c r="DS134" s="112"/>
    </row>
    <row r="135" spans="1:129" hidden="1" outlineLevel="1">
      <c r="A135" s="1"/>
      <c r="B135" s="3"/>
      <c r="C135" s="4" t="s">
        <v>166</v>
      </c>
      <c r="D135" s="4"/>
      <c r="E135" s="4"/>
      <c r="F135" s="4"/>
      <c r="G135" s="119"/>
      <c r="H135" s="120"/>
      <c r="I135" s="120"/>
      <c r="J135" s="121"/>
      <c r="K135" s="337"/>
      <c r="L135" s="303"/>
      <c r="M135" s="304"/>
      <c r="N135" s="304"/>
      <c r="O135" s="120"/>
      <c r="P135" s="337"/>
      <c r="Q135" s="303"/>
      <c r="R135" s="304"/>
      <c r="S135" s="304"/>
      <c r="T135" s="121"/>
      <c r="U135" s="337"/>
      <c r="V135" s="303"/>
      <c r="W135" s="304"/>
      <c r="X135" s="304"/>
      <c r="Y135" s="121"/>
      <c r="Z135" s="337"/>
      <c r="AA135" s="303"/>
      <c r="AB135" s="304"/>
      <c r="AC135" s="304"/>
      <c r="AD135" s="120"/>
      <c r="AE135" s="337"/>
      <c r="AF135" s="304"/>
      <c r="AG135" s="304"/>
      <c r="AH135" s="304"/>
      <c r="AI135" s="120"/>
      <c r="AJ135" s="337"/>
      <c r="AK135" s="304"/>
      <c r="AL135" s="304"/>
      <c r="AM135" s="304"/>
      <c r="AN135" s="120"/>
      <c r="AO135" s="337"/>
      <c r="AP135" s="304"/>
      <c r="AQ135" s="304"/>
      <c r="AR135" s="304"/>
      <c r="AS135" s="120">
        <f t="shared" si="438"/>
        <v>2.190280629705681E-3</v>
      </c>
      <c r="AT135" s="337">
        <f t="shared" si="438"/>
        <v>2.190280629705681E-3</v>
      </c>
      <c r="AU135" s="304">
        <f>AS135</f>
        <v>2.190280629705681E-3</v>
      </c>
      <c r="AV135" s="304">
        <f t="shared" si="439"/>
        <v>2.190280629705681E-3</v>
      </c>
      <c r="AW135" s="304">
        <f t="shared" si="439"/>
        <v>2.190280629705681E-3</v>
      </c>
      <c r="AX135" s="120">
        <f t="shared" si="440"/>
        <v>9.72655978902075E-2</v>
      </c>
      <c r="AY135" s="337">
        <f t="shared" si="440"/>
        <v>9.72655978902075E-2</v>
      </c>
      <c r="AZ135" s="304">
        <f>AX135</f>
        <v>9.72655978902075E-2</v>
      </c>
      <c r="BA135" s="304">
        <f t="shared" si="441"/>
        <v>9.72655978902075E-2</v>
      </c>
      <c r="BB135" s="304">
        <f t="shared" si="441"/>
        <v>9.72655978902075E-2</v>
      </c>
      <c r="BC135" s="120">
        <f t="shared" si="442"/>
        <v>0.10345615237292008</v>
      </c>
      <c r="BD135" s="337">
        <f t="shared" si="442"/>
        <v>0.10345615237292008</v>
      </c>
      <c r="BE135" s="304">
        <f>BC135</f>
        <v>0.10345615237292008</v>
      </c>
      <c r="BF135" s="304">
        <f t="shared" si="443"/>
        <v>0.10345615237292008</v>
      </c>
      <c r="BG135" s="304">
        <f t="shared" si="443"/>
        <v>0.10345615237292008</v>
      </c>
      <c r="BH135" s="120">
        <f t="shared" si="444"/>
        <v>8.4611836133390864E-2</v>
      </c>
      <c r="BI135" s="337">
        <f t="shared" si="444"/>
        <v>8.4611836133390864E-2</v>
      </c>
      <c r="BJ135" s="304">
        <f>BH135</f>
        <v>8.4611836133390864E-2</v>
      </c>
      <c r="BK135" s="304">
        <f t="shared" si="445"/>
        <v>8.4611836133390864E-2</v>
      </c>
      <c r="BL135" s="304">
        <f t="shared" si="445"/>
        <v>8.4611836133390864E-2</v>
      </c>
      <c r="BM135" s="120">
        <f t="shared" si="446"/>
        <v>6.8308497326811518E-2</v>
      </c>
      <c r="BN135" s="337">
        <f t="shared" si="446"/>
        <v>6.8308497326811518E-2</v>
      </c>
      <c r="BO135" s="304">
        <f>BM135</f>
        <v>6.8308497326811518E-2</v>
      </c>
      <c r="BP135" s="304">
        <f t="shared" si="447"/>
        <v>6.8308497326811518E-2</v>
      </c>
      <c r="BQ135" s="304">
        <f t="shared" si="447"/>
        <v>6.8308497326811518E-2</v>
      </c>
      <c r="BR135" s="120">
        <f t="shared" si="448"/>
        <v>2.5416913741704367E-2</v>
      </c>
      <c r="BS135" s="337">
        <f t="shared" si="448"/>
        <v>2.5416913741704367E-2</v>
      </c>
      <c r="BT135" s="304">
        <f>BR135</f>
        <v>2.5416913741704367E-2</v>
      </c>
      <c r="BU135" s="304">
        <f t="shared" si="449"/>
        <v>2.5416913741704367E-2</v>
      </c>
      <c r="BV135" s="304">
        <f t="shared" si="449"/>
        <v>2.5416913741704367E-2</v>
      </c>
      <c r="BW135" s="120">
        <f t="shared" si="450"/>
        <v>2.7416770518070149E-2</v>
      </c>
      <c r="BX135" s="337">
        <f t="shared" si="450"/>
        <v>2.7416770518070149E-2</v>
      </c>
      <c r="BY135" s="304">
        <f>BW135</f>
        <v>2.7416770518070149E-2</v>
      </c>
      <c r="BZ135" s="304">
        <f t="shared" si="451"/>
        <v>2.7416770518070149E-2</v>
      </c>
      <c r="CA135" s="304">
        <f t="shared" si="451"/>
        <v>2.7416770518070149E-2</v>
      </c>
      <c r="CB135" s="120">
        <f t="shared" si="452"/>
        <v>2.6256872061494071E-2</v>
      </c>
      <c r="CC135" s="337">
        <f t="shared" si="452"/>
        <v>2.6256872061494071E-2</v>
      </c>
      <c r="CD135" s="304">
        <f>CB135</f>
        <v>2.6256872061494071E-2</v>
      </c>
      <c r="CE135" s="304">
        <f t="shared" ref="CE135:CL135" si="462">CD135</f>
        <v>2.6256872061494071E-2</v>
      </c>
      <c r="CF135" s="304">
        <f t="shared" si="462"/>
        <v>2.6256872061494071E-2</v>
      </c>
      <c r="CG135" s="120">
        <f t="shared" si="454"/>
        <v>1.854024979169484E-2</v>
      </c>
      <c r="CH135" s="337">
        <f t="shared" si="454"/>
        <v>1.854024979169484E-2</v>
      </c>
      <c r="CI135" s="304">
        <f>CG135</f>
        <v>1.854024979169484E-2</v>
      </c>
      <c r="CJ135" s="302">
        <f t="shared" si="462"/>
        <v>1.854024979169484E-2</v>
      </c>
      <c r="CK135" s="302">
        <f t="shared" si="462"/>
        <v>1.854024979169484E-2</v>
      </c>
      <c r="CL135" s="302">
        <f t="shared" si="462"/>
        <v>1.854024979169484E-2</v>
      </c>
      <c r="CM135" s="337">
        <f>CM34/CM$32</f>
        <v>0.30603255271435392</v>
      </c>
      <c r="CN135" s="302">
        <f>CL135</f>
        <v>1.854024979169484E-2</v>
      </c>
      <c r="CO135" s="302">
        <f>CN135</f>
        <v>1.854024979169484E-2</v>
      </c>
      <c r="CP135" s="302">
        <f t="shared" si="455"/>
        <v>1.854024979169484E-2</v>
      </c>
      <c r="CQ135" s="302">
        <f t="shared" si="455"/>
        <v>1.854024979169484E-2</v>
      </c>
      <c r="CR135" s="337">
        <f>CR34/CR$32</f>
        <v>1.854024979169484E-2</v>
      </c>
      <c r="CS135" s="302">
        <f>CQ135</f>
        <v>1.854024979169484E-2</v>
      </c>
      <c r="CT135" s="302">
        <f>CS135</f>
        <v>1.854024979169484E-2</v>
      </c>
      <c r="CU135" s="302">
        <f t="shared" si="455"/>
        <v>1.854024979169484E-2</v>
      </c>
      <c r="CV135" s="302">
        <f t="shared" si="455"/>
        <v>1.854024979169484E-2</v>
      </c>
      <c r="CW135" s="337">
        <f>CW34/CW$32</f>
        <v>1.854024979169484E-2</v>
      </c>
      <c r="CX135" s="302">
        <f>CV135</f>
        <v>1.854024979169484E-2</v>
      </c>
      <c r="CY135" s="302">
        <f>CX135</f>
        <v>1.854024979169484E-2</v>
      </c>
      <c r="CZ135" s="302">
        <f t="shared" si="456"/>
        <v>1.854024979169484E-2</v>
      </c>
      <c r="DA135" s="302">
        <f t="shared" si="456"/>
        <v>1.854024979169484E-2</v>
      </c>
      <c r="DB135" s="337">
        <f>DB34/DB$32</f>
        <v>1.854024979169484E-2</v>
      </c>
      <c r="DC135" s="302">
        <f>DA135</f>
        <v>1.854024979169484E-2</v>
      </c>
      <c r="DD135" s="302">
        <f t="shared" si="457"/>
        <v>1.854024979169484E-2</v>
      </c>
      <c r="DE135" s="302">
        <f t="shared" si="457"/>
        <v>1.854024979169484E-2</v>
      </c>
      <c r="DF135" s="302">
        <f t="shared" si="457"/>
        <v>1.854024979169484E-2</v>
      </c>
      <c r="DG135" s="337">
        <f>DG34/DG$32</f>
        <v>1.854024979169484E-2</v>
      </c>
      <c r="DH135" s="302">
        <f>DF135</f>
        <v>1.854024979169484E-2</v>
      </c>
      <c r="DI135" s="302">
        <f t="shared" si="458"/>
        <v>1.854024979169484E-2</v>
      </c>
      <c r="DJ135" s="302">
        <f t="shared" si="458"/>
        <v>1.854024979169484E-2</v>
      </c>
      <c r="DK135" s="302">
        <f t="shared" si="458"/>
        <v>1.854024979169484E-2</v>
      </c>
      <c r="DL135" s="337">
        <f>DL34/DL$32</f>
        <v>1.854024979169484E-2</v>
      </c>
      <c r="DM135" s="302">
        <f>DK135</f>
        <v>1.854024979169484E-2</v>
      </c>
      <c r="DN135" s="302">
        <f t="shared" si="459"/>
        <v>1.854024979169484E-2</v>
      </c>
      <c r="DO135" s="302">
        <f t="shared" si="460"/>
        <v>1.854024979169484E-2</v>
      </c>
      <c r="DP135" s="302">
        <f t="shared" si="461"/>
        <v>1.854024979169484E-2</v>
      </c>
      <c r="DQ135" s="337">
        <f>DQ34/DQ$32</f>
        <v>1.854024979169484E-2</v>
      </c>
      <c r="DR135" s="3"/>
      <c r="DS135" s="112"/>
    </row>
    <row r="136" spans="1:129" hidden="1" outlineLevel="1">
      <c r="A136" s="1"/>
      <c r="B136" s="3"/>
      <c r="C136" s="4" t="s">
        <v>7</v>
      </c>
      <c r="D136" s="4"/>
      <c r="E136" s="4"/>
      <c r="F136" s="4"/>
      <c r="G136" s="119"/>
      <c r="H136" s="120"/>
      <c r="I136" s="120"/>
      <c r="J136" s="121"/>
      <c r="K136" s="337"/>
      <c r="L136" s="303"/>
      <c r="M136" s="304"/>
      <c r="N136" s="304"/>
      <c r="O136" s="120"/>
      <c r="P136" s="337"/>
      <c r="Q136" s="303"/>
      <c r="R136" s="304"/>
      <c r="S136" s="304"/>
      <c r="T136" s="121"/>
      <c r="U136" s="337"/>
      <c r="V136" s="303"/>
      <c r="W136" s="304"/>
      <c r="X136" s="304"/>
      <c r="Y136" s="121"/>
      <c r="Z136" s="337"/>
      <c r="AA136" s="303"/>
      <c r="AB136" s="304"/>
      <c r="AC136" s="304"/>
      <c r="AD136" s="120"/>
      <c r="AE136" s="337"/>
      <c r="AF136" s="304"/>
      <c r="AG136" s="304"/>
      <c r="AH136" s="304"/>
      <c r="AI136" s="120"/>
      <c r="AJ136" s="337"/>
      <c r="AK136" s="304"/>
      <c r="AL136" s="304"/>
      <c r="AM136" s="304"/>
      <c r="AN136" s="120"/>
      <c r="AO136" s="337"/>
      <c r="AP136" s="304"/>
      <c r="AQ136" s="304"/>
      <c r="AR136" s="304"/>
      <c r="AS136" s="120">
        <f t="shared" si="438"/>
        <v>4.7638603696098569E-2</v>
      </c>
      <c r="AT136" s="337">
        <f t="shared" si="438"/>
        <v>4.7638603696098569E-2</v>
      </c>
      <c r="AU136" s="304">
        <f>AS136</f>
        <v>4.7638603696098569E-2</v>
      </c>
      <c r="AV136" s="304">
        <f t="shared" si="439"/>
        <v>4.7638603696098569E-2</v>
      </c>
      <c r="AW136" s="304">
        <f t="shared" si="439"/>
        <v>4.7638603696098569E-2</v>
      </c>
      <c r="AX136" s="120">
        <f t="shared" si="440"/>
        <v>3.622735790131168E-2</v>
      </c>
      <c r="AY136" s="337">
        <f t="shared" si="440"/>
        <v>3.622735790131168E-2</v>
      </c>
      <c r="AZ136" s="304">
        <f>AX136</f>
        <v>3.622735790131168E-2</v>
      </c>
      <c r="BA136" s="304">
        <f t="shared" si="441"/>
        <v>3.622735790131168E-2</v>
      </c>
      <c r="BB136" s="304">
        <f t="shared" si="441"/>
        <v>3.622735790131168E-2</v>
      </c>
      <c r="BC136" s="120">
        <f t="shared" si="442"/>
        <v>5.3327007889234453E-2</v>
      </c>
      <c r="BD136" s="337">
        <f t="shared" si="442"/>
        <v>5.3327007889234453E-2</v>
      </c>
      <c r="BE136" s="304">
        <f>BC136</f>
        <v>5.3327007889234453E-2</v>
      </c>
      <c r="BF136" s="304">
        <f t="shared" si="443"/>
        <v>5.3327007889234453E-2</v>
      </c>
      <c r="BG136" s="304">
        <f t="shared" si="443"/>
        <v>5.3327007889234453E-2</v>
      </c>
      <c r="BH136" s="120">
        <f t="shared" si="444"/>
        <v>4.5311825716879209E-2</v>
      </c>
      <c r="BI136" s="337">
        <f t="shared" si="444"/>
        <v>4.5311825716879209E-2</v>
      </c>
      <c r="BJ136" s="304">
        <f>BH136</f>
        <v>4.5311825716879209E-2</v>
      </c>
      <c r="BK136" s="304">
        <f t="shared" si="445"/>
        <v>4.5311825716879209E-2</v>
      </c>
      <c r="BL136" s="304">
        <f t="shared" si="445"/>
        <v>4.5311825716879209E-2</v>
      </c>
      <c r="BM136" s="120">
        <f t="shared" si="446"/>
        <v>3.5993250673036818E-2</v>
      </c>
      <c r="BN136" s="337">
        <f t="shared" si="446"/>
        <v>3.5993250673036818E-2</v>
      </c>
      <c r="BO136" s="304">
        <f>BM136</f>
        <v>3.5993250673036818E-2</v>
      </c>
      <c r="BP136" s="304">
        <f t="shared" si="447"/>
        <v>3.5993250673036818E-2</v>
      </c>
      <c r="BQ136" s="304">
        <f t="shared" si="447"/>
        <v>3.5993250673036818E-2</v>
      </c>
      <c r="BR136" s="120">
        <f t="shared" si="448"/>
        <v>2.1761557019503355E-2</v>
      </c>
      <c r="BS136" s="337">
        <f t="shared" si="448"/>
        <v>2.1761557019503355E-2</v>
      </c>
      <c r="BT136" s="304">
        <f>BR136</f>
        <v>2.1761557019503355E-2</v>
      </c>
      <c r="BU136" s="304">
        <f t="shared" si="449"/>
        <v>2.1761557019503355E-2</v>
      </c>
      <c r="BV136" s="304">
        <f t="shared" si="449"/>
        <v>2.1761557019503355E-2</v>
      </c>
      <c r="BW136" s="120">
        <f t="shared" si="450"/>
        <v>8.7142866562485571E-2</v>
      </c>
      <c r="BX136" s="337">
        <f t="shared" si="450"/>
        <v>8.7142866562485571E-2</v>
      </c>
      <c r="BY136" s="304">
        <f>BW136</f>
        <v>8.7142866562485571E-2</v>
      </c>
      <c r="BZ136" s="304">
        <f t="shared" si="451"/>
        <v>8.7142866562485571E-2</v>
      </c>
      <c r="CA136" s="304">
        <f t="shared" si="451"/>
        <v>8.7142866562485571E-2</v>
      </c>
      <c r="CB136" s="120">
        <f t="shared" si="452"/>
        <v>8.6575536704893152E-2</v>
      </c>
      <c r="CC136" s="337">
        <f t="shared" si="452"/>
        <v>8.6575536704893152E-2</v>
      </c>
      <c r="CD136" s="304">
        <f>CB136</f>
        <v>8.6575536704893152E-2</v>
      </c>
      <c r="CE136" s="304">
        <f t="shared" ref="CE136:CL136" si="463">CD136</f>
        <v>8.6575536704893152E-2</v>
      </c>
      <c r="CF136" s="304">
        <f t="shared" si="463"/>
        <v>8.6575536704893152E-2</v>
      </c>
      <c r="CG136" s="120">
        <f t="shared" si="454"/>
        <v>9.352138236102446E-2</v>
      </c>
      <c r="CH136" s="337">
        <f t="shared" si="454"/>
        <v>9.352138236102446E-2</v>
      </c>
      <c r="CI136" s="304">
        <f>CG136</f>
        <v>9.352138236102446E-2</v>
      </c>
      <c r="CJ136" s="302">
        <f t="shared" si="463"/>
        <v>9.352138236102446E-2</v>
      </c>
      <c r="CK136" s="302">
        <f t="shared" si="463"/>
        <v>9.352138236102446E-2</v>
      </c>
      <c r="CL136" s="302">
        <f t="shared" si="463"/>
        <v>9.352138236102446E-2</v>
      </c>
      <c r="CM136" s="337">
        <f>CM35/CM$32</f>
        <v>0.10024986686665845</v>
      </c>
      <c r="CN136" s="302">
        <f>CL136</f>
        <v>9.352138236102446E-2</v>
      </c>
      <c r="CO136" s="302">
        <f>CN136</f>
        <v>9.352138236102446E-2</v>
      </c>
      <c r="CP136" s="302">
        <f t="shared" si="455"/>
        <v>9.352138236102446E-2</v>
      </c>
      <c r="CQ136" s="302">
        <f t="shared" si="455"/>
        <v>9.352138236102446E-2</v>
      </c>
      <c r="CR136" s="337">
        <f>CR35/CR$32</f>
        <v>9.352138236102446E-2</v>
      </c>
      <c r="CS136" s="302">
        <f>CQ136</f>
        <v>9.352138236102446E-2</v>
      </c>
      <c r="CT136" s="302">
        <f>CS136</f>
        <v>9.352138236102446E-2</v>
      </c>
      <c r="CU136" s="302">
        <f t="shared" si="455"/>
        <v>9.352138236102446E-2</v>
      </c>
      <c r="CV136" s="302">
        <f t="shared" si="455"/>
        <v>9.352138236102446E-2</v>
      </c>
      <c r="CW136" s="337">
        <f>CW35/CW$32</f>
        <v>9.352138236102446E-2</v>
      </c>
      <c r="CX136" s="302">
        <f>CV136</f>
        <v>9.352138236102446E-2</v>
      </c>
      <c r="CY136" s="302">
        <f>CX136</f>
        <v>9.352138236102446E-2</v>
      </c>
      <c r="CZ136" s="302">
        <f t="shared" si="456"/>
        <v>9.352138236102446E-2</v>
      </c>
      <c r="DA136" s="302">
        <f t="shared" si="456"/>
        <v>9.352138236102446E-2</v>
      </c>
      <c r="DB136" s="337">
        <f>DB35/DB$32</f>
        <v>9.352138236102446E-2</v>
      </c>
      <c r="DC136" s="302">
        <f>DA136</f>
        <v>9.352138236102446E-2</v>
      </c>
      <c r="DD136" s="302">
        <f t="shared" si="457"/>
        <v>9.352138236102446E-2</v>
      </c>
      <c r="DE136" s="302">
        <f t="shared" si="457"/>
        <v>9.352138236102446E-2</v>
      </c>
      <c r="DF136" s="302">
        <f t="shared" si="457"/>
        <v>9.352138236102446E-2</v>
      </c>
      <c r="DG136" s="337">
        <f>DG35/DG$32</f>
        <v>9.352138236102446E-2</v>
      </c>
      <c r="DH136" s="302">
        <f>DF136</f>
        <v>9.352138236102446E-2</v>
      </c>
      <c r="DI136" s="302">
        <f t="shared" si="458"/>
        <v>9.352138236102446E-2</v>
      </c>
      <c r="DJ136" s="302">
        <f t="shared" si="458"/>
        <v>9.352138236102446E-2</v>
      </c>
      <c r="DK136" s="302">
        <f t="shared" si="458"/>
        <v>9.352138236102446E-2</v>
      </c>
      <c r="DL136" s="337">
        <f>DL35/DL$32</f>
        <v>9.3521382361024447E-2</v>
      </c>
      <c r="DM136" s="302">
        <f>DK136</f>
        <v>9.352138236102446E-2</v>
      </c>
      <c r="DN136" s="302">
        <f t="shared" si="459"/>
        <v>9.352138236102446E-2</v>
      </c>
      <c r="DO136" s="302">
        <f t="shared" si="460"/>
        <v>9.352138236102446E-2</v>
      </c>
      <c r="DP136" s="302">
        <f t="shared" si="461"/>
        <v>9.352138236102446E-2</v>
      </c>
      <c r="DQ136" s="337">
        <f>DQ35/DQ$32</f>
        <v>9.352138236102446E-2</v>
      </c>
      <c r="DR136" s="3"/>
      <c r="DS136" s="112"/>
    </row>
    <row r="137" spans="1:129" collapsed="1">
      <c r="A137" s="1"/>
      <c r="B137" s="6"/>
      <c r="C137" s="7"/>
      <c r="D137" s="7"/>
      <c r="E137" s="7"/>
      <c r="F137" s="7"/>
      <c r="G137" s="6"/>
      <c r="H137" s="7"/>
      <c r="I137" s="7"/>
      <c r="J137" s="8"/>
      <c r="K137" s="815"/>
      <c r="L137" s="6"/>
      <c r="M137" s="7"/>
      <c r="N137" s="7"/>
      <c r="O137" s="7"/>
      <c r="P137" s="815"/>
      <c r="Q137" s="6"/>
      <c r="R137" s="7"/>
      <c r="S137" s="7"/>
      <c r="T137" s="8"/>
      <c r="U137" s="815"/>
      <c r="V137" s="7"/>
      <c r="W137" s="7"/>
      <c r="X137" s="7"/>
      <c r="Y137" s="8"/>
      <c r="Z137" s="815"/>
      <c r="AA137" s="7"/>
      <c r="AB137" s="7"/>
      <c r="AC137" s="7"/>
      <c r="AD137" s="7"/>
      <c r="AE137" s="815"/>
      <c r="AF137" s="7"/>
      <c r="AG137" s="7"/>
      <c r="AH137" s="7"/>
      <c r="AI137" s="7"/>
      <c r="AJ137" s="815"/>
      <c r="AK137" s="7"/>
      <c r="AL137" s="7"/>
      <c r="AM137" s="7"/>
      <c r="AN137" s="7"/>
      <c r="AO137" s="815"/>
      <c r="AP137" s="7"/>
      <c r="AQ137" s="7"/>
      <c r="AR137" s="7"/>
      <c r="AS137" s="7"/>
      <c r="AT137" s="815"/>
      <c r="AU137" s="7"/>
      <c r="AV137" s="7"/>
      <c r="AW137" s="7"/>
      <c r="AX137" s="7"/>
      <c r="AY137" s="815"/>
      <c r="AZ137" s="7"/>
      <c r="BA137" s="7"/>
      <c r="BB137" s="7"/>
      <c r="BC137" s="7"/>
      <c r="BD137" s="815"/>
      <c r="BE137" s="7"/>
      <c r="BF137" s="7"/>
      <c r="BG137" s="7"/>
      <c r="BH137" s="7"/>
      <c r="BI137" s="815"/>
      <c r="BJ137" s="7"/>
      <c r="BK137" s="7"/>
      <c r="BL137" s="7"/>
      <c r="BM137" s="7"/>
      <c r="BN137" s="815"/>
      <c r="BO137" s="7"/>
      <c r="BP137" s="7"/>
      <c r="BQ137" s="7"/>
      <c r="BR137" s="7"/>
      <c r="BS137" s="815"/>
      <c r="BT137" s="7"/>
      <c r="BU137" s="7"/>
      <c r="BV137" s="7"/>
      <c r="BW137" s="7"/>
      <c r="BX137" s="815"/>
      <c r="BY137" s="7"/>
      <c r="BZ137" s="7"/>
      <c r="CA137" s="7"/>
      <c r="CB137" s="7"/>
      <c r="CC137" s="815"/>
      <c r="CD137" s="7"/>
      <c r="CE137" s="7"/>
      <c r="CF137" s="7"/>
      <c r="CG137" s="7"/>
      <c r="CH137" s="815"/>
      <c r="CI137" s="7"/>
      <c r="CJ137" s="7"/>
      <c r="CK137" s="7"/>
      <c r="CL137" s="7"/>
      <c r="CM137" s="815"/>
      <c r="CN137" s="7"/>
      <c r="CO137" s="7"/>
      <c r="CP137" s="7"/>
      <c r="CQ137" s="7"/>
      <c r="CR137" s="815"/>
      <c r="CS137" s="7"/>
      <c r="CT137" s="7"/>
      <c r="CU137" s="7"/>
      <c r="CV137" s="7"/>
      <c r="CW137" s="815"/>
      <c r="CX137" s="7"/>
      <c r="CY137" s="7"/>
      <c r="CZ137" s="7"/>
      <c r="DA137" s="7"/>
      <c r="DB137" s="815"/>
      <c r="DC137" s="7"/>
      <c r="DD137" s="7"/>
      <c r="DE137" s="7"/>
      <c r="DF137" s="7"/>
      <c r="DG137" s="815"/>
      <c r="DH137" s="7"/>
      <c r="DI137" s="7"/>
      <c r="DJ137" s="7"/>
      <c r="DK137" s="7"/>
      <c r="DL137" s="815"/>
      <c r="DM137" s="7"/>
      <c r="DN137" s="7"/>
      <c r="DO137" s="7"/>
      <c r="DP137" s="7"/>
      <c r="DQ137" s="815"/>
      <c r="DR137" s="3"/>
      <c r="DS137" s="112"/>
    </row>
    <row r="138" spans="1:129">
      <c r="A138" s="1"/>
      <c r="B138" s="4"/>
      <c r="C138" s="4"/>
      <c r="D138" s="4"/>
      <c r="E138" s="4"/>
      <c r="F138" s="4"/>
      <c r="G138" s="4"/>
      <c r="H138" s="4"/>
      <c r="I138" s="4"/>
      <c r="J138" s="4"/>
      <c r="K138" s="352"/>
      <c r="L138" s="4"/>
      <c r="M138" s="4"/>
      <c r="N138" s="4"/>
      <c r="O138" s="4"/>
      <c r="P138" s="352"/>
      <c r="Q138" s="4"/>
      <c r="R138" s="4"/>
      <c r="S138" s="4"/>
      <c r="T138" s="4"/>
      <c r="U138" s="352"/>
      <c r="V138" s="4"/>
      <c r="W138" s="4"/>
      <c r="X138" s="4"/>
      <c r="Y138" s="4"/>
      <c r="Z138" s="352"/>
      <c r="AA138" s="4"/>
      <c r="AB138" s="4"/>
      <c r="AC138" s="4"/>
      <c r="AD138" s="4"/>
      <c r="AE138" s="352"/>
      <c r="AF138" s="4"/>
      <c r="AG138" s="4"/>
      <c r="AH138" s="4"/>
      <c r="AI138" s="4"/>
      <c r="AJ138" s="352"/>
      <c r="AK138" s="4"/>
      <c r="AL138" s="4"/>
      <c r="AM138" s="4"/>
      <c r="AN138" s="4"/>
      <c r="AO138" s="352"/>
      <c r="AP138" s="4"/>
      <c r="AQ138" s="4"/>
      <c r="AR138" s="4"/>
      <c r="AS138" s="4"/>
      <c r="AT138" s="352"/>
      <c r="AU138" s="4"/>
      <c r="AV138" s="4"/>
      <c r="AW138" s="4"/>
      <c r="AX138" s="4"/>
      <c r="AY138" s="352"/>
      <c r="AZ138" s="4"/>
      <c r="BA138" s="4"/>
      <c r="BB138" s="4"/>
      <c r="BC138" s="4"/>
      <c r="BD138" s="352"/>
      <c r="BE138" s="4"/>
      <c r="BF138" s="4"/>
      <c r="BG138" s="4"/>
      <c r="BH138" s="4"/>
      <c r="BI138" s="352"/>
      <c r="BJ138" s="4"/>
      <c r="BK138" s="4"/>
      <c r="BL138" s="4"/>
      <c r="BM138" s="4"/>
      <c r="BN138" s="352"/>
      <c r="BO138" s="4"/>
      <c r="BP138" s="4"/>
      <c r="BQ138" s="4"/>
      <c r="BR138" s="4"/>
      <c r="BS138" s="352"/>
      <c r="BT138" s="4"/>
      <c r="BU138" s="4"/>
      <c r="BV138" s="4"/>
      <c r="BW138" s="4"/>
      <c r="BX138" s="352"/>
      <c r="BY138" s="4"/>
      <c r="BZ138" s="4"/>
      <c r="CA138" s="4"/>
      <c r="CB138" s="4"/>
      <c r="CC138" s="352"/>
      <c r="CD138" s="4"/>
      <c r="CE138" s="4"/>
      <c r="CF138" s="4"/>
      <c r="CG138" s="4"/>
      <c r="CH138" s="352"/>
      <c r="CI138" s="4"/>
      <c r="CJ138" s="4"/>
      <c r="CK138" s="4"/>
      <c r="CL138" s="4"/>
      <c r="CM138" s="352"/>
      <c r="CN138" s="4"/>
      <c r="CO138" s="4"/>
      <c r="CP138" s="4"/>
      <c r="CQ138" s="4"/>
      <c r="CR138" s="352"/>
      <c r="CS138" s="4"/>
      <c r="CT138" s="4"/>
      <c r="CU138" s="4"/>
      <c r="CV138" s="550"/>
      <c r="CW138" s="352"/>
      <c r="CX138" s="4"/>
      <c r="CY138" s="4"/>
      <c r="CZ138" s="4"/>
      <c r="DA138" s="4"/>
      <c r="DB138" s="352"/>
      <c r="DC138" s="4"/>
      <c r="DD138" s="4"/>
      <c r="DE138" s="4"/>
      <c r="DF138" s="4"/>
      <c r="DG138" s="352"/>
      <c r="DH138" s="4"/>
      <c r="DI138" s="4"/>
      <c r="DJ138" s="4"/>
      <c r="DK138" s="4"/>
      <c r="DL138" s="352"/>
      <c r="DM138" s="4"/>
      <c r="DN138" s="4"/>
      <c r="DO138" s="4"/>
      <c r="DP138" s="4"/>
      <c r="DQ138" s="352"/>
      <c r="DR138" s="3"/>
      <c r="DS138" s="112"/>
    </row>
    <row r="139" spans="1:129">
      <c r="A139" s="1"/>
      <c r="B139" s="55" t="s">
        <v>151</v>
      </c>
      <c r="C139" s="50"/>
      <c r="D139" s="50"/>
      <c r="E139" s="50"/>
      <c r="F139" s="50"/>
      <c r="G139" s="52"/>
      <c r="H139" s="50"/>
      <c r="I139" s="50"/>
      <c r="J139" s="51"/>
      <c r="K139" s="817"/>
      <c r="L139" s="52"/>
      <c r="M139" s="50"/>
      <c r="N139" s="50"/>
      <c r="O139" s="50"/>
      <c r="P139" s="817"/>
      <c r="Q139" s="52"/>
      <c r="R139" s="50"/>
      <c r="S139" s="50"/>
      <c r="T139" s="51"/>
      <c r="U139" s="817"/>
      <c r="V139" s="50"/>
      <c r="W139" s="50"/>
      <c r="X139" s="50"/>
      <c r="Y139" s="51"/>
      <c r="Z139" s="817"/>
      <c r="AA139" s="50"/>
      <c r="AB139" s="50"/>
      <c r="AC139" s="50"/>
      <c r="AD139" s="50"/>
      <c r="AE139" s="817"/>
      <c r="AF139" s="50"/>
      <c r="AG139" s="50"/>
      <c r="AH139" s="50"/>
      <c r="AI139" s="50"/>
      <c r="AJ139" s="817"/>
      <c r="AK139" s="50"/>
      <c r="AL139" s="50"/>
      <c r="AM139" s="50"/>
      <c r="AN139" s="50"/>
      <c r="AO139" s="817"/>
      <c r="AP139" s="50"/>
      <c r="AQ139" s="50"/>
      <c r="AR139" s="50"/>
      <c r="AS139" s="50"/>
      <c r="AT139" s="817"/>
      <c r="AU139" s="50"/>
      <c r="AV139" s="50"/>
      <c r="AW139" s="50"/>
      <c r="AX139" s="50"/>
      <c r="AY139" s="817"/>
      <c r="AZ139" s="50"/>
      <c r="BA139" s="50"/>
      <c r="BB139" s="50"/>
      <c r="BC139" s="50"/>
      <c r="BD139" s="817"/>
      <c r="BE139" s="50"/>
      <c r="BF139" s="50"/>
      <c r="BG139" s="50"/>
      <c r="BH139" s="50"/>
      <c r="BI139" s="817"/>
      <c r="BJ139" s="50"/>
      <c r="BK139" s="50"/>
      <c r="BL139" s="50"/>
      <c r="BM139" s="50"/>
      <c r="BN139" s="817"/>
      <c r="BO139" s="50"/>
      <c r="BP139" s="50"/>
      <c r="BQ139" s="50"/>
      <c r="BR139" s="50"/>
      <c r="BS139" s="817"/>
      <c r="BT139" s="50"/>
      <c r="BU139" s="50"/>
      <c r="BV139" s="50"/>
      <c r="BW139" s="50"/>
      <c r="BX139" s="817"/>
      <c r="BY139" s="50"/>
      <c r="BZ139" s="50"/>
      <c r="CA139" s="50"/>
      <c r="CB139" s="50"/>
      <c r="CC139" s="817"/>
      <c r="CD139" s="50"/>
      <c r="CE139" s="50"/>
      <c r="CF139" s="50"/>
      <c r="CG139" s="50"/>
      <c r="CH139" s="817"/>
      <c r="CI139" s="50"/>
      <c r="CJ139" s="50"/>
      <c r="CK139" s="50"/>
      <c r="CL139" s="50"/>
      <c r="CM139" s="817"/>
      <c r="CN139" s="50"/>
      <c r="CO139" s="50"/>
      <c r="CP139" s="50"/>
      <c r="CQ139" s="50"/>
      <c r="CR139" s="817"/>
      <c r="CS139" s="50"/>
      <c r="CT139" s="50"/>
      <c r="CU139" s="50"/>
      <c r="CV139" s="50"/>
      <c r="CW139" s="817"/>
      <c r="CX139" s="50"/>
      <c r="CY139" s="50"/>
      <c r="CZ139" s="50"/>
      <c r="DA139" s="50"/>
      <c r="DB139" s="817"/>
      <c r="DC139" s="50"/>
      <c r="DD139" s="50"/>
      <c r="DE139" s="50"/>
      <c r="DF139" s="50"/>
      <c r="DG139" s="817"/>
      <c r="DH139" s="50"/>
      <c r="DI139" s="50"/>
      <c r="DJ139" s="50"/>
      <c r="DK139" s="50"/>
      <c r="DL139" s="817"/>
      <c r="DM139" s="50"/>
      <c r="DN139" s="50"/>
      <c r="DO139" s="50"/>
      <c r="DP139" s="50"/>
      <c r="DQ139" s="817"/>
      <c r="DR139" s="3"/>
      <c r="DS139" s="112"/>
    </row>
    <row r="140" spans="1:129" s="177" customFormat="1">
      <c r="A140" s="19"/>
      <c r="B140" s="53" t="s">
        <v>152</v>
      </c>
      <c r="C140" s="54"/>
      <c r="D140" s="54"/>
      <c r="E140" s="54"/>
      <c r="F140" s="54"/>
      <c r="G140" s="81"/>
      <c r="H140" s="77"/>
      <c r="I140" s="77">
        <f t="shared" ref="I140:AV140" si="464">I141+I142-I143</f>
        <v>39.5392289786285</v>
      </c>
      <c r="J140" s="79">
        <f t="shared" si="464"/>
        <v>35.936132846130157</v>
      </c>
      <c r="K140" s="334"/>
      <c r="L140" s="78">
        <f t="shared" si="464"/>
        <v>48.961213732686574</v>
      </c>
      <c r="M140" s="77">
        <f t="shared" si="464"/>
        <v>51.983058948861569</v>
      </c>
      <c r="N140" s="77">
        <f t="shared" si="464"/>
        <v>44.736385666401041</v>
      </c>
      <c r="O140" s="77">
        <f t="shared" si="464"/>
        <v>36.547491930552852</v>
      </c>
      <c r="P140" s="334">
        <f>P141+P142-P143</f>
        <v>35.370130844207068</v>
      </c>
      <c r="Q140" s="78">
        <f t="shared" si="464"/>
        <v>36.027808619953213</v>
      </c>
      <c r="R140" s="77">
        <f t="shared" si="464"/>
        <v>39.456194362917806</v>
      </c>
      <c r="S140" s="77">
        <f t="shared" si="464"/>
        <v>37.940957017084841</v>
      </c>
      <c r="T140" s="79">
        <f t="shared" si="464"/>
        <v>36.947400883316291</v>
      </c>
      <c r="U140" s="334">
        <f>U141+U142-U143</f>
        <v>33.691159864082337</v>
      </c>
      <c r="V140" s="77">
        <f t="shared" si="464"/>
        <v>38.14525917375488</v>
      </c>
      <c r="W140" s="77">
        <f t="shared" si="464"/>
        <v>43.197185882829864</v>
      </c>
      <c r="X140" s="77">
        <f t="shared" si="464"/>
        <v>45.000194080613639</v>
      </c>
      <c r="Y140" s="79">
        <f t="shared" si="464"/>
        <v>44.094045445158784</v>
      </c>
      <c r="Z140" s="334">
        <f>Z141+Z142-Z143</f>
        <v>38.719541887473554</v>
      </c>
      <c r="AA140" s="77">
        <f t="shared" si="464"/>
        <v>43.080604335559407</v>
      </c>
      <c r="AB140" s="77">
        <f t="shared" si="464"/>
        <v>44.294796267273568</v>
      </c>
      <c r="AC140" s="77">
        <f t="shared" si="464"/>
        <v>44.68350663801256</v>
      </c>
      <c r="AD140" s="77">
        <f t="shared" si="464"/>
        <v>39.884556943935912</v>
      </c>
      <c r="AE140" s="334">
        <f>AE141+AE142-AE143</f>
        <v>39.179369444778381</v>
      </c>
      <c r="AF140" s="77">
        <f t="shared" si="464"/>
        <v>39.756504003558398</v>
      </c>
      <c r="AG140" s="77">
        <f t="shared" si="464"/>
        <v>39.622515113220864</v>
      </c>
      <c r="AH140" s="77">
        <f t="shared" si="464"/>
        <v>41.690998174709208</v>
      </c>
      <c r="AI140" s="77">
        <f t="shared" si="464"/>
        <v>39.875948462827083</v>
      </c>
      <c r="AJ140" s="334">
        <f>AJ141+AJ142-AJ143</f>
        <v>35.990311132371644</v>
      </c>
      <c r="AK140" s="77">
        <f t="shared" si="464"/>
        <v>43.083586605920146</v>
      </c>
      <c r="AL140" s="77">
        <f t="shared" si="464"/>
        <v>46.66786668998266</v>
      </c>
      <c r="AM140" s="77">
        <f t="shared" si="464"/>
        <v>45.60226391431376</v>
      </c>
      <c r="AN140" s="77">
        <f t="shared" si="464"/>
        <v>45.523554969866218</v>
      </c>
      <c r="AO140" s="334">
        <f>AO141+AO142-AO143</f>
        <v>41.839635306645</v>
      </c>
      <c r="AP140" s="77">
        <f t="shared" si="464"/>
        <v>49.387718658022713</v>
      </c>
      <c r="AQ140" s="77">
        <f t="shared" si="464"/>
        <v>52.56061258171885</v>
      </c>
      <c r="AR140" s="77">
        <f t="shared" si="464"/>
        <v>54.165470240748455</v>
      </c>
      <c r="AS140" s="77">
        <f t="shared" si="464"/>
        <v>51.310395908815721</v>
      </c>
      <c r="AT140" s="334">
        <f>AT141+AT142-AT143</f>
        <v>48.672633507786998</v>
      </c>
      <c r="AU140" s="77">
        <f t="shared" si="464"/>
        <v>52.137450137727413</v>
      </c>
      <c r="AV140" s="77">
        <f t="shared" si="464"/>
        <v>54.331054745484451</v>
      </c>
      <c r="AW140" s="77">
        <f t="shared" ref="AW140:CJ140" si="465">AW141+AW142-AW143</f>
        <v>56.541948297875017</v>
      </c>
      <c r="AX140" s="77">
        <f t="shared" si="465"/>
        <v>53.097501380146298</v>
      </c>
      <c r="AY140" s="334">
        <f>AY141+AY142-AY143</f>
        <v>50.63521133704792</v>
      </c>
      <c r="AZ140" s="77">
        <f t="shared" si="465"/>
        <v>52.465772463993815</v>
      </c>
      <c r="BA140" s="77">
        <f t="shared" si="465"/>
        <v>56.76263649969588</v>
      </c>
      <c r="BB140" s="77">
        <f t="shared" si="465"/>
        <v>60.11321533564702</v>
      </c>
      <c r="BC140" s="77">
        <f t="shared" si="465"/>
        <v>56.966787296866386</v>
      </c>
      <c r="BD140" s="334">
        <f>BD141+BD142-BD143</f>
        <v>53.118099636462645</v>
      </c>
      <c r="BE140" s="77">
        <f t="shared" si="465"/>
        <v>57.395542771954361</v>
      </c>
      <c r="BF140" s="77">
        <f t="shared" si="465"/>
        <v>61.618366637153159</v>
      </c>
      <c r="BG140" s="77">
        <f t="shared" si="465"/>
        <v>62.613957691409027</v>
      </c>
      <c r="BH140" s="77">
        <f t="shared" si="465"/>
        <v>62.15040827485285</v>
      </c>
      <c r="BI140" s="334">
        <f>BI141+BI142-BI143</f>
        <v>57.008700468704795</v>
      </c>
      <c r="BJ140" s="77">
        <f t="shared" si="465"/>
        <v>61.801381453463222</v>
      </c>
      <c r="BK140" s="77">
        <f t="shared" si="465"/>
        <v>61.970390903441682</v>
      </c>
      <c r="BL140" s="77">
        <f t="shared" si="465"/>
        <v>61.089197528275932</v>
      </c>
      <c r="BM140" s="77">
        <f t="shared" si="465"/>
        <v>60.990306612697488</v>
      </c>
      <c r="BN140" s="334">
        <f>BN141+BN142-BN143</f>
        <v>62.406826325651174</v>
      </c>
      <c r="BO140" s="77">
        <f t="shared" si="465"/>
        <v>60.822606174783999</v>
      </c>
      <c r="BP140" s="77">
        <f t="shared" si="465"/>
        <v>60.223227082183598</v>
      </c>
      <c r="BQ140" s="77">
        <f t="shared" si="465"/>
        <v>63.532942900694025</v>
      </c>
      <c r="BR140" s="77">
        <f t="shared" si="465"/>
        <v>62.197564703023232</v>
      </c>
      <c r="BS140" s="334">
        <f>BS141+BS142-BS143</f>
        <v>59.553315922691539</v>
      </c>
      <c r="BT140" s="77">
        <f t="shared" si="465"/>
        <v>59.861226633730027</v>
      </c>
      <c r="BU140" s="77">
        <f t="shared" si="465"/>
        <v>61.259930851938094</v>
      </c>
      <c r="BV140" s="77">
        <f t="shared" si="465"/>
        <v>62.873108890009703</v>
      </c>
      <c r="BW140" s="77">
        <f t="shared" si="465"/>
        <v>63.869502256065303</v>
      </c>
      <c r="BX140" s="334">
        <f>BX141+BX142-BX143</f>
        <v>61.944532171059315</v>
      </c>
      <c r="BY140" s="77">
        <f t="shared" si="465"/>
        <v>64.604152451202779</v>
      </c>
      <c r="BZ140" s="77">
        <f t="shared" si="465"/>
        <v>64.85308701262457</v>
      </c>
      <c r="CA140" s="77">
        <f t="shared" si="465"/>
        <v>65.455313842775183</v>
      </c>
      <c r="CB140" s="77">
        <f t="shared" si="465"/>
        <v>64.011426109266708</v>
      </c>
      <c r="CC140" s="334">
        <f>CC141+CC142-CC143</f>
        <v>63.017805266908709</v>
      </c>
      <c r="CD140" s="77">
        <f t="shared" si="465"/>
        <v>63.781370669459257</v>
      </c>
      <c r="CE140" s="77">
        <f>CE141+CE142-CE143</f>
        <v>65.497696489564689</v>
      </c>
      <c r="CF140" s="77">
        <f>CF141+CF142-CF143</f>
        <v>65.85313162504508</v>
      </c>
      <c r="CG140" s="77">
        <f>CG141+CG142-CG143</f>
        <v>65.576306400477165</v>
      </c>
      <c r="CH140" s="334">
        <f>CH141+CH142-CH143</f>
        <v>62.55194414679616</v>
      </c>
      <c r="CI140" s="77">
        <f>CI141+CI142-CI143</f>
        <v>63.214340145632079</v>
      </c>
      <c r="CJ140" s="77">
        <f t="shared" si="465"/>
        <v>65.171467842920279</v>
      </c>
      <c r="CK140" s="77">
        <f t="shared" ref="CK140:CQ140" si="466">CK141+CK142-CK143</f>
        <v>68.19892406944841</v>
      </c>
      <c r="CL140" s="77">
        <f t="shared" si="466"/>
        <v>66.205290275390581</v>
      </c>
      <c r="CM140" s="334">
        <f>CM141+CM142-CM143</f>
        <v>66.429269878695251</v>
      </c>
      <c r="CN140" s="77">
        <f t="shared" si="466"/>
        <v>65.662454317555216</v>
      </c>
      <c r="CO140" s="356">
        <f t="shared" si="466"/>
        <v>65.230814217191366</v>
      </c>
      <c r="CP140" s="356">
        <f t="shared" si="466"/>
        <v>65.325936180241698</v>
      </c>
      <c r="CQ140" s="77">
        <f t="shared" si="466"/>
        <v>65.409409233017215</v>
      </c>
      <c r="CR140" s="334">
        <f>CR141+CR142-CR143</f>
        <v>64.61431159799703</v>
      </c>
      <c r="CS140" s="77">
        <f t="shared" ref="CS140:DF140" si="467">CS141+CS142-CS143</f>
        <v>67.542048072488754</v>
      </c>
      <c r="CT140" s="77">
        <f t="shared" si="467"/>
        <v>67.76486580195575</v>
      </c>
      <c r="CU140" s="356">
        <f t="shared" si="467"/>
        <v>69.175771363204021</v>
      </c>
      <c r="CV140" s="77">
        <f t="shared" si="467"/>
        <v>69.102005710007575</v>
      </c>
      <c r="CW140" s="334">
        <f>CW141+CW142-CW143</f>
        <v>67.123688025589843</v>
      </c>
      <c r="CX140" s="77">
        <f>CX141+CX142-CX143</f>
        <v>68.9096236672749</v>
      </c>
      <c r="CY140" s="77">
        <f>CY141+CY142-CY143</f>
        <v>68.756643572386665</v>
      </c>
      <c r="CZ140" s="77">
        <f>CZ141+CZ142-CZ143</f>
        <v>70.179806708606677</v>
      </c>
      <c r="DA140" s="77">
        <f t="shared" si="467"/>
        <v>69.983059702814231</v>
      </c>
      <c r="DB140" s="334">
        <f>DB141+DB142-DB143</f>
        <v>67.824235589908056</v>
      </c>
      <c r="DC140" s="77">
        <f t="shared" si="467"/>
        <v>68.9096236672749</v>
      </c>
      <c r="DD140" s="77">
        <f t="shared" si="467"/>
        <v>68.756643572386665</v>
      </c>
      <c r="DE140" s="77">
        <f t="shared" si="467"/>
        <v>70.179806708606677</v>
      </c>
      <c r="DF140" s="77">
        <f t="shared" si="467"/>
        <v>69.983059702814231</v>
      </c>
      <c r="DG140" s="334">
        <f t="shared" ref="DG140:DL140" si="468">DG141+DG142-DG143</f>
        <v>68.614449451498942</v>
      </c>
      <c r="DH140" s="77">
        <f t="shared" si="468"/>
        <v>68.9096236672749</v>
      </c>
      <c r="DI140" s="77">
        <f t="shared" si="468"/>
        <v>68.756643572386665</v>
      </c>
      <c r="DJ140" s="77">
        <f t="shared" si="468"/>
        <v>70.179806708606677</v>
      </c>
      <c r="DK140" s="77">
        <f t="shared" si="468"/>
        <v>69.983059702814231</v>
      </c>
      <c r="DL140" s="334">
        <f t="shared" si="468"/>
        <v>69.563327313090667</v>
      </c>
      <c r="DM140" s="77">
        <f t="shared" ref="DM140:DQ140" si="469">DM141+DM142-DM143</f>
        <v>68.9096236672749</v>
      </c>
      <c r="DN140" s="77">
        <f t="shared" si="469"/>
        <v>68.756643572386665</v>
      </c>
      <c r="DO140" s="77">
        <f t="shared" si="469"/>
        <v>70.179806708606677</v>
      </c>
      <c r="DP140" s="77">
        <f t="shared" si="469"/>
        <v>69.983059702814231</v>
      </c>
      <c r="DQ140" s="334">
        <f t="shared" si="469"/>
        <v>69.542444734181998</v>
      </c>
      <c r="DR140" s="31"/>
      <c r="DS140" s="54"/>
      <c r="DT140"/>
      <c r="DU140"/>
      <c r="DV140"/>
      <c r="DW140"/>
      <c r="DX140"/>
      <c r="DY140"/>
    </row>
    <row r="141" spans="1:129" s="184" customFormat="1">
      <c r="A141" s="75"/>
      <c r="B141" s="67"/>
      <c r="C141" s="64" t="s">
        <v>153</v>
      </c>
      <c r="D141" s="64"/>
      <c r="E141" s="64"/>
      <c r="F141" s="64"/>
      <c r="G141" s="67"/>
      <c r="H141" s="310"/>
      <c r="I141" s="310">
        <f>(365/4)*(AVERAGE(H13,I13)/IS!I$22)</f>
        <v>48.889158950617293</v>
      </c>
      <c r="J141" s="311">
        <f>(365/4)*(AVERAGE(I13,J13)/IS!J$22)</f>
        <v>45.82387820512821</v>
      </c>
      <c r="K141" s="818"/>
      <c r="L141" s="312">
        <f>(365/4)*(AVERAGE(J13,L13)/IS!L$22)</f>
        <v>57.916901253304616</v>
      </c>
      <c r="M141" s="310">
        <f>(365/4)*(AVERAGE(L13,M13)/IS!M$22)</f>
        <v>58.335397478835233</v>
      </c>
      <c r="N141" s="310">
        <f>(365/4)*(AVERAGE(M13,N13)/IS!N$22)</f>
        <v>49.211018097569507</v>
      </c>
      <c r="O141" s="310">
        <f>(365/4)*(AVERAGE(N13,O13)/IS!O$22)</f>
        <v>41.686001286093607</v>
      </c>
      <c r="P141" s="818">
        <f>(365)*(AVERAGE(K13,P13)/IS!P$22)</f>
        <v>43.35668248897688</v>
      </c>
      <c r="Q141" s="312">
        <f>(365/4)*(AVERAGE(O13,Q13)/IS!Q$22)</f>
        <v>41.468692279275949</v>
      </c>
      <c r="R141" s="310">
        <f>(365/4)*(AVERAGE(Q13,R13)/IS!R$22)</f>
        <v>43.857445520581116</v>
      </c>
      <c r="S141" s="310">
        <f>(365/4)*(AVERAGE(R13,S13)/IS!S$22)</f>
        <v>42.228976338696206</v>
      </c>
      <c r="T141" s="311">
        <f>(365/4)*(AVERAGE(S13,T13)/IS!T$22)</f>
        <v>43.247783353226325</v>
      </c>
      <c r="U141" s="818">
        <f>(365)*(AVERAGE(P13,U13)/IS!U$22)</f>
        <v>40.702943129656802</v>
      </c>
      <c r="V141" s="312">
        <f>(365/4)*(AVERAGE(T13,V13)/IS!V$22)</f>
        <v>42.563991797990973</v>
      </c>
      <c r="W141" s="310">
        <f>(365/4)*(AVERAGE(V13,W13)/IS!W$22)</f>
        <v>43.370425117262336</v>
      </c>
      <c r="X141" s="310">
        <f>(365/4)*(AVERAGE(W13,X13)/IS!X$22)</f>
        <v>43.821136982989756</v>
      </c>
      <c r="Y141" s="311">
        <f>(365/4)*(AVERAGE(X13,Y13)/IS!Y$22)</f>
        <v>45.166240997676077</v>
      </c>
      <c r="Z141" s="818">
        <f>(365)*(AVERAGE(U13,Z13)/IS!Z$22)</f>
        <v>44.236575954280049</v>
      </c>
      <c r="AA141" s="312">
        <f>(365/4)*(AVERAGE(Y13,AA13)/IS!AA$22)</f>
        <v>45.46206759315033</v>
      </c>
      <c r="AB141" s="310">
        <f>(365/4)*(AVERAGE(AA13,AB13)/IS!AB$22)</f>
        <v>46.042992751756877</v>
      </c>
      <c r="AC141" s="310">
        <f>(365/4)*(AVERAGE(AB13,AC13)/IS!AC$22)</f>
        <v>46.868579850734079</v>
      </c>
      <c r="AD141" s="310">
        <f>(365/4)*(AVERAGE(AC13,AD13)/IS!AD$22)</f>
        <v>46.650372700004482</v>
      </c>
      <c r="AE141" s="818">
        <f>(365)*(AVERAGE(Z13,AE13)/IS!AE$22)</f>
        <v>47.193990466462381</v>
      </c>
      <c r="AF141" s="310">
        <f>(365/4)*(AVERAGE(AD13,AF13)/IS!AF$22)</f>
        <v>47.333886346556433</v>
      </c>
      <c r="AG141" s="310">
        <f>(365/4)*(AVERAGE(AF13,AG13)/IS!AG$22)</f>
        <v>43.575563776502072</v>
      </c>
      <c r="AH141" s="310">
        <f>(365/4)*(AVERAGE(AG13,AH13)/IS!AH$22)</f>
        <v>44.700511410545204</v>
      </c>
      <c r="AI141" s="310">
        <f>(365/4)*(AVERAGE(AH13,AI13)/IS!AI$22)</f>
        <v>44.490259620185284</v>
      </c>
      <c r="AJ141" s="818">
        <f>(365)*(AVERAGE(AE13,AJ13)/IS!AJ$22)</f>
        <v>44.084759295116378</v>
      </c>
      <c r="AK141" s="310">
        <f>(365/4)*(AVERAGE(AI13,AK13)/IS!AK$22)</f>
        <v>47.157086158805448</v>
      </c>
      <c r="AL141" s="310">
        <f>(365/4)*(AVERAGE(AK13,AL13)/IS!AL$22)</f>
        <v>48.63314055752997</v>
      </c>
      <c r="AM141" s="310">
        <f>(365/4)*(AVERAGE(AL13,AM13)/IS!AM$22)</f>
        <v>47.886744108242354</v>
      </c>
      <c r="AN141" s="310">
        <f>(365/4)*(AVERAGE(AM13,AN13)/IS!AN$22)</f>
        <v>48.361480718366025</v>
      </c>
      <c r="AO141" s="818">
        <f>(365)*(AVERAGE(AJ13,AO13)/IS!AO$22)</f>
        <v>46.230898643707825</v>
      </c>
      <c r="AP141" s="310">
        <f>(365/4)*(AVERAGE(AN13,AP13)/IS!AP$22)</f>
        <v>52.43907934786796</v>
      </c>
      <c r="AQ141" s="310">
        <f>(365/4)*(AVERAGE(AP13,AQ13)/IS!AQ$22)</f>
        <v>55.06782831312497</v>
      </c>
      <c r="AR141" s="310">
        <f>(365/4)*(AVERAGE(AQ13,AR13)/IS!AR$22)</f>
        <v>56.16363581363359</v>
      </c>
      <c r="AS141" s="310">
        <f>(365/4)*(AVERAGE(AR13,AS13)/IS!AS$22)</f>
        <v>53.427542409167685</v>
      </c>
      <c r="AT141" s="818">
        <f>(365)*(AVERAGE(AO13,AT13)/IS!AT$22)</f>
        <v>51.574179018547575</v>
      </c>
      <c r="AU141" s="310">
        <f>(365/4)*(AVERAGE(AS13,AU13)/IS!AU$22)</f>
        <v>54.071120380133046</v>
      </c>
      <c r="AV141" s="310">
        <f>(365/4)*(AVERAGE(AU13,AV13)/IS!AV$22)</f>
        <v>55.852278631143939</v>
      </c>
      <c r="AW141" s="310">
        <f>(365/4)*(AVERAGE(AV13,AW13)/IS!AW$22)</f>
        <v>58.241662075322758</v>
      </c>
      <c r="AX141" s="310">
        <f>(365/4)*(AVERAGE(AW13,AX13)/IS!AX$22)</f>
        <v>55.161391454421228</v>
      </c>
      <c r="AY141" s="818">
        <f>(365)*(AVERAGE(AT13,AY13)/IS!AY$22)</f>
        <v>52.943396497988083</v>
      </c>
      <c r="AZ141" s="310">
        <f>(365/4)*(AVERAGE(AX13,AZ13)/IS!AZ$22)</f>
        <v>55.5510420514046</v>
      </c>
      <c r="BA141" s="310">
        <f>(365/4)*(AVERAGE(AZ13,BA13)/IS!BA$22)</f>
        <v>57.422607373662665</v>
      </c>
      <c r="BB141" s="310">
        <f>(365/4)*(AVERAGE(BA13,BB13)/IS!BB$22)</f>
        <v>58.859456111531628</v>
      </c>
      <c r="BC141" s="310">
        <f>(365/4)*(AVERAGE(BB13,BC13)/IS!BC$22)</f>
        <v>57.41726580782592</v>
      </c>
      <c r="BD141" s="818">
        <f>(365)*(AVERAGE(AY13,BD13)/IS!BD$22)</f>
        <v>54.877920580714246</v>
      </c>
      <c r="BE141" s="310">
        <f>(365/4)*(AVERAGE(BC13,BE13)/IS!BE$22)</f>
        <v>59.282646445531533</v>
      </c>
      <c r="BF141" s="310">
        <f>(365/4)*(AVERAGE(BE13,BF13)/IS!BF$22)</f>
        <v>65.103591447375152</v>
      </c>
      <c r="BG141" s="310">
        <f>(365/4)*(AVERAGE(BF13,BG13)/IS!BG$22)</f>
        <v>65.45245013106927</v>
      </c>
      <c r="BH141" s="310">
        <f>(365/4)*(AVERAGE(BG13,BH13)/IS!BH$22)</f>
        <v>63.380546647278706</v>
      </c>
      <c r="BI141" s="818">
        <f>(365)*(AVERAGE(BD13,BI13)/IS!BI$22)</f>
        <v>58.349696091046987</v>
      </c>
      <c r="BJ141" s="310">
        <f>(365/4)*(AVERAGE(BH13,BJ13)/IS!BJ$22)</f>
        <v>63.912815809090681</v>
      </c>
      <c r="BK141" s="310">
        <f>(365/4)*(AVERAGE(BJ13,BK13)/IS!BK$22)</f>
        <v>63.474452318592007</v>
      </c>
      <c r="BL141" s="310">
        <f>(365/4)*(AVERAGE(BK13,BL13)/IS!BL$22)</f>
        <v>60.941370148145012</v>
      </c>
      <c r="BM141" s="310">
        <f>(365/4)*(AVERAGE(BL13,BM13)/IS!BM$22)</f>
        <v>61.318431996153876</v>
      </c>
      <c r="BN141" s="818">
        <f>(365)*(AVERAGE(BI13,BN13)/IS!BN$22)</f>
        <v>63.665537598710195</v>
      </c>
      <c r="BO141" s="310">
        <f>(365/4)*(AVERAGE(BM13,BO13)/IS!BO$22)</f>
        <v>63.342648116117196</v>
      </c>
      <c r="BP141" s="310">
        <f>(365/4)*(AVERAGE(BO13,BP13)/IS!BP$22)</f>
        <v>62.766339012481509</v>
      </c>
      <c r="BQ141" s="310">
        <f>(365/4)*(AVERAGE(BP13,BQ13)/IS!BQ$22)</f>
        <v>65.004413832377509</v>
      </c>
      <c r="BR141" s="310">
        <f>(365/4)*(AVERAGE(BQ13,BR13)/IS!BR$22)</f>
        <v>63.388610253150851</v>
      </c>
      <c r="BS141" s="818">
        <f>(365)*(AVERAGE(BN13,BS13)/IS!BS$22)</f>
        <v>60.706153159063852</v>
      </c>
      <c r="BT141" s="310">
        <f>(365/4)*(AVERAGE(BR13,BT13)/IS!BT$22)</f>
        <v>63.093156405127282</v>
      </c>
      <c r="BU141" s="310">
        <f>(365/4)*(AVERAGE(BT13,BU13)/IS!BU$22)</f>
        <v>63.592453704514149</v>
      </c>
      <c r="BV141" s="310">
        <f>(365/4)*(AVERAGE(BU13,BV13)/IS!BV$22)</f>
        <v>62.124055406963592</v>
      </c>
      <c r="BW141" s="310">
        <f>(365/4)*(AVERAGE(BV13,BW13)/IS!BW$22)</f>
        <v>62.628762907170561</v>
      </c>
      <c r="BX141" s="818">
        <f>(365)*(AVERAGE(BS13,BX13)/IS!BX$22)</f>
        <v>62.024894889135318</v>
      </c>
      <c r="BY141" s="310">
        <f>(365/4)*(AVERAGE(BW13,BY13)/IS!BY$22)</f>
        <v>64.337059536073568</v>
      </c>
      <c r="BZ141" s="310">
        <f>(365/4)*(AVERAGE(BY13,BZ13)/IS!BZ$22)</f>
        <v>64.308168358195644</v>
      </c>
      <c r="CA141" s="310">
        <f>(365/4)*(AVERAGE(BZ13,CA13)/IS!CA$22)</f>
        <v>64.146716120734482</v>
      </c>
      <c r="CB141" s="310">
        <f>(365/4)*(AVERAGE(CA13,CB13)/IS!CB$22)</f>
        <v>63.444420597829286</v>
      </c>
      <c r="CC141" s="818">
        <f>(365)*(AVERAGE(BX13,CC13)/IS!CC$22)</f>
        <v>62.718333371446853</v>
      </c>
      <c r="CD141" s="310">
        <f>(365/4)*(AVERAGE(CB13,CD13)/IS!CD$22)</f>
        <v>64.160025013138764</v>
      </c>
      <c r="CE141" s="310">
        <f>(365/4)*(AVERAGE(CD13,CE13)/IS!CE$22)</f>
        <v>64.531876376524593</v>
      </c>
      <c r="CF141" s="310">
        <f>(365/4)*(AVERAGE(CE13,CF13)/IS!CF$22)</f>
        <v>63.280770825463421</v>
      </c>
      <c r="CG141" s="310">
        <f>(365/4)*(AVERAGE(CF13,CG13)/IS!CG$22)</f>
        <v>63.646976497014641</v>
      </c>
      <c r="CH141" s="818">
        <f>(365)*(AVERAGE(CC13,CH13)/IS!CH$22)</f>
        <v>61.797434726318748</v>
      </c>
      <c r="CI141" s="310">
        <f>(365/4)*(AVERAGE(CG13,CI13)/IS!CI$22)</f>
        <v>63.142370026932547</v>
      </c>
      <c r="CJ141" s="310">
        <f>(365/4)*(AVERAGE(CI13,CJ13)/IS!CJ$22)</f>
        <v>63.916860325836069</v>
      </c>
      <c r="CK141" s="310">
        <f>(365/4)*(AVERAGE(CJ13,CK13)/IS!CK$22)</f>
        <v>64.197810333090672</v>
      </c>
      <c r="CL141" s="310">
        <f>(365/4)*(AVERAGE(CK13,CL13)/IS!CL$22)</f>
        <v>62.853365235592925</v>
      </c>
      <c r="CM141" s="818">
        <f>(365)*(AVERAGE(CH13,CM13)/IS!CM$22)</f>
        <v>64.328937292311835</v>
      </c>
      <c r="CN141" s="310">
        <f>(365/4)*(AVERAGE(CL13,CN13)/IS!CN$22)</f>
        <v>63.132500686954728</v>
      </c>
      <c r="CO141" s="310">
        <f>(365/4)*(AVERAGE(CN13,CO13)/IS!CO$22)</f>
        <v>62.43989254805355</v>
      </c>
      <c r="CP141" s="310">
        <f>(365/4)*(AVERAGE(CO13,CP13)/IS!CP$22)</f>
        <v>61.528612331346096</v>
      </c>
      <c r="CQ141" s="310">
        <f>(365/4)*(AVERAGE(CP13,CQ13)/IS!CQ$22)</f>
        <v>61.93849574632636</v>
      </c>
      <c r="CR141" s="818">
        <f>(365)*(AVERAGE(CM13,CR13)/IS!CR$22)</f>
        <v>62.047648195876285</v>
      </c>
      <c r="CS141" s="310">
        <f>(365/4)*(AVERAGE(CQ13,CS13)/IS!CS$22)</f>
        <v>65.141727826358519</v>
      </c>
      <c r="CT141" s="310">
        <f>(365/4)*(AVERAGE(CS13,CT13)/IS!CT$22)</f>
        <v>64.262756313243713</v>
      </c>
      <c r="CU141" s="310">
        <f>(365/4)*(AVERAGE(CT13,CU13)/IS!CU$22)</f>
        <v>64.998316778640088</v>
      </c>
      <c r="CV141" s="310">
        <f>(365/4)*(AVERAGE(CU13,CV13)/IS!CV$22)</f>
        <v>66.527892114384755</v>
      </c>
      <c r="CW141" s="818">
        <f>(365)*(AVERAGE(CR13,CW13)/IS!CW$22)</f>
        <v>65.067323590690364</v>
      </c>
      <c r="CX141" s="310">
        <f>(365/4)*(AVERAGE(CV13,CX13)/IS!CX$22)</f>
        <v>66.906373378454603</v>
      </c>
      <c r="CY141" s="310">
        <f>(365/4)*(AVERAGE(CX13,CY13)/IS!CY$22)</f>
        <v>66.187329700272485</v>
      </c>
      <c r="CZ141" s="310">
        <f>(365/4)*(AVERAGE(CY13,CZ13)/IS!CZ$22)</f>
        <v>67.468301911842801</v>
      </c>
      <c r="DA141" s="310">
        <f>(365/4)*(AVERAGE(CZ13,DA13)/IS!DA$22)</f>
        <v>68.580525078369902</v>
      </c>
      <c r="DB141" s="818">
        <f>(365)*(AVERAGE(CW13,DB13)/IS!DB$22)</f>
        <v>66.801654287643487</v>
      </c>
      <c r="DC141" s="306">
        <f>CX141</f>
        <v>66.906373378454603</v>
      </c>
      <c r="DD141" s="306">
        <f t="shared" ref="DD141:DF141" si="470">CY141</f>
        <v>66.187329700272485</v>
      </c>
      <c r="DE141" s="306">
        <f t="shared" si="470"/>
        <v>67.468301911842801</v>
      </c>
      <c r="DF141" s="306">
        <f t="shared" si="470"/>
        <v>68.580525078369902</v>
      </c>
      <c r="DG141" s="818">
        <f>(365)*(AVERAGE(DB13,DG13)/IS!DG$22)</f>
        <v>67.782237367063303</v>
      </c>
      <c r="DH141" s="306">
        <f>DC141</f>
        <v>66.906373378454603</v>
      </c>
      <c r="DI141" s="306">
        <f t="shared" ref="DI141" si="471">DD141</f>
        <v>66.187329700272485</v>
      </c>
      <c r="DJ141" s="306">
        <f t="shared" ref="DJ141" si="472">DE141</f>
        <v>67.468301911842801</v>
      </c>
      <c r="DK141" s="306">
        <f t="shared" ref="DK141" si="473">DF141</f>
        <v>68.580525078369902</v>
      </c>
      <c r="DL141" s="818">
        <f>(365)*(AVERAGE(DG13,DL13)/IS!DL$22)</f>
        <v>68.181204715815355</v>
      </c>
      <c r="DM141" s="306">
        <f>DH141</f>
        <v>66.906373378454603</v>
      </c>
      <c r="DN141" s="306">
        <f t="shared" ref="DN141" si="474">DI141</f>
        <v>66.187329700272485</v>
      </c>
      <c r="DO141" s="306">
        <f t="shared" ref="DO141" si="475">DJ141</f>
        <v>67.468301911842801</v>
      </c>
      <c r="DP141" s="306">
        <f t="shared" ref="DP141" si="476">DK141</f>
        <v>68.580525078369902</v>
      </c>
      <c r="DQ141" s="818">
        <f>(365)*(AVERAGE(DL13,DQ13)/IS!DQ$22)</f>
        <v>68.14874050029475</v>
      </c>
      <c r="DR141" s="66"/>
      <c r="DS141" s="64"/>
      <c r="DT141"/>
      <c r="DU141"/>
      <c r="DV141"/>
      <c r="DW141"/>
      <c r="DX141"/>
      <c r="DY141"/>
    </row>
    <row r="142" spans="1:129" s="184" customFormat="1">
      <c r="A142" s="75"/>
      <c r="B142" s="67"/>
      <c r="C142" s="68" t="s">
        <v>155</v>
      </c>
      <c r="D142" s="68"/>
      <c r="E142" s="68"/>
      <c r="F142" s="68"/>
      <c r="G142" s="67"/>
      <c r="H142" s="310"/>
      <c r="I142" s="310">
        <f>(365/4)*(AVERAGE(H14,I14)/IS!I$22)</f>
        <v>0</v>
      </c>
      <c r="J142" s="311">
        <f>(365/4)*(AVERAGE(I14,J14)/IS!J$22)</f>
        <v>2.5456410256410256</v>
      </c>
      <c r="K142" s="818"/>
      <c r="L142" s="288">
        <f>(365/4)*(AVERAGE(J14,L14)/IS!L$22)</f>
        <v>5.867858366787428</v>
      </c>
      <c r="M142" s="289">
        <f>(365/4)*(AVERAGE(L14,M14)/IS!M$22)</f>
        <v>5.1592880733091446</v>
      </c>
      <c r="N142" s="289">
        <f>(365/4)*(AVERAGE(M14,N14)/IS!N$22)</f>
        <v>4.2023026315789478</v>
      </c>
      <c r="O142" s="289">
        <f>(365/4)*(AVERAGE(N14,O14)/IS!O$22)</f>
        <v>4.465208056754066</v>
      </c>
      <c r="P142" s="818">
        <f>(365)*(AVERAGE(K14,P14)/IS!P$22)</f>
        <v>4.5817960946639076</v>
      </c>
      <c r="Q142" s="288">
        <f>(365/4)*(AVERAGE(O14,Q14)/IS!Q$22)</f>
        <v>5.0529645363871447</v>
      </c>
      <c r="R142" s="289">
        <f>(365/4)*(AVERAGE(Q14,R14)/IS!R$22)</f>
        <v>4.7761273230401562</v>
      </c>
      <c r="S142" s="289">
        <f>(365/4)*(AVERAGE(R14,S14)/IS!S$22)</f>
        <v>3.8915332686555097</v>
      </c>
      <c r="T142" s="305">
        <f>(365/4)*(AVERAGE(S14,T14)/IS!T$22)</f>
        <v>4.0353780478893144</v>
      </c>
      <c r="U142" s="818">
        <f>(365)*(AVERAGE(P14,U14)/IS!U$22)</f>
        <v>4.1086505973100973</v>
      </c>
      <c r="V142" s="288">
        <f>(365/4)*(AVERAGE(T14,V14)/IS!V$22)</f>
        <v>5.9569826513685369</v>
      </c>
      <c r="W142" s="289">
        <f>(365/4)*(AVERAGE(V14,W14)/IS!W$22)</f>
        <v>8.1200865429081066</v>
      </c>
      <c r="X142" s="289">
        <f>(365/4)*(AVERAGE(W14,X14)/IS!X$22)</f>
        <v>11.111956617291547</v>
      </c>
      <c r="Y142" s="305">
        <f>(365/4)*(AVERAGE(X14,Y14)/IS!Y$22)</f>
        <v>12.752870389544649</v>
      </c>
      <c r="Z142" s="818">
        <f>(365)*(AVERAGE(U14,Z14)/IS!Z$22)</f>
        <v>7.5585702392872003</v>
      </c>
      <c r="AA142" s="288">
        <f>(365/4)*(AVERAGE(Y14,AA14)/IS!AA$22)</f>
        <v>11.221724141640133</v>
      </c>
      <c r="AB142" s="289">
        <f>(365/4)*(AVERAGE(AA14,AB14)/IS!AB$22)</f>
        <v>10.948388461679972</v>
      </c>
      <c r="AC142" s="289">
        <f>(365/4)*(AVERAGE(AB14,AC14)/IS!AC$22)</f>
        <v>10.856176408145936</v>
      </c>
      <c r="AD142" s="289">
        <f>(365/4)*(AVERAGE(AC14,AD14)/IS!AD$22)</f>
        <v>8.0647673516288361</v>
      </c>
      <c r="AE142" s="818">
        <f>(365)*(AVERAGE(Z14,AE14)/IS!AE$22)</f>
        <v>7.7513466558410391</v>
      </c>
      <c r="AF142" s="289">
        <f>(365/4)*(AVERAGE(AD14,AF14)/IS!AF$22)</f>
        <v>6.4479692280852419</v>
      </c>
      <c r="AG142" s="289">
        <f>(365/4)*(AVERAGE(AF14,AG14)/IS!AG$22)</f>
        <v>8.1126995517233489</v>
      </c>
      <c r="AH142" s="289">
        <f>(365/4)*(AVERAGE(AG14,AH14)/IS!AH$22)</f>
        <v>8.2985406835115327</v>
      </c>
      <c r="AI142" s="289">
        <f>(365/4)*(AVERAGE(AH14,AI14)/IS!AI$22)</f>
        <v>7.6192121710830438</v>
      </c>
      <c r="AJ142" s="818">
        <f>(365)*(AVERAGE(AE14,AJ14)/IS!AJ$22)</f>
        <v>6.8647330072698933</v>
      </c>
      <c r="AK142" s="289">
        <f>(365/4)*(AVERAGE(AI14,AK14)/IS!AK$22)</f>
        <v>8.4826744972608221</v>
      </c>
      <c r="AL142" s="289">
        <f>(365/4)*(AVERAGE(AK14,AL14)/IS!AL$22)</f>
        <v>8.6846655829410544</v>
      </c>
      <c r="AM142" s="289">
        <f>(365/4)*(AVERAGE(AL14,AM14)/IS!AM$22)</f>
        <v>8.9932581757587062</v>
      </c>
      <c r="AN142" s="289">
        <f>(365/4)*(AVERAGE(AM14,AN14)/IS!AN$22)</f>
        <v>8.213931219289158</v>
      </c>
      <c r="AO142" s="818">
        <f>(365)*(AVERAGE(AJ14,AO14)/IS!AO$22)</f>
        <v>7.3715724091614909</v>
      </c>
      <c r="AP142" s="289">
        <f>(365/4)*(AVERAGE(AN14,AP14)/IS!AP$22)</f>
        <v>8.26107297956308</v>
      </c>
      <c r="AQ142" s="289">
        <f>(365/4)*(AVERAGE(AP14,AQ14)/IS!AQ$22)</f>
        <v>8.9098818672624471</v>
      </c>
      <c r="AR142" s="289">
        <f>(365/4)*(AVERAGE(AQ14,AR14)/IS!AR$22)</f>
        <v>9.1671894105359701</v>
      </c>
      <c r="AS142" s="289">
        <f>(365/4)*(AVERAGE(AR14,AS14)/IS!AS$22)</f>
        <v>8.4266179321297603</v>
      </c>
      <c r="AT142" s="818">
        <f>(365)*(AVERAGE(AO14,AT14)/IS!AT$22)</f>
        <v>7.5978658433333717</v>
      </c>
      <c r="AU142" s="289">
        <f>(365/4)*(AVERAGE(AS14,AU14)/IS!AU$22)</f>
        <v>8.9581808118985986</v>
      </c>
      <c r="AV142" s="289">
        <f>(365/4)*(AVERAGE(AU14,AV14)/IS!AV$22)</f>
        <v>9.6984752965834993</v>
      </c>
      <c r="AW142" s="289">
        <f>(365/4)*(AVERAGE(AV14,AW14)/IS!AW$22)</f>
        <v>9.7967783996694227</v>
      </c>
      <c r="AX142" s="289">
        <f>(365/4)*(AVERAGE(AW14,AX14)/IS!AX$22)</f>
        <v>8.82056817378602</v>
      </c>
      <c r="AY142" s="818">
        <f>(365)*(AVERAGE(AT14,AY14)/IS!AY$22)</f>
        <v>7.9431560234141489</v>
      </c>
      <c r="AZ142" s="289">
        <f>(365/4)*(AVERAGE(AX14,AZ14)/IS!AZ$22)</f>
        <v>8.5083334238599075</v>
      </c>
      <c r="BA142" s="289">
        <f>(365/4)*(AVERAGE(AZ14,BA14)/IS!BA$22)</f>
        <v>8.9471159058612155</v>
      </c>
      <c r="BB142" s="289">
        <f>(365/4)*(AVERAGE(BA14,BB14)/IS!BB$22)</f>
        <v>9.0754918249865337</v>
      </c>
      <c r="BC142" s="289">
        <f>(365/4)*(AVERAGE(BB14,BC14)/IS!BC$22)</f>
        <v>8.3603297575155544</v>
      </c>
      <c r="BD142" s="818">
        <f>(365)*(AVERAGE(AY14,BD14)/IS!BD$22)</f>
        <v>7.9270766167644604</v>
      </c>
      <c r="BE142" s="289">
        <f>(365/4)*(AVERAGE(BC14,BE14)/IS!BE$22)</f>
        <v>8.5300430644403882</v>
      </c>
      <c r="BF142" s="289">
        <f>(365/4)*(AVERAGE(BE14,BF14)/IS!BF$22)</f>
        <v>8.2854638422472426</v>
      </c>
      <c r="BG142" s="289">
        <f>(365/4)*(AVERAGE(BF14,BG14)/IS!BG$22)</f>
        <v>8.0145515130810665</v>
      </c>
      <c r="BH142" s="289">
        <f>(365/4)*(AVERAGE(BG14,BH14)/IS!BH$22)</f>
        <v>8.0876234155993334</v>
      </c>
      <c r="BI142" s="818">
        <f>(365)*(AVERAGE(BD14,BI14)/IS!BI$22)</f>
        <v>7.4945229634300832</v>
      </c>
      <c r="BJ142" s="289">
        <f>(365/4)*(AVERAGE(BH14,BJ14)/IS!BJ$22)</f>
        <v>8.2899324875110949</v>
      </c>
      <c r="BK142" s="289">
        <f>(365/4)*(AVERAGE(BJ14,BK14)/IS!BK$22)</f>
        <v>9.1774992531470829</v>
      </c>
      <c r="BL142" s="289">
        <f>(365/4)*(AVERAGE(BK14,BL14)/IS!BL$22)</f>
        <v>9.6586836897531043</v>
      </c>
      <c r="BM142" s="289">
        <f>(365/4)*(AVERAGE(BL14,BM14)/IS!BM$22)</f>
        <v>9.1371198853244806</v>
      </c>
      <c r="BN142" s="818">
        <f>(365)*(AVERAGE(BI14,BN14)/IS!BN$22)</f>
        <v>8.0772482563776755</v>
      </c>
      <c r="BO142" s="289">
        <f>(365/4)*(AVERAGE(BM14,BO14)/IS!BO$22)</f>
        <v>8.9924111980577663</v>
      </c>
      <c r="BP142" s="289">
        <f>(365/4)*(AVERAGE(BO14,BP14)/IS!BP$22)</f>
        <v>9.3159047291146759</v>
      </c>
      <c r="BQ142" s="289">
        <f>(365/4)*(AVERAGE(BP14,BQ14)/IS!BQ$22)</f>
        <v>9.9364257140814498</v>
      </c>
      <c r="BR142" s="289">
        <f>(365/4)*(AVERAGE(BQ14,BR14)/IS!BR$22)</f>
        <v>9.000114546597672</v>
      </c>
      <c r="BS142" s="818">
        <f>(365)*(AVERAGE(BN14,BS14)/IS!BS$22)</f>
        <v>7.7854772320027772</v>
      </c>
      <c r="BT142" s="289">
        <f>(365/4)*(AVERAGE(BR14,BT14)/IS!BT$22)</f>
        <v>8.0240599291305106</v>
      </c>
      <c r="BU142" s="289">
        <f>(365/4)*(AVERAGE(BT14,BU14)/IS!BU$22)</f>
        <v>8.6197539693868066</v>
      </c>
      <c r="BV142" s="289">
        <f>(365/4)*(AVERAGE(BU14,BV14)/IS!BV$22)</f>
        <v>8.9990702418682869</v>
      </c>
      <c r="BW142" s="289">
        <f>(365/4)*(AVERAGE(BV14,BW14)/IS!BW$22)</f>
        <v>8.309380798421838</v>
      </c>
      <c r="BX142" s="818">
        <f>(365)*(AVERAGE(BS14,BX14)/IS!BX$22)</f>
        <v>7.5307878936593031</v>
      </c>
      <c r="BY142" s="289">
        <f>(365/4)*(AVERAGE(BW14,BY14)/IS!BY$22)</f>
        <v>8.7101184504154308</v>
      </c>
      <c r="BZ142" s="289">
        <f>(365/4)*(AVERAGE(BY14,BZ14)/IS!BZ$22)</f>
        <v>10.033550553692583</v>
      </c>
      <c r="CA142" s="289">
        <f>(365/4)*(AVERAGE(BZ14,CA14)/IS!CA$22)</f>
        <v>10.164886136085865</v>
      </c>
      <c r="CB142" s="289">
        <f>(365/4)*(AVERAGE(CA14,CB14)/IS!CB$22)</f>
        <v>9.2932177660063182</v>
      </c>
      <c r="CC142" s="818">
        <f>(365)*(AVERAGE(BX14,CC14)/IS!CC$22)</f>
        <v>8.016765054028653</v>
      </c>
      <c r="CD142" s="289">
        <f>(365/4)*(AVERAGE(CB14,CD14)/IS!CD$22)</f>
        <v>8.7925423162230825</v>
      </c>
      <c r="CE142" s="289">
        <f>(365/4)*(AVERAGE(CD14,CE14)/IS!CE$22)</f>
        <v>9.0925108386852003</v>
      </c>
      <c r="CF142" s="289">
        <f>(365/4)*(AVERAGE(CE14,CF14)/IS!CF$22)</f>
        <v>9.4670584345994726</v>
      </c>
      <c r="CG142" s="289">
        <f>(365/4)*(AVERAGE(CF14,CG14)/IS!CG$22)</f>
        <v>9.3080316584079412</v>
      </c>
      <c r="CH142" s="818">
        <f>(365)*(AVERAGE(CC14,CH14)/IS!CH$22)</f>
        <v>8.452481339028262</v>
      </c>
      <c r="CI142" s="289">
        <f>(365/4)*(AVERAGE(CG14,CI14)/IS!CI$22)</f>
        <v>9.3014164356236186</v>
      </c>
      <c r="CJ142" s="289">
        <f>(365/4)*(AVERAGE(CI14,CJ14)/IS!CJ$22)</f>
        <v>10.246535538601261</v>
      </c>
      <c r="CK142" s="289">
        <f>(365/4)*(AVERAGE(CJ14,CK14)/IS!CK$22)</f>
        <v>11.24335022659743</v>
      </c>
      <c r="CL142" s="289">
        <f>(365/4)*(AVERAGE(CK14,CL14)/IS!CL$22)</f>
        <v>11.025566099488373</v>
      </c>
      <c r="CM142" s="818">
        <f>(365)*(AVERAGE(CH14,CM14)/IS!CM$22)</f>
        <v>9.7996281381054349</v>
      </c>
      <c r="CN142" s="289">
        <f>(365/4)*(AVERAGE(CL14,CN14)/IS!CN$22)</f>
        <v>11.170148382221612</v>
      </c>
      <c r="CO142" s="289">
        <f>(365/4)*(AVERAGE(CN14,CO14)/IS!CO$22)</f>
        <v>11.456901721175978</v>
      </c>
      <c r="CP142" s="289">
        <f>(365/4)*(AVERAGE(CO14,CP14)/IS!CP$22)</f>
        <v>11.55871509256354</v>
      </c>
      <c r="CQ142" s="289">
        <f>(365/4)*(AVERAGE(CP14,CQ14)/IS!CQ$22)</f>
        <v>11.149013921113688</v>
      </c>
      <c r="CR142" s="818">
        <f>(365)*(AVERAGE(CM14,CR14)/IS!CR$22)</f>
        <v>10.194835695876289</v>
      </c>
      <c r="CS142" s="289">
        <f>(365/4)*(AVERAGE(CQ14,CS14)/IS!CS$22)</f>
        <v>11.416224234853217</v>
      </c>
      <c r="CT142" s="289">
        <f>(365/4)*(AVERAGE(CS14,CT14)/IS!CT$22)</f>
        <v>11.958978753078725</v>
      </c>
      <c r="CU142" s="289">
        <f>(365/4)*(AVERAGE(CT14,CU14)/IS!CU$22)</f>
        <v>11.556871162979267</v>
      </c>
      <c r="CV142" s="289">
        <f>(365/4)*(AVERAGE(CU14,CV14)/IS!CV$22)</f>
        <v>10.18193963027152</v>
      </c>
      <c r="CW142" s="818">
        <f>(365)*(AVERAGE(CR14,CW14)/IS!CW$22)</f>
        <v>9.7155800728103152</v>
      </c>
      <c r="CX142" s="289">
        <f>(365/4)*(AVERAGE(CV14,CX14)/IS!CX$22)</f>
        <v>9.5727580372250429</v>
      </c>
      <c r="CY142" s="289">
        <f>(365/4)*(AVERAGE(CX14,CY14)/IS!CY$22)</f>
        <v>9.9952316076294281</v>
      </c>
      <c r="CZ142" s="289">
        <f>(365/4)*(AVERAGE(CY14,CZ14)/IS!CZ$22)</f>
        <v>9.8373605947955394</v>
      </c>
      <c r="DA142" s="289">
        <f>(365/4)*(AVERAGE(CZ14,DA14)/IS!DA$22)</f>
        <v>9.0582549634273768</v>
      </c>
      <c r="DB142" s="818">
        <f>(365)*(AVERAGE(CW14,DB14)/IS!DB$22)</f>
        <v>8.6998649561107371</v>
      </c>
      <c r="DC142" s="306">
        <f t="shared" ref="DC142:DD143" si="477">CX142</f>
        <v>9.5727580372250429</v>
      </c>
      <c r="DD142" s="306">
        <f t="shared" si="477"/>
        <v>9.9952316076294281</v>
      </c>
      <c r="DE142" s="306">
        <f>CZ142</f>
        <v>9.8373605947955394</v>
      </c>
      <c r="DF142" s="306">
        <f>DA142</f>
        <v>9.0582549634273768</v>
      </c>
      <c r="DG142" s="818">
        <f>(365)*(AVERAGE(DB14,DG14)/IS!DG$22)</f>
        <v>8.7108060833321392</v>
      </c>
      <c r="DH142" s="306">
        <f t="shared" ref="DH142:DI143" si="478">DC142</f>
        <v>9.5727580372250429</v>
      </c>
      <c r="DI142" s="306">
        <f t="shared" si="478"/>
        <v>9.9952316076294281</v>
      </c>
      <c r="DJ142" s="306">
        <f>DE142</f>
        <v>9.8373605947955394</v>
      </c>
      <c r="DK142" s="306">
        <f>DF142</f>
        <v>9.0582549634273768</v>
      </c>
      <c r="DL142" s="818">
        <f>(365)*(AVERAGE(DG14,DL14)/IS!DL$22)</f>
        <v>9.0055119193638635</v>
      </c>
      <c r="DM142" s="306">
        <f t="shared" ref="DM142:DM143" si="479">DH142</f>
        <v>9.5727580372250429</v>
      </c>
      <c r="DN142" s="306">
        <f t="shared" ref="DN142:DN143" si="480">DI142</f>
        <v>9.9952316076294281</v>
      </c>
      <c r="DO142" s="306">
        <f>DJ142</f>
        <v>9.8373605947955394</v>
      </c>
      <c r="DP142" s="306">
        <f>DK142</f>
        <v>9.0582549634273768</v>
      </c>
      <c r="DQ142" s="818">
        <f>(365)*(AVERAGE(DL14,DQ14)/IS!DQ$22)</f>
        <v>9.0012239798790432</v>
      </c>
      <c r="DR142" s="66"/>
      <c r="DS142" s="64"/>
      <c r="DT142"/>
      <c r="DU142"/>
      <c r="DV142"/>
      <c r="DW142"/>
      <c r="DX142"/>
      <c r="DY142"/>
    </row>
    <row r="143" spans="1:129" s="132" customFormat="1">
      <c r="A143" s="38"/>
      <c r="B143" s="56"/>
      <c r="C143" s="57" t="s">
        <v>154</v>
      </c>
      <c r="D143" s="57"/>
      <c r="E143" s="57"/>
      <c r="F143" s="57"/>
      <c r="G143" s="56"/>
      <c r="H143" s="310"/>
      <c r="I143" s="310">
        <f>(365/4)*(AVERAGE(H45,I45)/IS!I$30)</f>
        <v>9.3499299719887965</v>
      </c>
      <c r="J143" s="311">
        <f>(365/4)*(AVERAGE(I45,J45)/IS!J$30)</f>
        <v>12.433386384639078</v>
      </c>
      <c r="K143" s="333"/>
      <c r="L143" s="312">
        <f>(365/4)*(AVERAGE(J45,L45)/IS!L$30)</f>
        <v>14.823545887405471</v>
      </c>
      <c r="M143" s="310">
        <f>(365/4)*(AVERAGE(L45,M45)/IS!M$30)</f>
        <v>11.511626603282807</v>
      </c>
      <c r="N143" s="310">
        <f>(365/4)*(AVERAGE(M45,N45)/IS!N$30)</f>
        <v>8.6769350627474111</v>
      </c>
      <c r="O143" s="310">
        <f>(365/4)*(AVERAGE(N45,O45)/IS!O$30)</f>
        <v>9.6037174122948166</v>
      </c>
      <c r="P143" s="333">
        <f>(365)*(AVERAGE(K45,P45)/IS!P$30)</f>
        <v>12.568347739433721</v>
      </c>
      <c r="Q143" s="312">
        <f>(365/4)*(AVERAGE(O45,Q45)/IS!Q$30)</f>
        <v>10.493848195709878</v>
      </c>
      <c r="R143" s="310">
        <f>(365/4)*(AVERAGE(Q45,R45)/IS!R$30)</f>
        <v>9.1773784807034673</v>
      </c>
      <c r="S143" s="310">
        <f>(365/4)*(AVERAGE(R45,S45)/IS!S$30)</f>
        <v>8.1795525902668764</v>
      </c>
      <c r="T143" s="311">
        <f>(365/4)*(AVERAGE(S45,T45)/IS!T$30)</f>
        <v>10.335760517799352</v>
      </c>
      <c r="U143" s="333">
        <f>(365)*(AVERAGE(P45,U45)/IS!U$30)</f>
        <v>11.120433862884564</v>
      </c>
      <c r="V143" s="310">
        <f>(365/4)*(AVERAGE(T45,V45)/IS!V$30)</f>
        <v>10.37571527560463</v>
      </c>
      <c r="W143" s="310">
        <f>(365/4)*(AVERAGE(V45,W45)/IS!W$30)</f>
        <v>8.2933257773405753</v>
      </c>
      <c r="X143" s="310">
        <f>(365/4)*(AVERAGE(W45,X45)/IS!X$30)</f>
        <v>9.9328995196676626</v>
      </c>
      <c r="Y143" s="311">
        <f>(365/4)*(AVERAGE(X45,Y45)/IS!Y$30)</f>
        <v>13.825065942061942</v>
      </c>
      <c r="Z143" s="333">
        <f>(365)*(AVERAGE(U45,Z45)/IS!Z$30)</f>
        <v>13.075604306093693</v>
      </c>
      <c r="AA143" s="310">
        <f>(365/4)*(AVERAGE(Y45,AA45)/IS!AA$30)</f>
        <v>13.603187399231054</v>
      </c>
      <c r="AB143" s="310">
        <f>(365/4)*(AVERAGE(AA45,AB45)/IS!AB$30)</f>
        <v>12.696584946163282</v>
      </c>
      <c r="AC143" s="310">
        <f>(365/4)*(AVERAGE(AB45,AC45)/IS!AC$30)</f>
        <v>13.041249620867456</v>
      </c>
      <c r="AD143" s="310">
        <f>(365/4)*(AVERAGE(AC45,AD45)/IS!AD$30)</f>
        <v>14.830583107697407</v>
      </c>
      <c r="AE143" s="333">
        <f>(365)*(AVERAGE(Z45,AE45)/IS!AE$30)</f>
        <v>15.76596767752504</v>
      </c>
      <c r="AF143" s="310">
        <f>(365/4)*(AVERAGE(AD45,AF45)/IS!AF$30)</f>
        <v>14.025351571083279</v>
      </c>
      <c r="AG143" s="310">
        <f>(365/4)*(AVERAGE(AF45,AG45)/IS!AG$30)</f>
        <v>12.065748215004556</v>
      </c>
      <c r="AH143" s="310">
        <f>(365/4)*(AVERAGE(AG45,AH45)/IS!AH$30)</f>
        <v>11.308053919347529</v>
      </c>
      <c r="AI143" s="310">
        <f>(365/4)*(AVERAGE(AH45,AI45)/IS!AI$30)</f>
        <v>12.233523328441242</v>
      </c>
      <c r="AJ143" s="333">
        <f>(365)*(AVERAGE(AE45,AJ45)/IS!AJ$30)</f>
        <v>14.959181170014622</v>
      </c>
      <c r="AK143" s="310">
        <f>(365/4)*(AVERAGE(AI45,AK45)/IS!AK$30)</f>
        <v>12.556174050146129</v>
      </c>
      <c r="AL143" s="310">
        <f>(365/4)*(AVERAGE(AK45,AL45)/IS!AL$30)</f>
        <v>10.649939450488365</v>
      </c>
      <c r="AM143" s="310">
        <f>(365/4)*(AVERAGE(AL45,AM45)/IS!AM$30)</f>
        <v>11.277738369687297</v>
      </c>
      <c r="AN143" s="310">
        <f>(365/4)*(AVERAGE(AM45,AN45)/IS!AN$30)</f>
        <v>11.051856967788966</v>
      </c>
      <c r="AO143" s="333">
        <f>(365)*(AVERAGE(AJ45,AO45)/IS!AO$30)</f>
        <v>11.76283574622432</v>
      </c>
      <c r="AP143" s="310">
        <f>(365/4)*(AVERAGE(AN45,AP45)/IS!AP$30)</f>
        <v>11.31243366940833</v>
      </c>
      <c r="AQ143" s="310">
        <f>(365/4)*(AVERAGE(AP45,AQ45)/IS!AQ$30)</f>
        <v>11.417097598668569</v>
      </c>
      <c r="AR143" s="310">
        <f>(365/4)*(AVERAGE(AQ45,AR45)/IS!AR$30)</f>
        <v>11.165354983421103</v>
      </c>
      <c r="AS143" s="310">
        <f>(365/4)*(AVERAGE(AR45,AS45)/IS!AS$30)</f>
        <v>10.543764432481725</v>
      </c>
      <c r="AT143" s="333">
        <f>(365)*(AVERAGE(AO45,AT45)/IS!AT$30)</f>
        <v>10.499411354093954</v>
      </c>
      <c r="AU143" s="310">
        <f>(365/4)*(AVERAGE(AS45,AU45)/IS!AU$30)</f>
        <v>10.891851054304237</v>
      </c>
      <c r="AV143" s="310">
        <f>(365/4)*(AVERAGE(AU45,AV45)/IS!AV$30)</f>
        <v>11.219699182242993</v>
      </c>
      <c r="AW143" s="310">
        <f>(365/4)*(AVERAGE(AV45,AW45)/IS!AW$30)</f>
        <v>11.496492177117167</v>
      </c>
      <c r="AX143" s="310">
        <f>(365/4)*(AVERAGE(AW45,AX45)/IS!AX$30)</f>
        <v>10.884458248060948</v>
      </c>
      <c r="AY143" s="333">
        <f>(365)*(AVERAGE(AT45,AY45)/IS!AY$30)</f>
        <v>10.251341184354308</v>
      </c>
      <c r="AZ143" s="310">
        <f>(365/4)*(AVERAGE(AX45,AZ45)/IS!AZ$30)</f>
        <v>11.593603011270691</v>
      </c>
      <c r="BA143" s="310">
        <f>(365/4)*(AVERAGE(AZ45,BA45)/IS!BA$30)</f>
        <v>9.6070867798280002</v>
      </c>
      <c r="BB143" s="310">
        <f>(365/4)*(AVERAGE(BA45,BB45)/IS!BB$30)</f>
        <v>7.8217326008711385</v>
      </c>
      <c r="BC143" s="310">
        <f>(365/4)*(AVERAGE(BB45,BC45)/IS!BC$30)</f>
        <v>8.8108082684750837</v>
      </c>
      <c r="BD143" s="333">
        <f>(365)*(AVERAGE(AY45,BD45)/IS!BD$30)</f>
        <v>9.6868975610160586</v>
      </c>
      <c r="BE143" s="310">
        <f>(365/4)*(AVERAGE(BC45,BE45)/IS!BE$30)</f>
        <v>10.417146738017557</v>
      </c>
      <c r="BF143" s="310">
        <f>(365/4)*(AVERAGE(BE45,BF45)/IS!BF$30)</f>
        <v>11.770688652469236</v>
      </c>
      <c r="BG143" s="310">
        <f>(365/4)*(AVERAGE(BF45,BG45)/IS!BG$30)</f>
        <v>10.853043952741318</v>
      </c>
      <c r="BH143" s="310">
        <f>(365/4)*(AVERAGE(BG45,BH45)/IS!BH$30)</f>
        <v>9.3177617880251962</v>
      </c>
      <c r="BI143" s="333">
        <f>(365)*(AVERAGE(BD45,BI45)/IS!BI$30)</f>
        <v>8.8355185857722702</v>
      </c>
      <c r="BJ143" s="310">
        <f>(365/4)*(AVERAGE(BH45,BJ45)/IS!BJ$30)</f>
        <v>10.401366843138561</v>
      </c>
      <c r="BK143" s="310">
        <f>(365/4)*(AVERAGE(BJ45,BK45)/IS!BK$30)</f>
        <v>10.681560668297411</v>
      </c>
      <c r="BL143" s="310">
        <f>(365/4)*(AVERAGE(BK45,BL45)/IS!BL$30)</f>
        <v>9.5108563096221825</v>
      </c>
      <c r="BM143" s="310">
        <f>(365/4)*(AVERAGE(BL45,BM45)/IS!BM$30)</f>
        <v>9.4652452687808672</v>
      </c>
      <c r="BN143" s="333">
        <f>(365)*(AVERAGE(BI45,BN45)/IS!BN$30)</f>
        <v>9.3359595294367015</v>
      </c>
      <c r="BO143" s="310">
        <f>(365/4)*(AVERAGE(BM45,BO45)/IS!BO$30)</f>
        <v>11.512453139390972</v>
      </c>
      <c r="BP143" s="310">
        <f>(365/4)*(AVERAGE(BO45,BP45)/IS!BP$30)</f>
        <v>11.859016659412589</v>
      </c>
      <c r="BQ143" s="310">
        <f>(365/4)*(AVERAGE(BP45,BQ45)/IS!BQ$30)</f>
        <v>11.407896645764932</v>
      </c>
      <c r="BR143" s="310">
        <f>(365/4)*(AVERAGE(BQ45,BR45)/IS!BR$30)</f>
        <v>10.191160096725296</v>
      </c>
      <c r="BS143" s="333">
        <f>(365)*(AVERAGE(BN45,BS45)/IS!BS$30)</f>
        <v>8.9383144683750935</v>
      </c>
      <c r="BT143" s="310">
        <f>(365/4)*(AVERAGE(BR45,BT45)/IS!BT$30)</f>
        <v>11.25598970052776</v>
      </c>
      <c r="BU143" s="310">
        <f>(365/4)*(AVERAGE(BT45,BU45)/IS!BU$30)</f>
        <v>10.952276821962872</v>
      </c>
      <c r="BV143" s="310">
        <f>(365/4)*(AVERAGE(BU45,BV45)/IS!BV$30)</f>
        <v>8.2500167588221682</v>
      </c>
      <c r="BW143" s="310">
        <f>(365/4)*(AVERAGE(BV45,BW45)/IS!BW$30)</f>
        <v>7.0686414495270888</v>
      </c>
      <c r="BX143" s="333">
        <f>(365)*(AVERAGE(BS45,BX45)/IS!BX$30)</f>
        <v>7.6111506117353036</v>
      </c>
      <c r="BY143" s="310">
        <f>(365/4)*(AVERAGE(BW45,BY45)/IS!BY$30)</f>
        <v>8.44302553528623</v>
      </c>
      <c r="BZ143" s="310">
        <f>(365/4)*(AVERAGE(BY45,BZ45)/IS!BZ$30)</f>
        <v>9.4886318992636465</v>
      </c>
      <c r="CA143" s="310">
        <f>(365/4)*(AVERAGE(BZ45,CA45)/IS!CA$30)</f>
        <v>8.8562884140451743</v>
      </c>
      <c r="CB143" s="310">
        <f>(365/4)*(AVERAGE(CA45,CB45)/IS!CB$30)</f>
        <v>8.7262122545688978</v>
      </c>
      <c r="CC143" s="333">
        <f>(365)*(AVERAGE(BX45,CC45)/IS!CC$30)</f>
        <v>7.7172931585668021</v>
      </c>
      <c r="CD143" s="310">
        <f>(365/4)*(AVERAGE(CB45,CD45)/IS!CD$30)</f>
        <v>9.1711966599025825</v>
      </c>
      <c r="CE143" s="310">
        <f>(365/4)*(AVERAGE(CD45,CE45)/IS!CE$30)</f>
        <v>8.1266907256450995</v>
      </c>
      <c r="CF143" s="310">
        <f>(365/4)*(AVERAGE(CE45,CF45)/IS!CF$30)</f>
        <v>6.8946976350178248</v>
      </c>
      <c r="CG143" s="310">
        <f>(365/4)*(AVERAGE(CF45,CG45)/IS!CG$30)</f>
        <v>7.3787017549454168</v>
      </c>
      <c r="CH143" s="333">
        <f>(365)*(AVERAGE(CC45,CH45)/IS!CH$30)</f>
        <v>7.6979719185508459</v>
      </c>
      <c r="CI143" s="310">
        <f>(365/4)*(AVERAGE(CG45,CI45)/IS!CI$30)</f>
        <v>9.2294463169240828</v>
      </c>
      <c r="CJ143" s="310">
        <f>(365/4)*(AVERAGE(CI45,CJ45)/IS!CJ$30)</f>
        <v>8.991928021517051</v>
      </c>
      <c r="CK143" s="310">
        <f>(365/4)*(AVERAGE(CJ45,CK45)/IS!CK$30)</f>
        <v>7.2422364902396952</v>
      </c>
      <c r="CL143" s="310">
        <f>(365/4)*(AVERAGE(CK45,CL45)/IS!CL$30)</f>
        <v>7.6736410596907128</v>
      </c>
      <c r="CM143" s="333">
        <f>(365)*(AVERAGE(CH45,CM45)/IS!CM$30)</f>
        <v>7.6992955517220159</v>
      </c>
      <c r="CN143" s="310">
        <f>(365/4)*(AVERAGE(CL45,CN45)/IS!CN$30)</f>
        <v>8.6401947516211202</v>
      </c>
      <c r="CO143" s="310">
        <f>(365/4)*(AVERAGE(CN45,CO45)/IS!CO$30)</f>
        <v>8.6659800520381616</v>
      </c>
      <c r="CP143" s="310">
        <f>(365/4)*(AVERAGE(CO45,CP45)/IS!CP$30)</f>
        <v>7.7613912436679433</v>
      </c>
      <c r="CQ143" s="310">
        <f>(365/4)*(AVERAGE(CP45,CQ45)/IS!CQ$30)</f>
        <v>7.6781004344228378</v>
      </c>
      <c r="CR143" s="333">
        <f>(365)*(AVERAGE(CM45,CR45)/IS!CR$30)</f>
        <v>7.6281722937555436</v>
      </c>
      <c r="CS143" s="310">
        <f>(365/4)*(AVERAGE(CQ45,CS45)/IS!CS$30)</f>
        <v>9.0159039887229824</v>
      </c>
      <c r="CT143" s="310">
        <f>(365/4)*(AVERAGE(CS45,CT45)/IS!CT$30)</f>
        <v>8.4568692643666878</v>
      </c>
      <c r="CU143" s="310">
        <f>(365/4)*(AVERAGE(CT45,CU45)/IS!CU$30)</f>
        <v>7.3794165784153263</v>
      </c>
      <c r="CV143" s="310">
        <f>(365/4)*(AVERAGE(CU45,CV45)/IS!CV$30)</f>
        <v>7.607826034648701</v>
      </c>
      <c r="CW143" s="333">
        <f>(365)*(AVERAGE(CR45,CW45)/IS!CW$30)</f>
        <v>7.659215637910834</v>
      </c>
      <c r="CX143" s="310">
        <f>(365/4)*(AVERAGE(CV45,CX45)/IS!CX$30)</f>
        <v>7.5695077484047397</v>
      </c>
      <c r="CY143" s="310">
        <f>(365/4)*(AVERAGE(CX45,CY45)/IS!CY$30)</f>
        <v>7.4259177355152586</v>
      </c>
      <c r="CZ143" s="310">
        <f>(365/4)*(AVERAGE(CY45,CZ45)/IS!CZ$30)</f>
        <v>7.1258557980316644</v>
      </c>
      <c r="DA143" s="310">
        <f>(365/4)*(AVERAGE(CZ45,DA45)/IS!DA$30)</f>
        <v>7.6557203389830502</v>
      </c>
      <c r="DB143" s="333">
        <f>(365)*(AVERAGE(CW45,DB45)/IS!DB$30)</f>
        <v>7.6772836538461542</v>
      </c>
      <c r="DC143" s="306">
        <f t="shared" si="477"/>
        <v>7.5695077484047397</v>
      </c>
      <c r="DD143" s="306">
        <f t="shared" si="477"/>
        <v>7.4259177355152586</v>
      </c>
      <c r="DE143" s="306">
        <f>CZ143</f>
        <v>7.1258557980316644</v>
      </c>
      <c r="DF143" s="306">
        <f>DA143</f>
        <v>7.6557203389830502</v>
      </c>
      <c r="DG143" s="333">
        <f>(365)*(AVERAGE(DB45,DG45)/IS!DG$30)</f>
        <v>7.8785939988965019</v>
      </c>
      <c r="DH143" s="306">
        <f t="shared" si="478"/>
        <v>7.5695077484047397</v>
      </c>
      <c r="DI143" s="306">
        <f t="shared" si="478"/>
        <v>7.4259177355152586</v>
      </c>
      <c r="DJ143" s="306">
        <f>DE143</f>
        <v>7.1258557980316644</v>
      </c>
      <c r="DK143" s="306">
        <f>DF143</f>
        <v>7.6557203389830502</v>
      </c>
      <c r="DL143" s="333">
        <f>(365)*(AVERAGE(DG45,DL45)/IS!DL$30)</f>
        <v>7.6233893220885518</v>
      </c>
      <c r="DM143" s="306">
        <f t="shared" si="479"/>
        <v>7.5695077484047397</v>
      </c>
      <c r="DN143" s="306">
        <f t="shared" si="480"/>
        <v>7.4259177355152586</v>
      </c>
      <c r="DO143" s="306">
        <f>DJ143</f>
        <v>7.1258557980316644</v>
      </c>
      <c r="DP143" s="306">
        <f>DK143</f>
        <v>7.6557203389830502</v>
      </c>
      <c r="DQ143" s="333">
        <f>(365)*(AVERAGE(DL45,DQ45)/IS!DQ$30)</f>
        <v>7.6075197459917918</v>
      </c>
      <c r="DR143" s="32"/>
      <c r="DS143" s="57"/>
      <c r="DT143"/>
      <c r="DU143"/>
      <c r="DV143"/>
      <c r="DW143"/>
      <c r="DX143"/>
      <c r="DY143"/>
    </row>
    <row r="144" spans="1:129" s="132" customFormat="1">
      <c r="A144" s="38"/>
      <c r="B144" s="32"/>
      <c r="C144" s="33"/>
      <c r="D144" s="33"/>
      <c r="E144" s="33"/>
      <c r="F144" s="33"/>
      <c r="G144" s="32"/>
      <c r="H144" s="68"/>
      <c r="I144" s="68"/>
      <c r="J144" s="69"/>
      <c r="K144" s="333"/>
      <c r="L144" s="66"/>
      <c r="M144" s="68"/>
      <c r="N144" s="68"/>
      <c r="O144" s="68"/>
      <c r="P144" s="333"/>
      <c r="Q144" s="66"/>
      <c r="R144" s="68"/>
      <c r="S144" s="68"/>
      <c r="T144" s="68"/>
      <c r="U144" s="333"/>
      <c r="V144" s="66"/>
      <c r="W144" s="68"/>
      <c r="X144" s="68"/>
      <c r="Y144" s="68"/>
      <c r="Z144" s="333"/>
      <c r="AA144" s="66"/>
      <c r="AB144" s="68"/>
      <c r="AC144" s="68"/>
      <c r="AD144" s="68"/>
      <c r="AE144" s="333"/>
      <c r="AF144" s="68"/>
      <c r="AG144" s="68"/>
      <c r="AH144" s="68"/>
      <c r="AI144" s="68"/>
      <c r="AJ144" s="333"/>
      <c r="AK144" s="68"/>
      <c r="AL144" s="68"/>
      <c r="AM144" s="68"/>
      <c r="AN144" s="68"/>
      <c r="AO144" s="333"/>
      <c r="AP144" s="68"/>
      <c r="AQ144" s="68"/>
      <c r="AR144" s="68"/>
      <c r="AS144" s="68"/>
      <c r="AT144" s="333"/>
      <c r="AU144" s="68"/>
      <c r="AV144" s="68"/>
      <c r="AW144" s="68"/>
      <c r="AX144" s="68"/>
      <c r="AY144" s="333"/>
      <c r="AZ144" s="68"/>
      <c r="BA144" s="68"/>
      <c r="BB144" s="68"/>
      <c r="BC144" s="68"/>
      <c r="BD144" s="333"/>
      <c r="BE144" s="68"/>
      <c r="BF144" s="68"/>
      <c r="BG144" s="68"/>
      <c r="BH144" s="68"/>
      <c r="BI144" s="333"/>
      <c r="BJ144" s="68"/>
      <c r="BK144" s="68"/>
      <c r="BL144" s="68"/>
      <c r="BM144" s="68"/>
      <c r="BN144" s="333"/>
      <c r="BO144" s="68"/>
      <c r="BP144" s="68"/>
      <c r="BQ144" s="68"/>
      <c r="BR144" s="68"/>
      <c r="BS144" s="333"/>
      <c r="BT144" s="68"/>
      <c r="BU144" s="68"/>
      <c r="BV144" s="68"/>
      <c r="BW144" s="68"/>
      <c r="BX144" s="333"/>
      <c r="BY144" s="68"/>
      <c r="BZ144" s="68"/>
      <c r="CA144" s="68"/>
      <c r="CB144" s="64"/>
      <c r="CC144" s="333"/>
      <c r="CD144" s="64"/>
      <c r="CE144" s="64"/>
      <c r="CF144" s="64"/>
      <c r="CG144" s="64"/>
      <c r="CH144" s="333"/>
      <c r="CI144" s="64"/>
      <c r="CJ144" s="64"/>
      <c r="CK144" s="64"/>
      <c r="CL144" s="64"/>
      <c r="CM144" s="333"/>
      <c r="CN144" s="64"/>
      <c r="CO144" s="122"/>
      <c r="CP144" s="122"/>
      <c r="CQ144" s="64"/>
      <c r="CR144" s="333"/>
      <c r="CS144" s="64"/>
      <c r="CT144" s="64"/>
      <c r="CU144" s="122"/>
      <c r="CV144" s="64"/>
      <c r="CW144" s="333"/>
      <c r="CX144" s="64"/>
      <c r="CY144" s="64"/>
      <c r="CZ144" s="64"/>
      <c r="DA144" s="64"/>
      <c r="DB144" s="333"/>
      <c r="DC144" s="64"/>
      <c r="DD144" s="64"/>
      <c r="DE144" s="64"/>
      <c r="DF144" s="64"/>
      <c r="DG144" s="333"/>
      <c r="DH144" s="64"/>
      <c r="DI144" s="64"/>
      <c r="DJ144" s="64"/>
      <c r="DK144" s="64"/>
      <c r="DL144" s="333"/>
      <c r="DM144" s="64"/>
      <c r="DN144" s="64"/>
      <c r="DO144" s="64"/>
      <c r="DP144" s="64"/>
      <c r="DQ144" s="333"/>
      <c r="DR144" s="32"/>
      <c r="DS144" s="57"/>
      <c r="DT144"/>
      <c r="DU144"/>
      <c r="DV144"/>
      <c r="DW144"/>
      <c r="DX144"/>
      <c r="DY144"/>
    </row>
    <row r="145" spans="1:129" s="132" customFormat="1">
      <c r="A145" s="38"/>
      <c r="B145" s="32"/>
      <c r="C145" s="33" t="s">
        <v>156</v>
      </c>
      <c r="D145" s="33"/>
      <c r="E145" s="33"/>
      <c r="F145" s="33"/>
      <c r="G145" s="32"/>
      <c r="H145" s="68">
        <f>H46/IS!H$22</f>
        <v>0</v>
      </c>
      <c r="I145" s="68">
        <f>I46/IS!I$22</f>
        <v>0</v>
      </c>
      <c r="J145" s="69">
        <f>J46/IS!J$22</f>
        <v>0</v>
      </c>
      <c r="K145" s="336"/>
      <c r="L145" s="66">
        <f>L46/IS!L$22</f>
        <v>0</v>
      </c>
      <c r="M145" s="68">
        <f>M46/IS!M$22</f>
        <v>0</v>
      </c>
      <c r="N145" s="68">
        <f>N46/IS!N$22</f>
        <v>0</v>
      </c>
      <c r="O145" s="68">
        <f>O46/IS!O$22</f>
        <v>0</v>
      </c>
      <c r="P145" s="336">
        <f>P46/IS!P$22</f>
        <v>0</v>
      </c>
      <c r="Q145" s="66">
        <f>Q46/IS!Q$22</f>
        <v>0</v>
      </c>
      <c r="R145" s="68">
        <f>R46/IS!R$22</f>
        <v>0</v>
      </c>
      <c r="S145" s="68">
        <f>S46/IS!S$22</f>
        <v>0</v>
      </c>
      <c r="T145" s="68">
        <f>T46/IS!T$22</f>
        <v>0</v>
      </c>
      <c r="U145" s="336">
        <f>U46/IS!U$22</f>
        <v>0</v>
      </c>
      <c r="V145" s="66">
        <f>V46/IS!V$22</f>
        <v>0</v>
      </c>
      <c r="W145" s="68">
        <f>W46/IS!W$22</f>
        <v>0</v>
      </c>
      <c r="X145" s="68">
        <f>X46/IS!X$22</f>
        <v>0</v>
      </c>
      <c r="Y145" s="68">
        <f>Y46/IS!Y$22</f>
        <v>0</v>
      </c>
      <c r="Z145" s="336">
        <f>Z46/IS!Z$22</f>
        <v>0</v>
      </c>
      <c r="AA145" s="66">
        <f>AA46/IS!AA$22</f>
        <v>0</v>
      </c>
      <c r="AB145" s="68">
        <f>AB46/IS!AB$22</f>
        <v>0</v>
      </c>
      <c r="AC145" s="68">
        <f>AC46/IS!AC$22</f>
        <v>0</v>
      </c>
      <c r="AD145" s="68">
        <f>AD46/IS!AD$22</f>
        <v>0</v>
      </c>
      <c r="AE145" s="336">
        <f>AE46/IS!AE$22</f>
        <v>0</v>
      </c>
      <c r="AF145" s="68">
        <f>AF46/IS!AF$22</f>
        <v>0</v>
      </c>
      <c r="AG145" s="68">
        <f>AG46/IS!AG$22</f>
        <v>0</v>
      </c>
      <c r="AH145" s="68">
        <f>AH46/IS!AH$22</f>
        <v>0</v>
      </c>
      <c r="AI145" s="68">
        <f>AI46/IS!AI$22</f>
        <v>0</v>
      </c>
      <c r="AJ145" s="336">
        <f>AJ46/IS!AJ$22</f>
        <v>0</v>
      </c>
      <c r="AK145" s="68">
        <f>AK46/IS!AK$22</f>
        <v>0</v>
      </c>
      <c r="AL145" s="68">
        <f>AL46/IS!AL$22</f>
        <v>0</v>
      </c>
      <c r="AM145" s="68">
        <f>AM46/IS!AM$22</f>
        <v>0</v>
      </c>
      <c r="AN145" s="68">
        <f>AN46/IS!AN$22</f>
        <v>0</v>
      </c>
      <c r="AO145" s="336">
        <f>AO46/IS!AO$22</f>
        <v>0</v>
      </c>
      <c r="AP145" s="68">
        <f>AP46/IS!AP$22</f>
        <v>0</v>
      </c>
      <c r="AQ145" s="68">
        <f>AQ46/IS!AQ$22</f>
        <v>0</v>
      </c>
      <c r="AR145" s="68">
        <f>AR46/IS!AR$22</f>
        <v>0</v>
      </c>
      <c r="AS145" s="68">
        <f>AS46/IS!AS$22</f>
        <v>0</v>
      </c>
      <c r="AT145" s="336">
        <f>AT46/IS!AT$22</f>
        <v>0</v>
      </c>
      <c r="AU145" s="68">
        <f>AU46/IS!AU$22</f>
        <v>0</v>
      </c>
      <c r="AV145" s="68">
        <f>AV46/IS!AV$22</f>
        <v>0</v>
      </c>
      <c r="AW145" s="68">
        <f>AW46/IS!AW$22</f>
        <v>0</v>
      </c>
      <c r="AX145" s="68">
        <f>AX46/IS!AX$22</f>
        <v>4.5710717904012439E-2</v>
      </c>
      <c r="AY145" s="336">
        <f>AY46/IS!AY$22</f>
        <v>1.3621743675869763E-2</v>
      </c>
      <c r="AZ145" s="68">
        <f>AZ46/IS!AZ$22</f>
        <v>3.3975709909400999E-2</v>
      </c>
      <c r="BA145" s="68">
        <f>BA46/IS!BA$22</f>
        <v>2.9048583387865576E-2</v>
      </c>
      <c r="BB145" s="68">
        <f>BB46/IS!BB$22</f>
        <v>3.4122651148724939E-2</v>
      </c>
      <c r="BC145" s="68">
        <f>BC46/IS!BC$22</f>
        <v>4.8370213815679824E-2</v>
      </c>
      <c r="BD145" s="336">
        <f>BD46/IS!BD$22</f>
        <v>1.3588833369155033E-2</v>
      </c>
      <c r="BE145" s="68">
        <f>BE46/IS!BE$22</f>
        <v>4.1007236754127624E-2</v>
      </c>
      <c r="BF145" s="68">
        <f>BF46/IS!BF$22</f>
        <v>3.5377946885663973E-2</v>
      </c>
      <c r="BG145" s="68">
        <f>BG46/IS!BG$22</f>
        <v>3.8887966398358023E-2</v>
      </c>
      <c r="BH145" s="68">
        <f>BH46/IS!BH$22</f>
        <v>5.0625128644370521E-2</v>
      </c>
      <c r="BI145" s="336">
        <f>BI46/IS!BI$22</f>
        <v>1.3536535828518511E-2</v>
      </c>
      <c r="BJ145" s="68">
        <f>BJ46/IS!BJ$22</f>
        <v>4.250920411550662E-2</v>
      </c>
      <c r="BK145" s="68">
        <f>BK46/IS!BK$22</f>
        <v>4.1343459628736839E-2</v>
      </c>
      <c r="BL145" s="68">
        <f>BL46/IS!BL$22</f>
        <v>4.3090236769585503E-2</v>
      </c>
      <c r="BM145" s="68">
        <f>BM46/IS!BM$22</f>
        <v>5.7166056843698118E-2</v>
      </c>
      <c r="BN145" s="336">
        <f>BN46/IS!BN$22</f>
        <v>1.5739647533156043E-2</v>
      </c>
      <c r="BO145" s="68">
        <f>BO46/IS!BO$22</f>
        <v>5.5824615512857917E-2</v>
      </c>
      <c r="BP145" s="68">
        <f>BP46/IS!BP$22</f>
        <v>5.1414553989760699E-2</v>
      </c>
      <c r="BQ145" s="68">
        <f>BQ46/IS!BQ$22</f>
        <v>4.7622138969671615E-2</v>
      </c>
      <c r="BR145" s="68">
        <f>BR46/IS!BR$22</f>
        <v>6.4542858930476232E-2</v>
      </c>
      <c r="BS145" s="336">
        <f>BS46/IS!BS$22</f>
        <v>1.8419606875637064E-2</v>
      </c>
      <c r="BT145" s="68">
        <f>BT46/IS!BT$22</f>
        <v>5.9814636686300784E-2</v>
      </c>
      <c r="BU145" s="68">
        <f>BU46/IS!BU$22</f>
        <v>5.697993996937873E-2</v>
      </c>
      <c r="BV145" s="68">
        <f>BV46/IS!BV$22</f>
        <v>5.4900390642079661E-2</v>
      </c>
      <c r="BW145" s="68">
        <f>BW46/IS!BW$22</f>
        <v>6.3540635460450676E-2</v>
      </c>
      <c r="BX145" s="336">
        <f>BX46/IS!BX$22</f>
        <v>1.7270103882338565E-2</v>
      </c>
      <c r="BY145" s="68">
        <f>BY46/IS!BY$22</f>
        <v>6.3001176265040024E-2</v>
      </c>
      <c r="BZ145" s="68">
        <f>BZ46/IS!BZ$22</f>
        <v>5.9393834738917795E-2</v>
      </c>
      <c r="CA145" s="68">
        <f>CA46/IS!CA$22</f>
        <v>6.1546618681304739E-2</v>
      </c>
      <c r="CB145" s="68">
        <f>CB46/IS!CB$22</f>
        <v>7.6837515366630471E-2</v>
      </c>
      <c r="CC145" s="336">
        <f>CC46/IS!CC$22</f>
        <v>2.037658348115939E-2</v>
      </c>
      <c r="CD145" s="68">
        <f>CD46/IS!CD$22</f>
        <v>6.8392834697026533E-2</v>
      </c>
      <c r="CE145" s="68">
        <f>CE46/IS!CE$22</f>
        <v>6.209028150506192E-2</v>
      </c>
      <c r="CF145" s="68">
        <f>CF46/IS!CF$22</f>
        <v>6.1558565361060288E-2</v>
      </c>
      <c r="CG145" s="68">
        <f>CG46/IS!CG$22</f>
        <v>7.764548153079108E-2</v>
      </c>
      <c r="CH145" s="336">
        <f>CH46/IS!CH$22</f>
        <v>2.0681792507205261E-2</v>
      </c>
      <c r="CI145" s="68">
        <f>CI46/IS!CI$22</f>
        <v>6.8736614227187839E-2</v>
      </c>
      <c r="CJ145" s="68">
        <f>CJ46/IS!CJ$22</f>
        <v>7.1375959737697531E-2</v>
      </c>
      <c r="CK145" s="68">
        <f>CK46/IS!CK$22</f>
        <v>6.5627434852028807E-2</v>
      </c>
      <c r="CL145" s="68">
        <f>CL46/IS!CL$22</f>
        <v>8.1726915685409324E-2</v>
      </c>
      <c r="CM145" s="336">
        <f>CM46/IS!CM$22</f>
        <v>2.1837763446023513E-2</v>
      </c>
      <c r="CN145" s="68">
        <f>CN46/IS!CN$22</f>
        <v>0.11365666002610426</v>
      </c>
      <c r="CO145" s="68">
        <f>CO46/IS!CO$22</f>
        <v>9.3611228161161714E-2</v>
      </c>
      <c r="CP145" s="68">
        <f>CP46/IS!CP$22</f>
        <v>8.2428616253529971E-2</v>
      </c>
      <c r="CQ145" s="68">
        <f>CQ46/IS!CQ$22</f>
        <v>0.10013921113689095</v>
      </c>
      <c r="CR145" s="336">
        <f>CR46/IS!CR$22</f>
        <v>2.6071198453608245E-2</v>
      </c>
      <c r="CS145" s="68">
        <f>CS46/IS!CS$22</f>
        <v>0.10918176139912555</v>
      </c>
      <c r="CT145" s="68">
        <f>CT46/IS!CT$22</f>
        <v>9.5462773376064569E-2</v>
      </c>
      <c r="CU145" s="68">
        <f>CU46/IS!CU$22</f>
        <v>8.1576508745511395E-2</v>
      </c>
      <c r="CV145" s="68">
        <f>CV46/IS!CV$22</f>
        <v>8.838821490467938E-2</v>
      </c>
      <c r="CW145" s="336">
        <f>CW46/IS!CW$22</f>
        <v>2.2688346642347132E-2</v>
      </c>
      <c r="CX145" s="68">
        <f>CX46/IS!CX$22</f>
        <v>0.1119571347997744</v>
      </c>
      <c r="CY145" s="68">
        <f>CY46/IS!CY$22</f>
        <v>9.1825613079019069E-2</v>
      </c>
      <c r="CZ145" s="68">
        <f>CZ46/IS!CZ$22</f>
        <v>8.8422729686670212E-2</v>
      </c>
      <c r="DA145" s="68">
        <f>DA46/IS!DA$22</f>
        <v>0.10005224660397075</v>
      </c>
      <c r="DB145" s="336">
        <f>DB46/IS!DB$22</f>
        <v>2.586090479405807E-2</v>
      </c>
      <c r="DC145" s="475">
        <f>CX145</f>
        <v>0.1119571347997744</v>
      </c>
      <c r="DD145" s="475">
        <f>CY145</f>
        <v>9.1825613079019069E-2</v>
      </c>
      <c r="DE145" s="475">
        <f>CZ145</f>
        <v>8.8422729686670212E-2</v>
      </c>
      <c r="DF145" s="475">
        <f>DA145</f>
        <v>0.10005224660397075</v>
      </c>
      <c r="DG145" s="336">
        <f>DG46/IS!DG$22</f>
        <v>2.5826278021782372E-2</v>
      </c>
      <c r="DH145" s="475">
        <f>DC145</f>
        <v>0.1119571347997744</v>
      </c>
      <c r="DI145" s="475">
        <f>DD145</f>
        <v>9.1825613079019069E-2</v>
      </c>
      <c r="DJ145" s="475">
        <f>DE145</f>
        <v>8.8422729686670212E-2</v>
      </c>
      <c r="DK145" s="475">
        <f>DF145</f>
        <v>0.10005224660397075</v>
      </c>
      <c r="DL145" s="336">
        <f>DL46/IS!DL$22</f>
        <v>2.5809361274801441E-2</v>
      </c>
      <c r="DM145" s="475">
        <f>DH145</f>
        <v>0.1119571347997744</v>
      </c>
      <c r="DN145" s="475">
        <f>DI145</f>
        <v>9.1825613079019069E-2</v>
      </c>
      <c r="DO145" s="475">
        <f>DJ145</f>
        <v>8.8422729686670212E-2</v>
      </c>
      <c r="DP145" s="475">
        <f>DK145</f>
        <v>0.10005224660397075</v>
      </c>
      <c r="DQ145" s="336">
        <f>DQ46/IS!DQ$22</f>
        <v>2.579241448708585E-2</v>
      </c>
      <c r="DR145" s="32"/>
      <c r="DS145" s="57"/>
      <c r="DT145"/>
      <c r="DU145"/>
      <c r="DV145"/>
      <c r="DW145"/>
      <c r="DX145"/>
      <c r="DY145"/>
    </row>
    <row r="146" spans="1:129" s="182" customFormat="1">
      <c r="A146" s="60"/>
      <c r="B146" s="35"/>
      <c r="C146" s="36" t="s">
        <v>157</v>
      </c>
      <c r="D146" s="36"/>
      <c r="E146" s="36"/>
      <c r="F146" s="36"/>
      <c r="G146" s="62"/>
      <c r="H146" s="68">
        <f>H48/(IS!H$30+IS!H$46)</f>
        <v>0.6463106620963377</v>
      </c>
      <c r="I146" s="68">
        <f>I48/(IS!I$30+IS!I$46)</f>
        <v>0.64954594987286596</v>
      </c>
      <c r="J146" s="69">
        <f>J48/(IS!J$30+IS!J$46)</f>
        <v>0.71277745977230811</v>
      </c>
      <c r="K146" s="336"/>
      <c r="L146" s="66">
        <f>L48/(IS!L$30+IS!L$46)</f>
        <v>0.54603815113719723</v>
      </c>
      <c r="M146" s="68">
        <f>M48/(IS!M$30+IS!M$46)</f>
        <v>0.5246385029770344</v>
      </c>
      <c r="N146" s="68">
        <f>N48/(IS!N$30+IS!N$46)</f>
        <v>0.54802139037433151</v>
      </c>
      <c r="O146" s="68">
        <f>O48/(IS!O$30+IS!O$46)</f>
        <v>0.60144112837285346</v>
      </c>
      <c r="P146" s="336">
        <f>P48/(IS!P$30+IS!P$46)</f>
        <v>0.1628724449549537</v>
      </c>
      <c r="Q146" s="66">
        <f>Q48/(IS!Q$30+IS!Q$46)</f>
        <v>0.44338633981865405</v>
      </c>
      <c r="R146" s="68">
        <f>R48/(IS!R$30+IS!R$46)</f>
        <v>0.50597826086956521</v>
      </c>
      <c r="S146" s="68">
        <f>S48/(IS!S$30+IS!S$46)</f>
        <v>0.59667643532702819</v>
      </c>
      <c r="T146" s="68">
        <f>T48/(IS!T$30+IS!T$46)</f>
        <v>0.71951881331403744</v>
      </c>
      <c r="U146" s="336">
        <f>U48/(IS!U$30+IS!U$46)</f>
        <v>0.21518804721242885</v>
      </c>
      <c r="V146" s="66">
        <f>V48/(IS!V$30+IS!V$46)</f>
        <v>0.52280451235184922</v>
      </c>
      <c r="W146" s="68">
        <f>W48/(IS!W$30+IS!W$46)</f>
        <v>0.49733147220625668</v>
      </c>
      <c r="X146" s="68">
        <f>X48/(IS!X$30+IS!X$46)</f>
        <v>0.57185107382735834</v>
      </c>
      <c r="Y146" s="68">
        <f>Y48/(IS!Y$30+IS!Y$46)</f>
        <v>0.52418160164986782</v>
      </c>
      <c r="Z146" s="336">
        <f>Z48/(IS!Z$30+IS!Z$46)</f>
        <v>0.12694326031598641</v>
      </c>
      <c r="AA146" s="66">
        <f>AA48/(IS!AA$30+IS!AA$46)</f>
        <v>0.56359888779759015</v>
      </c>
      <c r="AB146" s="68">
        <f>AB48/(IS!AB$30+IS!AB$46)</f>
        <v>0.6980930548612847</v>
      </c>
      <c r="AC146" s="68">
        <f>AC48/(IS!AC$30+IS!AC$46)</f>
        <v>0.6208300127681089</v>
      </c>
      <c r="AD146" s="68">
        <f>AD48/(IS!AD$30+IS!AD$46)</f>
        <v>0.71275817238319439</v>
      </c>
      <c r="AE146" s="336">
        <f>AE48/(IS!AE$30+IS!AE$46)</f>
        <v>0.20794061419790821</v>
      </c>
      <c r="AF146" s="68">
        <f>AF48/(IS!AF$30+IS!AF$46)</f>
        <v>0.58174259182321431</v>
      </c>
      <c r="AG146" s="68">
        <f>AG48/(IS!AG$30+IS!AG$46)</f>
        <v>0.53891024126997766</v>
      </c>
      <c r="AH146" s="68">
        <f>AH48/(IS!AH$30+IS!AH$46)</f>
        <v>0.596928009370017</v>
      </c>
      <c r="AI146" s="68">
        <f>AI48/(IS!AI$30+IS!AI$46)</f>
        <v>0.656666248993788</v>
      </c>
      <c r="AJ146" s="336">
        <f>AJ48/(IS!AJ$30+IS!AJ$46)</f>
        <v>0.19503993310039142</v>
      </c>
      <c r="AK146" s="68">
        <f>AK48/(IS!AK$30+IS!AK$46)</f>
        <v>0.59888022869905377</v>
      </c>
      <c r="AL146" s="68">
        <f>AL48/(IS!AL$30+IS!AL$46)</f>
        <v>0.60967719763468942</v>
      </c>
      <c r="AM146" s="68">
        <f>AM48/(IS!AM$30+IS!AM$46)</f>
        <v>0.71953144384193535</v>
      </c>
      <c r="AN146" s="68">
        <f>AN48/(IS!AN$30+IS!AN$46)</f>
        <v>0.77916135323681646</v>
      </c>
      <c r="AO146" s="336">
        <f>AO48/(IS!AO$30+IS!AO$46)</f>
        <v>0.23306003680812812</v>
      </c>
      <c r="AP146" s="68">
        <f>AP48/(IS!AP$30+IS!AP$46)</f>
        <v>0.61069055183108456</v>
      </c>
      <c r="AQ146" s="68">
        <f>AQ48/(IS!AQ$30+IS!AQ$46)</f>
        <v>0.62533318128326787</v>
      </c>
      <c r="AR146" s="68">
        <f>AR48/(IS!AR$30+IS!AR$46)</f>
        <v>0.63364879430941989</v>
      </c>
      <c r="AS146" s="68">
        <f>AS48/(IS!AS$30+IS!AS$46)</f>
        <v>0.68777280804249852</v>
      </c>
      <c r="AT146" s="336">
        <f>AT48/(IS!AT$30+IS!AT$46)</f>
        <v>0.20186262388688028</v>
      </c>
      <c r="AU146" s="68">
        <f>AU48/(IS!AU$30+IS!AU$46)</f>
        <v>0.52258133418772612</v>
      </c>
      <c r="AV146" s="68">
        <f>AV48/(IS!AV$30+IS!AV$46)</f>
        <v>0.53619578612897012</v>
      </c>
      <c r="AW146" s="68">
        <f>AW48/(IS!AW$30+IS!AW$46)</f>
        <v>0.61613140915004916</v>
      </c>
      <c r="AX146" s="68">
        <f>AX48/(IS!AX$30+IS!AX$46)</f>
        <v>0.59491742282747773</v>
      </c>
      <c r="AY146" s="336">
        <f>AY48/(IS!AY$30+IS!AY$46)</f>
        <v>0.17814407384246825</v>
      </c>
      <c r="AZ146" s="68">
        <f>AZ48/(IS!AZ$30+IS!AZ$46)</f>
        <v>0.50581209544186545</v>
      </c>
      <c r="BA146" s="68">
        <f>BA48/(IS!BA$30+IS!BA$46)</f>
        <v>0.52721512450430064</v>
      </c>
      <c r="BB146" s="68">
        <f>BB48/(IS!BB$30+IS!BB$46)</f>
        <v>0.52950382564340359</v>
      </c>
      <c r="BC146" s="68">
        <f>BC48/(IS!BC$30+IS!BC$46)</f>
        <v>0.57620936030654424</v>
      </c>
      <c r="BD146" s="336">
        <f>BD48/(IS!BD$30+IS!BD$46)</f>
        <v>0.16089549397068248</v>
      </c>
      <c r="BE146" s="68">
        <f>BE48/(IS!BE$30+IS!BE$46)</f>
        <v>0.46151378717319469</v>
      </c>
      <c r="BF146" s="68">
        <f>BF48/(IS!BF$30+IS!BF$46)</f>
        <v>0.46123559713854051</v>
      </c>
      <c r="BG146" s="68">
        <f>BG48/(IS!BG$30+IS!BG$46)</f>
        <v>0.4666796121843671</v>
      </c>
      <c r="BH146" s="68">
        <f>BH48/(IS!BH$30+IS!BH$46)</f>
        <v>0.51685847366056592</v>
      </c>
      <c r="BI146" s="336">
        <f>BI48/(IS!BI$30+IS!BI$46)</f>
        <v>0.13769623840700129</v>
      </c>
      <c r="BJ146" s="68">
        <f>BJ48/(IS!BJ$30+IS!BJ$46)</f>
        <v>0.42536267444674492</v>
      </c>
      <c r="BK146" s="68">
        <f>BK48/(IS!BK$30+IS!BK$46)</f>
        <v>0.50711477418820061</v>
      </c>
      <c r="BL146" s="68">
        <f>BL48/(IS!BL$30+IS!BL$46)</f>
        <v>0.61398261972612644</v>
      </c>
      <c r="BM146" s="68">
        <f>BM48/(IS!BM$30+IS!BM$46)</f>
        <v>0.74738797403050061</v>
      </c>
      <c r="BN146" s="336">
        <f>BN48/(IS!BN$30+IS!BN$46)</f>
        <v>0.20668624532017141</v>
      </c>
      <c r="BO146" s="68">
        <f>BO48/(IS!BO$30+IS!BO$46)</f>
        <v>0.57546561294670129</v>
      </c>
      <c r="BP146" s="68">
        <f>BP48/(IS!BP$30+IS!BP$46)</f>
        <v>0.5736137516111286</v>
      </c>
      <c r="BQ146" s="68">
        <f>BQ48/(IS!BQ$30+IS!BQ$46)</f>
        <v>0.66933674019117395</v>
      </c>
      <c r="BR146" s="68">
        <f>BR48/(IS!BR$30+IS!BR$46)</f>
        <v>0.73333295275826549</v>
      </c>
      <c r="BS146" s="336">
        <f>BS48/(IS!BS$30+IS!BS$46)</f>
        <v>0.2098140410659653</v>
      </c>
      <c r="BT146" s="68">
        <f>BT48/(IS!BT$30+IS!BT$46)</f>
        <v>0.55247228219628319</v>
      </c>
      <c r="BU146" s="68">
        <f>BU48/(IS!BU$30+IS!BU$46)</f>
        <v>0.5989107128620641</v>
      </c>
      <c r="BV146" s="68">
        <f>BV48/(IS!BV$30+IS!BV$46)</f>
        <v>0.68148555614078288</v>
      </c>
      <c r="BW146" s="68">
        <f>BW48/(IS!BW$30+IS!BW$46)</f>
        <v>0.77602709435188366</v>
      </c>
      <c r="BX146" s="336">
        <f>BX48/(IS!BX$30+IS!BX$46)</f>
        <v>0.21080728889993086</v>
      </c>
      <c r="BY146" s="68">
        <f>BY48/(IS!BY$30+IS!BY$46)</f>
        <v>0.5926198837397133</v>
      </c>
      <c r="BZ146" s="68">
        <f>BZ48/(IS!BZ$30+IS!BZ$46)</f>
        <v>0.65474524695231739</v>
      </c>
      <c r="CA146" s="68">
        <f>CA48/(IS!CA$30+IS!CA$46)</f>
        <v>0.69333420683275071</v>
      </c>
      <c r="CB146" s="68">
        <f>CB48/(IS!CB$30+IS!CB$46)</f>
        <v>0.71768736935345556</v>
      </c>
      <c r="CC146" s="336">
        <f>CC48/(IS!CC$30+IS!CC$46)</f>
        <v>0.19088616880624384</v>
      </c>
      <c r="CD146" s="68">
        <f>CD48/(IS!CD$30+IS!CD$46)</f>
        <v>0.58992492051060974</v>
      </c>
      <c r="CE146" s="68">
        <f>CE48/(IS!CE$30+IS!CE$46)</f>
        <v>0.66480832461867478</v>
      </c>
      <c r="CF146" s="68">
        <f>CF48/(IS!CF$30+IS!CF$46)</f>
        <v>0.73263294559859626</v>
      </c>
      <c r="CG146" s="68">
        <f>CG48/(IS!CG$30+IS!CG$46)</f>
        <v>0.79096455424734757</v>
      </c>
      <c r="CH146" s="336">
        <f>CH48/(IS!CH$30+IS!CH$46)</f>
        <v>0.21049851783067428</v>
      </c>
      <c r="CI146" s="68">
        <f>CI48/(IS!CI$30+IS!CI$46)</f>
        <v>0.60462900414487897</v>
      </c>
      <c r="CJ146" s="68">
        <f>CJ48/(IS!CJ$30+IS!CJ$46)</f>
        <v>0.63823461210931387</v>
      </c>
      <c r="CK146" s="68">
        <f>CK48/(IS!CK$30+IS!CK$46)</f>
        <v>0.69419042832605471</v>
      </c>
      <c r="CL146" s="68">
        <f>CL48/(IS!CL$30+IS!CL$46)</f>
        <v>0.68859449537300488</v>
      </c>
      <c r="CM146" s="336">
        <f>CM48/(IS!CM$30+IS!CM$46)</f>
        <v>0.18576751064084496</v>
      </c>
      <c r="CN146" s="68">
        <f>CN48/(IS!CN$30+IS!CN$46)</f>
        <v>0.51450709563313257</v>
      </c>
      <c r="CO146" s="68">
        <f>CO48/(IS!CO$30+IS!CO$46)</f>
        <v>0.53976067555128671</v>
      </c>
      <c r="CP146" s="68">
        <f>CP48/(IS!CP$30+IS!CP$46)</f>
        <v>0.6347672724484319</v>
      </c>
      <c r="CQ146" s="68">
        <f>CQ48/(IS!CQ$30+IS!CQ$46)</f>
        <v>0.68870961633147743</v>
      </c>
      <c r="CR146" s="336">
        <f>CR48/(IS!CR$30+IS!CR$46)</f>
        <v>0.17965006569912761</v>
      </c>
      <c r="CS146" s="68">
        <f>CS48/(IS!CS$30+IS!CS$46)</f>
        <v>0.50826588930228978</v>
      </c>
      <c r="CT146" s="68">
        <f>CT48/(IS!CT$30+IS!CT$46)</f>
        <v>0.57332307579587505</v>
      </c>
      <c r="CU146" s="68">
        <f>CU48/(IS!CU$30+IS!CU$46)</f>
        <v>0.62548521420001413</v>
      </c>
      <c r="CV146" s="68">
        <f>CV48/(IS!CV$30+IS!CV$46)</f>
        <v>0.64827104435906391</v>
      </c>
      <c r="CW146" s="336">
        <f>CW48/(IS!CW$30+IS!CW$46)</f>
        <v>0.16821345707656613</v>
      </c>
      <c r="CX146" s="68">
        <f>CX48/(IS!CX$30+IS!CX$46)</f>
        <v>0.53183520599250933</v>
      </c>
      <c r="CY146" s="68">
        <f>CY48/(IS!CY$30+IS!CY$46)</f>
        <v>0.54765056254136335</v>
      </c>
      <c r="CZ146" s="68">
        <f>CZ48/(IS!CZ$30+IS!CZ$46)</f>
        <v>0.64339071126989278</v>
      </c>
      <c r="DA146" s="68">
        <f>DA48/(IS!DA$30+IS!DA$46)</f>
        <v>0.66271999999999998</v>
      </c>
      <c r="DB146" s="336">
        <f>DB48/(IS!DB$30+IS!DB$46)</f>
        <v>0.1702704924771849</v>
      </c>
      <c r="DC146" s="475">
        <f>+DA146-0.05</f>
        <v>0.61271999999999993</v>
      </c>
      <c r="DD146" s="475">
        <f>CY146-0.01</f>
        <v>0.53765056254136334</v>
      </c>
      <c r="DE146" s="475">
        <f>CZ146-0.03</f>
        <v>0.61339071126989275</v>
      </c>
      <c r="DF146" s="475">
        <f>DA146-0.03</f>
        <v>0.63271999999999995</v>
      </c>
      <c r="DG146" s="336">
        <f>DG48/(IS!DG$30+IS!DG$46)</f>
        <v>0.16191114508695448</v>
      </c>
      <c r="DH146" s="475">
        <f>DC146-0.01</f>
        <v>0.60271999999999992</v>
      </c>
      <c r="DI146" s="475">
        <f>DD146-0.01</f>
        <v>0.52765056254136333</v>
      </c>
      <c r="DJ146" s="475">
        <f>DE146-0.03</f>
        <v>0.58339071126989273</v>
      </c>
      <c r="DK146" s="475">
        <f>DF146-0.03</f>
        <v>0.60271999999999992</v>
      </c>
      <c r="DL146" s="336">
        <f>DL48/(IS!DL$30+IS!DL$46)</f>
        <v>0.15533257154085084</v>
      </c>
      <c r="DM146" s="475">
        <f>DH146-0.01</f>
        <v>0.59271999999999991</v>
      </c>
      <c r="DN146" s="475">
        <f>DI146-0.01</f>
        <v>0.51765056254136332</v>
      </c>
      <c r="DO146" s="475">
        <f>DJ146-0.03</f>
        <v>0.5533907112698927</v>
      </c>
      <c r="DP146" s="475">
        <f>DK146-0.03</f>
        <v>0.5727199999999999</v>
      </c>
      <c r="DQ146" s="336">
        <f>DQ48/(IS!DQ$30+IS!DQ$46)</f>
        <v>0.14750400774017217</v>
      </c>
      <c r="DR146" s="35"/>
      <c r="DS146" s="130"/>
      <c r="DT146"/>
      <c r="DU146"/>
      <c r="DV146"/>
      <c r="DW146"/>
      <c r="DX146"/>
      <c r="DY146"/>
    </row>
    <row r="147" spans="1:129" s="132" customFormat="1">
      <c r="A147" s="38"/>
      <c r="B147" s="32"/>
      <c r="C147" s="36" t="s">
        <v>160</v>
      </c>
      <c r="D147" s="33"/>
      <c r="E147" s="33"/>
      <c r="F147" s="33"/>
      <c r="G147" s="32"/>
      <c r="H147" s="68">
        <f>H54/(IS!H$30+IS!H$46)</f>
        <v>2.0746887966804979E-3</v>
      </c>
      <c r="I147" s="68">
        <f>I54/(IS!I$30+IS!I$46)</f>
        <v>1.0751907010533962E-2</v>
      </c>
      <c r="J147" s="69">
        <f>J54/(IS!J$30+IS!J$46)</f>
        <v>5.7240984544934168E-4</v>
      </c>
      <c r="K147" s="336"/>
      <c r="L147" s="66">
        <f>L54/(IS!L$30+IS!L$46)</f>
        <v>0</v>
      </c>
      <c r="M147" s="68">
        <f>M54/(IS!M$30+IS!M$46)</f>
        <v>1.1341083073433515E-4</v>
      </c>
      <c r="N147" s="68">
        <f>N54/(IS!N$30+IS!N$46)</f>
        <v>0</v>
      </c>
      <c r="O147" s="68">
        <f>O54/(IS!O$30+IS!O$46)</f>
        <v>0</v>
      </c>
      <c r="P147" s="336">
        <f>P54/(IS!P$30+IS!P$46)</f>
        <v>0</v>
      </c>
      <c r="Q147" s="66">
        <f>Q54/(IS!Q$30+IS!Q$46)</f>
        <v>0</v>
      </c>
      <c r="R147" s="68">
        <f>R54/(IS!R$30+IS!R$46)</f>
        <v>0</v>
      </c>
      <c r="S147" s="68">
        <f>S54/(IS!S$30+IS!S$46)</f>
        <v>0</v>
      </c>
      <c r="T147" s="68">
        <f>T54/(IS!T$30+IS!T$46)</f>
        <v>0</v>
      </c>
      <c r="U147" s="336">
        <f>U54/(IS!U$30+IS!U$46)</f>
        <v>0</v>
      </c>
      <c r="V147" s="66">
        <f>V54/(IS!V$30+IS!V$46)</f>
        <v>0</v>
      </c>
      <c r="W147" s="68">
        <f>W54/(IS!W$30+IS!W$46)</f>
        <v>0</v>
      </c>
      <c r="X147" s="68">
        <f>X54/(IS!X$30+IS!X$46)</f>
        <v>0</v>
      </c>
      <c r="Y147" s="68">
        <f>Y54/(IS!Y$30+IS!Y$46)</f>
        <v>0</v>
      </c>
      <c r="Z147" s="336">
        <f>Z54/(IS!Z$30+IS!Z$46)</f>
        <v>0</v>
      </c>
      <c r="AA147" s="66">
        <f>AA54/(IS!AA$30+IS!AA$46)</f>
        <v>0</v>
      </c>
      <c r="AB147" s="68">
        <f>AB54/(IS!AB$30+IS!AB$46)</f>
        <v>0</v>
      </c>
      <c r="AC147" s="68">
        <f>AC54/(IS!AC$30+IS!AC$46)</f>
        <v>0</v>
      </c>
      <c r="AD147" s="68">
        <f>AD54/(IS!AD$30+IS!AD$46)</f>
        <v>0</v>
      </c>
      <c r="AE147" s="336">
        <f>AE54/(IS!AE$30+IS!AE$46)</f>
        <v>0</v>
      </c>
      <c r="AF147" s="68">
        <f>AF54/(IS!AF$30+IS!AF$46)</f>
        <v>0</v>
      </c>
      <c r="AG147" s="68">
        <f>AG54/(IS!AG$30+IS!AG$46)</f>
        <v>0</v>
      </c>
      <c r="AH147" s="68">
        <f>AH54/(IS!AH$30+IS!AH$46)</f>
        <v>0</v>
      </c>
      <c r="AI147" s="68">
        <f>AI54/(IS!AI$30+IS!AI$46)</f>
        <v>0</v>
      </c>
      <c r="AJ147" s="336">
        <f>AJ54/(IS!AJ$30+IS!AJ$46)</f>
        <v>0</v>
      </c>
      <c r="AK147" s="68">
        <f>AK54/(IS!AK$30+IS!AK$46)</f>
        <v>0</v>
      </c>
      <c r="AL147" s="68">
        <f>AL54/(IS!AL$30+IS!AL$46)</f>
        <v>0</v>
      </c>
      <c r="AM147" s="68">
        <f>AM54/(IS!AM$30+IS!AM$46)</f>
        <v>0</v>
      </c>
      <c r="AN147" s="68">
        <f>AN54/(IS!AN$30+IS!AN$46)</f>
        <v>0</v>
      </c>
      <c r="AO147" s="336">
        <f>AO54/(IS!AO$30+IS!AO$46)</f>
        <v>0</v>
      </c>
      <c r="AP147" s="68">
        <f>AP54/(IS!AP$30+IS!AP$46)</f>
        <v>0</v>
      </c>
      <c r="AQ147" s="68">
        <f>AQ54/(IS!AQ$30+IS!AQ$46)</f>
        <v>0</v>
      </c>
      <c r="AR147" s="68">
        <f>AR54/(IS!AR$30+IS!AR$46)</f>
        <v>0</v>
      </c>
      <c r="AS147" s="68">
        <f>AS54/(IS!AS$30+IS!AS$46)</f>
        <v>9.7777637423621458E-3</v>
      </c>
      <c r="AT147" s="336">
        <f>AT54/(IS!AT$30+IS!AT$46)</f>
        <v>2.8697922071052027E-3</v>
      </c>
      <c r="AU147" s="68">
        <f>AU54/(IS!AU$30+IS!AU$46)</f>
        <v>1.0243813439776433E-2</v>
      </c>
      <c r="AV147" s="68">
        <f>AV54/(IS!AV$30+IS!AV$46)</f>
        <v>9.4767554083950781E-3</v>
      </c>
      <c r="AW147" s="68">
        <f>AW54/(IS!AW$30+IS!AW$46)</f>
        <v>8.8719099333528055E-3</v>
      </c>
      <c r="AX147" s="68">
        <f>AX54/(IS!AX$30+IS!AX$46)</f>
        <v>8.7621512713796194E-3</v>
      </c>
      <c r="AY147" s="336">
        <f>AY54/(IS!AY$30+IS!AY$46)</f>
        <v>2.6237680444604942E-3</v>
      </c>
      <c r="AZ147" s="68">
        <f>AZ54/(IS!AZ$30+IS!AZ$46)</f>
        <v>2.1739836957993659E-2</v>
      </c>
      <c r="BA147" s="68">
        <f>BA54/(IS!BA$30+IS!BA$46)</f>
        <v>1.9196264510689811E-2</v>
      </c>
      <c r="BB147" s="68">
        <f>BB54/(IS!BB$30+IS!BB$46)</f>
        <v>2.0403431486204496E-2</v>
      </c>
      <c r="BC147" s="68">
        <f>BC54/(IS!BC$30+IS!BC$46)</f>
        <v>2.9840787778391314E-2</v>
      </c>
      <c r="BD147" s="336">
        <f>BD54/(IS!BD$30+IS!BD$46)</f>
        <v>8.3324718771043624E-3</v>
      </c>
      <c r="BE147" s="68">
        <f>BE54/(IS!BE$30+IS!BE$46)</f>
        <v>2.9891209831694073E-2</v>
      </c>
      <c r="BF147" s="68">
        <f>BF54/(IS!BF$30+IS!BF$46)</f>
        <v>3.0047144911444019E-2</v>
      </c>
      <c r="BG147" s="68">
        <f>BG54/(IS!BG$30+IS!BG$46)</f>
        <v>2.6237012953537052E-2</v>
      </c>
      <c r="BH147" s="68">
        <f>BH54/(IS!BH$30+IS!BH$46)</f>
        <v>2.3566290734979015E-2</v>
      </c>
      <c r="BI147" s="336">
        <f>BI54/(IS!BI$30+IS!BI$46)</f>
        <v>6.2782942580592062E-3</v>
      </c>
      <c r="BJ147" s="68">
        <f>BJ54/(IS!BJ$30+IS!BJ$46)</f>
        <v>2.3489808814434372E-2</v>
      </c>
      <c r="BK147" s="68">
        <f>BK54/(IS!BK$30+IS!BK$46)</f>
        <v>2.4555113291909719E-2</v>
      </c>
      <c r="BL147" s="68">
        <f>BL54/(IS!BL$30+IS!BL$46)</f>
        <v>4.6820149842097619E-2</v>
      </c>
      <c r="BM147" s="68">
        <f>BM54/(IS!BM$30+IS!BM$46)</f>
        <v>5.3187957986284957E-2</v>
      </c>
      <c r="BN147" s="336">
        <f>BN54/(IS!BN$30+IS!BN$46)</f>
        <v>1.4708852315549345E-2</v>
      </c>
      <c r="BO147" s="68">
        <f>BO54/(IS!BO$30+IS!BO$46)</f>
        <v>5.9299279719124548E-2</v>
      </c>
      <c r="BP147" s="68">
        <f>BP54/(IS!BP$30+IS!BP$46)</f>
        <v>8.0878939145935205E-2</v>
      </c>
      <c r="BQ147" s="68">
        <f>BQ54/(IS!BQ$30+IS!BQ$46)</f>
        <v>7.065125371342372E-2</v>
      </c>
      <c r="BR147" s="68">
        <f>BR54/(IS!BR$30+IS!BR$46)</f>
        <v>5.9912981510711762E-2</v>
      </c>
      <c r="BS147" s="336">
        <f>BS54/(IS!BS$30+IS!BS$46)</f>
        <v>1.7141715391066903E-2</v>
      </c>
      <c r="BT147" s="68">
        <f>BT54/(IS!BT$30+IS!BT$46)</f>
        <v>6.2488128806237338E-2</v>
      </c>
      <c r="BU147" s="68">
        <f>BU54/(IS!BU$30+IS!BU$46)</f>
        <v>6.2054120283147524E-2</v>
      </c>
      <c r="BV147" s="68">
        <f>BV54/(IS!BV$30+IS!BV$46)</f>
        <v>9.3698868364379809E-2</v>
      </c>
      <c r="BW147" s="68">
        <f>BW54/(IS!BW$30+IS!BW$46)</f>
        <v>0.25722711601292442</v>
      </c>
      <c r="BX147" s="336">
        <f>BX54/(IS!BX$30+IS!BX$46)</f>
        <v>6.987558985104779E-2</v>
      </c>
      <c r="BY147" s="68">
        <f>BY54/(IS!BY$30+IS!BY$46)</f>
        <v>0.2040588574155579</v>
      </c>
      <c r="BZ147" s="68">
        <f>BZ54/(IS!BZ$30+IS!BZ$46)</f>
        <v>0.28397305126263878</v>
      </c>
      <c r="CA147" s="68">
        <f>CA54/(IS!CA$30+IS!CA$46)</f>
        <v>0.16840539372655366</v>
      </c>
      <c r="CB147" s="68">
        <f>CB54/(IS!CB$30+IS!CB$46)</f>
        <v>0.18413570115061967</v>
      </c>
      <c r="CC147" s="336">
        <f>CC54/(IS!CC$30+IS!CC$46)</f>
        <v>4.8975306009297566E-2</v>
      </c>
      <c r="CD147" s="68">
        <f>CD54/(IS!CD$30+IS!CD$46)</f>
        <v>0.15606602251643523</v>
      </c>
      <c r="CE147" s="68">
        <f>CE54/(IS!CE$30+IS!CE$46)</f>
        <v>0.18649781426942896</v>
      </c>
      <c r="CF147" s="68">
        <f>CF54/(IS!CF$30+IS!CF$46)</f>
        <v>0.1917203865983452</v>
      </c>
      <c r="CG147" s="68">
        <f>CG54/(IS!CG$30+IS!CG$46)</f>
        <v>0.14845490677859086</v>
      </c>
      <c r="CH147" s="336">
        <f>CH54/(IS!CH$30+IS!CH$46)</f>
        <v>3.9508139364500587E-2</v>
      </c>
      <c r="CI147" s="68">
        <f>CI54/(IS!CI$30+IS!CI$46)</f>
        <v>6.9429328562969628E-2</v>
      </c>
      <c r="CJ147" s="68">
        <f>CJ54/(IS!CJ$30+IS!CJ$46)</f>
        <v>5.4797283600753095E-2</v>
      </c>
      <c r="CK147" s="68">
        <f>CK54/(IS!CK$30+IS!CK$46)</f>
        <v>4.1317173864485378E-2</v>
      </c>
      <c r="CL147" s="68">
        <f>CL54/(IS!CL$30+IS!CL$46)</f>
        <v>8.9283048705355098E-2</v>
      </c>
      <c r="CM147" s="336">
        <f>CM54/(IS!CM$30+IS!CM$46)</f>
        <v>2.4086584792454256E-2</v>
      </c>
      <c r="CN147" s="68">
        <f>CN54/(IS!CN$30+IS!CN$46)</f>
        <v>6.67452730871268E-2</v>
      </c>
      <c r="CO147" s="68">
        <f>CO54/(IS!CO$30+IS!CO$46)</f>
        <v>6.1712090286949212E-2</v>
      </c>
      <c r="CP147" s="68">
        <f>CP54/(IS!CP$30+IS!CP$46)</f>
        <v>6.9856606088490147E-2</v>
      </c>
      <c r="CQ147" s="68">
        <f>CQ54/(IS!CQ$30+IS!CQ$46)</f>
        <v>7.1620649168655084E-2</v>
      </c>
      <c r="CR147" s="336">
        <f>CR54/(IS!CR$30+IS!CR$46)</f>
        <v>1.8682263211452395E-2</v>
      </c>
      <c r="CS147" s="68">
        <f>CS54/(IS!CS$30+IS!CS$46)</f>
        <v>7.8899927122089666E-2</v>
      </c>
      <c r="CT147" s="68">
        <f>CT54/(IS!CT$30+IS!CT$46)</f>
        <v>0.1151042239073891</v>
      </c>
      <c r="CU147" s="68">
        <f>CU54/(IS!CU$30+IS!CU$46)</f>
        <v>0.1053003034794269</v>
      </c>
      <c r="CV147" s="68">
        <f>CV54/(IS!CV$30+IS!CV$46)</f>
        <v>0.10932588194201887</v>
      </c>
      <c r="CW147" s="336">
        <f>CW54/(IS!CW$30+IS!CW$46)</f>
        <v>2.8367894431554522E-2</v>
      </c>
      <c r="CX147" s="68">
        <f>CX54/(IS!CX$30+IS!CX$46)</f>
        <v>9.6356826693905342E-2</v>
      </c>
      <c r="CY147" s="68">
        <f>CY54/(IS!CY$30+IS!CY$46)</f>
        <v>9.5301125082726673E-2</v>
      </c>
      <c r="CZ147" s="68">
        <f>CZ54/(IS!CZ$30+IS!CZ$46)</f>
        <v>8.8665151023059441E-2</v>
      </c>
      <c r="DA147" s="68">
        <f>DA54/(IS!DA$30+IS!DA$46)</f>
        <v>0.27807999999999999</v>
      </c>
      <c r="DB147" s="336">
        <f>DB54/(IS!DB$30+IS!DB$46)</f>
        <v>7.1446189262517473E-2</v>
      </c>
      <c r="DC147" s="68">
        <f>DC54/(IS!DC$30+IS!DC$46)</f>
        <v>0.27601364672376094</v>
      </c>
      <c r="DD147" s="68">
        <f>DD54/(IS!DD$30+IS!DD$46)</f>
        <v>0.26397757341618228</v>
      </c>
      <c r="DE147" s="68">
        <f>DE54/(IS!DE$30+IS!DE$46)</f>
        <v>0.25526848832604548</v>
      </c>
      <c r="DF147" s="68">
        <f>DF54/(IS!DF$30+IS!DF$46)</f>
        <v>0.24917142211644142</v>
      </c>
      <c r="DG147" s="336">
        <f>DG54/(IS!DG$30+IS!DG$46)</f>
        <v>6.3762217533534463E-2</v>
      </c>
      <c r="DH147" s="68">
        <f>DH54/(IS!DH$30+IS!DH$46)</f>
        <v>0.24584715604157545</v>
      </c>
      <c r="DI147" s="68">
        <f>DI54/(IS!DI$30+IS!DI$46)</f>
        <v>0.23395088595577587</v>
      </c>
      <c r="DJ147" s="68">
        <f>DJ54/(IS!DJ$30+IS!DJ$46)</f>
        <v>0.2254306490942444</v>
      </c>
      <c r="DK147" s="68">
        <f>DK54/(IS!DK$30+IS!DK$46)</f>
        <v>0.21840569611720986</v>
      </c>
      <c r="DL147" s="336">
        <f>DL54/(IS!DL$30+IS!DL$46)</f>
        <v>5.6287361323758674E-2</v>
      </c>
      <c r="DM147" s="68">
        <f>DM54/(IS!DM$30+IS!DM$46)</f>
        <v>0.2134400990926357</v>
      </c>
      <c r="DN147" s="68">
        <f>DN54/(IS!DN$30+IS!DN$46)</f>
        <v>0.20336532931867365</v>
      </c>
      <c r="DO147" s="68">
        <f>DO54/(IS!DO$30+IS!DO$46)</f>
        <v>0.19546326340146825</v>
      </c>
      <c r="DP147" s="68">
        <f>DP54/(IS!DP$30+IS!DP$46)</f>
        <v>0.18937073629732593</v>
      </c>
      <c r="DQ147" s="336">
        <f>DQ54/(IS!DQ$30+IS!DQ$46)</f>
        <v>4.8772423789221385E-2</v>
      </c>
      <c r="DR147" s="32"/>
      <c r="DS147" s="57"/>
      <c r="DT147"/>
      <c r="DU147"/>
      <c r="DV147"/>
      <c r="DW147"/>
      <c r="DX147"/>
      <c r="DY147"/>
    </row>
    <row r="148" spans="1:129">
      <c r="A148" s="1"/>
      <c r="B148" s="6"/>
      <c r="C148" s="7"/>
      <c r="D148" s="7"/>
      <c r="E148" s="7"/>
      <c r="F148" s="7"/>
      <c r="G148" s="6"/>
      <c r="H148" s="7"/>
      <c r="I148" s="7"/>
      <c r="J148" s="8"/>
      <c r="K148" s="815"/>
      <c r="L148" s="6"/>
      <c r="M148" s="7"/>
      <c r="N148" s="7"/>
      <c r="O148" s="7"/>
      <c r="P148" s="815"/>
      <c r="Q148" s="6"/>
      <c r="R148" s="7"/>
      <c r="S148" s="7"/>
      <c r="T148" s="8"/>
      <c r="U148" s="815"/>
      <c r="V148" s="7"/>
      <c r="W148" s="7"/>
      <c r="X148" s="7"/>
      <c r="Y148" s="8"/>
      <c r="Z148" s="815"/>
      <c r="AA148" s="7"/>
      <c r="AB148" s="7"/>
      <c r="AC148" s="7"/>
      <c r="AD148" s="7"/>
      <c r="AE148" s="815"/>
      <c r="AF148" s="7"/>
      <c r="AG148" s="7"/>
      <c r="AH148" s="7"/>
      <c r="AI148" s="7"/>
      <c r="AJ148" s="815"/>
      <c r="AK148" s="7"/>
      <c r="AL148" s="7"/>
      <c r="AM148" s="7"/>
      <c r="AN148" s="7"/>
      <c r="AO148" s="815"/>
      <c r="AP148" s="7"/>
      <c r="AQ148" s="7"/>
      <c r="AR148" s="7"/>
      <c r="AS148" s="7"/>
      <c r="AT148" s="815"/>
      <c r="AU148" s="7"/>
      <c r="AV148" s="7"/>
      <c r="AW148" s="7"/>
      <c r="AX148" s="7"/>
      <c r="AY148" s="815"/>
      <c r="AZ148" s="7"/>
      <c r="BA148" s="7"/>
      <c r="BB148" s="7"/>
      <c r="BC148" s="7"/>
      <c r="BD148" s="815"/>
      <c r="BE148" s="7"/>
      <c r="BF148" s="7"/>
      <c r="BG148" s="7"/>
      <c r="BH148" s="7"/>
      <c r="BI148" s="815"/>
      <c r="BJ148" s="7"/>
      <c r="BK148" s="7"/>
      <c r="BL148" s="7"/>
      <c r="BM148" s="7"/>
      <c r="BN148" s="815"/>
      <c r="BO148" s="7"/>
      <c r="BP148" s="7"/>
      <c r="BQ148" s="7"/>
      <c r="BR148" s="7"/>
      <c r="BS148" s="815"/>
      <c r="BT148" s="7"/>
      <c r="BU148" s="7"/>
      <c r="BV148" s="7"/>
      <c r="BW148" s="7"/>
      <c r="BX148" s="815"/>
      <c r="BY148" s="7"/>
      <c r="BZ148" s="7"/>
      <c r="CA148" s="7"/>
      <c r="CB148" s="7"/>
      <c r="CC148" s="815"/>
      <c r="CD148" s="7"/>
      <c r="CE148" s="7"/>
      <c r="CF148" s="7"/>
      <c r="CG148" s="7"/>
      <c r="CH148" s="815"/>
      <c r="CI148" s="7"/>
      <c r="CJ148" s="7"/>
      <c r="CK148" s="7"/>
      <c r="CL148" s="7"/>
      <c r="CM148" s="815"/>
      <c r="CN148" s="7"/>
      <c r="CO148" s="7"/>
      <c r="CP148" s="7"/>
      <c r="CQ148" s="7"/>
      <c r="CR148" s="815"/>
      <c r="CS148" s="7"/>
      <c r="CT148" s="7"/>
      <c r="CU148" s="7"/>
      <c r="CV148" s="7"/>
      <c r="CW148" s="815"/>
      <c r="CX148" s="7"/>
      <c r="CY148" s="7"/>
      <c r="CZ148" s="7"/>
      <c r="DA148" s="7"/>
      <c r="DB148" s="815"/>
      <c r="DC148" s="7"/>
      <c r="DD148" s="7"/>
      <c r="DE148" s="7"/>
      <c r="DF148" s="7"/>
      <c r="DG148" s="815"/>
      <c r="DH148" s="7"/>
      <c r="DI148" s="7"/>
      <c r="DJ148" s="7"/>
      <c r="DK148" s="7"/>
      <c r="DL148" s="815"/>
      <c r="DM148" s="7"/>
      <c r="DN148" s="7"/>
      <c r="DO148" s="7"/>
      <c r="DP148" s="7"/>
      <c r="DQ148" s="815"/>
      <c r="DR148" s="3"/>
      <c r="DS148" s="112"/>
    </row>
    <row r="149" spans="1:129">
      <c r="A149" s="1"/>
      <c r="B149" s="4"/>
      <c r="C149" s="4"/>
      <c r="D149" s="4"/>
      <c r="E149" s="4"/>
      <c r="F149" s="4"/>
      <c r="G149" s="4"/>
      <c r="H149" s="4"/>
      <c r="I149" s="4"/>
      <c r="J149" s="4"/>
      <c r="K149" s="352"/>
      <c r="L149" s="4"/>
      <c r="M149" s="4"/>
      <c r="N149" s="4"/>
      <c r="O149" s="4"/>
      <c r="P149" s="352"/>
      <c r="Q149" s="4"/>
      <c r="R149" s="4"/>
      <c r="S149" s="4"/>
      <c r="T149" s="4"/>
      <c r="U149" s="352"/>
      <c r="V149" s="4"/>
      <c r="W149" s="4"/>
      <c r="X149" s="4"/>
      <c r="Y149" s="4"/>
      <c r="Z149" s="352"/>
      <c r="AA149" s="4"/>
      <c r="AB149" s="4"/>
      <c r="AC149" s="4"/>
      <c r="AD149" s="4"/>
      <c r="AE149" s="352"/>
      <c r="AF149" s="4"/>
      <c r="AG149" s="4"/>
      <c r="AH149" s="4"/>
      <c r="AI149" s="4"/>
      <c r="AJ149" s="352"/>
      <c r="AK149" s="4"/>
      <c r="AL149" s="4"/>
      <c r="AM149" s="4"/>
      <c r="AN149" s="4"/>
      <c r="AO149" s="352"/>
      <c r="AP149" s="4"/>
      <c r="AQ149" s="4"/>
      <c r="AR149" s="4"/>
      <c r="AS149" s="4"/>
      <c r="AT149" s="352"/>
      <c r="AU149" s="4"/>
      <c r="AV149" s="4"/>
      <c r="AW149" s="4"/>
      <c r="AX149" s="4"/>
      <c r="AY149" s="352"/>
      <c r="AZ149" s="4"/>
      <c r="BA149" s="4"/>
      <c r="BB149" s="4"/>
      <c r="BC149" s="4"/>
      <c r="BD149" s="352"/>
      <c r="BE149" s="4"/>
      <c r="BF149" s="4"/>
      <c r="BG149" s="4"/>
      <c r="BH149" s="4"/>
      <c r="BI149" s="352"/>
      <c r="BJ149" s="4"/>
      <c r="BK149" s="4"/>
      <c r="BL149" s="4"/>
      <c r="BM149" s="4"/>
      <c r="BN149" s="352"/>
      <c r="BO149" s="4"/>
      <c r="BP149" s="4"/>
      <c r="BQ149" s="4"/>
      <c r="BR149" s="4"/>
      <c r="BS149" s="352"/>
      <c r="BT149" s="4"/>
      <c r="BU149" s="4"/>
      <c r="BV149" s="4"/>
      <c r="BW149" s="4"/>
      <c r="BX149" s="352"/>
      <c r="BY149" s="4"/>
      <c r="BZ149" s="4"/>
      <c r="CA149" s="4"/>
      <c r="CB149" s="4"/>
      <c r="CC149" s="352"/>
      <c r="CD149" s="4"/>
      <c r="CE149" s="4"/>
      <c r="CF149" s="4"/>
      <c r="CG149" s="4"/>
      <c r="CH149" s="352"/>
      <c r="CI149" s="4"/>
      <c r="CJ149" s="4"/>
      <c r="CK149" s="4"/>
      <c r="CL149" s="4"/>
      <c r="CM149" s="352"/>
      <c r="CN149" s="4"/>
      <c r="CO149" s="4"/>
      <c r="CP149" s="4"/>
      <c r="CQ149" s="4"/>
      <c r="CR149" s="352"/>
      <c r="CS149" s="4"/>
      <c r="CT149" s="549"/>
      <c r="CU149" s="549"/>
      <c r="CV149" s="907"/>
      <c r="CW149" s="352"/>
      <c r="CX149" s="4"/>
      <c r="CY149" s="4"/>
      <c r="CZ149" s="4"/>
      <c r="DA149" s="4"/>
      <c r="DB149" s="352"/>
      <c r="DC149" s="4"/>
      <c r="DD149" s="4"/>
      <c r="DE149" s="4"/>
      <c r="DF149" s="4"/>
      <c r="DG149" s="352"/>
      <c r="DH149" s="4"/>
      <c r="DI149" s="4"/>
      <c r="DJ149" s="4"/>
      <c r="DK149" s="4"/>
      <c r="DL149" s="352"/>
      <c r="DM149" s="4"/>
      <c r="DN149" s="4"/>
      <c r="DO149" s="4"/>
      <c r="DP149" s="4"/>
      <c r="DQ149" s="352"/>
      <c r="DR149" s="3"/>
      <c r="DS149" s="112"/>
    </row>
    <row r="150" spans="1:129">
      <c r="A150" s="1"/>
      <c r="B150" s="197" t="s">
        <v>227</v>
      </c>
      <c r="C150" s="47"/>
      <c r="D150" s="47"/>
      <c r="E150" s="47"/>
      <c r="F150" s="47"/>
      <c r="G150" s="47"/>
      <c r="H150" s="47"/>
      <c r="I150" s="47"/>
      <c r="J150" s="47"/>
      <c r="K150" s="817"/>
      <c r="L150" s="47"/>
      <c r="M150" s="47"/>
      <c r="N150" s="47"/>
      <c r="O150" s="47"/>
      <c r="P150" s="817"/>
      <c r="Q150" s="47"/>
      <c r="R150" s="47"/>
      <c r="S150" s="47"/>
      <c r="T150" s="47"/>
      <c r="U150" s="817"/>
      <c r="V150" s="47"/>
      <c r="W150" s="47"/>
      <c r="X150" s="47"/>
      <c r="Y150" s="47"/>
      <c r="Z150" s="817"/>
      <c r="AA150" s="47"/>
      <c r="AB150" s="47"/>
      <c r="AC150" s="47"/>
      <c r="AD150" s="47"/>
      <c r="AE150" s="817"/>
      <c r="AF150" s="47"/>
      <c r="AG150" s="47"/>
      <c r="AH150" s="47"/>
      <c r="AI150" s="47"/>
      <c r="AJ150" s="817"/>
      <c r="AK150" s="47"/>
      <c r="AL150" s="47"/>
      <c r="AM150" s="47"/>
      <c r="AN150" s="47"/>
      <c r="AO150" s="817"/>
      <c r="AP150" s="47"/>
      <c r="AQ150" s="47"/>
      <c r="AR150" s="47"/>
      <c r="AS150" s="47"/>
      <c r="AT150" s="817"/>
      <c r="AU150" s="47"/>
      <c r="AV150" s="47"/>
      <c r="AW150" s="47"/>
      <c r="AX150" s="47"/>
      <c r="AY150" s="817"/>
      <c r="AZ150" s="47"/>
      <c r="BA150" s="47"/>
      <c r="BB150" s="47"/>
      <c r="BC150" s="47"/>
      <c r="BD150" s="817"/>
      <c r="BE150" s="47"/>
      <c r="BF150" s="47"/>
      <c r="BG150" s="47"/>
      <c r="BH150" s="47"/>
      <c r="BI150" s="817"/>
      <c r="BJ150" s="47"/>
      <c r="BK150" s="47"/>
      <c r="BL150" s="47"/>
      <c r="BM150" s="47"/>
      <c r="BN150" s="817"/>
      <c r="BO150" s="47"/>
      <c r="BP150" s="47"/>
      <c r="BQ150" s="47"/>
      <c r="BR150" s="47"/>
      <c r="BS150" s="817"/>
      <c r="BT150" s="47"/>
      <c r="BU150" s="47"/>
      <c r="BV150" s="47"/>
      <c r="BW150" s="47"/>
      <c r="BX150" s="817"/>
      <c r="BY150" s="47"/>
      <c r="BZ150" s="47"/>
      <c r="CA150" s="47"/>
      <c r="CB150" s="47"/>
      <c r="CC150" s="817"/>
      <c r="CD150" s="47"/>
      <c r="CE150" s="47"/>
      <c r="CF150" s="47"/>
      <c r="CG150" s="47"/>
      <c r="CH150" s="817"/>
      <c r="CI150" s="47"/>
      <c r="CJ150" s="47"/>
      <c r="CK150" s="47"/>
      <c r="CL150" s="47"/>
      <c r="CM150" s="817"/>
      <c r="CN150" s="47"/>
      <c r="CO150" s="47"/>
      <c r="CP150" s="47"/>
      <c r="CQ150" s="47"/>
      <c r="CR150" s="817"/>
      <c r="CS150" s="47"/>
      <c r="CT150" s="47"/>
      <c r="CU150" s="47"/>
      <c r="CV150" s="47"/>
      <c r="CW150" s="817"/>
      <c r="CX150" s="47"/>
      <c r="CY150" s="47"/>
      <c r="CZ150" s="47"/>
      <c r="DA150" s="47"/>
      <c r="DB150" s="817"/>
      <c r="DC150" s="47"/>
      <c r="DD150" s="47"/>
      <c r="DE150" s="47"/>
      <c r="DF150" s="47"/>
      <c r="DG150" s="817"/>
      <c r="DH150" s="47"/>
      <c r="DI150" s="47"/>
      <c r="DJ150" s="47"/>
      <c r="DK150" s="47"/>
      <c r="DL150" s="817"/>
      <c r="DM150" s="47"/>
      <c r="DN150" s="47"/>
      <c r="DO150" s="47"/>
      <c r="DP150" s="47"/>
      <c r="DQ150" s="817"/>
      <c r="DR150" s="3"/>
      <c r="DS150" s="112"/>
    </row>
    <row r="151" spans="1:129">
      <c r="A151" s="1"/>
      <c r="B151" s="3" t="s">
        <v>273</v>
      </c>
      <c r="C151" s="4"/>
      <c r="D151" s="4"/>
      <c r="E151" s="4"/>
      <c r="F151" s="4"/>
      <c r="G151" s="4"/>
      <c r="H151" s="4"/>
      <c r="I151" s="4"/>
      <c r="J151" s="4"/>
      <c r="K151" s="352"/>
      <c r="L151" s="4"/>
      <c r="M151" s="4"/>
      <c r="N151" s="4"/>
      <c r="O151" s="4"/>
      <c r="P151" s="352"/>
      <c r="Q151" s="4"/>
      <c r="R151" s="4"/>
      <c r="S151" s="4"/>
      <c r="T151" s="4"/>
      <c r="U151" s="352"/>
      <c r="V151" s="4"/>
      <c r="W151" s="4"/>
      <c r="X151" s="4"/>
      <c r="Y151" s="4"/>
      <c r="Z151" s="352"/>
      <c r="AA151" s="4"/>
      <c r="AB151" s="4"/>
      <c r="AC151" s="4"/>
      <c r="AD151" s="4"/>
      <c r="AE151" s="352"/>
      <c r="AF151" s="4"/>
      <c r="AG151" s="4"/>
      <c r="AH151" s="4"/>
      <c r="AI151" s="4"/>
      <c r="AJ151" s="352"/>
      <c r="AK151" s="4"/>
      <c r="AL151" s="4"/>
      <c r="AM151" s="4"/>
      <c r="AN151" s="4"/>
      <c r="AO151" s="352"/>
      <c r="AP151" s="4"/>
      <c r="AQ151" s="4"/>
      <c r="AR151" s="4"/>
      <c r="AS151" s="4"/>
      <c r="AT151" s="352"/>
      <c r="AU151" s="4"/>
      <c r="AV151" s="4"/>
      <c r="AW151" s="4"/>
      <c r="AX151" s="4"/>
      <c r="AY151" s="352"/>
      <c r="AZ151" s="4"/>
      <c r="BA151" s="4"/>
      <c r="BB151" s="4"/>
      <c r="BC151" s="4"/>
      <c r="BD151" s="352"/>
      <c r="BE151" s="4"/>
      <c r="BF151" s="4"/>
      <c r="BG151" s="4"/>
      <c r="BH151" s="4"/>
      <c r="BI151" s="352"/>
      <c r="BJ151" s="4"/>
      <c r="BK151" s="4"/>
      <c r="BL151" s="4"/>
      <c r="BM151" s="4"/>
      <c r="BN151" s="352"/>
      <c r="BO151" s="4"/>
      <c r="BP151" s="4"/>
      <c r="BQ151" s="4"/>
      <c r="BR151" s="4"/>
      <c r="BS151" s="352"/>
      <c r="BT151" s="4"/>
      <c r="BU151" s="4"/>
      <c r="BV151" s="4"/>
      <c r="BW151" s="4"/>
      <c r="BX151" s="352"/>
      <c r="BY151" s="4"/>
      <c r="BZ151" s="4"/>
      <c r="CA151" s="4"/>
      <c r="CB151" s="4"/>
      <c r="CC151" s="352"/>
      <c r="CD151" s="4"/>
      <c r="CE151" s="4"/>
      <c r="CF151" s="4"/>
      <c r="CG151" s="4"/>
      <c r="CH151" s="352"/>
      <c r="CI151" s="478">
        <v>0</v>
      </c>
      <c r="CJ151" s="478">
        <f t="shared" ref="CJ151:CY151" si="481">+CI154</f>
        <v>0</v>
      </c>
      <c r="CK151" s="478">
        <f t="shared" si="481"/>
        <v>0</v>
      </c>
      <c r="CL151" s="478">
        <f t="shared" si="481"/>
        <v>0</v>
      </c>
      <c r="CM151" s="352">
        <f>+CI151</f>
        <v>0</v>
      </c>
      <c r="CN151" s="478">
        <f>+CL154</f>
        <v>1637.502</v>
      </c>
      <c r="CO151" s="478">
        <f t="shared" si="481"/>
        <v>1075</v>
      </c>
      <c r="CP151" s="478">
        <f t="shared" si="481"/>
        <v>1062.5</v>
      </c>
      <c r="CQ151" s="478">
        <f t="shared" si="481"/>
        <v>950</v>
      </c>
      <c r="CR151" s="352">
        <f>+CM154</f>
        <v>1637.502</v>
      </c>
      <c r="CS151" s="478">
        <f>+CQ154</f>
        <v>1287.5</v>
      </c>
      <c r="CT151" s="478">
        <f t="shared" si="481"/>
        <v>1020.9</v>
      </c>
      <c r="CU151" s="478">
        <f t="shared" si="481"/>
        <v>908.8</v>
      </c>
      <c r="CV151" s="478">
        <f t="shared" si="481"/>
        <v>896.6</v>
      </c>
      <c r="CW151" s="352">
        <f>+CR154</f>
        <v>1287.5</v>
      </c>
      <c r="CX151" s="478">
        <f>+CV154</f>
        <v>878</v>
      </c>
      <c r="CY151" s="478">
        <f t="shared" si="481"/>
        <v>1209</v>
      </c>
      <c r="CZ151" s="478">
        <f>+CY154</f>
        <v>991</v>
      </c>
      <c r="DA151" s="478">
        <f>+CZ154</f>
        <v>823</v>
      </c>
      <c r="DB151" s="352">
        <f>+CW154</f>
        <v>878</v>
      </c>
      <c r="DC151" s="478">
        <f>+DA154</f>
        <v>873</v>
      </c>
      <c r="DD151" s="478">
        <f t="shared" ref="DD151:DK151" si="482">+DC154</f>
        <v>873</v>
      </c>
      <c r="DE151" s="478">
        <f t="shared" si="482"/>
        <v>848</v>
      </c>
      <c r="DF151" s="478">
        <f t="shared" si="482"/>
        <v>848</v>
      </c>
      <c r="DG151" s="352">
        <f>+DB154</f>
        <v>873</v>
      </c>
      <c r="DH151" s="478">
        <f>+DF154</f>
        <v>823</v>
      </c>
      <c r="DI151" s="478">
        <f t="shared" si="482"/>
        <v>823</v>
      </c>
      <c r="DJ151" s="478">
        <f t="shared" si="482"/>
        <v>798</v>
      </c>
      <c r="DK151" s="478">
        <f t="shared" si="482"/>
        <v>798</v>
      </c>
      <c r="DL151" s="352">
        <f>+DG154</f>
        <v>823</v>
      </c>
      <c r="DM151" s="478">
        <f>+DK154</f>
        <v>773</v>
      </c>
      <c r="DN151" s="478">
        <f t="shared" ref="DN151" si="483">+DM154</f>
        <v>773</v>
      </c>
      <c r="DO151" s="478">
        <f t="shared" ref="DO151" si="484">+DN154</f>
        <v>748</v>
      </c>
      <c r="DP151" s="478">
        <f t="shared" ref="DP151" si="485">+DO154</f>
        <v>748</v>
      </c>
      <c r="DQ151" s="352">
        <f>+DL154</f>
        <v>773</v>
      </c>
      <c r="DR151" s="3"/>
      <c r="DS151" s="112"/>
    </row>
    <row r="152" spans="1:129" hidden="1" outlineLevel="1">
      <c r="A152" s="1"/>
      <c r="B152" s="3" t="s">
        <v>274</v>
      </c>
      <c r="C152" s="4"/>
      <c r="D152" s="4"/>
      <c r="E152" s="4"/>
      <c r="F152" s="4"/>
      <c r="G152" s="4"/>
      <c r="H152" s="4"/>
      <c r="I152" s="4"/>
      <c r="J152" s="4"/>
      <c r="K152" s="352"/>
      <c r="L152" s="4"/>
      <c r="M152" s="4"/>
      <c r="N152" s="4"/>
      <c r="O152" s="4"/>
      <c r="P152" s="352"/>
      <c r="Q152" s="4"/>
      <c r="R152" s="4"/>
      <c r="S152" s="4"/>
      <c r="T152" s="4"/>
      <c r="U152" s="352"/>
      <c r="V152" s="4"/>
      <c r="W152" s="4"/>
      <c r="X152" s="4"/>
      <c r="Y152" s="4"/>
      <c r="Z152" s="352"/>
      <c r="AA152" s="4"/>
      <c r="AB152" s="4"/>
      <c r="AC152" s="4"/>
      <c r="AD152" s="4"/>
      <c r="AE152" s="352"/>
      <c r="AF152" s="4"/>
      <c r="AG152" s="4"/>
      <c r="AH152" s="4"/>
      <c r="AI152" s="4"/>
      <c r="AJ152" s="352"/>
      <c r="AK152" s="4"/>
      <c r="AL152" s="4"/>
      <c r="AM152" s="4"/>
      <c r="AN152" s="4"/>
      <c r="AO152" s="352"/>
      <c r="AP152" s="4"/>
      <c r="AQ152" s="4"/>
      <c r="AR152" s="4"/>
      <c r="AS152" s="4"/>
      <c r="AT152" s="352"/>
      <c r="AU152" s="4"/>
      <c r="AV152" s="4"/>
      <c r="AW152" s="4"/>
      <c r="AX152" s="4"/>
      <c r="AY152" s="352"/>
      <c r="AZ152" s="4"/>
      <c r="BA152" s="4"/>
      <c r="BB152" s="4"/>
      <c r="BC152" s="4"/>
      <c r="BD152" s="352"/>
      <c r="BE152" s="4"/>
      <c r="BF152" s="4"/>
      <c r="BG152" s="4"/>
      <c r="BH152" s="4"/>
      <c r="BI152" s="352"/>
      <c r="BJ152" s="4"/>
      <c r="BK152" s="4"/>
      <c r="BL152" s="4"/>
      <c r="BM152" s="4"/>
      <c r="BN152" s="352"/>
      <c r="BO152" s="4"/>
      <c r="BP152" s="4"/>
      <c r="BQ152" s="4"/>
      <c r="BR152" s="4"/>
      <c r="BS152" s="352"/>
      <c r="BT152" s="4"/>
      <c r="BU152" s="4"/>
      <c r="BV152" s="4"/>
      <c r="BW152" s="4"/>
      <c r="BX152" s="352"/>
      <c r="BY152" s="4"/>
      <c r="BZ152" s="4"/>
      <c r="CA152" s="4"/>
      <c r="CB152" s="4"/>
      <c r="CC152" s="352"/>
      <c r="CD152" s="4"/>
      <c r="CE152" s="4"/>
      <c r="CF152" s="4"/>
      <c r="CG152" s="4"/>
      <c r="CH152" s="352"/>
      <c r="CI152" s="478">
        <v>0</v>
      </c>
      <c r="CJ152" s="478">
        <v>0</v>
      </c>
      <c r="CK152" s="478">
        <v>0</v>
      </c>
      <c r="CL152" s="480">
        <f>+CL154-CL151-CL153</f>
        <v>1637.502</v>
      </c>
      <c r="CM152" s="352">
        <f>+SUM(CI152:CL152)</f>
        <v>1637.502</v>
      </c>
      <c r="CN152" s="478">
        <v>0</v>
      </c>
      <c r="CO152" s="478">
        <v>0</v>
      </c>
      <c r="CP152" s="478">
        <v>0</v>
      </c>
      <c r="CQ152" s="478">
        <v>0</v>
      </c>
      <c r="CR152" s="352">
        <f>+SUM(CN152:CQ152)</f>
        <v>0</v>
      </c>
      <c r="CS152" s="478">
        <v>0</v>
      </c>
      <c r="CT152" s="478">
        <v>0</v>
      </c>
      <c r="CU152" s="478">
        <v>0</v>
      </c>
      <c r="CV152" s="478">
        <v>0</v>
      </c>
      <c r="CW152" s="352">
        <f>+SUM(CS152:CV152)</f>
        <v>0</v>
      </c>
      <c r="CX152" s="478">
        <v>0</v>
      </c>
      <c r="CY152" s="478">
        <v>0</v>
      </c>
      <c r="CZ152" s="478">
        <v>0</v>
      </c>
      <c r="DA152" s="478">
        <v>0</v>
      </c>
      <c r="DB152" s="352">
        <f>+SUM(CX152:DA152)</f>
        <v>0</v>
      </c>
      <c r="DC152" s="478">
        <v>0</v>
      </c>
      <c r="DD152" s="478">
        <v>0</v>
      </c>
      <c r="DE152" s="478">
        <v>0</v>
      </c>
      <c r="DF152" s="478">
        <v>0</v>
      </c>
      <c r="DG152" s="352">
        <f>+SUM(DC152:DF152)</f>
        <v>0</v>
      </c>
      <c r="DH152" s="478">
        <v>0</v>
      </c>
      <c r="DI152" s="478">
        <v>0</v>
      </c>
      <c r="DJ152" s="478">
        <v>0</v>
      </c>
      <c r="DK152" s="478">
        <v>0</v>
      </c>
      <c r="DL152" s="352">
        <f>+SUM(DH152:DK152)</f>
        <v>0</v>
      </c>
      <c r="DM152" s="478">
        <v>0</v>
      </c>
      <c r="DN152" s="478">
        <v>0</v>
      </c>
      <c r="DO152" s="478">
        <v>0</v>
      </c>
      <c r="DP152" s="478">
        <v>0</v>
      </c>
      <c r="DQ152" s="352">
        <f>+SUM(DM152:DP152)</f>
        <v>0</v>
      </c>
      <c r="DR152" s="3"/>
      <c r="DS152" s="112"/>
    </row>
    <row r="153" spans="1:129" collapsed="1">
      <c r="A153" s="1"/>
      <c r="B153" s="3" t="s">
        <v>315</v>
      </c>
      <c r="C153" s="4"/>
      <c r="D153" s="4"/>
      <c r="E153" s="4"/>
      <c r="F153" s="4"/>
      <c r="G153" s="4"/>
      <c r="H153" s="4"/>
      <c r="I153" s="4"/>
      <c r="J153" s="4"/>
      <c r="K153" s="352"/>
      <c r="L153" s="4"/>
      <c r="M153" s="4"/>
      <c r="N153" s="4"/>
      <c r="O153" s="4"/>
      <c r="P153" s="352"/>
      <c r="Q153" s="4"/>
      <c r="R153" s="4"/>
      <c r="S153" s="4"/>
      <c r="T153" s="4"/>
      <c r="U153" s="352"/>
      <c r="V153" s="4"/>
      <c r="W153" s="4"/>
      <c r="X153" s="4"/>
      <c r="Y153" s="4"/>
      <c r="Z153" s="352"/>
      <c r="AA153" s="4"/>
      <c r="AB153" s="4"/>
      <c r="AC153" s="4"/>
      <c r="AD153" s="4"/>
      <c r="AE153" s="352"/>
      <c r="AF153" s="4"/>
      <c r="AG153" s="4"/>
      <c r="AH153" s="4"/>
      <c r="AI153" s="4"/>
      <c r="AJ153" s="352"/>
      <c r="AK153" s="4"/>
      <c r="AL153" s="4"/>
      <c r="AM153" s="4"/>
      <c r="AN153" s="4"/>
      <c r="AO153" s="352"/>
      <c r="AP153" s="4"/>
      <c r="AQ153" s="4"/>
      <c r="AR153" s="4"/>
      <c r="AS153" s="4"/>
      <c r="AT153" s="352"/>
      <c r="AU153" s="4"/>
      <c r="AV153" s="4"/>
      <c r="AW153" s="4"/>
      <c r="AX153" s="4"/>
      <c r="AY153" s="352"/>
      <c r="AZ153" s="4"/>
      <c r="BA153" s="4"/>
      <c r="BB153" s="4"/>
      <c r="BC153" s="4"/>
      <c r="BD153" s="352"/>
      <c r="BE153" s="4"/>
      <c r="BF153" s="4"/>
      <c r="BG153" s="4"/>
      <c r="BH153" s="4"/>
      <c r="BI153" s="352"/>
      <c r="BJ153" s="4"/>
      <c r="BK153" s="4"/>
      <c r="BL153" s="4"/>
      <c r="BM153" s="4"/>
      <c r="BN153" s="352"/>
      <c r="BO153" s="4"/>
      <c r="BP153" s="4"/>
      <c r="BQ153" s="4"/>
      <c r="BR153" s="4"/>
      <c r="BS153" s="352"/>
      <c r="BT153" s="4"/>
      <c r="BU153" s="4"/>
      <c r="BV153" s="4"/>
      <c r="BW153" s="4"/>
      <c r="BX153" s="352"/>
      <c r="BY153" s="4"/>
      <c r="BZ153" s="4"/>
      <c r="CA153" s="4"/>
      <c r="CB153" s="4"/>
      <c r="CC153" s="352"/>
      <c r="CD153" s="4"/>
      <c r="CE153" s="4"/>
      <c r="CF153" s="4"/>
      <c r="CG153" s="4"/>
      <c r="CH153" s="352"/>
      <c r="CI153" s="478">
        <v>0</v>
      </c>
      <c r="CJ153" s="478">
        <v>0</v>
      </c>
      <c r="CK153" s="478">
        <v>0</v>
      </c>
      <c r="CL153" s="478">
        <v>0</v>
      </c>
      <c r="CM153" s="352">
        <f>+SUM(CI153:CL153)</f>
        <v>0</v>
      </c>
      <c r="CN153" s="480">
        <f t="shared" ref="CN153:CT153" si="486">+CN154-CN152-CN151</f>
        <v>-562.50199999999995</v>
      </c>
      <c r="CO153" s="480">
        <f t="shared" si="486"/>
        <v>-12.5</v>
      </c>
      <c r="CP153" s="480">
        <f t="shared" si="486"/>
        <v>-112.5</v>
      </c>
      <c r="CQ153" s="480">
        <f t="shared" si="486"/>
        <v>337.5</v>
      </c>
      <c r="CR153" s="352">
        <f>+SUM(CN153:CQ153)</f>
        <v>-350.00199999999995</v>
      </c>
      <c r="CS153" s="478">
        <f t="shared" si="486"/>
        <v>-266.60000000000002</v>
      </c>
      <c r="CT153" s="478">
        <f t="shared" si="486"/>
        <v>-112.10000000000002</v>
      </c>
      <c r="CU153" s="478">
        <f>+CU154-CU152-CU151</f>
        <v>-12.199999999999932</v>
      </c>
      <c r="CV153" s="478">
        <f>+CV154-CV152-CV151</f>
        <v>-18.600000000000023</v>
      </c>
      <c r="CW153" s="352">
        <f>+SUM(CS153:CV153)</f>
        <v>-409.5</v>
      </c>
      <c r="CX153" s="478">
        <f>+CX154-CX152-CX151</f>
        <v>331</v>
      </c>
      <c r="CY153" s="478">
        <f>+CY154-CY152-CY151</f>
        <v>-218</v>
      </c>
      <c r="CZ153" s="478">
        <f>+CZ154-CZ152-CZ151</f>
        <v>-168</v>
      </c>
      <c r="DA153" s="478">
        <f>+DA154-DA152-DA151</f>
        <v>50</v>
      </c>
      <c r="DB153" s="352">
        <f>+SUM(CX153:DA153)</f>
        <v>-5</v>
      </c>
      <c r="DC153" s="480"/>
      <c r="DD153" s="480">
        <v>-25</v>
      </c>
      <c r="DE153" s="480"/>
      <c r="DF153" s="480">
        <v>-25</v>
      </c>
      <c r="DG153" s="352">
        <f>+SUM(DC153:DF153)</f>
        <v>-50</v>
      </c>
      <c r="DH153" s="480"/>
      <c r="DI153" s="480">
        <v>-25</v>
      </c>
      <c r="DJ153" s="480"/>
      <c r="DK153" s="480">
        <v>-25</v>
      </c>
      <c r="DL153" s="352">
        <f>+SUM(DH153:DK153)</f>
        <v>-50</v>
      </c>
      <c r="DM153" s="480"/>
      <c r="DN153" s="480">
        <v>-25</v>
      </c>
      <c r="DO153" s="480"/>
      <c r="DP153" s="480">
        <v>-25</v>
      </c>
      <c r="DQ153" s="352">
        <f>+SUM(DM153:DP153)</f>
        <v>-50</v>
      </c>
      <c r="DR153" s="4"/>
      <c r="DS153" s="112"/>
    </row>
    <row r="154" spans="1:129" s="188" customFormat="1">
      <c r="A154" s="175"/>
      <c r="B154" s="73" t="s">
        <v>275</v>
      </c>
      <c r="C154" s="74"/>
      <c r="D154" s="74"/>
      <c r="E154" s="74"/>
      <c r="F154" s="74"/>
      <c r="G154" s="74"/>
      <c r="H154" s="74"/>
      <c r="I154" s="74"/>
      <c r="J154" s="74"/>
      <c r="K154" s="355"/>
      <c r="L154" s="74"/>
      <c r="M154" s="74"/>
      <c r="N154" s="74"/>
      <c r="O154" s="74"/>
      <c r="P154" s="355"/>
      <c r="Q154" s="74"/>
      <c r="R154" s="74"/>
      <c r="S154" s="74"/>
      <c r="T154" s="74"/>
      <c r="U154" s="355"/>
      <c r="V154" s="74"/>
      <c r="W154" s="74"/>
      <c r="X154" s="74"/>
      <c r="Y154" s="74"/>
      <c r="Z154" s="355"/>
      <c r="AA154" s="74"/>
      <c r="AB154" s="74"/>
      <c r="AC154" s="74"/>
      <c r="AD154" s="74"/>
      <c r="AE154" s="355"/>
      <c r="AF154" s="74"/>
      <c r="AG154" s="74"/>
      <c r="AH154" s="74"/>
      <c r="AI154" s="74"/>
      <c r="AJ154" s="355"/>
      <c r="AK154" s="74"/>
      <c r="AL154" s="74"/>
      <c r="AM154" s="74"/>
      <c r="AN154" s="74"/>
      <c r="AO154" s="355"/>
      <c r="AP154" s="74"/>
      <c r="AQ154" s="74"/>
      <c r="AR154" s="74"/>
      <c r="AS154" s="74"/>
      <c r="AT154" s="355"/>
      <c r="AU154" s="74"/>
      <c r="AV154" s="74"/>
      <c r="AW154" s="74"/>
      <c r="AX154" s="74"/>
      <c r="AY154" s="355"/>
      <c r="AZ154" s="74"/>
      <c r="BA154" s="74"/>
      <c r="BB154" s="74"/>
      <c r="BC154" s="74"/>
      <c r="BD154" s="355"/>
      <c r="BE154" s="74"/>
      <c r="BF154" s="74"/>
      <c r="BG154" s="74"/>
      <c r="BH154" s="74"/>
      <c r="BI154" s="355"/>
      <c r="BJ154" s="74"/>
      <c r="BK154" s="74"/>
      <c r="BL154" s="74"/>
      <c r="BM154" s="74"/>
      <c r="BN154" s="355"/>
      <c r="BO154" s="74"/>
      <c r="BP154" s="74"/>
      <c r="BQ154" s="74"/>
      <c r="BR154" s="74"/>
      <c r="BS154" s="355"/>
      <c r="BT154" s="74"/>
      <c r="BU154" s="74"/>
      <c r="BV154" s="74"/>
      <c r="BW154" s="74"/>
      <c r="BX154" s="355"/>
      <c r="BY154" s="74"/>
      <c r="BZ154" s="74"/>
      <c r="CA154" s="74"/>
      <c r="CB154" s="74"/>
      <c r="CC154" s="355"/>
      <c r="CD154" s="74"/>
      <c r="CE154" s="74"/>
      <c r="CF154" s="74"/>
      <c r="CG154" s="74"/>
      <c r="CH154" s="355"/>
      <c r="CI154" s="479">
        <f>+CI151+CI152+CI153</f>
        <v>0</v>
      </c>
      <c r="CJ154" s="479">
        <f>+CJ151+CJ152+CJ153</f>
        <v>0</v>
      </c>
      <c r="CK154" s="479">
        <f>+CK151+CK152+CK153</f>
        <v>0</v>
      </c>
      <c r="CL154" s="479">
        <f t="shared" ref="CL154:CS154" si="487">+CL47+CL52</f>
        <v>1637.502</v>
      </c>
      <c r="CM154" s="355">
        <f>+CM151+CM152+CM153</f>
        <v>1637.502</v>
      </c>
      <c r="CN154" s="479">
        <f t="shared" si="487"/>
        <v>1075</v>
      </c>
      <c r="CO154" s="479">
        <f t="shared" si="487"/>
        <v>1062.5</v>
      </c>
      <c r="CP154" s="479">
        <f t="shared" si="487"/>
        <v>950</v>
      </c>
      <c r="CQ154" s="479">
        <f t="shared" si="487"/>
        <v>1287.5</v>
      </c>
      <c r="CR154" s="355">
        <f>+CR151+CR152+CR153</f>
        <v>1287.5</v>
      </c>
      <c r="CS154" s="479">
        <f t="shared" si="487"/>
        <v>1020.9</v>
      </c>
      <c r="CT154" s="479">
        <f>+CT47+CT52</f>
        <v>908.8</v>
      </c>
      <c r="CU154" s="479">
        <f>+CU47+CU52</f>
        <v>896.6</v>
      </c>
      <c r="CV154" s="479">
        <f>+CV47+CV52</f>
        <v>878</v>
      </c>
      <c r="CW154" s="355">
        <f t="shared" ref="CW154:DB154" si="488">+CW151+CW152+CW153</f>
        <v>878</v>
      </c>
      <c r="CX154" s="479">
        <f>+CX47+CX52</f>
        <v>1209</v>
      </c>
      <c r="CY154" s="479">
        <f>+CY47+CY52</f>
        <v>991</v>
      </c>
      <c r="CZ154" s="479">
        <f>+CZ47+CZ52</f>
        <v>823</v>
      </c>
      <c r="DA154" s="479">
        <f>+DA47+DA52</f>
        <v>873</v>
      </c>
      <c r="DB154" s="355">
        <f t="shared" si="488"/>
        <v>873</v>
      </c>
      <c r="DC154" s="1130">
        <f t="shared" ref="DC154:DK154" si="489">+DC151+DC152+DC153</f>
        <v>873</v>
      </c>
      <c r="DD154" s="1130">
        <f t="shared" si="489"/>
        <v>848</v>
      </c>
      <c r="DE154" s="1130">
        <f t="shared" si="489"/>
        <v>848</v>
      </c>
      <c r="DF154" s="1130">
        <f t="shared" si="489"/>
        <v>823</v>
      </c>
      <c r="DG154" s="355">
        <f>+DG151+DG152+DG153</f>
        <v>823</v>
      </c>
      <c r="DH154" s="1130">
        <f t="shared" si="489"/>
        <v>823</v>
      </c>
      <c r="DI154" s="1130">
        <f t="shared" si="489"/>
        <v>798</v>
      </c>
      <c r="DJ154" s="1130">
        <f t="shared" si="489"/>
        <v>798</v>
      </c>
      <c r="DK154" s="1130">
        <f t="shared" si="489"/>
        <v>773</v>
      </c>
      <c r="DL154" s="355">
        <f>+DL151+DL152+DL153</f>
        <v>773</v>
      </c>
      <c r="DM154" s="1130">
        <f t="shared" ref="DM154:DP154" si="490">+DM151+DM152+DM153</f>
        <v>773</v>
      </c>
      <c r="DN154" s="1130">
        <f t="shared" si="490"/>
        <v>748</v>
      </c>
      <c r="DO154" s="1130">
        <f t="shared" si="490"/>
        <v>748</v>
      </c>
      <c r="DP154" s="1130">
        <f t="shared" si="490"/>
        <v>723</v>
      </c>
      <c r="DQ154" s="355">
        <f>+DQ151+DQ152+DQ153</f>
        <v>723</v>
      </c>
      <c r="DR154" s="175"/>
      <c r="DT154"/>
      <c r="DU154"/>
      <c r="DV154"/>
      <c r="DW154"/>
      <c r="DX154"/>
      <c r="DY154"/>
    </row>
    <row r="155" spans="1:129">
      <c r="A155" s="1"/>
      <c r="B155" s="3"/>
      <c r="C155" s="4"/>
      <c r="D155" s="4"/>
      <c r="E155" s="4"/>
      <c r="F155" s="4"/>
      <c r="G155" s="4"/>
      <c r="H155" s="4"/>
      <c r="I155" s="4"/>
      <c r="J155" s="4"/>
      <c r="K155" s="352"/>
      <c r="L155" s="4"/>
      <c r="M155" s="4"/>
      <c r="N155" s="4"/>
      <c r="O155" s="4"/>
      <c r="P155" s="352"/>
      <c r="Q155" s="4"/>
      <c r="R155" s="4"/>
      <c r="S155" s="4"/>
      <c r="T155" s="4"/>
      <c r="U155" s="352"/>
      <c r="V155" s="4"/>
      <c r="W155" s="4"/>
      <c r="X155" s="4"/>
      <c r="Y155" s="4"/>
      <c r="Z155" s="352"/>
      <c r="AA155" s="4"/>
      <c r="AB155" s="4"/>
      <c r="AC155" s="4"/>
      <c r="AD155" s="4"/>
      <c r="AE155" s="352"/>
      <c r="AF155" s="4"/>
      <c r="AG155" s="4"/>
      <c r="AH155" s="4"/>
      <c r="AI155" s="4"/>
      <c r="AJ155" s="352"/>
      <c r="AK155" s="4"/>
      <c r="AL155" s="4"/>
      <c r="AM155" s="4"/>
      <c r="AN155" s="4"/>
      <c r="AO155" s="352"/>
      <c r="AP155" s="4"/>
      <c r="AQ155" s="4"/>
      <c r="AR155" s="4"/>
      <c r="AS155" s="4"/>
      <c r="AT155" s="352"/>
      <c r="AU155" s="4"/>
      <c r="AV155" s="4"/>
      <c r="AW155" s="4"/>
      <c r="AX155" s="4"/>
      <c r="AY155" s="352"/>
      <c r="AZ155" s="4"/>
      <c r="BA155" s="4"/>
      <c r="BB155" s="4"/>
      <c r="BC155" s="4"/>
      <c r="BD155" s="352"/>
      <c r="BE155" s="4"/>
      <c r="BF155" s="4"/>
      <c r="BG155" s="4"/>
      <c r="BH155" s="4"/>
      <c r="BI155" s="352"/>
      <c r="BJ155" s="4"/>
      <c r="BK155" s="4"/>
      <c r="BL155" s="4"/>
      <c r="BM155" s="4"/>
      <c r="BN155" s="352"/>
      <c r="BO155" s="4"/>
      <c r="BP155" s="4"/>
      <c r="BQ155" s="4"/>
      <c r="BR155" s="4"/>
      <c r="BS155" s="352"/>
      <c r="BT155" s="4"/>
      <c r="BU155" s="4"/>
      <c r="BV155" s="4"/>
      <c r="BW155" s="4"/>
      <c r="BX155" s="352"/>
      <c r="BY155" s="4"/>
      <c r="BZ155" s="4"/>
      <c r="CA155" s="4"/>
      <c r="CB155" s="4"/>
      <c r="CC155" s="352"/>
      <c r="CD155" s="4"/>
      <c r="CE155" s="4"/>
      <c r="CF155" s="4"/>
      <c r="CG155" s="4"/>
      <c r="CH155" s="352"/>
      <c r="CI155" s="4"/>
      <c r="CJ155" s="4"/>
      <c r="CK155" s="4"/>
      <c r="CL155" s="4"/>
      <c r="CM155" s="352"/>
      <c r="CN155" s="4"/>
      <c r="CO155" s="4"/>
      <c r="CP155" s="4"/>
      <c r="CQ155" s="4"/>
      <c r="CR155" s="352"/>
      <c r="CS155" s="4"/>
      <c r="CT155" s="4"/>
      <c r="CU155" s="4"/>
      <c r="CV155" s="4"/>
      <c r="CW155" s="352"/>
      <c r="CX155" s="4"/>
      <c r="CY155" s="4"/>
      <c r="CZ155" s="4"/>
      <c r="DA155" s="4"/>
      <c r="DB155" s="352"/>
      <c r="DC155" s="4"/>
      <c r="DD155" s="4"/>
      <c r="DE155" s="4"/>
      <c r="DF155" s="4"/>
      <c r="DG155" s="352"/>
      <c r="DH155" s="4"/>
      <c r="DI155" s="4"/>
      <c r="DJ155" s="4"/>
      <c r="DK155" s="4"/>
      <c r="DL155" s="352"/>
      <c r="DM155" s="4"/>
      <c r="DN155" s="4"/>
      <c r="DO155" s="4"/>
      <c r="DP155" s="4"/>
      <c r="DQ155" s="352"/>
    </row>
    <row r="156" spans="1:129">
      <c r="A156" s="1"/>
      <c r="B156" s="73" t="s">
        <v>276</v>
      </c>
      <c r="C156" s="4"/>
      <c r="D156" s="4"/>
      <c r="E156" s="4"/>
      <c r="F156" s="4"/>
      <c r="G156" s="4"/>
      <c r="H156" s="4"/>
      <c r="I156" s="4"/>
      <c r="J156" s="4"/>
      <c r="K156" s="352"/>
      <c r="L156" s="4"/>
      <c r="M156" s="4"/>
      <c r="N156" s="4"/>
      <c r="O156" s="4"/>
      <c r="P156" s="352"/>
      <c r="Q156" s="4"/>
      <c r="R156" s="4"/>
      <c r="S156" s="4"/>
      <c r="T156" s="4"/>
      <c r="U156" s="352"/>
      <c r="V156" s="4"/>
      <c r="W156" s="4"/>
      <c r="X156" s="4"/>
      <c r="Y156" s="4"/>
      <c r="Z156" s="352"/>
      <c r="AA156" s="4"/>
      <c r="AB156" s="4"/>
      <c r="AC156" s="4"/>
      <c r="AD156" s="4"/>
      <c r="AE156" s="352"/>
      <c r="AF156" s="4"/>
      <c r="AG156" s="4"/>
      <c r="AH156" s="4"/>
      <c r="AI156" s="4"/>
      <c r="AJ156" s="352"/>
      <c r="AK156" s="4"/>
      <c r="AL156" s="4"/>
      <c r="AM156" s="4"/>
      <c r="AN156" s="4"/>
      <c r="AO156" s="352"/>
      <c r="AP156" s="4"/>
      <c r="AQ156" s="4"/>
      <c r="AR156" s="4"/>
      <c r="AS156" s="4"/>
      <c r="AT156" s="352"/>
      <c r="AU156" s="4"/>
      <c r="AV156" s="4"/>
      <c r="AW156" s="4"/>
      <c r="AX156" s="4"/>
      <c r="AY156" s="352"/>
      <c r="AZ156" s="4"/>
      <c r="BA156" s="4"/>
      <c r="BB156" s="4"/>
      <c r="BC156" s="4"/>
      <c r="BD156" s="352"/>
      <c r="BE156" s="4"/>
      <c r="BF156" s="4"/>
      <c r="BG156" s="4"/>
      <c r="BH156" s="4"/>
      <c r="BI156" s="352"/>
      <c r="BJ156" s="4"/>
      <c r="BK156" s="4"/>
      <c r="BL156" s="4"/>
      <c r="BM156" s="4"/>
      <c r="BN156" s="352"/>
      <c r="BO156" s="4"/>
      <c r="BP156" s="4"/>
      <c r="BQ156" s="4"/>
      <c r="BR156" s="4"/>
      <c r="BS156" s="352"/>
      <c r="BT156" s="4"/>
      <c r="BU156" s="4"/>
      <c r="BV156" s="4"/>
      <c r="BW156" s="4"/>
      <c r="BX156" s="352"/>
      <c r="BY156" s="4"/>
      <c r="BZ156" s="4"/>
      <c r="CA156" s="4"/>
      <c r="CB156" s="4"/>
      <c r="CC156" s="352"/>
      <c r="CD156" s="4"/>
      <c r="CE156" s="4"/>
      <c r="CF156" s="4"/>
      <c r="CG156" s="4"/>
      <c r="CH156" s="352"/>
      <c r="CI156" s="4"/>
      <c r="CJ156" s="4"/>
      <c r="CK156" s="4"/>
      <c r="CL156" s="4"/>
      <c r="CM156" s="352"/>
      <c r="CN156" s="4"/>
      <c r="CO156" s="4"/>
      <c r="CP156" s="4"/>
      <c r="CQ156" s="4"/>
      <c r="CR156" s="352"/>
      <c r="CS156" s="4"/>
      <c r="CT156" s="4"/>
      <c r="CU156" s="4"/>
      <c r="CV156" s="4"/>
      <c r="CW156" s="352"/>
      <c r="CX156" s="4"/>
      <c r="CY156" s="4"/>
      <c r="CZ156" s="4"/>
      <c r="DA156" s="4"/>
      <c r="DB156" s="352"/>
      <c r="DC156" s="4"/>
      <c r="DD156" s="4"/>
      <c r="DE156" s="4"/>
      <c r="DF156" s="4"/>
      <c r="DG156" s="352"/>
      <c r="DH156" s="4"/>
      <c r="DI156" s="4"/>
      <c r="DJ156" s="4"/>
      <c r="DK156" s="4"/>
      <c r="DL156" s="352"/>
      <c r="DM156" s="4"/>
      <c r="DN156" s="4"/>
      <c r="DO156" s="4"/>
      <c r="DP156" s="4"/>
      <c r="DQ156" s="352"/>
    </row>
    <row r="157" spans="1:129">
      <c r="A157" s="1"/>
      <c r="B157" s="3" t="s">
        <v>277</v>
      </c>
      <c r="C157" s="4"/>
      <c r="D157" s="4"/>
      <c r="E157" s="4"/>
      <c r="F157" s="4"/>
      <c r="G157" s="4"/>
      <c r="H157" s="4"/>
      <c r="I157" s="4"/>
      <c r="J157" s="4"/>
      <c r="K157" s="352"/>
      <c r="L157" s="4"/>
      <c r="M157" s="4"/>
      <c r="N157" s="4"/>
      <c r="O157" s="4"/>
      <c r="P157" s="352"/>
      <c r="Q157" s="4"/>
      <c r="R157" s="4"/>
      <c r="S157" s="4"/>
      <c r="T157" s="4"/>
      <c r="U157" s="352"/>
      <c r="V157" s="4"/>
      <c r="W157" s="4"/>
      <c r="X157" s="4"/>
      <c r="Y157" s="4"/>
      <c r="Z157" s="352"/>
      <c r="AA157" s="4"/>
      <c r="AB157" s="4"/>
      <c r="AC157" s="4"/>
      <c r="AD157" s="4"/>
      <c r="AE157" s="352"/>
      <c r="AF157" s="4"/>
      <c r="AG157" s="4"/>
      <c r="AH157" s="4"/>
      <c r="AI157" s="4"/>
      <c r="AJ157" s="352"/>
      <c r="AK157" s="4"/>
      <c r="AL157" s="4"/>
      <c r="AM157" s="4"/>
      <c r="AN157" s="4"/>
      <c r="AO157" s="352"/>
      <c r="AP157" s="4"/>
      <c r="AQ157" s="4"/>
      <c r="AR157" s="4"/>
      <c r="AS157" s="4"/>
      <c r="AT157" s="352"/>
      <c r="AU157" s="4"/>
      <c r="AV157" s="4"/>
      <c r="AW157" s="4"/>
      <c r="AX157" s="4"/>
      <c r="AY157" s="352"/>
      <c r="AZ157" s="4"/>
      <c r="BA157" s="4"/>
      <c r="BB157" s="4"/>
      <c r="BC157" s="4"/>
      <c r="BD157" s="352"/>
      <c r="BE157" s="4"/>
      <c r="BF157" s="4"/>
      <c r="BG157" s="4"/>
      <c r="BH157" s="4"/>
      <c r="BI157" s="352"/>
      <c r="BJ157" s="4"/>
      <c r="BK157" s="4"/>
      <c r="BL157" s="4"/>
      <c r="BM157" s="4"/>
      <c r="BN157" s="352"/>
      <c r="BO157" s="4"/>
      <c r="BP157" s="4"/>
      <c r="BQ157" s="4"/>
      <c r="BR157" s="4"/>
      <c r="BS157" s="352"/>
      <c r="BT157" s="4"/>
      <c r="BU157" s="4"/>
      <c r="BV157" s="4"/>
      <c r="BW157" s="4"/>
      <c r="BX157" s="352"/>
      <c r="BY157" s="4"/>
      <c r="BZ157" s="4"/>
      <c r="CA157" s="4"/>
      <c r="CB157" s="4"/>
      <c r="CC157" s="352"/>
      <c r="CD157" s="4"/>
      <c r="CE157" s="4"/>
      <c r="CF157" s="4"/>
      <c r="CG157" s="4"/>
      <c r="CH157" s="352"/>
      <c r="CI157" s="4"/>
      <c r="CJ157" s="4"/>
      <c r="CK157" s="4"/>
      <c r="CL157" s="904"/>
      <c r="CM157" s="337">
        <v>0</v>
      </c>
      <c r="CN157" s="484">
        <v>0.02</v>
      </c>
      <c r="CO157" s="484">
        <f>+CN157</f>
        <v>0.02</v>
      </c>
      <c r="CP157" s="484">
        <f>+CO157</f>
        <v>0.02</v>
      </c>
      <c r="CQ157" s="484">
        <f t="shared" ref="CQ157" si="491">+CP157</f>
        <v>0.02</v>
      </c>
      <c r="CR157" s="337">
        <f>+AVERAGE(CN157:CQ157)</f>
        <v>0.02</v>
      </c>
      <c r="CS157" s="120">
        <f>+CS159/AVERAGE(CQ154,CS154)/(CS158/365)</f>
        <v>1.7723136333429174E-2</v>
      </c>
      <c r="CT157" s="120">
        <f>+CT159/AVERAGE(CS154,CT154)/(CT158/365)</f>
        <v>1.9122712805668705E-2</v>
      </c>
      <c r="CU157" s="120">
        <f t="shared" ref="CU157:CV157" si="492">+CU159/AVERAGE(CT154,CU154)/(CU158/365)</f>
        <v>2.1535634641967814E-2</v>
      </c>
      <c r="CV157" s="120">
        <f t="shared" si="492"/>
        <v>1.7885230719476283E-2</v>
      </c>
      <c r="CW157" s="337">
        <f>+AVERAGE(CS157:CV157)</f>
        <v>1.9066678625135496E-2</v>
      </c>
      <c r="CX157" s="120">
        <f>+CX159/AVERAGE(CV154,CX154)/(CX158/365)</f>
        <v>2.3318958632806263E-2</v>
      </c>
      <c r="CY157" s="120">
        <f>+CY159/AVERAGE(CX154,CY154)/(CY158/365)</f>
        <v>2.1878121878121881E-2</v>
      </c>
      <c r="CZ157" s="120">
        <f>+CZ159/AVERAGE(CY154,CZ154)/(CZ158/365)</f>
        <v>2.6245146445520347E-2</v>
      </c>
      <c r="DA157" s="120">
        <f>+DA159/AVERAGE(CZ154,DA154)/(DA158/365)</f>
        <v>2.3392637407711237E-2</v>
      </c>
      <c r="DB157" s="337">
        <f>+AVERAGE(CX157:DA157)</f>
        <v>2.3708716091039934E-2</v>
      </c>
      <c r="DC157" s="484">
        <v>2.9000000000000001E-2</v>
      </c>
      <c r="DD157" s="484">
        <v>2.9000000000000001E-2</v>
      </c>
      <c r="DE157" s="484">
        <v>2.9000000000000001E-2</v>
      </c>
      <c r="DF157" s="484">
        <v>2.9000000000000001E-2</v>
      </c>
      <c r="DG157" s="337">
        <f>+AVERAGE(DC157:DF157)</f>
        <v>2.9000000000000001E-2</v>
      </c>
      <c r="DH157" s="484">
        <v>2.9000000000000001E-2</v>
      </c>
      <c r="DI157" s="484">
        <v>0.03</v>
      </c>
      <c r="DJ157" s="484">
        <v>3.1E-2</v>
      </c>
      <c r="DK157" s="484">
        <v>3.2000000000000001E-2</v>
      </c>
      <c r="DL157" s="337">
        <f>+AVERAGE(DH157:DK157)</f>
        <v>3.0499999999999999E-2</v>
      </c>
      <c r="DM157" s="484">
        <v>2.9000000000000001E-2</v>
      </c>
      <c r="DN157" s="484">
        <v>0.03</v>
      </c>
      <c r="DO157" s="484">
        <v>3.1E-2</v>
      </c>
      <c r="DP157" s="484">
        <v>3.2000000000000001E-2</v>
      </c>
      <c r="DQ157" s="337">
        <f>+AVERAGE(DM157:DP157)</f>
        <v>3.0499999999999999E-2</v>
      </c>
    </row>
    <row r="158" spans="1:129">
      <c r="A158" s="1"/>
      <c r="B158" s="3" t="s">
        <v>278</v>
      </c>
      <c r="C158" s="4"/>
      <c r="D158" s="4"/>
      <c r="E158" s="4"/>
      <c r="F158" s="4"/>
      <c r="G158" s="4"/>
      <c r="H158" s="4"/>
      <c r="I158" s="4"/>
      <c r="J158" s="4"/>
      <c r="K158" s="352"/>
      <c r="L158" s="4"/>
      <c r="M158" s="4"/>
      <c r="N158" s="4"/>
      <c r="O158" s="4"/>
      <c r="P158" s="352"/>
      <c r="Q158" s="4"/>
      <c r="R158" s="4"/>
      <c r="S158" s="4"/>
      <c r="T158" s="4"/>
      <c r="U158" s="352"/>
      <c r="V158" s="4"/>
      <c r="W158" s="4"/>
      <c r="X158" s="4"/>
      <c r="Y158" s="4"/>
      <c r="Z158" s="352"/>
      <c r="AA158" s="4"/>
      <c r="AB158" s="4"/>
      <c r="AC158" s="4"/>
      <c r="AD158" s="4"/>
      <c r="AE158" s="352"/>
      <c r="AF158" s="4"/>
      <c r="AG158" s="4"/>
      <c r="AH158" s="4"/>
      <c r="AI158" s="4"/>
      <c r="AJ158" s="352"/>
      <c r="AK158" s="4"/>
      <c r="AL158" s="4"/>
      <c r="AM158" s="4"/>
      <c r="AN158" s="4"/>
      <c r="AO158" s="352"/>
      <c r="AP158" s="4"/>
      <c r="AQ158" s="4"/>
      <c r="AR158" s="4"/>
      <c r="AS158" s="4"/>
      <c r="AT158" s="352"/>
      <c r="AU158" s="4"/>
      <c r="AV158" s="4"/>
      <c r="AW158" s="4"/>
      <c r="AX158" s="4"/>
      <c r="AY158" s="352"/>
      <c r="AZ158" s="4"/>
      <c r="BA158" s="4"/>
      <c r="BB158" s="4"/>
      <c r="BC158" s="4"/>
      <c r="BD158" s="352"/>
      <c r="BE158" s="4"/>
      <c r="BF158" s="4"/>
      <c r="BG158" s="4"/>
      <c r="BH158" s="4"/>
      <c r="BI158" s="352"/>
      <c r="BJ158" s="4"/>
      <c r="BK158" s="4"/>
      <c r="BL158" s="4"/>
      <c r="BM158" s="4"/>
      <c r="BN158" s="352"/>
      <c r="BO158" s="4"/>
      <c r="BP158" s="4"/>
      <c r="BQ158" s="4"/>
      <c r="BR158" s="4"/>
      <c r="BS158" s="352"/>
      <c r="BT158" s="4"/>
      <c r="BU158" s="4"/>
      <c r="BV158" s="4"/>
      <c r="BW158" s="4"/>
      <c r="BX158" s="352"/>
      <c r="BY158" s="4"/>
      <c r="BZ158" s="4"/>
      <c r="CA158" s="4"/>
      <c r="CB158" s="4"/>
      <c r="CC158" s="352"/>
      <c r="CD158" s="4"/>
      <c r="CE158" s="4"/>
      <c r="CF158" s="4"/>
      <c r="CG158" s="4"/>
      <c r="CH158" s="352"/>
      <c r="CI158" s="4"/>
      <c r="CJ158" s="4"/>
      <c r="CK158" s="4"/>
      <c r="CL158" s="481"/>
      <c r="CM158" s="352">
        <f>+SUM(CI158:CL158)</f>
        <v>0</v>
      </c>
      <c r="CN158" s="481">
        <v>91</v>
      </c>
      <c r="CO158" s="481">
        <v>91</v>
      </c>
      <c r="CP158" s="481">
        <v>91</v>
      </c>
      <c r="CQ158" s="481">
        <v>91</v>
      </c>
      <c r="CR158" s="352">
        <f>+SUM(CN158:CQ158)</f>
        <v>364</v>
      </c>
      <c r="CS158" s="1036">
        <f>+CS8-CQ8</f>
        <v>91</v>
      </c>
      <c r="CT158" s="1036">
        <f>+CT8-CS8</f>
        <v>91</v>
      </c>
      <c r="CU158" s="1036">
        <f>+CU8-CT8</f>
        <v>92</v>
      </c>
      <c r="CV158" s="1036">
        <f>+CV8-CU8</f>
        <v>92</v>
      </c>
      <c r="CW158" s="352">
        <f>+SUM(CS158:CV158)</f>
        <v>366</v>
      </c>
      <c r="CX158" s="1036">
        <f>+CX8-CV8</f>
        <v>90</v>
      </c>
      <c r="CY158" s="1036">
        <f>+CY8-CX8</f>
        <v>91</v>
      </c>
      <c r="CZ158" s="1036">
        <f>+CZ8-CY8</f>
        <v>92</v>
      </c>
      <c r="DA158" s="1036">
        <f>+DA8-CZ8</f>
        <v>92</v>
      </c>
      <c r="DB158" s="352">
        <f>+SUM(CX158:DA158)</f>
        <v>365</v>
      </c>
      <c r="DC158" s="1036">
        <f>+DC8-DA8</f>
        <v>90</v>
      </c>
      <c r="DD158" s="1036">
        <f>+DD8-DC8</f>
        <v>91</v>
      </c>
      <c r="DE158" s="1036">
        <f>+DE8-DD8</f>
        <v>92</v>
      </c>
      <c r="DF158" s="1036">
        <f>+DF8-DE8</f>
        <v>92</v>
      </c>
      <c r="DG158" s="352">
        <f>+SUM(DC158:DF158)</f>
        <v>365</v>
      </c>
      <c r="DH158" s="1036">
        <f>+DH8-DF8</f>
        <v>90</v>
      </c>
      <c r="DI158" s="1036">
        <f>+DI8-DH8</f>
        <v>91</v>
      </c>
      <c r="DJ158" s="1036">
        <f>+DJ8-DI8</f>
        <v>92</v>
      </c>
      <c r="DK158" s="1036">
        <f>+DK8-DJ8</f>
        <v>92</v>
      </c>
      <c r="DL158" s="352">
        <f>+SUM(DH158:DK158)</f>
        <v>365</v>
      </c>
      <c r="DM158" s="1036">
        <f>+DM8-DK8</f>
        <v>91</v>
      </c>
      <c r="DN158" s="1036">
        <f>+DN8-DM8</f>
        <v>91</v>
      </c>
      <c r="DO158" s="1036">
        <f>+DO8-DN8</f>
        <v>92</v>
      </c>
      <c r="DP158" s="1036">
        <f>+DP8-DO8</f>
        <v>92</v>
      </c>
      <c r="DQ158" s="352">
        <f>+SUM(DM158:DP158)</f>
        <v>366</v>
      </c>
    </row>
    <row r="159" spans="1:129" s="188" customFormat="1">
      <c r="A159" s="175"/>
      <c r="B159" s="73" t="s">
        <v>276</v>
      </c>
      <c r="C159" s="74"/>
      <c r="D159" s="74"/>
      <c r="E159" s="74"/>
      <c r="F159" s="74"/>
      <c r="G159" s="74"/>
      <c r="H159" s="74"/>
      <c r="I159" s="74"/>
      <c r="J159" s="74"/>
      <c r="K159" s="355"/>
      <c r="L159" s="74"/>
      <c r="M159" s="74"/>
      <c r="N159" s="74"/>
      <c r="O159" s="74"/>
      <c r="P159" s="355"/>
      <c r="Q159" s="74"/>
      <c r="R159" s="74"/>
      <c r="S159" s="74"/>
      <c r="T159" s="74"/>
      <c r="U159" s="355"/>
      <c r="V159" s="74"/>
      <c r="W159" s="74"/>
      <c r="X159" s="74"/>
      <c r="Y159" s="74"/>
      <c r="Z159" s="355"/>
      <c r="AA159" s="74"/>
      <c r="AB159" s="74"/>
      <c r="AC159" s="74"/>
      <c r="AD159" s="74"/>
      <c r="AE159" s="355"/>
      <c r="AF159" s="74"/>
      <c r="AG159" s="74"/>
      <c r="AH159" s="74"/>
      <c r="AI159" s="74"/>
      <c r="AJ159" s="355"/>
      <c r="AK159" s="74"/>
      <c r="AL159" s="74"/>
      <c r="AM159" s="74"/>
      <c r="AN159" s="74"/>
      <c r="AO159" s="355"/>
      <c r="AP159" s="74"/>
      <c r="AQ159" s="74"/>
      <c r="AR159" s="74"/>
      <c r="AS159" s="74"/>
      <c r="AT159" s="355"/>
      <c r="AU159" s="74"/>
      <c r="AV159" s="74"/>
      <c r="AW159" s="74"/>
      <c r="AX159" s="74"/>
      <c r="AY159" s="355"/>
      <c r="AZ159" s="74"/>
      <c r="BA159" s="74"/>
      <c r="BB159" s="74"/>
      <c r="BC159" s="74"/>
      <c r="BD159" s="355"/>
      <c r="BE159" s="74"/>
      <c r="BF159" s="74"/>
      <c r="BG159" s="74"/>
      <c r="BH159" s="74"/>
      <c r="BI159" s="355"/>
      <c r="BJ159" s="74"/>
      <c r="BK159" s="74"/>
      <c r="BL159" s="74"/>
      <c r="BM159" s="74"/>
      <c r="BN159" s="355"/>
      <c r="BO159" s="74"/>
      <c r="BP159" s="74"/>
      <c r="BQ159" s="74"/>
      <c r="BR159" s="74"/>
      <c r="BS159" s="355"/>
      <c r="BT159" s="74"/>
      <c r="BU159" s="74"/>
      <c r="BV159" s="74"/>
      <c r="BW159" s="74"/>
      <c r="BX159" s="355"/>
      <c r="BY159" s="74"/>
      <c r="BZ159" s="74"/>
      <c r="CA159" s="74"/>
      <c r="CB159" s="74"/>
      <c r="CC159" s="355"/>
      <c r="CD159" s="74"/>
      <c r="CE159" s="74"/>
      <c r="CF159" s="74"/>
      <c r="CG159" s="74"/>
      <c r="CH159" s="355"/>
      <c r="CI159" s="74"/>
      <c r="CJ159" s="74"/>
      <c r="CK159" s="74"/>
      <c r="CL159" s="482"/>
      <c r="CM159" s="355">
        <f>+SUM(CI159:CL159)</f>
        <v>0</v>
      </c>
      <c r="CN159" s="482">
        <f>+CN157*AVERAGE(CN154,CL154)*CN158/365</f>
        <v>6.7626762191780818</v>
      </c>
      <c r="CO159" s="530">
        <f t="shared" ref="CO159:CQ159" si="493">+CO157*AVERAGE(CO154,CN154)*CO158/365</f>
        <v>5.3291095890410958</v>
      </c>
      <c r="CP159" s="530">
        <f t="shared" si="493"/>
        <v>5.0174657534246574</v>
      </c>
      <c r="CQ159" s="530">
        <f t="shared" si="493"/>
        <v>5.5784246575342467</v>
      </c>
      <c r="CR159" s="355">
        <f>+SUM(CN159:CQ159)</f>
        <v>22.687676219178083</v>
      </c>
      <c r="CS159" s="530">
        <f>-IS!CS61</f>
        <v>5.0999999999999996</v>
      </c>
      <c r="CT159" s="530">
        <f>-IS!CT61</f>
        <v>4.5999999999999996</v>
      </c>
      <c r="CU159" s="530">
        <f>-IS!CU61</f>
        <v>4.9000000000000004</v>
      </c>
      <c r="CV159" s="530">
        <f>-IS!CV61</f>
        <v>4</v>
      </c>
      <c r="CW159" s="355">
        <f>+SUM(CS159:CV159)</f>
        <v>18.600000000000001</v>
      </c>
      <c r="CX159" s="530">
        <f>-IS!CX61</f>
        <v>6</v>
      </c>
      <c r="CY159" s="530">
        <f>-IS!CY61</f>
        <v>6</v>
      </c>
      <c r="CZ159" s="530">
        <f>-IS!CZ61</f>
        <v>6</v>
      </c>
      <c r="DA159" s="530">
        <f>-IS!DA61</f>
        <v>5</v>
      </c>
      <c r="DB159" s="355">
        <f>+SUM(CX159:DA159)</f>
        <v>23</v>
      </c>
      <c r="DC159" s="573">
        <f>+DC157*AVERAGE(DC154,DA154)*DC158/365</f>
        <v>6.2425479452054802</v>
      </c>
      <c r="DD159" s="573">
        <f>+DD157*AVERAGE(DD154,DC154)*DD158/365</f>
        <v>6.2215328767123301</v>
      </c>
      <c r="DE159" s="573">
        <f>+DE157*AVERAGE(DE154,DD154)*DE158/365</f>
        <v>6.1985315068493163</v>
      </c>
      <c r="DF159" s="573">
        <f>+DF157*AVERAGE(DF154,DE154)*DF158/365</f>
        <v>6.1071616438356164</v>
      </c>
      <c r="DG159" s="355">
        <f>+SUM(DC159:DF159)</f>
        <v>24.769773972602746</v>
      </c>
      <c r="DH159" s="573">
        <f>+DH157*AVERAGE(DH154,DF154)*DH158/365</f>
        <v>5.8850136986301376</v>
      </c>
      <c r="DI159" s="573">
        <f>+DI157*AVERAGE(DI154,DH154)*DI158/365</f>
        <v>6.0620958904109585</v>
      </c>
      <c r="DJ159" s="573">
        <f>+DJ157*AVERAGE(DJ154,DI154)*DJ158/365</f>
        <v>6.235331506849314</v>
      </c>
      <c r="DK159" s="573">
        <f>+DK157*AVERAGE(DK154,DJ154)*DK158/365</f>
        <v>6.3356493150684923</v>
      </c>
      <c r="DL159" s="355">
        <f>+SUM(DH159:DK159)</f>
        <v>24.518090410958905</v>
      </c>
      <c r="DM159" s="573">
        <f>+DM157*AVERAGE(DM154,DK154)*DM158/365</f>
        <v>5.5888958904109591</v>
      </c>
      <c r="DN159" s="573">
        <f>+DN157*AVERAGE(DN154,DM154)*DN158/365</f>
        <v>5.6881232876712327</v>
      </c>
      <c r="DO159" s="573">
        <f>+DO157*AVERAGE(DO154,DN154)*DO158/365</f>
        <v>5.8446465753424652</v>
      </c>
      <c r="DP159" s="573">
        <f>+DP157*AVERAGE(DP154,DO154)*DP158/365</f>
        <v>5.9323616438356161</v>
      </c>
      <c r="DQ159" s="355">
        <f>+SUM(DM159:DP159)</f>
        <v>23.054027397260274</v>
      </c>
      <c r="DR159" s="175"/>
      <c r="DT159"/>
      <c r="DU159"/>
      <c r="DV159"/>
      <c r="DW159"/>
      <c r="DX159"/>
      <c r="DY159"/>
    </row>
    <row r="160" spans="1:129" s="188" customFormat="1">
      <c r="A160" s="175"/>
      <c r="B160" s="73"/>
      <c r="C160" s="74"/>
      <c r="D160" s="74"/>
      <c r="E160" s="74"/>
      <c r="F160" s="74"/>
      <c r="G160" s="74"/>
      <c r="H160" s="74"/>
      <c r="I160" s="74"/>
      <c r="J160" s="74"/>
      <c r="K160" s="355"/>
      <c r="L160" s="74"/>
      <c r="M160" s="74"/>
      <c r="N160" s="74"/>
      <c r="O160" s="74"/>
      <c r="P160" s="355"/>
      <c r="Q160" s="74"/>
      <c r="R160" s="74"/>
      <c r="S160" s="74"/>
      <c r="T160" s="74"/>
      <c r="U160" s="355"/>
      <c r="V160" s="74"/>
      <c r="W160" s="74"/>
      <c r="X160" s="74"/>
      <c r="Y160" s="74"/>
      <c r="Z160" s="355"/>
      <c r="AA160" s="74"/>
      <c r="AB160" s="74"/>
      <c r="AC160" s="74"/>
      <c r="AD160" s="74"/>
      <c r="AE160" s="355"/>
      <c r="AF160" s="74"/>
      <c r="AG160" s="74"/>
      <c r="AH160" s="74"/>
      <c r="AI160" s="74"/>
      <c r="AJ160" s="355"/>
      <c r="AK160" s="74"/>
      <c r="AL160" s="74"/>
      <c r="AM160" s="74"/>
      <c r="AN160" s="74"/>
      <c r="AO160" s="355"/>
      <c r="AP160" s="74"/>
      <c r="AQ160" s="74"/>
      <c r="AR160" s="74"/>
      <c r="AS160" s="74"/>
      <c r="AT160" s="355"/>
      <c r="AU160" s="74"/>
      <c r="AV160" s="74"/>
      <c r="AW160" s="74"/>
      <c r="AX160" s="74"/>
      <c r="AY160" s="355"/>
      <c r="AZ160" s="74"/>
      <c r="BA160" s="74"/>
      <c r="BB160" s="74"/>
      <c r="BC160" s="74"/>
      <c r="BD160" s="355"/>
      <c r="BE160" s="74"/>
      <c r="BF160" s="74"/>
      <c r="BG160" s="74"/>
      <c r="BH160" s="74"/>
      <c r="BI160" s="355"/>
      <c r="BJ160" s="74"/>
      <c r="BK160" s="74"/>
      <c r="BL160" s="74"/>
      <c r="BM160" s="74"/>
      <c r="BN160" s="355"/>
      <c r="BO160" s="74"/>
      <c r="BP160" s="74"/>
      <c r="BQ160" s="74"/>
      <c r="BR160" s="74"/>
      <c r="BS160" s="355"/>
      <c r="BT160" s="74"/>
      <c r="BU160" s="74"/>
      <c r="BV160" s="74"/>
      <c r="BW160" s="74"/>
      <c r="BX160" s="355"/>
      <c r="BY160" s="74"/>
      <c r="BZ160" s="74"/>
      <c r="CA160" s="74"/>
      <c r="CB160" s="74"/>
      <c r="CC160" s="355"/>
      <c r="CD160" s="74"/>
      <c r="CE160" s="74"/>
      <c r="CF160" s="74"/>
      <c r="CG160" s="74"/>
      <c r="CH160" s="355"/>
      <c r="CI160" s="74"/>
      <c r="CJ160" s="74"/>
      <c r="CK160" s="74"/>
      <c r="CL160" s="482"/>
      <c r="CM160" s="355"/>
      <c r="CN160" s="482"/>
      <c r="CO160" s="530"/>
      <c r="CP160" s="530"/>
      <c r="CQ160" s="530"/>
      <c r="CR160" s="355"/>
      <c r="CS160" s="530"/>
      <c r="CT160" s="530"/>
      <c r="CU160" s="530"/>
      <c r="CV160" s="530"/>
      <c r="CW160" s="355"/>
      <c r="CX160" s="530"/>
      <c r="CY160" s="530"/>
      <c r="CZ160" s="530"/>
      <c r="DA160" s="530"/>
      <c r="DB160" s="355"/>
      <c r="DC160" s="573"/>
      <c r="DD160" s="573"/>
      <c r="DE160" s="573"/>
      <c r="DF160" s="573"/>
      <c r="DG160" s="355"/>
      <c r="DH160" s="573"/>
      <c r="DI160" s="573"/>
      <c r="DJ160" s="573"/>
      <c r="DK160" s="573"/>
      <c r="DL160" s="355"/>
      <c r="DM160" s="573"/>
      <c r="DN160" s="573"/>
      <c r="DO160" s="573"/>
      <c r="DP160" s="573"/>
      <c r="DQ160" s="355"/>
      <c r="DR160" s="175"/>
      <c r="DT160"/>
      <c r="DU160"/>
      <c r="DV160"/>
      <c r="DW160"/>
      <c r="DX160"/>
      <c r="DY160"/>
    </row>
    <row r="161" spans="1:129" s="188" customFormat="1">
      <c r="A161" s="175"/>
      <c r="B161" s="3" t="s">
        <v>277</v>
      </c>
      <c r="C161" s="74"/>
      <c r="D161" s="74"/>
      <c r="E161" s="74"/>
      <c r="F161" s="74"/>
      <c r="G161" s="74"/>
      <c r="H161" s="74"/>
      <c r="I161" s="74"/>
      <c r="J161" s="74"/>
      <c r="K161" s="355"/>
      <c r="L161" s="74"/>
      <c r="M161" s="74"/>
      <c r="N161" s="74"/>
      <c r="O161" s="74"/>
      <c r="P161" s="355"/>
      <c r="Q161" s="74"/>
      <c r="R161" s="74"/>
      <c r="S161" s="74"/>
      <c r="T161" s="74"/>
      <c r="U161" s="355"/>
      <c r="V161" s="74"/>
      <c r="W161" s="74"/>
      <c r="X161" s="74"/>
      <c r="Y161" s="74"/>
      <c r="Z161" s="355"/>
      <c r="AA161" s="74"/>
      <c r="AB161" s="74"/>
      <c r="AC161" s="74"/>
      <c r="AD161" s="74"/>
      <c r="AE161" s="355"/>
      <c r="AF161" s="74"/>
      <c r="AG161" s="74"/>
      <c r="AH161" s="74"/>
      <c r="AI161" s="74"/>
      <c r="AJ161" s="355"/>
      <c r="AK161" s="74"/>
      <c r="AL161" s="74"/>
      <c r="AM161" s="74"/>
      <c r="AN161" s="74"/>
      <c r="AO161" s="355"/>
      <c r="AP161" s="74"/>
      <c r="AQ161" s="74"/>
      <c r="AR161" s="74"/>
      <c r="AS161" s="74"/>
      <c r="AT161" s="355"/>
      <c r="AU161" s="74"/>
      <c r="AV161" s="74"/>
      <c r="AW161" s="74"/>
      <c r="AX161" s="74"/>
      <c r="AY161" s="355"/>
      <c r="AZ161" s="74"/>
      <c r="BA161" s="74"/>
      <c r="BB161" s="74"/>
      <c r="BC161" s="74"/>
      <c r="BD161" s="355"/>
      <c r="BE161" s="74"/>
      <c r="BF161" s="74"/>
      <c r="BG161" s="74"/>
      <c r="BH161" s="74"/>
      <c r="BI161" s="355"/>
      <c r="BJ161" s="74"/>
      <c r="BK161" s="74"/>
      <c r="BL161" s="74"/>
      <c r="BM161" s="74"/>
      <c r="BN161" s="355"/>
      <c r="BO161" s="74"/>
      <c r="BP161" s="74"/>
      <c r="BQ161" s="74"/>
      <c r="BR161" s="74"/>
      <c r="BS161" s="355"/>
      <c r="BT161" s="74"/>
      <c r="BU161" s="74"/>
      <c r="BV161" s="74"/>
      <c r="BW161" s="74"/>
      <c r="BX161" s="355"/>
      <c r="BY161" s="74"/>
      <c r="BZ161" s="74"/>
      <c r="CA161" s="74"/>
      <c r="CB161" s="74"/>
      <c r="CC161" s="355"/>
      <c r="CD161" s="74"/>
      <c r="CE161" s="74"/>
      <c r="CF161" s="74"/>
      <c r="CG161" s="74"/>
      <c r="CH161" s="355"/>
      <c r="CI161" s="74"/>
      <c r="CJ161" s="74"/>
      <c r="CK161" s="74"/>
      <c r="CL161" s="482"/>
      <c r="CM161" s="355"/>
      <c r="CN161" s="1132">
        <f>+CN162/CM11*4</f>
        <v>3.5818240339397726E-2</v>
      </c>
      <c r="CO161" s="1132">
        <f t="shared" ref="CO161" si="494">+CO162/CN11*4</f>
        <v>5.5372030832153529E-2</v>
      </c>
      <c r="CP161" s="1132">
        <f t="shared" ref="CP161" si="495">+CP162/CO11*4</f>
        <v>7.6012117873863944E-2</v>
      </c>
      <c r="CQ161" s="1132">
        <f t="shared" ref="CQ161" si="496">+CQ162/CP11*4</f>
        <v>7.421954357689442E-2</v>
      </c>
      <c r="CR161" s="669">
        <f>+CR162/CM11</f>
        <v>4.1638704394549857E-2</v>
      </c>
      <c r="CS161" s="1132">
        <f>+CS162/CR11*4</f>
        <v>5.7594579333709775E-2</v>
      </c>
      <c r="CT161" s="1132">
        <f t="shared" ref="CT161" si="497">+CT162/CS11*4</f>
        <v>7.2450452815330108E-2</v>
      </c>
      <c r="CU161" s="1132">
        <f t="shared" ref="CU161" si="498">+CU162/CT11*4</f>
        <v>6.4588898783021667E-2</v>
      </c>
      <c r="CV161" s="1132">
        <f t="shared" ref="CV161" si="499">+CV162/CU11*4</f>
        <v>7.4824227568857649E-2</v>
      </c>
      <c r="CW161" s="669">
        <f>+CW162/CR11</f>
        <v>5.3830227743271231E-2</v>
      </c>
      <c r="CX161" s="1132">
        <f>+CX162/CW11*4</f>
        <v>6.2930186823992151E-2</v>
      </c>
      <c r="CY161" s="1132">
        <f>+CY162/CX11*4</f>
        <v>9.480122324159021E-2</v>
      </c>
      <c r="CZ161" s="1132">
        <f>+CZ162/CY11*4</f>
        <v>0.11754537597234227</v>
      </c>
      <c r="DA161" s="1132">
        <f t="shared" ref="DA161" si="500">+DA162/CZ11*4</f>
        <v>9.1312618896639192E-2</v>
      </c>
      <c r="DB161" s="669">
        <f>+DB162/CW11</f>
        <v>6.5388397246804342E-2</v>
      </c>
      <c r="DC161" s="1137">
        <v>7.0000000000000007E-2</v>
      </c>
      <c r="DD161" s="1137">
        <v>7.0000000000000007E-2</v>
      </c>
      <c r="DE161" s="1137">
        <v>7.0000000000000007E-2</v>
      </c>
      <c r="DF161" s="1137">
        <v>7.0000000000000007E-2</v>
      </c>
      <c r="DG161" s="669">
        <f>+DG162/DB11</f>
        <v>6.8345709355290898E-2</v>
      </c>
      <c r="DH161" s="1137">
        <v>0.06</v>
      </c>
      <c r="DI161" s="1137">
        <f>+DH161</f>
        <v>0.06</v>
      </c>
      <c r="DJ161" s="1137">
        <f t="shared" ref="DJ161:DK161" si="501">+DI161</f>
        <v>0.06</v>
      </c>
      <c r="DK161" s="1137">
        <f t="shared" si="501"/>
        <v>0.06</v>
      </c>
      <c r="DL161" s="355"/>
      <c r="DM161" s="1137">
        <v>0.05</v>
      </c>
      <c r="DN161" s="1137">
        <f t="shared" ref="DN161" si="502">+DM161</f>
        <v>0.05</v>
      </c>
      <c r="DO161" s="1137">
        <f t="shared" ref="DO161" si="503">+DN161</f>
        <v>0.05</v>
      </c>
      <c r="DP161" s="1137">
        <f t="shared" ref="DP161" si="504">+DO161</f>
        <v>0.05</v>
      </c>
      <c r="DQ161" s="355"/>
      <c r="DR161" s="175"/>
      <c r="DT161"/>
      <c r="DU161"/>
      <c r="DV161"/>
      <c r="DW161"/>
      <c r="DX161"/>
      <c r="DY161"/>
    </row>
    <row r="162" spans="1:129" s="188" customFormat="1">
      <c r="A162" s="175"/>
      <c r="B162" s="73" t="s">
        <v>329</v>
      </c>
      <c r="C162" s="74"/>
      <c r="D162" s="74"/>
      <c r="E162" s="74"/>
      <c r="F162" s="74"/>
      <c r="G162" s="74"/>
      <c r="H162" s="74"/>
      <c r="I162" s="74"/>
      <c r="J162" s="74"/>
      <c r="K162" s="355"/>
      <c r="L162" s="74"/>
      <c r="M162" s="74"/>
      <c r="N162" s="74"/>
      <c r="O162" s="74"/>
      <c r="P162" s="355"/>
      <c r="Q162" s="74"/>
      <c r="R162" s="74"/>
      <c r="S162" s="74"/>
      <c r="T162" s="74"/>
      <c r="U162" s="355"/>
      <c r="V162" s="74"/>
      <c r="W162" s="74"/>
      <c r="X162" s="74"/>
      <c r="Y162" s="74"/>
      <c r="Z162" s="355"/>
      <c r="AA162" s="74"/>
      <c r="AB162" s="74"/>
      <c r="AC162" s="74"/>
      <c r="AD162" s="74"/>
      <c r="AE162" s="355"/>
      <c r="AF162" s="74"/>
      <c r="AG162" s="74"/>
      <c r="AH162" s="74"/>
      <c r="AI162" s="74"/>
      <c r="AJ162" s="355"/>
      <c r="AK162" s="74"/>
      <c r="AL162" s="74"/>
      <c r="AM162" s="74"/>
      <c r="AN162" s="74"/>
      <c r="AO162" s="355"/>
      <c r="AP162" s="74"/>
      <c r="AQ162" s="74"/>
      <c r="AR162" s="74"/>
      <c r="AS162" s="74"/>
      <c r="AT162" s="355"/>
      <c r="AU162" s="74"/>
      <c r="AV162" s="74"/>
      <c r="AW162" s="74"/>
      <c r="AX162" s="74"/>
      <c r="AY162" s="355"/>
      <c r="AZ162" s="74"/>
      <c r="BA162" s="74"/>
      <c r="BB162" s="74"/>
      <c r="BC162" s="74"/>
      <c r="BD162" s="355"/>
      <c r="BE162" s="74"/>
      <c r="BF162" s="74"/>
      <c r="BG162" s="74"/>
      <c r="BH162" s="74"/>
      <c r="BI162" s="355"/>
      <c r="BJ162" s="74"/>
      <c r="BK162" s="74"/>
      <c r="BL162" s="74"/>
      <c r="BM162" s="74"/>
      <c r="BN162" s="355"/>
      <c r="BO162" s="74"/>
      <c r="BP162" s="74"/>
      <c r="BQ162" s="74"/>
      <c r="BR162" s="74"/>
      <c r="BS162" s="355"/>
      <c r="BT162" s="74"/>
      <c r="BU162" s="74"/>
      <c r="BV162" s="74"/>
      <c r="BW162" s="74"/>
      <c r="BX162" s="355"/>
      <c r="BY162" s="74"/>
      <c r="BZ162" s="74"/>
      <c r="CA162" s="74"/>
      <c r="CB162" s="74"/>
      <c r="CC162" s="355"/>
      <c r="CD162" s="74"/>
      <c r="CE162" s="74"/>
      <c r="CF162" s="74"/>
      <c r="CG162" s="74"/>
      <c r="CH162" s="355"/>
      <c r="CI162" s="74"/>
      <c r="CJ162" s="74"/>
      <c r="CK162" s="74"/>
      <c r="CL162" s="482"/>
      <c r="CM162" s="355"/>
      <c r="CN162" s="530">
        <f>+IS!CN60</f>
        <v>18</v>
      </c>
      <c r="CO162" s="530">
        <f>+IS!CO60</f>
        <v>17.600000000000001</v>
      </c>
      <c r="CP162" s="530">
        <f>+IS!CP60</f>
        <v>20.7</v>
      </c>
      <c r="CQ162" s="530">
        <f>+IS!CQ60</f>
        <v>27.4</v>
      </c>
      <c r="CR162" s="355">
        <f>+IS!CR60</f>
        <v>83.699999999999989</v>
      </c>
      <c r="CS162" s="530">
        <f>+IS!CS60</f>
        <v>30.6</v>
      </c>
      <c r="CT162" s="530">
        <f>+IS!CT60</f>
        <v>27.6</v>
      </c>
      <c r="CU162" s="530">
        <f>+IS!CU60</f>
        <v>27.2</v>
      </c>
      <c r="CV162" s="530">
        <f>+IS!CV60</f>
        <v>29</v>
      </c>
      <c r="CW162" s="355">
        <f>+IS!CW60</f>
        <v>114.4</v>
      </c>
      <c r="CX162" s="530">
        <f>+IS!CX60</f>
        <v>32</v>
      </c>
      <c r="CY162" s="530">
        <f>+IS!CY60</f>
        <v>31</v>
      </c>
      <c r="CZ162" s="530">
        <f>+IS!CZ60</f>
        <v>34</v>
      </c>
      <c r="DA162" s="530">
        <f>+IS!DA60</f>
        <v>36</v>
      </c>
      <c r="DB162" s="355">
        <f>+IS!DB60</f>
        <v>133</v>
      </c>
      <c r="DC162" s="573">
        <f>+DB11*DC161/4</f>
        <v>33.6875</v>
      </c>
      <c r="DD162" s="573">
        <f>+DC11*DD161/4</f>
        <v>32.55708096844301</v>
      </c>
      <c r="DE162" s="573">
        <f t="shared" ref="DE162:DF162" si="505">+DD11*DE161/4</f>
        <v>30.325400329073879</v>
      </c>
      <c r="DF162" s="573">
        <f t="shared" si="505"/>
        <v>34.99550921141806</v>
      </c>
      <c r="DG162" s="355">
        <f>+SUM(DC162:DF162)</f>
        <v>131.56549050893497</v>
      </c>
      <c r="DH162" s="573">
        <f>+DG11*DH161/4</f>
        <v>34.768617631639991</v>
      </c>
      <c r="DI162" s="573">
        <f t="shared" ref="DI162" si="506">+DH11*DI161/4</f>
        <v>36.277722973558312</v>
      </c>
      <c r="DJ162" s="573">
        <f t="shared" ref="DJ162" si="507">+DI11*DJ161/4</f>
        <v>34.296878332078485</v>
      </c>
      <c r="DK162" s="573">
        <f t="shared" ref="DK162" si="508">+DJ11*DK161/4</f>
        <v>37.544037232781051</v>
      </c>
      <c r="DL162" s="355">
        <f>+SUM(DH162:DK162)</f>
        <v>142.88725617005784</v>
      </c>
      <c r="DM162" s="573">
        <f>+DL11*DM161/4</f>
        <v>35.37840667836447</v>
      </c>
      <c r="DN162" s="573">
        <f t="shared" ref="DN162" si="509">+DM11*DN161/4</f>
        <v>38.653079165506526</v>
      </c>
      <c r="DO162" s="573">
        <f t="shared" ref="DO162" si="510">+DN11*DO161/4</f>
        <v>37.394167192213551</v>
      </c>
      <c r="DP162" s="573">
        <f t="shared" ref="DP162" si="511">+DO11*DP161/4</f>
        <v>40.214263304038838</v>
      </c>
      <c r="DQ162" s="355">
        <f>+SUM(DM162:DP162)</f>
        <v>151.63991634012339</v>
      </c>
      <c r="DR162" s="175"/>
      <c r="DT162"/>
      <c r="DU162"/>
      <c r="DV162"/>
      <c r="DW162"/>
      <c r="DX162"/>
      <c r="DY162"/>
    </row>
    <row r="163" spans="1:129">
      <c r="A163" s="1"/>
      <c r="B163" s="6"/>
      <c r="C163" s="7"/>
      <c r="D163" s="7"/>
      <c r="E163" s="7"/>
      <c r="F163" s="7"/>
      <c r="G163" s="7"/>
      <c r="H163" s="7"/>
      <c r="I163" s="7"/>
      <c r="J163" s="7"/>
      <c r="K163" s="815"/>
      <c r="L163" s="7"/>
      <c r="M163" s="7"/>
      <c r="N163" s="7"/>
      <c r="O163" s="7"/>
      <c r="P163" s="815"/>
      <c r="Q163" s="7"/>
      <c r="R163" s="7"/>
      <c r="S163" s="7"/>
      <c r="T163" s="7"/>
      <c r="U163" s="815"/>
      <c r="V163" s="7"/>
      <c r="W163" s="7"/>
      <c r="X163" s="7"/>
      <c r="Y163" s="7"/>
      <c r="Z163" s="815"/>
      <c r="AA163" s="7"/>
      <c r="AB163" s="7"/>
      <c r="AC163" s="7"/>
      <c r="AD163" s="7"/>
      <c r="AE163" s="815"/>
      <c r="AF163" s="7"/>
      <c r="AG163" s="7"/>
      <c r="AH163" s="7"/>
      <c r="AI163" s="7"/>
      <c r="AJ163" s="815"/>
      <c r="AK163" s="7"/>
      <c r="AL163" s="7"/>
      <c r="AM163" s="7"/>
      <c r="AN163" s="7"/>
      <c r="AO163" s="815"/>
      <c r="AP163" s="7"/>
      <c r="AQ163" s="7"/>
      <c r="AR163" s="7"/>
      <c r="AS163" s="7"/>
      <c r="AT163" s="815"/>
      <c r="AU163" s="7"/>
      <c r="AV163" s="7"/>
      <c r="AW163" s="7"/>
      <c r="AX163" s="7"/>
      <c r="AY163" s="815"/>
      <c r="AZ163" s="7"/>
      <c r="BA163" s="7"/>
      <c r="BB163" s="7"/>
      <c r="BC163" s="7"/>
      <c r="BD163" s="815"/>
      <c r="BE163" s="7"/>
      <c r="BF163" s="7"/>
      <c r="BG163" s="7"/>
      <c r="BH163" s="7"/>
      <c r="BI163" s="815"/>
      <c r="BJ163" s="7"/>
      <c r="BK163" s="7"/>
      <c r="BL163" s="7"/>
      <c r="BM163" s="7"/>
      <c r="BN163" s="815"/>
      <c r="BO163" s="7"/>
      <c r="BP163" s="7"/>
      <c r="BQ163" s="7"/>
      <c r="BR163" s="7"/>
      <c r="BS163" s="815"/>
      <c r="BT163" s="7"/>
      <c r="BU163" s="7"/>
      <c r="BV163" s="7"/>
      <c r="BW163" s="7"/>
      <c r="BX163" s="815"/>
      <c r="BY163" s="7"/>
      <c r="BZ163" s="7"/>
      <c r="CA163" s="7"/>
      <c r="CB163" s="7"/>
      <c r="CC163" s="815"/>
      <c r="CD163" s="7"/>
      <c r="CE163" s="7"/>
      <c r="CF163" s="7"/>
      <c r="CG163" s="7"/>
      <c r="CH163" s="815"/>
      <c r="CI163" s="7"/>
      <c r="CJ163" s="7"/>
      <c r="CK163" s="7"/>
      <c r="CL163" s="7"/>
      <c r="CM163" s="815"/>
      <c r="CN163" s="7"/>
      <c r="CO163" s="7"/>
      <c r="CP163" s="7"/>
      <c r="CQ163" s="7"/>
      <c r="CR163" s="815"/>
      <c r="CS163" s="7"/>
      <c r="CT163" s="7"/>
      <c r="CU163" s="7"/>
      <c r="CV163" s="7"/>
      <c r="CW163" s="815"/>
      <c r="CX163" s="7"/>
      <c r="CY163" s="7"/>
      <c r="CZ163" s="7"/>
      <c r="DA163" s="7"/>
      <c r="DB163" s="815"/>
      <c r="DC163" s="7"/>
      <c r="DD163" s="7"/>
      <c r="DE163" s="7"/>
      <c r="DF163" s="7"/>
      <c r="DG163" s="815"/>
      <c r="DH163" s="7"/>
      <c r="DI163" s="7"/>
      <c r="DJ163" s="7"/>
      <c r="DK163" s="7"/>
      <c r="DL163" s="815"/>
      <c r="DM163" s="7"/>
      <c r="DN163" s="7"/>
      <c r="DO163" s="7"/>
      <c r="DP163" s="7"/>
      <c r="DQ163" s="815"/>
    </row>
    <row r="164" spans="1:129">
      <c r="A164" s="1"/>
      <c r="B164" s="1"/>
      <c r="C164" s="1"/>
      <c r="D164" s="1"/>
      <c r="E164" s="1"/>
      <c r="F164" s="1"/>
      <c r="G164" s="1"/>
      <c r="H164" s="1"/>
      <c r="I164" s="1"/>
      <c r="J164" s="1"/>
      <c r="K164" s="352"/>
      <c r="L164" s="1"/>
      <c r="M164" s="1"/>
      <c r="N164" s="1"/>
      <c r="O164" s="1"/>
      <c r="P164" s="352"/>
      <c r="Q164" s="1"/>
      <c r="R164" s="1"/>
      <c r="S164" s="1"/>
      <c r="T164" s="1"/>
      <c r="U164" s="352"/>
      <c r="V164" s="1"/>
      <c r="W164" s="1"/>
      <c r="X164" s="1"/>
      <c r="Y164" s="1"/>
      <c r="Z164" s="352"/>
      <c r="AA164" s="1"/>
      <c r="AB164" s="1"/>
      <c r="AC164" s="1"/>
      <c r="AD164" s="1"/>
      <c r="AE164" s="352"/>
      <c r="AF164" s="1"/>
      <c r="AG164" s="1"/>
      <c r="AH164" s="1"/>
      <c r="AI164" s="1"/>
      <c r="AJ164" s="352"/>
      <c r="AK164" s="1"/>
      <c r="AL164" s="1"/>
      <c r="AM164" s="1"/>
      <c r="AN164" s="1"/>
      <c r="AO164" s="352"/>
      <c r="AP164" s="1"/>
      <c r="AQ164" s="1"/>
      <c r="AR164" s="1"/>
      <c r="AS164" s="1"/>
      <c r="AT164" s="352"/>
      <c r="AU164" s="1"/>
      <c r="AV164" s="1"/>
      <c r="AW164" s="1"/>
      <c r="AX164" s="1"/>
      <c r="AY164" s="352"/>
      <c r="AZ164" s="1"/>
      <c r="BA164" s="1"/>
      <c r="BB164" s="1"/>
      <c r="BC164" s="1"/>
      <c r="BD164" s="352"/>
      <c r="BE164" s="1"/>
      <c r="BF164" s="1"/>
      <c r="BG164" s="1"/>
      <c r="BH164" s="1"/>
      <c r="BI164" s="352"/>
      <c r="BJ164" s="1"/>
      <c r="BK164" s="1"/>
      <c r="BL164" s="1"/>
      <c r="BM164" s="1"/>
      <c r="BN164" s="352"/>
      <c r="BO164" s="1"/>
      <c r="BP164" s="1"/>
      <c r="BQ164" s="1"/>
      <c r="BR164" s="1"/>
      <c r="BS164" s="352"/>
      <c r="BT164" s="1"/>
      <c r="BU164" s="1"/>
      <c r="BV164" s="1"/>
      <c r="BW164" s="1"/>
      <c r="BX164" s="352"/>
      <c r="BY164" s="1"/>
      <c r="BZ164" s="1"/>
      <c r="CA164" s="1"/>
      <c r="CB164" s="1"/>
      <c r="CC164" s="352"/>
      <c r="CD164" s="1"/>
      <c r="CE164" s="1"/>
      <c r="CF164" s="1"/>
      <c r="CG164" s="1"/>
      <c r="CH164" s="352"/>
      <c r="CI164" s="1"/>
      <c r="CJ164" s="1"/>
      <c r="CK164" s="1"/>
      <c r="CL164" s="1"/>
      <c r="CM164" s="352"/>
      <c r="CN164" s="1"/>
      <c r="CO164" s="1"/>
      <c r="CP164" s="1"/>
      <c r="CQ164" s="1"/>
      <c r="CR164" s="352"/>
      <c r="CS164" s="1"/>
      <c r="CT164" s="1"/>
      <c r="CU164" s="4"/>
      <c r="CV164" s="7"/>
      <c r="CW164" s="352"/>
      <c r="CX164" s="1"/>
      <c r="CY164" s="1"/>
      <c r="CZ164" s="1"/>
      <c r="DA164" s="1"/>
      <c r="DB164" s="352"/>
      <c r="DC164" s="1"/>
      <c r="DD164" s="1"/>
      <c r="DE164" s="1"/>
      <c r="DF164" s="1"/>
      <c r="DG164" s="352"/>
      <c r="DH164" s="1"/>
      <c r="DI164" s="1"/>
      <c r="DJ164" s="1"/>
      <c r="DK164" s="1"/>
      <c r="DL164" s="352"/>
      <c r="DM164" s="1"/>
      <c r="DN164" s="1"/>
      <c r="DO164" s="1"/>
      <c r="DP164" s="1"/>
      <c r="DQ164" s="352"/>
      <c r="DR164" s="3"/>
    </row>
    <row r="165" spans="1:129">
      <c r="A165" s="1"/>
      <c r="B165" s="1066" t="s">
        <v>218</v>
      </c>
      <c r="C165" s="986"/>
      <c r="D165" s="986"/>
      <c r="E165" s="986"/>
      <c r="F165" s="986"/>
      <c r="G165" s="987"/>
      <c r="H165" s="986"/>
      <c r="I165" s="986"/>
      <c r="J165" s="988"/>
      <c r="K165" s="1067"/>
      <c r="L165" s="987"/>
      <c r="M165" s="986"/>
      <c r="N165" s="986"/>
      <c r="O165" s="986"/>
      <c r="P165" s="1067"/>
      <c r="Q165" s="987"/>
      <c r="R165" s="986"/>
      <c r="S165" s="986"/>
      <c r="T165" s="988"/>
      <c r="U165" s="1067"/>
      <c r="V165" s="986"/>
      <c r="W165" s="986"/>
      <c r="X165" s="986"/>
      <c r="Y165" s="988"/>
      <c r="Z165" s="1067"/>
      <c r="AA165" s="986"/>
      <c r="AB165" s="986"/>
      <c r="AC165" s="986"/>
      <c r="AD165" s="986"/>
      <c r="AE165" s="1067"/>
      <c r="AF165" s="986"/>
      <c r="AG165" s="986"/>
      <c r="AH165" s="986"/>
      <c r="AI165" s="986"/>
      <c r="AJ165" s="1067"/>
      <c r="AK165" s="986"/>
      <c r="AL165" s="986"/>
      <c r="AM165" s="986"/>
      <c r="AN165" s="986"/>
      <c r="AO165" s="1067"/>
      <c r="AP165" s="986"/>
      <c r="AQ165" s="986"/>
      <c r="AR165" s="986"/>
      <c r="AS165" s="986"/>
      <c r="AT165" s="1067"/>
      <c r="AU165" s="986"/>
      <c r="AV165" s="986"/>
      <c r="AW165" s="986"/>
      <c r="AX165" s="986"/>
      <c r="AY165" s="1067"/>
      <c r="AZ165" s="986"/>
      <c r="BA165" s="986"/>
      <c r="BB165" s="986"/>
      <c r="BC165" s="986"/>
      <c r="BD165" s="1067"/>
      <c r="BE165" s="986"/>
      <c r="BF165" s="986"/>
      <c r="BG165" s="986"/>
      <c r="BH165" s="986"/>
      <c r="BI165" s="1067"/>
      <c r="BJ165" s="986"/>
      <c r="BK165" s="986"/>
      <c r="BL165" s="986"/>
      <c r="BM165" s="986"/>
      <c r="BN165" s="1067"/>
      <c r="BO165" s="986"/>
      <c r="BP165" s="986"/>
      <c r="BQ165" s="986"/>
      <c r="BR165" s="986"/>
      <c r="BS165" s="1067"/>
      <c r="BT165" s="986"/>
      <c r="BU165" s="986"/>
      <c r="BV165" s="986"/>
      <c r="BW165" s="986"/>
      <c r="BX165" s="1067"/>
      <c r="BY165" s="986"/>
      <c r="BZ165" s="986"/>
      <c r="CA165" s="986"/>
      <c r="CB165" s="986"/>
      <c r="CC165" s="1067"/>
      <c r="CD165" s="986"/>
      <c r="CE165" s="986"/>
      <c r="CF165" s="986"/>
      <c r="CG165" s="986"/>
      <c r="CH165" s="1067"/>
      <c r="CI165" s="986"/>
      <c r="CJ165" s="986"/>
      <c r="CK165" s="986"/>
      <c r="CL165" s="986"/>
      <c r="CM165" s="1067"/>
      <c r="CN165" s="986"/>
      <c r="CO165" s="986"/>
      <c r="CP165" s="986"/>
      <c r="CQ165" s="986"/>
      <c r="CR165" s="1067"/>
      <c r="CS165" s="986"/>
      <c r="CT165" s="986"/>
      <c r="CU165" s="986"/>
      <c r="CV165" s="986"/>
      <c r="CW165" s="1067"/>
      <c r="CX165" s="986"/>
      <c r="CY165" s="986"/>
      <c r="CZ165" s="986"/>
      <c r="DA165" s="986"/>
      <c r="DB165" s="1067"/>
      <c r="DC165" s="986"/>
      <c r="DD165" s="986"/>
      <c r="DE165" s="986"/>
      <c r="DF165" s="986"/>
      <c r="DG165" s="1067"/>
      <c r="DH165" s="986"/>
      <c r="DI165" s="986"/>
      <c r="DJ165" s="986"/>
      <c r="DK165" s="986"/>
      <c r="DL165" s="1067"/>
      <c r="DM165" s="986"/>
      <c r="DN165" s="986"/>
      <c r="DO165" s="986"/>
      <c r="DP165" s="986"/>
      <c r="DQ165" s="1067"/>
      <c r="DR165" s="3"/>
      <c r="DS165" s="112"/>
    </row>
    <row r="166" spans="1:129" s="177" customFormat="1" hidden="1" outlineLevel="1">
      <c r="A166" s="19"/>
      <c r="B166" s="53" t="s">
        <v>152</v>
      </c>
      <c r="C166" s="54"/>
      <c r="D166" s="54"/>
      <c r="E166" s="54"/>
      <c r="F166" s="54"/>
      <c r="G166" s="78"/>
      <c r="H166" s="77">
        <f t="shared" ref="H166:AU166" si="512">H167+H168-H169</f>
        <v>0</v>
      </c>
      <c r="I166" s="77">
        <f t="shared" si="512"/>
        <v>39.5392289786285</v>
      </c>
      <c r="J166" s="79">
        <f t="shared" si="512"/>
        <v>35.936132846130157</v>
      </c>
      <c r="K166" s="819"/>
      <c r="L166" s="78">
        <f t="shared" si="512"/>
        <v>48.961213732686574</v>
      </c>
      <c r="M166" s="77">
        <f t="shared" si="512"/>
        <v>51.983058948861569</v>
      </c>
      <c r="N166" s="77">
        <f t="shared" si="512"/>
        <v>44.736385666401041</v>
      </c>
      <c r="O166" s="77">
        <f t="shared" si="512"/>
        <v>36.547491930552852</v>
      </c>
      <c r="P166" s="819">
        <f>P167+P168-P169</f>
        <v>35.370130844207068</v>
      </c>
      <c r="Q166" s="78">
        <f t="shared" si="512"/>
        <v>36.027808619953213</v>
      </c>
      <c r="R166" s="77">
        <f t="shared" si="512"/>
        <v>39.456194362917806</v>
      </c>
      <c r="S166" s="77">
        <f t="shared" si="512"/>
        <v>37.940957017084841</v>
      </c>
      <c r="T166" s="79">
        <f t="shared" si="512"/>
        <v>36.947400883316291</v>
      </c>
      <c r="U166" s="819">
        <f>U167+U168-U169</f>
        <v>33.691159864082337</v>
      </c>
      <c r="V166" s="77">
        <f t="shared" si="512"/>
        <v>38.14525917375488</v>
      </c>
      <c r="W166" s="77">
        <f t="shared" si="512"/>
        <v>43.197185882829864</v>
      </c>
      <c r="X166" s="77">
        <f t="shared" si="512"/>
        <v>45.000194080613639</v>
      </c>
      <c r="Y166" s="79">
        <f t="shared" si="512"/>
        <v>44.094045445158784</v>
      </c>
      <c r="Z166" s="819">
        <f>Z167+Z168-Z169</f>
        <v>38.719541887473554</v>
      </c>
      <c r="AA166" s="77">
        <f t="shared" si="512"/>
        <v>43.080604335559407</v>
      </c>
      <c r="AB166" s="77">
        <f t="shared" si="512"/>
        <v>44.294796267273568</v>
      </c>
      <c r="AC166" s="77">
        <f t="shared" si="512"/>
        <v>44.68350663801256</v>
      </c>
      <c r="AD166" s="77">
        <f t="shared" si="512"/>
        <v>39.884556943935912</v>
      </c>
      <c r="AE166" s="819">
        <f>AE167+AE168-AE169</f>
        <v>39.179369444778381</v>
      </c>
      <c r="AF166" s="77">
        <f t="shared" si="512"/>
        <v>39.756504003558398</v>
      </c>
      <c r="AG166" s="77">
        <f t="shared" si="512"/>
        <v>39.622515113220864</v>
      </c>
      <c r="AH166" s="77">
        <f t="shared" si="512"/>
        <v>41.690998174709208</v>
      </c>
      <c r="AI166" s="77">
        <f t="shared" si="512"/>
        <v>39.875948462827083</v>
      </c>
      <c r="AJ166" s="819">
        <f>AJ167+AJ168-AJ169</f>
        <v>35.990311132371644</v>
      </c>
      <c r="AK166" s="77">
        <f t="shared" si="512"/>
        <v>43.083586605920146</v>
      </c>
      <c r="AL166" s="77">
        <f t="shared" si="512"/>
        <v>46.66786668998266</v>
      </c>
      <c r="AM166" s="77">
        <f t="shared" si="512"/>
        <v>45.60226391431376</v>
      </c>
      <c r="AN166" s="77">
        <f t="shared" si="512"/>
        <v>45.523554969866218</v>
      </c>
      <c r="AO166" s="819">
        <f>AO167+AO168-AO169</f>
        <v>41.839635306645</v>
      </c>
      <c r="AP166" s="77">
        <f t="shared" si="512"/>
        <v>49.387718658022713</v>
      </c>
      <c r="AQ166" s="77">
        <f t="shared" si="512"/>
        <v>52.56061258171885</v>
      </c>
      <c r="AR166" s="77">
        <f t="shared" si="512"/>
        <v>54.165470240748455</v>
      </c>
      <c r="AS166" s="77">
        <f t="shared" si="512"/>
        <v>51.310395908815721</v>
      </c>
      <c r="AT166" s="819">
        <f>AT167+AT168-AT169</f>
        <v>48.672633507786998</v>
      </c>
      <c r="AU166" s="77">
        <f t="shared" si="512"/>
        <v>52.137450137727413</v>
      </c>
      <c r="AV166" s="77">
        <f t="shared" ref="AV166:CI166" si="513">AV167+AV168-AV169</f>
        <v>54.331054745484451</v>
      </c>
      <c r="AW166" s="77">
        <f t="shared" si="513"/>
        <v>56.541948297875017</v>
      </c>
      <c r="AX166" s="77">
        <f t="shared" si="513"/>
        <v>53.097501380146298</v>
      </c>
      <c r="AY166" s="819">
        <f>AY167+AY168-AY169</f>
        <v>50.63521133704792</v>
      </c>
      <c r="AZ166" s="77">
        <f t="shared" si="513"/>
        <v>52.465772463993815</v>
      </c>
      <c r="BA166" s="77">
        <f t="shared" si="513"/>
        <v>56.76263649969588</v>
      </c>
      <c r="BB166" s="77">
        <f t="shared" si="513"/>
        <v>60.11321533564702</v>
      </c>
      <c r="BC166" s="77">
        <f t="shared" si="513"/>
        <v>56.966787296866386</v>
      </c>
      <c r="BD166" s="819">
        <f>BD167+BD168-BD169</f>
        <v>53.118099636462645</v>
      </c>
      <c r="BE166" s="77">
        <f t="shared" si="513"/>
        <v>57.395542771954361</v>
      </c>
      <c r="BF166" s="77">
        <f t="shared" si="513"/>
        <v>61.618366637153159</v>
      </c>
      <c r="BG166" s="77">
        <f t="shared" si="513"/>
        <v>62.613957691409027</v>
      </c>
      <c r="BH166" s="77">
        <f t="shared" si="513"/>
        <v>62.15040827485285</v>
      </c>
      <c r="BI166" s="819">
        <f>BI167+BI168-BI169</f>
        <v>57.008700468704795</v>
      </c>
      <c r="BJ166" s="77">
        <f t="shared" si="513"/>
        <v>61.801381453463222</v>
      </c>
      <c r="BK166" s="77">
        <f t="shared" si="513"/>
        <v>61.970390903441682</v>
      </c>
      <c r="BL166" s="77">
        <f t="shared" si="513"/>
        <v>61.089197528275932</v>
      </c>
      <c r="BM166" s="77">
        <f t="shared" si="513"/>
        <v>60.990306612697488</v>
      </c>
      <c r="BN166" s="819">
        <f>BN167+BN168-BN169</f>
        <v>62.406826325651174</v>
      </c>
      <c r="BO166" s="77">
        <f t="shared" si="513"/>
        <v>60.822606174783999</v>
      </c>
      <c r="BP166" s="77">
        <f t="shared" si="513"/>
        <v>60.223227082183598</v>
      </c>
      <c r="BQ166" s="77">
        <f t="shared" si="513"/>
        <v>63.532942900694025</v>
      </c>
      <c r="BR166" s="77">
        <f t="shared" si="513"/>
        <v>62.197564703023232</v>
      </c>
      <c r="BS166" s="819">
        <f>BS167+BS168-BS169</f>
        <v>59.553315922691539</v>
      </c>
      <c r="BT166" s="77">
        <f t="shared" si="513"/>
        <v>59.861226633730027</v>
      </c>
      <c r="BU166" s="77">
        <f t="shared" si="513"/>
        <v>61.259930851938094</v>
      </c>
      <c r="BV166" s="77">
        <f t="shared" si="513"/>
        <v>62.873108890009703</v>
      </c>
      <c r="BW166" s="77">
        <f t="shared" si="513"/>
        <v>63.869502256065303</v>
      </c>
      <c r="BX166" s="819">
        <f>BX167+BX168-BX169</f>
        <v>61.944532171059315</v>
      </c>
      <c r="BY166" s="77">
        <f t="shared" si="513"/>
        <v>64.604152451202779</v>
      </c>
      <c r="BZ166" s="77">
        <f t="shared" si="513"/>
        <v>64.85308701262457</v>
      </c>
      <c r="CA166" s="77">
        <f t="shared" si="513"/>
        <v>65.455313842775183</v>
      </c>
      <c r="CB166" s="77">
        <f t="shared" si="513"/>
        <v>64.011426109266708</v>
      </c>
      <c r="CC166" s="819">
        <f>CC167+CC168-CC169</f>
        <v>63.017805266908709</v>
      </c>
      <c r="CD166" s="77">
        <f t="shared" si="513"/>
        <v>63.781370669459257</v>
      </c>
      <c r="CE166" s="77">
        <f t="shared" si="513"/>
        <v>65.497696489564689</v>
      </c>
      <c r="CF166" s="77">
        <f t="shared" si="513"/>
        <v>65.85313162504508</v>
      </c>
      <c r="CG166" s="77">
        <f t="shared" si="513"/>
        <v>65.576306400477165</v>
      </c>
      <c r="CH166" s="819">
        <f>CH167+CH168-CH169</f>
        <v>62.55194414679616</v>
      </c>
      <c r="CI166" s="77">
        <f t="shared" si="513"/>
        <v>63.214340145632079</v>
      </c>
      <c r="CJ166" s="77">
        <f t="shared" ref="CJ166:CP166" si="514">CJ167+CJ168-CJ169</f>
        <v>65.171467842920279</v>
      </c>
      <c r="CK166" s="77">
        <f t="shared" si="514"/>
        <v>68.19892406944841</v>
      </c>
      <c r="CL166" s="77">
        <f t="shared" si="514"/>
        <v>66.205290275390581</v>
      </c>
      <c r="CM166" s="819">
        <f>CM167+CM168-CM169</f>
        <v>66.429269878695251</v>
      </c>
      <c r="CN166" s="77">
        <f t="shared" si="514"/>
        <v>65.662454317555216</v>
      </c>
      <c r="CO166" s="356">
        <f t="shared" si="514"/>
        <v>65.230814217191366</v>
      </c>
      <c r="CP166" s="77">
        <f t="shared" si="514"/>
        <v>65.325936180241698</v>
      </c>
      <c r="CQ166" s="77">
        <f t="shared" ref="CQ166:DF166" si="515">CQ167+CQ168-CQ169</f>
        <v>65.409409233017215</v>
      </c>
      <c r="CR166" s="819">
        <f>CR167+CR168-CR169</f>
        <v>64.61431159799703</v>
      </c>
      <c r="CS166" s="77">
        <f t="shared" si="515"/>
        <v>67.542048072488754</v>
      </c>
      <c r="CT166" s="77">
        <f t="shared" si="515"/>
        <v>67.76486580195575</v>
      </c>
      <c r="CU166" s="77">
        <f t="shared" si="515"/>
        <v>69.175771363204021</v>
      </c>
      <c r="CV166" s="77">
        <f>CV167+CV168-CV169</f>
        <v>69.102005710007575</v>
      </c>
      <c r="CW166" s="819">
        <f>CW167+CW168-CW169</f>
        <v>67.123688025589843</v>
      </c>
      <c r="CX166" s="77">
        <f>CX167+CX168-CX169</f>
        <v>68.9096236672749</v>
      </c>
      <c r="CY166" s="77">
        <f>CY167+CY168-CY169</f>
        <v>68.756643572386665</v>
      </c>
      <c r="CZ166" s="77">
        <f t="shared" si="515"/>
        <v>70.179806708606677</v>
      </c>
      <c r="DA166" s="77">
        <f t="shared" si="515"/>
        <v>69.983059702814231</v>
      </c>
      <c r="DB166" s="819">
        <f>DB167+DB168-DB169</f>
        <v>67.824235589908056</v>
      </c>
      <c r="DC166" s="77">
        <f t="shared" si="515"/>
        <v>68.9096236672749</v>
      </c>
      <c r="DD166" s="77">
        <f t="shared" si="515"/>
        <v>68.756643572386665</v>
      </c>
      <c r="DE166" s="77">
        <f t="shared" si="515"/>
        <v>70.179806708606677</v>
      </c>
      <c r="DF166" s="77">
        <f t="shared" si="515"/>
        <v>69.983059702814231</v>
      </c>
      <c r="DG166" s="819">
        <f t="shared" ref="DG166:DL166" si="516">DG167+DG168-DG169</f>
        <v>68.614449451498942</v>
      </c>
      <c r="DH166" s="77">
        <f t="shared" si="516"/>
        <v>68.9096236672749</v>
      </c>
      <c r="DI166" s="77">
        <f t="shared" si="516"/>
        <v>68.756643572386665</v>
      </c>
      <c r="DJ166" s="77">
        <f t="shared" si="516"/>
        <v>70.179806708606677</v>
      </c>
      <c r="DK166" s="77">
        <f t="shared" si="516"/>
        <v>69.983059702814231</v>
      </c>
      <c r="DL166" s="819">
        <f t="shared" si="516"/>
        <v>69.563327313090667</v>
      </c>
      <c r="DM166" s="77">
        <f t="shared" ref="DM166:DQ166" si="517">DM167+DM168-DM169</f>
        <v>68.9096236672749</v>
      </c>
      <c r="DN166" s="77">
        <f t="shared" si="517"/>
        <v>68.756643572386665</v>
      </c>
      <c r="DO166" s="77">
        <f t="shared" si="517"/>
        <v>70.179806708606677</v>
      </c>
      <c r="DP166" s="77">
        <f t="shared" si="517"/>
        <v>69.983059702814231</v>
      </c>
      <c r="DQ166" s="819">
        <f t="shared" si="517"/>
        <v>69.542444734181998</v>
      </c>
      <c r="DR166" s="31"/>
      <c r="DS166" s="54"/>
      <c r="DT166"/>
      <c r="DU166"/>
      <c r="DV166"/>
      <c r="DW166"/>
      <c r="DX166"/>
      <c r="DY166"/>
    </row>
    <row r="167" spans="1:129" s="184" customFormat="1" hidden="1" outlineLevel="1">
      <c r="A167" s="75"/>
      <c r="B167" s="67"/>
      <c r="C167" s="64" t="s">
        <v>153</v>
      </c>
      <c r="D167" s="64"/>
      <c r="E167" s="64"/>
      <c r="F167" s="64"/>
      <c r="G167" s="67"/>
      <c r="H167" s="310">
        <f t="shared" ref="H167:AU167" si="518">H141</f>
        <v>0</v>
      </c>
      <c r="I167" s="310">
        <f t="shared" si="518"/>
        <v>48.889158950617293</v>
      </c>
      <c r="J167" s="311">
        <f t="shared" si="518"/>
        <v>45.82387820512821</v>
      </c>
      <c r="K167" s="820"/>
      <c r="L167" s="312">
        <f t="shared" si="518"/>
        <v>57.916901253304616</v>
      </c>
      <c r="M167" s="310">
        <f t="shared" si="518"/>
        <v>58.335397478835233</v>
      </c>
      <c r="N167" s="310">
        <f t="shared" si="518"/>
        <v>49.211018097569507</v>
      </c>
      <c r="O167" s="310">
        <f t="shared" si="518"/>
        <v>41.686001286093607</v>
      </c>
      <c r="P167" s="820">
        <f>P141</f>
        <v>43.35668248897688</v>
      </c>
      <c r="Q167" s="312">
        <f t="shared" si="518"/>
        <v>41.468692279275949</v>
      </c>
      <c r="R167" s="310">
        <f t="shared" si="518"/>
        <v>43.857445520581116</v>
      </c>
      <c r="S167" s="310">
        <f t="shared" si="518"/>
        <v>42.228976338696206</v>
      </c>
      <c r="T167" s="311">
        <f t="shared" si="518"/>
        <v>43.247783353226325</v>
      </c>
      <c r="U167" s="820">
        <f>U141</f>
        <v>40.702943129656802</v>
      </c>
      <c r="V167" s="312">
        <f t="shared" si="518"/>
        <v>42.563991797990973</v>
      </c>
      <c r="W167" s="310">
        <f t="shared" si="518"/>
        <v>43.370425117262336</v>
      </c>
      <c r="X167" s="310">
        <f t="shared" si="518"/>
        <v>43.821136982989756</v>
      </c>
      <c r="Y167" s="311">
        <f t="shared" si="518"/>
        <v>45.166240997676077</v>
      </c>
      <c r="Z167" s="820">
        <f>Z141</f>
        <v>44.236575954280049</v>
      </c>
      <c r="AA167" s="312">
        <f t="shared" si="518"/>
        <v>45.46206759315033</v>
      </c>
      <c r="AB167" s="310">
        <f t="shared" si="518"/>
        <v>46.042992751756877</v>
      </c>
      <c r="AC167" s="310">
        <f t="shared" si="518"/>
        <v>46.868579850734079</v>
      </c>
      <c r="AD167" s="310">
        <f t="shared" si="518"/>
        <v>46.650372700004482</v>
      </c>
      <c r="AE167" s="820">
        <f>AE141</f>
        <v>47.193990466462381</v>
      </c>
      <c r="AF167" s="310">
        <f t="shared" si="518"/>
        <v>47.333886346556433</v>
      </c>
      <c r="AG167" s="310">
        <f t="shared" si="518"/>
        <v>43.575563776502072</v>
      </c>
      <c r="AH167" s="310">
        <f t="shared" si="518"/>
        <v>44.700511410545204</v>
      </c>
      <c r="AI167" s="310">
        <f t="shared" si="518"/>
        <v>44.490259620185284</v>
      </c>
      <c r="AJ167" s="820">
        <f>AJ141</f>
        <v>44.084759295116378</v>
      </c>
      <c r="AK167" s="310">
        <f t="shared" si="518"/>
        <v>47.157086158805448</v>
      </c>
      <c r="AL167" s="310">
        <f t="shared" si="518"/>
        <v>48.63314055752997</v>
      </c>
      <c r="AM167" s="310">
        <f t="shared" si="518"/>
        <v>47.886744108242354</v>
      </c>
      <c r="AN167" s="310">
        <f t="shared" si="518"/>
        <v>48.361480718366025</v>
      </c>
      <c r="AO167" s="820">
        <f>AO141</f>
        <v>46.230898643707825</v>
      </c>
      <c r="AP167" s="310">
        <f t="shared" si="518"/>
        <v>52.43907934786796</v>
      </c>
      <c r="AQ167" s="310">
        <f t="shared" si="518"/>
        <v>55.06782831312497</v>
      </c>
      <c r="AR167" s="310">
        <f t="shared" si="518"/>
        <v>56.16363581363359</v>
      </c>
      <c r="AS167" s="310">
        <f t="shared" si="518"/>
        <v>53.427542409167685</v>
      </c>
      <c r="AT167" s="820">
        <f>AT141</f>
        <v>51.574179018547575</v>
      </c>
      <c r="AU167" s="310">
        <f t="shared" si="518"/>
        <v>54.071120380133046</v>
      </c>
      <c r="AV167" s="310">
        <f t="shared" ref="AV167:CL167" si="519">AV141</f>
        <v>55.852278631143939</v>
      </c>
      <c r="AW167" s="310">
        <f t="shared" si="519"/>
        <v>58.241662075322758</v>
      </c>
      <c r="AX167" s="310">
        <f t="shared" si="519"/>
        <v>55.161391454421228</v>
      </c>
      <c r="AY167" s="820">
        <f>AY141</f>
        <v>52.943396497988083</v>
      </c>
      <c r="AZ167" s="310">
        <f t="shared" si="519"/>
        <v>55.5510420514046</v>
      </c>
      <c r="BA167" s="310">
        <f t="shared" si="519"/>
        <v>57.422607373662665</v>
      </c>
      <c r="BB167" s="310">
        <f t="shared" si="519"/>
        <v>58.859456111531628</v>
      </c>
      <c r="BC167" s="310">
        <f t="shared" si="519"/>
        <v>57.41726580782592</v>
      </c>
      <c r="BD167" s="820">
        <f>BD141</f>
        <v>54.877920580714246</v>
      </c>
      <c r="BE167" s="310">
        <f t="shared" si="519"/>
        <v>59.282646445531533</v>
      </c>
      <c r="BF167" s="310">
        <f t="shared" si="519"/>
        <v>65.103591447375152</v>
      </c>
      <c r="BG167" s="310">
        <f t="shared" si="519"/>
        <v>65.45245013106927</v>
      </c>
      <c r="BH167" s="310">
        <f t="shared" si="519"/>
        <v>63.380546647278706</v>
      </c>
      <c r="BI167" s="820">
        <f>BI141</f>
        <v>58.349696091046987</v>
      </c>
      <c r="BJ167" s="310">
        <f t="shared" si="519"/>
        <v>63.912815809090681</v>
      </c>
      <c r="BK167" s="310">
        <f t="shared" si="519"/>
        <v>63.474452318592007</v>
      </c>
      <c r="BL167" s="310">
        <f t="shared" si="519"/>
        <v>60.941370148145012</v>
      </c>
      <c r="BM167" s="310">
        <f t="shared" si="519"/>
        <v>61.318431996153876</v>
      </c>
      <c r="BN167" s="820">
        <f>BN141</f>
        <v>63.665537598710195</v>
      </c>
      <c r="BO167" s="310">
        <f t="shared" si="519"/>
        <v>63.342648116117196</v>
      </c>
      <c r="BP167" s="310">
        <f t="shared" si="519"/>
        <v>62.766339012481509</v>
      </c>
      <c r="BQ167" s="310">
        <f t="shared" si="519"/>
        <v>65.004413832377509</v>
      </c>
      <c r="BR167" s="310">
        <f t="shared" si="519"/>
        <v>63.388610253150851</v>
      </c>
      <c r="BS167" s="820">
        <f>BS141</f>
        <v>60.706153159063852</v>
      </c>
      <c r="BT167" s="310">
        <f t="shared" si="519"/>
        <v>63.093156405127282</v>
      </c>
      <c r="BU167" s="310">
        <f t="shared" si="519"/>
        <v>63.592453704514149</v>
      </c>
      <c r="BV167" s="310">
        <f t="shared" si="519"/>
        <v>62.124055406963592</v>
      </c>
      <c r="BW167" s="310">
        <f t="shared" si="519"/>
        <v>62.628762907170561</v>
      </c>
      <c r="BX167" s="820">
        <f>BX141</f>
        <v>62.024894889135318</v>
      </c>
      <c r="BY167" s="310">
        <f t="shared" si="519"/>
        <v>64.337059536073568</v>
      </c>
      <c r="BZ167" s="310">
        <f t="shared" si="519"/>
        <v>64.308168358195644</v>
      </c>
      <c r="CA167" s="310">
        <f t="shared" si="519"/>
        <v>64.146716120734482</v>
      </c>
      <c r="CB167" s="310">
        <f t="shared" si="519"/>
        <v>63.444420597829286</v>
      </c>
      <c r="CC167" s="820">
        <f>CC141</f>
        <v>62.718333371446853</v>
      </c>
      <c r="CD167" s="310">
        <f t="shared" si="519"/>
        <v>64.160025013138764</v>
      </c>
      <c r="CE167" s="310">
        <f t="shared" si="519"/>
        <v>64.531876376524593</v>
      </c>
      <c r="CF167" s="310">
        <f t="shared" si="519"/>
        <v>63.280770825463421</v>
      </c>
      <c r="CG167" s="310">
        <f t="shared" si="519"/>
        <v>63.646976497014641</v>
      </c>
      <c r="CH167" s="820">
        <f>CH141</f>
        <v>61.797434726318748</v>
      </c>
      <c r="CI167" s="310">
        <f t="shared" si="519"/>
        <v>63.142370026932547</v>
      </c>
      <c r="CJ167" s="310">
        <f t="shared" si="519"/>
        <v>63.916860325836069</v>
      </c>
      <c r="CK167" s="310">
        <f t="shared" si="519"/>
        <v>64.197810333090672</v>
      </c>
      <c r="CL167" s="310">
        <f t="shared" si="519"/>
        <v>62.853365235592925</v>
      </c>
      <c r="CM167" s="820">
        <f t="shared" ref="CM167:CR167" si="520">CM141</f>
        <v>64.328937292311835</v>
      </c>
      <c r="CN167" s="310">
        <f t="shared" si="520"/>
        <v>63.132500686954728</v>
      </c>
      <c r="CO167" s="529">
        <f t="shared" si="520"/>
        <v>62.43989254805355</v>
      </c>
      <c r="CP167" s="310">
        <f t="shared" si="520"/>
        <v>61.528612331346096</v>
      </c>
      <c r="CQ167" s="310">
        <f t="shared" si="520"/>
        <v>61.93849574632636</v>
      </c>
      <c r="CR167" s="820">
        <f t="shared" si="520"/>
        <v>62.047648195876285</v>
      </c>
      <c r="CS167" s="310">
        <f t="shared" ref="CS167:DL167" si="521">CS141</f>
        <v>65.141727826358519</v>
      </c>
      <c r="CT167" s="310">
        <f t="shared" si="521"/>
        <v>64.262756313243713</v>
      </c>
      <c r="CU167" s="310">
        <f t="shared" si="521"/>
        <v>64.998316778640088</v>
      </c>
      <c r="CV167" s="310">
        <f t="shared" si="521"/>
        <v>66.527892114384755</v>
      </c>
      <c r="CW167" s="820">
        <f t="shared" si="521"/>
        <v>65.067323590690364</v>
      </c>
      <c r="CX167" s="310">
        <f t="shared" si="521"/>
        <v>66.906373378454603</v>
      </c>
      <c r="CY167" s="310">
        <f t="shared" si="521"/>
        <v>66.187329700272485</v>
      </c>
      <c r="CZ167" s="310">
        <f t="shared" si="521"/>
        <v>67.468301911842801</v>
      </c>
      <c r="DA167" s="310">
        <f t="shared" si="521"/>
        <v>68.580525078369902</v>
      </c>
      <c r="DB167" s="820">
        <f t="shared" si="521"/>
        <v>66.801654287643487</v>
      </c>
      <c r="DC167" s="310">
        <f t="shared" si="521"/>
        <v>66.906373378454603</v>
      </c>
      <c r="DD167" s="310">
        <f t="shared" si="521"/>
        <v>66.187329700272485</v>
      </c>
      <c r="DE167" s="310">
        <f t="shared" si="521"/>
        <v>67.468301911842801</v>
      </c>
      <c r="DF167" s="310">
        <f t="shared" si="521"/>
        <v>68.580525078369902</v>
      </c>
      <c r="DG167" s="820">
        <f t="shared" si="521"/>
        <v>67.782237367063303</v>
      </c>
      <c r="DH167" s="310">
        <f t="shared" si="521"/>
        <v>66.906373378454603</v>
      </c>
      <c r="DI167" s="310">
        <f t="shared" si="521"/>
        <v>66.187329700272485</v>
      </c>
      <c r="DJ167" s="310">
        <f t="shared" si="521"/>
        <v>67.468301911842801</v>
      </c>
      <c r="DK167" s="310">
        <f t="shared" si="521"/>
        <v>68.580525078369902</v>
      </c>
      <c r="DL167" s="820">
        <f t="shared" si="521"/>
        <v>68.181204715815355</v>
      </c>
      <c r="DM167" s="310">
        <f t="shared" ref="DM167:DP167" si="522">DM141</f>
        <v>66.906373378454603</v>
      </c>
      <c r="DN167" s="310">
        <f t="shared" si="522"/>
        <v>66.187329700272485</v>
      </c>
      <c r="DO167" s="310">
        <f t="shared" si="522"/>
        <v>67.468301911842801</v>
      </c>
      <c r="DP167" s="310">
        <f t="shared" si="522"/>
        <v>68.580525078369902</v>
      </c>
      <c r="DQ167" s="820">
        <f>DQ141</f>
        <v>68.14874050029475</v>
      </c>
      <c r="DR167" s="66"/>
      <c r="DS167" s="64"/>
      <c r="DT167"/>
      <c r="DU167"/>
      <c r="DV167"/>
      <c r="DW167"/>
      <c r="DX167"/>
      <c r="DY167"/>
    </row>
    <row r="168" spans="1:129" s="184" customFormat="1" hidden="1" outlineLevel="1">
      <c r="A168" s="75"/>
      <c r="B168" s="67"/>
      <c r="C168" s="68" t="s">
        <v>155</v>
      </c>
      <c r="D168" s="68"/>
      <c r="E168" s="68"/>
      <c r="F168" s="68"/>
      <c r="G168" s="67"/>
      <c r="H168" s="310">
        <f t="shared" ref="H168:AU168" si="523">H142</f>
        <v>0</v>
      </c>
      <c r="I168" s="310">
        <f t="shared" si="523"/>
        <v>0</v>
      </c>
      <c r="J168" s="311">
        <f t="shared" si="523"/>
        <v>2.5456410256410256</v>
      </c>
      <c r="K168" s="814"/>
      <c r="L168" s="288">
        <f t="shared" si="523"/>
        <v>5.867858366787428</v>
      </c>
      <c r="M168" s="289">
        <f t="shared" si="523"/>
        <v>5.1592880733091446</v>
      </c>
      <c r="N168" s="289">
        <f t="shared" si="523"/>
        <v>4.2023026315789478</v>
      </c>
      <c r="O168" s="289">
        <f t="shared" si="523"/>
        <v>4.465208056754066</v>
      </c>
      <c r="P168" s="814">
        <f>P142</f>
        <v>4.5817960946639076</v>
      </c>
      <c r="Q168" s="288">
        <f t="shared" si="523"/>
        <v>5.0529645363871447</v>
      </c>
      <c r="R168" s="289">
        <f t="shared" si="523"/>
        <v>4.7761273230401562</v>
      </c>
      <c r="S168" s="289">
        <f t="shared" si="523"/>
        <v>3.8915332686555097</v>
      </c>
      <c r="T168" s="305">
        <f t="shared" si="523"/>
        <v>4.0353780478893144</v>
      </c>
      <c r="U168" s="814">
        <f>U142</f>
        <v>4.1086505973100973</v>
      </c>
      <c r="V168" s="288">
        <f t="shared" si="523"/>
        <v>5.9569826513685369</v>
      </c>
      <c r="W168" s="289">
        <f t="shared" si="523"/>
        <v>8.1200865429081066</v>
      </c>
      <c r="X168" s="289">
        <f t="shared" si="523"/>
        <v>11.111956617291547</v>
      </c>
      <c r="Y168" s="305">
        <f t="shared" si="523"/>
        <v>12.752870389544649</v>
      </c>
      <c r="Z168" s="814">
        <f>Z142</f>
        <v>7.5585702392872003</v>
      </c>
      <c r="AA168" s="288">
        <f t="shared" si="523"/>
        <v>11.221724141640133</v>
      </c>
      <c r="AB168" s="289">
        <f t="shared" si="523"/>
        <v>10.948388461679972</v>
      </c>
      <c r="AC168" s="289">
        <f t="shared" si="523"/>
        <v>10.856176408145936</v>
      </c>
      <c r="AD168" s="289">
        <f t="shared" si="523"/>
        <v>8.0647673516288361</v>
      </c>
      <c r="AE168" s="814">
        <f>AE142</f>
        <v>7.7513466558410391</v>
      </c>
      <c r="AF168" s="289">
        <f t="shared" si="523"/>
        <v>6.4479692280852419</v>
      </c>
      <c r="AG168" s="289">
        <f t="shared" si="523"/>
        <v>8.1126995517233489</v>
      </c>
      <c r="AH168" s="289">
        <f t="shared" si="523"/>
        <v>8.2985406835115327</v>
      </c>
      <c r="AI168" s="289">
        <f t="shared" si="523"/>
        <v>7.6192121710830438</v>
      </c>
      <c r="AJ168" s="814">
        <f>AJ142</f>
        <v>6.8647330072698933</v>
      </c>
      <c r="AK168" s="289">
        <f t="shared" si="523"/>
        <v>8.4826744972608221</v>
      </c>
      <c r="AL168" s="289">
        <f t="shared" si="523"/>
        <v>8.6846655829410544</v>
      </c>
      <c r="AM168" s="289">
        <f t="shared" si="523"/>
        <v>8.9932581757587062</v>
      </c>
      <c r="AN168" s="289">
        <f t="shared" si="523"/>
        <v>8.213931219289158</v>
      </c>
      <c r="AO168" s="814">
        <f>AO142</f>
        <v>7.3715724091614909</v>
      </c>
      <c r="AP168" s="289">
        <f t="shared" si="523"/>
        <v>8.26107297956308</v>
      </c>
      <c r="AQ168" s="289">
        <f t="shared" si="523"/>
        <v>8.9098818672624471</v>
      </c>
      <c r="AR168" s="289">
        <f t="shared" si="523"/>
        <v>9.1671894105359701</v>
      </c>
      <c r="AS168" s="289">
        <f t="shared" si="523"/>
        <v>8.4266179321297603</v>
      </c>
      <c r="AT168" s="814">
        <f>AT142</f>
        <v>7.5978658433333717</v>
      </c>
      <c r="AU168" s="289">
        <f t="shared" si="523"/>
        <v>8.9581808118985986</v>
      </c>
      <c r="AV168" s="289">
        <f t="shared" ref="AV168:CL168" si="524">AV142</f>
        <v>9.6984752965834993</v>
      </c>
      <c r="AW168" s="289">
        <f t="shared" si="524"/>
        <v>9.7967783996694227</v>
      </c>
      <c r="AX168" s="289">
        <f t="shared" si="524"/>
        <v>8.82056817378602</v>
      </c>
      <c r="AY168" s="814">
        <f>AY142</f>
        <v>7.9431560234141489</v>
      </c>
      <c r="AZ168" s="289">
        <f t="shared" si="524"/>
        <v>8.5083334238599075</v>
      </c>
      <c r="BA168" s="289">
        <f t="shared" si="524"/>
        <v>8.9471159058612155</v>
      </c>
      <c r="BB168" s="289">
        <f t="shared" si="524"/>
        <v>9.0754918249865337</v>
      </c>
      <c r="BC168" s="289">
        <f t="shared" si="524"/>
        <v>8.3603297575155544</v>
      </c>
      <c r="BD168" s="814">
        <f>BD142</f>
        <v>7.9270766167644604</v>
      </c>
      <c r="BE168" s="289">
        <f t="shared" si="524"/>
        <v>8.5300430644403882</v>
      </c>
      <c r="BF168" s="289">
        <f t="shared" si="524"/>
        <v>8.2854638422472426</v>
      </c>
      <c r="BG168" s="289">
        <f t="shared" si="524"/>
        <v>8.0145515130810665</v>
      </c>
      <c r="BH168" s="289">
        <f t="shared" si="524"/>
        <v>8.0876234155993334</v>
      </c>
      <c r="BI168" s="814">
        <f>BI142</f>
        <v>7.4945229634300832</v>
      </c>
      <c r="BJ168" s="289">
        <f t="shared" si="524"/>
        <v>8.2899324875110949</v>
      </c>
      <c r="BK168" s="289">
        <f t="shared" si="524"/>
        <v>9.1774992531470829</v>
      </c>
      <c r="BL168" s="289">
        <f t="shared" si="524"/>
        <v>9.6586836897531043</v>
      </c>
      <c r="BM168" s="289">
        <f t="shared" si="524"/>
        <v>9.1371198853244806</v>
      </c>
      <c r="BN168" s="814">
        <f>BN142</f>
        <v>8.0772482563776755</v>
      </c>
      <c r="BO168" s="289">
        <f t="shared" si="524"/>
        <v>8.9924111980577663</v>
      </c>
      <c r="BP168" s="289">
        <f t="shared" si="524"/>
        <v>9.3159047291146759</v>
      </c>
      <c r="BQ168" s="289">
        <f t="shared" si="524"/>
        <v>9.9364257140814498</v>
      </c>
      <c r="BR168" s="289">
        <f t="shared" si="524"/>
        <v>9.000114546597672</v>
      </c>
      <c r="BS168" s="814">
        <f>BS142</f>
        <v>7.7854772320027772</v>
      </c>
      <c r="BT168" s="289">
        <f t="shared" si="524"/>
        <v>8.0240599291305106</v>
      </c>
      <c r="BU168" s="289">
        <f t="shared" si="524"/>
        <v>8.6197539693868066</v>
      </c>
      <c r="BV168" s="289">
        <f t="shared" si="524"/>
        <v>8.9990702418682869</v>
      </c>
      <c r="BW168" s="289">
        <f t="shared" si="524"/>
        <v>8.309380798421838</v>
      </c>
      <c r="BX168" s="814">
        <f>BX142</f>
        <v>7.5307878936593031</v>
      </c>
      <c r="BY168" s="289">
        <f t="shared" si="524"/>
        <v>8.7101184504154308</v>
      </c>
      <c r="BZ168" s="289">
        <f t="shared" si="524"/>
        <v>10.033550553692583</v>
      </c>
      <c r="CA168" s="289">
        <f t="shared" si="524"/>
        <v>10.164886136085865</v>
      </c>
      <c r="CB168" s="310">
        <f t="shared" si="524"/>
        <v>9.2932177660063182</v>
      </c>
      <c r="CC168" s="814">
        <f>CC142</f>
        <v>8.016765054028653</v>
      </c>
      <c r="CD168" s="310">
        <f t="shared" si="524"/>
        <v>8.7925423162230825</v>
      </c>
      <c r="CE168" s="310">
        <f t="shared" si="524"/>
        <v>9.0925108386852003</v>
      </c>
      <c r="CF168" s="310">
        <f t="shared" si="524"/>
        <v>9.4670584345994726</v>
      </c>
      <c r="CG168" s="310">
        <f t="shared" si="524"/>
        <v>9.3080316584079412</v>
      </c>
      <c r="CH168" s="814">
        <f>CH142</f>
        <v>8.452481339028262</v>
      </c>
      <c r="CI168" s="310">
        <f t="shared" si="524"/>
        <v>9.3014164356236186</v>
      </c>
      <c r="CJ168" s="310">
        <f t="shared" si="524"/>
        <v>10.246535538601261</v>
      </c>
      <c r="CK168" s="310">
        <f t="shared" si="524"/>
        <v>11.24335022659743</v>
      </c>
      <c r="CL168" s="310">
        <f t="shared" si="524"/>
        <v>11.025566099488373</v>
      </c>
      <c r="CM168" s="814">
        <f t="shared" ref="CM168:CR169" si="525">CM142</f>
        <v>9.7996281381054349</v>
      </c>
      <c r="CN168" s="310">
        <f t="shared" si="525"/>
        <v>11.170148382221612</v>
      </c>
      <c r="CO168" s="529">
        <f t="shared" si="525"/>
        <v>11.456901721175978</v>
      </c>
      <c r="CP168" s="310">
        <f t="shared" si="525"/>
        <v>11.55871509256354</v>
      </c>
      <c r="CQ168" s="310">
        <f t="shared" si="525"/>
        <v>11.149013921113688</v>
      </c>
      <c r="CR168" s="814">
        <f t="shared" si="525"/>
        <v>10.194835695876289</v>
      </c>
      <c r="CS168" s="310">
        <f t="shared" ref="CS168:DL168" si="526">CS142</f>
        <v>11.416224234853217</v>
      </c>
      <c r="CT168" s="310">
        <f t="shared" si="526"/>
        <v>11.958978753078725</v>
      </c>
      <c r="CU168" s="310">
        <f t="shared" si="526"/>
        <v>11.556871162979267</v>
      </c>
      <c r="CV168" s="310">
        <f t="shared" si="526"/>
        <v>10.18193963027152</v>
      </c>
      <c r="CW168" s="814">
        <f t="shared" si="526"/>
        <v>9.7155800728103152</v>
      </c>
      <c r="CX168" s="310">
        <f t="shared" si="526"/>
        <v>9.5727580372250429</v>
      </c>
      <c r="CY168" s="310">
        <f t="shared" si="526"/>
        <v>9.9952316076294281</v>
      </c>
      <c r="CZ168" s="310">
        <f t="shared" si="526"/>
        <v>9.8373605947955394</v>
      </c>
      <c r="DA168" s="310">
        <f t="shared" si="526"/>
        <v>9.0582549634273768</v>
      </c>
      <c r="DB168" s="814">
        <f t="shared" si="526"/>
        <v>8.6998649561107371</v>
      </c>
      <c r="DC168" s="310">
        <f t="shared" si="526"/>
        <v>9.5727580372250429</v>
      </c>
      <c r="DD168" s="310">
        <f t="shared" si="526"/>
        <v>9.9952316076294281</v>
      </c>
      <c r="DE168" s="310">
        <f t="shared" si="526"/>
        <v>9.8373605947955394</v>
      </c>
      <c r="DF168" s="310">
        <f t="shared" si="526"/>
        <v>9.0582549634273768</v>
      </c>
      <c r="DG168" s="814">
        <f t="shared" si="526"/>
        <v>8.7108060833321392</v>
      </c>
      <c r="DH168" s="310">
        <f t="shared" si="526"/>
        <v>9.5727580372250429</v>
      </c>
      <c r="DI168" s="310">
        <f t="shared" si="526"/>
        <v>9.9952316076294281</v>
      </c>
      <c r="DJ168" s="310">
        <f t="shared" si="526"/>
        <v>9.8373605947955394</v>
      </c>
      <c r="DK168" s="310">
        <f t="shared" si="526"/>
        <v>9.0582549634273768</v>
      </c>
      <c r="DL168" s="814">
        <f t="shared" si="526"/>
        <v>9.0055119193638635</v>
      </c>
      <c r="DM168" s="310">
        <f t="shared" ref="DM168:DP168" si="527">DM142</f>
        <v>9.5727580372250429</v>
      </c>
      <c r="DN168" s="310">
        <f t="shared" si="527"/>
        <v>9.9952316076294281</v>
      </c>
      <c r="DO168" s="310">
        <f t="shared" si="527"/>
        <v>9.8373605947955394</v>
      </c>
      <c r="DP168" s="310">
        <f t="shared" si="527"/>
        <v>9.0582549634273768</v>
      </c>
      <c r="DQ168" s="814">
        <f>DQ142</f>
        <v>9.0012239798790432</v>
      </c>
      <c r="DR168" s="66"/>
      <c r="DS168" s="64"/>
      <c r="DT168"/>
      <c r="DU168"/>
      <c r="DV168"/>
      <c r="DW168"/>
      <c r="DX168"/>
      <c r="DY168"/>
    </row>
    <row r="169" spans="1:129" s="132" customFormat="1" hidden="1" outlineLevel="1">
      <c r="A169" s="38"/>
      <c r="B169" s="56"/>
      <c r="C169" s="57" t="s">
        <v>154</v>
      </c>
      <c r="D169" s="57"/>
      <c r="E169" s="57"/>
      <c r="F169" s="57"/>
      <c r="G169" s="56"/>
      <c r="H169" s="310">
        <f t="shared" ref="H169:AU169" si="528">H143</f>
        <v>0</v>
      </c>
      <c r="I169" s="310">
        <f t="shared" si="528"/>
        <v>9.3499299719887965</v>
      </c>
      <c r="J169" s="311">
        <f t="shared" si="528"/>
        <v>12.433386384639078</v>
      </c>
      <c r="K169" s="820"/>
      <c r="L169" s="312">
        <f t="shared" si="528"/>
        <v>14.823545887405471</v>
      </c>
      <c r="M169" s="310">
        <f t="shared" si="528"/>
        <v>11.511626603282807</v>
      </c>
      <c r="N169" s="310">
        <f t="shared" si="528"/>
        <v>8.6769350627474111</v>
      </c>
      <c r="O169" s="310">
        <f t="shared" si="528"/>
        <v>9.6037174122948166</v>
      </c>
      <c r="P169" s="820">
        <f>P143</f>
        <v>12.568347739433721</v>
      </c>
      <c r="Q169" s="312">
        <f t="shared" si="528"/>
        <v>10.493848195709878</v>
      </c>
      <c r="R169" s="310">
        <f t="shared" si="528"/>
        <v>9.1773784807034673</v>
      </c>
      <c r="S169" s="310">
        <f t="shared" si="528"/>
        <v>8.1795525902668764</v>
      </c>
      <c r="T169" s="311">
        <f t="shared" si="528"/>
        <v>10.335760517799352</v>
      </c>
      <c r="U169" s="820">
        <f>U143</f>
        <v>11.120433862884564</v>
      </c>
      <c r="V169" s="310">
        <f t="shared" si="528"/>
        <v>10.37571527560463</v>
      </c>
      <c r="W169" s="310">
        <f t="shared" si="528"/>
        <v>8.2933257773405753</v>
      </c>
      <c r="X169" s="310">
        <f t="shared" si="528"/>
        <v>9.9328995196676626</v>
      </c>
      <c r="Y169" s="311">
        <f t="shared" si="528"/>
        <v>13.825065942061942</v>
      </c>
      <c r="Z169" s="820">
        <f>Z143</f>
        <v>13.075604306093693</v>
      </c>
      <c r="AA169" s="310">
        <f t="shared" si="528"/>
        <v>13.603187399231054</v>
      </c>
      <c r="AB169" s="310">
        <f t="shared" si="528"/>
        <v>12.696584946163282</v>
      </c>
      <c r="AC169" s="310">
        <f t="shared" si="528"/>
        <v>13.041249620867456</v>
      </c>
      <c r="AD169" s="310">
        <f t="shared" si="528"/>
        <v>14.830583107697407</v>
      </c>
      <c r="AE169" s="820">
        <f>AE143</f>
        <v>15.76596767752504</v>
      </c>
      <c r="AF169" s="310">
        <f t="shared" si="528"/>
        <v>14.025351571083279</v>
      </c>
      <c r="AG169" s="310">
        <f t="shared" si="528"/>
        <v>12.065748215004556</v>
      </c>
      <c r="AH169" s="310">
        <f t="shared" si="528"/>
        <v>11.308053919347529</v>
      </c>
      <c r="AI169" s="310">
        <f t="shared" si="528"/>
        <v>12.233523328441242</v>
      </c>
      <c r="AJ169" s="820">
        <f>AJ143</f>
        <v>14.959181170014622</v>
      </c>
      <c r="AK169" s="310">
        <f t="shared" si="528"/>
        <v>12.556174050146129</v>
      </c>
      <c r="AL169" s="310">
        <f t="shared" si="528"/>
        <v>10.649939450488365</v>
      </c>
      <c r="AM169" s="310">
        <f t="shared" si="528"/>
        <v>11.277738369687297</v>
      </c>
      <c r="AN169" s="310">
        <f t="shared" si="528"/>
        <v>11.051856967788966</v>
      </c>
      <c r="AO169" s="820">
        <f>AO143</f>
        <v>11.76283574622432</v>
      </c>
      <c r="AP169" s="310">
        <f t="shared" si="528"/>
        <v>11.31243366940833</v>
      </c>
      <c r="AQ169" s="310">
        <f t="shared" si="528"/>
        <v>11.417097598668569</v>
      </c>
      <c r="AR169" s="310">
        <f t="shared" si="528"/>
        <v>11.165354983421103</v>
      </c>
      <c r="AS169" s="310">
        <f t="shared" si="528"/>
        <v>10.543764432481725</v>
      </c>
      <c r="AT169" s="820">
        <f>AT143</f>
        <v>10.499411354093954</v>
      </c>
      <c r="AU169" s="310">
        <f t="shared" si="528"/>
        <v>10.891851054304237</v>
      </c>
      <c r="AV169" s="310">
        <f t="shared" ref="AV169:CL169" si="529">AV143</f>
        <v>11.219699182242993</v>
      </c>
      <c r="AW169" s="310">
        <f t="shared" si="529"/>
        <v>11.496492177117167</v>
      </c>
      <c r="AX169" s="310">
        <f t="shared" si="529"/>
        <v>10.884458248060948</v>
      </c>
      <c r="AY169" s="820">
        <f>AY143</f>
        <v>10.251341184354308</v>
      </c>
      <c r="AZ169" s="310">
        <f t="shared" si="529"/>
        <v>11.593603011270691</v>
      </c>
      <c r="BA169" s="310">
        <f t="shared" si="529"/>
        <v>9.6070867798280002</v>
      </c>
      <c r="BB169" s="310">
        <f t="shared" si="529"/>
        <v>7.8217326008711385</v>
      </c>
      <c r="BC169" s="310">
        <f t="shared" si="529"/>
        <v>8.8108082684750837</v>
      </c>
      <c r="BD169" s="820">
        <f>BD143</f>
        <v>9.6868975610160586</v>
      </c>
      <c r="BE169" s="310">
        <f t="shared" si="529"/>
        <v>10.417146738017557</v>
      </c>
      <c r="BF169" s="310">
        <f t="shared" si="529"/>
        <v>11.770688652469236</v>
      </c>
      <c r="BG169" s="310">
        <f t="shared" si="529"/>
        <v>10.853043952741318</v>
      </c>
      <c r="BH169" s="310">
        <f t="shared" si="529"/>
        <v>9.3177617880251962</v>
      </c>
      <c r="BI169" s="820">
        <f>BI143</f>
        <v>8.8355185857722702</v>
      </c>
      <c r="BJ169" s="310">
        <f t="shared" si="529"/>
        <v>10.401366843138561</v>
      </c>
      <c r="BK169" s="310">
        <f t="shared" si="529"/>
        <v>10.681560668297411</v>
      </c>
      <c r="BL169" s="310">
        <f t="shared" si="529"/>
        <v>9.5108563096221825</v>
      </c>
      <c r="BM169" s="310">
        <f t="shared" si="529"/>
        <v>9.4652452687808672</v>
      </c>
      <c r="BN169" s="820">
        <f>BN143</f>
        <v>9.3359595294367015</v>
      </c>
      <c r="BO169" s="310">
        <f t="shared" si="529"/>
        <v>11.512453139390972</v>
      </c>
      <c r="BP169" s="310">
        <f t="shared" si="529"/>
        <v>11.859016659412589</v>
      </c>
      <c r="BQ169" s="310">
        <f t="shared" si="529"/>
        <v>11.407896645764932</v>
      </c>
      <c r="BR169" s="310">
        <f t="shared" si="529"/>
        <v>10.191160096725296</v>
      </c>
      <c r="BS169" s="820">
        <f>BS143</f>
        <v>8.9383144683750935</v>
      </c>
      <c r="BT169" s="310">
        <f t="shared" si="529"/>
        <v>11.25598970052776</v>
      </c>
      <c r="BU169" s="310">
        <f t="shared" si="529"/>
        <v>10.952276821962872</v>
      </c>
      <c r="BV169" s="310">
        <f t="shared" si="529"/>
        <v>8.2500167588221682</v>
      </c>
      <c r="BW169" s="310">
        <f t="shared" si="529"/>
        <v>7.0686414495270888</v>
      </c>
      <c r="BX169" s="820">
        <f>BX143</f>
        <v>7.6111506117353036</v>
      </c>
      <c r="BY169" s="310">
        <f t="shared" si="529"/>
        <v>8.44302553528623</v>
      </c>
      <c r="BZ169" s="310">
        <f t="shared" si="529"/>
        <v>9.4886318992636465</v>
      </c>
      <c r="CA169" s="310">
        <f t="shared" si="529"/>
        <v>8.8562884140451743</v>
      </c>
      <c r="CB169" s="310">
        <f t="shared" si="529"/>
        <v>8.7262122545688978</v>
      </c>
      <c r="CC169" s="820">
        <f>CC143</f>
        <v>7.7172931585668021</v>
      </c>
      <c r="CD169" s="310">
        <f t="shared" si="529"/>
        <v>9.1711966599025825</v>
      </c>
      <c r="CE169" s="310">
        <f t="shared" si="529"/>
        <v>8.1266907256450995</v>
      </c>
      <c r="CF169" s="310">
        <f t="shared" si="529"/>
        <v>6.8946976350178248</v>
      </c>
      <c r="CG169" s="310">
        <f t="shared" si="529"/>
        <v>7.3787017549454168</v>
      </c>
      <c r="CH169" s="820">
        <f>CH143</f>
        <v>7.6979719185508459</v>
      </c>
      <c r="CI169" s="310">
        <f t="shared" si="529"/>
        <v>9.2294463169240828</v>
      </c>
      <c r="CJ169" s="310">
        <f t="shared" si="529"/>
        <v>8.991928021517051</v>
      </c>
      <c r="CK169" s="310">
        <f t="shared" si="529"/>
        <v>7.2422364902396952</v>
      </c>
      <c r="CL169" s="310">
        <f t="shared" si="529"/>
        <v>7.6736410596907128</v>
      </c>
      <c r="CM169" s="820">
        <f t="shared" si="525"/>
        <v>7.6992955517220159</v>
      </c>
      <c r="CN169" s="310">
        <f t="shared" si="525"/>
        <v>8.6401947516211202</v>
      </c>
      <c r="CO169" s="529">
        <f t="shared" si="525"/>
        <v>8.6659800520381616</v>
      </c>
      <c r="CP169" s="310">
        <f t="shared" si="525"/>
        <v>7.7613912436679433</v>
      </c>
      <c r="CQ169" s="310">
        <f t="shared" si="525"/>
        <v>7.6781004344228378</v>
      </c>
      <c r="CR169" s="820">
        <f t="shared" si="525"/>
        <v>7.6281722937555436</v>
      </c>
      <c r="CS169" s="310">
        <f t="shared" ref="CS169:DL169" si="530">CS143</f>
        <v>9.0159039887229824</v>
      </c>
      <c r="CT169" s="310">
        <f t="shared" si="530"/>
        <v>8.4568692643666878</v>
      </c>
      <c r="CU169" s="310">
        <f t="shared" si="530"/>
        <v>7.3794165784153263</v>
      </c>
      <c r="CV169" s="310">
        <f t="shared" si="530"/>
        <v>7.607826034648701</v>
      </c>
      <c r="CW169" s="820">
        <f t="shared" si="530"/>
        <v>7.659215637910834</v>
      </c>
      <c r="CX169" s="310">
        <f t="shared" si="530"/>
        <v>7.5695077484047397</v>
      </c>
      <c r="CY169" s="310">
        <f t="shared" si="530"/>
        <v>7.4259177355152586</v>
      </c>
      <c r="CZ169" s="310">
        <f t="shared" si="530"/>
        <v>7.1258557980316644</v>
      </c>
      <c r="DA169" s="310">
        <f t="shared" si="530"/>
        <v>7.6557203389830502</v>
      </c>
      <c r="DB169" s="820">
        <f t="shared" si="530"/>
        <v>7.6772836538461542</v>
      </c>
      <c r="DC169" s="310">
        <f t="shared" si="530"/>
        <v>7.5695077484047397</v>
      </c>
      <c r="DD169" s="310">
        <f t="shared" si="530"/>
        <v>7.4259177355152586</v>
      </c>
      <c r="DE169" s="310">
        <f t="shared" si="530"/>
        <v>7.1258557980316644</v>
      </c>
      <c r="DF169" s="310">
        <f t="shared" si="530"/>
        <v>7.6557203389830502</v>
      </c>
      <c r="DG169" s="820">
        <f t="shared" si="530"/>
        <v>7.8785939988965019</v>
      </c>
      <c r="DH169" s="310">
        <f t="shared" si="530"/>
        <v>7.5695077484047397</v>
      </c>
      <c r="DI169" s="310">
        <f t="shared" si="530"/>
        <v>7.4259177355152586</v>
      </c>
      <c r="DJ169" s="310">
        <f t="shared" si="530"/>
        <v>7.1258557980316644</v>
      </c>
      <c r="DK169" s="310">
        <f t="shared" si="530"/>
        <v>7.6557203389830502</v>
      </c>
      <c r="DL169" s="820">
        <f t="shared" si="530"/>
        <v>7.6233893220885518</v>
      </c>
      <c r="DM169" s="310">
        <f t="shared" ref="DM169:DP169" si="531">DM143</f>
        <v>7.5695077484047397</v>
      </c>
      <c r="DN169" s="310">
        <f t="shared" si="531"/>
        <v>7.4259177355152586</v>
      </c>
      <c r="DO169" s="310">
        <f t="shared" si="531"/>
        <v>7.1258557980316644</v>
      </c>
      <c r="DP169" s="310">
        <f t="shared" si="531"/>
        <v>7.6557203389830502</v>
      </c>
      <c r="DQ169" s="820">
        <f>DQ143</f>
        <v>7.6075197459917918</v>
      </c>
      <c r="DR169" s="32"/>
      <c r="DS169" s="57"/>
      <c r="DT169"/>
      <c r="DU169"/>
      <c r="DV169"/>
      <c r="DW169"/>
      <c r="DX169"/>
      <c r="DY169"/>
    </row>
    <row r="170" spans="1:129" hidden="1" outlineLevel="1">
      <c r="A170" s="1"/>
      <c r="B170" s="3"/>
      <c r="C170" s="4"/>
      <c r="D170" s="4"/>
      <c r="E170" s="4"/>
      <c r="F170" s="4"/>
      <c r="G170" s="119"/>
      <c r="H170" s="120"/>
      <c r="I170" s="120"/>
      <c r="J170" s="121"/>
      <c r="K170" s="352"/>
      <c r="L170" s="119"/>
      <c r="M170" s="120"/>
      <c r="N170" s="120"/>
      <c r="O170" s="120"/>
      <c r="P170" s="352"/>
      <c r="Q170" s="119"/>
      <c r="R170" s="120"/>
      <c r="S170" s="120"/>
      <c r="T170" s="121"/>
      <c r="U170" s="352"/>
      <c r="V170" s="120"/>
      <c r="W170" s="120"/>
      <c r="X170" s="120"/>
      <c r="Y170" s="121"/>
      <c r="Z170" s="352"/>
      <c r="AA170" s="120"/>
      <c r="AB170" s="120"/>
      <c r="AC170" s="120"/>
      <c r="AD170" s="120"/>
      <c r="AE170" s="352"/>
      <c r="AF170" s="120"/>
      <c r="AG170" s="120"/>
      <c r="AH170" s="120"/>
      <c r="AI170" s="120"/>
      <c r="AJ170" s="352"/>
      <c r="AK170" s="120"/>
      <c r="AL170" s="120"/>
      <c r="AM170" s="120"/>
      <c r="AN170" s="120"/>
      <c r="AO170" s="352"/>
      <c r="AP170" s="120"/>
      <c r="AQ170" s="120"/>
      <c r="AR170" s="120"/>
      <c r="AS170" s="120"/>
      <c r="AT170" s="352"/>
      <c r="AU170" s="120"/>
      <c r="AV170" s="120"/>
      <c r="AW170" s="120"/>
      <c r="AX170" s="120"/>
      <c r="AY170" s="352"/>
      <c r="AZ170" s="120"/>
      <c r="BA170" s="120"/>
      <c r="BB170" s="120"/>
      <c r="BC170" s="120"/>
      <c r="BD170" s="352"/>
      <c r="BE170" s="120"/>
      <c r="BF170" s="120"/>
      <c r="BG170" s="120"/>
      <c r="BH170" s="120"/>
      <c r="BI170" s="352"/>
      <c r="BJ170" s="120"/>
      <c r="BK170" s="120"/>
      <c r="BL170" s="120"/>
      <c r="BM170" s="120"/>
      <c r="BN170" s="352"/>
      <c r="BO170" s="120"/>
      <c r="BP170" s="120"/>
      <c r="BQ170" s="120"/>
      <c r="BR170" s="120"/>
      <c r="BS170" s="352"/>
      <c r="BT170" s="120"/>
      <c r="BU170" s="120"/>
      <c r="BV170" s="120"/>
      <c r="BW170" s="120"/>
      <c r="BX170" s="352"/>
      <c r="BY170" s="120"/>
      <c r="BZ170" s="120"/>
      <c r="CA170" s="120"/>
      <c r="CB170" s="348"/>
      <c r="CC170" s="352"/>
      <c r="CD170" s="348"/>
      <c r="CE170" s="348"/>
      <c r="CF170" s="348"/>
      <c r="CG170" s="348"/>
      <c r="CH170" s="352"/>
      <c r="CI170" s="348"/>
      <c r="CJ170" s="348"/>
      <c r="CK170" s="348"/>
      <c r="CL170" s="348"/>
      <c r="CM170" s="352"/>
      <c r="CN170" s="348"/>
      <c r="CO170" s="348"/>
      <c r="CP170" s="348"/>
      <c r="CQ170" s="348"/>
      <c r="CR170" s="352"/>
      <c r="CS170" s="348"/>
      <c r="CT170" s="348"/>
      <c r="CU170" s="348"/>
      <c r="CV170" s="348"/>
      <c r="CW170" s="352"/>
      <c r="CX170" s="348"/>
      <c r="CY170" s="348"/>
      <c r="CZ170" s="348"/>
      <c r="DA170" s="348"/>
      <c r="DB170" s="352"/>
      <c r="DC170" s="348"/>
      <c r="DD170" s="348"/>
      <c r="DE170" s="348"/>
      <c r="DF170" s="348"/>
      <c r="DG170" s="352"/>
      <c r="DH170" s="348"/>
      <c r="DI170" s="348"/>
      <c r="DJ170" s="348"/>
      <c r="DK170" s="348"/>
      <c r="DL170" s="352"/>
      <c r="DM170" s="348"/>
      <c r="DN170" s="348"/>
      <c r="DO170" s="348"/>
      <c r="DP170" s="348"/>
      <c r="DQ170" s="352"/>
      <c r="DR170" s="111"/>
      <c r="DS170" s="112"/>
    </row>
    <row r="171" spans="1:129" s="177" customFormat="1" hidden="1" outlineLevel="1">
      <c r="A171" s="19"/>
      <c r="B171" s="53" t="s">
        <v>219</v>
      </c>
      <c r="C171" s="54"/>
      <c r="D171" s="54"/>
      <c r="E171" s="54"/>
      <c r="F171" s="54"/>
      <c r="G171" s="78"/>
      <c r="H171" s="77"/>
      <c r="I171" s="77"/>
      <c r="J171" s="79"/>
      <c r="K171" s="819"/>
      <c r="L171" s="78"/>
      <c r="M171" s="77"/>
      <c r="N171" s="77"/>
      <c r="O171" s="77"/>
      <c r="P171" s="819"/>
      <c r="Q171" s="78"/>
      <c r="R171" s="77"/>
      <c r="S171" s="77"/>
      <c r="T171" s="79"/>
      <c r="U171" s="819"/>
      <c r="V171" s="77"/>
      <c r="W171" s="77"/>
      <c r="X171" s="77"/>
      <c r="Y171" s="79"/>
      <c r="Z171" s="819"/>
      <c r="AA171" s="77"/>
      <c r="AB171" s="77"/>
      <c r="AC171" s="77"/>
      <c r="AD171" s="77"/>
      <c r="AE171" s="819"/>
      <c r="AF171" s="77"/>
      <c r="AG171" s="77"/>
      <c r="AH171" s="77"/>
      <c r="AI171" s="77"/>
      <c r="AJ171" s="819"/>
      <c r="AK171" s="77"/>
      <c r="AL171" s="77"/>
      <c r="AM171" s="77"/>
      <c r="AN171" s="77"/>
      <c r="AO171" s="819"/>
      <c r="AP171" s="77"/>
      <c r="AQ171" s="77"/>
      <c r="AR171" s="77"/>
      <c r="AS171" s="77"/>
      <c r="AT171" s="819"/>
      <c r="AU171" s="77"/>
      <c r="AV171" s="77"/>
      <c r="AW171" s="77"/>
      <c r="AX171" s="77"/>
      <c r="AY171" s="819"/>
      <c r="AZ171" s="77"/>
      <c r="BA171" s="77"/>
      <c r="BB171" s="77"/>
      <c r="BC171" s="77"/>
      <c r="BD171" s="819"/>
      <c r="BE171" s="77"/>
      <c r="BF171" s="77"/>
      <c r="BG171" s="77"/>
      <c r="BH171" s="77"/>
      <c r="BI171" s="819"/>
      <c r="BJ171" s="77"/>
      <c r="BK171" s="77"/>
      <c r="BL171" s="77"/>
      <c r="BM171" s="77"/>
      <c r="BN171" s="819"/>
      <c r="BO171" s="77"/>
      <c r="BP171" s="77"/>
      <c r="BQ171" s="77"/>
      <c r="BR171" s="77"/>
      <c r="BS171" s="819"/>
      <c r="BT171" s="77"/>
      <c r="BU171" s="77"/>
      <c r="BV171" s="77"/>
      <c r="BW171" s="77"/>
      <c r="BX171" s="819"/>
      <c r="BY171" s="77"/>
      <c r="BZ171" s="77"/>
      <c r="CA171" s="77"/>
      <c r="CB171" s="77"/>
      <c r="CC171" s="819"/>
      <c r="CD171" s="77"/>
      <c r="CE171" s="77"/>
      <c r="CF171" s="77"/>
      <c r="CG171" s="77"/>
      <c r="CH171" s="819"/>
      <c r="CI171" s="77"/>
      <c r="CJ171" s="77"/>
      <c r="CK171" s="77"/>
      <c r="CL171" s="77"/>
      <c r="CM171" s="819"/>
      <c r="CN171" s="77"/>
      <c r="CO171" s="356"/>
      <c r="CP171" s="77"/>
      <c r="CQ171" s="77"/>
      <c r="CR171" s="819"/>
      <c r="CS171" s="77"/>
      <c r="CT171" s="77"/>
      <c r="CU171" s="77"/>
      <c r="CV171" s="77"/>
      <c r="CW171" s="819"/>
      <c r="CX171" s="77"/>
      <c r="CY171" s="77"/>
      <c r="CZ171" s="77"/>
      <c r="DA171" s="77"/>
      <c r="DB171" s="819"/>
      <c r="DC171" s="77"/>
      <c r="DD171" s="77"/>
      <c r="DE171" s="77"/>
      <c r="DF171" s="77"/>
      <c r="DG171" s="819"/>
      <c r="DH171" s="77"/>
      <c r="DI171" s="77"/>
      <c r="DJ171" s="77"/>
      <c r="DK171" s="77"/>
      <c r="DL171" s="819"/>
      <c r="DM171" s="77"/>
      <c r="DN171" s="77"/>
      <c r="DO171" s="77"/>
      <c r="DP171" s="77"/>
      <c r="DQ171" s="819"/>
      <c r="DR171" s="31"/>
      <c r="DS171" s="54"/>
      <c r="DT171"/>
      <c r="DU171"/>
      <c r="DV171"/>
      <c r="DW171"/>
      <c r="DX171"/>
      <c r="DY171"/>
    </row>
    <row r="172" spans="1:129" s="184" customFormat="1" hidden="1" outlineLevel="1">
      <c r="A172" s="75"/>
      <c r="B172" s="67"/>
      <c r="C172" s="64" t="s">
        <v>220</v>
      </c>
      <c r="D172" s="64"/>
      <c r="E172" s="64"/>
      <c r="F172" s="64"/>
      <c r="G172" s="67"/>
      <c r="H172" s="310"/>
      <c r="I172" s="310"/>
      <c r="J172" s="311"/>
      <c r="K172" s="820"/>
      <c r="L172" s="312"/>
      <c r="M172" s="310">
        <f>SUM(IS!I22:M22)/AVERAGE(H13,M13)</f>
        <v>12.645502645502646</v>
      </c>
      <c r="N172" s="310">
        <f>SUM(IS!J22:N22)/AVERAGE(I13,N13)</f>
        <v>13.950895689949723</v>
      </c>
      <c r="O172" s="310">
        <f>SUM(IS!L22:O22)/AVERAGE(J13,O13)</f>
        <v>8.4185407887884089</v>
      </c>
      <c r="P172" s="820">
        <f>IS!P22/AVERAGE(K13,P13)</f>
        <v>8.4185407887884089</v>
      </c>
      <c r="Q172" s="312">
        <f>SUM(IS!M22:Q22)/AVERAGE(L13,Q13)</f>
        <v>12.54263565891473</v>
      </c>
      <c r="R172" s="310">
        <f>SUM(IS!N22:R22)/AVERAGE(M13,R13)</f>
        <v>13.598310291858679</v>
      </c>
      <c r="S172" s="310">
        <f>SUM(IS!O22:S22)/AVERAGE(N13,S13)</f>
        <v>13.760395061728394</v>
      </c>
      <c r="T172" s="311">
        <f>SUM(IS!Q22:T22)/AVERAGE(O13,T13)</f>
        <v>8.9674105097833898</v>
      </c>
      <c r="U172" s="820">
        <f>IS!U22/AVERAGE(P13,U13)</f>
        <v>8.9674105097833898</v>
      </c>
      <c r="V172" s="312">
        <f>SUM(IS!R22:V22)/AVERAGE(Q13,V13)</f>
        <v>16.81797648694041</v>
      </c>
      <c r="W172" s="310">
        <f>SUM(IS!S22:W22)/AVERAGE(R13,W13)</f>
        <v>15.509718891893273</v>
      </c>
      <c r="X172" s="310">
        <f>SUM(IS!T22:X22)/AVERAGE(S13,X13)</f>
        <v>16.084075580497348</v>
      </c>
      <c r="Y172" s="311">
        <f>SUM(IS!V22:Y22)/AVERAGE(T13,Y13)</f>
        <v>8.2510906896871816</v>
      </c>
      <c r="Z172" s="820">
        <f>IS!Z22/AVERAGE(U13,Z13)</f>
        <v>8.2510906896871816</v>
      </c>
      <c r="AA172" s="312">
        <f>SUM(IS!W22:AA22)/AVERAGE(V13,AA13)</f>
        <v>16.406788965643443</v>
      </c>
      <c r="AB172" s="310">
        <f>SUM(IS!X22:AB22)/AVERAGE(W13,AB13)</f>
        <v>13.537722125034525</v>
      </c>
      <c r="AC172" s="310">
        <f>SUM(IS!Y22:AC22)/AVERAGE(X13,AC13)</f>
        <v>14.658279158699811</v>
      </c>
      <c r="AD172" s="310">
        <f>SUM(IS!AA22:AD22)/AVERAGE(Y13,AD13)</f>
        <v>7.7340355497037523</v>
      </c>
      <c r="AE172" s="820">
        <f>IS!AE22/AVERAGE(Z13,AE13)</f>
        <v>7.7340355497037523</v>
      </c>
      <c r="AF172" s="310">
        <f>SUM(IS!AB22:AF22)/AVERAGE(AA13,AF13)</f>
        <v>15.103255467196819</v>
      </c>
      <c r="AG172" s="310">
        <f>SUM(IS!AC22:AG22)/AVERAGE(AB13,AG13)</f>
        <v>14.036815785917016</v>
      </c>
      <c r="AH172" s="310">
        <f>SUM(IS!AD22:AH22)/AVERAGE(AC13,AH13)</f>
        <v>13.080966660786734</v>
      </c>
      <c r="AI172" s="310">
        <f>SUM(IS!AF22:AI22)/AVERAGE(AD13,AI13)</f>
        <v>8.2795053400786962</v>
      </c>
      <c r="AJ172" s="820">
        <f>IS!AJ22/AVERAGE(AE13,AJ13)</f>
        <v>8.2795053400786962</v>
      </c>
      <c r="AK172" s="310">
        <f>SUM(IS!AG22:AK22)/AVERAGE(AF13,AK13)</f>
        <v>13.943561477676104</v>
      </c>
      <c r="AL172" s="310">
        <f>SUM(IS!AH22:AL22)/AVERAGE(AG13,AL13)</f>
        <v>13.968740828938211</v>
      </c>
      <c r="AM172" s="310">
        <f>SUM(IS!AI22:AM22)/AVERAGE(AH13,AM13)</f>
        <v>12.718663390382583</v>
      </c>
      <c r="AN172" s="310">
        <f>SUM(IS!AK22:AN22)/AVERAGE(AI13,AN13)</f>
        <v>7.8951526080637358</v>
      </c>
      <c r="AO172" s="820">
        <f>IS!AO22/AVERAGE(AJ13,AO13)</f>
        <v>7.8951526080637358</v>
      </c>
      <c r="AP172" s="310">
        <f>SUM(IS!AL22:AP22)/AVERAGE(AK13,AP13)</f>
        <v>13.42961666412994</v>
      </c>
      <c r="AQ172" s="310">
        <f>SUM(IS!AM22:AQ22)/AVERAGE(AL13,AQ13)</f>
        <v>11.924358220654518</v>
      </c>
      <c r="AR172" s="310">
        <f>SUM(IS!AN22:AR22)/AVERAGE(AM13,AR13)</f>
        <v>11.884491923679413</v>
      </c>
      <c r="AS172" s="310">
        <f>SUM(IS!AP22:AS22)/AVERAGE(AN13,AS13)</f>
        <v>7.0771848809989857</v>
      </c>
      <c r="AT172" s="820">
        <f>IS!AT22/AVERAGE(AO13,AT13)</f>
        <v>7.0771848809989857</v>
      </c>
      <c r="AU172" s="310">
        <f>SUM(IS!AQ22:AU22)/AVERAGE(AP13,AU13)</f>
        <v>12.637516508988977</v>
      </c>
      <c r="AV172" s="310">
        <f>SUM(IS!AR22:AV22)/AVERAGE(AQ13,AV13)</f>
        <v>10.783041063329209</v>
      </c>
      <c r="AW172" s="310">
        <f>SUM(IS!AS22:AW22)/AVERAGE(AR13,AW13)</f>
        <v>10.691515426723686</v>
      </c>
      <c r="AX172" s="310">
        <f>SUM(IS!AU22:AX22)/AVERAGE(AS13,AX13)</f>
        <v>6.894155345962182</v>
      </c>
      <c r="AY172" s="820">
        <f>IS!AY22/AVERAGE(AT13,AY13)</f>
        <v>6.894155345962182</v>
      </c>
      <c r="AZ172" s="310">
        <f>SUM(IS!AV22:AZ22)/AVERAGE(AU13,AZ13)</f>
        <v>12.453171757446697</v>
      </c>
      <c r="BA172" s="310">
        <f>SUM(IS!AW22:BA22)/AVERAGE(AV13,BA13)</f>
        <v>11.104900123599537</v>
      </c>
      <c r="BB172" s="310">
        <f>SUM(IS!AX22:BB22)/AVERAGE(AW13,BB13)</f>
        <v>10.81262120723202</v>
      </c>
      <c r="BC172" s="310">
        <f>SUM(IS!AZ22:BC22)/AVERAGE(AX13,BC13)</f>
        <v>6.6511266487067298</v>
      </c>
      <c r="BD172" s="820">
        <f>IS!BD22/AVERAGE(AY13,BD13)</f>
        <v>6.6511266487067298</v>
      </c>
      <c r="BE172" s="310">
        <f>SUM(IS!BA22:BE22)/AVERAGE(AZ13,BE13)</f>
        <v>11.816616524198384</v>
      </c>
      <c r="BF172" s="310">
        <f>SUM(IS!BB22:BF22)/AVERAGE(BA13,BF13)</f>
        <v>10.575385804940314</v>
      </c>
      <c r="BG172" s="310">
        <f>SUM(IS!BC22:BG22)/AVERAGE(BB13,BG13)</f>
        <v>10.655907412383062</v>
      </c>
      <c r="BH172" s="310">
        <f>SUM(IS!BE22:BH22)/AVERAGE(BC13,BH13)</f>
        <v>6.255388193118705</v>
      </c>
      <c r="BI172" s="820">
        <f>IS!BI22/AVERAGE(BD13,BI13)</f>
        <v>6.255388193118705</v>
      </c>
      <c r="BJ172" s="310">
        <f>SUM(IS!BF22:BJ22)/AVERAGE(BE13,BJ13)</f>
        <v>11.704812546109649</v>
      </c>
      <c r="BK172" s="310">
        <f>SUM(IS!BG22:BK22)/AVERAGE(BF13,BK13)</f>
        <v>10.805225946136405</v>
      </c>
      <c r="BL172" s="310">
        <f>SUM(IS!BH22:BL22)/AVERAGE(BG13,BL13)</f>
        <v>10.658855336203644</v>
      </c>
      <c r="BM172" s="310">
        <f>SUM(IS!BJ22:BM22)/AVERAGE(BH13,BM13)</f>
        <v>5.7330859640364453</v>
      </c>
      <c r="BN172" s="820">
        <f>IS!BN22/AVERAGE(BI13,BN13)</f>
        <v>5.7330859640364453</v>
      </c>
      <c r="BO172" s="310">
        <f>SUM(IS!BK22:BO22)/AVERAGE(BJ13,BO13)</f>
        <v>10.979117381427621</v>
      </c>
      <c r="BP172" s="310">
        <f>SUM(IS!BL22:BP22)/AVERAGE(BK13,BP13)</f>
        <v>10.385014034897821</v>
      </c>
      <c r="BQ172" s="310">
        <f>SUM(IS!BM22:BQ22)/AVERAGE(BL13,BQ13)</f>
        <v>9.907953595782546</v>
      </c>
      <c r="BR172" s="310">
        <f>SUM(IS!BO22:BR22)/AVERAGE(BM13,BR13)</f>
        <v>6.0125700774288475</v>
      </c>
      <c r="BS172" s="820">
        <f>IS!BS22/AVERAGE(BN13,BS13)</f>
        <v>6.0125700774288475</v>
      </c>
      <c r="BT172" s="310">
        <f>SUM(IS!BP22:BT22)/AVERAGE(BO13,BT13)</f>
        <v>11.282676197922484</v>
      </c>
      <c r="BU172" s="310">
        <f>SUM(IS!BQ22:BU22)/AVERAGE(BP13,BU13)</f>
        <v>10.560209629137221</v>
      </c>
      <c r="BV172" s="310">
        <f>SUM(IS!BR22:BV22)/AVERAGE(BQ13,BV13)</f>
        <v>10.236243655725087</v>
      </c>
      <c r="BW172" s="310">
        <f>SUM(IS!BT22:BW22)/AVERAGE(BR13,BW13)</f>
        <v>5.8847338742356454</v>
      </c>
      <c r="BX172" s="820">
        <f>IS!BX22/AVERAGE(BS13,BX13)</f>
        <v>5.8847338742356454</v>
      </c>
      <c r="BY172" s="310">
        <f>SUM(IS!BU22:BY22)/AVERAGE(BT13,BY13)</f>
        <v>11.289100431783771</v>
      </c>
      <c r="BZ172" s="310">
        <f>SUM(IS!BV22:BZ22)/AVERAGE(BU13,BZ13)</f>
        <v>10.873374356067888</v>
      </c>
      <c r="CA172" s="310">
        <f>SUM(IS!BW22:CA22)/AVERAGE(BV13,CA13)</f>
        <v>10.682561927786603</v>
      </c>
      <c r="CB172" s="310">
        <f>SUM(IS!BY22:CB22)/AVERAGE(BW13,CB13)</f>
        <v>5.8196699494277357</v>
      </c>
      <c r="CC172" s="820">
        <f>IS!CC22/AVERAGE(BX13,CC13)</f>
        <v>5.8196699494277357</v>
      </c>
      <c r="CD172" s="310">
        <f>SUM(IS!BZ22:CD22)/AVERAGE(BY13,CD13)</f>
        <v>10.990023709120265</v>
      </c>
      <c r="CE172" s="310">
        <f>SUM(IS!CA22:CE22)/AVERAGE(BZ13,CE13)</f>
        <v>10.758268286203405</v>
      </c>
      <c r="CF172" s="310">
        <f>SUM(IS!CB22:CF22)/AVERAGE(CA13,CF13)</f>
        <v>10.519558218744377</v>
      </c>
      <c r="CG172" s="310">
        <f>SUM(IS!CD22:CG22)/AVERAGE(CB13,CG13)</f>
        <v>5.9063940374947492</v>
      </c>
      <c r="CH172" s="820">
        <f>IS!CH22/AVERAGE(CC13,CH13)</f>
        <v>5.9063940374947492</v>
      </c>
      <c r="CI172" s="310">
        <f>SUM(IS!CE22:CI22)/AVERAGE(CD13,CI13)</f>
        <v>11.306402267032668</v>
      </c>
      <c r="CJ172" s="310">
        <f>SUM(IS!CF22:CJ22)/AVERAGE(CE13,CJ13)</f>
        <v>10.902252465795693</v>
      </c>
      <c r="CK172" s="310">
        <f>SUM(IS!CG22:CK22)/AVERAGE(CF13,CK13)</f>
        <v>10.863747633600722</v>
      </c>
      <c r="CL172" s="310">
        <f>SUM(IS!CI22:CL22)/AVERAGE(CG13,CL13)</f>
        <v>5.6739628441463834</v>
      </c>
      <c r="CM172" s="820">
        <f>IS!CM22/AVERAGE(CH13,CM13)</f>
        <v>5.6739628441463834</v>
      </c>
      <c r="CN172" s="310">
        <f>SUM(IS!CJ22:CN22)/AVERAGE(CI13,CN13)</f>
        <v>11.167469685838066</v>
      </c>
      <c r="CO172" s="310">
        <f>SUM(IS!CK22:CO22)/AVERAGE(CJ13,CO13)</f>
        <v>10.832275155113033</v>
      </c>
      <c r="CP172" s="310">
        <f>SUM(IS!CL22:CP22)/AVERAGE(CK13,CP13)</f>
        <v>11.249624689903358</v>
      </c>
      <c r="CQ172" s="310">
        <f>SUM(IS!CN22:CQ22)/AVERAGE(CL13,CQ13)</f>
        <v>5.8825759011484671</v>
      </c>
      <c r="CR172" s="820">
        <f>IS!CR22/AVERAGE(CM13,CR13)</f>
        <v>5.8825759011484671</v>
      </c>
      <c r="CS172" s="310">
        <f>SUM(IS!CO22:CS22)/AVERAGE(CN13,CS13)</f>
        <v>11.474126512902489</v>
      </c>
      <c r="CT172" s="310">
        <f>SUM(IS!CP22:CT22)/AVERAGE(CO13,CT13)</f>
        <v>11.071727383649991</v>
      </c>
      <c r="CU172" s="310">
        <f>SUM(IS!CQ22:CU22)/AVERAGE(CP13,CU13)</f>
        <v>11.095380094213235</v>
      </c>
      <c r="CV172" s="310">
        <f>SUM(IS!CS22:CV22)/AVERAGE(CQ13,CV13)</f>
        <v>5.6095745123320713</v>
      </c>
      <c r="CW172" s="820">
        <f>IS!CW22/AVERAGE(CR13,CW13)</f>
        <v>5.6095745123320713</v>
      </c>
      <c r="CX172" s="310">
        <f>SUM(IS!CT22:CX22)/AVERAGE(CS13,CX13)</f>
        <v>11.008522898994579</v>
      </c>
      <c r="CY172" s="310">
        <f>SUM(IS!CU22:CY22)/AVERAGE(CT13,CY13)</f>
        <v>10.815013509809297</v>
      </c>
      <c r="CZ172" s="310">
        <f>SUM(IS!CV22:CZ22)/AVERAGE(CU13,CZ13)</f>
        <v>10.381186002861867</v>
      </c>
      <c r="DA172" s="310">
        <f>SUM(IS!CX22:DA22)/AVERAGE(CV13,DA13)</f>
        <v>5.4639365430732338</v>
      </c>
      <c r="DB172" s="820">
        <f>IS!DB22/AVERAGE(CW13,DB13)</f>
        <v>5.4639365430732338</v>
      </c>
      <c r="DC172" s="310">
        <f>SUM(IS!CY22:DC22)/AVERAGE(CX13,DC13)</f>
        <v>10.923568663659511</v>
      </c>
      <c r="DD172" s="310">
        <f>SUM(IS!CZ22:DD22)/AVERAGE(CY13,DD13)</f>
        <v>10.83929282873169</v>
      </c>
      <c r="DE172" s="310">
        <f>SUM(IS!DA22:DE22)/AVERAGE(CZ13,DE13)</f>
        <v>10.343481016989408</v>
      </c>
      <c r="DF172" s="310">
        <f>SUM(IS!DC22:DF22)/AVERAGE(DA13,DF13)</f>
        <v>5.3848915907482358</v>
      </c>
      <c r="DG172" s="820">
        <f>IS!DG22/AVERAGE(DB13,DG13)</f>
        <v>5.3848915907482358</v>
      </c>
      <c r="DH172" s="310">
        <f>SUM(IS!DD22:DH22)/AVERAGE(DC13,DH13)</f>
        <v>11.047383308940752</v>
      </c>
      <c r="DI172" s="310">
        <f>SUM(IS!DE22:DI22)/AVERAGE(DD13,DI13)</f>
        <v>10.888237919230805</v>
      </c>
      <c r="DJ172" s="310">
        <f>SUM(IS!DF22:DJ22)/AVERAGE(DE13,DJ13)</f>
        <v>10.548258056122492</v>
      </c>
      <c r="DK172" s="310">
        <f>SUM(IS!DH22:DK22)/AVERAGE(DF13,DK13)</f>
        <v>5.3533815003907419</v>
      </c>
      <c r="DL172" s="820">
        <f>IS!DL22/AVERAGE(DG13,DL13)</f>
        <v>5.3533815003907419</v>
      </c>
      <c r="DM172" s="310">
        <f>SUM(IS!DI22:DM22)/AVERAGE(DH13,DM13)</f>
        <v>11.043860632321872</v>
      </c>
      <c r="DN172" s="310">
        <f>SUM(IS!DJ22:DN22)/AVERAGE(DI13,DN13)</f>
        <v>10.893379901244481</v>
      </c>
      <c r="DO172" s="310">
        <f>SUM(IS!DK22:DO22)/AVERAGE(DJ13,DO13)</f>
        <v>10.54426827560054</v>
      </c>
      <c r="DP172" s="310">
        <f>SUM(IS!DM22:DP22)/AVERAGE(DK13,DP13)</f>
        <v>5.355931706447624</v>
      </c>
      <c r="DQ172" s="820">
        <f>IS!DQ22/AVERAGE(DL13,DQ13)</f>
        <v>5.355931706447624</v>
      </c>
      <c r="DR172" s="66"/>
      <c r="DS172" s="64"/>
      <c r="DT172"/>
      <c r="DU172"/>
      <c r="DV172"/>
      <c r="DW172"/>
      <c r="DX172"/>
      <c r="DY172"/>
    </row>
    <row r="173" spans="1:129" s="184" customFormat="1" hidden="1" outlineLevel="1">
      <c r="A173" s="75"/>
      <c r="B173" s="67"/>
      <c r="C173" s="68" t="s">
        <v>246</v>
      </c>
      <c r="D173" s="68"/>
      <c r="E173" s="68"/>
      <c r="F173" s="68"/>
      <c r="G173" s="67"/>
      <c r="H173" s="310"/>
      <c r="I173" s="310"/>
      <c r="J173" s="311"/>
      <c r="K173" s="814"/>
      <c r="L173" s="288"/>
      <c r="M173" s="289">
        <f>SUM(IS!I22:M22)/AVERAGE(H14,M14)</f>
        <v>305.44843049327352</v>
      </c>
      <c r="N173" s="289">
        <f>SUM(IS!J22:N22)/AVERAGE(I14,N14)</f>
        <v>235.23621399176955</v>
      </c>
      <c r="O173" s="289">
        <f>SUM(IS!L22:O22)/AVERAGE(J14,O14)</f>
        <v>79.663082437275975</v>
      </c>
      <c r="P173" s="814">
        <f>IS!P22/AVERAGE(K14,P14)</f>
        <v>79.663082437275975</v>
      </c>
      <c r="Q173" s="288">
        <f>SUM(IS!M22:Q22)/AVERAGE(L14,Q14)</f>
        <v>108.72502210433245</v>
      </c>
      <c r="R173" s="289">
        <f>SUM(IS!N22:R22)/AVERAGE(M14,R14)</f>
        <v>164.55851288550909</v>
      </c>
      <c r="S173" s="289">
        <f>SUM(IS!O22:S22)/AVERAGE(N14,S14)</f>
        <v>143.88020654044749</v>
      </c>
      <c r="T173" s="305">
        <f>SUM(IS!Q22:T22)/AVERAGE(O14,T14)</f>
        <v>88.83695299837926</v>
      </c>
      <c r="U173" s="814">
        <f>IS!U22/AVERAGE(P14,U14)</f>
        <v>88.83695299837926</v>
      </c>
      <c r="V173" s="288">
        <f>SUM(IS!R22:V22)/AVERAGE(Q14,V14)</f>
        <v>104.08458781362008</v>
      </c>
      <c r="W173" s="289">
        <f>SUM(IS!S22:W22)/AVERAGE(R14,W14)</f>
        <v>104.27233750643116</v>
      </c>
      <c r="X173" s="289">
        <f>SUM(IS!T22:X22)/AVERAGE(S14,X14)</f>
        <v>74.239781368821298</v>
      </c>
      <c r="Y173" s="305">
        <f>SUM(IS!V22:Y22)/AVERAGE(T14,Y14)</f>
        <v>48.289555887545845</v>
      </c>
      <c r="Z173" s="814">
        <f>IS!Z22/AVERAGE(U14,Z14)</f>
        <v>48.289555887545845</v>
      </c>
      <c r="AA173" s="288">
        <f>SUM(IS!W22:AA22)/AVERAGE(V14,AA14)</f>
        <v>73.66457841224198</v>
      </c>
      <c r="AB173" s="289">
        <f>SUM(IS!X22:AB22)/AVERAGE(W14,AB14)</f>
        <v>64.550531214329609</v>
      </c>
      <c r="AC173" s="289">
        <f>SUM(IS!Y22:AC22)/AVERAGE(X14,AC14)</f>
        <v>53.749421580312699</v>
      </c>
      <c r="AD173" s="289">
        <f>SUM(IS!AA22:AD22)/AVERAGE(Y14,AD14)</f>
        <v>47.088591983556007</v>
      </c>
      <c r="AE173" s="814">
        <f>IS!AE22/AVERAGE(Z14,AE14)</f>
        <v>47.088591983556007</v>
      </c>
      <c r="AF173" s="289">
        <f>SUM(IS!AB22:AF22)/AVERAGE(AA14,AF14)</f>
        <v>79.484060814124589</v>
      </c>
      <c r="AG173" s="289">
        <f>SUM(IS!AC22:AG22)/AVERAGE(AB14,AG14)</f>
        <v>63.487010208447948</v>
      </c>
      <c r="AH173" s="289">
        <f>SUM(IS!AD22:AH22)/AVERAGE(AC14,AH14)</f>
        <v>69.278774289985037</v>
      </c>
      <c r="AI173" s="289">
        <f>SUM(IS!AF22:AI22)/AVERAGE(AD14,AI14)</f>
        <v>53.170312612807741</v>
      </c>
      <c r="AJ173" s="814">
        <f>IS!AJ22/AVERAGE(AE14,AJ14)</f>
        <v>53.170312612807741</v>
      </c>
      <c r="AK173" s="289">
        <f>SUM(IS!AG22:AK22)/AVERAGE(AF14,AK14)</f>
        <v>82.530750145172362</v>
      </c>
      <c r="AL173" s="289">
        <f>SUM(IS!AH22:AL22)/AVERAGE(AG14,AL14)</f>
        <v>72.396940593629125</v>
      </c>
      <c r="AM173" s="289">
        <f>SUM(IS!AI22:AM22)/AVERAGE(AH14,AM14)</f>
        <v>69.905461112637894</v>
      </c>
      <c r="AN173" s="289">
        <f>SUM(IS!AK22:AN22)/AVERAGE(AI14,AN14)</f>
        <v>49.514537705194755</v>
      </c>
      <c r="AO173" s="814">
        <f>IS!AO22/AVERAGE(AJ14,AO14)</f>
        <v>49.514537705194755</v>
      </c>
      <c r="AP173" s="289">
        <f>SUM(IS!AL22:AP22)/AVERAGE(AK14,AP14)</f>
        <v>78.525395715466274</v>
      </c>
      <c r="AQ173" s="289">
        <f>SUM(IS!AM22:AQ22)/AVERAGE(AL14,AQ14)</f>
        <v>72.107090693636849</v>
      </c>
      <c r="AR173" s="289">
        <f>SUM(IS!AN22:AR22)/AVERAGE(AM14,AR14)</f>
        <v>66.629010197960412</v>
      </c>
      <c r="AS173" s="289">
        <f>SUM(IS!AP22:AS22)/AVERAGE(AN14,AS14)</f>
        <v>48.039805851568637</v>
      </c>
      <c r="AT173" s="814">
        <f>IS!AT22/AVERAGE(AO14,AT14)</f>
        <v>48.039805851568637</v>
      </c>
      <c r="AU173" s="289">
        <f>SUM(IS!AQ22:AU22)/AVERAGE(AP14,AU14)</f>
        <v>72.037411895753706</v>
      </c>
      <c r="AV173" s="289">
        <f>SUM(IS!AR22:AV22)/AVERAGE(AQ14,AV14)</f>
        <v>65.72649319929036</v>
      </c>
      <c r="AW173" s="289">
        <f>SUM(IS!AS22:AW22)/AVERAGE(AR14,AW14)</f>
        <v>63.472241971797608</v>
      </c>
      <c r="AX173" s="289">
        <f>SUM(IS!AU22:AX22)/AVERAGE(AS14,AX14)</f>
        <v>45.951508307791578</v>
      </c>
      <c r="AY173" s="814">
        <f>IS!AY22/AVERAGE(AT14,AY14)</f>
        <v>45.951508307791578</v>
      </c>
      <c r="AZ173" s="289">
        <f>SUM(IS!AV22:AZ22)/AVERAGE(AU14,AZ14)</f>
        <v>75.682458226422185</v>
      </c>
      <c r="BA173" s="289">
        <f>SUM(IS!AW22:BA22)/AVERAGE(AV14,BA14)</f>
        <v>68.885488467121888</v>
      </c>
      <c r="BB173" s="289">
        <f>SUM(IS!AX22:BB22)/AVERAGE(AW14,BB14)</f>
        <v>68.212276652994589</v>
      </c>
      <c r="BC173" s="289">
        <f>SUM(IS!AZ22:BC22)/AVERAGE(AX14,BC14)</f>
        <v>46.044717068595645</v>
      </c>
      <c r="BD173" s="814">
        <f>IS!BD22/AVERAGE(AY14,BD14)</f>
        <v>46.044717068595645</v>
      </c>
      <c r="BE173" s="289">
        <f>SUM(IS!BA22:BE22)/AVERAGE(AZ14,BE14)</f>
        <v>78.618090674009551</v>
      </c>
      <c r="BF173" s="289">
        <f>SUM(IS!BB22:BF22)/AVERAGE(BA14,BF14)</f>
        <v>82.217829353963793</v>
      </c>
      <c r="BG173" s="289">
        <f>SUM(IS!BC22:BG22)/AVERAGE(BB14,BG14)</f>
        <v>75.116687146334414</v>
      </c>
      <c r="BH173" s="289">
        <f>SUM(IS!BE22:BH22)/AVERAGE(BC14,BH14)</f>
        <v>48.702232521140644</v>
      </c>
      <c r="BI173" s="814">
        <f>IS!BI22/AVERAGE(BD14,BI14)</f>
        <v>48.702232521140644</v>
      </c>
      <c r="BJ173" s="289">
        <f>SUM(IS!BF22:BJ22)/AVERAGE(BE14,BJ14)</f>
        <v>81.874120283793246</v>
      </c>
      <c r="BK173" s="289">
        <f>SUM(IS!BG22:BK22)/AVERAGE(BF14,BK14)</f>
        <v>82.890946985055081</v>
      </c>
      <c r="BL173" s="289">
        <f>SUM(IS!BH22:BL22)/AVERAGE(BG14,BL14)</f>
        <v>70.291509272231778</v>
      </c>
      <c r="BM173" s="289">
        <f>SUM(IS!BJ22:BM22)/AVERAGE(BH14,BM14)</f>
        <v>45.188656880986841</v>
      </c>
      <c r="BN173" s="814">
        <f>IS!BN22/AVERAGE(BI14,BN14)</f>
        <v>45.188656880986841</v>
      </c>
      <c r="BO173" s="289">
        <f>SUM(IS!BK22:BO22)/AVERAGE(BJ14,BO14)</f>
        <v>75.417217067819081</v>
      </c>
      <c r="BP173" s="289">
        <f>SUM(IS!BL22:BP22)/AVERAGE(BK14,BP14)</f>
        <v>70.18992491386598</v>
      </c>
      <c r="BQ173" s="289">
        <f>SUM(IS!BM22:BQ22)/AVERAGE(BL14,BQ14)</f>
        <v>61.323070602493786</v>
      </c>
      <c r="BR173" s="289">
        <f>SUM(IS!BO22:BR22)/AVERAGE(BM14,BR14)</f>
        <v>46.882161378578132</v>
      </c>
      <c r="BS173" s="814">
        <f>IS!BS22/AVERAGE(BN14,BS14)</f>
        <v>46.882161378578132</v>
      </c>
      <c r="BT173" s="289">
        <f>SUM(IS!BP22:BT22)/AVERAGE(BO14,BT14)</f>
        <v>81.87804014419487</v>
      </c>
      <c r="BU173" s="289">
        <f>SUM(IS!BQ22:BU22)/AVERAGE(BP14,BU14)</f>
        <v>73.39608094139804</v>
      </c>
      <c r="BV173" s="289">
        <f>SUM(IS!BR22:BV22)/AVERAGE(BQ14,BV14)</f>
        <v>67.069584976015207</v>
      </c>
      <c r="BW173" s="289">
        <f>SUM(IS!BT22:BW22)/AVERAGE(BR14,BW14)</f>
        <v>48.467704196969748</v>
      </c>
      <c r="BX173" s="814">
        <f>IS!BX22/AVERAGE(BS14,BX14)</f>
        <v>48.467704196969748</v>
      </c>
      <c r="BY173" s="289">
        <f>SUM(IS!BU22:BY22)/AVERAGE(BT14,BY14)</f>
        <v>79.816596518048854</v>
      </c>
      <c r="BZ173" s="289">
        <f>SUM(IS!BV22:BZ22)/AVERAGE(BU14,BZ14)</f>
        <v>71.602289294134309</v>
      </c>
      <c r="CA173" s="289">
        <f>SUM(IS!BW22:CA22)/AVERAGE(BV14,CA14)</f>
        <v>69.915834469152557</v>
      </c>
      <c r="CB173" s="289">
        <f>SUM(IS!BY22:CB22)/AVERAGE(BW14,CB14)</f>
        <v>45.529586752274483</v>
      </c>
      <c r="CC173" s="814">
        <f>IS!CC22/AVERAGE(BX14,CC14)</f>
        <v>45.529586752274483</v>
      </c>
      <c r="CD173" s="289">
        <f>SUM(IS!BZ22:CD22)/AVERAGE(BY14,CD14)</f>
        <v>76.266438580749792</v>
      </c>
      <c r="CE173" s="289">
        <f>SUM(IS!CA22:CE22)/AVERAGE(BZ14,CE14)</f>
        <v>71.136115051969185</v>
      </c>
      <c r="CF173" s="289">
        <f>SUM(IS!CB22:CF22)/AVERAGE(CA14,CF14)</f>
        <v>67.474793769145421</v>
      </c>
      <c r="CG173" s="289">
        <f>SUM(IS!CD22:CG22)/AVERAGE(CB14,CG14)</f>
        <v>43.182585723633451</v>
      </c>
      <c r="CH173" s="814">
        <f>IS!CH22/AVERAGE(CC14,CH14)</f>
        <v>43.182585723633451</v>
      </c>
      <c r="CI173" s="289">
        <f>SUM(IS!CE22:CI22)/AVERAGE(CD14,CI14)</f>
        <v>76.371055148230781</v>
      </c>
      <c r="CJ173" s="289">
        <f>SUM(IS!CF22:CJ22)/AVERAGE(CE14,CJ14)</f>
        <v>70.623443707341352</v>
      </c>
      <c r="CK173" s="289">
        <f>SUM(IS!CG22:CK22)/AVERAGE(CF14,CK14)</f>
        <v>63.223957321840793</v>
      </c>
      <c r="CL173" s="289">
        <f>SUM(IS!CI22:CL22)/AVERAGE(CG14,CL14)</f>
        <v>37.246311273864883</v>
      </c>
      <c r="CM173" s="814">
        <f>IS!CM22/AVERAGE(CH14,CM14)</f>
        <v>37.246311273864883</v>
      </c>
      <c r="CN173" s="289">
        <f>SUM(IS!CJ22:CN22)/AVERAGE(CI14,CN14)</f>
        <v>64.112412649550222</v>
      </c>
      <c r="CO173" s="289">
        <f>SUM(IS!CK22:CO22)/AVERAGE(CJ14,CO14)</f>
        <v>63.065553938671385</v>
      </c>
      <c r="CP173" s="289">
        <f>SUM(IS!CL22:CP22)/AVERAGE(CK14,CP14)</f>
        <v>58.468025396808663</v>
      </c>
      <c r="CQ173" s="289">
        <f>SUM(IS!CN22:CQ22)/AVERAGE(CL14,CQ14)</f>
        <v>35.802440656070495</v>
      </c>
      <c r="CR173" s="814">
        <f>IS!CR22/AVERAGE(CM14,CR14)</f>
        <v>35.802440656070495</v>
      </c>
      <c r="CS173" s="289">
        <f>SUM(IS!CO22:CS22)/AVERAGE(CN14,CS14)</f>
        <v>61.244758654314964</v>
      </c>
      <c r="CT173" s="289">
        <f>SUM(IS!CP22:CT22)/AVERAGE(CO14,CT14)</f>
        <v>60.667144221585481</v>
      </c>
      <c r="CU173" s="289">
        <f>SUM(IS!CQ22:CU22)/AVERAGE(CP14,CU14)</f>
        <v>60.80189461219657</v>
      </c>
      <c r="CV173" s="289">
        <f>SUM(IS!CS22:CV22)/AVERAGE(CQ14,CV14)</f>
        <v>37.568523676880226</v>
      </c>
      <c r="CW173" s="821">
        <f>IS!CW22/AVERAGE(CR14,CW14)</f>
        <v>37.568523676880226</v>
      </c>
      <c r="CX173" s="289">
        <f>SUM(IS!CT22:CX22)/AVERAGE(CS14,CX14)</f>
        <v>66.049806576402318</v>
      </c>
      <c r="CY173" s="289">
        <f>SUM(IS!CU22:CY22)/AVERAGE(CT14,CY14)</f>
        <v>64.221137077084066</v>
      </c>
      <c r="CZ173" s="289">
        <f>SUM(IS!CV22:CZ22)/AVERAGE(CU14,CZ14)</f>
        <v>67.580691991289612</v>
      </c>
      <c r="DA173" s="289">
        <f>SUM(IS!CX22:DA22)/AVERAGE(CV14,DA14)</f>
        <v>41.95467422096317</v>
      </c>
      <c r="DB173" s="821">
        <f>IS!DB22/AVERAGE(CW14,DB14)</f>
        <v>41.95467422096317</v>
      </c>
      <c r="DC173" s="289">
        <f>SUM(IS!CY22:DC22)/AVERAGE(CX14,DC14)</f>
        <v>74.755636785267555</v>
      </c>
      <c r="DD173" s="289">
        <f>SUM(IS!CZ22:DD22)/AVERAGE(CY14,DD14)</f>
        <v>71.414255006527881</v>
      </c>
      <c r="DE173" s="289">
        <f>SUM(IS!DA22:DE22)/AVERAGE(CZ14,DE14)</f>
        <v>72.470495529501704</v>
      </c>
      <c r="DF173" s="289">
        <f>SUM(IS!DC22:DF22)/AVERAGE(DA14,DF14)</f>
        <v>41.901977441377824</v>
      </c>
      <c r="DG173" s="821">
        <f>IS!DG22/AVERAGE(DB14,DG14)</f>
        <v>41.901977441377824</v>
      </c>
      <c r="DH173" s="289">
        <f>SUM(IS!DD22:DH22)/AVERAGE(DC14,DH14)</f>
        <v>77.212894094747199</v>
      </c>
      <c r="DI173" s="289">
        <f>SUM(IS!DE22:DI22)/AVERAGE(DD14,DI14)</f>
        <v>72.100719753712468</v>
      </c>
      <c r="DJ173" s="289">
        <f>SUM(IS!DF22:DJ22)/AVERAGE(DE14,DJ14)</f>
        <v>72.343902850426289</v>
      </c>
      <c r="DK173" s="289">
        <f>SUM(IS!DH22:DK22)/AVERAGE(DF14,DK14)</f>
        <v>40.530733096379386</v>
      </c>
      <c r="DL173" s="821">
        <f>IS!DL22/AVERAGE(DG14,DL14)</f>
        <v>40.530733096379386</v>
      </c>
      <c r="DM173" s="289">
        <f>SUM(IS!DI22:DM22)/AVERAGE(DH14,DM14)</f>
        <v>77.188273236658233</v>
      </c>
      <c r="DN173" s="289">
        <f>SUM(IS!DJ22:DN22)/AVERAGE(DI14,DN14)</f>
        <v>72.134769395803019</v>
      </c>
      <c r="DO173" s="289">
        <f>SUM(IS!DK22:DO22)/AVERAGE(DJ14,DO14)</f>
        <v>72.316539441895813</v>
      </c>
      <c r="DP173" s="289">
        <f>SUM(IS!DM22:DP22)/AVERAGE(DK14,DP14)</f>
        <v>40.550040840657402</v>
      </c>
      <c r="DQ173" s="821">
        <f>IS!DQ22/AVERAGE(DL14,DQ14)</f>
        <v>40.550040840657402</v>
      </c>
      <c r="DR173" s="66"/>
      <c r="DS173" s="64"/>
      <c r="DT173"/>
      <c r="DU173"/>
      <c r="DV173"/>
      <c r="DW173"/>
      <c r="DX173"/>
      <c r="DY173"/>
    </row>
    <row r="174" spans="1:129" s="132" customFormat="1" hidden="1" outlineLevel="1">
      <c r="A174" s="38"/>
      <c r="B174" s="56"/>
      <c r="C174" s="57" t="s">
        <v>247</v>
      </c>
      <c r="D174" s="57"/>
      <c r="E174" s="57"/>
      <c r="F174" s="57"/>
      <c r="G174" s="56"/>
      <c r="H174" s="310"/>
      <c r="I174" s="310"/>
      <c r="J174" s="311"/>
      <c r="K174" s="820"/>
      <c r="L174" s="312"/>
      <c r="M174" s="310">
        <f>SUM(IS!I22:M22)/AVERAGE(H209,M209)</f>
        <v>17.726740403383218</v>
      </c>
      <c r="N174" s="310">
        <f>SUM(IS!J22:N22)/AVERAGE(I209,N209)</f>
        <v>25.507541276215981</v>
      </c>
      <c r="O174" s="310">
        <f>SUM(IS!L22:O22)/AVERAGE(J209,O209)</f>
        <v>25.33599316044458</v>
      </c>
      <c r="P174" s="820">
        <f>IS!P22/AVERAGE(K209,P209)</f>
        <v>31.526241134751768</v>
      </c>
      <c r="Q174" s="312">
        <f>SUM(IS!M22:Q22)/AVERAGE(L209,Q209)</f>
        <v>19.103308994873387</v>
      </c>
      <c r="R174" s="310">
        <f>SUM(IS!N22:R22)/AVERAGE(M209,R209)</f>
        <v>23.981652505849038</v>
      </c>
      <c r="S174" s="310">
        <f>SUM(IS!O22:S22)/AVERAGE(N209,S209)</f>
        <v>32.864601352413892</v>
      </c>
      <c r="T174" s="311">
        <f>SUM(IS!Q22:T22)/AVERAGE(O209,T209)</f>
        <v>54.757642357642332</v>
      </c>
      <c r="U174" s="820">
        <f>IS!U22/AVERAGE(P209,U209)</f>
        <v>54.757642357642332</v>
      </c>
      <c r="V174" s="310">
        <f>SUM(IS!R22:V22)/AVERAGE(Q209,V209)</f>
        <v>30.778590355060956</v>
      </c>
      <c r="W174" s="310">
        <f>SUM(IS!S22:W22)/AVERAGE(R209,W209)</f>
        <v>29.229940868227484</v>
      </c>
      <c r="X174" s="310">
        <f>SUM(IS!T22:X22)/AVERAGE(S209,X209)</f>
        <v>38.771455165994396</v>
      </c>
      <c r="Y174" s="311">
        <f>SUM(IS!V22:Y22)/AVERAGE(T209,Y209)</f>
        <v>22.222250000000003</v>
      </c>
      <c r="Z174" s="820">
        <f>IS!Z22/AVERAGE(U209,Z209)</f>
        <v>22.222250000000003</v>
      </c>
      <c r="AA174" s="310">
        <f>SUM(IS!W22:AA22)/AVERAGE(V209,AA209)</f>
        <v>27.92028026469443</v>
      </c>
      <c r="AB174" s="310">
        <f>SUM(IS!X22:AB22)/AVERAGE(W209,AB209)</f>
        <v>22.558716131209927</v>
      </c>
      <c r="AC174" s="310">
        <f>SUM(IS!Y22:AC22)/AVERAGE(X209,AC209)</f>
        <v>25.289569175958299</v>
      </c>
      <c r="AD174" s="310">
        <f>SUM(IS!AA22:AD22)/AVERAGE(Y209,AD209)</f>
        <v>8.6309126871997748</v>
      </c>
      <c r="AE174" s="820">
        <f>IS!AE22/AVERAGE(Z209,AE209)</f>
        <v>8.6309126871997748</v>
      </c>
      <c r="AF174" s="310">
        <f>SUM(IS!AB22:AF22)/AVERAGE(AA209,AF209)</f>
        <v>14.14411636363636</v>
      </c>
      <c r="AG174" s="310">
        <f>SUM(IS!AC22:AG22)/AVERAGE(AB209,AG209)</f>
        <v>12.23187449945824</v>
      </c>
      <c r="AH174" s="310">
        <f>SUM(IS!AD22:AH22)/AVERAGE(AC209,AH209)</f>
        <v>11.495866060355519</v>
      </c>
      <c r="AI174" s="310">
        <f>SUM(IS!AF22:AI22)/AVERAGE(AD209,AI209)</f>
        <v>6.1825737287922156</v>
      </c>
      <c r="AJ174" s="820">
        <f>IS!AJ22/AVERAGE(AE209,AJ209)</f>
        <v>6.1825737287922156</v>
      </c>
      <c r="AK174" s="310">
        <f>SUM(IS!AG22:AK22)/AVERAGE(AF209,AK209)</f>
        <v>9.8737502920984994</v>
      </c>
      <c r="AL174" s="310">
        <f>SUM(IS!AH22:AL22)/AVERAGE(AG209,AL209)</f>
        <v>9.1517298966127214</v>
      </c>
      <c r="AM174" s="310">
        <f>SUM(IS!AI22:AM22)/AVERAGE(AH209,AM209)</f>
        <v>8.8612507340572719</v>
      </c>
      <c r="AN174" s="310">
        <f>SUM(IS!AK22:AN22)/AVERAGE(AI209,AN209)</f>
        <v>5.3671306440029829</v>
      </c>
      <c r="AO174" s="820">
        <f>IS!AO22/AVERAGE(AJ209,AO209)</f>
        <v>5.3671306440029829</v>
      </c>
      <c r="AP174" s="310">
        <f>SUM(IS!AL22:AP22)/AVERAGE(AK209,AP209)</f>
        <v>8.2892103903424328</v>
      </c>
      <c r="AQ174" s="310">
        <f>SUM(IS!AM22:AQ22)/AVERAGE(AL209,AQ209)</f>
        <v>7.3755080871119247</v>
      </c>
      <c r="AR174" s="310">
        <f>SUM(IS!AN22:AR22)/AVERAGE(AM209,AR209)</f>
        <v>6.9966764851878072</v>
      </c>
      <c r="AS174" s="310">
        <f>SUM(IS!AP22:AS22)/AVERAGE(AN209,AS209)</f>
        <v>4.1305908904390645</v>
      </c>
      <c r="AT174" s="820">
        <f>IS!AT22/AVERAGE(AO209,AT209)</f>
        <v>4.1305908904390645</v>
      </c>
      <c r="AU174" s="310">
        <f>SUM(IS!AQ22:AU22)/AVERAGE(AP209,AU209)</f>
        <v>6.6588838885486297</v>
      </c>
      <c r="AV174" s="310">
        <f>SUM(IS!AR22:AV22)/AVERAGE(AQ209,AV209)</f>
        <v>6.2093364308892767</v>
      </c>
      <c r="AW174" s="310">
        <f>SUM(IS!AS22:AW22)/AVERAGE(AR209,AW209)</f>
        <v>6.0858841858741011</v>
      </c>
      <c r="AX174" s="310">
        <f>SUM(IS!AU22:AX22)/AVERAGE(AS209,AX209)</f>
        <v>3.9812686237567854</v>
      </c>
      <c r="AY174" s="820">
        <f>IS!AY22/AVERAGE(AT209,AY209)</f>
        <v>3.9812686237567854</v>
      </c>
      <c r="AZ174" s="310">
        <f>SUM(IS!AV22:AZ22)/AVERAGE(AU209,AZ209)</f>
        <v>6.7573094807846408</v>
      </c>
      <c r="BA174" s="310">
        <f>SUM(IS!AW22:BA22)/AVERAGE(AV209,BA209)</f>
        <v>6.3237966436327762</v>
      </c>
      <c r="BB174" s="310">
        <f>SUM(IS!AX22:BB22)/AVERAGE(AW209,BB209)</f>
        <v>6.3542678398927537</v>
      </c>
      <c r="BC174" s="310">
        <f>SUM(IS!AZ22:BC22)/AVERAGE(AX209,BC209)</f>
        <v>3.4920012263668885</v>
      </c>
      <c r="BD174" s="820">
        <f>IS!BD22/AVERAGE(AY209,BD209)</f>
        <v>3.4920012263668885</v>
      </c>
      <c r="BE174" s="310">
        <f>SUM(IS!BA22:BE22)/AVERAGE(AZ209,BE209)</f>
        <v>6.0193690595086373</v>
      </c>
      <c r="BF174" s="310">
        <f>SUM(IS!BB22:BF22)/AVERAGE(BA209,BF209)</f>
        <v>5.6100059948109688</v>
      </c>
      <c r="BG174" s="310">
        <f>SUM(IS!BC22:BG22)/AVERAGE(BB209,BG209)</f>
        <v>5.5808018607355727</v>
      </c>
      <c r="BH174" s="310">
        <f>SUM(IS!BE22:BH22)/AVERAGE(BC209,BH209)</f>
        <v>3.0627130468258503</v>
      </c>
      <c r="BI174" s="820">
        <f>IS!BI22/AVERAGE(BD209,BI209)</f>
        <v>3.0627130468258503</v>
      </c>
      <c r="BJ174" s="310">
        <f>SUM(IS!BF22:BJ22)/AVERAGE(BE209,BJ209)</f>
        <v>5.570350715577101</v>
      </c>
      <c r="BK174" s="310">
        <f>SUM(IS!BG22:BK22)/AVERAGE(BF209,BK209)</f>
        <v>5.3829024753929637</v>
      </c>
      <c r="BL174" s="310">
        <f>SUM(IS!BH22:BL22)/AVERAGE(BG209,BL209)</f>
        <v>5.4494359262029413</v>
      </c>
      <c r="BM174" s="310">
        <f>SUM(IS!BJ22:BM22)/AVERAGE(BH209,BM209)</f>
        <v>3.0584257609537229</v>
      </c>
      <c r="BN174" s="820">
        <f>IS!BN22/AVERAGE(BI209,BN209)</f>
        <v>3.0584257609537229</v>
      </c>
      <c r="BO174" s="310">
        <f>SUM(IS!BK22:BO22)/AVERAGE(BJ209,BO209)</f>
        <v>5.5991896238779804</v>
      </c>
      <c r="BP174" s="310">
        <f>SUM(IS!BL22:BP22)/AVERAGE(BK209,BP209)</f>
        <v>5.6512444525280472</v>
      </c>
      <c r="BQ174" s="310">
        <f>SUM(IS!BM22:BQ22)/AVERAGE(BL209,BQ209)</f>
        <v>5.8884448131706266</v>
      </c>
      <c r="BR174" s="310">
        <f>SUM(IS!BO22:BR22)/AVERAGE(BM209,BR209)</f>
        <v>3.7325010149315831</v>
      </c>
      <c r="BS174" s="820">
        <f>IS!BS22/AVERAGE(BN209,BS209)</f>
        <v>3.7325010149315831</v>
      </c>
      <c r="BT174" s="310">
        <f>SUM(IS!BP22:BT22)/AVERAGE(BO209,BT209)</f>
        <v>6.5928766125694107</v>
      </c>
      <c r="BU174" s="310">
        <f>SUM(IS!BQ22:BU22)/AVERAGE(BP209,BU209)</f>
        <v>6.4964767660613036</v>
      </c>
      <c r="BV174" s="310">
        <f>SUM(IS!BR22:BV22)/AVERAGE(BQ209,BV209)</f>
        <v>6.7131426216559635</v>
      </c>
      <c r="BW174" s="310">
        <f>SUM(IS!BT22:BW22)/AVERAGE(BR209,BW209)</f>
        <v>4.2527741157793626</v>
      </c>
      <c r="BX174" s="820">
        <f>IS!BX22/AVERAGE(BS209,BX209)</f>
        <v>4.2527741157793626</v>
      </c>
      <c r="BY174" s="310">
        <f>SUM(IS!BU22:BY22)/AVERAGE(BT209,BY209)</f>
        <v>7.2476636806016375</v>
      </c>
      <c r="BZ174" s="310">
        <f>SUM(IS!BV22:BZ22)/AVERAGE(BU209,BZ209)</f>
        <v>7.5204322194089821</v>
      </c>
      <c r="CA174" s="310">
        <f>SUM(IS!BW22:CA22)/AVERAGE(BV209,CA209)</f>
        <v>7.3466731013790394</v>
      </c>
      <c r="CB174" s="310">
        <f>SUM(IS!BY22:CB22)/AVERAGE(BW209,CB209)</f>
        <v>4.1845372883195067</v>
      </c>
      <c r="CC174" s="820">
        <f>IS!CC22/AVERAGE(BX209,CC209)</f>
        <v>4.1845372883195067</v>
      </c>
      <c r="CD174" s="310">
        <f>SUM(IS!BZ22:CD22)/AVERAGE(BY209,CD209)</f>
        <v>6.9015241255863673</v>
      </c>
      <c r="CE174" s="310">
        <f>SUM(IS!CA22:CE22)/AVERAGE(BZ209,CE209)</f>
        <v>7.3720264692267659</v>
      </c>
      <c r="CF174" s="310">
        <f>SUM(IS!CB22:CF22)/AVERAGE(CA209,CF209)</f>
        <v>7.4651239186254337</v>
      </c>
      <c r="CG174" s="310">
        <f>SUM(IS!CD22:CG22)/AVERAGE(CB209,CG209)</f>
        <v>4.0389605436745812</v>
      </c>
      <c r="CH174" s="820">
        <f>IS!CH22/AVERAGE(CC209,CH209)</f>
        <v>4.0389605436745812</v>
      </c>
      <c r="CI174" s="310">
        <f>SUM(IS!CE22:CI22)/AVERAGE(CD209,CI209)</f>
        <v>6.9177255552723311</v>
      </c>
      <c r="CJ174" s="310">
        <f>SUM(IS!CF22:CJ22)/AVERAGE(CE209,CJ209)</f>
        <v>6.9799755411145235</v>
      </c>
      <c r="CK174" s="310">
        <f>SUM(IS!CG22:CK22)/AVERAGE(CF209,CK209)</f>
        <v>7.4121833143664464</v>
      </c>
      <c r="CL174" s="310">
        <f>SUM(IS!CI22:CL22)/AVERAGE(CG209,CL209)</f>
        <v>2.8150444844616396</v>
      </c>
      <c r="CM174" s="820">
        <f>IS!CM22/AVERAGE(CH209,CM209)</f>
        <v>2.8150444844616396</v>
      </c>
      <c r="CN174" s="310">
        <f>SUM(IS!CJ22:CN22)/AVERAGE(CI209,CN209)</f>
        <v>4.9377869662051159</v>
      </c>
      <c r="CO174" s="310">
        <f>SUM(IS!CK22:CO22)/AVERAGE(CJ209,CO209)</f>
        <v>4.9340222815396801</v>
      </c>
      <c r="CP174" s="310">
        <f>SUM(IS!CL22:CP22)/AVERAGE(CK209,CP209)</f>
        <v>5.2582094905510735</v>
      </c>
      <c r="CQ174" s="310">
        <f>SUM(IS!CN22:CQ22)/AVERAGE(CL209,CQ209)</f>
        <v>2.4555038806296023</v>
      </c>
      <c r="CR174" s="820">
        <f>IS!CR22/AVERAGE(CM209,CR209)</f>
        <v>2.4555038806296023</v>
      </c>
      <c r="CS174" s="310">
        <f>SUM(IS!CO22:CS22)/AVERAGE(CN209,CS209)</f>
        <v>4.2679419334562159</v>
      </c>
      <c r="CT174" s="310">
        <f>SUM(IS!CP22:CT22)/AVERAGE(CO209,CT209)</f>
        <v>4.196622207540158</v>
      </c>
      <c r="CU174" s="310">
        <f>SUM(IS!CQ22:CU22)/AVERAGE(CP209,CU209)</f>
        <v>4.3034630728485714</v>
      </c>
      <c r="CV174" s="310">
        <f>SUM(IS!CS22:CV22)/AVERAGE(CQ209,CV209)</f>
        <v>2.3322381504089642</v>
      </c>
      <c r="CW174" s="822">
        <f>IS!CW22/AVERAGE(CR209,CW209)</f>
        <v>2.3322381504089642</v>
      </c>
      <c r="CX174" s="310">
        <f>SUM(IS!CT22:CX22)/AVERAGE(CS209,CX209)</f>
        <v>4.409717514124293</v>
      </c>
      <c r="CY174" s="310">
        <f>SUM(IS!CU22:CY22)/AVERAGE(CT209,CY209)</f>
        <v>4.2899881171509122</v>
      </c>
      <c r="CZ174" s="310">
        <f>SUM(IS!CV22:CZ22)/AVERAGE(CU209,CZ209)</f>
        <v>4.3029509408964515</v>
      </c>
      <c r="DA174" s="310">
        <f>SUM(IS!CX22:DA22)/AVERAGE(CV209,DA209)</f>
        <v>2.3825611325611327</v>
      </c>
      <c r="DB174" s="822">
        <f>IS!DB22/AVERAGE(CW209,DB209)</f>
        <v>2.3825611325611327</v>
      </c>
      <c r="DC174" s="310">
        <f>SUM(IS!CY22:DC22)/AVERAGE(CX209,DC209)</f>
        <v>4.7125926177340309</v>
      </c>
      <c r="DD174" s="310">
        <f>SUM(IS!CZ22:DD22)/AVERAGE(CY209,DD209)</f>
        <v>4.5457555084679084</v>
      </c>
      <c r="DE174" s="310">
        <f>SUM(IS!DA22:DE22)/AVERAGE(CZ209,DE209)</f>
        <v>4.5757725962360469</v>
      </c>
      <c r="DF174" s="310">
        <f>SUM(IS!DC22:DF22)/AVERAGE(DA209,DF209)</f>
        <v>2.5481763878451593</v>
      </c>
      <c r="DG174" s="822">
        <f>IS!DG22/AVERAGE(DB209,DG209)</f>
        <v>2.5481763878451593</v>
      </c>
      <c r="DH174" s="310">
        <f>SUM(IS!DD22:DH22)/AVERAGE(DC209,DH209)</f>
        <v>4.9965217059968872</v>
      </c>
      <c r="DI174" s="310">
        <f>SUM(IS!DE22:DI22)/AVERAGE(DD209,DI209)</f>
        <v>4.7941938242264754</v>
      </c>
      <c r="DJ174" s="310">
        <f>SUM(IS!DF22:DJ22)/AVERAGE(DE209,DJ209)</f>
        <v>4.8306090984923102</v>
      </c>
      <c r="DK174" s="310">
        <f>SUM(IS!DH22:DK22)/AVERAGE(DF209,DK209)</f>
        <v>2.5568199148532487</v>
      </c>
      <c r="DL174" s="822">
        <f>IS!DL22/AVERAGE(DG209,DL209)</f>
        <v>2.5568199148532487</v>
      </c>
      <c r="DM174" s="310">
        <f>SUM(IS!DI22:DM22)/AVERAGE(DH209,DM209)</f>
        <v>5.1158451377315339</v>
      </c>
      <c r="DN174" s="310">
        <f>SUM(IS!DJ22:DN22)/AVERAGE(DI209,DN209)</f>
        <v>4.9041821658245652</v>
      </c>
      <c r="DO174" s="310">
        <f>SUM(IS!DK22:DO22)/AVERAGE(DJ209,DO209)</f>
        <v>4.9030921000864769</v>
      </c>
      <c r="DP174" s="310">
        <f>SUM(IS!DM22:DP22)/AVERAGE(DK209,DP209)</f>
        <v>2.5969925143901453</v>
      </c>
      <c r="DQ174" s="822">
        <f>IS!DQ22/AVERAGE(DL209,DQ209)</f>
        <v>2.5969925143901453</v>
      </c>
      <c r="DR174" s="32"/>
      <c r="DS174" s="57"/>
      <c r="DT174"/>
      <c r="DU174"/>
      <c r="DV174"/>
      <c r="DW174"/>
      <c r="DX174"/>
      <c r="DY174"/>
    </row>
    <row r="175" spans="1:129" s="127" customFormat="1" hidden="1" outlineLevel="1">
      <c r="A175" s="118"/>
      <c r="B175" s="65"/>
      <c r="C175" s="70"/>
      <c r="D175" s="70"/>
      <c r="E175" s="70"/>
      <c r="F175" s="70"/>
      <c r="G175" s="65"/>
      <c r="H175" s="70"/>
      <c r="I175" s="70"/>
      <c r="J175" s="71"/>
      <c r="K175" s="835"/>
      <c r="L175" s="65"/>
      <c r="M175" s="70"/>
      <c r="N175" s="70"/>
      <c r="O175" s="70"/>
      <c r="P175" s="835"/>
      <c r="Q175" s="65"/>
      <c r="R175" s="70"/>
      <c r="S175" s="70"/>
      <c r="T175" s="71"/>
      <c r="U175" s="835"/>
      <c r="V175" s="70"/>
      <c r="W175" s="70"/>
      <c r="X175" s="70"/>
      <c r="Y175" s="71"/>
      <c r="Z175" s="835"/>
      <c r="AA175" s="70"/>
      <c r="AB175" s="70"/>
      <c r="AC175" s="70"/>
      <c r="AD175" s="70"/>
      <c r="AE175" s="835"/>
      <c r="AF175" s="70"/>
      <c r="AG175" s="70"/>
      <c r="AH175" s="70"/>
      <c r="AI175" s="70"/>
      <c r="AJ175" s="835"/>
      <c r="AK175" s="70"/>
      <c r="AL175" s="70"/>
      <c r="AM175" s="70"/>
      <c r="AN175" s="70"/>
      <c r="AO175" s="835"/>
      <c r="AP175" s="70"/>
      <c r="AQ175" s="70"/>
      <c r="AR175" s="70"/>
      <c r="AS175" s="70"/>
      <c r="AT175" s="835"/>
      <c r="AU175" s="70"/>
      <c r="AV175" s="70"/>
      <c r="AW175" s="70"/>
      <c r="AX175" s="70"/>
      <c r="AY175" s="835"/>
      <c r="AZ175" s="70"/>
      <c r="BA175" s="70"/>
      <c r="BB175" s="70"/>
      <c r="BC175" s="70"/>
      <c r="BD175" s="835"/>
      <c r="BE175" s="70"/>
      <c r="BF175" s="70"/>
      <c r="BG175" s="70"/>
      <c r="BH175" s="70"/>
      <c r="BI175" s="835"/>
      <c r="BJ175" s="70"/>
      <c r="BK175" s="70"/>
      <c r="BL175" s="70"/>
      <c r="BM175" s="70"/>
      <c r="BN175" s="835"/>
      <c r="BO175" s="70"/>
      <c r="BP175" s="70"/>
      <c r="BQ175" s="70"/>
      <c r="BR175" s="70"/>
      <c r="BS175" s="835"/>
      <c r="BT175" s="70"/>
      <c r="BU175" s="70"/>
      <c r="BV175" s="70"/>
      <c r="BW175" s="70"/>
      <c r="BX175" s="835"/>
      <c r="BY175" s="70"/>
      <c r="BZ175" s="70"/>
      <c r="CA175" s="70"/>
      <c r="CB175" s="122"/>
      <c r="CC175" s="835"/>
      <c r="CD175" s="122"/>
      <c r="CE175" s="122"/>
      <c r="CF175" s="122"/>
      <c r="CG175" s="122"/>
      <c r="CH175" s="835"/>
      <c r="CI175" s="122"/>
      <c r="CJ175" s="122"/>
      <c r="CK175" s="122"/>
      <c r="CL175" s="122"/>
      <c r="CM175" s="835"/>
      <c r="CN175" s="122"/>
      <c r="CO175" s="122"/>
      <c r="CP175" s="122"/>
      <c r="CQ175" s="122"/>
      <c r="CR175" s="835"/>
      <c r="CS175" s="122"/>
      <c r="CT175" s="122"/>
      <c r="CU175" s="122"/>
      <c r="CV175" s="122"/>
      <c r="CW175" s="823"/>
      <c r="CX175" s="122"/>
      <c r="CY175" s="122"/>
      <c r="CZ175" s="122"/>
      <c r="DA175" s="122"/>
      <c r="DB175" s="823"/>
      <c r="DC175" s="122"/>
      <c r="DD175" s="122"/>
      <c r="DE175" s="122"/>
      <c r="DF175" s="122"/>
      <c r="DG175" s="823"/>
      <c r="DH175" s="122"/>
      <c r="DI175" s="122"/>
      <c r="DJ175" s="122"/>
      <c r="DK175" s="122"/>
      <c r="DL175" s="823"/>
      <c r="DM175" s="122"/>
      <c r="DN175" s="122"/>
      <c r="DO175" s="122"/>
      <c r="DP175" s="122"/>
      <c r="DQ175" s="823"/>
      <c r="DR175" s="344"/>
      <c r="DS175" s="122"/>
      <c r="DT175"/>
      <c r="DU175"/>
      <c r="DV175"/>
      <c r="DW175"/>
      <c r="DX175"/>
      <c r="DY175"/>
    </row>
    <row r="176" spans="1:129" s="177" customFormat="1" hidden="1" outlineLevel="1">
      <c r="A176" s="19"/>
      <c r="B176" s="31" t="s">
        <v>221</v>
      </c>
      <c r="C176" s="27"/>
      <c r="D176" s="27"/>
      <c r="E176" s="27"/>
      <c r="F176" s="27"/>
      <c r="G176" s="160"/>
      <c r="H176" s="161"/>
      <c r="I176" s="161"/>
      <c r="J176" s="162"/>
      <c r="K176" s="334"/>
      <c r="L176" s="160"/>
      <c r="M176" s="161"/>
      <c r="N176" s="161"/>
      <c r="O176" s="161"/>
      <c r="P176" s="334"/>
      <c r="Q176" s="160"/>
      <c r="R176" s="161"/>
      <c r="S176" s="161"/>
      <c r="T176" s="162"/>
      <c r="U176" s="334"/>
      <c r="V176" s="161"/>
      <c r="W176" s="161"/>
      <c r="X176" s="161"/>
      <c r="Y176" s="162"/>
      <c r="Z176" s="334"/>
      <c r="AA176" s="161"/>
      <c r="AB176" s="161"/>
      <c r="AC176" s="161"/>
      <c r="AD176" s="161"/>
      <c r="AE176" s="334"/>
      <c r="AF176" s="161"/>
      <c r="AG176" s="161"/>
      <c r="AH176" s="161"/>
      <c r="AI176" s="161"/>
      <c r="AJ176" s="334"/>
      <c r="AK176" s="161"/>
      <c r="AL176" s="161"/>
      <c r="AM176" s="161"/>
      <c r="AN176" s="161"/>
      <c r="AO176" s="334"/>
      <c r="AP176" s="161"/>
      <c r="AQ176" s="161"/>
      <c r="AR176" s="161"/>
      <c r="AS176" s="161"/>
      <c r="AT176" s="334"/>
      <c r="AU176" s="161"/>
      <c r="AV176" s="161"/>
      <c r="AW176" s="161"/>
      <c r="AX176" s="161"/>
      <c r="AY176" s="334"/>
      <c r="AZ176" s="161"/>
      <c r="BA176" s="161"/>
      <c r="BB176" s="161"/>
      <c r="BC176" s="161"/>
      <c r="BD176" s="334"/>
      <c r="BE176" s="161"/>
      <c r="BF176" s="161"/>
      <c r="BG176" s="161"/>
      <c r="BH176" s="161"/>
      <c r="BI176" s="334"/>
      <c r="BJ176" s="161"/>
      <c r="BK176" s="161"/>
      <c r="BL176" s="161"/>
      <c r="BM176" s="161"/>
      <c r="BN176" s="334"/>
      <c r="BO176" s="161"/>
      <c r="BP176" s="161"/>
      <c r="BQ176" s="161"/>
      <c r="BR176" s="161"/>
      <c r="BS176" s="334"/>
      <c r="BT176" s="161"/>
      <c r="BU176" s="161"/>
      <c r="BV176" s="161"/>
      <c r="BW176" s="161"/>
      <c r="BX176" s="334"/>
      <c r="BY176" s="161"/>
      <c r="BZ176" s="161"/>
      <c r="CA176" s="161"/>
      <c r="CB176" s="378"/>
      <c r="CC176" s="334"/>
      <c r="CD176" s="378"/>
      <c r="CE176" s="378"/>
      <c r="CF176" s="378"/>
      <c r="CG176" s="378"/>
      <c r="CH176" s="334"/>
      <c r="CI176" s="378"/>
      <c r="CJ176" s="378"/>
      <c r="CK176" s="378"/>
      <c r="CL176" s="378"/>
      <c r="CM176" s="334"/>
      <c r="CN176" s="378"/>
      <c r="CO176" s="531"/>
      <c r="CP176" s="378"/>
      <c r="CQ176" s="378"/>
      <c r="CR176" s="334"/>
      <c r="CS176" s="378"/>
      <c r="CT176" s="378"/>
      <c r="CU176" s="378"/>
      <c r="CV176" s="378"/>
      <c r="CW176" s="824"/>
      <c r="CX176" s="378"/>
      <c r="CY176" s="378"/>
      <c r="CZ176" s="378"/>
      <c r="DA176" s="378"/>
      <c r="DB176" s="824"/>
      <c r="DC176" s="378"/>
      <c r="DD176" s="378"/>
      <c r="DE176" s="378"/>
      <c r="DF176" s="378"/>
      <c r="DG176" s="824"/>
      <c r="DH176" s="378"/>
      <c r="DI176" s="378"/>
      <c r="DJ176" s="378"/>
      <c r="DK176" s="378"/>
      <c r="DL176" s="824"/>
      <c r="DM176" s="378"/>
      <c r="DN176" s="378"/>
      <c r="DO176" s="378"/>
      <c r="DP176" s="378"/>
      <c r="DQ176" s="824"/>
      <c r="DR176" s="53"/>
      <c r="DS176" s="54"/>
      <c r="DT176"/>
      <c r="DU176"/>
      <c r="DV176"/>
      <c r="DW176"/>
      <c r="DX176"/>
      <c r="DY176"/>
    </row>
    <row r="177" spans="1:129" s="184" customFormat="1" hidden="1" outlineLevel="1">
      <c r="A177" s="75"/>
      <c r="B177" s="67"/>
      <c r="C177" s="64" t="s">
        <v>222</v>
      </c>
      <c r="D177" s="64"/>
      <c r="E177" s="64"/>
      <c r="F177" s="64"/>
      <c r="G177" s="67"/>
      <c r="H177" s="310">
        <f t="shared" ref="H177:AU177" si="532">H187/H184</f>
        <v>-0.7655221490837929</v>
      </c>
      <c r="I177" s="310">
        <f t="shared" si="532"/>
        <v>-0.87189183762256939</v>
      </c>
      <c r="J177" s="311">
        <f t="shared" si="532"/>
        <v>-0.87129016433652218</v>
      </c>
      <c r="K177" s="820"/>
      <c r="L177" s="312">
        <f t="shared" si="532"/>
        <v>-0.70777646196357069</v>
      </c>
      <c r="M177" s="310">
        <f t="shared" si="532"/>
        <v>-0.76978945436429913</v>
      </c>
      <c r="N177" s="310">
        <f t="shared" si="532"/>
        <v>-0.82034484438166688</v>
      </c>
      <c r="O177" s="310">
        <f t="shared" si="532"/>
        <v>-0.93796880842920305</v>
      </c>
      <c r="P177" s="820">
        <f>P187/P184</f>
        <v>-0.93796880842920305</v>
      </c>
      <c r="Q177" s="312">
        <f t="shared" si="532"/>
        <v>-0.81854503417364677</v>
      </c>
      <c r="R177" s="310">
        <f t="shared" si="532"/>
        <v>-0.82760956321165757</v>
      </c>
      <c r="S177" s="310">
        <f t="shared" si="532"/>
        <v>-0.87866693274795449</v>
      </c>
      <c r="T177" s="311">
        <f t="shared" si="532"/>
        <v>-0.93738278177748202</v>
      </c>
      <c r="U177" s="820">
        <f>U187/U184</f>
        <v>-0.93738278177748202</v>
      </c>
      <c r="V177" s="312">
        <f t="shared" si="532"/>
        <v>-0.83693921256383497</v>
      </c>
      <c r="W177" s="310">
        <f t="shared" si="532"/>
        <v>-0.81563053777440253</v>
      </c>
      <c r="X177" s="310">
        <f t="shared" si="532"/>
        <v>-0.86238323819408402</v>
      </c>
      <c r="Y177" s="311">
        <f t="shared" si="532"/>
        <v>-0.86016074176046653</v>
      </c>
      <c r="Z177" s="820">
        <f>Z187/Z184</f>
        <v>-0.86016074176046653</v>
      </c>
      <c r="AA177" s="312">
        <f t="shared" si="532"/>
        <v>-0.85258010527988926</v>
      </c>
      <c r="AB177" s="310">
        <f t="shared" si="532"/>
        <v>-0.84361417789801207</v>
      </c>
      <c r="AC177" s="310">
        <f t="shared" si="532"/>
        <v>-0.86299448892877684</v>
      </c>
      <c r="AD177" s="310">
        <f t="shared" si="532"/>
        <v>-0.76269178938971849</v>
      </c>
      <c r="AE177" s="820">
        <f>AE187/AE184</f>
        <v>-0.76269178938971849</v>
      </c>
      <c r="AF177" s="310">
        <f t="shared" si="532"/>
        <v>-0.7050437009408228</v>
      </c>
      <c r="AG177" s="310">
        <f t="shared" si="532"/>
        <v>-0.67719287895101699</v>
      </c>
      <c r="AH177" s="310">
        <f t="shared" si="532"/>
        <v>-0.67413459144445065</v>
      </c>
      <c r="AI177" s="310">
        <f t="shared" si="532"/>
        <v>-0.70865472324588608</v>
      </c>
      <c r="AJ177" s="820">
        <f>AJ187/AJ184</f>
        <v>-0.70865472324588608</v>
      </c>
      <c r="AK177" s="310">
        <f t="shared" si="532"/>
        <v>-0.65368343890629266</v>
      </c>
      <c r="AL177" s="310">
        <f t="shared" si="532"/>
        <v>-0.66706813637000817</v>
      </c>
      <c r="AM177" s="310">
        <f t="shared" si="532"/>
        <v>-0.68608176925672848</v>
      </c>
      <c r="AN177" s="310">
        <f t="shared" si="532"/>
        <v>-0.69402618134672767</v>
      </c>
      <c r="AO177" s="820">
        <f>AO187/AO184</f>
        <v>-0.69402618134672767</v>
      </c>
      <c r="AP177" s="310">
        <f t="shared" si="532"/>
        <v>-0.62000134099541304</v>
      </c>
      <c r="AQ177" s="310">
        <f t="shared" si="532"/>
        <v>-0.57821822119365596</v>
      </c>
      <c r="AR177" s="310">
        <f t="shared" si="532"/>
        <v>-0.5742970823521345</v>
      </c>
      <c r="AS177" s="310">
        <f t="shared" si="532"/>
        <v>-0.59371836251741594</v>
      </c>
      <c r="AT177" s="820">
        <f>AT187/AT184</f>
        <v>-0.59371836251741594</v>
      </c>
      <c r="AU177" s="310">
        <f t="shared" si="532"/>
        <v>-0.53274597144805969</v>
      </c>
      <c r="AV177" s="310">
        <f t="shared" ref="AV177:CL177" si="533">AV187/AV184</f>
        <v>-0.53557967176584587</v>
      </c>
      <c r="AW177" s="310">
        <f t="shared" si="533"/>
        <v>-0.55412918831565194</v>
      </c>
      <c r="AX177" s="310">
        <f t="shared" si="533"/>
        <v>-0.60378165233502779</v>
      </c>
      <c r="AY177" s="820">
        <f>AY187/AY184</f>
        <v>-0.60378165233502779</v>
      </c>
      <c r="AZ177" s="310">
        <f t="shared" si="533"/>
        <v>-0.56216879404073572</v>
      </c>
      <c r="BA177" s="310">
        <f t="shared" si="533"/>
        <v>-0.53918373451215917</v>
      </c>
      <c r="BB177" s="310">
        <f t="shared" si="533"/>
        <v>-0.56061799492486009</v>
      </c>
      <c r="BC177" s="310">
        <f t="shared" si="533"/>
        <v>-0.45662745792495618</v>
      </c>
      <c r="BD177" s="820">
        <f>BD187/BD184</f>
        <v>-0.45662745792495618</v>
      </c>
      <c r="BE177" s="310">
        <f t="shared" si="533"/>
        <v>-0.29665164713127706</v>
      </c>
      <c r="BF177" s="310">
        <f t="shared" si="533"/>
        <v>-0.31417018264064561</v>
      </c>
      <c r="BG177" s="310">
        <f t="shared" si="533"/>
        <v>-0.32305297420713397</v>
      </c>
      <c r="BH177" s="310">
        <f t="shared" si="533"/>
        <v>-0.3879667965351668</v>
      </c>
      <c r="BI177" s="820">
        <f>BI187/BI184</f>
        <v>-0.3879667965351668</v>
      </c>
      <c r="BJ177" s="310">
        <f t="shared" si="533"/>
        <v>-0.39013639624626884</v>
      </c>
      <c r="BK177" s="310">
        <f t="shared" si="533"/>
        <v>-0.43355527656472626</v>
      </c>
      <c r="BL177" s="310">
        <f t="shared" si="533"/>
        <v>-0.48546599688533615</v>
      </c>
      <c r="BM177" s="310">
        <f t="shared" si="533"/>
        <v>-0.52741750738831228</v>
      </c>
      <c r="BN177" s="820">
        <f>BN187/BN184</f>
        <v>-0.52741750738831228</v>
      </c>
      <c r="BO177" s="310">
        <f t="shared" si="533"/>
        <v>-0.4967767461471489</v>
      </c>
      <c r="BP177" s="310">
        <f t="shared" si="533"/>
        <v>-0.54326221263729946</v>
      </c>
      <c r="BQ177" s="310">
        <f t="shared" si="533"/>
        <v>-0.57282762094379158</v>
      </c>
      <c r="BR177" s="310">
        <f t="shared" si="533"/>
        <v>-0.62112731420970302</v>
      </c>
      <c r="BS177" s="820">
        <f>BS187/BS184</f>
        <v>-0.62112731420970302</v>
      </c>
      <c r="BT177" s="310">
        <f t="shared" si="533"/>
        <v>-0.57598462776444004</v>
      </c>
      <c r="BU177" s="310">
        <f t="shared" si="533"/>
        <v>-0.57426561591801706</v>
      </c>
      <c r="BV177" s="310">
        <f t="shared" si="533"/>
        <v>-0.58161269311353003</v>
      </c>
      <c r="BW177" s="310">
        <f t="shared" si="533"/>
        <v>-0.61531346970289569</v>
      </c>
      <c r="BX177" s="820">
        <f>BX187/BX184</f>
        <v>-0.61531346970289569</v>
      </c>
      <c r="BY177" s="310">
        <f t="shared" si="533"/>
        <v>-0.57042660036100534</v>
      </c>
      <c r="BZ177" s="310">
        <f t="shared" si="533"/>
        <v>-0.57330183052063444</v>
      </c>
      <c r="CA177" s="310">
        <f t="shared" si="533"/>
        <v>-0.57557634224701837</v>
      </c>
      <c r="CB177" s="310">
        <f t="shared" si="533"/>
        <v>-0.58993243837579357</v>
      </c>
      <c r="CC177" s="820">
        <f>CC187/CC184</f>
        <v>-0.58993243837579357</v>
      </c>
      <c r="CD177" s="310">
        <f t="shared" si="533"/>
        <v>-0.52616578353943888</v>
      </c>
      <c r="CE177" s="310">
        <f t="shared" si="533"/>
        <v>-0.54483589381015018</v>
      </c>
      <c r="CF177" s="310">
        <f t="shared" si="533"/>
        <v>-0.59497783040347185</v>
      </c>
      <c r="CG177" s="310">
        <f t="shared" si="533"/>
        <v>-0.61075629857666269</v>
      </c>
      <c r="CH177" s="820">
        <f>CH187/CH184</f>
        <v>-0.61075629857666269</v>
      </c>
      <c r="CI177" s="310">
        <f t="shared" si="533"/>
        <v>-0.58357377225912832</v>
      </c>
      <c r="CJ177" s="310">
        <f t="shared" si="533"/>
        <v>-0.59066256662836414</v>
      </c>
      <c r="CK177" s="310">
        <f t="shared" si="533"/>
        <v>-0.62566519139874099</v>
      </c>
      <c r="CL177" s="310">
        <f t="shared" si="533"/>
        <v>-0.27611935477786281</v>
      </c>
      <c r="CM177" s="820">
        <f>CM187/CM184</f>
        <v>-0.27611935477786281</v>
      </c>
      <c r="CN177" s="310">
        <f>CN187/CN184</f>
        <v>-0.27814391392064558</v>
      </c>
      <c r="CO177" s="529">
        <f>CO187/CO184</f>
        <v>-0.29318096665417753</v>
      </c>
      <c r="CP177" s="310">
        <f>CP187/CP184</f>
        <v>-0.35127449869717908</v>
      </c>
      <c r="CQ177" s="310">
        <f>CQ187/CQ184</f>
        <v>-0.39469287892995331</v>
      </c>
      <c r="CR177" s="820">
        <f t="shared" ref="CR177:CW177" si="534">CR187/CR184</f>
        <v>-0.39469287892995331</v>
      </c>
      <c r="CS177" s="310">
        <f t="shared" si="534"/>
        <v>-0.35691769919790267</v>
      </c>
      <c r="CT177" s="310">
        <f t="shared" si="534"/>
        <v>-0.36220584209512419</v>
      </c>
      <c r="CU177" s="310">
        <f t="shared" si="534"/>
        <v>-0.3849479708131322</v>
      </c>
      <c r="CV177" s="310">
        <f t="shared" si="534"/>
        <v>-0.39998135719612232</v>
      </c>
      <c r="CW177" s="820">
        <f t="shared" si="534"/>
        <v>-0.39998135719612232</v>
      </c>
      <c r="CX177" s="310">
        <f>CX187/CX184</f>
        <v>-0.30702193729339877</v>
      </c>
      <c r="CY177" s="310">
        <f>CY187/CY184</f>
        <v>-0.32309453400744059</v>
      </c>
      <c r="CZ177" s="310">
        <f>CZ187/CZ184</f>
        <v>-0.35431277894161584</v>
      </c>
      <c r="DA177" s="310">
        <f>DA187/DA184</f>
        <v>-0.39207048458149779</v>
      </c>
      <c r="DB177" s="820">
        <f>DB187/DB184</f>
        <v>-0.39207048458149779</v>
      </c>
      <c r="DC177" s="310">
        <f t="shared" ref="DC177:DK177" si="535">DC187/DC184</f>
        <v>-0.38467425826999563</v>
      </c>
      <c r="DD177" s="310">
        <f t="shared" si="535"/>
        <v>-0.37320998615952006</v>
      </c>
      <c r="DE177" s="310">
        <f t="shared" si="535"/>
        <v>-0.39341387857490129</v>
      </c>
      <c r="DF177" s="310">
        <f t="shared" si="535"/>
        <v>-0.41760927283700039</v>
      </c>
      <c r="DG177" s="820">
        <f>DG187/DG184</f>
        <v>-0.41760927283700039</v>
      </c>
      <c r="DH177" s="310">
        <f t="shared" si="535"/>
        <v>-0.42319737791695833</v>
      </c>
      <c r="DI177" s="310">
        <f t="shared" si="535"/>
        <v>-0.41115521174238701</v>
      </c>
      <c r="DJ177" s="310">
        <f t="shared" si="535"/>
        <v>-0.42396109678469074</v>
      </c>
      <c r="DK177" s="310">
        <f t="shared" si="535"/>
        <v>-0.44572147856120636</v>
      </c>
      <c r="DL177" s="820">
        <f>DL187/DL184</f>
        <v>-0.44572147856120636</v>
      </c>
      <c r="DM177" s="310">
        <f t="shared" ref="DM177:DP177" si="536">DM187/DM184</f>
        <v>-0.45989647755935936</v>
      </c>
      <c r="DN177" s="310">
        <f t="shared" si="536"/>
        <v>-0.44852480084480695</v>
      </c>
      <c r="DO177" s="310">
        <f t="shared" si="536"/>
        <v>-0.45771873033159788</v>
      </c>
      <c r="DP177" s="310">
        <f t="shared" si="536"/>
        <v>-0.47875999146576026</v>
      </c>
      <c r="DQ177" s="820">
        <f>DQ187/DQ184</f>
        <v>-0.47875999146576026</v>
      </c>
      <c r="DR177" s="66"/>
      <c r="DS177" s="64"/>
      <c r="DT177"/>
      <c r="DU177"/>
      <c r="DV177"/>
      <c r="DW177"/>
      <c r="DX177"/>
      <c r="DY177"/>
    </row>
    <row r="178" spans="1:129" s="184" customFormat="1" hidden="1" outlineLevel="1">
      <c r="A178" s="75"/>
      <c r="B178" s="67"/>
      <c r="C178" s="64" t="s">
        <v>223</v>
      </c>
      <c r="D178" s="64"/>
      <c r="E178" s="64"/>
      <c r="F178" s="64"/>
      <c r="G178" s="67"/>
      <c r="H178" s="310">
        <f t="shared" ref="H178:AU178" si="537">H187/H186</f>
        <v>-3.2647951441578149</v>
      </c>
      <c r="I178" s="310">
        <f t="shared" si="537"/>
        <v>-6.8059038662486886</v>
      </c>
      <c r="J178" s="311">
        <f t="shared" si="537"/>
        <v>-6.7694140066698534</v>
      </c>
      <c r="K178" s="820"/>
      <c r="L178" s="312">
        <f t="shared" si="537"/>
        <v>-2.4220378232342723</v>
      </c>
      <c r="M178" s="310">
        <f t="shared" si="537"/>
        <v>-3.3438496583143533</v>
      </c>
      <c r="N178" s="310">
        <f t="shared" si="537"/>
        <v>-4.5662193303510943</v>
      </c>
      <c r="O178" s="310">
        <f t="shared" si="537"/>
        <v>-15.120921985815601</v>
      </c>
      <c r="P178" s="820">
        <f>P187/P186</f>
        <v>-15.120921985815601</v>
      </c>
      <c r="Q178" s="312">
        <f t="shared" si="537"/>
        <v>-4.5110092768525787</v>
      </c>
      <c r="R178" s="310">
        <f t="shared" si="537"/>
        <v>-4.8007858128915819</v>
      </c>
      <c r="S178" s="310">
        <f t="shared" si="537"/>
        <v>-7.2417763157894743</v>
      </c>
      <c r="T178" s="311">
        <f t="shared" si="537"/>
        <v>-14.970048309178742</v>
      </c>
      <c r="U178" s="820">
        <f>U187/U186</f>
        <v>-14.970048309178742</v>
      </c>
      <c r="V178" s="312">
        <f t="shared" si="537"/>
        <v>-5.1326822697423777</v>
      </c>
      <c r="W178" s="310">
        <f t="shared" si="537"/>
        <v>-4.4238917222440231</v>
      </c>
      <c r="X178" s="310">
        <f t="shared" si="537"/>
        <v>-6.2665566815932126</v>
      </c>
      <c r="Y178" s="311">
        <f t="shared" si="537"/>
        <v>-6.151067680057916</v>
      </c>
      <c r="Z178" s="820">
        <f>Z187/Z186</f>
        <v>-6.151067680057916</v>
      </c>
      <c r="AA178" s="312">
        <f t="shared" si="537"/>
        <v>-5.7833449609944791</v>
      </c>
      <c r="AB178" s="310">
        <f t="shared" si="537"/>
        <v>-5.3944415584415584</v>
      </c>
      <c r="AC178" s="310">
        <f t="shared" si="537"/>
        <v>-6.2989764585465737</v>
      </c>
      <c r="AD178" s="310">
        <f t="shared" si="537"/>
        <v>-3.2139292080468556</v>
      </c>
      <c r="AE178" s="820">
        <f>AE187/AE186</f>
        <v>-3.2139292080468556</v>
      </c>
      <c r="AF178" s="310">
        <f t="shared" si="537"/>
        <v>-2.3903327482400019</v>
      </c>
      <c r="AG178" s="310">
        <f t="shared" si="537"/>
        <v>-2.0978250936671849</v>
      </c>
      <c r="AH178" s="310">
        <f t="shared" si="537"/>
        <v>-2.0687516187516195</v>
      </c>
      <c r="AI178" s="310">
        <f t="shared" si="537"/>
        <v>-2.4323535673583891</v>
      </c>
      <c r="AJ178" s="820">
        <f>AJ187/AJ186</f>
        <v>-2.4323535673583891</v>
      </c>
      <c r="AK178" s="310">
        <f t="shared" si="537"/>
        <v>-1.8875315602634926</v>
      </c>
      <c r="AL178" s="310">
        <f t="shared" si="537"/>
        <v>-2.0036175843816588</v>
      </c>
      <c r="AM178" s="310">
        <f t="shared" si="537"/>
        <v>-2.1855429282723611</v>
      </c>
      <c r="AN178" s="310">
        <f t="shared" si="537"/>
        <v>-2.2682534878358127</v>
      </c>
      <c r="AO178" s="820">
        <f>AO187/AO186</f>
        <v>-2.2682534878358127</v>
      </c>
      <c r="AP178" s="310">
        <f t="shared" si="537"/>
        <v>-1.6315882340730283</v>
      </c>
      <c r="AQ178" s="310">
        <f t="shared" si="537"/>
        <v>-1.3708942639248951</v>
      </c>
      <c r="AR178" s="310">
        <f t="shared" si="537"/>
        <v>-1.3490560166354875</v>
      </c>
      <c r="AS178" s="310">
        <f t="shared" si="537"/>
        <v>-1.4613467795301642</v>
      </c>
      <c r="AT178" s="820">
        <f>AT187/AT186</f>
        <v>-1.4613467795301642</v>
      </c>
      <c r="AU178" s="310">
        <f t="shared" si="537"/>
        <v>-1.1401634633286835</v>
      </c>
      <c r="AV178" s="310">
        <f t="shared" ref="AV178:CL178" si="538">AV187/AV186</f>
        <v>-1.1532218535787566</v>
      </c>
      <c r="AW178" s="310">
        <f t="shared" si="538"/>
        <v>-1.2428021162056802</v>
      </c>
      <c r="AX178" s="310">
        <f t="shared" si="538"/>
        <v>-1.5238609112709831</v>
      </c>
      <c r="AY178" s="820">
        <f>AY187/AY186</f>
        <v>-1.5238609112709831</v>
      </c>
      <c r="AZ178" s="310">
        <f t="shared" si="538"/>
        <v>-1.2839852125411082</v>
      </c>
      <c r="BA178" s="310">
        <f t="shared" si="538"/>
        <v>-1.1700622892322494</v>
      </c>
      <c r="BB178" s="310">
        <f t="shared" si="538"/>
        <v>-1.2759238850234373</v>
      </c>
      <c r="BC178" s="310">
        <f t="shared" si="538"/>
        <v>-0.84035799118810195</v>
      </c>
      <c r="BD178" s="820">
        <f>BD187/BD186</f>
        <v>-0.84035799118810195</v>
      </c>
      <c r="BE178" s="310">
        <f t="shared" si="538"/>
        <v>-0.42177058625549357</v>
      </c>
      <c r="BF178" s="310">
        <f t="shared" si="538"/>
        <v>-0.45808766940214529</v>
      </c>
      <c r="BG178" s="310">
        <f t="shared" si="538"/>
        <v>-0.47722046467190266</v>
      </c>
      <c r="BH178" s="310">
        <f t="shared" si="538"/>
        <v>-0.63389828254221336</v>
      </c>
      <c r="BI178" s="820">
        <f>BI187/BI186</f>
        <v>-0.63389828254221336</v>
      </c>
      <c r="BJ178" s="310">
        <f t="shared" si="538"/>
        <v>-0.63971090231482253</v>
      </c>
      <c r="BK178" s="310">
        <f t="shared" si="538"/>
        <v>-0.76539732585975373</v>
      </c>
      <c r="BL178" s="310">
        <f t="shared" si="538"/>
        <v>-0.94350615109328373</v>
      </c>
      <c r="BM178" s="310">
        <f t="shared" si="538"/>
        <v>-1.1160326834656602</v>
      </c>
      <c r="BN178" s="820">
        <f>BN187/BN186</f>
        <v>-1.1160326834656602</v>
      </c>
      <c r="BO178" s="310">
        <f t="shared" si="538"/>
        <v>-0.98718956714272343</v>
      </c>
      <c r="BP178" s="310">
        <f t="shared" si="538"/>
        <v>-1.1894400412416259</v>
      </c>
      <c r="BQ178" s="310">
        <f t="shared" si="538"/>
        <v>-1.3409753275934948</v>
      </c>
      <c r="BR178" s="310">
        <f t="shared" si="538"/>
        <v>-1.6394090614214722</v>
      </c>
      <c r="BS178" s="820">
        <f>BS187/BS186</f>
        <v>-1.6394090614214722</v>
      </c>
      <c r="BT178" s="310">
        <f t="shared" si="538"/>
        <v>-1.3584050614194578</v>
      </c>
      <c r="BU178" s="310">
        <f t="shared" si="538"/>
        <v>-1.348882395666289</v>
      </c>
      <c r="BV178" s="310">
        <f t="shared" si="538"/>
        <v>-1.3901298713905568</v>
      </c>
      <c r="BW178" s="310">
        <f t="shared" si="538"/>
        <v>-1.5995191441397014</v>
      </c>
      <c r="BX178" s="820">
        <f>BX187/BX186</f>
        <v>-1.5995191441397014</v>
      </c>
      <c r="BY178" s="310">
        <f t="shared" si="538"/>
        <v>-1.3278908816057537</v>
      </c>
      <c r="BZ178" s="310">
        <f t="shared" si="538"/>
        <v>-1.343576962657578</v>
      </c>
      <c r="CA178" s="310">
        <f t="shared" si="538"/>
        <v>-1.3561363315473076</v>
      </c>
      <c r="CB178" s="310">
        <f t="shared" si="538"/>
        <v>-1.4386225431711146</v>
      </c>
      <c r="CC178" s="820">
        <f>CC187/CC186</f>
        <v>-1.4386225431711146</v>
      </c>
      <c r="CD178" s="310">
        <f t="shared" si="538"/>
        <v>-1.1104427777921639</v>
      </c>
      <c r="CE178" s="310">
        <f t="shared" si="538"/>
        <v>-1.197009795809554</v>
      </c>
      <c r="CF178" s="310">
        <f t="shared" si="538"/>
        <v>-1.4690006500043498</v>
      </c>
      <c r="CG178" s="310">
        <f t="shared" si="538"/>
        <v>-1.5690846026366672</v>
      </c>
      <c r="CH178" s="820">
        <f>CH187/CH186</f>
        <v>-1.5690846026366672</v>
      </c>
      <c r="CI178" s="310">
        <f t="shared" si="538"/>
        <v>-1.4013857278515778</v>
      </c>
      <c r="CJ178" s="310">
        <f t="shared" si="538"/>
        <v>-1.4429722729318624</v>
      </c>
      <c r="CK178" s="310">
        <f t="shared" si="538"/>
        <v>-1.6714053222477603</v>
      </c>
      <c r="CL178" s="310">
        <f t="shared" si="538"/>
        <v>-0.38144320697113004</v>
      </c>
      <c r="CM178" s="820">
        <f>CM187/CM186</f>
        <v>-0.38144320697113004</v>
      </c>
      <c r="CN178" s="310">
        <f>CN187/CN186</f>
        <v>-0.38531768213154466</v>
      </c>
      <c r="CO178" s="529">
        <f>CO187/CO186</f>
        <v>-0.4147892923403127</v>
      </c>
      <c r="CP178" s="310">
        <f>CP187/CP186</f>
        <v>-0.54148402982728805</v>
      </c>
      <c r="CQ178" s="310">
        <f>CQ187/CQ186</f>
        <v>-0.65205391641886712</v>
      </c>
      <c r="CR178" s="820">
        <f t="shared" ref="CR178:CW178" si="539">CR187/CR186</f>
        <v>-0.65205391641886712</v>
      </c>
      <c r="CS178" s="310">
        <f t="shared" si="539"/>
        <v>-0.55501091967968941</v>
      </c>
      <c r="CT178" s="310">
        <f t="shared" si="539"/>
        <v>-0.56790398219537419</v>
      </c>
      <c r="CU178" s="310">
        <f t="shared" si="539"/>
        <v>-0.62587871032968434</v>
      </c>
      <c r="CV178" s="310">
        <f t="shared" si="539"/>
        <v>-0.66661488270933666</v>
      </c>
      <c r="CW178" s="820">
        <f t="shared" si="539"/>
        <v>-0.66661488270933666</v>
      </c>
      <c r="CX178" s="310">
        <f>CX187/CX186</f>
        <v>-0.44304712344608266</v>
      </c>
      <c r="CY178" s="310">
        <f>CY187/CY186</f>
        <v>-0.47731116121758738</v>
      </c>
      <c r="CZ178" s="310">
        <f>CZ187/CZ186</f>
        <v>-0.54873748060375227</v>
      </c>
      <c r="DA178" s="310">
        <f>DA187/DA186</f>
        <v>-0.64492753623188404</v>
      </c>
      <c r="DB178" s="820">
        <f>DB187/DB186</f>
        <v>-0.64492753623188404</v>
      </c>
      <c r="DC178" s="310">
        <f t="shared" ref="DC178:DK178" si="540">DC187/DC186</f>
        <v>-0.6251554781187505</v>
      </c>
      <c r="DD178" s="310">
        <f t="shared" si="540"/>
        <v>-0.5954306512842803</v>
      </c>
      <c r="DE178" s="310">
        <f t="shared" si="540"/>
        <v>-0.64857052391938053</v>
      </c>
      <c r="DF178" s="310">
        <f t="shared" si="540"/>
        <v>-0.7170603056667828</v>
      </c>
      <c r="DG178" s="820">
        <f>DG187/DG186</f>
        <v>-0.7170603056667828</v>
      </c>
      <c r="DH178" s="310">
        <f t="shared" si="540"/>
        <v>-0.73369530878455513</v>
      </c>
      <c r="DI178" s="310">
        <f t="shared" si="540"/>
        <v>-0.69824038514290321</v>
      </c>
      <c r="DJ178" s="310">
        <f t="shared" si="540"/>
        <v>-0.73599386155734081</v>
      </c>
      <c r="DK178" s="310">
        <f t="shared" si="540"/>
        <v>-0.80414712337076411</v>
      </c>
      <c r="DL178" s="820">
        <f>DL187/DL186</f>
        <v>-0.80414712337076411</v>
      </c>
      <c r="DM178" s="310">
        <f t="shared" ref="DM178:DP178" si="541">DM187/DM186</f>
        <v>-0.85149690466961103</v>
      </c>
      <c r="DN178" s="310">
        <f t="shared" si="541"/>
        <v>-0.81331817193575295</v>
      </c>
      <c r="DO178" s="310">
        <f t="shared" si="541"/>
        <v>-0.84406147867044512</v>
      </c>
      <c r="DP178" s="310">
        <f t="shared" si="541"/>
        <v>-0.91850200220060618</v>
      </c>
      <c r="DQ178" s="820">
        <f>DQ187/DQ186</f>
        <v>-0.91850200220060618</v>
      </c>
      <c r="DR178" s="66"/>
      <c r="DS178" s="64"/>
      <c r="DT178"/>
      <c r="DU178"/>
      <c r="DV178"/>
      <c r="DW178"/>
      <c r="DX178"/>
      <c r="DY178"/>
    </row>
    <row r="179" spans="1:129" s="184" customFormat="1" hidden="1" outlineLevel="1">
      <c r="A179" s="75"/>
      <c r="B179" s="67"/>
      <c r="C179" s="64" t="s">
        <v>224</v>
      </c>
      <c r="D179" s="64"/>
      <c r="E179" s="64"/>
      <c r="F179" s="64"/>
      <c r="G179" s="67"/>
      <c r="H179" s="310">
        <f t="shared" ref="H179:AU179" si="542">H183/H184</f>
        <v>0</v>
      </c>
      <c r="I179" s="310">
        <f t="shared" si="542"/>
        <v>0</v>
      </c>
      <c r="J179" s="311">
        <f t="shared" si="542"/>
        <v>0</v>
      </c>
      <c r="K179" s="820"/>
      <c r="L179" s="312">
        <f t="shared" si="542"/>
        <v>0</v>
      </c>
      <c r="M179" s="310">
        <f t="shared" si="542"/>
        <v>0</v>
      </c>
      <c r="N179" s="310">
        <f t="shared" si="542"/>
        <v>0</v>
      </c>
      <c r="O179" s="310">
        <f t="shared" si="542"/>
        <v>0</v>
      </c>
      <c r="P179" s="820">
        <f>P183/P184</f>
        <v>0</v>
      </c>
      <c r="Q179" s="312">
        <f t="shared" si="542"/>
        <v>0</v>
      </c>
      <c r="R179" s="310">
        <f t="shared" si="542"/>
        <v>0</v>
      </c>
      <c r="S179" s="310">
        <f t="shared" si="542"/>
        <v>0</v>
      </c>
      <c r="T179" s="311">
        <f t="shared" si="542"/>
        <v>0</v>
      </c>
      <c r="U179" s="820">
        <f>U183/U184</f>
        <v>0</v>
      </c>
      <c r="V179" s="312">
        <f t="shared" si="542"/>
        <v>0</v>
      </c>
      <c r="W179" s="310">
        <f t="shared" si="542"/>
        <v>0</v>
      </c>
      <c r="X179" s="310">
        <f t="shared" si="542"/>
        <v>0</v>
      </c>
      <c r="Y179" s="311">
        <f t="shared" si="542"/>
        <v>0</v>
      </c>
      <c r="Z179" s="820">
        <f>Z183/Z184</f>
        <v>0</v>
      </c>
      <c r="AA179" s="312">
        <f t="shared" si="542"/>
        <v>0</v>
      </c>
      <c r="AB179" s="310">
        <f t="shared" si="542"/>
        <v>0</v>
      </c>
      <c r="AC179" s="310">
        <f t="shared" si="542"/>
        <v>0</v>
      </c>
      <c r="AD179" s="310">
        <f t="shared" si="542"/>
        <v>0</v>
      </c>
      <c r="AE179" s="820">
        <f>AE183/AE184</f>
        <v>0</v>
      </c>
      <c r="AF179" s="310">
        <f t="shared" si="542"/>
        <v>0</v>
      </c>
      <c r="AG179" s="310">
        <f t="shared" si="542"/>
        <v>0</v>
      </c>
      <c r="AH179" s="310">
        <f t="shared" si="542"/>
        <v>0</v>
      </c>
      <c r="AI179" s="310">
        <f t="shared" si="542"/>
        <v>0</v>
      </c>
      <c r="AJ179" s="820">
        <f>AJ183/AJ184</f>
        <v>0</v>
      </c>
      <c r="AK179" s="310">
        <f t="shared" si="542"/>
        <v>0</v>
      </c>
      <c r="AL179" s="310">
        <f t="shared" si="542"/>
        <v>0</v>
      </c>
      <c r="AM179" s="310">
        <f t="shared" si="542"/>
        <v>0</v>
      </c>
      <c r="AN179" s="310">
        <f t="shared" si="542"/>
        <v>0</v>
      </c>
      <c r="AO179" s="820">
        <f>AO183/AO184</f>
        <v>0</v>
      </c>
      <c r="AP179" s="310">
        <f t="shared" si="542"/>
        <v>0</v>
      </c>
      <c r="AQ179" s="310">
        <f t="shared" si="542"/>
        <v>0</v>
      </c>
      <c r="AR179" s="310">
        <f t="shared" si="542"/>
        <v>0</v>
      </c>
      <c r="AS179" s="310">
        <f t="shared" si="542"/>
        <v>0</v>
      </c>
      <c r="AT179" s="820">
        <f>AT183/AT184</f>
        <v>0</v>
      </c>
      <c r="AU179" s="310">
        <f t="shared" si="542"/>
        <v>0</v>
      </c>
      <c r="AV179" s="310">
        <f t="shared" ref="AV179:CL179" si="543">AV183/AV184</f>
        <v>0</v>
      </c>
      <c r="AW179" s="310">
        <f t="shared" si="543"/>
        <v>0</v>
      </c>
      <c r="AX179" s="310">
        <f t="shared" si="543"/>
        <v>0</v>
      </c>
      <c r="AY179" s="820">
        <f>AY183/AY184</f>
        <v>0</v>
      </c>
      <c r="AZ179" s="310">
        <f t="shared" si="543"/>
        <v>0</v>
      </c>
      <c r="BA179" s="310">
        <f t="shared" si="543"/>
        <v>0</v>
      </c>
      <c r="BB179" s="310">
        <f t="shared" si="543"/>
        <v>0</v>
      </c>
      <c r="BC179" s="310">
        <f t="shared" si="543"/>
        <v>0</v>
      </c>
      <c r="BD179" s="820">
        <f>BD183/BD184</f>
        <v>0</v>
      </c>
      <c r="BE179" s="310">
        <f t="shared" si="543"/>
        <v>0</v>
      </c>
      <c r="BF179" s="310">
        <f t="shared" si="543"/>
        <v>0</v>
      </c>
      <c r="BG179" s="310">
        <f t="shared" si="543"/>
        <v>0</v>
      </c>
      <c r="BH179" s="310">
        <f t="shared" si="543"/>
        <v>0</v>
      </c>
      <c r="BI179" s="820">
        <f>BI183/BI184</f>
        <v>0</v>
      </c>
      <c r="BJ179" s="310">
        <f t="shared" si="543"/>
        <v>0</v>
      </c>
      <c r="BK179" s="310">
        <f t="shared" si="543"/>
        <v>0</v>
      </c>
      <c r="BL179" s="310">
        <f t="shared" si="543"/>
        <v>0</v>
      </c>
      <c r="BM179" s="310">
        <f t="shared" si="543"/>
        <v>0</v>
      </c>
      <c r="BN179" s="820">
        <f>BN183/BN184</f>
        <v>0</v>
      </c>
      <c r="BO179" s="310">
        <f t="shared" si="543"/>
        <v>0</v>
      </c>
      <c r="BP179" s="310">
        <f t="shared" si="543"/>
        <v>0</v>
      </c>
      <c r="BQ179" s="310">
        <f t="shared" si="543"/>
        <v>0</v>
      </c>
      <c r="BR179" s="310">
        <f t="shared" si="543"/>
        <v>0</v>
      </c>
      <c r="BS179" s="820">
        <f>BS183/BS184</f>
        <v>0</v>
      </c>
      <c r="BT179" s="310">
        <f t="shared" si="543"/>
        <v>0</v>
      </c>
      <c r="BU179" s="310">
        <f t="shared" si="543"/>
        <v>0</v>
      </c>
      <c r="BV179" s="310">
        <f t="shared" si="543"/>
        <v>0</v>
      </c>
      <c r="BW179" s="310">
        <f t="shared" si="543"/>
        <v>0</v>
      </c>
      <c r="BX179" s="820">
        <f>BX183/BX184</f>
        <v>0</v>
      </c>
      <c r="BY179" s="310">
        <f t="shared" si="543"/>
        <v>0</v>
      </c>
      <c r="BZ179" s="310">
        <f t="shared" si="543"/>
        <v>0</v>
      </c>
      <c r="CA179" s="310">
        <f t="shared" si="543"/>
        <v>0</v>
      </c>
      <c r="CB179" s="310">
        <f t="shared" si="543"/>
        <v>0</v>
      </c>
      <c r="CC179" s="820">
        <f>CC183/CC184</f>
        <v>0</v>
      </c>
      <c r="CD179" s="310">
        <f t="shared" si="543"/>
        <v>0</v>
      </c>
      <c r="CE179" s="310">
        <f t="shared" si="543"/>
        <v>0</v>
      </c>
      <c r="CF179" s="310">
        <f t="shared" si="543"/>
        <v>0</v>
      </c>
      <c r="CG179" s="310">
        <f t="shared" si="543"/>
        <v>0</v>
      </c>
      <c r="CH179" s="820">
        <f>CH183/CH184</f>
        <v>0</v>
      </c>
      <c r="CI179" s="310">
        <f t="shared" si="543"/>
        <v>0</v>
      </c>
      <c r="CJ179" s="310">
        <f t="shared" si="543"/>
        <v>0</v>
      </c>
      <c r="CK179" s="310">
        <f t="shared" si="543"/>
        <v>0</v>
      </c>
      <c r="CL179" s="310">
        <f t="shared" si="543"/>
        <v>0.21155760729219772</v>
      </c>
      <c r="CM179" s="820">
        <f>CM183/CM184</f>
        <v>0.21155760729219772</v>
      </c>
      <c r="CN179" s="310">
        <f>CN183/CN184</f>
        <v>0.13144219600171178</v>
      </c>
      <c r="CO179" s="529">
        <f>CO183/CO184</f>
        <v>0.1244028662420382</v>
      </c>
      <c r="CP179" s="310">
        <f>CP183/CP184</f>
        <v>0.10762433442845815</v>
      </c>
      <c r="CQ179" s="310">
        <f>CQ183/CQ184</f>
        <v>0.13876763561505048</v>
      </c>
      <c r="CR179" s="820">
        <f t="shared" ref="CR179:CW179" si="544">CR183/CR184</f>
        <v>0.13876763561505048</v>
      </c>
      <c r="CS179" s="310">
        <f t="shared" si="544"/>
        <v>0.10620767142099186</v>
      </c>
      <c r="CT179" s="310">
        <f t="shared" si="544"/>
        <v>9.2143284429528863E-2</v>
      </c>
      <c r="CU179" s="310">
        <f t="shared" si="544"/>
        <v>8.7113667499004122E-2</v>
      </c>
      <c r="CV179" s="310">
        <f t="shared" si="544"/>
        <v>8.1841909023117082E-2</v>
      </c>
      <c r="CW179" s="820">
        <f t="shared" si="544"/>
        <v>8.1841909023117082E-2</v>
      </c>
      <c r="CX179" s="310">
        <f>CX183/CX184</f>
        <v>0.12110587999599319</v>
      </c>
      <c r="CY179" s="310">
        <f>CY183/CY184</f>
        <v>9.4534007440618142E-2</v>
      </c>
      <c r="CZ179" s="310">
        <f>CZ183/CZ184</f>
        <v>7.4961289734948533E-2</v>
      </c>
      <c r="DA179" s="310">
        <f>DA183/DA184</f>
        <v>8.1825850595182298E-2</v>
      </c>
      <c r="DB179" s="820">
        <f>DB183/DB184</f>
        <v>8.1825850595182298E-2</v>
      </c>
      <c r="DC179" s="310">
        <f t="shared" ref="DC179:DK179" si="545">DC183/DC184</f>
        <v>7.9608443755900926E-2</v>
      </c>
      <c r="DD179" s="310">
        <f t="shared" si="545"/>
        <v>7.5069040592155883E-2</v>
      </c>
      <c r="DE179" s="310">
        <f t="shared" si="545"/>
        <v>7.27980908186973E-2</v>
      </c>
      <c r="DF179" s="310">
        <f t="shared" si="545"/>
        <v>6.8384149161120789E-2</v>
      </c>
      <c r="DG179" s="820">
        <f>DG183/DG184</f>
        <v>6.8384149161120789E-2</v>
      </c>
      <c r="DH179" s="310">
        <f t="shared" si="545"/>
        <v>6.6639328697683048E-2</v>
      </c>
      <c r="DI179" s="310">
        <f t="shared" si="545"/>
        <v>6.2861282541740698E-2</v>
      </c>
      <c r="DJ179" s="310">
        <f t="shared" si="545"/>
        <v>6.111359786466046E-2</v>
      </c>
      <c r="DK179" s="310">
        <f t="shared" si="545"/>
        <v>5.7536242874066591E-2</v>
      </c>
      <c r="DL179" s="820">
        <f>DL183/DL184</f>
        <v>5.7536242874066591E-2</v>
      </c>
      <c r="DM179" s="310">
        <f t="shared" ref="DM179:DP179" si="546">DM183/DM184</f>
        <v>5.5982076678271722E-2</v>
      </c>
      <c r="DN179" s="310">
        <f t="shared" si="546"/>
        <v>5.2630762328084814E-2</v>
      </c>
      <c r="DO179" s="310">
        <f t="shared" si="546"/>
        <v>5.109946298162367E-2</v>
      </c>
      <c r="DP179" s="310">
        <f t="shared" si="546"/>
        <v>4.7950637726809839E-2</v>
      </c>
      <c r="DQ179" s="820">
        <f>DQ183/DQ184</f>
        <v>4.7950637726809839E-2</v>
      </c>
      <c r="DR179" s="66"/>
      <c r="DS179" s="64"/>
      <c r="DT179"/>
      <c r="DU179"/>
      <c r="DV179"/>
      <c r="DW179"/>
      <c r="DX179"/>
      <c r="DY179"/>
    </row>
    <row r="180" spans="1:129" s="184" customFormat="1" hidden="1" outlineLevel="1">
      <c r="A180" s="75"/>
      <c r="B180" s="67"/>
      <c r="C180" s="64" t="s">
        <v>225</v>
      </c>
      <c r="D180" s="64"/>
      <c r="E180" s="64"/>
      <c r="F180" s="64"/>
      <c r="G180" s="67"/>
      <c r="H180" s="310">
        <f t="shared" ref="H180:AU180" si="547">H183/H186</f>
        <v>0</v>
      </c>
      <c r="I180" s="310">
        <f t="shared" si="547"/>
        <v>0</v>
      </c>
      <c r="J180" s="311">
        <f t="shared" si="547"/>
        <v>0</v>
      </c>
      <c r="K180" s="820"/>
      <c r="L180" s="312">
        <f t="shared" si="547"/>
        <v>0</v>
      </c>
      <c r="M180" s="310">
        <f t="shared" si="547"/>
        <v>0</v>
      </c>
      <c r="N180" s="310">
        <f t="shared" si="547"/>
        <v>0</v>
      </c>
      <c r="O180" s="310">
        <f t="shared" si="547"/>
        <v>0</v>
      </c>
      <c r="P180" s="820">
        <f>P183/P186</f>
        <v>0</v>
      </c>
      <c r="Q180" s="312">
        <f t="shared" si="547"/>
        <v>0</v>
      </c>
      <c r="R180" s="310">
        <f t="shared" si="547"/>
        <v>0</v>
      </c>
      <c r="S180" s="310">
        <f t="shared" si="547"/>
        <v>0</v>
      </c>
      <c r="T180" s="311">
        <f t="shared" si="547"/>
        <v>0</v>
      </c>
      <c r="U180" s="820">
        <f>U183/U186</f>
        <v>0</v>
      </c>
      <c r="V180" s="312">
        <f t="shared" si="547"/>
        <v>0</v>
      </c>
      <c r="W180" s="310">
        <f t="shared" si="547"/>
        <v>0</v>
      </c>
      <c r="X180" s="310">
        <f t="shared" si="547"/>
        <v>0</v>
      </c>
      <c r="Y180" s="311">
        <f t="shared" si="547"/>
        <v>0</v>
      </c>
      <c r="Z180" s="820">
        <f>Z183/Z186</f>
        <v>0</v>
      </c>
      <c r="AA180" s="312">
        <f t="shared" si="547"/>
        <v>0</v>
      </c>
      <c r="AB180" s="310">
        <f t="shared" si="547"/>
        <v>0</v>
      </c>
      <c r="AC180" s="310">
        <f t="shared" si="547"/>
        <v>0</v>
      </c>
      <c r="AD180" s="310">
        <f t="shared" si="547"/>
        <v>0</v>
      </c>
      <c r="AE180" s="820">
        <f>AE183/AE186</f>
        <v>0</v>
      </c>
      <c r="AF180" s="310">
        <f t="shared" si="547"/>
        <v>0</v>
      </c>
      <c r="AG180" s="310">
        <f t="shared" si="547"/>
        <v>0</v>
      </c>
      <c r="AH180" s="310">
        <f t="shared" si="547"/>
        <v>0</v>
      </c>
      <c r="AI180" s="310">
        <f t="shared" si="547"/>
        <v>0</v>
      </c>
      <c r="AJ180" s="820">
        <f>AJ183/AJ186</f>
        <v>0</v>
      </c>
      <c r="AK180" s="310">
        <f t="shared" si="547"/>
        <v>0</v>
      </c>
      <c r="AL180" s="310">
        <f t="shared" si="547"/>
        <v>0</v>
      </c>
      <c r="AM180" s="310">
        <f t="shared" si="547"/>
        <v>0</v>
      </c>
      <c r="AN180" s="310">
        <f t="shared" si="547"/>
        <v>0</v>
      </c>
      <c r="AO180" s="820">
        <f>AO183/AO186</f>
        <v>0</v>
      </c>
      <c r="AP180" s="310">
        <f t="shared" si="547"/>
        <v>0</v>
      </c>
      <c r="AQ180" s="310">
        <f t="shared" si="547"/>
        <v>0</v>
      </c>
      <c r="AR180" s="310">
        <f t="shared" si="547"/>
        <v>0</v>
      </c>
      <c r="AS180" s="310">
        <f t="shared" si="547"/>
        <v>0</v>
      </c>
      <c r="AT180" s="820">
        <f>AT183/AT186</f>
        <v>0</v>
      </c>
      <c r="AU180" s="310">
        <f t="shared" si="547"/>
        <v>0</v>
      </c>
      <c r="AV180" s="310">
        <f t="shared" ref="AV180:CL180" si="548">AV183/AV186</f>
        <v>0</v>
      </c>
      <c r="AW180" s="310">
        <f t="shared" si="548"/>
        <v>0</v>
      </c>
      <c r="AX180" s="310">
        <f t="shared" si="548"/>
        <v>0</v>
      </c>
      <c r="AY180" s="820">
        <f>AY183/AY186</f>
        <v>0</v>
      </c>
      <c r="AZ180" s="310">
        <f t="shared" si="548"/>
        <v>0</v>
      </c>
      <c r="BA180" s="310">
        <f t="shared" si="548"/>
        <v>0</v>
      </c>
      <c r="BB180" s="310">
        <f t="shared" si="548"/>
        <v>0</v>
      </c>
      <c r="BC180" s="310">
        <f t="shared" si="548"/>
        <v>0</v>
      </c>
      <c r="BD180" s="820">
        <f>BD183/BD186</f>
        <v>0</v>
      </c>
      <c r="BE180" s="310">
        <f t="shared" si="548"/>
        <v>0</v>
      </c>
      <c r="BF180" s="310">
        <f t="shared" si="548"/>
        <v>0</v>
      </c>
      <c r="BG180" s="310">
        <f t="shared" si="548"/>
        <v>0</v>
      </c>
      <c r="BH180" s="310">
        <f t="shared" si="548"/>
        <v>0</v>
      </c>
      <c r="BI180" s="820">
        <f>BI183/BI186</f>
        <v>0</v>
      </c>
      <c r="BJ180" s="310">
        <f t="shared" si="548"/>
        <v>0</v>
      </c>
      <c r="BK180" s="310">
        <f t="shared" si="548"/>
        <v>0</v>
      </c>
      <c r="BL180" s="310">
        <f t="shared" si="548"/>
        <v>0</v>
      </c>
      <c r="BM180" s="310">
        <f t="shared" si="548"/>
        <v>0</v>
      </c>
      <c r="BN180" s="820">
        <f>BN183/BN186</f>
        <v>0</v>
      </c>
      <c r="BO180" s="310">
        <f t="shared" si="548"/>
        <v>0</v>
      </c>
      <c r="BP180" s="310">
        <f t="shared" si="548"/>
        <v>0</v>
      </c>
      <c r="BQ180" s="310">
        <f t="shared" si="548"/>
        <v>0</v>
      </c>
      <c r="BR180" s="310">
        <f t="shared" si="548"/>
        <v>0</v>
      </c>
      <c r="BS180" s="820">
        <f>BS183/BS186</f>
        <v>0</v>
      </c>
      <c r="BT180" s="310">
        <f t="shared" si="548"/>
        <v>0</v>
      </c>
      <c r="BU180" s="310">
        <f t="shared" si="548"/>
        <v>0</v>
      </c>
      <c r="BV180" s="310">
        <f t="shared" si="548"/>
        <v>0</v>
      </c>
      <c r="BW180" s="310">
        <f t="shared" si="548"/>
        <v>0</v>
      </c>
      <c r="BX180" s="820">
        <f>BX183/BX186</f>
        <v>0</v>
      </c>
      <c r="BY180" s="310">
        <f t="shared" si="548"/>
        <v>0</v>
      </c>
      <c r="BZ180" s="310">
        <f t="shared" si="548"/>
        <v>0</v>
      </c>
      <c r="CA180" s="310">
        <f t="shared" si="548"/>
        <v>0</v>
      </c>
      <c r="CB180" s="310">
        <f t="shared" si="548"/>
        <v>0</v>
      </c>
      <c r="CC180" s="820">
        <f>CC183/CC186</f>
        <v>0</v>
      </c>
      <c r="CD180" s="310">
        <f t="shared" si="548"/>
        <v>0</v>
      </c>
      <c r="CE180" s="310">
        <f t="shared" si="548"/>
        <v>0</v>
      </c>
      <c r="CF180" s="310">
        <f t="shared" si="548"/>
        <v>0</v>
      </c>
      <c r="CG180" s="310">
        <f t="shared" si="548"/>
        <v>0</v>
      </c>
      <c r="CH180" s="820">
        <f>CH183/CH186</f>
        <v>0</v>
      </c>
      <c r="CI180" s="310">
        <f t="shared" si="548"/>
        <v>0</v>
      </c>
      <c r="CJ180" s="310">
        <f t="shared" si="548"/>
        <v>0</v>
      </c>
      <c r="CK180" s="310">
        <f t="shared" si="548"/>
        <v>0</v>
      </c>
      <c r="CL180" s="310">
        <f t="shared" si="548"/>
        <v>0.29225481947687254</v>
      </c>
      <c r="CM180" s="820">
        <f>CM183/CM186</f>
        <v>0.29225481947687254</v>
      </c>
      <c r="CN180" s="310">
        <f>CN183/CN186</f>
        <v>0.18208919829937159</v>
      </c>
      <c r="CO180" s="529">
        <f>CO183/CO186</f>
        <v>0.17600384309567979</v>
      </c>
      <c r="CP180" s="310">
        <f>CP183/CP186</f>
        <v>0.1659011927422594</v>
      </c>
      <c r="CQ180" s="310">
        <f>CQ183/CQ186</f>
        <v>0.22925161589003043</v>
      </c>
      <c r="CR180" s="820">
        <f t="shared" ref="CR180:CW180" si="549">CR183/CR186</f>
        <v>0.22925161589003043</v>
      </c>
      <c r="CS180" s="310">
        <f t="shared" si="549"/>
        <v>0.16515408881339483</v>
      </c>
      <c r="CT180" s="310">
        <f t="shared" si="549"/>
        <v>0.14447182258961933</v>
      </c>
      <c r="CU180" s="310">
        <f t="shared" si="549"/>
        <v>0.14163625736536975</v>
      </c>
      <c r="CV180" s="310">
        <f t="shared" si="549"/>
        <v>0.13639894360727048</v>
      </c>
      <c r="CW180" s="820">
        <f t="shared" si="549"/>
        <v>0.13639894360727048</v>
      </c>
      <c r="CX180" s="310">
        <f>CX183/CX186</f>
        <v>0.17476149176062447</v>
      </c>
      <c r="CY180" s="310">
        <f>CY183/CY186</f>
        <v>0.13965614430665163</v>
      </c>
      <c r="CZ180" s="310">
        <f>CZ183/CZ186</f>
        <v>0.11609535900691212</v>
      </c>
      <c r="DA180" s="310">
        <f>DA183/DA186</f>
        <v>0.13459759481961148</v>
      </c>
      <c r="DB180" s="820">
        <f>DB183/DB186</f>
        <v>0.13459759481961148</v>
      </c>
      <c r="DC180" s="310">
        <f t="shared" ref="DC180:DK180" si="550">DC183/DC186</f>
        <v>0.12937609847441081</v>
      </c>
      <c r="DD180" s="310">
        <f t="shared" si="550"/>
        <v>0.11976744832322933</v>
      </c>
      <c r="DE180" s="310">
        <f t="shared" si="550"/>
        <v>0.12001278672131047</v>
      </c>
      <c r="DF180" s="310">
        <f t="shared" si="550"/>
        <v>0.11741970806135693</v>
      </c>
      <c r="DG180" s="820">
        <f>DG183/DG186</f>
        <v>0.11741970806135693</v>
      </c>
      <c r="DH180" s="310">
        <f t="shared" si="550"/>
        <v>0.11553229154372509</v>
      </c>
      <c r="DI180" s="310">
        <f t="shared" si="550"/>
        <v>0.10675356867426258</v>
      </c>
      <c r="DJ180" s="310">
        <f t="shared" si="550"/>
        <v>0.10609283075073438</v>
      </c>
      <c r="DK180" s="310">
        <f t="shared" si="550"/>
        <v>0.10380384707080886</v>
      </c>
      <c r="DL180" s="820">
        <f>DL183/DL186</f>
        <v>0.10380384707080886</v>
      </c>
      <c r="DM180" s="310">
        <f t="shared" ref="DM180:DP180" si="551">DM183/DM186</f>
        <v>0.10365064168679691</v>
      </c>
      <c r="DN180" s="310">
        <f t="shared" si="551"/>
        <v>9.5436317732347842E-2</v>
      </c>
      <c r="DO180" s="310">
        <f t="shared" si="551"/>
        <v>9.4230551265158613E-2</v>
      </c>
      <c r="DP180" s="310">
        <f t="shared" si="551"/>
        <v>9.1993394485680599E-2</v>
      </c>
      <c r="DQ180" s="820">
        <f>DQ183/DQ186</f>
        <v>9.1993394485680599E-2</v>
      </c>
      <c r="DR180" s="66"/>
      <c r="DS180" s="64"/>
      <c r="DT180"/>
      <c r="DU180"/>
      <c r="DV180"/>
      <c r="DW180"/>
      <c r="DX180"/>
      <c r="DY180"/>
    </row>
    <row r="181" spans="1:129" hidden="1" outlineLevel="1">
      <c r="A181" s="1"/>
      <c r="B181" s="3"/>
      <c r="C181" s="4"/>
      <c r="D181" s="4"/>
      <c r="E181" s="4"/>
      <c r="F181" s="4"/>
      <c r="G181" s="123"/>
      <c r="H181" s="124"/>
      <c r="I181" s="124"/>
      <c r="J181" s="125"/>
      <c r="K181" s="352"/>
      <c r="L181" s="123"/>
      <c r="M181" s="124"/>
      <c r="N181" s="124"/>
      <c r="O181" s="124"/>
      <c r="P181" s="352"/>
      <c r="Q181" s="123"/>
      <c r="R181" s="124"/>
      <c r="S181" s="124"/>
      <c r="T181" s="125"/>
      <c r="U181" s="352"/>
      <c r="V181" s="124"/>
      <c r="W181" s="124"/>
      <c r="X181" s="124"/>
      <c r="Y181" s="125"/>
      <c r="Z181" s="352"/>
      <c r="AA181" s="124"/>
      <c r="AB181" s="124"/>
      <c r="AC181" s="124"/>
      <c r="AD181" s="124"/>
      <c r="AE181" s="352"/>
      <c r="AF181" s="124"/>
      <c r="AG181" s="124"/>
      <c r="AH181" s="124"/>
      <c r="AI181" s="124"/>
      <c r="AJ181" s="352"/>
      <c r="AK181" s="124"/>
      <c r="AL181" s="124"/>
      <c r="AM181" s="124"/>
      <c r="AN181" s="124"/>
      <c r="AO181" s="352"/>
      <c r="AP181" s="124"/>
      <c r="AQ181" s="124"/>
      <c r="AR181" s="124"/>
      <c r="AS181" s="124"/>
      <c r="AT181" s="352"/>
      <c r="AU181" s="124"/>
      <c r="AV181" s="124"/>
      <c r="AW181" s="124"/>
      <c r="AX181" s="124"/>
      <c r="AY181" s="352"/>
      <c r="AZ181" s="124"/>
      <c r="BA181" s="124"/>
      <c r="BB181" s="124"/>
      <c r="BC181" s="124"/>
      <c r="BD181" s="352"/>
      <c r="BE181" s="124"/>
      <c r="BF181" s="124"/>
      <c r="BG181" s="124"/>
      <c r="BH181" s="124"/>
      <c r="BI181" s="352"/>
      <c r="BJ181" s="124"/>
      <c r="BK181" s="124"/>
      <c r="BL181" s="124"/>
      <c r="BM181" s="124"/>
      <c r="BN181" s="352"/>
      <c r="BO181" s="124"/>
      <c r="BP181" s="124"/>
      <c r="BQ181" s="124"/>
      <c r="BR181" s="124"/>
      <c r="BS181" s="352"/>
      <c r="BT181" s="124"/>
      <c r="BU181" s="124"/>
      <c r="BV181" s="124"/>
      <c r="BW181" s="124"/>
      <c r="BX181" s="352"/>
      <c r="BY181" s="124"/>
      <c r="BZ181" s="124"/>
      <c r="CA181" s="124"/>
      <c r="CB181" s="122"/>
      <c r="CC181" s="352"/>
      <c r="CD181" s="122"/>
      <c r="CE181" s="122"/>
      <c r="CF181" s="122"/>
      <c r="CG181" s="122"/>
      <c r="CH181" s="352"/>
      <c r="CI181" s="122"/>
      <c r="CJ181" s="122"/>
      <c r="CK181" s="122"/>
      <c r="CL181" s="122"/>
      <c r="CM181" s="352"/>
      <c r="CN181" s="122"/>
      <c r="CO181" s="122"/>
      <c r="CP181" s="122"/>
      <c r="CQ181" s="191"/>
      <c r="CR181" s="352"/>
      <c r="CS181" s="191"/>
      <c r="CT181" s="191"/>
      <c r="CU181" s="122"/>
      <c r="CV181" s="191"/>
      <c r="CW181" s="825"/>
      <c r="CX181" s="191"/>
      <c r="CY181" s="191"/>
      <c r="CZ181" s="122"/>
      <c r="DA181" s="122"/>
      <c r="DB181" s="825"/>
      <c r="DC181" s="122"/>
      <c r="DD181" s="122"/>
      <c r="DE181" s="122"/>
      <c r="DF181" s="122"/>
      <c r="DG181" s="825"/>
      <c r="DH181" s="122"/>
      <c r="DI181" s="122"/>
      <c r="DJ181" s="122"/>
      <c r="DK181" s="122"/>
      <c r="DL181" s="825"/>
      <c r="DM181" s="122"/>
      <c r="DN181" s="122"/>
      <c r="DO181" s="122"/>
      <c r="DP181" s="122"/>
      <c r="DQ181" s="825"/>
      <c r="DR181" s="111"/>
      <c r="DS181" s="112"/>
    </row>
    <row r="182" spans="1:129" s="202" customFormat="1" hidden="1" outlineLevel="1">
      <c r="A182" s="200"/>
      <c r="B182" s="273" t="s">
        <v>226</v>
      </c>
      <c r="C182" s="191"/>
      <c r="D182" s="191"/>
      <c r="E182" s="191"/>
      <c r="F182" s="191"/>
      <c r="G182" s="169"/>
      <c r="H182" s="191"/>
      <c r="I182" s="191"/>
      <c r="J182" s="201"/>
      <c r="K182" s="334"/>
      <c r="L182" s="169"/>
      <c r="M182" s="191"/>
      <c r="N182" s="191"/>
      <c r="O182" s="191"/>
      <c r="P182" s="334"/>
      <c r="Q182" s="169"/>
      <c r="R182" s="191"/>
      <c r="S182" s="191"/>
      <c r="T182" s="201"/>
      <c r="U182" s="334"/>
      <c r="V182" s="191"/>
      <c r="W182" s="191"/>
      <c r="X182" s="191"/>
      <c r="Y182" s="201"/>
      <c r="Z182" s="334"/>
      <c r="AA182" s="191"/>
      <c r="AB182" s="191"/>
      <c r="AC182" s="191"/>
      <c r="AD182" s="191"/>
      <c r="AE182" s="334"/>
      <c r="AF182" s="191"/>
      <c r="AG182" s="191"/>
      <c r="AH182" s="191"/>
      <c r="AI182" s="191"/>
      <c r="AJ182" s="334"/>
      <c r="AK182" s="191"/>
      <c r="AL182" s="191"/>
      <c r="AM182" s="191"/>
      <c r="AN182" s="191"/>
      <c r="AO182" s="334"/>
      <c r="AP182" s="191"/>
      <c r="AQ182" s="191"/>
      <c r="AR182" s="191"/>
      <c r="AS182" s="191"/>
      <c r="AT182" s="334"/>
      <c r="AU182" s="191"/>
      <c r="AV182" s="191"/>
      <c r="AW182" s="191"/>
      <c r="AX182" s="191"/>
      <c r="AY182" s="334"/>
      <c r="AZ182" s="191"/>
      <c r="BA182" s="191"/>
      <c r="BB182" s="191"/>
      <c r="BC182" s="191"/>
      <c r="BD182" s="334"/>
      <c r="BE182" s="191"/>
      <c r="BF182" s="191"/>
      <c r="BG182" s="191"/>
      <c r="BH182" s="191"/>
      <c r="BI182" s="334"/>
      <c r="BJ182" s="191"/>
      <c r="BK182" s="191"/>
      <c r="BL182" s="191"/>
      <c r="BM182" s="191"/>
      <c r="BN182" s="334"/>
      <c r="BO182" s="191"/>
      <c r="BP182" s="191"/>
      <c r="BQ182" s="191"/>
      <c r="BR182" s="191"/>
      <c r="BS182" s="334"/>
      <c r="BT182" s="191"/>
      <c r="BU182" s="191"/>
      <c r="BV182" s="191"/>
      <c r="BW182" s="191"/>
      <c r="BX182" s="334"/>
      <c r="BY182" s="191"/>
      <c r="BZ182" s="191"/>
      <c r="CA182" s="191"/>
      <c r="CB182" s="191"/>
      <c r="CC182" s="334"/>
      <c r="CD182" s="191"/>
      <c r="CE182" s="191"/>
      <c r="CF182" s="191"/>
      <c r="CG182" s="191"/>
      <c r="CH182" s="334"/>
      <c r="CI182" s="191"/>
      <c r="CJ182" s="191"/>
      <c r="CK182" s="191"/>
      <c r="CL182" s="191"/>
      <c r="CM182" s="334"/>
      <c r="CN182" s="191"/>
      <c r="CO182" s="526"/>
      <c r="CP182" s="191"/>
      <c r="CQ182" s="139"/>
      <c r="CR182" s="334"/>
      <c r="CS182" s="139"/>
      <c r="CT182" s="139"/>
      <c r="CU182" s="191"/>
      <c r="CV182" s="139"/>
      <c r="CW182" s="824"/>
      <c r="CX182" s="139"/>
      <c r="CY182" s="139"/>
      <c r="CZ182" s="191"/>
      <c r="DA182" s="191"/>
      <c r="DB182" s="824"/>
      <c r="DC182" s="191"/>
      <c r="DD182" s="191"/>
      <c r="DE182" s="191"/>
      <c r="DF182" s="191"/>
      <c r="DG182" s="824"/>
      <c r="DH182" s="191"/>
      <c r="DI182" s="191"/>
      <c r="DJ182" s="191"/>
      <c r="DK182" s="191"/>
      <c r="DL182" s="824"/>
      <c r="DM182" s="191"/>
      <c r="DN182" s="191"/>
      <c r="DO182" s="191"/>
      <c r="DP182" s="191"/>
      <c r="DQ182" s="824"/>
      <c r="DR182" s="169"/>
      <c r="DS182" s="269"/>
      <c r="DT182"/>
      <c r="DU182"/>
      <c r="DV182"/>
      <c r="DW182"/>
      <c r="DX182"/>
      <c r="DY182"/>
    </row>
    <row r="183" spans="1:129" s="144" customFormat="1" hidden="1" outlineLevel="1">
      <c r="B183" s="138"/>
      <c r="C183" s="139" t="s">
        <v>227</v>
      </c>
      <c r="D183" s="139"/>
      <c r="E183" s="139"/>
      <c r="F183" s="139"/>
      <c r="G183" s="138"/>
      <c r="H183" s="139">
        <v>0</v>
      </c>
      <c r="I183" s="139">
        <v>0</v>
      </c>
      <c r="J183" s="150">
        <v>0</v>
      </c>
      <c r="K183" s="340"/>
      <c r="L183" s="139">
        <v>0</v>
      </c>
      <c r="M183" s="139">
        <v>0</v>
      </c>
      <c r="N183" s="139">
        <v>0</v>
      </c>
      <c r="O183" s="139">
        <v>0</v>
      </c>
      <c r="P183" s="340">
        <v>0</v>
      </c>
      <c r="Q183" s="138">
        <v>0</v>
      </c>
      <c r="R183" s="139">
        <v>0</v>
      </c>
      <c r="S183" s="139">
        <v>0</v>
      </c>
      <c r="T183" s="150">
        <v>0</v>
      </c>
      <c r="U183" s="340">
        <v>0</v>
      </c>
      <c r="V183" s="139">
        <v>0</v>
      </c>
      <c r="W183" s="139">
        <v>0</v>
      </c>
      <c r="X183" s="139">
        <v>0</v>
      </c>
      <c r="Y183" s="150">
        <v>0</v>
      </c>
      <c r="Z183" s="340">
        <v>0</v>
      </c>
      <c r="AA183" s="139">
        <v>0</v>
      </c>
      <c r="AB183" s="139">
        <v>0</v>
      </c>
      <c r="AC183" s="139">
        <v>0</v>
      </c>
      <c r="AD183" s="139">
        <v>0</v>
      </c>
      <c r="AE183" s="340">
        <v>0</v>
      </c>
      <c r="AF183" s="139">
        <v>0</v>
      </c>
      <c r="AG183" s="139">
        <v>0</v>
      </c>
      <c r="AH183" s="139">
        <v>0</v>
      </c>
      <c r="AI183" s="139">
        <v>0</v>
      </c>
      <c r="AJ183" s="340">
        <v>0</v>
      </c>
      <c r="AK183" s="139">
        <v>0</v>
      </c>
      <c r="AL183" s="139">
        <v>0</v>
      </c>
      <c r="AM183" s="139">
        <v>0</v>
      </c>
      <c r="AN183" s="139">
        <v>0</v>
      </c>
      <c r="AO183" s="340">
        <v>0</v>
      </c>
      <c r="AP183" s="139">
        <v>0</v>
      </c>
      <c r="AQ183" s="139">
        <v>0</v>
      </c>
      <c r="AR183" s="139">
        <v>0</v>
      </c>
      <c r="AS183" s="139">
        <v>0</v>
      </c>
      <c r="AT183" s="340">
        <v>0</v>
      </c>
      <c r="AU183" s="139">
        <v>0</v>
      </c>
      <c r="AV183" s="139">
        <v>0</v>
      </c>
      <c r="AW183" s="139">
        <v>0</v>
      </c>
      <c r="AX183" s="139">
        <v>0</v>
      </c>
      <c r="AY183" s="340">
        <v>0</v>
      </c>
      <c r="AZ183" s="139">
        <v>0</v>
      </c>
      <c r="BA183" s="139">
        <v>0</v>
      </c>
      <c r="BB183" s="139">
        <v>0</v>
      </c>
      <c r="BC183" s="139">
        <v>0</v>
      </c>
      <c r="BD183" s="340">
        <v>0</v>
      </c>
      <c r="BE183" s="139">
        <v>0</v>
      </c>
      <c r="BF183" s="139">
        <v>0</v>
      </c>
      <c r="BG183" s="139">
        <v>0</v>
      </c>
      <c r="BH183" s="139">
        <v>0</v>
      </c>
      <c r="BI183" s="340">
        <v>0</v>
      </c>
      <c r="BJ183" s="139">
        <v>0</v>
      </c>
      <c r="BK183" s="139">
        <v>0</v>
      </c>
      <c r="BL183" s="139">
        <v>0</v>
      </c>
      <c r="BM183" s="139">
        <v>0</v>
      </c>
      <c r="BN183" s="340">
        <v>0</v>
      </c>
      <c r="BO183" s="139">
        <v>0</v>
      </c>
      <c r="BP183" s="139">
        <v>0</v>
      </c>
      <c r="BQ183" s="139">
        <v>0</v>
      </c>
      <c r="BR183" s="139">
        <v>0</v>
      </c>
      <c r="BS183" s="340">
        <v>0</v>
      </c>
      <c r="BT183" s="139">
        <v>0</v>
      </c>
      <c r="BU183" s="139">
        <v>0</v>
      </c>
      <c r="BV183" s="139">
        <v>0</v>
      </c>
      <c r="BW183" s="139">
        <v>0</v>
      </c>
      <c r="BX183" s="340">
        <v>0</v>
      </c>
      <c r="BY183" s="139">
        <v>0</v>
      </c>
      <c r="BZ183" s="139">
        <v>0</v>
      </c>
      <c r="CA183" s="139">
        <v>0</v>
      </c>
      <c r="CB183" s="139">
        <v>0</v>
      </c>
      <c r="CC183" s="340">
        <v>0</v>
      </c>
      <c r="CD183" s="139">
        <v>0</v>
      </c>
      <c r="CE183" s="139">
        <v>0</v>
      </c>
      <c r="CF183" s="139">
        <v>0</v>
      </c>
      <c r="CG183" s="139">
        <v>0</v>
      </c>
      <c r="CH183" s="340">
        <v>0</v>
      </c>
      <c r="CI183" s="139">
        <f>+CI154</f>
        <v>0</v>
      </c>
      <c r="CJ183" s="139">
        <f>+CJ154</f>
        <v>0</v>
      </c>
      <c r="CK183" s="139">
        <f>+CK154</f>
        <v>0</v>
      </c>
      <c r="CL183" s="139">
        <f>+CL154</f>
        <v>1637.502</v>
      </c>
      <c r="CM183" s="340">
        <f>+CL183</f>
        <v>1637.502</v>
      </c>
      <c r="CN183" s="139">
        <f>+CN154</f>
        <v>1075</v>
      </c>
      <c r="CO183" s="139">
        <f>+CO154</f>
        <v>1062.5</v>
      </c>
      <c r="CP183" s="139">
        <f>+CP154</f>
        <v>950</v>
      </c>
      <c r="CQ183" s="36">
        <f>+CQ154</f>
        <v>1287.5</v>
      </c>
      <c r="CR183" s="340">
        <f>+CQ183</f>
        <v>1287.5</v>
      </c>
      <c r="CS183" s="36">
        <f>+CS154</f>
        <v>1020.9</v>
      </c>
      <c r="CT183" s="36">
        <f>+CT154</f>
        <v>908.8</v>
      </c>
      <c r="CU183" s="139">
        <f>+CU154</f>
        <v>896.6</v>
      </c>
      <c r="CV183" s="139">
        <f>+CV154</f>
        <v>878</v>
      </c>
      <c r="CW183" s="340">
        <f>+CV183</f>
        <v>878</v>
      </c>
      <c r="CX183" s="36">
        <f>+CX154</f>
        <v>1209</v>
      </c>
      <c r="CY183" s="36">
        <f>+CY154</f>
        <v>991</v>
      </c>
      <c r="CZ183" s="139">
        <f>+CZ154</f>
        <v>823</v>
      </c>
      <c r="DA183" s="139">
        <f>+DA154</f>
        <v>873</v>
      </c>
      <c r="DB183" s="340">
        <f>+DA183</f>
        <v>873</v>
      </c>
      <c r="DC183" s="139">
        <f>+DC154</f>
        <v>873</v>
      </c>
      <c r="DD183" s="139">
        <f>+DD154</f>
        <v>848</v>
      </c>
      <c r="DE183" s="139">
        <f>+DE154</f>
        <v>848</v>
      </c>
      <c r="DF183" s="139">
        <f>+DF154</f>
        <v>823</v>
      </c>
      <c r="DG183" s="340">
        <f>DF183</f>
        <v>823</v>
      </c>
      <c r="DH183" s="139">
        <f>+DH154</f>
        <v>823</v>
      </c>
      <c r="DI183" s="139">
        <f>+DI154</f>
        <v>798</v>
      </c>
      <c r="DJ183" s="139">
        <f>+DJ154</f>
        <v>798</v>
      </c>
      <c r="DK183" s="139">
        <f>+DK154</f>
        <v>773</v>
      </c>
      <c r="DL183" s="340">
        <f>DK183</f>
        <v>773</v>
      </c>
      <c r="DM183" s="139">
        <f>+DM154</f>
        <v>773</v>
      </c>
      <c r="DN183" s="139">
        <f>+DN154</f>
        <v>748</v>
      </c>
      <c r="DO183" s="139">
        <f>+DO154</f>
        <v>748</v>
      </c>
      <c r="DP183" s="139">
        <f>+DP154</f>
        <v>723</v>
      </c>
      <c r="DQ183" s="340">
        <f>DP183</f>
        <v>723</v>
      </c>
      <c r="DR183" s="138"/>
      <c r="DS183" s="139"/>
      <c r="DT183"/>
      <c r="DU183"/>
      <c r="DV183"/>
      <c r="DW183"/>
      <c r="DX183"/>
      <c r="DY183"/>
    </row>
    <row r="184" spans="1:129" s="182" customFormat="1" hidden="1" outlineLevel="1">
      <c r="A184" s="60"/>
      <c r="B184" s="129"/>
      <c r="C184" s="36" t="s">
        <v>228</v>
      </c>
      <c r="D184" s="36"/>
      <c r="E184" s="36"/>
      <c r="F184" s="36"/>
      <c r="G184" s="35"/>
      <c r="H184" s="36">
        <f>H65</f>
        <v>28.105</v>
      </c>
      <c r="I184" s="36">
        <f>I65</f>
        <v>29.881000000000004</v>
      </c>
      <c r="J184" s="37">
        <f>J65</f>
        <v>32.615999999999993</v>
      </c>
      <c r="K184" s="333"/>
      <c r="L184" s="36">
        <f t="shared" ref="L184:AQ184" si="552">L65</f>
        <v>35.466000000000001</v>
      </c>
      <c r="M184" s="36">
        <f t="shared" si="552"/>
        <v>38.138999999999996</v>
      </c>
      <c r="N184" s="36">
        <f t="shared" si="552"/>
        <v>41.061999999999998</v>
      </c>
      <c r="O184" s="36">
        <f t="shared" si="552"/>
        <v>45.460999999999999</v>
      </c>
      <c r="P184" s="333">
        <f t="shared" si="552"/>
        <v>45.460999999999999</v>
      </c>
      <c r="Q184" s="35">
        <f t="shared" si="552"/>
        <v>49.306999999999995</v>
      </c>
      <c r="R184" s="36">
        <f t="shared" si="552"/>
        <v>54.625999999999998</v>
      </c>
      <c r="S184" s="36">
        <f t="shared" si="552"/>
        <v>60.131999999999998</v>
      </c>
      <c r="T184" s="37">
        <f t="shared" si="552"/>
        <v>66.116</v>
      </c>
      <c r="U184" s="333">
        <f t="shared" si="552"/>
        <v>66.116</v>
      </c>
      <c r="V184" s="36">
        <f t="shared" si="552"/>
        <v>72.844000000000008</v>
      </c>
      <c r="W184" s="36">
        <f t="shared" si="552"/>
        <v>82.952999999999989</v>
      </c>
      <c r="X184" s="36">
        <f t="shared" si="552"/>
        <v>92.495999999999995</v>
      </c>
      <c r="Y184" s="37">
        <f t="shared" si="552"/>
        <v>98.791999999999987</v>
      </c>
      <c r="Z184" s="333">
        <f t="shared" si="552"/>
        <v>98.791999999999987</v>
      </c>
      <c r="AA184" s="36">
        <f t="shared" si="552"/>
        <v>106.95300000000002</v>
      </c>
      <c r="AB184" s="36">
        <f t="shared" si="552"/>
        <v>123.093</v>
      </c>
      <c r="AC184" s="36">
        <f t="shared" si="552"/>
        <v>142.62199999999999</v>
      </c>
      <c r="AD184" s="36">
        <f t="shared" si="552"/>
        <v>165.48099999999999</v>
      </c>
      <c r="AE184" s="333">
        <f t="shared" si="552"/>
        <v>165.48099999999999</v>
      </c>
      <c r="AF184" s="36">
        <f t="shared" si="552"/>
        <v>179.63</v>
      </c>
      <c r="AG184" s="36">
        <f t="shared" si="552"/>
        <v>203.39699999999999</v>
      </c>
      <c r="AH184" s="36">
        <f t="shared" si="552"/>
        <v>236.96899999999997</v>
      </c>
      <c r="AI184" s="36">
        <f t="shared" si="552"/>
        <v>274.07</v>
      </c>
      <c r="AJ184" s="333">
        <f t="shared" si="552"/>
        <v>274.07</v>
      </c>
      <c r="AK184" s="36">
        <f t="shared" si="552"/>
        <v>304.21300000000002</v>
      </c>
      <c r="AL184" s="36">
        <f t="shared" si="552"/>
        <v>349.54900000000004</v>
      </c>
      <c r="AM184" s="36">
        <f t="shared" si="552"/>
        <v>394.10900000000004</v>
      </c>
      <c r="AN184" s="36">
        <f t="shared" si="552"/>
        <v>453.529</v>
      </c>
      <c r="AO184" s="333">
        <f t="shared" si="552"/>
        <v>453.529</v>
      </c>
      <c r="AP184" s="36">
        <f t="shared" si="552"/>
        <v>507.08600000000001</v>
      </c>
      <c r="AQ184" s="36">
        <f t="shared" si="552"/>
        <v>565.18799999999999</v>
      </c>
      <c r="AR184" s="36">
        <f t="shared" ref="AR184:BW184" si="553">AR65</f>
        <v>641.64699999999993</v>
      </c>
      <c r="AS184" s="36">
        <f t="shared" si="553"/>
        <v>714.14499999999998</v>
      </c>
      <c r="AT184" s="333">
        <f t="shared" si="553"/>
        <v>714.14499999999998</v>
      </c>
      <c r="AU184" s="36">
        <f t="shared" si="553"/>
        <v>793.15099999999995</v>
      </c>
      <c r="AV184" s="36">
        <f t="shared" si="553"/>
        <v>874.19299999999998</v>
      </c>
      <c r="AW184" s="36">
        <f t="shared" si="553"/>
        <v>966.55799999999999</v>
      </c>
      <c r="AX184" s="36">
        <f t="shared" si="553"/>
        <v>1073.499</v>
      </c>
      <c r="AY184" s="333">
        <f t="shared" si="553"/>
        <v>1073.499</v>
      </c>
      <c r="AZ184" s="36">
        <f t="shared" si="553"/>
        <v>1197.329</v>
      </c>
      <c r="BA184" s="36">
        <f t="shared" si="553"/>
        <v>1317.2429999999999</v>
      </c>
      <c r="BB184" s="36">
        <f t="shared" si="553"/>
        <v>1443.5070000000001</v>
      </c>
      <c r="BC184" s="36">
        <f t="shared" si="553"/>
        <v>1468.21</v>
      </c>
      <c r="BD184" s="333">
        <f t="shared" si="553"/>
        <v>1468.21</v>
      </c>
      <c r="BE184" s="36">
        <f t="shared" si="553"/>
        <v>1601.0260000000001</v>
      </c>
      <c r="BF184" s="36">
        <f t="shared" si="553"/>
        <v>1754.374</v>
      </c>
      <c r="BG184" s="36">
        <f t="shared" si="553"/>
        <v>1843.029</v>
      </c>
      <c r="BH184" s="36">
        <f t="shared" si="553"/>
        <v>1965.578</v>
      </c>
      <c r="BI184" s="333">
        <f t="shared" si="553"/>
        <v>1965.578</v>
      </c>
      <c r="BJ184" s="36">
        <f t="shared" si="553"/>
        <v>2072.7109999999998</v>
      </c>
      <c r="BK184" s="36">
        <f t="shared" si="553"/>
        <v>2267.6969999999997</v>
      </c>
      <c r="BL184" s="36">
        <f t="shared" si="553"/>
        <v>2436.2180000000003</v>
      </c>
      <c r="BM184" s="36">
        <f t="shared" si="553"/>
        <v>2653.1769999999997</v>
      </c>
      <c r="BN184" s="333">
        <f t="shared" si="553"/>
        <v>2653.1769999999997</v>
      </c>
      <c r="BO184" s="36">
        <f t="shared" si="553"/>
        <v>2886.3690000000001</v>
      </c>
      <c r="BP184" s="36">
        <f t="shared" si="553"/>
        <v>3040.8870000000002</v>
      </c>
      <c r="BQ184" s="36">
        <f t="shared" si="553"/>
        <v>3367.1840000000002</v>
      </c>
      <c r="BR184" s="36">
        <f t="shared" si="553"/>
        <v>3584.4309999999996</v>
      </c>
      <c r="BS184" s="333">
        <f t="shared" si="553"/>
        <v>3584.4309999999996</v>
      </c>
      <c r="BT184" s="36">
        <f t="shared" si="553"/>
        <v>3764.1889999999999</v>
      </c>
      <c r="BU184" s="36">
        <f t="shared" si="553"/>
        <v>3951.8490000000002</v>
      </c>
      <c r="BV184" s="36">
        <f t="shared" si="553"/>
        <v>3939.5219999999999</v>
      </c>
      <c r="BW184" s="36">
        <f t="shared" si="553"/>
        <v>3952.8859999999995</v>
      </c>
      <c r="BX184" s="333">
        <f t="shared" ref="BX184:DC184" si="554">BX65</f>
        <v>3952.8859999999995</v>
      </c>
      <c r="BY184" s="36">
        <f t="shared" si="554"/>
        <v>4367.2489999999998</v>
      </c>
      <c r="BZ184" s="36">
        <f t="shared" si="554"/>
        <v>4092.3330000000005</v>
      </c>
      <c r="CA184" s="36">
        <f t="shared" si="554"/>
        <v>4572.3700000000008</v>
      </c>
      <c r="CB184" s="36">
        <f t="shared" si="554"/>
        <v>4854.3829999999998</v>
      </c>
      <c r="CC184" s="333">
        <f t="shared" si="554"/>
        <v>4854.3829999999998</v>
      </c>
      <c r="CD184" s="36">
        <f t="shared" si="554"/>
        <v>5215.9340000000002</v>
      </c>
      <c r="CE184" s="36">
        <f t="shared" si="554"/>
        <v>5323.7480000000005</v>
      </c>
      <c r="CF184" s="36">
        <f t="shared" si="554"/>
        <v>5648.2759999999998</v>
      </c>
      <c r="CG184" s="36">
        <f t="shared" si="554"/>
        <v>6135.7910000000002</v>
      </c>
      <c r="CH184" s="333">
        <f t="shared" si="554"/>
        <v>6135.7910000000002</v>
      </c>
      <c r="CI184" s="36">
        <f t="shared" si="554"/>
        <v>6622.9570000000003</v>
      </c>
      <c r="CJ184" s="36">
        <f t="shared" si="554"/>
        <v>6990.8289999999988</v>
      </c>
      <c r="CK184" s="36">
        <f t="shared" si="554"/>
        <v>7381.71</v>
      </c>
      <c r="CL184" s="36">
        <f t="shared" si="554"/>
        <v>7740.2179999999998</v>
      </c>
      <c r="CM184" s="333">
        <f t="shared" si="554"/>
        <v>7740.2179999999998</v>
      </c>
      <c r="CN184" s="36">
        <f t="shared" si="554"/>
        <v>8178.5000000000009</v>
      </c>
      <c r="CO184" s="15">
        <f t="shared" si="554"/>
        <v>8540.8000000000011</v>
      </c>
      <c r="CP184" s="36">
        <f t="shared" si="554"/>
        <v>8827</v>
      </c>
      <c r="CQ184" s="36">
        <f t="shared" si="554"/>
        <v>9278.1</v>
      </c>
      <c r="CR184" s="333">
        <f t="shared" si="554"/>
        <v>9278.1</v>
      </c>
      <c r="CS184" s="36">
        <f t="shared" si="554"/>
        <v>9612.2999999999993</v>
      </c>
      <c r="CT184" s="36">
        <f t="shared" si="554"/>
        <v>9862.8999999999978</v>
      </c>
      <c r="CU184" s="36">
        <f t="shared" si="554"/>
        <v>10292.299999999999</v>
      </c>
      <c r="CV184" s="36">
        <f t="shared" si="554"/>
        <v>10728</v>
      </c>
      <c r="CW184" s="826">
        <f t="shared" si="554"/>
        <v>10728</v>
      </c>
      <c r="CX184" s="36">
        <f>CX65</f>
        <v>9983</v>
      </c>
      <c r="CY184" s="36">
        <f>CY65</f>
        <v>10483</v>
      </c>
      <c r="CZ184" s="36">
        <f t="shared" si="554"/>
        <v>10979</v>
      </c>
      <c r="DA184" s="36">
        <f t="shared" si="554"/>
        <v>10669</v>
      </c>
      <c r="DB184" s="826">
        <f t="shared" si="554"/>
        <v>10669</v>
      </c>
      <c r="DC184" s="36">
        <f t="shared" si="554"/>
        <v>10966.173420960631</v>
      </c>
      <c r="DD184" s="36">
        <f t="shared" ref="DD184:DL184" si="555">DD65</f>
        <v>11296.267986254366</v>
      </c>
      <c r="DE184" s="36">
        <f t="shared" si="555"/>
        <v>11648.657134593446</v>
      </c>
      <c r="DF184" s="36">
        <f t="shared" si="555"/>
        <v>12034.952691462446</v>
      </c>
      <c r="DG184" s="826">
        <f t="shared" si="555"/>
        <v>12034.952691462446</v>
      </c>
      <c r="DH184" s="36">
        <f t="shared" si="555"/>
        <v>12350.064385156606</v>
      </c>
      <c r="DI184" s="36">
        <f t="shared" si="555"/>
        <v>12694.618495416758</v>
      </c>
      <c r="DJ184" s="36">
        <f t="shared" si="555"/>
        <v>13057.650471949244</v>
      </c>
      <c r="DK184" s="36">
        <f t="shared" si="555"/>
        <v>13435.010028234145</v>
      </c>
      <c r="DL184" s="826">
        <f t="shared" si="555"/>
        <v>13435.010028234145</v>
      </c>
      <c r="DM184" s="36">
        <f t="shared" ref="DM184:DQ184" si="556">DM65</f>
        <v>13807.990804671665</v>
      </c>
      <c r="DN184" s="36">
        <f t="shared" si="556"/>
        <v>14212.22051349335</v>
      </c>
      <c r="DO184" s="36">
        <f t="shared" si="556"/>
        <v>14638.118609367673</v>
      </c>
      <c r="DP184" s="36">
        <f t="shared" si="556"/>
        <v>15078.005930164327</v>
      </c>
      <c r="DQ184" s="826">
        <f t="shared" si="556"/>
        <v>15078.005930164327</v>
      </c>
      <c r="DR184" s="35"/>
      <c r="DS184" s="130"/>
      <c r="DT184"/>
      <c r="DU184"/>
      <c r="DV184"/>
      <c r="DW184"/>
      <c r="DX184"/>
      <c r="DY184"/>
    </row>
    <row r="185" spans="1:129" s="182" customFormat="1" hidden="1" outlineLevel="1">
      <c r="A185" s="60"/>
      <c r="B185" s="129"/>
      <c r="C185" s="36" t="s">
        <v>248</v>
      </c>
      <c r="D185" s="36"/>
      <c r="E185" s="36"/>
      <c r="F185" s="36"/>
      <c r="G185" s="35"/>
      <c r="H185" s="36">
        <f>H11+H12</f>
        <v>21.515000000000001</v>
      </c>
      <c r="I185" s="36">
        <f>I11+I12</f>
        <v>26.053000000000001</v>
      </c>
      <c r="J185" s="37">
        <f>J11+J12</f>
        <v>28.417999999999999</v>
      </c>
      <c r="K185" s="333"/>
      <c r="L185" s="36">
        <f t="shared" ref="L185:AQ185" si="557">L11+L12</f>
        <v>25.102</v>
      </c>
      <c r="M185" s="36">
        <f t="shared" si="557"/>
        <v>29.359000000000002</v>
      </c>
      <c r="N185" s="36">
        <f t="shared" si="557"/>
        <v>33.685000000000002</v>
      </c>
      <c r="O185" s="36">
        <f t="shared" si="557"/>
        <v>42.640999999999998</v>
      </c>
      <c r="P185" s="333">
        <f t="shared" si="557"/>
        <v>42.640999999999998</v>
      </c>
      <c r="Q185" s="35">
        <f t="shared" si="557"/>
        <v>40.36</v>
      </c>
      <c r="R185" s="36">
        <f t="shared" si="557"/>
        <v>45.209000000000003</v>
      </c>
      <c r="S185" s="36">
        <f t="shared" si="557"/>
        <v>52.835999999999999</v>
      </c>
      <c r="T185" s="37">
        <f t="shared" si="557"/>
        <v>61.975999999999999</v>
      </c>
      <c r="U185" s="333">
        <f t="shared" si="557"/>
        <v>61.975999999999999</v>
      </c>
      <c r="V185" s="36">
        <f t="shared" si="557"/>
        <v>60.966000000000001</v>
      </c>
      <c r="W185" s="36">
        <f t="shared" si="557"/>
        <v>67.659000000000006</v>
      </c>
      <c r="X185" s="36">
        <f t="shared" si="557"/>
        <v>79.766999999999996</v>
      </c>
      <c r="Y185" s="37">
        <f t="shared" si="557"/>
        <v>84.977000000000004</v>
      </c>
      <c r="Z185" s="333">
        <f t="shared" si="557"/>
        <v>84.977000000000004</v>
      </c>
      <c r="AA185" s="36">
        <f t="shared" si="557"/>
        <v>91.186000000000007</v>
      </c>
      <c r="AB185" s="36">
        <f t="shared" si="557"/>
        <v>103.843</v>
      </c>
      <c r="AC185" s="36">
        <f t="shared" si="557"/>
        <v>123.08199999999999</v>
      </c>
      <c r="AD185" s="36">
        <f t="shared" si="557"/>
        <v>126.211</v>
      </c>
      <c r="AE185" s="333">
        <f t="shared" si="557"/>
        <v>126.211</v>
      </c>
      <c r="AF185" s="36">
        <f t="shared" si="557"/>
        <v>126.64700000000001</v>
      </c>
      <c r="AG185" s="36">
        <f t="shared" si="557"/>
        <v>137.739</v>
      </c>
      <c r="AH185" s="36">
        <f t="shared" si="557"/>
        <v>159.749</v>
      </c>
      <c r="AI185" s="36">
        <f t="shared" si="557"/>
        <v>194.221</v>
      </c>
      <c r="AJ185" s="333">
        <f t="shared" si="557"/>
        <v>194.221</v>
      </c>
      <c r="AK185" s="36">
        <f t="shared" si="557"/>
        <v>198.85900000000001</v>
      </c>
      <c r="AL185" s="36">
        <f t="shared" si="557"/>
        <v>233.173</v>
      </c>
      <c r="AM185" s="36">
        <f t="shared" si="557"/>
        <v>270.39100000000002</v>
      </c>
      <c r="AN185" s="36">
        <f t="shared" si="557"/>
        <v>314.76100000000002</v>
      </c>
      <c r="AO185" s="333">
        <f t="shared" si="557"/>
        <v>314.76100000000002</v>
      </c>
      <c r="AP185" s="36">
        <f t="shared" si="557"/>
        <v>314.39400000000001</v>
      </c>
      <c r="AQ185" s="36">
        <f t="shared" si="557"/>
        <v>326.80200000000002</v>
      </c>
      <c r="AR185" s="36">
        <f t="shared" ref="AR185:BW185" si="558">AR11+AR12</f>
        <v>368.49599999999998</v>
      </c>
      <c r="AS185" s="36">
        <f t="shared" si="558"/>
        <v>424.00099999999998</v>
      </c>
      <c r="AT185" s="333">
        <f t="shared" si="558"/>
        <v>424.00099999999998</v>
      </c>
      <c r="AU185" s="36">
        <f t="shared" si="558"/>
        <v>422.548</v>
      </c>
      <c r="AV185" s="36">
        <f t="shared" si="558"/>
        <v>468.20000000000005</v>
      </c>
      <c r="AW185" s="36">
        <f t="shared" si="558"/>
        <v>535.59799999999996</v>
      </c>
      <c r="AX185" s="36">
        <f t="shared" si="558"/>
        <v>648.15899999999999</v>
      </c>
      <c r="AY185" s="333">
        <f t="shared" si="558"/>
        <v>648.15899999999999</v>
      </c>
      <c r="AZ185" s="36">
        <f t="shared" si="558"/>
        <v>673.101</v>
      </c>
      <c r="BA185" s="36">
        <f t="shared" si="558"/>
        <v>710.23599999999999</v>
      </c>
      <c r="BB185" s="36">
        <f t="shared" si="558"/>
        <v>809.25600000000009</v>
      </c>
      <c r="BC185" s="36">
        <f t="shared" si="558"/>
        <v>670.42499999999995</v>
      </c>
      <c r="BD185" s="333">
        <f t="shared" si="558"/>
        <v>670.42499999999995</v>
      </c>
      <c r="BE185" s="36">
        <f t="shared" si="558"/>
        <v>474.947</v>
      </c>
      <c r="BF185" s="36">
        <f t="shared" si="558"/>
        <v>551.17200000000003</v>
      </c>
      <c r="BG185" s="36">
        <f t="shared" si="558"/>
        <v>595.39599999999996</v>
      </c>
      <c r="BH185" s="36">
        <f t="shared" si="558"/>
        <v>762.57900000000006</v>
      </c>
      <c r="BI185" s="333">
        <f t="shared" si="558"/>
        <v>762.57900000000006</v>
      </c>
      <c r="BJ185" s="36">
        <f t="shared" si="558"/>
        <v>808.64</v>
      </c>
      <c r="BK185" s="36">
        <f t="shared" si="558"/>
        <v>983.17199999999991</v>
      </c>
      <c r="BL185" s="36">
        <f t="shared" si="558"/>
        <v>1182.701</v>
      </c>
      <c r="BM185" s="36">
        <f t="shared" si="558"/>
        <v>1399.3320000000001</v>
      </c>
      <c r="BN185" s="333">
        <f t="shared" si="558"/>
        <v>1399.3320000000001</v>
      </c>
      <c r="BO185" s="36">
        <f t="shared" si="558"/>
        <v>1433.8810000000001</v>
      </c>
      <c r="BP185" s="36">
        <f t="shared" si="558"/>
        <v>1651.9989999999998</v>
      </c>
      <c r="BQ185" s="36">
        <f t="shared" si="558"/>
        <v>1928.816</v>
      </c>
      <c r="BR185" s="36">
        <f t="shared" si="558"/>
        <v>2226.3879999999999</v>
      </c>
      <c r="BS185" s="333">
        <f t="shared" si="558"/>
        <v>2226.3879999999999</v>
      </c>
      <c r="BT185" s="36">
        <f t="shared" si="558"/>
        <v>2168.1149999999998</v>
      </c>
      <c r="BU185" s="36">
        <f t="shared" si="558"/>
        <v>2269.4110000000001</v>
      </c>
      <c r="BV185" s="36">
        <f t="shared" si="558"/>
        <v>2291.2759999999998</v>
      </c>
      <c r="BW185" s="36">
        <f t="shared" si="558"/>
        <v>2432.2640000000001</v>
      </c>
      <c r="BX185" s="333">
        <f t="shared" ref="BX185:DC185" si="559">BX11+BX12</f>
        <v>2432.2640000000001</v>
      </c>
      <c r="BY185" s="36">
        <f t="shared" si="559"/>
        <v>2491.1950000000002</v>
      </c>
      <c r="BZ185" s="36">
        <f t="shared" si="559"/>
        <v>2346.1419999999998</v>
      </c>
      <c r="CA185" s="36">
        <f t="shared" si="559"/>
        <v>2631.748</v>
      </c>
      <c r="CB185" s="36">
        <f t="shared" si="559"/>
        <v>2863.7579999999998</v>
      </c>
      <c r="CC185" s="333">
        <f t="shared" si="559"/>
        <v>2863.7579999999998</v>
      </c>
      <c r="CD185" s="36">
        <f t="shared" si="559"/>
        <v>2744.4459999999999</v>
      </c>
      <c r="CE185" s="36">
        <f t="shared" si="559"/>
        <v>2900.569</v>
      </c>
      <c r="CF185" s="36">
        <f t="shared" si="559"/>
        <v>3360.5990000000002</v>
      </c>
      <c r="CG185" s="36">
        <f t="shared" si="559"/>
        <v>3747.473</v>
      </c>
      <c r="CH185" s="333">
        <f t="shared" si="559"/>
        <v>3747.473</v>
      </c>
      <c r="CI185" s="36">
        <f t="shared" si="559"/>
        <v>3864.9839999999999</v>
      </c>
      <c r="CJ185" s="36">
        <f t="shared" si="559"/>
        <v>4129.2209999999995</v>
      </c>
      <c r="CK185" s="36">
        <f t="shared" si="559"/>
        <v>4618.4790000000003</v>
      </c>
      <c r="CL185" s="36">
        <f t="shared" si="559"/>
        <v>3774.7259999999997</v>
      </c>
      <c r="CM185" s="333">
        <f t="shared" si="559"/>
        <v>3774.7259999999997</v>
      </c>
      <c r="CN185" s="36">
        <f t="shared" si="559"/>
        <v>3349.8</v>
      </c>
      <c r="CO185" s="15">
        <f t="shared" si="559"/>
        <v>3566.5</v>
      </c>
      <c r="CP185" s="36">
        <f t="shared" si="559"/>
        <v>4050.7</v>
      </c>
      <c r="CQ185" s="36">
        <f t="shared" si="559"/>
        <v>4949.5</v>
      </c>
      <c r="CR185" s="333">
        <f t="shared" si="559"/>
        <v>4949.5</v>
      </c>
      <c r="CS185" s="36">
        <f t="shared" si="559"/>
        <v>4451.7</v>
      </c>
      <c r="CT185" s="36">
        <f t="shared" si="559"/>
        <v>4481.2</v>
      </c>
      <c r="CU185" s="36">
        <f t="shared" si="559"/>
        <v>4858.6000000000004</v>
      </c>
      <c r="CV185" s="36">
        <f t="shared" si="559"/>
        <v>5169</v>
      </c>
      <c r="CW185" s="826">
        <f t="shared" si="559"/>
        <v>5169</v>
      </c>
      <c r="CX185" s="36">
        <f t="shared" si="559"/>
        <v>4274</v>
      </c>
      <c r="CY185" s="36">
        <f t="shared" si="559"/>
        <v>4378</v>
      </c>
      <c r="CZ185" s="36">
        <f t="shared" si="559"/>
        <v>4713</v>
      </c>
      <c r="DA185" s="36">
        <f t="shared" si="559"/>
        <v>5056</v>
      </c>
      <c r="DB185" s="826">
        <f t="shared" si="559"/>
        <v>5056</v>
      </c>
      <c r="DC185" s="36">
        <f t="shared" si="559"/>
        <v>5091.4046267681715</v>
      </c>
      <c r="DD185" s="36">
        <f t="shared" ref="DD185:DQ185" si="560">DD11+DD12</f>
        <v>5063.8800188042214</v>
      </c>
      <c r="DE185" s="36">
        <f t="shared" si="560"/>
        <v>5430.7433835096035</v>
      </c>
      <c r="DF185" s="36">
        <f t="shared" si="560"/>
        <v>5848.9078421093327</v>
      </c>
      <c r="DG185" s="826">
        <f t="shared" si="560"/>
        <v>5848.9078421093327</v>
      </c>
      <c r="DH185" s="36">
        <f t="shared" si="560"/>
        <v>6049.5148649038874</v>
      </c>
      <c r="DI185" s="36">
        <f t="shared" si="560"/>
        <v>6017.4585554718997</v>
      </c>
      <c r="DJ185" s="36">
        <f t="shared" si="560"/>
        <v>6333.9358155187365</v>
      </c>
      <c r="DK185" s="36">
        <f t="shared" si="560"/>
        <v>6761.2725342691574</v>
      </c>
      <c r="DL185" s="826">
        <f t="shared" si="560"/>
        <v>6761.2725342691574</v>
      </c>
      <c r="DM185" s="36">
        <f t="shared" si="560"/>
        <v>7123.2463332405223</v>
      </c>
      <c r="DN185" s="36">
        <f t="shared" si="560"/>
        <v>7122.5333753770847</v>
      </c>
      <c r="DO185" s="36">
        <f t="shared" si="560"/>
        <v>7448.1410643231065</v>
      </c>
      <c r="DP185" s="36">
        <f t="shared" si="560"/>
        <v>7941.7459904461557</v>
      </c>
      <c r="DQ185" s="826">
        <f t="shared" si="560"/>
        <v>7941.7459904461557</v>
      </c>
      <c r="DR185" s="35"/>
      <c r="DS185" s="130"/>
      <c r="DT185"/>
      <c r="DU185"/>
      <c r="DV185"/>
      <c r="DW185"/>
      <c r="DX185"/>
      <c r="DY185"/>
    </row>
    <row r="186" spans="1:129" s="182" customFormat="1" hidden="1" outlineLevel="1">
      <c r="A186" s="60"/>
      <c r="B186" s="129"/>
      <c r="C186" s="36" t="s">
        <v>229</v>
      </c>
      <c r="D186" s="36"/>
      <c r="E186" s="36"/>
      <c r="F186" s="36"/>
      <c r="G186" s="35"/>
      <c r="H186" s="36">
        <f t="shared" ref="H186:AU186" si="561">H183+H184-H185</f>
        <v>6.59</v>
      </c>
      <c r="I186" s="36">
        <f t="shared" si="561"/>
        <v>3.828000000000003</v>
      </c>
      <c r="J186" s="37">
        <f t="shared" si="561"/>
        <v>4.1979999999999933</v>
      </c>
      <c r="K186" s="333"/>
      <c r="L186" s="35">
        <f t="shared" si="561"/>
        <v>10.364000000000001</v>
      </c>
      <c r="M186" s="36">
        <f t="shared" si="561"/>
        <v>8.779999999999994</v>
      </c>
      <c r="N186" s="36">
        <f t="shared" si="561"/>
        <v>7.3769999999999953</v>
      </c>
      <c r="O186" s="36">
        <f t="shared" si="561"/>
        <v>2.8200000000000003</v>
      </c>
      <c r="P186" s="333">
        <f>P183+P184-P185</f>
        <v>2.8200000000000003</v>
      </c>
      <c r="Q186" s="35">
        <f t="shared" si="561"/>
        <v>8.9469999999999956</v>
      </c>
      <c r="R186" s="36">
        <f t="shared" si="561"/>
        <v>9.4169999999999945</v>
      </c>
      <c r="S186" s="36">
        <f t="shared" si="561"/>
        <v>7.2959999999999994</v>
      </c>
      <c r="T186" s="37">
        <f t="shared" si="561"/>
        <v>4.1400000000000006</v>
      </c>
      <c r="U186" s="333">
        <f>U183+U184-U185</f>
        <v>4.1400000000000006</v>
      </c>
      <c r="V186" s="36">
        <f t="shared" si="561"/>
        <v>11.878000000000007</v>
      </c>
      <c r="W186" s="36">
        <f t="shared" si="561"/>
        <v>15.293999999999983</v>
      </c>
      <c r="X186" s="36">
        <f t="shared" si="561"/>
        <v>12.728999999999999</v>
      </c>
      <c r="Y186" s="37">
        <f t="shared" si="561"/>
        <v>13.814999999999984</v>
      </c>
      <c r="Z186" s="333">
        <f>Z183+Z184-Z185</f>
        <v>13.814999999999984</v>
      </c>
      <c r="AA186" s="36">
        <f t="shared" si="561"/>
        <v>15.76700000000001</v>
      </c>
      <c r="AB186" s="36">
        <f t="shared" si="561"/>
        <v>19.25</v>
      </c>
      <c r="AC186" s="36">
        <f t="shared" si="561"/>
        <v>19.539999999999992</v>
      </c>
      <c r="AD186" s="36">
        <f t="shared" si="561"/>
        <v>39.269999999999996</v>
      </c>
      <c r="AE186" s="333">
        <f>AE183+AE184-AE185</f>
        <v>39.269999999999996</v>
      </c>
      <c r="AF186" s="36">
        <f t="shared" si="561"/>
        <v>52.98299999999999</v>
      </c>
      <c r="AG186" s="36">
        <f t="shared" si="561"/>
        <v>65.657999999999987</v>
      </c>
      <c r="AH186" s="36">
        <f t="shared" si="561"/>
        <v>77.21999999999997</v>
      </c>
      <c r="AI186" s="36">
        <f t="shared" si="561"/>
        <v>79.84899999999999</v>
      </c>
      <c r="AJ186" s="333">
        <f>AJ183+AJ184-AJ185</f>
        <v>79.84899999999999</v>
      </c>
      <c r="AK186" s="36">
        <f t="shared" si="561"/>
        <v>105.35400000000001</v>
      </c>
      <c r="AL186" s="36">
        <f t="shared" si="561"/>
        <v>116.37600000000003</v>
      </c>
      <c r="AM186" s="36">
        <f t="shared" si="561"/>
        <v>123.71800000000002</v>
      </c>
      <c r="AN186" s="36">
        <f t="shared" si="561"/>
        <v>138.76799999999997</v>
      </c>
      <c r="AO186" s="333">
        <f>AO183+AO184-AO185</f>
        <v>138.76799999999997</v>
      </c>
      <c r="AP186" s="36">
        <f t="shared" si="561"/>
        <v>192.69200000000001</v>
      </c>
      <c r="AQ186" s="36">
        <f t="shared" si="561"/>
        <v>238.38599999999997</v>
      </c>
      <c r="AR186" s="36">
        <f t="shared" si="561"/>
        <v>273.15099999999995</v>
      </c>
      <c r="AS186" s="36">
        <f t="shared" si="561"/>
        <v>290.14400000000001</v>
      </c>
      <c r="AT186" s="333">
        <f>AT183+AT184-AT185</f>
        <v>290.14400000000001</v>
      </c>
      <c r="AU186" s="36">
        <f t="shared" si="561"/>
        <v>370.60299999999995</v>
      </c>
      <c r="AV186" s="36">
        <f t="shared" ref="AV186:CI186" si="562">AV183+AV184-AV185</f>
        <v>405.99299999999994</v>
      </c>
      <c r="AW186" s="36">
        <f t="shared" si="562"/>
        <v>430.96000000000004</v>
      </c>
      <c r="AX186" s="36">
        <f t="shared" si="562"/>
        <v>425.34000000000003</v>
      </c>
      <c r="AY186" s="333">
        <f>AY183+AY184-AY185</f>
        <v>425.34000000000003</v>
      </c>
      <c r="AZ186" s="36">
        <f t="shared" si="562"/>
        <v>524.22799999999995</v>
      </c>
      <c r="BA186" s="36">
        <f t="shared" si="562"/>
        <v>607.00699999999995</v>
      </c>
      <c r="BB186" s="36">
        <f t="shared" si="562"/>
        <v>634.25099999999998</v>
      </c>
      <c r="BC186" s="36">
        <f t="shared" si="562"/>
        <v>797.78500000000008</v>
      </c>
      <c r="BD186" s="333">
        <f>BD183+BD184-BD185</f>
        <v>797.78500000000008</v>
      </c>
      <c r="BE186" s="36">
        <f t="shared" si="562"/>
        <v>1126.0790000000002</v>
      </c>
      <c r="BF186" s="36">
        <f t="shared" si="562"/>
        <v>1203.202</v>
      </c>
      <c r="BG186" s="36">
        <f t="shared" si="562"/>
        <v>1247.633</v>
      </c>
      <c r="BH186" s="36">
        <f t="shared" si="562"/>
        <v>1202.9989999999998</v>
      </c>
      <c r="BI186" s="333">
        <f>BI183+BI184-BI185</f>
        <v>1202.9989999999998</v>
      </c>
      <c r="BJ186" s="36">
        <f t="shared" si="562"/>
        <v>1264.0709999999999</v>
      </c>
      <c r="BK186" s="36">
        <f t="shared" si="562"/>
        <v>1284.5249999999996</v>
      </c>
      <c r="BL186" s="36">
        <f t="shared" si="562"/>
        <v>1253.5170000000003</v>
      </c>
      <c r="BM186" s="36">
        <f t="shared" si="562"/>
        <v>1253.8449999999996</v>
      </c>
      <c r="BN186" s="333">
        <f>BN183+BN184-BN185</f>
        <v>1253.8449999999996</v>
      </c>
      <c r="BO186" s="36">
        <f t="shared" si="562"/>
        <v>1452.4880000000001</v>
      </c>
      <c r="BP186" s="36">
        <f t="shared" si="562"/>
        <v>1388.8880000000004</v>
      </c>
      <c r="BQ186" s="36">
        <f t="shared" si="562"/>
        <v>1438.3680000000002</v>
      </c>
      <c r="BR186" s="36">
        <f t="shared" si="562"/>
        <v>1358.0429999999997</v>
      </c>
      <c r="BS186" s="333">
        <f>BS183+BS184-BS185</f>
        <v>1358.0429999999997</v>
      </c>
      <c r="BT186" s="36">
        <f t="shared" si="562"/>
        <v>1596.0740000000001</v>
      </c>
      <c r="BU186" s="36">
        <f t="shared" si="562"/>
        <v>1682.4380000000001</v>
      </c>
      <c r="BV186" s="36">
        <f t="shared" si="562"/>
        <v>1648.2460000000001</v>
      </c>
      <c r="BW186" s="36">
        <f t="shared" si="562"/>
        <v>1520.6219999999994</v>
      </c>
      <c r="BX186" s="333">
        <f>BX183+BX184-BX185</f>
        <v>1520.6219999999994</v>
      </c>
      <c r="BY186" s="36">
        <f t="shared" si="562"/>
        <v>1876.0539999999996</v>
      </c>
      <c r="BZ186" s="36">
        <f t="shared" si="562"/>
        <v>1746.1910000000007</v>
      </c>
      <c r="CA186" s="36">
        <f t="shared" si="562"/>
        <v>1940.6220000000008</v>
      </c>
      <c r="CB186" s="36">
        <f t="shared" si="562"/>
        <v>1990.625</v>
      </c>
      <c r="CC186" s="333">
        <f>CC183+CC184-CC185</f>
        <v>1990.625</v>
      </c>
      <c r="CD186" s="36">
        <f t="shared" si="562"/>
        <v>2471.4880000000003</v>
      </c>
      <c r="CE186" s="36">
        <f t="shared" si="562"/>
        <v>2423.1790000000005</v>
      </c>
      <c r="CF186" s="36">
        <f t="shared" si="562"/>
        <v>2287.6769999999997</v>
      </c>
      <c r="CG186" s="36">
        <f t="shared" si="562"/>
        <v>2388.3180000000002</v>
      </c>
      <c r="CH186" s="333">
        <f>CH183+CH184-CH185</f>
        <v>2388.3180000000002</v>
      </c>
      <c r="CI186" s="36">
        <f t="shared" si="562"/>
        <v>2757.9730000000004</v>
      </c>
      <c r="CJ186" s="36">
        <f t="shared" ref="CJ186:CP186" si="563">CJ183+CJ184-CJ185</f>
        <v>2861.6079999999993</v>
      </c>
      <c r="CK186" s="36">
        <f t="shared" si="563"/>
        <v>2763.2309999999998</v>
      </c>
      <c r="CL186" s="36">
        <f t="shared" si="563"/>
        <v>5602.9939999999997</v>
      </c>
      <c r="CM186" s="333">
        <f>CM183+CM184-CM185</f>
        <v>5602.9939999999997</v>
      </c>
      <c r="CN186" s="36">
        <f t="shared" si="563"/>
        <v>5903.7</v>
      </c>
      <c r="CO186" s="15">
        <f t="shared" si="563"/>
        <v>6036.8000000000011</v>
      </c>
      <c r="CP186" s="36">
        <f t="shared" si="563"/>
        <v>5726.3</v>
      </c>
      <c r="CQ186" s="36">
        <f t="shared" ref="CQ186:DF186" si="564">CQ183+CQ184-CQ185</f>
        <v>5616.1</v>
      </c>
      <c r="CR186" s="333">
        <f>CR183+CR184-CR185</f>
        <v>5616.1</v>
      </c>
      <c r="CS186" s="36">
        <f t="shared" si="564"/>
        <v>6181.4999999999991</v>
      </c>
      <c r="CT186" s="36">
        <f t="shared" si="564"/>
        <v>6290.4999999999973</v>
      </c>
      <c r="CU186" s="36">
        <f t="shared" si="564"/>
        <v>6330.2999999999993</v>
      </c>
      <c r="CV186" s="36">
        <f>CV183+CV184-CV185</f>
        <v>6437</v>
      </c>
      <c r="CW186" s="826">
        <f>CW183+CW184-CW185</f>
        <v>6437</v>
      </c>
      <c r="CX186" s="36">
        <f>CX183+CX184-CX185</f>
        <v>6918</v>
      </c>
      <c r="CY186" s="36">
        <f>CY183+CY184-CY185</f>
        <v>7096</v>
      </c>
      <c r="CZ186" s="36">
        <f t="shared" si="564"/>
        <v>7089</v>
      </c>
      <c r="DA186" s="36">
        <f t="shared" si="564"/>
        <v>6486</v>
      </c>
      <c r="DB186" s="826">
        <f>DB183+DB184-DB185</f>
        <v>6486</v>
      </c>
      <c r="DC186" s="36">
        <f t="shared" si="564"/>
        <v>6747.7687941924596</v>
      </c>
      <c r="DD186" s="36">
        <f t="shared" si="564"/>
        <v>7080.387967450145</v>
      </c>
      <c r="DE186" s="36">
        <f t="shared" si="564"/>
        <v>7065.9137510838427</v>
      </c>
      <c r="DF186" s="36">
        <f t="shared" si="564"/>
        <v>7009.044849353113</v>
      </c>
      <c r="DG186" s="826">
        <f t="shared" ref="DG186:DL186" si="565">DG183+DG184-DG185</f>
        <v>7009.044849353113</v>
      </c>
      <c r="DH186" s="36">
        <f t="shared" si="565"/>
        <v>7123.5495202527181</v>
      </c>
      <c r="DI186" s="36">
        <f t="shared" si="565"/>
        <v>7475.1599399448587</v>
      </c>
      <c r="DJ186" s="36">
        <f t="shared" si="565"/>
        <v>7521.7146564305076</v>
      </c>
      <c r="DK186" s="36">
        <f t="shared" si="565"/>
        <v>7446.7374939649872</v>
      </c>
      <c r="DL186" s="826">
        <f t="shared" si="565"/>
        <v>7446.7374939649872</v>
      </c>
      <c r="DM186" s="36">
        <f t="shared" ref="DM186:DQ186" si="566">DM183+DM184-DM185</f>
        <v>7457.7444714311423</v>
      </c>
      <c r="DN186" s="36">
        <f t="shared" si="566"/>
        <v>7837.6871381162655</v>
      </c>
      <c r="DO186" s="36">
        <f t="shared" si="566"/>
        <v>7937.9775450445668</v>
      </c>
      <c r="DP186" s="36">
        <f t="shared" si="566"/>
        <v>7859.2599397181712</v>
      </c>
      <c r="DQ186" s="826">
        <f t="shared" si="566"/>
        <v>7859.2599397181712</v>
      </c>
      <c r="DR186" s="35"/>
      <c r="DS186" s="130"/>
      <c r="DT186"/>
      <c r="DU186"/>
      <c r="DV186"/>
      <c r="DW186"/>
      <c r="DX186"/>
      <c r="DY186"/>
    </row>
    <row r="187" spans="1:129" s="182" customFormat="1" hidden="1" outlineLevel="1">
      <c r="A187" s="60"/>
      <c r="B187" s="129"/>
      <c r="C187" s="36" t="s">
        <v>230</v>
      </c>
      <c r="D187" s="36"/>
      <c r="E187" s="36"/>
      <c r="F187" s="36"/>
      <c r="G187" s="35"/>
      <c r="H187" s="36">
        <f t="shared" ref="H187:AU187" si="567">H183-H185</f>
        <v>-21.515000000000001</v>
      </c>
      <c r="I187" s="36">
        <f t="shared" si="567"/>
        <v>-26.053000000000001</v>
      </c>
      <c r="J187" s="37">
        <f t="shared" si="567"/>
        <v>-28.417999999999999</v>
      </c>
      <c r="K187" s="333"/>
      <c r="L187" s="35">
        <f t="shared" si="567"/>
        <v>-25.102</v>
      </c>
      <c r="M187" s="36">
        <f t="shared" si="567"/>
        <v>-29.359000000000002</v>
      </c>
      <c r="N187" s="36">
        <f t="shared" si="567"/>
        <v>-33.685000000000002</v>
      </c>
      <c r="O187" s="36">
        <f t="shared" si="567"/>
        <v>-42.640999999999998</v>
      </c>
      <c r="P187" s="333">
        <f>P183-P185</f>
        <v>-42.640999999999998</v>
      </c>
      <c r="Q187" s="35">
        <f t="shared" si="567"/>
        <v>-40.36</v>
      </c>
      <c r="R187" s="36">
        <f t="shared" si="567"/>
        <v>-45.209000000000003</v>
      </c>
      <c r="S187" s="36">
        <f t="shared" si="567"/>
        <v>-52.835999999999999</v>
      </c>
      <c r="T187" s="37">
        <f t="shared" si="567"/>
        <v>-61.975999999999999</v>
      </c>
      <c r="U187" s="333">
        <f>U183-U185</f>
        <v>-61.975999999999999</v>
      </c>
      <c r="V187" s="36">
        <f t="shared" si="567"/>
        <v>-60.966000000000001</v>
      </c>
      <c r="W187" s="36">
        <f t="shared" si="567"/>
        <v>-67.659000000000006</v>
      </c>
      <c r="X187" s="36">
        <f t="shared" si="567"/>
        <v>-79.766999999999996</v>
      </c>
      <c r="Y187" s="37">
        <f t="shared" si="567"/>
        <v>-84.977000000000004</v>
      </c>
      <c r="Z187" s="333">
        <f>Z183-Z185</f>
        <v>-84.977000000000004</v>
      </c>
      <c r="AA187" s="36">
        <f t="shared" si="567"/>
        <v>-91.186000000000007</v>
      </c>
      <c r="AB187" s="36">
        <f t="shared" si="567"/>
        <v>-103.843</v>
      </c>
      <c r="AC187" s="36">
        <f t="shared" si="567"/>
        <v>-123.08199999999999</v>
      </c>
      <c r="AD187" s="36">
        <f t="shared" si="567"/>
        <v>-126.211</v>
      </c>
      <c r="AE187" s="333">
        <f>AE183-AE185</f>
        <v>-126.211</v>
      </c>
      <c r="AF187" s="36">
        <f t="shared" si="567"/>
        <v>-126.64700000000001</v>
      </c>
      <c r="AG187" s="36">
        <f t="shared" si="567"/>
        <v>-137.739</v>
      </c>
      <c r="AH187" s="36">
        <f t="shared" si="567"/>
        <v>-159.749</v>
      </c>
      <c r="AI187" s="36">
        <f t="shared" si="567"/>
        <v>-194.221</v>
      </c>
      <c r="AJ187" s="333">
        <f>AJ183-AJ185</f>
        <v>-194.221</v>
      </c>
      <c r="AK187" s="36">
        <f t="shared" si="567"/>
        <v>-198.85900000000001</v>
      </c>
      <c r="AL187" s="36">
        <f t="shared" si="567"/>
        <v>-233.173</v>
      </c>
      <c r="AM187" s="36">
        <f t="shared" si="567"/>
        <v>-270.39100000000002</v>
      </c>
      <c r="AN187" s="36">
        <f t="shared" si="567"/>
        <v>-314.76100000000002</v>
      </c>
      <c r="AO187" s="333">
        <f>AO183-AO185</f>
        <v>-314.76100000000002</v>
      </c>
      <c r="AP187" s="36">
        <f t="shared" si="567"/>
        <v>-314.39400000000001</v>
      </c>
      <c r="AQ187" s="36">
        <f t="shared" si="567"/>
        <v>-326.80200000000002</v>
      </c>
      <c r="AR187" s="36">
        <f t="shared" si="567"/>
        <v>-368.49599999999998</v>
      </c>
      <c r="AS187" s="36">
        <f t="shared" si="567"/>
        <v>-424.00099999999998</v>
      </c>
      <c r="AT187" s="333">
        <f>AT183-AT185</f>
        <v>-424.00099999999998</v>
      </c>
      <c r="AU187" s="36">
        <f t="shared" si="567"/>
        <v>-422.548</v>
      </c>
      <c r="AV187" s="36">
        <f t="shared" ref="AV187:CL187" si="568">AV183-AV185</f>
        <v>-468.20000000000005</v>
      </c>
      <c r="AW187" s="36">
        <f t="shared" si="568"/>
        <v>-535.59799999999996</v>
      </c>
      <c r="AX187" s="36">
        <f t="shared" si="568"/>
        <v>-648.15899999999999</v>
      </c>
      <c r="AY187" s="333">
        <f>AY183-AY185</f>
        <v>-648.15899999999999</v>
      </c>
      <c r="AZ187" s="36">
        <f t="shared" si="568"/>
        <v>-673.101</v>
      </c>
      <c r="BA187" s="36">
        <f t="shared" si="568"/>
        <v>-710.23599999999999</v>
      </c>
      <c r="BB187" s="36">
        <f t="shared" si="568"/>
        <v>-809.25600000000009</v>
      </c>
      <c r="BC187" s="36">
        <f t="shared" si="568"/>
        <v>-670.42499999999995</v>
      </c>
      <c r="BD187" s="333">
        <f>BD183-BD185</f>
        <v>-670.42499999999995</v>
      </c>
      <c r="BE187" s="36">
        <f t="shared" si="568"/>
        <v>-474.947</v>
      </c>
      <c r="BF187" s="36">
        <f t="shared" si="568"/>
        <v>-551.17200000000003</v>
      </c>
      <c r="BG187" s="36">
        <f t="shared" si="568"/>
        <v>-595.39599999999996</v>
      </c>
      <c r="BH187" s="36">
        <f t="shared" si="568"/>
        <v>-762.57900000000006</v>
      </c>
      <c r="BI187" s="333">
        <f>BI183-BI185</f>
        <v>-762.57900000000006</v>
      </c>
      <c r="BJ187" s="36">
        <f t="shared" si="568"/>
        <v>-808.64</v>
      </c>
      <c r="BK187" s="36">
        <f t="shared" si="568"/>
        <v>-983.17199999999991</v>
      </c>
      <c r="BL187" s="36">
        <f t="shared" si="568"/>
        <v>-1182.701</v>
      </c>
      <c r="BM187" s="36">
        <f t="shared" si="568"/>
        <v>-1399.3320000000001</v>
      </c>
      <c r="BN187" s="333">
        <f>BN183-BN185</f>
        <v>-1399.3320000000001</v>
      </c>
      <c r="BO187" s="36">
        <f t="shared" si="568"/>
        <v>-1433.8810000000001</v>
      </c>
      <c r="BP187" s="36">
        <f t="shared" si="568"/>
        <v>-1651.9989999999998</v>
      </c>
      <c r="BQ187" s="36">
        <f t="shared" si="568"/>
        <v>-1928.816</v>
      </c>
      <c r="BR187" s="36">
        <f t="shared" si="568"/>
        <v>-2226.3879999999999</v>
      </c>
      <c r="BS187" s="333">
        <f>BS183-BS185</f>
        <v>-2226.3879999999999</v>
      </c>
      <c r="BT187" s="36">
        <f t="shared" si="568"/>
        <v>-2168.1149999999998</v>
      </c>
      <c r="BU187" s="36">
        <f t="shared" si="568"/>
        <v>-2269.4110000000001</v>
      </c>
      <c r="BV187" s="36">
        <f t="shared" si="568"/>
        <v>-2291.2759999999998</v>
      </c>
      <c r="BW187" s="36">
        <f t="shared" si="568"/>
        <v>-2432.2640000000001</v>
      </c>
      <c r="BX187" s="333">
        <f>BX183-BX185</f>
        <v>-2432.2640000000001</v>
      </c>
      <c r="BY187" s="36">
        <f t="shared" si="568"/>
        <v>-2491.1950000000002</v>
      </c>
      <c r="BZ187" s="36">
        <f t="shared" si="568"/>
        <v>-2346.1419999999998</v>
      </c>
      <c r="CA187" s="36">
        <f t="shared" si="568"/>
        <v>-2631.748</v>
      </c>
      <c r="CB187" s="36">
        <f t="shared" si="568"/>
        <v>-2863.7579999999998</v>
      </c>
      <c r="CC187" s="333">
        <f>CC183-CC185</f>
        <v>-2863.7579999999998</v>
      </c>
      <c r="CD187" s="36">
        <f t="shared" si="568"/>
        <v>-2744.4459999999999</v>
      </c>
      <c r="CE187" s="36">
        <f t="shared" si="568"/>
        <v>-2900.569</v>
      </c>
      <c r="CF187" s="36">
        <f t="shared" si="568"/>
        <v>-3360.5990000000002</v>
      </c>
      <c r="CG187" s="36">
        <f t="shared" si="568"/>
        <v>-3747.473</v>
      </c>
      <c r="CH187" s="333">
        <f>CH183-CH185</f>
        <v>-3747.473</v>
      </c>
      <c r="CI187" s="36">
        <f t="shared" si="568"/>
        <v>-3864.9839999999999</v>
      </c>
      <c r="CJ187" s="36">
        <f t="shared" si="568"/>
        <v>-4129.2209999999995</v>
      </c>
      <c r="CK187" s="36">
        <f t="shared" si="568"/>
        <v>-4618.4790000000003</v>
      </c>
      <c r="CL187" s="36">
        <f t="shared" si="568"/>
        <v>-2137.2239999999997</v>
      </c>
      <c r="CM187" s="333">
        <f>CM183-CM185</f>
        <v>-2137.2239999999997</v>
      </c>
      <c r="CN187" s="36">
        <f>CN183-CN185</f>
        <v>-2274.8000000000002</v>
      </c>
      <c r="CO187" s="15">
        <f>CO183-CO185</f>
        <v>-2504</v>
      </c>
      <c r="CP187" s="36">
        <f>CP183-CP185</f>
        <v>-3100.7</v>
      </c>
      <c r="CQ187" s="36">
        <f>CQ183-CQ185</f>
        <v>-3662</v>
      </c>
      <c r="CR187" s="333">
        <f t="shared" ref="CR187:CW187" si="569">CR183-CR185</f>
        <v>-3662</v>
      </c>
      <c r="CS187" s="36">
        <f t="shared" si="569"/>
        <v>-3430.7999999999997</v>
      </c>
      <c r="CT187" s="36">
        <f t="shared" si="569"/>
        <v>-3572.3999999999996</v>
      </c>
      <c r="CU187" s="36">
        <f t="shared" si="569"/>
        <v>-3962.0000000000005</v>
      </c>
      <c r="CV187" s="36">
        <f t="shared" si="569"/>
        <v>-4291</v>
      </c>
      <c r="CW187" s="826">
        <f t="shared" si="569"/>
        <v>-4291</v>
      </c>
      <c r="CX187" s="36">
        <f>CX183-CX185</f>
        <v>-3065</v>
      </c>
      <c r="CY187" s="36">
        <f>CY183-CY185</f>
        <v>-3387</v>
      </c>
      <c r="CZ187" s="36">
        <f>CZ183-CZ185</f>
        <v>-3890</v>
      </c>
      <c r="DA187" s="36">
        <f>DA183-DA185</f>
        <v>-4183</v>
      </c>
      <c r="DB187" s="826">
        <f>DB183-DB185</f>
        <v>-4183</v>
      </c>
      <c r="DC187" s="36">
        <f t="shared" ref="DC187:DK187" si="570">DC183-DC185</f>
        <v>-4218.4046267681715</v>
      </c>
      <c r="DD187" s="36">
        <f t="shared" si="570"/>
        <v>-4215.8800188042214</v>
      </c>
      <c r="DE187" s="36">
        <f t="shared" si="570"/>
        <v>-4582.7433835096035</v>
      </c>
      <c r="DF187" s="36">
        <f t="shared" si="570"/>
        <v>-5025.9078421093327</v>
      </c>
      <c r="DG187" s="826">
        <f>DG183-DG185</f>
        <v>-5025.9078421093327</v>
      </c>
      <c r="DH187" s="36">
        <f t="shared" si="570"/>
        <v>-5226.5148649038874</v>
      </c>
      <c r="DI187" s="36">
        <f t="shared" si="570"/>
        <v>-5219.4585554718997</v>
      </c>
      <c r="DJ187" s="36">
        <f t="shared" si="570"/>
        <v>-5535.9358155187365</v>
      </c>
      <c r="DK187" s="36">
        <f t="shared" si="570"/>
        <v>-5988.2725342691574</v>
      </c>
      <c r="DL187" s="826">
        <f>DL183-DL185</f>
        <v>-5988.2725342691574</v>
      </c>
      <c r="DM187" s="36">
        <f t="shared" ref="DM187:DP187" si="571">DM183-DM185</f>
        <v>-6350.2463332405223</v>
      </c>
      <c r="DN187" s="36">
        <f t="shared" si="571"/>
        <v>-6374.5333753770847</v>
      </c>
      <c r="DO187" s="36">
        <f t="shared" si="571"/>
        <v>-6700.1410643231065</v>
      </c>
      <c r="DP187" s="36">
        <f t="shared" si="571"/>
        <v>-7218.7459904461557</v>
      </c>
      <c r="DQ187" s="826">
        <f>DQ183-DQ185</f>
        <v>-7218.7459904461557</v>
      </c>
      <c r="DR187" s="35"/>
      <c r="DS187" s="130"/>
      <c r="DT187"/>
      <c r="DU187"/>
      <c r="DV187"/>
      <c r="DW187"/>
      <c r="DX187"/>
      <c r="DY187"/>
    </row>
    <row r="188" spans="1:129" s="144" customFormat="1" hidden="1" outlineLevel="1">
      <c r="A188" s="156"/>
      <c r="B188" s="138"/>
      <c r="C188" s="185"/>
      <c r="D188" s="185"/>
      <c r="E188" s="185"/>
      <c r="F188" s="185"/>
      <c r="G188" s="186"/>
      <c r="H188" s="185"/>
      <c r="I188" s="185"/>
      <c r="J188" s="410"/>
      <c r="K188" s="352"/>
      <c r="L188" s="186"/>
      <c r="M188" s="185"/>
      <c r="N188" s="185"/>
      <c r="O188" s="185"/>
      <c r="P188" s="352"/>
      <c r="Q188" s="186"/>
      <c r="R188" s="185"/>
      <c r="S188" s="185"/>
      <c r="T188" s="410"/>
      <c r="U188" s="352"/>
      <c r="V188" s="185"/>
      <c r="W188" s="185"/>
      <c r="X188" s="185"/>
      <c r="Y188" s="410"/>
      <c r="Z188" s="352"/>
      <c r="AA188" s="185"/>
      <c r="AB188" s="185"/>
      <c r="AC188" s="185"/>
      <c r="AD188" s="185"/>
      <c r="AE188" s="352"/>
      <c r="AF188" s="185"/>
      <c r="AG188" s="185"/>
      <c r="AH188" s="185"/>
      <c r="AI188" s="185"/>
      <c r="AJ188" s="352"/>
      <c r="AK188" s="185"/>
      <c r="AL188" s="185"/>
      <c r="AM188" s="185"/>
      <c r="AN188" s="185"/>
      <c r="AO188" s="352"/>
      <c r="AP188" s="185"/>
      <c r="AQ188" s="185"/>
      <c r="AR188" s="185"/>
      <c r="AS188" s="185"/>
      <c r="AT188" s="352"/>
      <c r="AU188" s="185"/>
      <c r="AV188" s="185"/>
      <c r="AW188" s="185"/>
      <c r="AX188" s="185"/>
      <c r="AY188" s="352"/>
      <c r="AZ188" s="185"/>
      <c r="BA188" s="185"/>
      <c r="BB188" s="185"/>
      <c r="BC188" s="185"/>
      <c r="BD188" s="352"/>
      <c r="BE188" s="185"/>
      <c r="BF188" s="185"/>
      <c r="BG188" s="185"/>
      <c r="BH188" s="185"/>
      <c r="BI188" s="352"/>
      <c r="BJ188" s="185"/>
      <c r="BK188" s="185"/>
      <c r="BL188" s="185"/>
      <c r="BM188" s="185"/>
      <c r="BN188" s="352"/>
      <c r="BO188" s="185"/>
      <c r="BP188" s="185"/>
      <c r="BQ188" s="185"/>
      <c r="BR188" s="185"/>
      <c r="BS188" s="352"/>
      <c r="BT188" s="185"/>
      <c r="BU188" s="185"/>
      <c r="BV188" s="185"/>
      <c r="BW188" s="185"/>
      <c r="BX188" s="352"/>
      <c r="BY188" s="185"/>
      <c r="BZ188" s="185"/>
      <c r="CA188" s="185"/>
      <c r="CB188" s="185"/>
      <c r="CC188" s="352"/>
      <c r="CD188" s="185"/>
      <c r="CE188" s="185"/>
      <c r="CF188" s="185"/>
      <c r="CG188" s="185"/>
      <c r="CH188" s="352"/>
      <c r="CI188" s="185"/>
      <c r="CJ188" s="185"/>
      <c r="CK188" s="185"/>
      <c r="CL188" s="185"/>
      <c r="CM188" s="352"/>
      <c r="CN188" s="185"/>
      <c r="CO188" s="185"/>
      <c r="CP188" s="185"/>
      <c r="CQ188" s="185"/>
      <c r="CR188" s="352"/>
      <c r="CS188" s="185"/>
      <c r="CT188" s="185"/>
      <c r="CU188" s="185"/>
      <c r="CV188" s="185"/>
      <c r="CW188" s="825"/>
      <c r="CX188" s="185"/>
      <c r="CY188" s="185"/>
      <c r="CZ188" s="185"/>
      <c r="DA188" s="185"/>
      <c r="DB188" s="825"/>
      <c r="DC188" s="185"/>
      <c r="DD188" s="185"/>
      <c r="DE188" s="185"/>
      <c r="DF188" s="185"/>
      <c r="DG188" s="825"/>
      <c r="DH188" s="185"/>
      <c r="DI188" s="185"/>
      <c r="DJ188" s="185"/>
      <c r="DK188" s="185"/>
      <c r="DL188" s="825"/>
      <c r="DM188" s="185"/>
      <c r="DN188" s="185"/>
      <c r="DO188" s="185"/>
      <c r="DP188" s="185"/>
      <c r="DQ188" s="825"/>
      <c r="DR188" s="186"/>
      <c r="DS188" s="139"/>
      <c r="DT188"/>
      <c r="DU188"/>
      <c r="DV188"/>
      <c r="DW188"/>
      <c r="DX188"/>
      <c r="DY188"/>
    </row>
    <row r="189" spans="1:129" s="202" customFormat="1" hidden="1" outlineLevel="1">
      <c r="A189" s="200"/>
      <c r="B189" s="273" t="s">
        <v>245</v>
      </c>
      <c r="C189" s="191"/>
      <c r="D189" s="191"/>
      <c r="E189" s="191"/>
      <c r="F189" s="191"/>
      <c r="G189" s="169"/>
      <c r="H189" s="191"/>
      <c r="I189" s="191"/>
      <c r="J189" s="201"/>
      <c r="K189" s="334"/>
      <c r="L189" s="169"/>
      <c r="M189" s="191"/>
      <c r="N189" s="191"/>
      <c r="O189" s="191"/>
      <c r="P189" s="334"/>
      <c r="Q189" s="169"/>
      <c r="R189" s="191"/>
      <c r="S189" s="191"/>
      <c r="T189" s="201"/>
      <c r="U189" s="334"/>
      <c r="V189" s="191"/>
      <c r="W189" s="191"/>
      <c r="X189" s="191"/>
      <c r="Y189" s="201"/>
      <c r="Z189" s="334"/>
      <c r="AA189" s="191"/>
      <c r="AB189" s="191"/>
      <c r="AC189" s="191"/>
      <c r="AD189" s="191"/>
      <c r="AE189" s="334"/>
      <c r="AF189" s="191"/>
      <c r="AG189" s="191"/>
      <c r="AH189" s="191"/>
      <c r="AI189" s="191"/>
      <c r="AJ189" s="334"/>
      <c r="AK189" s="191"/>
      <c r="AL189" s="191"/>
      <c r="AM189" s="191"/>
      <c r="AN189" s="191"/>
      <c r="AO189" s="334"/>
      <c r="AP189" s="191"/>
      <c r="AQ189" s="191"/>
      <c r="AR189" s="191"/>
      <c r="AS189" s="191"/>
      <c r="AT189" s="334"/>
      <c r="AU189" s="191"/>
      <c r="AV189" s="191"/>
      <c r="AW189" s="191"/>
      <c r="AX189" s="191"/>
      <c r="AY189" s="334"/>
      <c r="AZ189" s="191"/>
      <c r="BA189" s="191"/>
      <c r="BB189" s="191"/>
      <c r="BC189" s="191"/>
      <c r="BD189" s="334"/>
      <c r="BE189" s="191"/>
      <c r="BF189" s="191"/>
      <c r="BG189" s="191"/>
      <c r="BH189" s="191"/>
      <c r="BI189" s="334"/>
      <c r="BJ189" s="191"/>
      <c r="BK189" s="191"/>
      <c r="BL189" s="191"/>
      <c r="BM189" s="191"/>
      <c r="BN189" s="334"/>
      <c r="BO189" s="191"/>
      <c r="BP189" s="191"/>
      <c r="BQ189" s="191"/>
      <c r="BR189" s="191"/>
      <c r="BS189" s="334"/>
      <c r="BT189" s="191"/>
      <c r="BU189" s="191"/>
      <c r="BV189" s="191"/>
      <c r="BW189" s="191"/>
      <c r="BX189" s="334"/>
      <c r="BY189" s="191"/>
      <c r="BZ189" s="191"/>
      <c r="CA189" s="191"/>
      <c r="CB189" s="191"/>
      <c r="CC189" s="334"/>
      <c r="CD189" s="191"/>
      <c r="CE189" s="191"/>
      <c r="CF189" s="191"/>
      <c r="CG189" s="191"/>
      <c r="CH189" s="334"/>
      <c r="CI189" s="191"/>
      <c r="CJ189" s="191"/>
      <c r="CK189" s="191"/>
      <c r="CL189" s="191"/>
      <c r="CM189" s="334"/>
      <c r="CN189" s="191"/>
      <c r="CO189" s="526"/>
      <c r="CP189" s="191"/>
      <c r="CQ189" s="191"/>
      <c r="CR189" s="334"/>
      <c r="CS189" s="191"/>
      <c r="CT189" s="191"/>
      <c r="CU189" s="191"/>
      <c r="CV189" s="191"/>
      <c r="CW189" s="824"/>
      <c r="CX189" s="191"/>
      <c r="CY189" s="191"/>
      <c r="CZ189" s="191"/>
      <c r="DA189" s="191"/>
      <c r="DB189" s="824"/>
      <c r="DC189" s="191"/>
      <c r="DD189" s="191"/>
      <c r="DE189" s="191"/>
      <c r="DF189" s="191"/>
      <c r="DG189" s="824"/>
      <c r="DH189" s="191"/>
      <c r="DI189" s="191"/>
      <c r="DJ189" s="191"/>
      <c r="DK189" s="191"/>
      <c r="DL189" s="824"/>
      <c r="DM189" s="191"/>
      <c r="DN189" s="191"/>
      <c r="DO189" s="191"/>
      <c r="DP189" s="191"/>
      <c r="DQ189" s="824"/>
      <c r="DR189" s="169"/>
      <c r="DS189" s="269"/>
      <c r="DT189"/>
      <c r="DU189"/>
      <c r="DV189"/>
      <c r="DW189"/>
      <c r="DX189"/>
      <c r="DY189"/>
    </row>
    <row r="190" spans="1:129" s="144" customFormat="1" hidden="1" outlineLevel="1">
      <c r="B190" s="138"/>
      <c r="C190" s="139" t="s">
        <v>233</v>
      </c>
      <c r="D190" s="139"/>
      <c r="E190" s="139"/>
      <c r="F190" s="139"/>
      <c r="G190" s="140"/>
      <c r="H190" s="406">
        <f>H183/IS!H$86</f>
        <v>0</v>
      </c>
      <c r="I190" s="406">
        <f>I183/IS!I$86</f>
        <v>0</v>
      </c>
      <c r="J190" s="411">
        <f>J183/IS!J$86</f>
        <v>0</v>
      </c>
      <c r="K190" s="901"/>
      <c r="L190" s="412">
        <f>L183/IS!L$86</f>
        <v>0</v>
      </c>
      <c r="M190" s="406">
        <f>M183/IS!M$86</f>
        <v>0</v>
      </c>
      <c r="N190" s="406">
        <f>N183/IS!N$86</f>
        <v>0</v>
      </c>
      <c r="O190" s="406">
        <f>O183/IS!O$86</f>
        <v>0</v>
      </c>
      <c r="P190" s="901">
        <f>P183/IS!P$86</f>
        <v>0</v>
      </c>
      <c r="Q190" s="412">
        <f>Q183/IS!Q$86</f>
        <v>0</v>
      </c>
      <c r="R190" s="406">
        <f>R183/IS!R$86</f>
        <v>0</v>
      </c>
      <c r="S190" s="406">
        <f>S183/IS!S$86</f>
        <v>0</v>
      </c>
      <c r="T190" s="411">
        <f>T183/IS!T$86</f>
        <v>0</v>
      </c>
      <c r="U190" s="901">
        <f>U183/IS!U$86</f>
        <v>0</v>
      </c>
      <c r="V190" s="406">
        <f>V183/IS!V$86</f>
        <v>0</v>
      </c>
      <c r="W190" s="406">
        <f>W183/IS!W$86</f>
        <v>0</v>
      </c>
      <c r="X190" s="406">
        <f>X183/IS!X$86</f>
        <v>0</v>
      </c>
      <c r="Y190" s="411">
        <f>Y183/IS!Y$86</f>
        <v>0</v>
      </c>
      <c r="Z190" s="901">
        <f>Z183/IS!Z$86</f>
        <v>0</v>
      </c>
      <c r="AA190" s="406">
        <f>AA183/IS!AA$86</f>
        <v>0</v>
      </c>
      <c r="AB190" s="406">
        <f>AB183/IS!AB$86</f>
        <v>0</v>
      </c>
      <c r="AC190" s="406">
        <f>AC183/IS!AC$86</f>
        <v>0</v>
      </c>
      <c r="AD190" s="406">
        <f>AD183/IS!AD$86</f>
        <v>0</v>
      </c>
      <c r="AE190" s="901">
        <f>AE183/IS!AE$86</f>
        <v>0</v>
      </c>
      <c r="AF190" s="406">
        <f>AF183/IS!AF$86</f>
        <v>0</v>
      </c>
      <c r="AG190" s="406">
        <f>AG183/IS!AG$86</f>
        <v>0</v>
      </c>
      <c r="AH190" s="406">
        <f>AH183/IS!AH$86</f>
        <v>0</v>
      </c>
      <c r="AI190" s="406">
        <f>AI183/IS!AI$86</f>
        <v>0</v>
      </c>
      <c r="AJ190" s="901">
        <f>AJ183/IS!AJ$86</f>
        <v>0</v>
      </c>
      <c r="AK190" s="406">
        <f>AK183/IS!AK$86</f>
        <v>0</v>
      </c>
      <c r="AL190" s="406">
        <f>AL183/IS!AL$86</f>
        <v>0</v>
      </c>
      <c r="AM190" s="406">
        <f>AM183/IS!AM$86</f>
        <v>0</v>
      </c>
      <c r="AN190" s="406">
        <f>AN183/IS!AN$86</f>
        <v>0</v>
      </c>
      <c r="AO190" s="901">
        <f>AO183/IS!AO$86</f>
        <v>0</v>
      </c>
      <c r="AP190" s="406">
        <f>AP183/IS!AP$86</f>
        <v>0</v>
      </c>
      <c r="AQ190" s="406">
        <f>AQ183/IS!AQ$86</f>
        <v>0</v>
      </c>
      <c r="AR190" s="406">
        <f>AR183/IS!AR$86</f>
        <v>0</v>
      </c>
      <c r="AS190" s="406">
        <f>AS183/IS!AS$86</f>
        <v>0</v>
      </c>
      <c r="AT190" s="901">
        <f>AT183/IS!AT$86</f>
        <v>0</v>
      </c>
      <c r="AU190" s="406">
        <f>AU183/IS!AU$86</f>
        <v>0</v>
      </c>
      <c r="AV190" s="406">
        <f>AV183/IS!AV$86</f>
        <v>0</v>
      </c>
      <c r="AW190" s="406">
        <f>AW183/IS!AW$86</f>
        <v>0</v>
      </c>
      <c r="AX190" s="406">
        <f>AX183/IS!AX$86</f>
        <v>0</v>
      </c>
      <c r="AY190" s="901">
        <f>AY183/IS!AY$86</f>
        <v>0</v>
      </c>
      <c r="AZ190" s="406">
        <f>AZ183/IS!AZ$86</f>
        <v>0</v>
      </c>
      <c r="BA190" s="406">
        <f>BA183/IS!BA$86</f>
        <v>0</v>
      </c>
      <c r="BB190" s="406">
        <f>BB183/IS!BB$86</f>
        <v>0</v>
      </c>
      <c r="BC190" s="406">
        <f>BC183/IS!BC$86</f>
        <v>0</v>
      </c>
      <c r="BD190" s="901">
        <f>BD183/IS!BD$86</f>
        <v>0</v>
      </c>
      <c r="BE190" s="406">
        <f>BE183/IS!BE$86</f>
        <v>0</v>
      </c>
      <c r="BF190" s="406">
        <f>BF183/IS!BF$86</f>
        <v>0</v>
      </c>
      <c r="BG190" s="406">
        <f>BG183/IS!BG$86</f>
        <v>0</v>
      </c>
      <c r="BH190" s="406">
        <f>BH183/IS!BH$86</f>
        <v>0</v>
      </c>
      <c r="BI190" s="901">
        <f>BI183/IS!BI$86</f>
        <v>0</v>
      </c>
      <c r="BJ190" s="406">
        <f>BJ183/IS!BJ$86</f>
        <v>0</v>
      </c>
      <c r="BK190" s="406">
        <f>BK183/IS!BK$86</f>
        <v>0</v>
      </c>
      <c r="BL190" s="406">
        <f>BL183/IS!BL$86</f>
        <v>0</v>
      </c>
      <c r="BM190" s="406">
        <f>BM183/IS!BM$86</f>
        <v>0</v>
      </c>
      <c r="BN190" s="901">
        <f>BN183/IS!BN$86</f>
        <v>0</v>
      </c>
      <c r="BO190" s="406">
        <f>BO183/IS!BO$86</f>
        <v>0</v>
      </c>
      <c r="BP190" s="406">
        <f>BP183/IS!BP$86</f>
        <v>0</v>
      </c>
      <c r="BQ190" s="406">
        <f>BQ183/IS!BQ$86</f>
        <v>0</v>
      </c>
      <c r="BR190" s="406">
        <f>BR183/IS!BR$86</f>
        <v>0</v>
      </c>
      <c r="BS190" s="901">
        <f>BS183/IS!BS$86</f>
        <v>0</v>
      </c>
      <c r="BT190" s="406">
        <f>BT183/IS!BT$86</f>
        <v>0</v>
      </c>
      <c r="BU190" s="406">
        <f>BU183/IS!BU$86</f>
        <v>0</v>
      </c>
      <c r="BV190" s="406">
        <f>BV183/IS!BV$86</f>
        <v>0</v>
      </c>
      <c r="BW190" s="406">
        <f>BW183/IS!BW$86</f>
        <v>0</v>
      </c>
      <c r="BX190" s="901">
        <f>BX183/IS!BX$86</f>
        <v>0</v>
      </c>
      <c r="BY190" s="406">
        <f>BY183/IS!BY$86</f>
        <v>0</v>
      </c>
      <c r="BZ190" s="406">
        <f>BZ183/IS!BZ$86</f>
        <v>0</v>
      </c>
      <c r="CA190" s="406">
        <f>CA183/IS!CA$86</f>
        <v>0</v>
      </c>
      <c r="CB190" s="406">
        <f>CB183/IS!CB$86</f>
        <v>0</v>
      </c>
      <c r="CC190" s="901">
        <f>CC183/IS!CC$86</f>
        <v>0</v>
      </c>
      <c r="CD190" s="406">
        <f>CD183/IS!CD$86</f>
        <v>0</v>
      </c>
      <c r="CE190" s="406">
        <f>CE183/IS!CE$86</f>
        <v>0</v>
      </c>
      <c r="CF190" s="406">
        <f>CF183/IS!CF$86</f>
        <v>0</v>
      </c>
      <c r="CG190" s="406">
        <f>CG183/IS!CG$86</f>
        <v>0</v>
      </c>
      <c r="CH190" s="901">
        <f>CH183/IS!CH$86</f>
        <v>0</v>
      </c>
      <c r="CI190" s="406">
        <f>CI183/IS!CI$86</f>
        <v>0</v>
      </c>
      <c r="CJ190" s="406">
        <f>CJ183/IS!CJ$86</f>
        <v>0</v>
      </c>
      <c r="CK190" s="406">
        <f>CK183/IS!CK$86</f>
        <v>0</v>
      </c>
      <c r="CL190" s="406">
        <f>CL183/IS!CL$86</f>
        <v>2.6722859399580918</v>
      </c>
      <c r="CM190" s="901">
        <f>CM183/IS!CM$86</f>
        <v>2.6735206673099432</v>
      </c>
      <c r="CN190" s="406">
        <f>CN183/IS!CN$86</f>
        <v>1.75109952761036</v>
      </c>
      <c r="CO190" s="406">
        <f>CO183/IS!CO$86</f>
        <v>1.7307379051962861</v>
      </c>
      <c r="CP190" s="406">
        <f>CP183/IS!CP$86</f>
        <v>1.5505141178390729</v>
      </c>
      <c r="CQ190" s="406">
        <f>CQ183/IS!CQ$86</f>
        <v>2.1016976820111002</v>
      </c>
      <c r="CR190" s="901">
        <f>CR183/IS!CR$86</f>
        <v>2.0992988749388557</v>
      </c>
      <c r="CS190" s="406">
        <f>CS183/IS!CS$86</f>
        <v>1.6686825760052306</v>
      </c>
      <c r="CT190" s="406">
        <f>CT183/IS!CT$86</f>
        <v>1.4927726675427071</v>
      </c>
      <c r="CU190" s="406">
        <f>CU183/IS!CU$86</f>
        <v>1.4734593262119968</v>
      </c>
      <c r="CV190" s="406">
        <f>CV183/IS!CV$86</f>
        <v>1.4417077175697866</v>
      </c>
      <c r="CW190" s="827">
        <f>CW183/IS!CW$86</f>
        <v>1.4393442622950821</v>
      </c>
      <c r="CX190" s="406">
        <f>CX183/IS!CX$86</f>
        <v>1.9917627677100493</v>
      </c>
      <c r="CY190" s="406">
        <f>CY183/IS!CY$86</f>
        <v>1.6768189509306262</v>
      </c>
      <c r="CZ190" s="406">
        <f>CZ183/IS!CZ$86</f>
        <v>1.3902027027027026</v>
      </c>
      <c r="DA190" s="406">
        <f>DA183/IS!DA$86</f>
        <v>1.4821731748726656</v>
      </c>
      <c r="DB190" s="827">
        <f>DB183/IS!DB$86</f>
        <v>1.4672268907563024</v>
      </c>
      <c r="DC190" s="406">
        <f>DC183/IS!DC$86</f>
        <v>1.4863335827995368</v>
      </c>
      <c r="DD190" s="406">
        <f>DD183/IS!DD$86</f>
        <v>1.4476873491546096</v>
      </c>
      <c r="DE190" s="406">
        <f>DE183/IS!DE$86</f>
        <v>1.4514822249743116</v>
      </c>
      <c r="DF190" s="406">
        <f>DF183/IS!DF$86</f>
        <v>1.4122553699027045</v>
      </c>
      <c r="DG190" s="827">
        <f>DG183/IS!DG$86</f>
        <v>1.4067778921064882</v>
      </c>
      <c r="DH190" s="406">
        <f>DH183/IS!DH$86</f>
        <v>1.4179693646625708</v>
      </c>
      <c r="DI190" s="406">
        <f>DI183/IS!DI$86</f>
        <v>1.3803075315511575</v>
      </c>
      <c r="DJ190" s="406">
        <f>DJ183/IS!DJ$86</f>
        <v>1.3855896739981135</v>
      </c>
      <c r="DK190" s="406">
        <f>DK183/IS!DK$86</f>
        <v>1.3471729091391569</v>
      </c>
      <c r="DL190" s="827">
        <f>DL183/IS!DL$86</f>
        <v>1.3395361112255308</v>
      </c>
      <c r="DM190" s="406">
        <f>DM183/IS!DM$86</f>
        <v>1.3520391249812522</v>
      </c>
      <c r="DN190" s="406">
        <f>DN183/IS!DN$86</f>
        <v>1.3128998664808622</v>
      </c>
      <c r="DO190" s="406">
        <f>DO183/IS!DO$86</f>
        <v>1.317366686234025</v>
      </c>
      <c r="DP190" s="406">
        <f>DP183/IS!DP$86</f>
        <v>1.2775379039647379</v>
      </c>
      <c r="DQ190" s="827">
        <f>DQ183/IS!DQ$86</f>
        <v>1.2711015594756787</v>
      </c>
      <c r="DR190" s="138"/>
      <c r="DS190" s="139"/>
      <c r="DT190"/>
      <c r="DU190"/>
      <c r="DV190"/>
      <c r="DW190"/>
      <c r="DX190"/>
      <c r="DY190"/>
    </row>
    <row r="191" spans="1:129" s="144" customFormat="1" hidden="1" outlineLevel="1">
      <c r="B191" s="138"/>
      <c r="C191" s="139" t="s">
        <v>231</v>
      </c>
      <c r="D191" s="139"/>
      <c r="E191" s="139"/>
      <c r="F191" s="139"/>
      <c r="G191" s="140"/>
      <c r="H191" s="406">
        <f>H184/IS!H$86</f>
        <v>8.1628444630326702E-2</v>
      </c>
      <c r="I191" s="406">
        <f>I184/IS!I$86</f>
        <v>6.6106067041874633E-2</v>
      </c>
      <c r="J191" s="411">
        <f>J184/IS!J$86</f>
        <v>7.1166736489317123E-2</v>
      </c>
      <c r="K191" s="901"/>
      <c r="L191" s="412">
        <f>L184/IS!L$86</f>
        <v>7.6894057654282449E-2</v>
      </c>
      <c r="M191" s="406">
        <f>M184/IS!M$86</f>
        <v>8.30697856769472E-2</v>
      </c>
      <c r="N191" s="406">
        <f>N184/IS!N$86</f>
        <v>8.9221770268391051E-2</v>
      </c>
      <c r="O191" s="406">
        <f>O184/IS!O$86</f>
        <v>9.5157657657657657E-2</v>
      </c>
      <c r="P191" s="901">
        <f>P184/IS!P$86</f>
        <v>9.7559143661584941E-2</v>
      </c>
      <c r="Q191" s="412">
        <f>Q184/IS!Q$86</f>
        <v>0.10177135450207227</v>
      </c>
      <c r="R191" s="406">
        <f>R184/IS!R$86</f>
        <v>0.11281701776125568</v>
      </c>
      <c r="S191" s="406">
        <f>S184/IS!S$86</f>
        <v>0.12459595206126609</v>
      </c>
      <c r="T191" s="411">
        <f>T184/IS!T$86</f>
        <v>0.13403558280218619</v>
      </c>
      <c r="U191" s="901">
        <f>U184/IS!U$86</f>
        <v>0.13600085571353343</v>
      </c>
      <c r="V191" s="406">
        <f>V184/IS!V$86</f>
        <v>0.15001812310531173</v>
      </c>
      <c r="W191" s="406">
        <f>W184/IS!W$86</f>
        <v>0.1689002638780297</v>
      </c>
      <c r="X191" s="406">
        <f>X184/IS!X$86</f>
        <v>0.18786253960516694</v>
      </c>
      <c r="Y191" s="411">
        <f>Y184/IS!Y$86</f>
        <v>0.20293498981134556</v>
      </c>
      <c r="Z191" s="901">
        <f>Z184/IS!Z$86</f>
        <v>0.20206829970709994</v>
      </c>
      <c r="AA191" s="406">
        <f>AA184/IS!AA$86</f>
        <v>0.21667598580249919</v>
      </c>
      <c r="AB191" s="406">
        <f>AB184/IS!AB$86</f>
        <v>0.24359415815720734</v>
      </c>
      <c r="AC191" s="406">
        <f>AC184/IS!AC$86</f>
        <v>0.27703059686417097</v>
      </c>
      <c r="AD191" s="406">
        <f>AD184/IS!AD$86</f>
        <v>0.31489960114480575</v>
      </c>
      <c r="AE191" s="901">
        <f>AE184/IS!AE$86</f>
        <v>0.32476292528221312</v>
      </c>
      <c r="AF191" s="406">
        <f>AF184/IS!AF$86</f>
        <v>0.34020833333333333</v>
      </c>
      <c r="AG191" s="406">
        <f>AG184/IS!AG$86</f>
        <v>0.38383165506725642</v>
      </c>
      <c r="AH191" s="406">
        <f>AH184/IS!AH$86</f>
        <v>0.42878209953388724</v>
      </c>
      <c r="AI191" s="406">
        <f>AI184/IS!AI$86</f>
        <v>0.48717666131027715</v>
      </c>
      <c r="AJ191" s="901">
        <f>AJ184/IS!AJ$86</f>
        <v>0.50449511832358962</v>
      </c>
      <c r="AK191" s="406">
        <f>AK184/IS!AK$86</f>
        <v>0.53690205574224159</v>
      </c>
      <c r="AL191" s="406">
        <f>AL184/IS!AL$86</f>
        <v>0.61904770338046544</v>
      </c>
      <c r="AM191" s="406">
        <f>AM184/IS!AM$86</f>
        <v>0.69034865226560915</v>
      </c>
      <c r="AN191" s="406">
        <f>AN184/IS!AN$86</f>
        <v>0.78362188126339072</v>
      </c>
      <c r="AO191" s="901">
        <f>AO184/IS!AO$86</f>
        <v>0.79535235275961724</v>
      </c>
      <c r="AP191" s="406">
        <f>AP184/IS!AP$86</f>
        <v>0.86936380905356569</v>
      </c>
      <c r="AQ191" s="406">
        <f>AQ184/IS!AQ$86</f>
        <v>0.96412926293379908</v>
      </c>
      <c r="AR191" s="406">
        <f>AR184/IS!AR$86</f>
        <v>1.089154405524134</v>
      </c>
      <c r="AS191" s="406">
        <f>AS184/IS!AS$86</f>
        <v>1.2069457964900894</v>
      </c>
      <c r="AT191" s="901">
        <f>AT184/IS!AT$86</f>
        <v>1.2154004561081042</v>
      </c>
      <c r="AU191" s="406">
        <f>AU184/IS!AU$86</f>
        <v>1.3276360191223535</v>
      </c>
      <c r="AV191" s="406">
        <f>AV184/IS!AV$86</f>
        <v>1.4522153854332096</v>
      </c>
      <c r="AW191" s="406">
        <f>AW184/IS!AW$86</f>
        <v>1.6020068220014518</v>
      </c>
      <c r="AX191" s="406">
        <f>AX184/IS!AX$86</f>
        <v>1.7706791100906536</v>
      </c>
      <c r="AY191" s="901">
        <f>AY184/IS!AY$86</f>
        <v>1.7824866168090221</v>
      </c>
      <c r="AZ191" s="406">
        <f>AZ184/IS!AZ$86</f>
        <v>1.9724314368929479</v>
      </c>
      <c r="BA191" s="406">
        <f>BA184/IS!BA$86</f>
        <v>2.1658270222988061</v>
      </c>
      <c r="BB191" s="406">
        <f>BB184/IS!BB$86</f>
        <v>2.369792555915998</v>
      </c>
      <c r="BC191" s="406">
        <f>BC184/IS!BC$86</f>
        <v>2.429234668890389</v>
      </c>
      <c r="BD191" s="901">
        <f>BD184/IS!BD$86</f>
        <v>2.4180564110503204</v>
      </c>
      <c r="BE191" s="406">
        <f>BE184/IS!BE$86</f>
        <v>2.6768354667415699</v>
      </c>
      <c r="BF191" s="406">
        <f>BF184/IS!BF$86</f>
        <v>2.9304818729704811</v>
      </c>
      <c r="BG191" s="406">
        <f>BG184/IS!BG$86</f>
        <v>3.073712913393706</v>
      </c>
      <c r="BH191" s="406">
        <f>BH184/IS!BH$86</f>
        <v>3.3027153274859695</v>
      </c>
      <c r="BI191" s="901">
        <f>BI184/IS!BI$86</f>
        <v>3.2875794473807454</v>
      </c>
      <c r="BJ191" s="406">
        <f>BJ184/IS!BJ$86</f>
        <v>3.4777847130637296</v>
      </c>
      <c r="BK191" s="406">
        <f>BK184/IS!BK$86</f>
        <v>3.7886888850276668</v>
      </c>
      <c r="BL191" s="406">
        <f>BL184/IS!BL$86</f>
        <v>4.0257153432788471</v>
      </c>
      <c r="BM191" s="406">
        <f>BM184/IS!BM$86</f>
        <v>4.354967746171396</v>
      </c>
      <c r="BN191" s="901">
        <f>BN184/IS!BN$86</f>
        <v>4.4055875662122439</v>
      </c>
      <c r="BO191" s="406">
        <f>BO184/IS!BO$86</f>
        <v>4.7060773354550918</v>
      </c>
      <c r="BP191" s="406">
        <f>BP184/IS!BP$86</f>
        <v>4.9287117447412694</v>
      </c>
      <c r="BQ191" s="406">
        <f>BQ184/IS!BQ$86</f>
        <v>5.4376249519570825</v>
      </c>
      <c r="BR191" s="406">
        <f>BR184/IS!BR$86</f>
        <v>5.7484075105203729</v>
      </c>
      <c r="BS191" s="901">
        <f>BS184/IS!BS$86</f>
        <v>5.7974797581654727</v>
      </c>
      <c r="BT191" s="406">
        <f>BT184/IS!BT$86</f>
        <v>6.0361654634496782</v>
      </c>
      <c r="BU191" s="406">
        <f>BU184/IS!BU$86</f>
        <v>6.3437252188765152</v>
      </c>
      <c r="BV191" s="406">
        <f>BV184/IS!BV$86</f>
        <v>6.3685098788543044</v>
      </c>
      <c r="BW191" s="406">
        <f>BW184/IS!BW$86</f>
        <v>6.3998387446693448</v>
      </c>
      <c r="BX191" s="901">
        <f>BX184/IS!BX$86</f>
        <v>6.3684118949189781</v>
      </c>
      <c r="BY191" s="406">
        <f>BY184/IS!BY$86</f>
        <v>7.0619922511707323</v>
      </c>
      <c r="BZ191" s="406">
        <f>BZ184/IS!BZ$86</f>
        <v>6.6579674352316438</v>
      </c>
      <c r="CA191" s="406">
        <f>CA184/IS!CA$86</f>
        <v>7.5418794452581723</v>
      </c>
      <c r="CB191" s="406">
        <f>CB184/IS!CB$86</f>
        <v>7.9900436833598327</v>
      </c>
      <c r="CC191" s="901">
        <f>CC184/IS!CC$86</f>
        <v>7.9356031007549177</v>
      </c>
      <c r="CD191" s="406">
        <f>CD184/IS!CD$86</f>
        <v>8.5457801399847959</v>
      </c>
      <c r="CE191" s="406">
        <f>CE184/IS!CE$86</f>
        <v>8.7433370778397475</v>
      </c>
      <c r="CF191" s="406">
        <f>CF184/IS!CF$86</f>
        <v>9.2815315093254469</v>
      </c>
      <c r="CG191" s="406">
        <f>CG184/IS!CG$86</f>
        <v>10.044578427649069</v>
      </c>
      <c r="CH191" s="901">
        <f>CH184/IS!CH$86</f>
        <v>10.064250355114801</v>
      </c>
      <c r="CI191" s="406">
        <f>CI184/IS!CI$86</f>
        <v>10.805986976604551</v>
      </c>
      <c r="CJ191" s="406">
        <f>CJ184/IS!CJ$86</f>
        <v>11.419900287832304</v>
      </c>
      <c r="CK191" s="406">
        <f>CK184/IS!CK$86</f>
        <v>12.059193985522517</v>
      </c>
      <c r="CL191" s="406">
        <f>CL184/IS!CL$86</f>
        <v>12.631481203449242</v>
      </c>
      <c r="CM191" s="901">
        <f>CM184/IS!CM$86</f>
        <v>12.637317568152243</v>
      </c>
      <c r="CN191" s="406">
        <f>CN184/IS!CN$86</f>
        <v>13.322202313080307</v>
      </c>
      <c r="CO191" s="406">
        <f>CO184/IS!CO$86</f>
        <v>13.912363577129828</v>
      </c>
      <c r="CP191" s="406">
        <f>CP184/IS!CP$86</f>
        <v>14.406724334911049</v>
      </c>
      <c r="CQ191" s="406">
        <f>CQ184/IS!CQ$86</f>
        <v>15.145445641527914</v>
      </c>
      <c r="CR191" s="901">
        <f>CR184/IS!CR$86</f>
        <v>15.128159139083648</v>
      </c>
      <c r="CS191" s="406">
        <f>CS184/IS!CS$86</f>
        <v>15.711507028440668</v>
      </c>
      <c r="CT191" s="406">
        <f>CT184/IS!CT$86</f>
        <v>16.200558475689878</v>
      </c>
      <c r="CU191" s="406">
        <f>CU184/IS!CU$86</f>
        <v>16.914215283483976</v>
      </c>
      <c r="CV191" s="406">
        <f>CV184/IS!CV$86</f>
        <v>17.615763546798028</v>
      </c>
      <c r="CW191" s="827">
        <f>CW184/IS!CW$86</f>
        <v>17.586885245901641</v>
      </c>
      <c r="CX191" s="406">
        <f>CX184/IS!CX$86</f>
        <v>16.44645799011532</v>
      </c>
      <c r="CY191" s="406">
        <f>CY184/IS!CY$86</f>
        <v>17.737732656514382</v>
      </c>
      <c r="CZ191" s="406">
        <f>CZ184/IS!CZ$86</f>
        <v>18.545608108108109</v>
      </c>
      <c r="DA191" s="406">
        <f>DA184/IS!DA$86</f>
        <v>18.113752122241088</v>
      </c>
      <c r="DB191" s="827">
        <f>DB184/IS!DB$86</f>
        <v>17.93109243697479</v>
      </c>
      <c r="DC191" s="406">
        <f>DC184/IS!DC$86</f>
        <v>18.670551924831006</v>
      </c>
      <c r="DD191" s="406">
        <f>DD184/IS!DD$86</f>
        <v>19.284745585330974</v>
      </c>
      <c r="DE191" s="406">
        <f>DE184/IS!DE$86</f>
        <v>19.938465537361537</v>
      </c>
      <c r="DF191" s="406">
        <f>DF184/IS!DF$86</f>
        <v>20.651794125203942</v>
      </c>
      <c r="DG191" s="827">
        <f>DG184/IS!DG$86</f>
        <v>20.571695478610991</v>
      </c>
      <c r="DH191" s="406">
        <f>DH184/IS!DH$86</f>
        <v>21.278266038593387</v>
      </c>
      <c r="DI191" s="406">
        <f>DI184/IS!DI$86</f>
        <v>21.957991878937811</v>
      </c>
      <c r="DJ191" s="406">
        <f>DJ184/IS!DJ$86</f>
        <v>22.67236298321988</v>
      </c>
      <c r="DK191" s="406">
        <f>DK184/IS!DK$86</f>
        <v>23.414335762030969</v>
      </c>
      <c r="DL191" s="827">
        <f>DL184/IS!DL$86</f>
        <v>23.281605546567626</v>
      </c>
      <c r="DM191" s="406">
        <f>DM184/IS!DM$86</f>
        <v>24.151285647215335</v>
      </c>
      <c r="DN191" s="406">
        <f>DN184/IS!DN$86</f>
        <v>24.945484511446509</v>
      </c>
      <c r="DO191" s="406">
        <f>DO184/IS!DO$86</f>
        <v>25.780440915940247</v>
      </c>
      <c r="DP191" s="406">
        <f>DP184/IS!DP$86</f>
        <v>26.642771911466145</v>
      </c>
      <c r="DQ191" s="827">
        <f>DQ184/IS!DQ$86</f>
        <v>26.508543363230164</v>
      </c>
      <c r="DR191" s="138"/>
      <c r="DS191" s="139"/>
      <c r="DT191"/>
      <c r="DU191"/>
      <c r="DV191"/>
      <c r="DW191"/>
      <c r="DX191"/>
      <c r="DY191"/>
    </row>
    <row r="192" spans="1:129" s="144" customFormat="1" hidden="1" outlineLevel="1">
      <c r="B192" s="138"/>
      <c r="C192" s="139" t="s">
        <v>232</v>
      </c>
      <c r="D192" s="139"/>
      <c r="E192" s="139"/>
      <c r="F192" s="139"/>
      <c r="G192" s="138"/>
      <c r="H192" s="406">
        <f>H185/IS!H$86</f>
        <v>6.2488382359775087E-2</v>
      </c>
      <c r="I192" s="406">
        <f>I185/IS!I$86</f>
        <v>5.7637340271140848E-2</v>
      </c>
      <c r="J192" s="411">
        <f>J185/IS!J$86</f>
        <v>6.2006877531071085E-2</v>
      </c>
      <c r="K192" s="901"/>
      <c r="L192" s="412">
        <f>L185/IS!L$86</f>
        <v>5.4423804072570858E-2</v>
      </c>
      <c r="M192" s="406">
        <f>M185/IS!M$86</f>
        <v>6.3946244990416456E-2</v>
      </c>
      <c r="N192" s="406">
        <f>N185/IS!N$86</f>
        <v>7.3192619246280094E-2</v>
      </c>
      <c r="O192" s="406">
        <f>O185/IS!O$86</f>
        <v>8.9254914766067187E-2</v>
      </c>
      <c r="P192" s="901">
        <f>P185/IS!P$86</f>
        <v>9.1507433731630256E-2</v>
      </c>
      <c r="Q192" s="412">
        <f>Q185/IS!Q$86</f>
        <v>8.330443684879707E-2</v>
      </c>
      <c r="R192" s="406">
        <f>R185/IS!R$86</f>
        <v>9.3368442792234621E-2</v>
      </c>
      <c r="S192" s="406">
        <f>S185/IS!S$86</f>
        <v>0.10947834303048384</v>
      </c>
      <c r="T192" s="411">
        <f>T185/IS!T$86</f>
        <v>0.12564264746427933</v>
      </c>
      <c r="U192" s="901">
        <f>U185/IS!U$86</f>
        <v>0.12748486045286994</v>
      </c>
      <c r="V192" s="406">
        <f>V185/IS!V$86</f>
        <v>0.12555604982206406</v>
      </c>
      <c r="W192" s="406">
        <f>W185/IS!W$86</f>
        <v>0.13776021305707586</v>
      </c>
      <c r="X192" s="406">
        <f>X185/IS!X$86</f>
        <v>0.16200950524006824</v>
      </c>
      <c r="Y192" s="411">
        <f>Y185/IS!Y$86</f>
        <v>0.1745567113652797</v>
      </c>
      <c r="Z192" s="901">
        <f>Z185/IS!Z$86</f>
        <v>0.17381121856233536</v>
      </c>
      <c r="AA192" s="406">
        <f>AA185/IS!AA$86</f>
        <v>0.18473363478711854</v>
      </c>
      <c r="AB192" s="406">
        <f>AB185/IS!AB$86</f>
        <v>0.2054994854745508</v>
      </c>
      <c r="AC192" s="406">
        <f>AC185/IS!AC$86</f>
        <v>0.23907587835842925</v>
      </c>
      <c r="AD192" s="406">
        <f>AD185/IS!AD$86</f>
        <v>0.24017134027524051</v>
      </c>
      <c r="AE192" s="901">
        <f>AE185/IS!AE$86</f>
        <v>0.24769401661093057</v>
      </c>
      <c r="AF192" s="406">
        <f>AF185/IS!AF$86</f>
        <v>0.23986174242424244</v>
      </c>
      <c r="AG192" s="406">
        <f>AG185/IS!AG$86</f>
        <v>0.25992806352752906</v>
      </c>
      <c r="AH192" s="406">
        <f>AH185/IS!AH$86</f>
        <v>0.28905684548797084</v>
      </c>
      <c r="AI192" s="406">
        <f>AI185/IS!AI$86</f>
        <v>0.34524004209268927</v>
      </c>
      <c r="AJ192" s="901">
        <f>AJ185/IS!AJ$86</f>
        <v>0.35751284845450398</v>
      </c>
      <c r="AK192" s="406">
        <f>AK185/IS!AK$86</f>
        <v>0.35096398215344654</v>
      </c>
      <c r="AL192" s="406">
        <f>AL185/IS!AL$86</f>
        <v>0.41294699781814065</v>
      </c>
      <c r="AM192" s="406">
        <f>AM185/IS!AM$86</f>
        <v>0.47363562475038712</v>
      </c>
      <c r="AN192" s="406">
        <f>AN185/IS!AN$86</f>
        <v>0.5438541018729699</v>
      </c>
      <c r="AO192" s="901">
        <f>AO185/IS!AO$86</f>
        <v>0.55199535621089257</v>
      </c>
      <c r="AP192" s="406">
        <f>AP185/IS!AP$86</f>
        <v>0.5390067274260909</v>
      </c>
      <c r="AQ192" s="406">
        <f>AQ185/IS!AQ$86</f>
        <v>0.55747710741433198</v>
      </c>
      <c r="AR192" s="406">
        <f>AR185/IS!AR$86</f>
        <v>0.62549819732348366</v>
      </c>
      <c r="AS192" s="406">
        <f>AS185/IS!AS$86</f>
        <v>0.71658588193937423</v>
      </c>
      <c r="AT192" s="901">
        <f>AT185/IS!AT$86</f>
        <v>0.72160556860342417</v>
      </c>
      <c r="AU192" s="406">
        <f>AU185/IS!AU$86</f>
        <v>0.70729274073677295</v>
      </c>
      <c r="AV192" s="406">
        <f>AV185/IS!AV$86</f>
        <v>0.77777703946362964</v>
      </c>
      <c r="AW192" s="406">
        <f>AW185/IS!AW$86</f>
        <v>0.88771873995180173</v>
      </c>
      <c r="AX192" s="406">
        <f>AX185/IS!AX$86</f>
        <v>1.0691035588456514</v>
      </c>
      <c r="AY192" s="901">
        <f>AY185/IS!AY$86</f>
        <v>1.0762327147620248</v>
      </c>
      <c r="AZ192" s="406">
        <f>AZ185/IS!AZ$86</f>
        <v>1.1088394022061439</v>
      </c>
      <c r="BA192" s="406">
        <f>BA185/IS!BA$86</f>
        <v>1.1677787021904196</v>
      </c>
      <c r="BB192" s="406">
        <f>BB185/IS!BB$86</f>
        <v>1.3285483510854861</v>
      </c>
      <c r="BC192" s="406">
        <f>BC185/IS!BC$86</f>
        <v>1.1092552515585909</v>
      </c>
      <c r="BD192" s="901">
        <f>BD185/IS!BD$86</f>
        <v>1.1041509520970509</v>
      </c>
      <c r="BE192" s="406">
        <f>BE185/IS!BE$86</f>
        <v>0.79408765030830752</v>
      </c>
      <c r="BF192" s="406">
        <f>BF185/IS!BF$86</f>
        <v>0.92067002525623731</v>
      </c>
      <c r="BG192" s="406">
        <f>BG185/IS!BG$86</f>
        <v>0.99297209853071156</v>
      </c>
      <c r="BH192" s="406">
        <f>BH185/IS!BH$86</f>
        <v>1.281343885472326</v>
      </c>
      <c r="BI192" s="901">
        <f>BI185/IS!BI$86</f>
        <v>1.2754716665551618</v>
      </c>
      <c r="BJ192" s="406">
        <f>BJ185/IS!BJ$86</f>
        <v>1.3568103948750474</v>
      </c>
      <c r="BK192" s="406">
        <f>BK185/IS!BK$86</f>
        <v>1.6426060573658745</v>
      </c>
      <c r="BL192" s="406">
        <f>BL185/IS!BL$86</f>
        <v>1.9543479123014589</v>
      </c>
      <c r="BM192" s="406">
        <f>BM185/IS!BM$86</f>
        <v>2.2968862334422142</v>
      </c>
      <c r="BN192" s="901">
        <f>BN185/IS!BN$86</f>
        <v>2.3235840127526028</v>
      </c>
      <c r="BO192" s="406">
        <f>BO185/IS!BO$86</f>
        <v>2.3378697858242248</v>
      </c>
      <c r="BP192" s="406">
        <f>BP185/IS!BP$86</f>
        <v>2.6775828478995867</v>
      </c>
      <c r="BQ192" s="406">
        <f>BQ185/IS!BQ$86</f>
        <v>3.1148217648141747</v>
      </c>
      <c r="BR192" s="406">
        <f>BR185/IS!BR$86</f>
        <v>3.5704929179924045</v>
      </c>
      <c r="BS192" s="901">
        <f>BS185/IS!BS$86</f>
        <v>3.6009730313744392</v>
      </c>
      <c r="BT192" s="406">
        <f>BT185/IS!BT$86</f>
        <v>3.4767385175896317</v>
      </c>
      <c r="BU192" s="406">
        <f>BU185/IS!BU$86</f>
        <v>3.6429832700327798</v>
      </c>
      <c r="BV192" s="406">
        <f>BV185/IS!BV$86</f>
        <v>3.7040061817605725</v>
      </c>
      <c r="BW192" s="406">
        <f>BW185/IS!BW$86</f>
        <v>3.9379069835215188</v>
      </c>
      <c r="BX192" s="901">
        <f>BX185/IS!BX$86</f>
        <v>3.918569619559789</v>
      </c>
      <c r="BY192" s="406">
        <f>BY185/IS!BY$86</f>
        <v>4.0283482316110835</v>
      </c>
      <c r="BZ192" s="406">
        <f>BZ185/IS!BZ$86</f>
        <v>3.8170249181650751</v>
      </c>
      <c r="CA192" s="406">
        <f>CA185/IS!CA$86</f>
        <v>4.340927384769671</v>
      </c>
      <c r="CB192" s="406">
        <f>CB185/IS!CB$86</f>
        <v>4.7135859528535731</v>
      </c>
      <c r="CC192" s="901">
        <f>CC185/IS!CC$86</f>
        <v>4.681469687210857</v>
      </c>
      <c r="CD192" s="406">
        <f>CD185/IS!CD$86</f>
        <v>4.496497103310876</v>
      </c>
      <c r="CE192" s="406">
        <f>CE185/IS!CE$86</f>
        <v>4.7636838716882464</v>
      </c>
      <c r="CF192" s="406">
        <f>CF185/IS!CF$86</f>
        <v>5.5223054802399156</v>
      </c>
      <c r="CG192" s="406">
        <f>CG185/IS!CG$86</f>
        <v>6.1347895412339408</v>
      </c>
      <c r="CH192" s="901">
        <f>CH185/IS!CH$86</f>
        <v>6.1468042948387787</v>
      </c>
      <c r="CI192" s="406">
        <f>CI185/IS!CI$86</f>
        <v>6.306090582920131</v>
      </c>
      <c r="CJ192" s="406">
        <f>CJ185/IS!CJ$86</f>
        <v>6.7453076146510229</v>
      </c>
      <c r="CK192" s="406">
        <f>CK185/IS!CK$86</f>
        <v>7.5450179130664914</v>
      </c>
      <c r="CL192" s="406">
        <f>CL185/IS!CL$86</f>
        <v>6.1600823797431987</v>
      </c>
      <c r="CM192" s="901">
        <f>CM185/IS!CM$86</f>
        <v>6.1629286403510912</v>
      </c>
      <c r="CN192" s="406">
        <f>CN185/IS!CN$86</f>
        <v>5.4565890210131949</v>
      </c>
      <c r="CO192" s="406">
        <f>CO185/IS!CO$86</f>
        <v>5.8095781071835804</v>
      </c>
      <c r="CP192" s="406">
        <f>CP185/IS!CP$86</f>
        <v>6.6112289864534022</v>
      </c>
      <c r="CQ192" s="406">
        <f>CQ185/IS!CQ$86</f>
        <v>8.079497224942866</v>
      </c>
      <c r="CR192" s="901">
        <f>CR185/IS!CR$86</f>
        <v>8.0702755584542647</v>
      </c>
      <c r="CS192" s="406">
        <f>CS185/IS!CS$86</f>
        <v>7.2763975155279503</v>
      </c>
      <c r="CT192" s="406">
        <f>CT185/IS!CT$86</f>
        <v>7.3607095926412613</v>
      </c>
      <c r="CU192" s="406">
        <f>CU185/IS!CU$86</f>
        <v>7.9845521774856207</v>
      </c>
      <c r="CV192" s="406">
        <f>CV185/IS!CV$86</f>
        <v>8.4876847290640391</v>
      </c>
      <c r="CW192" s="827">
        <f>CW185/IS!CW$86</f>
        <v>8.473770491803279</v>
      </c>
      <c r="CX192" s="406">
        <f>CX185/IS!CX$86</f>
        <v>7.0411861614497528</v>
      </c>
      <c r="CY192" s="406">
        <f>CY185/IS!CY$86</f>
        <v>7.4077834179357023</v>
      </c>
      <c r="CZ192" s="406">
        <f>CZ185/IS!CZ$86</f>
        <v>7.9611486486486482</v>
      </c>
      <c r="DA192" s="406">
        <f>DA185/IS!DA$86</f>
        <v>8.5840407470288618</v>
      </c>
      <c r="DB192" s="827">
        <f>DB185/IS!DB$86</f>
        <v>8.4974789915966387</v>
      </c>
      <c r="DC192" s="406">
        <f>DC185/IS!DC$86</f>
        <v>8.6684142959753423</v>
      </c>
      <c r="DD192" s="406">
        <f>DD185/IS!DD$86</f>
        <v>8.6449469821458464</v>
      </c>
      <c r="DE192" s="406">
        <f>DE185/IS!DE$86</f>
        <v>9.2955512848597177</v>
      </c>
      <c r="DF192" s="406">
        <f>DF185/IS!DF$86</f>
        <v>10.036636097308559</v>
      </c>
      <c r="DG192" s="827">
        <f>DG185/IS!DG$86</f>
        <v>9.9977086819534335</v>
      </c>
      <c r="DH192" s="406">
        <f>DH185/IS!DH$86</f>
        <v>10.422875758814756</v>
      </c>
      <c r="DI192" s="406">
        <f>DI185/IS!DI$86</f>
        <v>10.408450331973448</v>
      </c>
      <c r="DJ192" s="406">
        <f>DJ185/IS!DJ$86</f>
        <v>10.997789551064638</v>
      </c>
      <c r="DK192" s="406">
        <f>DK185/IS!DK$86</f>
        <v>11.783445264520131</v>
      </c>
      <c r="DL192" s="827">
        <f>DL185/IS!DL$86</f>
        <v>11.716647758720436</v>
      </c>
      <c r="DM192" s="406">
        <f>DM185/IS!DM$86</f>
        <v>12.459130322665496</v>
      </c>
      <c r="DN192" s="406">
        <f>DN185/IS!DN$86</f>
        <v>12.501568338954625</v>
      </c>
      <c r="DO192" s="406">
        <f>DO185/IS!DO$86</f>
        <v>13.117557369666971</v>
      </c>
      <c r="DP192" s="406">
        <f>DP185/IS!DP$86</f>
        <v>14.033031156922465</v>
      </c>
      <c r="DQ192" s="827">
        <f>DQ185/IS!DQ$86</f>
        <v>13.962331553825488</v>
      </c>
      <c r="DR192" s="138"/>
      <c r="DS192" s="139"/>
      <c r="DT192"/>
      <c r="DU192"/>
      <c r="DV192"/>
      <c r="DW192"/>
      <c r="DX192"/>
      <c r="DY192"/>
    </row>
    <row r="193" spans="2:129" s="144" customFormat="1" hidden="1" outlineLevel="1">
      <c r="B193" s="138"/>
      <c r="C193" s="139" t="s">
        <v>249</v>
      </c>
      <c r="D193" s="139"/>
      <c r="E193" s="139"/>
      <c r="F193" s="139"/>
      <c r="G193" s="138"/>
      <c r="H193" s="406">
        <f>H186/IS!H$86</f>
        <v>1.9140062270551608E-2</v>
      </c>
      <c r="I193" s="406">
        <f>I186/IS!I$86</f>
        <v>8.4687267707337869E-3</v>
      </c>
      <c r="J193" s="411">
        <f>J186/IS!J$86</f>
        <v>9.1598589582460414E-3</v>
      </c>
      <c r="K193" s="901"/>
      <c r="L193" s="412">
        <f>L186/IS!L$86</f>
        <v>2.2470253581711595E-2</v>
      </c>
      <c r="M193" s="406">
        <f>M186/IS!M$86</f>
        <v>1.912354068653074E-2</v>
      </c>
      <c r="N193" s="406">
        <f>N186/IS!N$86</f>
        <v>1.6029151022110964E-2</v>
      </c>
      <c r="O193" s="406">
        <f>O186/IS!O$86</f>
        <v>5.9027428915904758E-3</v>
      </c>
      <c r="P193" s="901">
        <f>P186/IS!P$86</f>
        <v>6.0517099299546764E-3</v>
      </c>
      <c r="Q193" s="412">
        <f>Q186/IS!Q$86</f>
        <v>1.8466917653275201E-2</v>
      </c>
      <c r="R193" s="406">
        <f>R186/IS!R$86</f>
        <v>1.9448574969021054E-2</v>
      </c>
      <c r="S193" s="406">
        <f>S186/IS!S$86</f>
        <v>1.5117609030782235E-2</v>
      </c>
      <c r="T193" s="411">
        <f>T186/IS!T$86</f>
        <v>8.392935337906875E-3</v>
      </c>
      <c r="U193" s="901">
        <f>U186/IS!U$86</f>
        <v>8.5159952606635083E-3</v>
      </c>
      <c r="V193" s="406">
        <f>V186/IS!V$86</f>
        <v>2.4462073283247676E-2</v>
      </c>
      <c r="W193" s="406">
        <f>W186/IS!W$86</f>
        <v>3.1140050820953839E-2</v>
      </c>
      <c r="X193" s="406">
        <f>X186/IS!X$86</f>
        <v>2.5853034365098705E-2</v>
      </c>
      <c r="Y193" s="411">
        <f>Y186/IS!Y$86</f>
        <v>2.8378278446065833E-2</v>
      </c>
      <c r="Z193" s="901">
        <f>Z186/IS!Z$86</f>
        <v>2.8257081144764582E-2</v>
      </c>
      <c r="AA193" s="406">
        <f>AA186/IS!AA$86</f>
        <v>3.1942351015380649E-2</v>
      </c>
      <c r="AB193" s="406">
        <f>AB186/IS!AB$86</f>
        <v>3.8094672682656532E-2</v>
      </c>
      <c r="AC193" s="406">
        <f>AC186/IS!AC$86</f>
        <v>3.7954718505741745E-2</v>
      </c>
      <c r="AD193" s="406">
        <f>AD186/IS!AD$86</f>
        <v>7.4728260869565202E-2</v>
      </c>
      <c r="AE193" s="901">
        <f>AE186/IS!AE$86</f>
        <v>7.7068908671282549E-2</v>
      </c>
      <c r="AF193" s="406">
        <f>AF186/IS!AF$86</f>
        <v>0.10034659090909089</v>
      </c>
      <c r="AG193" s="406">
        <f>AG186/IS!AG$86</f>
        <v>0.12390359153972731</v>
      </c>
      <c r="AH193" s="406">
        <f>AH186/IS!AH$86</f>
        <v>0.1397252540459164</v>
      </c>
      <c r="AI193" s="406">
        <f>AI186/IS!AI$86</f>
        <v>0.14193661921758791</v>
      </c>
      <c r="AJ193" s="901">
        <f>AJ186/IS!AJ$86</f>
        <v>0.14698226986908566</v>
      </c>
      <c r="AK193" s="406">
        <f>AK186/IS!AK$86</f>
        <v>0.18593807358879511</v>
      </c>
      <c r="AL193" s="406">
        <f>AL186/IS!AL$86</f>
        <v>0.20610070556232474</v>
      </c>
      <c r="AM193" s="406">
        <f>AM186/IS!AM$86</f>
        <v>0.21671302751522203</v>
      </c>
      <c r="AN193" s="406">
        <f>AN186/IS!AN$86</f>
        <v>0.23976777939042085</v>
      </c>
      <c r="AO193" s="901">
        <f>AO186/IS!AO$86</f>
        <v>0.24335699654872464</v>
      </c>
      <c r="AP193" s="406">
        <f>AP186/IS!AP$86</f>
        <v>0.33035708162747479</v>
      </c>
      <c r="AQ193" s="406">
        <f>AQ186/IS!AQ$86</f>
        <v>0.40665215551946715</v>
      </c>
      <c r="AR193" s="406">
        <f>AR186/IS!AR$86</f>
        <v>0.46365620820065034</v>
      </c>
      <c r="AS193" s="406">
        <f>AS186/IS!AS$86</f>
        <v>0.4903599145507152</v>
      </c>
      <c r="AT193" s="901">
        <f>AT186/IS!AT$86</f>
        <v>0.4937948875046802</v>
      </c>
      <c r="AU193" s="406">
        <f>AU186/IS!AU$86</f>
        <v>0.62034327838558045</v>
      </c>
      <c r="AV193" s="406">
        <f>AV186/IS!AV$86</f>
        <v>0.67443834596957986</v>
      </c>
      <c r="AW193" s="406">
        <f>AW186/IS!AW$86</f>
        <v>0.71428808204965022</v>
      </c>
      <c r="AX193" s="406">
        <f>AX186/IS!AX$86</f>
        <v>0.70157555124500226</v>
      </c>
      <c r="AY193" s="901">
        <f>AY186/IS!AY$86</f>
        <v>0.70625390204699723</v>
      </c>
      <c r="AZ193" s="406">
        <f>AZ186/IS!AZ$86</f>
        <v>0.8635920346868039</v>
      </c>
      <c r="BA193" s="406">
        <f>BA186/IS!BA$86</f>
        <v>0.9980483201083864</v>
      </c>
      <c r="BB193" s="406">
        <f>BB186/IS!BB$86</f>
        <v>1.0412442048305117</v>
      </c>
      <c r="BC193" s="406">
        <f>BC186/IS!BC$86</f>
        <v>1.319979417331798</v>
      </c>
      <c r="BD193" s="901">
        <f>BD186/IS!BD$86</f>
        <v>1.3139054589532697</v>
      </c>
      <c r="BE193" s="406">
        <f>BE186/IS!BE$86</f>
        <v>1.8827478164332625</v>
      </c>
      <c r="BF193" s="406">
        <f>BF186/IS!BF$86</f>
        <v>2.0098118477142437</v>
      </c>
      <c r="BG193" s="406">
        <f>BG186/IS!BG$86</f>
        <v>2.0807408148629944</v>
      </c>
      <c r="BH193" s="406">
        <f>BH186/IS!BH$86</f>
        <v>2.0213714420136437</v>
      </c>
      <c r="BI193" s="901">
        <f>BI186/IS!BI$86</f>
        <v>2.0121077808255836</v>
      </c>
      <c r="BJ193" s="406">
        <f>BJ186/IS!BJ$86</f>
        <v>2.120974318188682</v>
      </c>
      <c r="BK193" s="406">
        <f>BK186/IS!BK$86</f>
        <v>2.1460828276617923</v>
      </c>
      <c r="BL193" s="406">
        <f>BL186/IS!BL$86</f>
        <v>2.0713674309773884</v>
      </c>
      <c r="BM193" s="406">
        <f>BM186/IS!BM$86</f>
        <v>2.0580815127291818</v>
      </c>
      <c r="BN193" s="901">
        <f>BN186/IS!BN$86</f>
        <v>2.0820035534596411</v>
      </c>
      <c r="BO193" s="406">
        <f>BO186/IS!BO$86</f>
        <v>2.3682075496308665</v>
      </c>
      <c r="BP193" s="406">
        <f>BP186/IS!BP$86</f>
        <v>2.2511288968416827</v>
      </c>
      <c r="BQ193" s="406">
        <f>BQ186/IS!BQ$86</f>
        <v>2.3228031871429078</v>
      </c>
      <c r="BR193" s="406">
        <f>BR186/IS!BR$86</f>
        <v>2.1779145925279684</v>
      </c>
      <c r="BS193" s="901">
        <f>BS186/IS!BS$86</f>
        <v>2.1965067267910339</v>
      </c>
      <c r="BT193" s="406">
        <f>BT186/IS!BT$86</f>
        <v>2.5594269458600465</v>
      </c>
      <c r="BU193" s="406">
        <f>BU186/IS!BU$86</f>
        <v>2.7007419488437354</v>
      </c>
      <c r="BV193" s="406">
        <f>BV186/IS!BV$86</f>
        <v>2.6645036970937319</v>
      </c>
      <c r="BW193" s="406">
        <f>BW186/IS!BW$86</f>
        <v>2.461931761147826</v>
      </c>
      <c r="BX193" s="901">
        <f>BX186/IS!BX$86</f>
        <v>2.4498422753591891</v>
      </c>
      <c r="BY193" s="406">
        <f>BY186/IS!BY$86</f>
        <v>3.0336440195596484</v>
      </c>
      <c r="BZ193" s="406">
        <f>BZ186/IS!BZ$86</f>
        <v>2.8409425170665688</v>
      </c>
      <c r="CA193" s="406">
        <f>CA186/IS!CA$86</f>
        <v>3.2009520604885013</v>
      </c>
      <c r="CB193" s="406">
        <f>CB186/IS!CB$86</f>
        <v>3.2764577305062597</v>
      </c>
      <c r="CC193" s="901">
        <f>CC186/IS!CC$86</f>
        <v>3.2541334135440612</v>
      </c>
      <c r="CD193" s="406">
        <f>CD186/IS!CD$86</f>
        <v>4.0492830366739199</v>
      </c>
      <c r="CE193" s="406">
        <f>CE186/IS!CE$86</f>
        <v>3.979653206151502</v>
      </c>
      <c r="CF193" s="406">
        <f>CF186/IS!CF$86</f>
        <v>3.7592260290855308</v>
      </c>
      <c r="CG193" s="406">
        <f>CG186/IS!CG$86</f>
        <v>3.9097888864151291</v>
      </c>
      <c r="CH193" s="901">
        <f>CH186/IS!CH$86</f>
        <v>3.9174460602760219</v>
      </c>
      <c r="CI193" s="406">
        <f>CI186/IS!CI$86</f>
        <v>4.4998963936844207</v>
      </c>
      <c r="CJ193" s="406">
        <f>CJ186/IS!CJ$86</f>
        <v>4.674592673181281</v>
      </c>
      <c r="CK193" s="406">
        <f>CK186/IS!CK$86</f>
        <v>4.5141760724560251</v>
      </c>
      <c r="CL193" s="406">
        <f>CL186/IS!CL$86</f>
        <v>9.143684763664135</v>
      </c>
      <c r="CM193" s="901">
        <f>CM186/IS!CM$86</f>
        <v>9.1479095951110949</v>
      </c>
      <c r="CN193" s="406">
        <f>CN186/IS!CN$86</f>
        <v>9.6167128196774723</v>
      </c>
      <c r="CO193" s="406">
        <f>CO186/IS!CO$86</f>
        <v>9.8335233751425335</v>
      </c>
      <c r="CP193" s="406">
        <f>CP186/IS!CP$86</f>
        <v>9.346009466296719</v>
      </c>
      <c r="CQ193" s="406">
        <f>CQ186/IS!CQ$86</f>
        <v>9.1676460985961477</v>
      </c>
      <c r="CR193" s="901">
        <f>CR186/IS!CR$86</f>
        <v>9.157182455568238</v>
      </c>
      <c r="CS193" s="406">
        <f>CS186/IS!CS$86</f>
        <v>10.103792088917947</v>
      </c>
      <c r="CT193" s="406">
        <f>CT186/IS!CT$86</f>
        <v>10.332621550591323</v>
      </c>
      <c r="CU193" s="406">
        <f>CU186/IS!CU$86</f>
        <v>10.403122432210353</v>
      </c>
      <c r="CV193" s="406">
        <f>CV186/IS!CV$86</f>
        <v>10.569786535303777</v>
      </c>
      <c r="CW193" s="827">
        <f>CW186/IS!CW$86</f>
        <v>10.552459016393442</v>
      </c>
      <c r="CX193" s="406">
        <f>CX186/IS!CX$86</f>
        <v>11.397034596375617</v>
      </c>
      <c r="CY193" s="406">
        <f>CY186/IS!CY$86</f>
        <v>12.006768189509307</v>
      </c>
      <c r="CZ193" s="406">
        <f>CZ186/IS!CZ$86</f>
        <v>11.974662162162161</v>
      </c>
      <c r="DA193" s="406">
        <f>DA186/IS!DA$86</f>
        <v>11.01188455008489</v>
      </c>
      <c r="DB193" s="827">
        <f>DB186/IS!DB$86</f>
        <v>10.900840336134454</v>
      </c>
      <c r="DC193" s="406">
        <f>DC186/IS!DC$86</f>
        <v>11.488471211655199</v>
      </c>
      <c r="DD193" s="406">
        <f>DD186/IS!DD$86</f>
        <v>12.087485952339735</v>
      </c>
      <c r="DE193" s="406">
        <f>DE186/IS!DE$86</f>
        <v>12.094396477476131</v>
      </c>
      <c r="DF193" s="406">
        <f>DF186/IS!DF$86</f>
        <v>12.027413397798087</v>
      </c>
      <c r="DG193" s="827">
        <f>DG186/IS!DG$86</f>
        <v>11.980764688764047</v>
      </c>
      <c r="DH193" s="406">
        <f>DH186/IS!DH$86</f>
        <v>12.273359644441202</v>
      </c>
      <c r="DI193" s="406">
        <f>DI186/IS!DI$86</f>
        <v>12.929849078515522</v>
      </c>
      <c r="DJ193" s="406">
        <f>DJ186/IS!DJ$86</f>
        <v>13.060163106153357</v>
      </c>
      <c r="DK193" s="406">
        <f>DK186/IS!DK$86</f>
        <v>12.978063406649996</v>
      </c>
      <c r="DL193" s="827">
        <f>DL186/IS!DL$86</f>
        <v>12.904493899072722</v>
      </c>
      <c r="DM193" s="406">
        <f>DM186/IS!DM$86</f>
        <v>13.044194449531091</v>
      </c>
      <c r="DN193" s="406">
        <f>DN186/IS!DN$86</f>
        <v>13.756816038972747</v>
      </c>
      <c r="DO193" s="406">
        <f>DO186/IS!DO$86</f>
        <v>13.9802502325073</v>
      </c>
      <c r="DP193" s="406">
        <f>DP186/IS!DP$86</f>
        <v>13.887278658508416</v>
      </c>
      <c r="DQ193" s="827">
        <f>DQ186/IS!DQ$86</f>
        <v>13.817313368880354</v>
      </c>
      <c r="DR193" s="138"/>
      <c r="DS193" s="139"/>
      <c r="DT193"/>
      <c r="DU193"/>
      <c r="DV193"/>
      <c r="DW193"/>
      <c r="DX193"/>
      <c r="DY193"/>
    </row>
    <row r="194" spans="2:129" s="144" customFormat="1" hidden="1" outlineLevel="1">
      <c r="B194" s="138"/>
      <c r="C194" s="139" t="s">
        <v>234</v>
      </c>
      <c r="D194" s="139"/>
      <c r="E194" s="139"/>
      <c r="F194" s="139"/>
      <c r="G194" s="138"/>
      <c r="H194" s="406">
        <f>H187/IS!H$86</f>
        <v>-6.2488382359775087E-2</v>
      </c>
      <c r="I194" s="406">
        <f>I187/IS!I$86</f>
        <v>-5.7637340271140848E-2</v>
      </c>
      <c r="J194" s="411">
        <f>J187/IS!J$86</f>
        <v>-6.2006877531071085E-2</v>
      </c>
      <c r="K194" s="901"/>
      <c r="L194" s="412">
        <f>L187/IS!L$86</f>
        <v>-5.4423804072570858E-2</v>
      </c>
      <c r="M194" s="406">
        <f>M187/IS!M$86</f>
        <v>-6.3946244990416456E-2</v>
      </c>
      <c r="N194" s="406">
        <f>N187/IS!N$86</f>
        <v>-7.3192619246280094E-2</v>
      </c>
      <c r="O194" s="406">
        <f>O187/IS!O$86</f>
        <v>-8.9254914766067187E-2</v>
      </c>
      <c r="P194" s="901">
        <f>P187/IS!P$86</f>
        <v>-9.1507433731630256E-2</v>
      </c>
      <c r="Q194" s="412">
        <f>Q187/IS!Q$86</f>
        <v>-8.330443684879707E-2</v>
      </c>
      <c r="R194" s="406">
        <f>R187/IS!R$86</f>
        <v>-9.3368442792234621E-2</v>
      </c>
      <c r="S194" s="406">
        <f>S187/IS!S$86</f>
        <v>-0.10947834303048384</v>
      </c>
      <c r="T194" s="411">
        <f>T187/IS!T$86</f>
        <v>-0.12564264746427933</v>
      </c>
      <c r="U194" s="901">
        <f>U187/IS!U$86</f>
        <v>-0.12748486045286994</v>
      </c>
      <c r="V194" s="406">
        <f>V187/IS!V$86</f>
        <v>-0.12555604982206406</v>
      </c>
      <c r="W194" s="406">
        <f>W187/IS!W$86</f>
        <v>-0.13776021305707586</v>
      </c>
      <c r="X194" s="406">
        <f>X187/IS!X$86</f>
        <v>-0.16200950524006824</v>
      </c>
      <c r="Y194" s="411">
        <f>Y187/IS!Y$86</f>
        <v>-0.1745567113652797</v>
      </c>
      <c r="Z194" s="901">
        <f>Z187/IS!Z$86</f>
        <v>-0.17381121856233536</v>
      </c>
      <c r="AA194" s="406">
        <f>AA187/IS!AA$86</f>
        <v>-0.18473363478711854</v>
      </c>
      <c r="AB194" s="406">
        <f>AB187/IS!AB$86</f>
        <v>-0.2054994854745508</v>
      </c>
      <c r="AC194" s="406">
        <f>AC187/IS!AC$86</f>
        <v>-0.23907587835842925</v>
      </c>
      <c r="AD194" s="406">
        <f>AD187/IS!AD$86</f>
        <v>-0.24017134027524051</v>
      </c>
      <c r="AE194" s="901">
        <f>AE187/IS!AE$86</f>
        <v>-0.24769401661093057</v>
      </c>
      <c r="AF194" s="406">
        <f>AF187/IS!AF$86</f>
        <v>-0.23986174242424244</v>
      </c>
      <c r="AG194" s="406">
        <f>AG187/IS!AG$86</f>
        <v>-0.25992806352752906</v>
      </c>
      <c r="AH194" s="406">
        <f>AH187/IS!AH$86</f>
        <v>-0.28905684548797084</v>
      </c>
      <c r="AI194" s="406">
        <f>AI187/IS!AI$86</f>
        <v>-0.34524004209268927</v>
      </c>
      <c r="AJ194" s="901">
        <f>AJ187/IS!AJ$86</f>
        <v>-0.35751284845450398</v>
      </c>
      <c r="AK194" s="406">
        <f>AK187/IS!AK$86</f>
        <v>-0.35096398215344654</v>
      </c>
      <c r="AL194" s="406">
        <f>AL187/IS!AL$86</f>
        <v>-0.41294699781814065</v>
      </c>
      <c r="AM194" s="406">
        <f>AM187/IS!AM$86</f>
        <v>-0.47363562475038712</v>
      </c>
      <c r="AN194" s="406">
        <f>AN187/IS!AN$86</f>
        <v>-0.5438541018729699</v>
      </c>
      <c r="AO194" s="901">
        <f>AO187/IS!AO$86</f>
        <v>-0.55199535621089257</v>
      </c>
      <c r="AP194" s="406">
        <f>AP187/IS!AP$86</f>
        <v>-0.5390067274260909</v>
      </c>
      <c r="AQ194" s="406">
        <f>AQ187/IS!AQ$86</f>
        <v>-0.55747710741433198</v>
      </c>
      <c r="AR194" s="406">
        <f>AR187/IS!AR$86</f>
        <v>-0.62549819732348366</v>
      </c>
      <c r="AS194" s="406">
        <f>AS187/IS!AS$86</f>
        <v>-0.71658588193937423</v>
      </c>
      <c r="AT194" s="901">
        <f>AT187/IS!AT$86</f>
        <v>-0.72160556860342417</v>
      </c>
      <c r="AU194" s="406">
        <f>AU187/IS!AU$86</f>
        <v>-0.70729274073677295</v>
      </c>
      <c r="AV194" s="406">
        <f>AV187/IS!AV$86</f>
        <v>-0.77777703946362964</v>
      </c>
      <c r="AW194" s="406">
        <f>AW187/IS!AW$86</f>
        <v>-0.88771873995180173</v>
      </c>
      <c r="AX194" s="406">
        <f>AX187/IS!AX$86</f>
        <v>-1.0691035588456514</v>
      </c>
      <c r="AY194" s="901">
        <f>AY187/IS!AY$86</f>
        <v>-1.0762327147620248</v>
      </c>
      <c r="AZ194" s="406">
        <f>AZ187/IS!AZ$86</f>
        <v>-1.1088394022061439</v>
      </c>
      <c r="BA194" s="406">
        <f>BA187/IS!BA$86</f>
        <v>-1.1677787021904196</v>
      </c>
      <c r="BB194" s="406">
        <f>BB187/IS!BB$86</f>
        <v>-1.3285483510854861</v>
      </c>
      <c r="BC194" s="406">
        <f>BC187/IS!BC$86</f>
        <v>-1.1092552515585909</v>
      </c>
      <c r="BD194" s="901">
        <f>BD187/IS!BD$86</f>
        <v>-1.1041509520970509</v>
      </c>
      <c r="BE194" s="406">
        <f>BE187/IS!BE$86</f>
        <v>-0.79408765030830752</v>
      </c>
      <c r="BF194" s="406">
        <f>BF187/IS!BF$86</f>
        <v>-0.92067002525623731</v>
      </c>
      <c r="BG194" s="406">
        <f>BG187/IS!BG$86</f>
        <v>-0.99297209853071156</v>
      </c>
      <c r="BH194" s="406">
        <f>BH187/IS!BH$86</f>
        <v>-1.281343885472326</v>
      </c>
      <c r="BI194" s="901">
        <f>BI187/IS!BI$86</f>
        <v>-1.2754716665551618</v>
      </c>
      <c r="BJ194" s="406">
        <f>BJ187/IS!BJ$86</f>
        <v>-1.3568103948750474</v>
      </c>
      <c r="BK194" s="406">
        <f>BK187/IS!BK$86</f>
        <v>-1.6426060573658745</v>
      </c>
      <c r="BL194" s="406">
        <f>BL187/IS!BL$86</f>
        <v>-1.9543479123014589</v>
      </c>
      <c r="BM194" s="406">
        <f>BM187/IS!BM$86</f>
        <v>-2.2968862334422142</v>
      </c>
      <c r="BN194" s="901">
        <f>BN187/IS!BN$86</f>
        <v>-2.3235840127526028</v>
      </c>
      <c r="BO194" s="406">
        <f>BO187/IS!BO$86</f>
        <v>-2.3378697858242248</v>
      </c>
      <c r="BP194" s="406">
        <f>BP187/IS!BP$86</f>
        <v>-2.6775828478995867</v>
      </c>
      <c r="BQ194" s="406">
        <f>BQ187/IS!BQ$86</f>
        <v>-3.1148217648141747</v>
      </c>
      <c r="BR194" s="406">
        <f>BR187/IS!BR$86</f>
        <v>-3.5704929179924045</v>
      </c>
      <c r="BS194" s="901">
        <f>BS187/IS!BS$86</f>
        <v>-3.6009730313744392</v>
      </c>
      <c r="BT194" s="406">
        <f>BT187/IS!BT$86</f>
        <v>-3.4767385175896317</v>
      </c>
      <c r="BU194" s="406">
        <f>BU187/IS!BU$86</f>
        <v>-3.6429832700327798</v>
      </c>
      <c r="BV194" s="406">
        <f>BV187/IS!BV$86</f>
        <v>-3.7040061817605725</v>
      </c>
      <c r="BW194" s="406">
        <f>BW187/IS!BW$86</f>
        <v>-3.9379069835215188</v>
      </c>
      <c r="BX194" s="901">
        <f>BX187/IS!BX$86</f>
        <v>-3.918569619559789</v>
      </c>
      <c r="BY194" s="406">
        <f>BY187/IS!BY$86</f>
        <v>-4.0283482316110835</v>
      </c>
      <c r="BZ194" s="406">
        <f>BZ187/IS!BZ$86</f>
        <v>-3.8170249181650751</v>
      </c>
      <c r="CA194" s="406">
        <f>CA187/IS!CA$86</f>
        <v>-4.340927384769671</v>
      </c>
      <c r="CB194" s="406">
        <f>CB187/IS!CB$86</f>
        <v>-4.7135859528535731</v>
      </c>
      <c r="CC194" s="901">
        <f>CC187/IS!CC$86</f>
        <v>-4.681469687210857</v>
      </c>
      <c r="CD194" s="406">
        <f>CD187/IS!CD$86</f>
        <v>-4.496497103310876</v>
      </c>
      <c r="CE194" s="406">
        <f>CE187/IS!CE$86</f>
        <v>-4.7636838716882464</v>
      </c>
      <c r="CF194" s="406">
        <f>CF187/IS!CF$86</f>
        <v>-5.5223054802399156</v>
      </c>
      <c r="CG194" s="406">
        <f>CG187/IS!CG$86</f>
        <v>-6.1347895412339408</v>
      </c>
      <c r="CH194" s="901">
        <f>CH187/IS!CH$86</f>
        <v>-6.1468042948387787</v>
      </c>
      <c r="CI194" s="406">
        <f>CI187/IS!CI$86</f>
        <v>-6.306090582920131</v>
      </c>
      <c r="CJ194" s="406">
        <f>CJ187/IS!CJ$86</f>
        <v>-6.7453076146510229</v>
      </c>
      <c r="CK194" s="406">
        <f>CK187/IS!CK$86</f>
        <v>-7.5450179130664914</v>
      </c>
      <c r="CL194" s="406">
        <f>CL187/IS!CL$86</f>
        <v>-3.4877964397851069</v>
      </c>
      <c r="CM194" s="901">
        <f>CM187/IS!CM$86</f>
        <v>-3.489407973041148</v>
      </c>
      <c r="CN194" s="406">
        <f>CN187/IS!CN$86</f>
        <v>-3.7054894934028346</v>
      </c>
      <c r="CO194" s="406">
        <f>CO187/IS!CO$86</f>
        <v>-4.0788402019872949</v>
      </c>
      <c r="CP194" s="406">
        <f>CP187/IS!CP$86</f>
        <v>-5.0607148686143297</v>
      </c>
      <c r="CQ194" s="406">
        <f>CQ187/IS!CQ$86</f>
        <v>-5.9777995429317663</v>
      </c>
      <c r="CR194" s="901">
        <f>CR187/IS!CR$86</f>
        <v>-5.970976683515409</v>
      </c>
      <c r="CS194" s="406">
        <f>CS187/IS!CS$86</f>
        <v>-5.6077149395227197</v>
      </c>
      <c r="CT194" s="406">
        <f>CT187/IS!CT$86</f>
        <v>-5.8679369250985545</v>
      </c>
      <c r="CU194" s="406">
        <f>CU187/IS!CU$86</f>
        <v>-6.5110928512736246</v>
      </c>
      <c r="CV194" s="406">
        <f>CV187/IS!CV$86</f>
        <v>-7.0459770114942533</v>
      </c>
      <c r="CW194" s="827">
        <f>CW187/IS!CW$86</f>
        <v>-7.0344262295081963</v>
      </c>
      <c r="CX194" s="406">
        <f>CX187/IS!CX$86</f>
        <v>-5.0494233937397031</v>
      </c>
      <c r="CY194" s="406">
        <f>CY187/IS!CY$86</f>
        <v>-5.7309644670050766</v>
      </c>
      <c r="CZ194" s="406">
        <f>CZ187/IS!CZ$86</f>
        <v>-6.5709459459459456</v>
      </c>
      <c r="DA194" s="406">
        <f>DA187/IS!DA$86</f>
        <v>-7.1018675721561966</v>
      </c>
      <c r="DB194" s="827">
        <f>DB187/IS!DB$86</f>
        <v>-7.030252100840336</v>
      </c>
      <c r="DC194" s="406">
        <f>DC187/IS!DC$86</f>
        <v>-7.1820807131758064</v>
      </c>
      <c r="DD194" s="406">
        <f>DD187/IS!DD$86</f>
        <v>-7.1972596329912371</v>
      </c>
      <c r="DE194" s="406">
        <f>DE187/IS!DE$86</f>
        <v>-7.8440690598854061</v>
      </c>
      <c r="DF194" s="406">
        <f>DF187/IS!DF$86</f>
        <v>-8.624380727405855</v>
      </c>
      <c r="DG194" s="827">
        <f>DG187/IS!DG$86</f>
        <v>-8.5909307898469454</v>
      </c>
      <c r="DH194" s="406">
        <f>DH187/IS!DH$86</f>
        <v>-9.0049063941521847</v>
      </c>
      <c r="DI194" s="406">
        <f>DI187/IS!DI$86</f>
        <v>-9.028142800422291</v>
      </c>
      <c r="DJ194" s="406">
        <f>DJ187/IS!DJ$86</f>
        <v>-9.6121998770665247</v>
      </c>
      <c r="DK194" s="406">
        <f>DK187/IS!DK$86</f>
        <v>-10.436272355380973</v>
      </c>
      <c r="DL194" s="827">
        <f>DL187/IS!DL$86</f>
        <v>-10.377111647494905</v>
      </c>
      <c r="DM194" s="406">
        <f>DM187/IS!DM$86</f>
        <v>-11.107091197684245</v>
      </c>
      <c r="DN194" s="406">
        <f>DN187/IS!DN$86</f>
        <v>-11.188668472473761</v>
      </c>
      <c r="DO194" s="406">
        <f>DO187/IS!DO$86</f>
        <v>-11.800190683432946</v>
      </c>
      <c r="DP194" s="406">
        <f>DP187/IS!DP$86</f>
        <v>-12.755493252957727</v>
      </c>
      <c r="DQ194" s="827">
        <f>DQ187/IS!DQ$86</f>
        <v>-12.691229994349809</v>
      </c>
      <c r="DR194" s="138"/>
      <c r="DS194" s="139"/>
      <c r="DT194"/>
      <c r="DU194"/>
      <c r="DV194"/>
      <c r="DW194"/>
      <c r="DX194"/>
      <c r="DY194"/>
    </row>
    <row r="195" spans="2:129" s="144" customFormat="1" hidden="1" outlineLevel="1">
      <c r="B195" s="138"/>
      <c r="C195" s="139"/>
      <c r="D195" s="139"/>
      <c r="E195" s="139"/>
      <c r="F195" s="139"/>
      <c r="G195" s="138"/>
      <c r="H195" s="139"/>
      <c r="I195" s="139"/>
      <c r="J195" s="150"/>
      <c r="K195" s="605"/>
      <c r="L195" s="138"/>
      <c r="M195" s="139"/>
      <c r="N195" s="139"/>
      <c r="O195" s="139"/>
      <c r="P195" s="605"/>
      <c r="Q195" s="138"/>
      <c r="R195" s="139"/>
      <c r="S195" s="139"/>
      <c r="T195" s="150"/>
      <c r="U195" s="605"/>
      <c r="V195" s="139"/>
      <c r="W195" s="139"/>
      <c r="X195" s="139"/>
      <c r="Y195" s="150"/>
      <c r="Z195" s="605"/>
      <c r="AA195" s="139"/>
      <c r="AB195" s="139"/>
      <c r="AC195" s="139"/>
      <c r="AD195" s="139"/>
      <c r="AE195" s="605"/>
      <c r="AF195" s="139"/>
      <c r="AG195" s="139"/>
      <c r="AH195" s="139"/>
      <c r="AI195" s="139"/>
      <c r="AJ195" s="605"/>
      <c r="AK195" s="139"/>
      <c r="AL195" s="139"/>
      <c r="AM195" s="139"/>
      <c r="AN195" s="139"/>
      <c r="AO195" s="605"/>
      <c r="AP195" s="139"/>
      <c r="AQ195" s="139"/>
      <c r="AR195" s="139"/>
      <c r="AS195" s="139"/>
      <c r="AT195" s="605"/>
      <c r="AU195" s="139"/>
      <c r="AV195" s="139"/>
      <c r="AW195" s="139"/>
      <c r="AX195" s="139"/>
      <c r="AY195" s="605"/>
      <c r="AZ195" s="139"/>
      <c r="BA195" s="139"/>
      <c r="BB195" s="139"/>
      <c r="BC195" s="139"/>
      <c r="BD195" s="605"/>
      <c r="BE195" s="139"/>
      <c r="BF195" s="139"/>
      <c r="BG195" s="139"/>
      <c r="BH195" s="139"/>
      <c r="BI195" s="605"/>
      <c r="BJ195" s="139"/>
      <c r="BK195" s="139"/>
      <c r="BL195" s="139"/>
      <c r="BM195" s="139"/>
      <c r="BN195" s="605"/>
      <c r="BO195" s="139"/>
      <c r="BP195" s="139"/>
      <c r="BQ195" s="139"/>
      <c r="BR195" s="139"/>
      <c r="BS195" s="605"/>
      <c r="BT195" s="139"/>
      <c r="BU195" s="139"/>
      <c r="BV195" s="139"/>
      <c r="BW195" s="139"/>
      <c r="BX195" s="605"/>
      <c r="BY195" s="139"/>
      <c r="BZ195" s="139"/>
      <c r="CA195" s="139"/>
      <c r="CB195" s="139"/>
      <c r="CC195" s="605"/>
      <c r="CD195" s="139"/>
      <c r="CE195" s="139"/>
      <c r="CF195" s="139"/>
      <c r="CG195" s="139"/>
      <c r="CH195" s="605"/>
      <c r="CI195" s="139"/>
      <c r="CJ195" s="139"/>
      <c r="CK195" s="139"/>
      <c r="CL195" s="139"/>
      <c r="CM195" s="605"/>
      <c r="CN195" s="139"/>
      <c r="CO195" s="139"/>
      <c r="CP195" s="139"/>
      <c r="CQ195" s="139"/>
      <c r="CR195" s="605"/>
      <c r="CS195" s="139"/>
      <c r="CT195" s="139"/>
      <c r="CU195" s="139"/>
      <c r="CV195" s="139"/>
      <c r="CW195" s="828"/>
      <c r="CX195" s="139"/>
      <c r="CY195" s="139"/>
      <c r="CZ195" s="139"/>
      <c r="DA195" s="139"/>
      <c r="DB195" s="828"/>
      <c r="DC195" s="139"/>
      <c r="DD195" s="139"/>
      <c r="DE195" s="139"/>
      <c r="DF195" s="139"/>
      <c r="DG195" s="828"/>
      <c r="DH195" s="139"/>
      <c r="DI195" s="139"/>
      <c r="DJ195" s="139"/>
      <c r="DK195" s="139"/>
      <c r="DL195" s="828"/>
      <c r="DM195" s="139"/>
      <c r="DN195" s="139"/>
      <c r="DO195" s="139"/>
      <c r="DP195" s="139"/>
      <c r="DQ195" s="828"/>
      <c r="DR195" s="138"/>
      <c r="DS195" s="139"/>
      <c r="DT195"/>
      <c r="DU195"/>
      <c r="DV195"/>
      <c r="DW195"/>
      <c r="DX195"/>
      <c r="DY195"/>
    </row>
    <row r="196" spans="2:129" s="360" customFormat="1" hidden="1" outlineLevel="1">
      <c r="B196" s="268" t="s">
        <v>235</v>
      </c>
      <c r="C196" s="270"/>
      <c r="D196" s="270"/>
      <c r="E196" s="270"/>
      <c r="F196" s="270"/>
      <c r="G196" s="268"/>
      <c r="H196" s="270"/>
      <c r="I196" s="270"/>
      <c r="J196" s="271"/>
      <c r="K196" s="902"/>
      <c r="L196" s="268"/>
      <c r="M196" s="270"/>
      <c r="N196" s="270"/>
      <c r="O196" s="270"/>
      <c r="P196" s="902"/>
      <c r="Q196" s="268"/>
      <c r="R196" s="270"/>
      <c r="S196" s="270"/>
      <c r="T196" s="271"/>
      <c r="U196" s="902"/>
      <c r="V196" s="270"/>
      <c r="W196" s="270"/>
      <c r="X196" s="270"/>
      <c r="Y196" s="271"/>
      <c r="Z196" s="902"/>
      <c r="AA196" s="270"/>
      <c r="AB196" s="270"/>
      <c r="AC196" s="270"/>
      <c r="AD196" s="270"/>
      <c r="AE196" s="902"/>
      <c r="AF196" s="270"/>
      <c r="AG196" s="270"/>
      <c r="AH196" s="270"/>
      <c r="AI196" s="270"/>
      <c r="AJ196" s="902"/>
      <c r="AK196" s="270"/>
      <c r="AL196" s="270"/>
      <c r="AM196" s="270"/>
      <c r="AN196" s="270"/>
      <c r="AO196" s="902"/>
      <c r="AP196" s="270"/>
      <c r="AQ196" s="270"/>
      <c r="AR196" s="270"/>
      <c r="AS196" s="270"/>
      <c r="AT196" s="902"/>
      <c r="AU196" s="270"/>
      <c r="AV196" s="270"/>
      <c r="AW196" s="270"/>
      <c r="AX196" s="270"/>
      <c r="AY196" s="902"/>
      <c r="AZ196" s="270"/>
      <c r="BA196" s="270"/>
      <c r="BB196" s="270"/>
      <c r="BC196" s="270"/>
      <c r="BD196" s="902"/>
      <c r="BE196" s="270"/>
      <c r="BF196" s="270"/>
      <c r="BG196" s="270"/>
      <c r="BH196" s="270"/>
      <c r="BI196" s="902"/>
      <c r="BJ196" s="270"/>
      <c r="BK196" s="270"/>
      <c r="BL196" s="270"/>
      <c r="BM196" s="270"/>
      <c r="BN196" s="902"/>
      <c r="BO196" s="270"/>
      <c r="BP196" s="270"/>
      <c r="BQ196" s="270"/>
      <c r="BR196" s="270"/>
      <c r="BS196" s="902"/>
      <c r="BT196" s="270"/>
      <c r="BU196" s="270"/>
      <c r="BV196" s="270"/>
      <c r="BW196" s="270"/>
      <c r="BX196" s="902"/>
      <c r="BY196" s="270"/>
      <c r="BZ196" s="270"/>
      <c r="CA196" s="270"/>
      <c r="CB196" s="270"/>
      <c r="CC196" s="902"/>
      <c r="CD196" s="270"/>
      <c r="CE196" s="270"/>
      <c r="CF196" s="270"/>
      <c r="CG196" s="270"/>
      <c r="CH196" s="902"/>
      <c r="CI196" s="270"/>
      <c r="CJ196" s="270"/>
      <c r="CK196" s="270"/>
      <c r="CL196" s="270"/>
      <c r="CM196" s="902"/>
      <c r="CN196" s="270"/>
      <c r="CO196" s="522"/>
      <c r="CP196" s="270"/>
      <c r="CQ196" s="270"/>
      <c r="CR196" s="902"/>
      <c r="CS196" s="270"/>
      <c r="CT196" s="270"/>
      <c r="CU196" s="270"/>
      <c r="CV196" s="270"/>
      <c r="CW196" s="829"/>
      <c r="CX196" s="270"/>
      <c r="CY196" s="270"/>
      <c r="CZ196" s="270"/>
      <c r="DA196" s="270"/>
      <c r="DB196" s="829"/>
      <c r="DC196" s="270"/>
      <c r="DD196" s="270"/>
      <c r="DE196" s="270"/>
      <c r="DF196" s="270"/>
      <c r="DG196" s="829"/>
      <c r="DH196" s="270"/>
      <c r="DI196" s="270"/>
      <c r="DJ196" s="270"/>
      <c r="DK196" s="270"/>
      <c r="DL196" s="829"/>
      <c r="DM196" s="270"/>
      <c r="DN196" s="270"/>
      <c r="DO196" s="270"/>
      <c r="DP196" s="270"/>
      <c r="DQ196" s="829"/>
      <c r="DR196" s="268"/>
      <c r="DS196" s="270"/>
      <c r="DT196"/>
      <c r="DU196"/>
      <c r="DV196"/>
      <c r="DW196"/>
      <c r="DX196"/>
      <c r="DY196"/>
    </row>
    <row r="197" spans="2:129" s="151" customFormat="1" hidden="1" outlineLevel="1">
      <c r="B197" s="140"/>
      <c r="C197" s="141" t="s">
        <v>236</v>
      </c>
      <c r="D197" s="141"/>
      <c r="E197" s="141"/>
      <c r="F197" s="141"/>
      <c r="G197" s="140"/>
      <c r="H197" s="141">
        <f>H17/H49</f>
        <v>4.016699653636814</v>
      </c>
      <c r="I197" s="141">
        <f>I17/I49</f>
        <v>3.7705816668358536</v>
      </c>
      <c r="J197" s="142">
        <f>J17/J49</f>
        <v>3.2713303991969727</v>
      </c>
      <c r="K197" s="903"/>
      <c r="L197" s="140">
        <f t="shared" ref="L197:AQ197" si="572">L17/L49</f>
        <v>4.0992781475578894</v>
      </c>
      <c r="M197" s="141">
        <f t="shared" si="572"/>
        <v>4.3628618452899603</v>
      </c>
      <c r="N197" s="141">
        <f t="shared" si="572"/>
        <v>4.2650275614664457</v>
      </c>
      <c r="O197" s="141">
        <f t="shared" si="572"/>
        <v>4.2949863677673425</v>
      </c>
      <c r="P197" s="903">
        <f t="shared" si="572"/>
        <v>4.2949863677673425</v>
      </c>
      <c r="Q197" s="140">
        <f t="shared" si="572"/>
        <v>5.2637802121370205</v>
      </c>
      <c r="R197" s="141">
        <f t="shared" si="572"/>
        <v>4.6345400838084769</v>
      </c>
      <c r="S197" s="141">
        <f t="shared" si="572"/>
        <v>3.9113017154389502</v>
      </c>
      <c r="T197" s="142">
        <f t="shared" si="572"/>
        <v>3.301511862884515</v>
      </c>
      <c r="U197" s="903">
        <f t="shared" si="572"/>
        <v>3.301511862884515</v>
      </c>
      <c r="V197" s="141">
        <f t="shared" si="572"/>
        <v>4.3227989871445258</v>
      </c>
      <c r="W197" s="141">
        <f t="shared" si="572"/>
        <v>4.9388836610370959</v>
      </c>
      <c r="X197" s="141">
        <f t="shared" si="572"/>
        <v>4.6946835443037971</v>
      </c>
      <c r="Y197" s="142">
        <f t="shared" si="572"/>
        <v>5.4076412572587333</v>
      </c>
      <c r="Z197" s="903">
        <f t="shared" si="572"/>
        <v>5.4076412572587333</v>
      </c>
      <c r="AA197" s="141">
        <f t="shared" si="572"/>
        <v>5.6819889107494195</v>
      </c>
      <c r="AB197" s="141">
        <f t="shared" si="572"/>
        <v>4.6699887878410351</v>
      </c>
      <c r="AC197" s="141">
        <f t="shared" si="572"/>
        <v>5.1807110947922403</v>
      </c>
      <c r="AD197" s="141">
        <f t="shared" si="572"/>
        <v>4.2382915130040733</v>
      </c>
      <c r="AE197" s="903">
        <f t="shared" si="572"/>
        <v>4.2382915130040733</v>
      </c>
      <c r="AF197" s="141">
        <f t="shared" si="572"/>
        <v>4.8645436375749513</v>
      </c>
      <c r="AG197" s="141">
        <f t="shared" si="572"/>
        <v>4.9015171551537584</v>
      </c>
      <c r="AH197" s="141">
        <f t="shared" si="572"/>
        <v>4.8995360096832759</v>
      </c>
      <c r="AI197" s="141">
        <f t="shared" si="572"/>
        <v>4.4462769014624168</v>
      </c>
      <c r="AJ197" s="903">
        <f t="shared" si="572"/>
        <v>4.4462769014624168</v>
      </c>
      <c r="AK197" s="141">
        <f t="shared" si="572"/>
        <v>4.8861535033975727</v>
      </c>
      <c r="AL197" s="141">
        <f t="shared" si="572"/>
        <v>4.9597934595524951</v>
      </c>
      <c r="AM197" s="141">
        <f t="shared" si="572"/>
        <v>4.2790494786257325</v>
      </c>
      <c r="AN197" s="141">
        <f t="shared" si="572"/>
        <v>3.9457413523379108</v>
      </c>
      <c r="AO197" s="903">
        <f t="shared" si="572"/>
        <v>3.9457413523379108</v>
      </c>
      <c r="AP197" s="141">
        <f t="shared" si="572"/>
        <v>4.9969855180558147</v>
      </c>
      <c r="AQ197" s="141">
        <f t="shared" si="572"/>
        <v>4.5065073716319271</v>
      </c>
      <c r="AR197" s="141">
        <f t="shared" ref="AR197:BW197" si="573">AR17/AR49</f>
        <v>4.5496544673262145</v>
      </c>
      <c r="AS197" s="141">
        <f t="shared" si="573"/>
        <v>4.3136837998634538</v>
      </c>
      <c r="AT197" s="903">
        <f t="shared" si="573"/>
        <v>4.3136837998634538</v>
      </c>
      <c r="AU197" s="141">
        <f t="shared" si="573"/>
        <v>5.1063049958955595</v>
      </c>
      <c r="AV197" s="141">
        <f t="shared" si="573"/>
        <v>4.7932317505315378</v>
      </c>
      <c r="AW197" s="141">
        <f t="shared" si="573"/>
        <v>4.3192642570130486</v>
      </c>
      <c r="AX197" s="141">
        <f t="shared" si="573"/>
        <v>4.1698536690941586</v>
      </c>
      <c r="AY197" s="903">
        <f t="shared" si="573"/>
        <v>4.1698536690941586</v>
      </c>
      <c r="AZ197" s="141">
        <f t="shared" si="573"/>
        <v>4.7531608547051407</v>
      </c>
      <c r="BA197" s="141">
        <f t="shared" si="573"/>
        <v>4.7451942929696393</v>
      </c>
      <c r="BB197" s="141">
        <f t="shared" si="573"/>
        <v>4.7269952576181931</v>
      </c>
      <c r="BC197" s="141">
        <f t="shared" si="573"/>
        <v>3.646132486409694</v>
      </c>
      <c r="BD197" s="903">
        <f t="shared" si="573"/>
        <v>3.646132486409694</v>
      </c>
      <c r="BE197" s="141">
        <f t="shared" si="573"/>
        <v>3.5707189918761597</v>
      </c>
      <c r="BF197" s="141">
        <f t="shared" si="573"/>
        <v>3.8624800957232068</v>
      </c>
      <c r="BG197" s="141">
        <f t="shared" si="573"/>
        <v>3.8196462540980289</v>
      </c>
      <c r="BH197" s="141">
        <f t="shared" si="573"/>
        <v>3.787941492916246</v>
      </c>
      <c r="BI197" s="903">
        <f t="shared" si="573"/>
        <v>3.787941492916246</v>
      </c>
      <c r="BJ197" s="141">
        <f t="shared" si="573"/>
        <v>4.4803711969928344</v>
      </c>
      <c r="BK197" s="141">
        <f t="shared" si="573"/>
        <v>4.5238881849288717</v>
      </c>
      <c r="BL197" s="141">
        <f t="shared" si="573"/>
        <v>3.9672091806425978</v>
      </c>
      <c r="BM197" s="141">
        <f t="shared" si="573"/>
        <v>3.568727884591592</v>
      </c>
      <c r="BN197" s="903">
        <f t="shared" si="573"/>
        <v>3.568727884591592</v>
      </c>
      <c r="BO197" s="141">
        <f t="shared" si="573"/>
        <v>4.2709432030262198</v>
      </c>
      <c r="BP197" s="141">
        <f t="shared" si="573"/>
        <v>4.3446912784736007</v>
      </c>
      <c r="BQ197" s="141">
        <f t="shared" si="573"/>
        <v>4.022388328821429</v>
      </c>
      <c r="BR197" s="141">
        <f t="shared" si="573"/>
        <v>3.7800963978657522</v>
      </c>
      <c r="BS197" s="903">
        <f t="shared" si="573"/>
        <v>3.7800963978657522</v>
      </c>
      <c r="BT197" s="141">
        <f t="shared" si="573"/>
        <v>4.4103064313538631</v>
      </c>
      <c r="BU197" s="141">
        <f t="shared" si="573"/>
        <v>4.2349611371373896</v>
      </c>
      <c r="BV197" s="141">
        <f t="shared" si="573"/>
        <v>3.6630028922006663</v>
      </c>
      <c r="BW197" s="141">
        <f t="shared" si="573"/>
        <v>3.3772746248052212</v>
      </c>
      <c r="BX197" s="903">
        <f t="shared" ref="BX197:DC197" si="574">BX17/BX49</f>
        <v>3.3772746248052212</v>
      </c>
      <c r="BY197" s="141">
        <f t="shared" si="574"/>
        <v>4.1094370107075182</v>
      </c>
      <c r="BZ197" s="141">
        <f t="shared" si="574"/>
        <v>3.6073060868129909</v>
      </c>
      <c r="CA197" s="141">
        <f t="shared" si="574"/>
        <v>3.5603431515505006</v>
      </c>
      <c r="CB197" s="141">
        <f t="shared" si="574"/>
        <v>3.4953816441956538</v>
      </c>
      <c r="CC197" s="903">
        <f t="shared" si="574"/>
        <v>3.4953816441956538</v>
      </c>
      <c r="CD197" s="141">
        <f t="shared" si="574"/>
        <v>3.9455623599433198</v>
      </c>
      <c r="CE197" s="141">
        <f t="shared" si="574"/>
        <v>3.7824890204575712</v>
      </c>
      <c r="CF197" s="141">
        <f t="shared" si="574"/>
        <v>3.582439992060114</v>
      </c>
      <c r="CG197" s="141">
        <f t="shared" si="574"/>
        <v>3.4645558092722042</v>
      </c>
      <c r="CH197" s="903">
        <f t="shared" si="574"/>
        <v>3.4645558092722042</v>
      </c>
      <c r="CI197" s="141">
        <f t="shared" si="574"/>
        <v>4.1858289428332274</v>
      </c>
      <c r="CJ197" s="141">
        <f t="shared" si="574"/>
        <v>4.2998363167570561</v>
      </c>
      <c r="CK197" s="141">
        <f t="shared" si="574"/>
        <v>4.1689210916791852</v>
      </c>
      <c r="CL197" s="141">
        <f t="shared" si="574"/>
        <v>2.6041868080401405</v>
      </c>
      <c r="CM197" s="903">
        <f t="shared" si="574"/>
        <v>2.6041868080401405</v>
      </c>
      <c r="CN197" s="141">
        <f t="shared" si="574"/>
        <v>3.4002972241388463</v>
      </c>
      <c r="CO197" s="141">
        <f t="shared" si="574"/>
        <v>3.4609762330692559</v>
      </c>
      <c r="CP197" s="141">
        <f t="shared" si="574"/>
        <v>3.4006295809058447</v>
      </c>
      <c r="CQ197" s="141">
        <f t="shared" si="574"/>
        <v>2.9143236172016072</v>
      </c>
      <c r="CR197" s="903">
        <f t="shared" si="574"/>
        <v>2.9143236172016072</v>
      </c>
      <c r="CS197" s="141">
        <f t="shared" si="574"/>
        <v>3.6924014826375342</v>
      </c>
      <c r="CT197" s="141">
        <f t="shared" si="574"/>
        <v>3.6598584905660378</v>
      </c>
      <c r="CU197" s="141">
        <f t="shared" si="574"/>
        <v>3.5640457252140663</v>
      </c>
      <c r="CV197" s="141">
        <f t="shared" si="574"/>
        <v>3.5566583953680726</v>
      </c>
      <c r="CW197" s="830">
        <f t="shared" si="574"/>
        <v>3.5566583953680726</v>
      </c>
      <c r="CX197" s="141">
        <f t="shared" si="574"/>
        <v>3.0336557059961313</v>
      </c>
      <c r="CY197" s="141">
        <f t="shared" si="574"/>
        <v>3.353623188405797</v>
      </c>
      <c r="CZ197" s="141">
        <f t="shared" si="574"/>
        <v>3.2911538461538461</v>
      </c>
      <c r="DA197" s="141">
        <f t="shared" si="574"/>
        <v>3.2092286016202887</v>
      </c>
      <c r="DB197" s="830">
        <f t="shared" si="574"/>
        <v>3.2092286016202887</v>
      </c>
      <c r="DC197" s="141">
        <f t="shared" si="574"/>
        <v>3.3913020803594329</v>
      </c>
      <c r="DD197" s="141">
        <f t="shared" ref="DD197:DQ197" si="575">DD17/DD49</f>
        <v>3.75944028061947</v>
      </c>
      <c r="DE197" s="141">
        <f t="shared" si="575"/>
        <v>3.5689346130091644</v>
      </c>
      <c r="DF197" s="141">
        <f t="shared" si="575"/>
        <v>3.549648880889309</v>
      </c>
      <c r="DG197" s="830">
        <f t="shared" si="575"/>
        <v>3.549648880889309</v>
      </c>
      <c r="DH197" s="141">
        <f t="shared" si="575"/>
        <v>3.6730110458047234</v>
      </c>
      <c r="DI197" s="141">
        <f t="shared" si="575"/>
        <v>4.0655656695808533</v>
      </c>
      <c r="DJ197" s="141">
        <f t="shared" si="575"/>
        <v>3.9052382224257536</v>
      </c>
      <c r="DK197" s="141">
        <f t="shared" si="575"/>
        <v>3.841748095402223</v>
      </c>
      <c r="DL197" s="830">
        <f t="shared" si="575"/>
        <v>3.841748095402223</v>
      </c>
      <c r="DM197" s="141">
        <f t="shared" si="575"/>
        <v>3.9066341962824325</v>
      </c>
      <c r="DN197" s="141">
        <f t="shared" si="575"/>
        <v>4.3501272102530617</v>
      </c>
      <c r="DO197" s="141">
        <f t="shared" si="575"/>
        <v>4.2638504591199826</v>
      </c>
      <c r="DP197" s="141">
        <f t="shared" si="575"/>
        <v>4.191278580467122</v>
      </c>
      <c r="DQ197" s="830">
        <f t="shared" si="575"/>
        <v>4.191278580467122</v>
      </c>
      <c r="DR197" s="140"/>
      <c r="DS197" s="141"/>
      <c r="DT197"/>
      <c r="DU197"/>
      <c r="DV197"/>
      <c r="DW197"/>
      <c r="DX197"/>
      <c r="DY197"/>
    </row>
    <row r="198" spans="2:129" s="151" customFormat="1" hidden="1" outlineLevel="1">
      <c r="B198" s="140"/>
      <c r="C198" s="141" t="s">
        <v>237</v>
      </c>
      <c r="D198" s="141"/>
      <c r="E198" s="141"/>
      <c r="F198" s="141"/>
      <c r="G198" s="140"/>
      <c r="H198" s="141">
        <f>H17/H49</f>
        <v>4.016699653636814</v>
      </c>
      <c r="I198" s="141">
        <f>I17/I49</f>
        <v>3.7705816668358536</v>
      </c>
      <c r="J198" s="142">
        <f>J17/J49</f>
        <v>3.2713303991969727</v>
      </c>
      <c r="K198" s="903"/>
      <c r="L198" s="140">
        <f t="shared" ref="L198:AQ198" si="576">L17/L49</f>
        <v>4.0992781475578894</v>
      </c>
      <c r="M198" s="141">
        <f t="shared" si="576"/>
        <v>4.3628618452899603</v>
      </c>
      <c r="N198" s="141">
        <f t="shared" si="576"/>
        <v>4.2650275614664457</v>
      </c>
      <c r="O198" s="141">
        <f t="shared" si="576"/>
        <v>4.2949863677673425</v>
      </c>
      <c r="P198" s="903">
        <f t="shared" si="576"/>
        <v>4.2949863677673425</v>
      </c>
      <c r="Q198" s="140">
        <f t="shared" si="576"/>
        <v>5.2637802121370205</v>
      </c>
      <c r="R198" s="141">
        <f t="shared" si="576"/>
        <v>4.6345400838084769</v>
      </c>
      <c r="S198" s="141">
        <f t="shared" si="576"/>
        <v>3.9113017154389502</v>
      </c>
      <c r="T198" s="142">
        <f t="shared" si="576"/>
        <v>3.301511862884515</v>
      </c>
      <c r="U198" s="903">
        <f t="shared" si="576"/>
        <v>3.301511862884515</v>
      </c>
      <c r="V198" s="141">
        <f t="shared" si="576"/>
        <v>4.3227989871445258</v>
      </c>
      <c r="W198" s="141">
        <f t="shared" si="576"/>
        <v>4.9388836610370959</v>
      </c>
      <c r="X198" s="141">
        <f t="shared" si="576"/>
        <v>4.6946835443037971</v>
      </c>
      <c r="Y198" s="142">
        <f t="shared" si="576"/>
        <v>5.4076412572587333</v>
      </c>
      <c r="Z198" s="903">
        <f t="shared" si="576"/>
        <v>5.4076412572587333</v>
      </c>
      <c r="AA198" s="141">
        <f t="shared" si="576"/>
        <v>5.6819889107494195</v>
      </c>
      <c r="AB198" s="141">
        <f t="shared" si="576"/>
        <v>4.6699887878410351</v>
      </c>
      <c r="AC198" s="141">
        <f t="shared" si="576"/>
        <v>5.1807110947922403</v>
      </c>
      <c r="AD198" s="141">
        <f t="shared" si="576"/>
        <v>4.2382915130040733</v>
      </c>
      <c r="AE198" s="903">
        <f t="shared" si="576"/>
        <v>4.2382915130040733</v>
      </c>
      <c r="AF198" s="141">
        <f t="shared" si="576"/>
        <v>4.8645436375749513</v>
      </c>
      <c r="AG198" s="141">
        <f t="shared" si="576"/>
        <v>4.9015171551537584</v>
      </c>
      <c r="AH198" s="141">
        <f t="shared" si="576"/>
        <v>4.8995360096832759</v>
      </c>
      <c r="AI198" s="141">
        <f t="shared" si="576"/>
        <v>4.4462769014624168</v>
      </c>
      <c r="AJ198" s="903">
        <f t="shared" si="576"/>
        <v>4.4462769014624168</v>
      </c>
      <c r="AK198" s="141">
        <f t="shared" si="576"/>
        <v>4.8861535033975727</v>
      </c>
      <c r="AL198" s="141">
        <f t="shared" si="576"/>
        <v>4.9597934595524951</v>
      </c>
      <c r="AM198" s="141">
        <f t="shared" si="576"/>
        <v>4.2790494786257325</v>
      </c>
      <c r="AN198" s="141">
        <f t="shared" si="576"/>
        <v>3.9457413523379108</v>
      </c>
      <c r="AO198" s="903">
        <f t="shared" si="576"/>
        <v>3.9457413523379108</v>
      </c>
      <c r="AP198" s="141">
        <f t="shared" si="576"/>
        <v>4.9969855180558147</v>
      </c>
      <c r="AQ198" s="141">
        <f t="shared" si="576"/>
        <v>4.5065073716319271</v>
      </c>
      <c r="AR198" s="141">
        <f t="shared" ref="AR198:BW198" si="577">AR17/AR49</f>
        <v>4.5496544673262145</v>
      </c>
      <c r="AS198" s="141">
        <f t="shared" si="577"/>
        <v>4.3136837998634538</v>
      </c>
      <c r="AT198" s="903">
        <f t="shared" si="577"/>
        <v>4.3136837998634538</v>
      </c>
      <c r="AU198" s="141">
        <f t="shared" si="577"/>
        <v>5.1063049958955595</v>
      </c>
      <c r="AV198" s="141">
        <f t="shared" si="577"/>
        <v>4.7932317505315378</v>
      </c>
      <c r="AW198" s="141">
        <f t="shared" si="577"/>
        <v>4.3192642570130486</v>
      </c>
      <c r="AX198" s="141">
        <f t="shared" si="577"/>
        <v>4.1698536690941586</v>
      </c>
      <c r="AY198" s="903">
        <f t="shared" si="577"/>
        <v>4.1698536690941586</v>
      </c>
      <c r="AZ198" s="141">
        <f t="shared" si="577"/>
        <v>4.7531608547051407</v>
      </c>
      <c r="BA198" s="141">
        <f t="shared" si="577"/>
        <v>4.7451942929696393</v>
      </c>
      <c r="BB198" s="141">
        <f t="shared" si="577"/>
        <v>4.7269952576181931</v>
      </c>
      <c r="BC198" s="141">
        <f t="shared" si="577"/>
        <v>3.646132486409694</v>
      </c>
      <c r="BD198" s="903">
        <f t="shared" si="577"/>
        <v>3.646132486409694</v>
      </c>
      <c r="BE198" s="141">
        <f t="shared" si="577"/>
        <v>3.5707189918761597</v>
      </c>
      <c r="BF198" s="141">
        <f t="shared" si="577"/>
        <v>3.8624800957232068</v>
      </c>
      <c r="BG198" s="141">
        <f t="shared" si="577"/>
        <v>3.8196462540980289</v>
      </c>
      <c r="BH198" s="141">
        <f t="shared" si="577"/>
        <v>3.787941492916246</v>
      </c>
      <c r="BI198" s="903">
        <f t="shared" si="577"/>
        <v>3.787941492916246</v>
      </c>
      <c r="BJ198" s="141">
        <f t="shared" si="577"/>
        <v>4.4803711969928344</v>
      </c>
      <c r="BK198" s="141">
        <f t="shared" si="577"/>
        <v>4.5238881849288717</v>
      </c>
      <c r="BL198" s="141">
        <f t="shared" si="577"/>
        <v>3.9672091806425978</v>
      </c>
      <c r="BM198" s="141">
        <f t="shared" si="577"/>
        <v>3.568727884591592</v>
      </c>
      <c r="BN198" s="903">
        <f t="shared" si="577"/>
        <v>3.568727884591592</v>
      </c>
      <c r="BO198" s="141">
        <f t="shared" si="577"/>
        <v>4.2709432030262198</v>
      </c>
      <c r="BP198" s="141">
        <f t="shared" si="577"/>
        <v>4.3446912784736007</v>
      </c>
      <c r="BQ198" s="141">
        <f t="shared" si="577"/>
        <v>4.022388328821429</v>
      </c>
      <c r="BR198" s="141">
        <f t="shared" si="577"/>
        <v>3.7800963978657522</v>
      </c>
      <c r="BS198" s="903">
        <f t="shared" si="577"/>
        <v>3.7800963978657522</v>
      </c>
      <c r="BT198" s="141">
        <f t="shared" si="577"/>
        <v>4.4103064313538631</v>
      </c>
      <c r="BU198" s="141">
        <f t="shared" si="577"/>
        <v>4.2349611371373896</v>
      </c>
      <c r="BV198" s="141">
        <f t="shared" si="577"/>
        <v>3.6630028922006663</v>
      </c>
      <c r="BW198" s="141">
        <f t="shared" si="577"/>
        <v>3.3772746248052212</v>
      </c>
      <c r="BX198" s="903">
        <f t="shared" ref="BX198:DC198" si="578">BX17/BX49</f>
        <v>3.3772746248052212</v>
      </c>
      <c r="BY198" s="141">
        <f t="shared" si="578"/>
        <v>4.1094370107075182</v>
      </c>
      <c r="BZ198" s="141">
        <f t="shared" si="578"/>
        <v>3.6073060868129909</v>
      </c>
      <c r="CA198" s="141">
        <f t="shared" si="578"/>
        <v>3.5603431515505006</v>
      </c>
      <c r="CB198" s="141">
        <f t="shared" si="578"/>
        <v>3.4953816441956538</v>
      </c>
      <c r="CC198" s="903">
        <f t="shared" si="578"/>
        <v>3.4953816441956538</v>
      </c>
      <c r="CD198" s="141">
        <f t="shared" si="578"/>
        <v>3.9455623599433198</v>
      </c>
      <c r="CE198" s="141">
        <f t="shared" si="578"/>
        <v>3.7824890204575712</v>
      </c>
      <c r="CF198" s="141">
        <f t="shared" si="578"/>
        <v>3.582439992060114</v>
      </c>
      <c r="CG198" s="141">
        <f t="shared" si="578"/>
        <v>3.4645558092722042</v>
      </c>
      <c r="CH198" s="903">
        <f t="shared" si="578"/>
        <v>3.4645558092722042</v>
      </c>
      <c r="CI198" s="141">
        <f t="shared" si="578"/>
        <v>4.1858289428332274</v>
      </c>
      <c r="CJ198" s="141">
        <f t="shared" si="578"/>
        <v>4.2998363167570561</v>
      </c>
      <c r="CK198" s="141">
        <f t="shared" si="578"/>
        <v>4.1689210916791852</v>
      </c>
      <c r="CL198" s="141">
        <f t="shared" si="578"/>
        <v>2.6041868080401405</v>
      </c>
      <c r="CM198" s="903">
        <f t="shared" si="578"/>
        <v>2.6041868080401405</v>
      </c>
      <c r="CN198" s="141">
        <f t="shared" si="578"/>
        <v>3.4002972241388463</v>
      </c>
      <c r="CO198" s="141">
        <f t="shared" si="578"/>
        <v>3.4609762330692559</v>
      </c>
      <c r="CP198" s="141">
        <f t="shared" si="578"/>
        <v>3.4006295809058447</v>
      </c>
      <c r="CQ198" s="141">
        <f t="shared" si="578"/>
        <v>2.9143236172016072</v>
      </c>
      <c r="CR198" s="903">
        <f t="shared" si="578"/>
        <v>2.9143236172016072</v>
      </c>
      <c r="CS198" s="141">
        <f t="shared" si="578"/>
        <v>3.6924014826375342</v>
      </c>
      <c r="CT198" s="141">
        <f t="shared" si="578"/>
        <v>3.6598584905660378</v>
      </c>
      <c r="CU198" s="141">
        <f t="shared" si="578"/>
        <v>3.5640457252140663</v>
      </c>
      <c r="CV198" s="141">
        <f t="shared" si="578"/>
        <v>3.5566583953680726</v>
      </c>
      <c r="CW198" s="830">
        <f t="shared" si="578"/>
        <v>3.5566583953680726</v>
      </c>
      <c r="CX198" s="141">
        <f t="shared" si="578"/>
        <v>3.0336557059961313</v>
      </c>
      <c r="CY198" s="141">
        <f t="shared" si="578"/>
        <v>3.353623188405797</v>
      </c>
      <c r="CZ198" s="141">
        <f t="shared" si="578"/>
        <v>3.2911538461538461</v>
      </c>
      <c r="DA198" s="141">
        <f t="shared" si="578"/>
        <v>3.2092286016202887</v>
      </c>
      <c r="DB198" s="830">
        <f t="shared" si="578"/>
        <v>3.2092286016202887</v>
      </c>
      <c r="DC198" s="141">
        <f t="shared" si="578"/>
        <v>3.3913020803594329</v>
      </c>
      <c r="DD198" s="141">
        <f t="shared" ref="DD198:DQ198" si="579">DD17/DD49</f>
        <v>3.75944028061947</v>
      </c>
      <c r="DE198" s="141">
        <f t="shared" si="579"/>
        <v>3.5689346130091644</v>
      </c>
      <c r="DF198" s="141">
        <f t="shared" si="579"/>
        <v>3.549648880889309</v>
      </c>
      <c r="DG198" s="830">
        <f t="shared" si="579"/>
        <v>3.549648880889309</v>
      </c>
      <c r="DH198" s="141">
        <f t="shared" si="579"/>
        <v>3.6730110458047234</v>
      </c>
      <c r="DI198" s="141">
        <f t="shared" si="579"/>
        <v>4.0655656695808533</v>
      </c>
      <c r="DJ198" s="141">
        <f t="shared" si="579"/>
        <v>3.9052382224257536</v>
      </c>
      <c r="DK198" s="141">
        <f t="shared" si="579"/>
        <v>3.841748095402223</v>
      </c>
      <c r="DL198" s="830">
        <f t="shared" si="579"/>
        <v>3.841748095402223</v>
      </c>
      <c r="DM198" s="141">
        <f t="shared" si="579"/>
        <v>3.9066341962824325</v>
      </c>
      <c r="DN198" s="141">
        <f t="shared" si="579"/>
        <v>4.3501272102530617</v>
      </c>
      <c r="DO198" s="141">
        <f t="shared" si="579"/>
        <v>4.2638504591199826</v>
      </c>
      <c r="DP198" s="141">
        <f t="shared" si="579"/>
        <v>4.191278580467122</v>
      </c>
      <c r="DQ198" s="830">
        <f t="shared" si="579"/>
        <v>4.191278580467122</v>
      </c>
      <c r="DR198" s="140"/>
      <c r="DS198" s="141"/>
      <c r="DT198"/>
      <c r="DU198"/>
      <c r="DV198"/>
      <c r="DW198"/>
      <c r="DX198"/>
      <c r="DY198"/>
    </row>
    <row r="199" spans="2:129" s="151" customFormat="1" hidden="1" outlineLevel="1">
      <c r="B199" s="140"/>
      <c r="C199" s="141" t="s">
        <v>238</v>
      </c>
      <c r="D199" s="141"/>
      <c r="E199" s="141"/>
      <c r="F199" s="141"/>
      <c r="G199" s="140"/>
      <c r="H199" s="141">
        <f>SUM(H11:H12)/H49</f>
        <v>2.6614299851558636</v>
      </c>
      <c r="I199" s="141">
        <f>SUM(I11:I12)/I49</f>
        <v>2.6447061212059686</v>
      </c>
      <c r="J199" s="142">
        <f>SUM(J11:J12)/J49</f>
        <v>2.1942707126862788</v>
      </c>
      <c r="K199" s="903"/>
      <c r="L199" s="140">
        <f t="shared" ref="L199:AQ199" si="580">SUM(L11:L12)/L49</f>
        <v>2.35323896128246</v>
      </c>
      <c r="M199" s="141">
        <f t="shared" si="580"/>
        <v>2.8423855165069223</v>
      </c>
      <c r="N199" s="141">
        <f t="shared" si="580"/>
        <v>2.947326975238429</v>
      </c>
      <c r="O199" s="141">
        <f t="shared" si="580"/>
        <v>3.229400181763102</v>
      </c>
      <c r="P199" s="903">
        <f t="shared" si="580"/>
        <v>3.229400181763102</v>
      </c>
      <c r="Q199" s="140">
        <f t="shared" si="580"/>
        <v>3.5089549643540257</v>
      </c>
      <c r="R199" s="141">
        <f t="shared" si="580"/>
        <v>3.1056536374252937</v>
      </c>
      <c r="S199" s="141">
        <f t="shared" si="580"/>
        <v>2.6657921291624622</v>
      </c>
      <c r="T199" s="142">
        <f t="shared" si="580"/>
        <v>2.3192874784821496</v>
      </c>
      <c r="U199" s="903">
        <f t="shared" si="580"/>
        <v>2.3192874784821496</v>
      </c>
      <c r="V199" s="141">
        <f t="shared" si="580"/>
        <v>2.96873782625633</v>
      </c>
      <c r="W199" s="141">
        <f t="shared" si="580"/>
        <v>3.3509484423753162</v>
      </c>
      <c r="X199" s="141">
        <f t="shared" si="580"/>
        <v>3.3656962025316455</v>
      </c>
      <c r="Y199" s="142">
        <f t="shared" si="580"/>
        <v>3.916351737487326</v>
      </c>
      <c r="Z199" s="903">
        <f t="shared" si="580"/>
        <v>3.916351737487326</v>
      </c>
      <c r="AA199" s="141">
        <f t="shared" si="580"/>
        <v>4.0773564657485251</v>
      </c>
      <c r="AB199" s="141">
        <f t="shared" si="580"/>
        <v>3.2341783979070633</v>
      </c>
      <c r="AC199" s="141">
        <f t="shared" si="580"/>
        <v>3.7660485894376103</v>
      </c>
      <c r="AD199" s="141">
        <f t="shared" si="580"/>
        <v>3.0421818883023595</v>
      </c>
      <c r="AE199" s="903">
        <f t="shared" si="580"/>
        <v>3.0421818883023595</v>
      </c>
      <c r="AF199" s="141">
        <f t="shared" si="580"/>
        <v>3.375003331112592</v>
      </c>
      <c r="AG199" s="141">
        <f t="shared" si="580"/>
        <v>3.3117501382510639</v>
      </c>
      <c r="AH199" s="141">
        <f t="shared" si="580"/>
        <v>3.2226951785354045</v>
      </c>
      <c r="AI199" s="141">
        <f t="shared" si="580"/>
        <v>3.1007886838239989</v>
      </c>
      <c r="AJ199" s="903">
        <f t="shared" si="580"/>
        <v>3.1007886838239989</v>
      </c>
      <c r="AK199" s="141">
        <f t="shared" si="580"/>
        <v>3.1645793217587808</v>
      </c>
      <c r="AL199" s="141">
        <f t="shared" si="580"/>
        <v>3.2106437177280549</v>
      </c>
      <c r="AM199" s="141">
        <f t="shared" si="580"/>
        <v>2.8082651323168957</v>
      </c>
      <c r="AN199" s="141">
        <f t="shared" si="580"/>
        <v>2.735624891361029</v>
      </c>
      <c r="AO199" s="903">
        <f t="shared" si="580"/>
        <v>2.735624891361029</v>
      </c>
      <c r="AP199" s="141">
        <f t="shared" si="580"/>
        <v>3.2568214307912235</v>
      </c>
      <c r="AQ199" s="141">
        <f t="shared" si="580"/>
        <v>2.7690391459074735</v>
      </c>
      <c r="AR199" s="141">
        <f t="shared" ref="AR199:BW199" si="581">SUM(AR11:AR12)/AR49</f>
        <v>2.8326453428037728</v>
      </c>
      <c r="AS199" s="141">
        <f t="shared" si="581"/>
        <v>2.7569231769563376</v>
      </c>
      <c r="AT199" s="903">
        <f t="shared" si="581"/>
        <v>2.7569231769563376</v>
      </c>
      <c r="AU199" s="141">
        <f t="shared" si="581"/>
        <v>3.0426717744142171</v>
      </c>
      <c r="AV199" s="141">
        <f t="shared" si="581"/>
        <v>2.7651783605008267</v>
      </c>
      <c r="AW199" s="141">
        <f t="shared" si="581"/>
        <v>2.5112316615169656</v>
      </c>
      <c r="AX199" s="141">
        <f t="shared" si="581"/>
        <v>2.5978004272493718</v>
      </c>
      <c r="AY199" s="903">
        <f t="shared" si="581"/>
        <v>2.5978004272493718</v>
      </c>
      <c r="AZ199" s="141">
        <f t="shared" si="581"/>
        <v>2.8123918874877787</v>
      </c>
      <c r="BA199" s="141">
        <f t="shared" si="581"/>
        <v>2.7409645761213954</v>
      </c>
      <c r="BB199" s="141">
        <f t="shared" si="581"/>
        <v>2.8260684327790084</v>
      </c>
      <c r="BC199" s="141">
        <f t="shared" si="581"/>
        <v>1.9678793251224009</v>
      </c>
      <c r="BD199" s="903">
        <f t="shared" si="581"/>
        <v>1.9678793251224009</v>
      </c>
      <c r="BE199" s="141">
        <f t="shared" si="581"/>
        <v>1.5190526450457367</v>
      </c>
      <c r="BF199" s="141">
        <f t="shared" si="581"/>
        <v>1.678115495041818</v>
      </c>
      <c r="BG199" s="141">
        <f t="shared" si="581"/>
        <v>1.7213051246321169</v>
      </c>
      <c r="BH199" s="141">
        <f t="shared" si="581"/>
        <v>1.9675548342651914</v>
      </c>
      <c r="BI199" s="903">
        <f t="shared" si="581"/>
        <v>1.9675548342651914</v>
      </c>
      <c r="BJ199" s="141">
        <f t="shared" si="581"/>
        <v>2.3747210149183604</v>
      </c>
      <c r="BK199" s="141">
        <f t="shared" si="581"/>
        <v>2.5218720662395024</v>
      </c>
      <c r="BL199" s="141">
        <f t="shared" si="581"/>
        <v>2.3264388029285525</v>
      </c>
      <c r="BM199" s="141">
        <f t="shared" si="581"/>
        <v>2.1641117957093012</v>
      </c>
      <c r="BN199" s="903">
        <f t="shared" si="581"/>
        <v>2.1641117957093012</v>
      </c>
      <c r="BO199" s="141">
        <f t="shared" si="581"/>
        <v>2.4801322155092049</v>
      </c>
      <c r="BP199" s="141">
        <f t="shared" si="581"/>
        <v>2.5588663533654068</v>
      </c>
      <c r="BQ199" s="141">
        <f t="shared" si="581"/>
        <v>2.3985207089554557</v>
      </c>
      <c r="BR199" s="141">
        <f t="shared" si="581"/>
        <v>2.3920982115037073</v>
      </c>
      <c r="BS199" s="903">
        <f t="shared" si="581"/>
        <v>2.3920982115037073</v>
      </c>
      <c r="BT199" s="141">
        <f t="shared" si="581"/>
        <v>2.7043530540230729</v>
      </c>
      <c r="BU199" s="141">
        <f t="shared" si="581"/>
        <v>2.5575121907790717</v>
      </c>
      <c r="BV199" s="141">
        <f t="shared" si="581"/>
        <v>2.2016046428948908</v>
      </c>
      <c r="BW199" s="141">
        <f t="shared" si="581"/>
        <v>2.0106257310666651</v>
      </c>
      <c r="BX199" s="903">
        <f t="shared" ref="BX199:DC199" si="582">SUM(BX11:BX12)/BX49</f>
        <v>2.0106257310666651</v>
      </c>
      <c r="BY199" s="141">
        <f t="shared" si="582"/>
        <v>2.4393705721937438</v>
      </c>
      <c r="BZ199" s="141">
        <f t="shared" si="582"/>
        <v>2.0381827737936486</v>
      </c>
      <c r="CA199" s="141">
        <f t="shared" si="582"/>
        <v>2.0631645954649933</v>
      </c>
      <c r="CB199" s="141">
        <f t="shared" si="582"/>
        <v>2.0792097754350807</v>
      </c>
      <c r="CC199" s="903">
        <f t="shared" si="582"/>
        <v>2.0792097754350807</v>
      </c>
      <c r="CD199" s="141">
        <f t="shared" si="582"/>
        <v>2.2388234056074063</v>
      </c>
      <c r="CE199" s="141">
        <f t="shared" si="582"/>
        <v>2.1370186480924955</v>
      </c>
      <c r="CF199" s="141">
        <f t="shared" si="582"/>
        <v>2.0977024265342021</v>
      </c>
      <c r="CG199" s="141">
        <f t="shared" si="582"/>
        <v>2.1118377601002645</v>
      </c>
      <c r="CH199" s="903">
        <f t="shared" si="582"/>
        <v>2.1118377601002645</v>
      </c>
      <c r="CI199" s="141">
        <f t="shared" si="582"/>
        <v>2.5717422577927773</v>
      </c>
      <c r="CJ199" s="141">
        <f t="shared" si="582"/>
        <v>2.6339995483720338</v>
      </c>
      <c r="CK199" s="141">
        <f t="shared" si="582"/>
        <v>2.6520668816581914</v>
      </c>
      <c r="CL199" s="141">
        <f t="shared" si="582"/>
        <v>1.4562457997279419</v>
      </c>
      <c r="CM199" s="903">
        <f t="shared" si="582"/>
        <v>1.4562457997279419</v>
      </c>
      <c r="CN199" s="141">
        <f t="shared" si="582"/>
        <v>1.7779311076906748</v>
      </c>
      <c r="CO199" s="141">
        <f t="shared" si="582"/>
        <v>1.8228980322003578</v>
      </c>
      <c r="CP199" s="141">
        <f t="shared" si="582"/>
        <v>1.9031666979891</v>
      </c>
      <c r="CQ199" s="141">
        <f t="shared" si="582"/>
        <v>1.8238935770350446</v>
      </c>
      <c r="CR199" s="903">
        <f t="shared" si="582"/>
        <v>1.8238935770350446</v>
      </c>
      <c r="CS199" s="141">
        <f t="shared" si="582"/>
        <v>2.1711373390557944</v>
      </c>
      <c r="CT199" s="141">
        <f t="shared" si="582"/>
        <v>2.1137735849056605</v>
      </c>
      <c r="CU199" s="141">
        <f t="shared" si="582"/>
        <v>2.1117920632850873</v>
      </c>
      <c r="CV199" s="141">
        <f t="shared" si="582"/>
        <v>2.1377171215880892</v>
      </c>
      <c r="CW199" s="830">
        <f t="shared" si="582"/>
        <v>2.1377171215880892</v>
      </c>
      <c r="CX199" s="141">
        <f t="shared" si="582"/>
        <v>1.6533849129593809</v>
      </c>
      <c r="CY199" s="141">
        <f t="shared" si="582"/>
        <v>1.8128364389233955</v>
      </c>
      <c r="CZ199" s="141">
        <f t="shared" si="582"/>
        <v>1.8126923076923076</v>
      </c>
      <c r="DA199" s="141">
        <f t="shared" si="582"/>
        <v>1.7809087706939064</v>
      </c>
      <c r="DB199" s="830">
        <f t="shared" si="582"/>
        <v>1.7809087706939064</v>
      </c>
      <c r="DC199" s="141">
        <f t="shared" si="582"/>
        <v>1.8830721713589993</v>
      </c>
      <c r="DD199" s="141">
        <f t="shared" ref="DD199:DQ199" si="583">SUM(DD11:DD12)/DD49</f>
        <v>2.0594348553753843</v>
      </c>
      <c r="DE199" s="141">
        <f t="shared" si="583"/>
        <v>1.9905274465523115</v>
      </c>
      <c r="DF199" s="141">
        <f t="shared" si="583"/>
        <v>2.0297464573535775</v>
      </c>
      <c r="DG199" s="830">
        <f t="shared" si="583"/>
        <v>2.0297464573535775</v>
      </c>
      <c r="DH199" s="141">
        <f t="shared" si="583"/>
        <v>2.1396127096241244</v>
      </c>
      <c r="DI199" s="141">
        <f t="shared" si="583"/>
        <v>2.3378271036025557</v>
      </c>
      <c r="DJ199" s="141">
        <f t="shared" si="583"/>
        <v>2.2656122817450104</v>
      </c>
      <c r="DK199" s="141">
        <f t="shared" si="583"/>
        <v>2.2744707828015183</v>
      </c>
      <c r="DL199" s="830">
        <f t="shared" si="583"/>
        <v>2.2744707828015183</v>
      </c>
      <c r="DM199" s="141">
        <f t="shared" si="583"/>
        <v>2.3702619412654191</v>
      </c>
      <c r="DN199" s="141">
        <f t="shared" si="583"/>
        <v>2.6143712695651842</v>
      </c>
      <c r="DO199" s="141">
        <f t="shared" si="583"/>
        <v>2.575584933271327</v>
      </c>
      <c r="DP199" s="141">
        <f t="shared" si="583"/>
        <v>2.5802216417098229</v>
      </c>
      <c r="DQ199" s="830">
        <f t="shared" si="583"/>
        <v>2.5802216417098229</v>
      </c>
      <c r="DR199" s="140"/>
      <c r="DS199" s="141"/>
      <c r="DT199"/>
      <c r="DU199"/>
      <c r="DV199"/>
      <c r="DW199"/>
      <c r="DX199"/>
      <c r="DY199"/>
    </row>
    <row r="200" spans="2:129" s="144" customFormat="1" hidden="1" outlineLevel="1">
      <c r="B200" s="138"/>
      <c r="C200" s="139"/>
      <c r="D200" s="139"/>
      <c r="E200" s="139"/>
      <c r="F200" s="139"/>
      <c r="G200" s="138"/>
      <c r="H200" s="139"/>
      <c r="I200" s="139"/>
      <c r="J200" s="150"/>
      <c r="K200" s="352"/>
      <c r="L200" s="138"/>
      <c r="M200" s="139"/>
      <c r="N200" s="139"/>
      <c r="O200" s="150"/>
      <c r="P200" s="352"/>
      <c r="Q200" s="138"/>
      <c r="R200" s="139"/>
      <c r="S200" s="139"/>
      <c r="T200" s="150"/>
      <c r="U200" s="352"/>
      <c r="V200" s="138"/>
      <c r="W200" s="139"/>
      <c r="X200" s="139"/>
      <c r="Y200" s="150"/>
      <c r="Z200" s="352"/>
      <c r="AA200" s="138"/>
      <c r="AB200" s="139"/>
      <c r="AC200" s="139"/>
      <c r="AD200" s="139"/>
      <c r="AE200" s="352"/>
      <c r="AF200" s="139"/>
      <c r="AG200" s="139"/>
      <c r="AH200" s="139"/>
      <c r="AI200" s="139"/>
      <c r="AJ200" s="352"/>
      <c r="AK200" s="139"/>
      <c r="AL200" s="139"/>
      <c r="AM200" s="139"/>
      <c r="AN200" s="139"/>
      <c r="AO200" s="352"/>
      <c r="AP200" s="139"/>
      <c r="AQ200" s="139"/>
      <c r="AR200" s="139"/>
      <c r="AS200" s="139"/>
      <c r="AT200" s="352"/>
      <c r="AU200" s="139"/>
      <c r="AV200" s="139"/>
      <c r="AW200" s="139"/>
      <c r="AX200" s="139"/>
      <c r="AY200" s="352"/>
      <c r="AZ200" s="139"/>
      <c r="BA200" s="139"/>
      <c r="BB200" s="139"/>
      <c r="BC200" s="139"/>
      <c r="BD200" s="352"/>
      <c r="BE200" s="139"/>
      <c r="BF200" s="139"/>
      <c r="BG200" s="139"/>
      <c r="BH200" s="139"/>
      <c r="BI200" s="352"/>
      <c r="BJ200" s="139"/>
      <c r="BK200" s="139"/>
      <c r="BL200" s="139"/>
      <c r="BM200" s="139"/>
      <c r="BN200" s="352"/>
      <c r="BO200" s="139"/>
      <c r="BP200" s="139"/>
      <c r="BQ200" s="139"/>
      <c r="BR200" s="139"/>
      <c r="BS200" s="352"/>
      <c r="BT200" s="139"/>
      <c r="BU200" s="139"/>
      <c r="BV200" s="139"/>
      <c r="BW200" s="139"/>
      <c r="BX200" s="352"/>
      <c r="BY200" s="139"/>
      <c r="BZ200" s="139"/>
      <c r="CA200" s="139"/>
      <c r="CB200" s="139"/>
      <c r="CC200" s="352"/>
      <c r="CD200" s="139"/>
      <c r="CE200" s="139"/>
      <c r="CF200" s="139"/>
      <c r="CG200" s="139"/>
      <c r="CH200" s="352"/>
      <c r="CI200" s="139"/>
      <c r="CJ200" s="139"/>
      <c r="CK200" s="139"/>
      <c r="CL200" s="139"/>
      <c r="CM200" s="352"/>
      <c r="CN200" s="139"/>
      <c r="CO200" s="139"/>
      <c r="CP200" s="139"/>
      <c r="CQ200" s="139"/>
      <c r="CR200" s="352"/>
      <c r="CS200" s="139"/>
      <c r="CT200" s="139"/>
      <c r="CU200" s="139"/>
      <c r="CV200" s="139"/>
      <c r="CW200" s="825"/>
      <c r="CX200" s="139"/>
      <c r="CY200" s="139"/>
      <c r="CZ200" s="139"/>
      <c r="DA200" s="139"/>
      <c r="DB200" s="825"/>
      <c r="DC200" s="139"/>
      <c r="DD200" s="139"/>
      <c r="DE200" s="139"/>
      <c r="DF200" s="139"/>
      <c r="DG200" s="825"/>
      <c r="DH200" s="139"/>
      <c r="DI200" s="139"/>
      <c r="DJ200" s="139"/>
      <c r="DK200" s="139"/>
      <c r="DL200" s="825"/>
      <c r="DM200" s="139"/>
      <c r="DN200" s="139"/>
      <c r="DO200" s="139"/>
      <c r="DP200" s="139"/>
      <c r="DQ200" s="825"/>
      <c r="DR200" s="186"/>
      <c r="DS200" s="139"/>
      <c r="DT200"/>
      <c r="DU200"/>
      <c r="DV200"/>
      <c r="DW200"/>
      <c r="DX200"/>
      <c r="DY200"/>
    </row>
    <row r="201" spans="2:129" s="202" customFormat="1" hidden="1" outlineLevel="1">
      <c r="B201" s="273" t="s">
        <v>239</v>
      </c>
      <c r="C201" s="269"/>
      <c r="D201" s="269"/>
      <c r="E201" s="269"/>
      <c r="F201" s="269"/>
      <c r="G201" s="268"/>
      <c r="H201" s="270"/>
      <c r="I201" s="270"/>
      <c r="J201" s="271"/>
      <c r="K201" s="819"/>
      <c r="L201" s="268"/>
      <c r="M201" s="270"/>
      <c r="N201" s="270"/>
      <c r="O201" s="270"/>
      <c r="P201" s="819"/>
      <c r="Q201" s="268"/>
      <c r="R201" s="270"/>
      <c r="S201" s="270"/>
      <c r="T201" s="271"/>
      <c r="U201" s="819"/>
      <c r="V201" s="270"/>
      <c r="W201" s="270"/>
      <c r="X201" s="270"/>
      <c r="Y201" s="271"/>
      <c r="Z201" s="819"/>
      <c r="AA201" s="270"/>
      <c r="AB201" s="270"/>
      <c r="AC201" s="270"/>
      <c r="AD201" s="270"/>
      <c r="AE201" s="819"/>
      <c r="AF201" s="270"/>
      <c r="AG201" s="270"/>
      <c r="AH201" s="270"/>
      <c r="AI201" s="270"/>
      <c r="AJ201" s="819"/>
      <c r="AK201" s="270"/>
      <c r="AL201" s="270"/>
      <c r="AM201" s="270"/>
      <c r="AN201" s="270"/>
      <c r="AO201" s="819"/>
      <c r="AP201" s="270"/>
      <c r="AQ201" s="270"/>
      <c r="AR201" s="270"/>
      <c r="AS201" s="270"/>
      <c r="AT201" s="819"/>
      <c r="AU201" s="270"/>
      <c r="AV201" s="270"/>
      <c r="AW201" s="270"/>
      <c r="AX201" s="270"/>
      <c r="AY201" s="819"/>
      <c r="AZ201" s="270"/>
      <c r="BA201" s="270"/>
      <c r="BB201" s="270"/>
      <c r="BC201" s="270"/>
      <c r="BD201" s="819"/>
      <c r="BE201" s="270"/>
      <c r="BF201" s="270"/>
      <c r="BG201" s="270"/>
      <c r="BH201" s="270"/>
      <c r="BI201" s="819"/>
      <c r="BJ201" s="270"/>
      <c r="BK201" s="270"/>
      <c r="BL201" s="270"/>
      <c r="BM201" s="270"/>
      <c r="BN201" s="819"/>
      <c r="BO201" s="270"/>
      <c r="BP201" s="270"/>
      <c r="BQ201" s="270"/>
      <c r="BR201" s="270"/>
      <c r="BS201" s="819"/>
      <c r="BT201" s="270"/>
      <c r="BU201" s="270"/>
      <c r="BV201" s="270"/>
      <c r="BW201" s="270"/>
      <c r="BX201" s="819"/>
      <c r="BY201" s="270"/>
      <c r="BZ201" s="270"/>
      <c r="CA201" s="270"/>
      <c r="CB201" s="270"/>
      <c r="CC201" s="819"/>
      <c r="CD201" s="270"/>
      <c r="CE201" s="270"/>
      <c r="CF201" s="270"/>
      <c r="CG201" s="270"/>
      <c r="CH201" s="819"/>
      <c r="CI201" s="270"/>
      <c r="CJ201" s="270"/>
      <c r="CK201" s="270"/>
      <c r="CL201" s="270"/>
      <c r="CM201" s="819"/>
      <c r="CN201" s="270"/>
      <c r="CO201" s="522"/>
      <c r="CP201" s="270"/>
      <c r="CQ201" s="270"/>
      <c r="CR201" s="819"/>
      <c r="CS201" s="270"/>
      <c r="CT201" s="270"/>
      <c r="CU201" s="270"/>
      <c r="CV201" s="270"/>
      <c r="CW201" s="831"/>
      <c r="CX201" s="270"/>
      <c r="CY201" s="270"/>
      <c r="CZ201" s="270"/>
      <c r="DA201" s="270"/>
      <c r="DB201" s="831"/>
      <c r="DC201" s="270"/>
      <c r="DD201" s="270"/>
      <c r="DE201" s="270"/>
      <c r="DF201" s="270"/>
      <c r="DG201" s="831"/>
      <c r="DH201" s="270"/>
      <c r="DI201" s="270"/>
      <c r="DJ201" s="270"/>
      <c r="DK201" s="270"/>
      <c r="DL201" s="831"/>
      <c r="DM201" s="270"/>
      <c r="DN201" s="270"/>
      <c r="DO201" s="270"/>
      <c r="DP201" s="270"/>
      <c r="DQ201" s="831"/>
      <c r="DR201" s="273"/>
      <c r="DS201" s="269"/>
      <c r="DT201"/>
      <c r="DU201"/>
      <c r="DV201"/>
      <c r="DW201"/>
      <c r="DX201"/>
      <c r="DY201"/>
    </row>
    <row r="202" spans="2:129" s="144" customFormat="1" hidden="1" outlineLevel="1">
      <c r="B202" s="138"/>
      <c r="C202" s="139" t="s">
        <v>240</v>
      </c>
      <c r="D202" s="139"/>
      <c r="E202" s="139"/>
      <c r="F202" s="139"/>
      <c r="G202" s="138"/>
      <c r="H202" s="139">
        <f>H65-H31-H37</f>
        <v>26.117000000000001</v>
      </c>
      <c r="I202" s="139">
        <f>I65-I31-I37</f>
        <v>27.972000000000005</v>
      </c>
      <c r="J202" s="150">
        <f>J65-J31-J37</f>
        <v>30.785999999999994</v>
      </c>
      <c r="K202" s="605"/>
      <c r="L202" s="138">
        <f t="shared" ref="L202:AQ202" si="584">L65-L31-L37</f>
        <v>33.715000000000003</v>
      </c>
      <c r="M202" s="139">
        <f t="shared" si="584"/>
        <v>36.467999999999996</v>
      </c>
      <c r="N202" s="139">
        <f t="shared" si="584"/>
        <v>39.47</v>
      </c>
      <c r="O202" s="150">
        <f t="shared" si="584"/>
        <v>43.948</v>
      </c>
      <c r="P202" s="605">
        <f t="shared" si="584"/>
        <v>43.948</v>
      </c>
      <c r="Q202" s="138">
        <f t="shared" si="584"/>
        <v>47.873999999999995</v>
      </c>
      <c r="R202" s="139">
        <f t="shared" si="584"/>
        <v>53.271999999999998</v>
      </c>
      <c r="S202" s="139">
        <f t="shared" si="584"/>
        <v>58.856999999999999</v>
      </c>
      <c r="T202" s="150">
        <f t="shared" si="584"/>
        <v>64.921000000000006</v>
      </c>
      <c r="U202" s="605">
        <f t="shared" si="584"/>
        <v>64.921000000000006</v>
      </c>
      <c r="V202" s="138">
        <f t="shared" si="584"/>
        <v>71.728000000000009</v>
      </c>
      <c r="W202" s="139">
        <f t="shared" si="584"/>
        <v>81.916999999999987</v>
      </c>
      <c r="X202" s="139">
        <f t="shared" si="584"/>
        <v>91.539000000000001</v>
      </c>
      <c r="Y202" s="150">
        <f t="shared" si="584"/>
        <v>97.913999999999987</v>
      </c>
      <c r="Z202" s="605">
        <f t="shared" si="584"/>
        <v>97.913999999999987</v>
      </c>
      <c r="AA202" s="138">
        <f t="shared" si="584"/>
        <v>106.07500000000002</v>
      </c>
      <c r="AB202" s="139">
        <f t="shared" si="584"/>
        <v>122.215</v>
      </c>
      <c r="AC202" s="139">
        <f t="shared" si="584"/>
        <v>141.744</v>
      </c>
      <c r="AD202" s="139">
        <f t="shared" si="584"/>
        <v>151.733</v>
      </c>
      <c r="AE202" s="605">
        <f t="shared" si="584"/>
        <v>151.733</v>
      </c>
      <c r="AF202" s="139">
        <f t="shared" si="584"/>
        <v>166.22200000000001</v>
      </c>
      <c r="AG202" s="139">
        <f t="shared" si="584"/>
        <v>186.62699999999998</v>
      </c>
      <c r="AH202" s="139">
        <f t="shared" si="584"/>
        <v>220.53299999999996</v>
      </c>
      <c r="AI202" s="139">
        <f t="shared" si="584"/>
        <v>253.15700000000001</v>
      </c>
      <c r="AJ202" s="605">
        <f t="shared" si="584"/>
        <v>253.15700000000001</v>
      </c>
      <c r="AK202" s="139">
        <f t="shared" si="584"/>
        <v>282.87</v>
      </c>
      <c r="AL202" s="139">
        <f t="shared" si="584"/>
        <v>328.83700000000005</v>
      </c>
      <c r="AM202" s="139">
        <f t="shared" si="584"/>
        <v>373.87900000000002</v>
      </c>
      <c r="AN202" s="139">
        <f t="shared" si="584"/>
        <v>431.702</v>
      </c>
      <c r="AO202" s="605">
        <f t="shared" si="584"/>
        <v>431.702</v>
      </c>
      <c r="AP202" s="139">
        <f t="shared" si="584"/>
        <v>485.88200000000001</v>
      </c>
      <c r="AQ202" s="139">
        <f t="shared" si="584"/>
        <v>530.07599999999991</v>
      </c>
      <c r="AR202" s="139">
        <f t="shared" ref="AR202:BW202" si="585">AR65-AR31-AR37</f>
        <v>606.48099999999999</v>
      </c>
      <c r="AS202" s="139">
        <f t="shared" si="585"/>
        <v>679.64499999999998</v>
      </c>
      <c r="AT202" s="605">
        <f t="shared" si="585"/>
        <v>679.64499999999998</v>
      </c>
      <c r="AU202" s="139">
        <f t="shared" si="585"/>
        <v>759.07799999999997</v>
      </c>
      <c r="AV202" s="139">
        <f t="shared" si="585"/>
        <v>840.34900000000005</v>
      </c>
      <c r="AW202" s="139">
        <f t="shared" si="585"/>
        <v>918.31600000000003</v>
      </c>
      <c r="AX202" s="139">
        <f t="shared" si="585"/>
        <v>1025.846</v>
      </c>
      <c r="AY202" s="605">
        <f t="shared" si="585"/>
        <v>1025.846</v>
      </c>
      <c r="AZ202" s="139">
        <f t="shared" si="585"/>
        <v>1150.7</v>
      </c>
      <c r="BA202" s="139">
        <f t="shared" si="585"/>
        <v>1259.1369999999997</v>
      </c>
      <c r="BB202" s="139">
        <f t="shared" si="585"/>
        <v>1385.7550000000001</v>
      </c>
      <c r="BC202" s="139">
        <f t="shared" si="585"/>
        <v>1273.856</v>
      </c>
      <c r="BD202" s="605">
        <f t="shared" si="585"/>
        <v>1273.856</v>
      </c>
      <c r="BE202" s="139">
        <f t="shared" si="585"/>
        <v>1405.0660000000003</v>
      </c>
      <c r="BF202" s="139">
        <f t="shared" si="585"/>
        <v>1549.472</v>
      </c>
      <c r="BG202" s="139">
        <f t="shared" si="585"/>
        <v>1641.876</v>
      </c>
      <c r="BH202" s="139">
        <f t="shared" si="585"/>
        <v>1763.7529999999999</v>
      </c>
      <c r="BI202" s="605">
        <f t="shared" si="585"/>
        <v>1763.7529999999999</v>
      </c>
      <c r="BJ202" s="139">
        <f t="shared" si="585"/>
        <v>1870.6679999999997</v>
      </c>
      <c r="BK202" s="139">
        <f t="shared" si="585"/>
        <v>2067.6429999999996</v>
      </c>
      <c r="BL202" s="139">
        <f t="shared" si="585"/>
        <v>2209.8630000000003</v>
      </c>
      <c r="BM202" s="139">
        <f t="shared" si="585"/>
        <v>2385.0479999999998</v>
      </c>
      <c r="BN202" s="605">
        <f t="shared" si="585"/>
        <v>2385.0479999999998</v>
      </c>
      <c r="BO202" s="139">
        <f t="shared" si="585"/>
        <v>2615.7260000000001</v>
      </c>
      <c r="BP202" s="139">
        <f t="shared" si="585"/>
        <v>2733.1010000000001</v>
      </c>
      <c r="BQ202" s="139">
        <f t="shared" si="585"/>
        <v>3054.8230000000003</v>
      </c>
      <c r="BR202" s="139">
        <f t="shared" si="585"/>
        <v>3275.3319999999994</v>
      </c>
      <c r="BS202" s="605">
        <f t="shared" si="585"/>
        <v>3275.3319999999994</v>
      </c>
      <c r="BT202" s="139">
        <f t="shared" si="585"/>
        <v>3458.39</v>
      </c>
      <c r="BU202" s="139">
        <f t="shared" si="585"/>
        <v>3639.8630000000003</v>
      </c>
      <c r="BV202" s="139">
        <f t="shared" si="585"/>
        <v>3547.8989999999999</v>
      </c>
      <c r="BW202" s="139">
        <f t="shared" si="585"/>
        <v>3566.4979999999996</v>
      </c>
      <c r="BX202" s="605">
        <f t="shared" ref="BX202:DC202" si="586">BX65-BX31-BX37</f>
        <v>3566.4979999999996</v>
      </c>
      <c r="BY202" s="139">
        <f t="shared" si="586"/>
        <v>3983.924</v>
      </c>
      <c r="BZ202" s="139">
        <f t="shared" si="586"/>
        <v>3716.5920000000001</v>
      </c>
      <c r="CA202" s="139">
        <f t="shared" si="586"/>
        <v>4183.3840000000009</v>
      </c>
      <c r="CB202" s="139">
        <f t="shared" si="586"/>
        <v>4457.722999999999</v>
      </c>
      <c r="CC202" s="605">
        <f t="shared" si="586"/>
        <v>4457.722999999999</v>
      </c>
      <c r="CD202" s="139">
        <f t="shared" si="586"/>
        <v>4686.0839999999998</v>
      </c>
      <c r="CE202" s="139">
        <f t="shared" si="586"/>
        <v>4789.1100000000006</v>
      </c>
      <c r="CF202" s="139">
        <f t="shared" si="586"/>
        <v>5112.1760000000004</v>
      </c>
      <c r="CG202" s="139">
        <f t="shared" si="586"/>
        <v>5560.2809999999999</v>
      </c>
      <c r="CH202" s="605">
        <f t="shared" si="586"/>
        <v>5560.2809999999999</v>
      </c>
      <c r="CI202" s="139">
        <f t="shared" si="586"/>
        <v>6053.0400000000009</v>
      </c>
      <c r="CJ202" s="139">
        <f t="shared" si="586"/>
        <v>6420.3359999999984</v>
      </c>
      <c r="CK202" s="139">
        <f t="shared" si="586"/>
        <v>6834.2420000000002</v>
      </c>
      <c r="CL202" s="139">
        <f t="shared" si="586"/>
        <v>4372.9050000000007</v>
      </c>
      <c r="CM202" s="605">
        <f t="shared" si="586"/>
        <v>4372.9050000000007</v>
      </c>
      <c r="CN202" s="139">
        <f t="shared" si="586"/>
        <v>4846.5000000000018</v>
      </c>
      <c r="CO202" s="139">
        <f t="shared" si="586"/>
        <v>5229.4000000000005</v>
      </c>
      <c r="CP202" s="139">
        <f t="shared" si="586"/>
        <v>5542</v>
      </c>
      <c r="CQ202" s="139">
        <f t="shared" si="586"/>
        <v>6009.1</v>
      </c>
      <c r="CR202" s="605">
        <f t="shared" si="586"/>
        <v>6009.1</v>
      </c>
      <c r="CS202" s="139">
        <f t="shared" si="586"/>
        <v>6288.1999999999989</v>
      </c>
      <c r="CT202" s="139">
        <f t="shared" si="586"/>
        <v>6443.5999999999985</v>
      </c>
      <c r="CU202" s="139">
        <f t="shared" si="586"/>
        <v>6873.4</v>
      </c>
      <c r="CV202" s="139">
        <f t="shared" si="586"/>
        <v>7223</v>
      </c>
      <c r="CW202" s="828">
        <f t="shared" si="586"/>
        <v>7223</v>
      </c>
      <c r="CX202" s="139">
        <f t="shared" si="586"/>
        <v>6497</v>
      </c>
      <c r="CY202" s="139">
        <f t="shared" si="586"/>
        <v>7013</v>
      </c>
      <c r="CZ202" s="139">
        <f t="shared" si="586"/>
        <v>7414</v>
      </c>
      <c r="DA202" s="139">
        <f t="shared" si="586"/>
        <v>6984</v>
      </c>
      <c r="DB202" s="828">
        <f t="shared" si="586"/>
        <v>6984</v>
      </c>
      <c r="DC202" s="139">
        <f t="shared" si="586"/>
        <v>7311.7393052751377</v>
      </c>
      <c r="DD202" s="139">
        <f t="shared" ref="DD202:DQ202" si="587">DD65-DD31-DD37</f>
        <v>7672.5247548833795</v>
      </c>
      <c r="DE202" s="139">
        <f t="shared" si="587"/>
        <v>8055.7297875369668</v>
      </c>
      <c r="DF202" s="139">
        <f t="shared" si="587"/>
        <v>8472.9662287204737</v>
      </c>
      <c r="DG202" s="828">
        <f t="shared" si="587"/>
        <v>8472.9662287204737</v>
      </c>
      <c r="DH202" s="139">
        <f t="shared" si="587"/>
        <v>8819.1438067291401</v>
      </c>
      <c r="DI202" s="139">
        <f t="shared" si="587"/>
        <v>9194.8888013037995</v>
      </c>
      <c r="DJ202" s="139">
        <f t="shared" si="587"/>
        <v>9589.2366621507917</v>
      </c>
      <c r="DK202" s="139">
        <f t="shared" si="587"/>
        <v>9998.0371027501988</v>
      </c>
      <c r="DL202" s="828">
        <f t="shared" si="587"/>
        <v>9998.0371027501988</v>
      </c>
      <c r="DM202" s="139">
        <f t="shared" si="587"/>
        <v>10402.583763502225</v>
      </c>
      <c r="DN202" s="139">
        <f t="shared" si="587"/>
        <v>10838.504356638417</v>
      </c>
      <c r="DO202" s="139">
        <f t="shared" si="587"/>
        <v>11296.218336827247</v>
      </c>
      <c r="DP202" s="139">
        <f t="shared" si="587"/>
        <v>11768.046541938409</v>
      </c>
      <c r="DQ202" s="828">
        <f t="shared" si="587"/>
        <v>11768.046541938409</v>
      </c>
      <c r="DR202" s="138"/>
      <c r="DS202" s="139"/>
      <c r="DT202"/>
      <c r="DU202"/>
      <c r="DV202"/>
      <c r="DW202"/>
      <c r="DX202"/>
      <c r="DY202"/>
    </row>
    <row r="203" spans="2:129" s="144" customFormat="1" hidden="1" outlineLevel="1">
      <c r="B203" s="138"/>
      <c r="C203" s="139" t="s">
        <v>241</v>
      </c>
      <c r="D203" s="139"/>
      <c r="E203" s="139"/>
      <c r="F203" s="139"/>
      <c r="G203" s="138"/>
      <c r="H203" s="139">
        <f t="shared" ref="H203:AU203" si="588">H204-H202</f>
        <v>1.9879999999999995</v>
      </c>
      <c r="I203" s="139">
        <f t="shared" si="588"/>
        <v>1.9089999999999989</v>
      </c>
      <c r="J203" s="150">
        <f t="shared" si="588"/>
        <v>1.8299999999999983</v>
      </c>
      <c r="K203" s="605"/>
      <c r="L203" s="138">
        <f t="shared" si="588"/>
        <v>1.7509999999999977</v>
      </c>
      <c r="M203" s="139">
        <f t="shared" si="588"/>
        <v>1.6709999999999994</v>
      </c>
      <c r="N203" s="139">
        <f t="shared" si="588"/>
        <v>1.5919999999999987</v>
      </c>
      <c r="O203" s="139">
        <f t="shared" si="588"/>
        <v>1.5129999999999981</v>
      </c>
      <c r="P203" s="605">
        <f>P204-P202</f>
        <v>1.5129999999999981</v>
      </c>
      <c r="Q203" s="138">
        <f t="shared" si="588"/>
        <v>1.4329999999999998</v>
      </c>
      <c r="R203" s="139">
        <f t="shared" si="588"/>
        <v>1.3539999999999992</v>
      </c>
      <c r="S203" s="139">
        <f t="shared" si="588"/>
        <v>1.2749999999999986</v>
      </c>
      <c r="T203" s="150">
        <f t="shared" si="588"/>
        <v>1.1949999999999932</v>
      </c>
      <c r="U203" s="605">
        <f>U204-U202</f>
        <v>1.1949999999999932</v>
      </c>
      <c r="V203" s="139">
        <f t="shared" si="588"/>
        <v>1.1159999999999997</v>
      </c>
      <c r="W203" s="139">
        <f t="shared" si="588"/>
        <v>1.0360000000000014</v>
      </c>
      <c r="X203" s="139">
        <f t="shared" si="588"/>
        <v>0.95699999999999363</v>
      </c>
      <c r="Y203" s="150">
        <f t="shared" si="588"/>
        <v>0.87800000000000011</v>
      </c>
      <c r="Z203" s="605">
        <f>Z204-Z202</f>
        <v>0.87800000000000011</v>
      </c>
      <c r="AA203" s="139">
        <f t="shared" si="588"/>
        <v>0.87800000000000011</v>
      </c>
      <c r="AB203" s="139">
        <f t="shared" si="588"/>
        <v>0.87800000000000011</v>
      </c>
      <c r="AC203" s="139">
        <f t="shared" si="588"/>
        <v>0.8779999999999859</v>
      </c>
      <c r="AD203" s="139">
        <f t="shared" si="588"/>
        <v>13.74799999999999</v>
      </c>
      <c r="AE203" s="605">
        <f>AE204-AE202</f>
        <v>13.74799999999999</v>
      </c>
      <c r="AF203" s="139">
        <f t="shared" si="588"/>
        <v>13.407999999999987</v>
      </c>
      <c r="AG203" s="139">
        <f t="shared" si="588"/>
        <v>16.77000000000001</v>
      </c>
      <c r="AH203" s="139">
        <f t="shared" si="588"/>
        <v>16.436000000000007</v>
      </c>
      <c r="AI203" s="139">
        <f t="shared" si="588"/>
        <v>20.912999999999982</v>
      </c>
      <c r="AJ203" s="605">
        <f>AJ204-AJ202</f>
        <v>20.912999999999982</v>
      </c>
      <c r="AK203" s="139">
        <f t="shared" si="588"/>
        <v>21.343000000000018</v>
      </c>
      <c r="AL203" s="139">
        <f t="shared" si="588"/>
        <v>20.711999999999989</v>
      </c>
      <c r="AM203" s="139">
        <f t="shared" si="588"/>
        <v>20.230000000000018</v>
      </c>
      <c r="AN203" s="139">
        <f t="shared" si="588"/>
        <v>21.826999999999998</v>
      </c>
      <c r="AO203" s="605">
        <f>AO204-AO202</f>
        <v>21.826999999999998</v>
      </c>
      <c r="AP203" s="139">
        <f t="shared" si="588"/>
        <v>21.204000000000008</v>
      </c>
      <c r="AQ203" s="139">
        <f t="shared" si="588"/>
        <v>35.11200000000008</v>
      </c>
      <c r="AR203" s="139">
        <f t="shared" si="588"/>
        <v>35.16599999999994</v>
      </c>
      <c r="AS203" s="139">
        <f t="shared" si="588"/>
        <v>34.5</v>
      </c>
      <c r="AT203" s="605">
        <f>AT204-AT202</f>
        <v>34.5</v>
      </c>
      <c r="AU203" s="139">
        <f t="shared" si="588"/>
        <v>34.072999999999979</v>
      </c>
      <c r="AV203" s="139">
        <f t="shared" ref="AV203:CI203" si="589">AV204-AV202</f>
        <v>33.843999999999937</v>
      </c>
      <c r="AW203" s="139">
        <f t="shared" si="589"/>
        <v>48.241999999999962</v>
      </c>
      <c r="AX203" s="139">
        <f t="shared" si="589"/>
        <v>47.65300000000002</v>
      </c>
      <c r="AY203" s="605">
        <f>AY204-AY202</f>
        <v>47.65300000000002</v>
      </c>
      <c r="AZ203" s="139">
        <f t="shared" si="589"/>
        <v>46.628999999999905</v>
      </c>
      <c r="BA203" s="139">
        <f t="shared" si="589"/>
        <v>58.106000000000222</v>
      </c>
      <c r="BB203" s="139">
        <f t="shared" si="589"/>
        <v>57.751999999999953</v>
      </c>
      <c r="BC203" s="139">
        <f t="shared" si="589"/>
        <v>194.35400000000004</v>
      </c>
      <c r="BD203" s="605">
        <f>BD204-BD202</f>
        <v>194.35400000000004</v>
      </c>
      <c r="BE203" s="139">
        <f t="shared" si="589"/>
        <v>195.95999999999981</v>
      </c>
      <c r="BF203" s="139">
        <f t="shared" si="589"/>
        <v>204.90200000000004</v>
      </c>
      <c r="BG203" s="139">
        <f t="shared" si="589"/>
        <v>201.15300000000002</v>
      </c>
      <c r="BH203" s="139">
        <f t="shared" si="589"/>
        <v>201.82500000000005</v>
      </c>
      <c r="BI203" s="605">
        <f>BI204-BI202</f>
        <v>201.82500000000005</v>
      </c>
      <c r="BJ203" s="139">
        <f t="shared" si="589"/>
        <v>202.04300000000012</v>
      </c>
      <c r="BK203" s="139">
        <f t="shared" si="589"/>
        <v>200.05400000000009</v>
      </c>
      <c r="BL203" s="139">
        <f t="shared" si="589"/>
        <v>226.35500000000002</v>
      </c>
      <c r="BM203" s="139">
        <f t="shared" si="589"/>
        <v>268.12899999999991</v>
      </c>
      <c r="BN203" s="605">
        <f>BN204-BN202</f>
        <v>268.12899999999991</v>
      </c>
      <c r="BO203" s="139">
        <f t="shared" si="589"/>
        <v>270.64300000000003</v>
      </c>
      <c r="BP203" s="139">
        <f t="shared" si="589"/>
        <v>307.78600000000006</v>
      </c>
      <c r="BQ203" s="139">
        <f t="shared" si="589"/>
        <v>312.36099999999988</v>
      </c>
      <c r="BR203" s="139">
        <f t="shared" si="589"/>
        <v>309.09900000000016</v>
      </c>
      <c r="BS203" s="605">
        <f>BS204-BS202</f>
        <v>309.09900000000016</v>
      </c>
      <c r="BT203" s="139">
        <f t="shared" si="589"/>
        <v>305.79899999999998</v>
      </c>
      <c r="BU203" s="139">
        <f t="shared" si="589"/>
        <v>311.98599999999988</v>
      </c>
      <c r="BV203" s="139">
        <f t="shared" si="589"/>
        <v>391.62300000000005</v>
      </c>
      <c r="BW203" s="139">
        <f t="shared" si="589"/>
        <v>386.38799999999992</v>
      </c>
      <c r="BX203" s="605">
        <f>BX204-BX202</f>
        <v>386.38799999999992</v>
      </c>
      <c r="BY203" s="139">
        <f t="shared" si="589"/>
        <v>383.32499999999982</v>
      </c>
      <c r="BZ203" s="139">
        <f t="shared" si="589"/>
        <v>375.74100000000044</v>
      </c>
      <c r="CA203" s="139">
        <f t="shared" si="589"/>
        <v>388.98599999999988</v>
      </c>
      <c r="CB203" s="139">
        <f t="shared" si="589"/>
        <v>396.66000000000076</v>
      </c>
      <c r="CC203" s="605">
        <f>CC204-CC202</f>
        <v>396.66000000000076</v>
      </c>
      <c r="CD203" s="139">
        <f t="shared" si="589"/>
        <v>529.85000000000036</v>
      </c>
      <c r="CE203" s="139">
        <f t="shared" si="589"/>
        <v>534.63799999999992</v>
      </c>
      <c r="CF203" s="139">
        <f t="shared" si="589"/>
        <v>536.09999999999945</v>
      </c>
      <c r="CG203" s="139">
        <f t="shared" si="589"/>
        <v>575.51000000000022</v>
      </c>
      <c r="CH203" s="605">
        <f>CH204-CH202</f>
        <v>575.51000000000022</v>
      </c>
      <c r="CI203" s="139">
        <f t="shared" si="589"/>
        <v>569.91699999999946</v>
      </c>
      <c r="CJ203" s="139">
        <f t="shared" ref="CJ203:CP203" si="590">CJ204-CJ202</f>
        <v>570.49300000000039</v>
      </c>
      <c r="CK203" s="139">
        <f t="shared" si="590"/>
        <v>547.46799999999985</v>
      </c>
      <c r="CL203" s="139">
        <f t="shared" si="590"/>
        <v>3367.3129999999992</v>
      </c>
      <c r="CM203" s="605">
        <f>CM204-CM202</f>
        <v>3367.3129999999992</v>
      </c>
      <c r="CN203" s="139">
        <f t="shared" si="590"/>
        <v>3331.9999999999991</v>
      </c>
      <c r="CO203" s="139">
        <f t="shared" si="590"/>
        <v>3311.4000000000005</v>
      </c>
      <c r="CP203" s="139">
        <f t="shared" si="590"/>
        <v>3285</v>
      </c>
      <c r="CQ203" s="139">
        <f t="shared" ref="CQ203:DF203" si="591">CQ204-CQ202</f>
        <v>3269</v>
      </c>
      <c r="CR203" s="605">
        <f>CR204-CR202</f>
        <v>3269</v>
      </c>
      <c r="CS203" s="139">
        <f t="shared" si="591"/>
        <v>3324.1000000000004</v>
      </c>
      <c r="CT203" s="139">
        <f t="shared" si="591"/>
        <v>3419.2999999999993</v>
      </c>
      <c r="CU203" s="139">
        <f t="shared" si="591"/>
        <v>3418.8999999999996</v>
      </c>
      <c r="CV203" s="139">
        <f>CV204-CV202</f>
        <v>3505</v>
      </c>
      <c r="CW203" s="828">
        <f>CW204-CW202</f>
        <v>3505</v>
      </c>
      <c r="CX203" s="139">
        <f>CX204-CX202</f>
        <v>3486</v>
      </c>
      <c r="CY203" s="139">
        <f>CY204-CY202</f>
        <v>3470</v>
      </c>
      <c r="CZ203" s="139">
        <f t="shared" si="591"/>
        <v>3565</v>
      </c>
      <c r="DA203" s="139">
        <f t="shared" si="591"/>
        <v>3685</v>
      </c>
      <c r="DB203" s="828">
        <f>DB204-DB202</f>
        <v>3685</v>
      </c>
      <c r="DC203" s="139">
        <f t="shared" si="591"/>
        <v>3654.4341156854935</v>
      </c>
      <c r="DD203" s="139">
        <f t="shared" si="591"/>
        <v>3623.7432313709869</v>
      </c>
      <c r="DE203" s="139">
        <f t="shared" si="591"/>
        <v>3592.9273470564794</v>
      </c>
      <c r="DF203" s="139">
        <f t="shared" si="591"/>
        <v>3561.986462741972</v>
      </c>
      <c r="DG203" s="828">
        <f t="shared" ref="DG203:DL203" si="592">DG204-DG202</f>
        <v>3561.986462741972</v>
      </c>
      <c r="DH203" s="139">
        <f t="shared" si="592"/>
        <v>3530.9205784274654</v>
      </c>
      <c r="DI203" s="139">
        <f t="shared" si="592"/>
        <v>3499.7296941129589</v>
      </c>
      <c r="DJ203" s="139">
        <f t="shared" si="592"/>
        <v>3468.4138097984523</v>
      </c>
      <c r="DK203" s="139">
        <f t="shared" si="592"/>
        <v>3436.9729254839458</v>
      </c>
      <c r="DL203" s="828">
        <f t="shared" si="592"/>
        <v>3436.9729254839458</v>
      </c>
      <c r="DM203" s="139">
        <f t="shared" ref="DM203:DQ203" si="593">DM204-DM202</f>
        <v>3405.4070411694393</v>
      </c>
      <c r="DN203" s="139">
        <f t="shared" si="593"/>
        <v>3373.7161568549327</v>
      </c>
      <c r="DO203" s="139">
        <f t="shared" si="593"/>
        <v>3341.9002725404262</v>
      </c>
      <c r="DP203" s="139">
        <f t="shared" si="593"/>
        <v>3309.9593882259178</v>
      </c>
      <c r="DQ203" s="828">
        <f t="shared" si="593"/>
        <v>3309.9593882259178</v>
      </c>
      <c r="DR203" s="138"/>
      <c r="DS203" s="139"/>
      <c r="DT203"/>
      <c r="DU203"/>
      <c r="DV203"/>
      <c r="DW203"/>
      <c r="DX203"/>
      <c r="DY203"/>
    </row>
    <row r="204" spans="2:129" s="144" customFormat="1" hidden="1" outlineLevel="1">
      <c r="B204" s="138"/>
      <c r="C204" s="139" t="s">
        <v>173</v>
      </c>
      <c r="D204" s="139"/>
      <c r="E204" s="139"/>
      <c r="F204" s="139"/>
      <c r="G204" s="138"/>
      <c r="H204" s="139">
        <f>H65</f>
        <v>28.105</v>
      </c>
      <c r="I204" s="139">
        <f>I65</f>
        <v>29.881000000000004</v>
      </c>
      <c r="J204" s="150">
        <f>J65</f>
        <v>32.615999999999993</v>
      </c>
      <c r="K204" s="605"/>
      <c r="L204" s="138">
        <f t="shared" ref="L204:AQ204" si="594">L65</f>
        <v>35.466000000000001</v>
      </c>
      <c r="M204" s="139">
        <f t="shared" si="594"/>
        <v>38.138999999999996</v>
      </c>
      <c r="N204" s="139">
        <f t="shared" si="594"/>
        <v>41.061999999999998</v>
      </c>
      <c r="O204" s="139">
        <f t="shared" si="594"/>
        <v>45.460999999999999</v>
      </c>
      <c r="P204" s="605">
        <f t="shared" si="594"/>
        <v>45.460999999999999</v>
      </c>
      <c r="Q204" s="138">
        <f t="shared" si="594"/>
        <v>49.306999999999995</v>
      </c>
      <c r="R204" s="139">
        <f t="shared" si="594"/>
        <v>54.625999999999998</v>
      </c>
      <c r="S204" s="139">
        <f t="shared" si="594"/>
        <v>60.131999999999998</v>
      </c>
      <c r="T204" s="150">
        <f t="shared" si="594"/>
        <v>66.116</v>
      </c>
      <c r="U204" s="605">
        <f t="shared" si="594"/>
        <v>66.116</v>
      </c>
      <c r="V204" s="139">
        <f t="shared" si="594"/>
        <v>72.844000000000008</v>
      </c>
      <c r="W204" s="139">
        <f t="shared" si="594"/>
        <v>82.952999999999989</v>
      </c>
      <c r="X204" s="139">
        <f t="shared" si="594"/>
        <v>92.495999999999995</v>
      </c>
      <c r="Y204" s="150">
        <f t="shared" si="594"/>
        <v>98.791999999999987</v>
      </c>
      <c r="Z204" s="605">
        <f t="shared" si="594"/>
        <v>98.791999999999987</v>
      </c>
      <c r="AA204" s="139">
        <f t="shared" si="594"/>
        <v>106.95300000000002</v>
      </c>
      <c r="AB204" s="139">
        <f t="shared" si="594"/>
        <v>123.093</v>
      </c>
      <c r="AC204" s="139">
        <f t="shared" si="594"/>
        <v>142.62199999999999</v>
      </c>
      <c r="AD204" s="139">
        <f t="shared" si="594"/>
        <v>165.48099999999999</v>
      </c>
      <c r="AE204" s="605">
        <f t="shared" si="594"/>
        <v>165.48099999999999</v>
      </c>
      <c r="AF204" s="139">
        <f t="shared" si="594"/>
        <v>179.63</v>
      </c>
      <c r="AG204" s="139">
        <f t="shared" si="594"/>
        <v>203.39699999999999</v>
      </c>
      <c r="AH204" s="139">
        <f t="shared" si="594"/>
        <v>236.96899999999997</v>
      </c>
      <c r="AI204" s="139">
        <f t="shared" si="594"/>
        <v>274.07</v>
      </c>
      <c r="AJ204" s="605">
        <f t="shared" si="594"/>
        <v>274.07</v>
      </c>
      <c r="AK204" s="139">
        <f t="shared" si="594"/>
        <v>304.21300000000002</v>
      </c>
      <c r="AL204" s="139">
        <f t="shared" si="594"/>
        <v>349.54900000000004</v>
      </c>
      <c r="AM204" s="139">
        <f t="shared" si="594"/>
        <v>394.10900000000004</v>
      </c>
      <c r="AN204" s="139">
        <f t="shared" si="594"/>
        <v>453.529</v>
      </c>
      <c r="AO204" s="605">
        <f t="shared" si="594"/>
        <v>453.529</v>
      </c>
      <c r="AP204" s="139">
        <f t="shared" si="594"/>
        <v>507.08600000000001</v>
      </c>
      <c r="AQ204" s="139">
        <f t="shared" si="594"/>
        <v>565.18799999999999</v>
      </c>
      <c r="AR204" s="139">
        <f t="shared" ref="AR204:BW204" si="595">AR65</f>
        <v>641.64699999999993</v>
      </c>
      <c r="AS204" s="139">
        <f t="shared" si="595"/>
        <v>714.14499999999998</v>
      </c>
      <c r="AT204" s="605">
        <f t="shared" si="595"/>
        <v>714.14499999999998</v>
      </c>
      <c r="AU204" s="139">
        <f t="shared" si="595"/>
        <v>793.15099999999995</v>
      </c>
      <c r="AV204" s="139">
        <f t="shared" si="595"/>
        <v>874.19299999999998</v>
      </c>
      <c r="AW204" s="139">
        <f t="shared" si="595"/>
        <v>966.55799999999999</v>
      </c>
      <c r="AX204" s="139">
        <f t="shared" si="595"/>
        <v>1073.499</v>
      </c>
      <c r="AY204" s="605">
        <f t="shared" si="595"/>
        <v>1073.499</v>
      </c>
      <c r="AZ204" s="139">
        <f t="shared" si="595"/>
        <v>1197.329</v>
      </c>
      <c r="BA204" s="139">
        <f t="shared" si="595"/>
        <v>1317.2429999999999</v>
      </c>
      <c r="BB204" s="139">
        <f t="shared" si="595"/>
        <v>1443.5070000000001</v>
      </c>
      <c r="BC204" s="139">
        <f t="shared" si="595"/>
        <v>1468.21</v>
      </c>
      <c r="BD204" s="605">
        <f t="shared" si="595"/>
        <v>1468.21</v>
      </c>
      <c r="BE204" s="139">
        <f t="shared" si="595"/>
        <v>1601.0260000000001</v>
      </c>
      <c r="BF204" s="139">
        <f t="shared" si="595"/>
        <v>1754.374</v>
      </c>
      <c r="BG204" s="139">
        <f t="shared" si="595"/>
        <v>1843.029</v>
      </c>
      <c r="BH204" s="139">
        <f t="shared" si="595"/>
        <v>1965.578</v>
      </c>
      <c r="BI204" s="605">
        <f t="shared" si="595"/>
        <v>1965.578</v>
      </c>
      <c r="BJ204" s="139">
        <f t="shared" si="595"/>
        <v>2072.7109999999998</v>
      </c>
      <c r="BK204" s="139">
        <f t="shared" si="595"/>
        <v>2267.6969999999997</v>
      </c>
      <c r="BL204" s="139">
        <f t="shared" si="595"/>
        <v>2436.2180000000003</v>
      </c>
      <c r="BM204" s="139">
        <f t="shared" si="595"/>
        <v>2653.1769999999997</v>
      </c>
      <c r="BN204" s="605">
        <f t="shared" si="595"/>
        <v>2653.1769999999997</v>
      </c>
      <c r="BO204" s="139">
        <f t="shared" si="595"/>
        <v>2886.3690000000001</v>
      </c>
      <c r="BP204" s="139">
        <f t="shared" si="595"/>
        <v>3040.8870000000002</v>
      </c>
      <c r="BQ204" s="139">
        <f t="shared" si="595"/>
        <v>3367.1840000000002</v>
      </c>
      <c r="BR204" s="139">
        <f t="shared" si="595"/>
        <v>3584.4309999999996</v>
      </c>
      <c r="BS204" s="605">
        <f t="shared" si="595"/>
        <v>3584.4309999999996</v>
      </c>
      <c r="BT204" s="139">
        <f t="shared" si="595"/>
        <v>3764.1889999999999</v>
      </c>
      <c r="BU204" s="139">
        <f t="shared" si="595"/>
        <v>3951.8490000000002</v>
      </c>
      <c r="BV204" s="139">
        <f t="shared" si="595"/>
        <v>3939.5219999999999</v>
      </c>
      <c r="BW204" s="139">
        <f t="shared" si="595"/>
        <v>3952.8859999999995</v>
      </c>
      <c r="BX204" s="605">
        <f t="shared" ref="BX204:DC204" si="596">BX65</f>
        <v>3952.8859999999995</v>
      </c>
      <c r="BY204" s="139">
        <f t="shared" si="596"/>
        <v>4367.2489999999998</v>
      </c>
      <c r="BZ204" s="139">
        <f t="shared" si="596"/>
        <v>4092.3330000000005</v>
      </c>
      <c r="CA204" s="139">
        <f t="shared" si="596"/>
        <v>4572.3700000000008</v>
      </c>
      <c r="CB204" s="139">
        <f t="shared" si="596"/>
        <v>4854.3829999999998</v>
      </c>
      <c r="CC204" s="605">
        <f t="shared" si="596"/>
        <v>4854.3829999999998</v>
      </c>
      <c r="CD204" s="139">
        <f t="shared" si="596"/>
        <v>5215.9340000000002</v>
      </c>
      <c r="CE204" s="139">
        <f t="shared" si="596"/>
        <v>5323.7480000000005</v>
      </c>
      <c r="CF204" s="139">
        <f t="shared" si="596"/>
        <v>5648.2759999999998</v>
      </c>
      <c r="CG204" s="139">
        <f t="shared" si="596"/>
        <v>6135.7910000000002</v>
      </c>
      <c r="CH204" s="605">
        <f t="shared" si="596"/>
        <v>6135.7910000000002</v>
      </c>
      <c r="CI204" s="139">
        <f t="shared" si="596"/>
        <v>6622.9570000000003</v>
      </c>
      <c r="CJ204" s="139">
        <f t="shared" si="596"/>
        <v>6990.8289999999988</v>
      </c>
      <c r="CK204" s="139">
        <f t="shared" si="596"/>
        <v>7381.71</v>
      </c>
      <c r="CL204" s="139">
        <f t="shared" si="596"/>
        <v>7740.2179999999998</v>
      </c>
      <c r="CM204" s="605">
        <f t="shared" si="596"/>
        <v>7740.2179999999998</v>
      </c>
      <c r="CN204" s="139">
        <f t="shared" si="596"/>
        <v>8178.5000000000009</v>
      </c>
      <c r="CO204" s="139">
        <f t="shared" si="596"/>
        <v>8540.8000000000011</v>
      </c>
      <c r="CP204" s="139">
        <f t="shared" si="596"/>
        <v>8827</v>
      </c>
      <c r="CQ204" s="139">
        <f t="shared" si="596"/>
        <v>9278.1</v>
      </c>
      <c r="CR204" s="605">
        <f t="shared" si="596"/>
        <v>9278.1</v>
      </c>
      <c r="CS204" s="139">
        <f t="shared" si="596"/>
        <v>9612.2999999999993</v>
      </c>
      <c r="CT204" s="139">
        <f t="shared" si="596"/>
        <v>9862.8999999999978</v>
      </c>
      <c r="CU204" s="139">
        <f t="shared" si="596"/>
        <v>10292.299999999999</v>
      </c>
      <c r="CV204" s="139">
        <f t="shared" si="596"/>
        <v>10728</v>
      </c>
      <c r="CW204" s="828">
        <f t="shared" si="596"/>
        <v>10728</v>
      </c>
      <c r="CX204" s="139">
        <f>CX65</f>
        <v>9983</v>
      </c>
      <c r="CY204" s="139">
        <f>CY65</f>
        <v>10483</v>
      </c>
      <c r="CZ204" s="139">
        <f t="shared" si="596"/>
        <v>10979</v>
      </c>
      <c r="DA204" s="139">
        <f t="shared" si="596"/>
        <v>10669</v>
      </c>
      <c r="DB204" s="828">
        <f t="shared" si="596"/>
        <v>10669</v>
      </c>
      <c r="DC204" s="139">
        <f t="shared" si="596"/>
        <v>10966.173420960631</v>
      </c>
      <c r="DD204" s="139">
        <f t="shared" ref="DD204:DL204" si="597">DD65</f>
        <v>11296.267986254366</v>
      </c>
      <c r="DE204" s="139">
        <f t="shared" si="597"/>
        <v>11648.657134593446</v>
      </c>
      <c r="DF204" s="139">
        <f t="shared" si="597"/>
        <v>12034.952691462446</v>
      </c>
      <c r="DG204" s="828">
        <f t="shared" si="597"/>
        <v>12034.952691462446</v>
      </c>
      <c r="DH204" s="139">
        <f t="shared" si="597"/>
        <v>12350.064385156606</v>
      </c>
      <c r="DI204" s="139">
        <f t="shared" si="597"/>
        <v>12694.618495416758</v>
      </c>
      <c r="DJ204" s="139">
        <f t="shared" si="597"/>
        <v>13057.650471949244</v>
      </c>
      <c r="DK204" s="139">
        <f t="shared" si="597"/>
        <v>13435.010028234145</v>
      </c>
      <c r="DL204" s="828">
        <f t="shared" si="597"/>
        <v>13435.010028234145</v>
      </c>
      <c r="DM204" s="139">
        <f t="shared" ref="DM204:DQ204" si="598">DM65</f>
        <v>13807.990804671665</v>
      </c>
      <c r="DN204" s="139">
        <f t="shared" si="598"/>
        <v>14212.22051349335</v>
      </c>
      <c r="DO204" s="139">
        <f t="shared" si="598"/>
        <v>14638.118609367673</v>
      </c>
      <c r="DP204" s="139">
        <f t="shared" si="598"/>
        <v>15078.005930164327</v>
      </c>
      <c r="DQ204" s="828">
        <f t="shared" si="598"/>
        <v>15078.005930164327</v>
      </c>
      <c r="DR204" s="138"/>
      <c r="DS204" s="139"/>
      <c r="DT204"/>
      <c r="DU204"/>
      <c r="DV204"/>
      <c r="DW204"/>
      <c r="DX204"/>
      <c r="DY204"/>
    </row>
    <row r="205" spans="2:129" s="144" customFormat="1" hidden="1" outlineLevel="1">
      <c r="B205" s="138"/>
      <c r="C205" s="139"/>
      <c r="D205" s="139"/>
      <c r="E205" s="139"/>
      <c r="F205" s="139"/>
      <c r="G205" s="138"/>
      <c r="H205" s="139"/>
      <c r="I205" s="139"/>
      <c r="J205" s="150"/>
      <c r="K205" s="605"/>
      <c r="L205" s="138"/>
      <c r="M205" s="139"/>
      <c r="N205" s="139"/>
      <c r="O205" s="139"/>
      <c r="P205" s="605"/>
      <c r="Q205" s="138"/>
      <c r="R205" s="139"/>
      <c r="S205" s="139"/>
      <c r="T205" s="150"/>
      <c r="U205" s="605"/>
      <c r="V205" s="139"/>
      <c r="W205" s="139"/>
      <c r="X205" s="139"/>
      <c r="Y205" s="150"/>
      <c r="Z205" s="605"/>
      <c r="AA205" s="139"/>
      <c r="AB205" s="139"/>
      <c r="AC205" s="139"/>
      <c r="AD205" s="139"/>
      <c r="AE205" s="605"/>
      <c r="AF205" s="139"/>
      <c r="AG205" s="139"/>
      <c r="AH205" s="139"/>
      <c r="AI205" s="139"/>
      <c r="AJ205" s="605"/>
      <c r="AK205" s="139"/>
      <c r="AL205" s="139"/>
      <c r="AM205" s="139"/>
      <c r="AN205" s="139"/>
      <c r="AO205" s="605"/>
      <c r="AP205" s="139"/>
      <c r="AQ205" s="139"/>
      <c r="AR205" s="139"/>
      <c r="AS205" s="139"/>
      <c r="AT205" s="605"/>
      <c r="AU205" s="139"/>
      <c r="AV205" s="139"/>
      <c r="AW205" s="139"/>
      <c r="AX205" s="139"/>
      <c r="AY205" s="605"/>
      <c r="AZ205" s="139"/>
      <c r="BA205" s="139"/>
      <c r="BB205" s="139"/>
      <c r="BC205" s="139"/>
      <c r="BD205" s="605"/>
      <c r="BE205" s="139"/>
      <c r="BF205" s="139"/>
      <c r="BG205" s="139"/>
      <c r="BH205" s="139"/>
      <c r="BI205" s="605"/>
      <c r="BJ205" s="139"/>
      <c r="BK205" s="139"/>
      <c r="BL205" s="139"/>
      <c r="BM205" s="139"/>
      <c r="BN205" s="605"/>
      <c r="BO205" s="139"/>
      <c r="BP205" s="139"/>
      <c r="BQ205" s="139"/>
      <c r="BR205" s="139"/>
      <c r="BS205" s="605"/>
      <c r="BT205" s="139"/>
      <c r="BU205" s="139"/>
      <c r="BV205" s="139"/>
      <c r="BW205" s="139"/>
      <c r="BX205" s="605"/>
      <c r="BY205" s="139"/>
      <c r="BZ205" s="139"/>
      <c r="CA205" s="139"/>
      <c r="CB205" s="139"/>
      <c r="CC205" s="605"/>
      <c r="CD205" s="139"/>
      <c r="CE205" s="139"/>
      <c r="CF205" s="139"/>
      <c r="CG205" s="139"/>
      <c r="CH205" s="605"/>
      <c r="CI205" s="139"/>
      <c r="CJ205" s="139"/>
      <c r="CK205" s="139"/>
      <c r="CL205" s="139"/>
      <c r="CM205" s="605"/>
      <c r="CN205" s="139"/>
      <c r="CO205" s="139"/>
      <c r="CP205" s="139"/>
      <c r="CQ205" s="139"/>
      <c r="CR205" s="605"/>
      <c r="CS205" s="139"/>
      <c r="CT205" s="139"/>
      <c r="CU205" s="139"/>
      <c r="CV205" s="139"/>
      <c r="CW205" s="828"/>
      <c r="CX205" s="139"/>
      <c r="CY205" s="139"/>
      <c r="CZ205" s="139"/>
      <c r="DA205" s="139"/>
      <c r="DB205" s="828"/>
      <c r="DC205" s="139"/>
      <c r="DD205" s="139"/>
      <c r="DE205" s="139"/>
      <c r="DF205" s="139"/>
      <c r="DG205" s="828"/>
      <c r="DH205" s="139"/>
      <c r="DI205" s="139"/>
      <c r="DJ205" s="139"/>
      <c r="DK205" s="139"/>
      <c r="DL205" s="828"/>
      <c r="DM205" s="139"/>
      <c r="DN205" s="139"/>
      <c r="DO205" s="139"/>
      <c r="DP205" s="139"/>
      <c r="DQ205" s="828"/>
      <c r="DR205" s="138"/>
      <c r="DS205" s="139"/>
      <c r="DT205"/>
      <c r="DU205"/>
      <c r="DV205"/>
      <c r="DW205"/>
      <c r="DX205"/>
      <c r="DY205"/>
    </row>
    <row r="206" spans="2:129" s="202" customFormat="1" hidden="1" outlineLevel="1">
      <c r="B206" s="273" t="s">
        <v>242</v>
      </c>
      <c r="C206" s="269"/>
      <c r="D206" s="269"/>
      <c r="E206" s="269"/>
      <c r="F206" s="269"/>
      <c r="G206" s="273"/>
      <c r="H206" s="269"/>
      <c r="I206" s="269"/>
      <c r="J206" s="274"/>
      <c r="K206" s="819"/>
      <c r="L206" s="273"/>
      <c r="M206" s="269"/>
      <c r="N206" s="269"/>
      <c r="O206" s="269"/>
      <c r="P206" s="819"/>
      <c r="Q206" s="273"/>
      <c r="R206" s="269"/>
      <c r="S206" s="269"/>
      <c r="T206" s="274"/>
      <c r="U206" s="819"/>
      <c r="V206" s="269"/>
      <c r="W206" s="269"/>
      <c r="X206" s="269"/>
      <c r="Y206" s="274"/>
      <c r="Z206" s="819"/>
      <c r="AA206" s="269"/>
      <c r="AB206" s="269"/>
      <c r="AC206" s="269"/>
      <c r="AD206" s="269"/>
      <c r="AE206" s="819"/>
      <c r="AF206" s="269"/>
      <c r="AG206" s="269"/>
      <c r="AH206" s="269"/>
      <c r="AI206" s="269"/>
      <c r="AJ206" s="819"/>
      <c r="AK206" s="269"/>
      <c r="AL206" s="269"/>
      <c r="AM206" s="269"/>
      <c r="AN206" s="269"/>
      <c r="AO206" s="819"/>
      <c r="AP206" s="269"/>
      <c r="AQ206" s="269"/>
      <c r="AR206" s="269"/>
      <c r="AS206" s="269"/>
      <c r="AT206" s="819"/>
      <c r="AU206" s="269"/>
      <c r="AV206" s="269"/>
      <c r="AW206" s="269"/>
      <c r="AX206" s="269"/>
      <c r="AY206" s="819"/>
      <c r="AZ206" s="269"/>
      <c r="BA206" s="269"/>
      <c r="BB206" s="269"/>
      <c r="BC206" s="269"/>
      <c r="BD206" s="819"/>
      <c r="BE206" s="269"/>
      <c r="BF206" s="269"/>
      <c r="BG206" s="269"/>
      <c r="BH206" s="269"/>
      <c r="BI206" s="819"/>
      <c r="BJ206" s="269"/>
      <c r="BK206" s="269"/>
      <c r="BL206" s="269"/>
      <c r="BM206" s="269"/>
      <c r="BN206" s="819"/>
      <c r="BO206" s="269"/>
      <c r="BP206" s="269"/>
      <c r="BQ206" s="269"/>
      <c r="BR206" s="269"/>
      <c r="BS206" s="819"/>
      <c r="BT206" s="269"/>
      <c r="BU206" s="269"/>
      <c r="BV206" s="269"/>
      <c r="BW206" s="269"/>
      <c r="BX206" s="819"/>
      <c r="BY206" s="269"/>
      <c r="BZ206" s="269"/>
      <c r="CA206" s="269"/>
      <c r="CB206" s="269"/>
      <c r="CC206" s="819"/>
      <c r="CD206" s="269"/>
      <c r="CE206" s="269"/>
      <c r="CF206" s="269"/>
      <c r="CG206" s="269"/>
      <c r="CH206" s="819"/>
      <c r="CI206" s="269"/>
      <c r="CJ206" s="269"/>
      <c r="CK206" s="269"/>
      <c r="CL206" s="269"/>
      <c r="CM206" s="819"/>
      <c r="CN206" s="269"/>
      <c r="CO206" s="521"/>
      <c r="CP206" s="269"/>
      <c r="CQ206" s="269"/>
      <c r="CR206" s="819"/>
      <c r="CS206" s="269"/>
      <c r="CT206" s="269"/>
      <c r="CU206" s="269"/>
      <c r="CV206" s="269"/>
      <c r="CW206" s="831"/>
      <c r="CX206" s="269"/>
      <c r="CY206" s="269"/>
      <c r="CZ206" s="269"/>
      <c r="DA206" s="269"/>
      <c r="DB206" s="831"/>
      <c r="DC206" s="269"/>
      <c r="DD206" s="269"/>
      <c r="DE206" s="269"/>
      <c r="DF206" s="269"/>
      <c r="DG206" s="831"/>
      <c r="DH206" s="269"/>
      <c r="DI206" s="269"/>
      <c r="DJ206" s="269"/>
      <c r="DK206" s="269"/>
      <c r="DL206" s="831"/>
      <c r="DM206" s="269"/>
      <c r="DN206" s="269"/>
      <c r="DO206" s="269"/>
      <c r="DP206" s="269"/>
      <c r="DQ206" s="831"/>
      <c r="DR206" s="273"/>
      <c r="DS206" s="269"/>
      <c r="DT206"/>
      <c r="DU206"/>
      <c r="DV206"/>
      <c r="DW206"/>
      <c r="DX206"/>
      <c r="DY206"/>
    </row>
    <row r="207" spans="2:129" s="144" customFormat="1" hidden="1" outlineLevel="1">
      <c r="B207" s="138"/>
      <c r="C207" s="139" t="s">
        <v>243</v>
      </c>
      <c r="D207" s="139"/>
      <c r="E207" s="139"/>
      <c r="F207" s="139"/>
      <c r="G207" s="138"/>
      <c r="H207" s="139">
        <f>SUM(H13:H16,H29,H31,H37:H39)</f>
        <v>18.541999999999998</v>
      </c>
      <c r="I207" s="139">
        <f>SUM(I13:I16,I29,I31,I37:I39)</f>
        <v>18.642999999999997</v>
      </c>
      <c r="J207" s="150">
        <f>SUM(J13:J16,J29,J31,J37:J39)</f>
        <v>23.260999999999999</v>
      </c>
      <c r="K207" s="605"/>
      <c r="L207" s="138">
        <f t="shared" ref="L207:AQ207" si="599">SUM(L13:L16,L29,L31,L37:L39)</f>
        <v>28.747</v>
      </c>
      <c r="M207" s="139">
        <f t="shared" si="599"/>
        <v>27.013999999999996</v>
      </c>
      <c r="N207" s="139">
        <f t="shared" si="599"/>
        <v>27.364000000000001</v>
      </c>
      <c r="O207" s="139">
        <f t="shared" si="599"/>
        <v>26.385000000000002</v>
      </c>
      <c r="P207" s="605">
        <f t="shared" si="599"/>
        <v>26.385000000000002</v>
      </c>
      <c r="Q207" s="138">
        <f t="shared" si="599"/>
        <v>32.448999999999998</v>
      </c>
      <c r="R207" s="139">
        <f t="shared" si="599"/>
        <v>35.884</v>
      </c>
      <c r="S207" s="139">
        <f t="shared" si="599"/>
        <v>40.587000000000003</v>
      </c>
      <c r="T207" s="150">
        <f t="shared" si="599"/>
        <v>45.609000000000002</v>
      </c>
      <c r="U207" s="605">
        <f t="shared" si="599"/>
        <v>45.609000000000002</v>
      </c>
      <c r="V207" s="139">
        <f t="shared" si="599"/>
        <v>48.873999999999995</v>
      </c>
      <c r="W207" s="139">
        <f t="shared" si="599"/>
        <v>53.669000000000004</v>
      </c>
      <c r="X207" s="139">
        <f t="shared" si="599"/>
        <v>56.851000000000006</v>
      </c>
      <c r="Y207" s="150">
        <f t="shared" si="599"/>
        <v>60.006</v>
      </c>
      <c r="Z207" s="605">
        <f t="shared" si="599"/>
        <v>60.006</v>
      </c>
      <c r="AA207" s="139">
        <f t="shared" si="599"/>
        <v>63.135000000000005</v>
      </c>
      <c r="AB207" s="139">
        <f t="shared" si="599"/>
        <v>76.948999999999984</v>
      </c>
      <c r="AC207" s="139">
        <f t="shared" si="599"/>
        <v>77.694000000000003</v>
      </c>
      <c r="AD207" s="139">
        <f t="shared" si="599"/>
        <v>105.262</v>
      </c>
      <c r="AE207" s="605">
        <f t="shared" si="599"/>
        <v>105.262</v>
      </c>
      <c r="AF207" s="139">
        <f t="shared" si="599"/>
        <v>115.045</v>
      </c>
      <c r="AG207" s="139">
        <f t="shared" si="599"/>
        <v>133.673</v>
      </c>
      <c r="AH207" s="139">
        <f t="shared" si="599"/>
        <v>154.244</v>
      </c>
      <c r="AI207" s="139">
        <f t="shared" si="599"/>
        <v>166.36800000000002</v>
      </c>
      <c r="AJ207" s="605">
        <f t="shared" si="599"/>
        <v>166.36800000000002</v>
      </c>
      <c r="AK207" s="139">
        <f t="shared" si="599"/>
        <v>190.49099999999999</v>
      </c>
      <c r="AL207" s="139">
        <f t="shared" si="599"/>
        <v>209.51</v>
      </c>
      <c r="AM207" s="139">
        <f t="shared" si="599"/>
        <v>236.45099999999999</v>
      </c>
      <c r="AN207" s="139">
        <f t="shared" si="599"/>
        <v>257.98399999999998</v>
      </c>
      <c r="AO207" s="605">
        <f t="shared" si="599"/>
        <v>257.98399999999998</v>
      </c>
      <c r="AP207" s="139">
        <f t="shared" si="599"/>
        <v>290.45299999999997</v>
      </c>
      <c r="AQ207" s="139">
        <f t="shared" si="599"/>
        <v>356.40599999999995</v>
      </c>
      <c r="AR207" s="139">
        <f t="shared" ref="AR207:BW207" si="600">SUM(AR13:AR16,AR29,AR31,AR37:AR39)</f>
        <v>403.24</v>
      </c>
      <c r="AS207" s="139">
        <f t="shared" si="600"/>
        <v>445.892</v>
      </c>
      <c r="AT207" s="605">
        <f t="shared" si="600"/>
        <v>445.892</v>
      </c>
      <c r="AU207" s="139">
        <f t="shared" si="600"/>
        <v>511.779</v>
      </c>
      <c r="AV207" s="139">
        <f t="shared" si="600"/>
        <v>577.86599999999987</v>
      </c>
      <c r="AW207" s="139">
        <f t="shared" si="600"/>
        <v>646.9140000000001</v>
      </c>
      <c r="AX207" s="139">
        <f t="shared" si="600"/>
        <v>677.822</v>
      </c>
      <c r="AY207" s="605">
        <f t="shared" si="600"/>
        <v>677.822</v>
      </c>
      <c r="AZ207" s="139">
        <f t="shared" si="600"/>
        <v>771.58899999999994</v>
      </c>
      <c r="BA207" s="139">
        <f t="shared" si="600"/>
        <v>874.11799999999994</v>
      </c>
      <c r="BB207" s="139">
        <f t="shared" si="600"/>
        <v>929.75699999999983</v>
      </c>
      <c r="BC207" s="139">
        <f t="shared" si="600"/>
        <v>1167.8810000000001</v>
      </c>
      <c r="BD207" s="605">
        <f t="shared" si="600"/>
        <v>1167.8810000000001</v>
      </c>
      <c r="BE207" s="139">
        <f t="shared" si="600"/>
        <v>1296.289</v>
      </c>
      <c r="BF207" s="139">
        <f t="shared" si="600"/>
        <v>1396.492</v>
      </c>
      <c r="BG207" s="139">
        <f t="shared" si="600"/>
        <v>1454.6980000000001</v>
      </c>
      <c r="BH207" s="139">
        <f t="shared" si="600"/>
        <v>1450.288</v>
      </c>
      <c r="BI207" s="605">
        <f t="shared" si="600"/>
        <v>1450.288</v>
      </c>
      <c r="BJ207" s="139">
        <f t="shared" si="600"/>
        <v>1459.9230000000002</v>
      </c>
      <c r="BK207" s="139">
        <f t="shared" si="600"/>
        <v>1529.3330000000001</v>
      </c>
      <c r="BL207" s="139">
        <f t="shared" si="600"/>
        <v>1636.7490000000003</v>
      </c>
      <c r="BM207" s="139">
        <f t="shared" si="600"/>
        <v>1787.777</v>
      </c>
      <c r="BN207" s="605">
        <f t="shared" si="600"/>
        <v>1787.777</v>
      </c>
      <c r="BO207" s="139">
        <f t="shared" si="600"/>
        <v>1938.4189999999999</v>
      </c>
      <c r="BP207" s="139">
        <f t="shared" si="600"/>
        <v>2112.1550000000002</v>
      </c>
      <c r="BQ207" s="139">
        <f t="shared" si="600"/>
        <v>2317.4629999999997</v>
      </c>
      <c r="BR207" s="139">
        <f t="shared" si="600"/>
        <v>2356.6860000000001</v>
      </c>
      <c r="BS207" s="605">
        <f t="shared" si="600"/>
        <v>2356.6860000000001</v>
      </c>
      <c r="BT207" s="139">
        <f t="shared" si="600"/>
        <v>2469.7579999999998</v>
      </c>
      <c r="BU207" s="139">
        <f t="shared" si="600"/>
        <v>2647.2909999999997</v>
      </c>
      <c r="BV207" s="139">
        <f t="shared" si="600"/>
        <v>2812.8390000000004</v>
      </c>
      <c r="BW207" s="139">
        <f t="shared" si="600"/>
        <v>3075.6689999999999</v>
      </c>
      <c r="BX207" s="605">
        <f t="shared" ref="BX207:DC207" si="601">SUM(BX13:BX16,BX29,BX31,BX37:BX39)</f>
        <v>3075.6689999999999</v>
      </c>
      <c r="BY207" s="139">
        <f t="shared" si="601"/>
        <v>3176.93</v>
      </c>
      <c r="BZ207" s="139">
        <f t="shared" si="601"/>
        <v>3308.0770000000002</v>
      </c>
      <c r="CA207" s="139">
        <f t="shared" si="601"/>
        <v>3475.2910000000006</v>
      </c>
      <c r="CB207" s="139">
        <f t="shared" si="601"/>
        <v>3657.8129999999996</v>
      </c>
      <c r="CC207" s="605">
        <f t="shared" si="601"/>
        <v>3657.8129999999996</v>
      </c>
      <c r="CD207" s="139">
        <f t="shared" si="601"/>
        <v>3964.8560000000002</v>
      </c>
      <c r="CE207" s="139">
        <f t="shared" si="601"/>
        <v>4111.7510000000002</v>
      </c>
      <c r="CF207" s="139">
        <f t="shared" si="601"/>
        <v>4256.5499999999993</v>
      </c>
      <c r="CG207" s="139">
        <f t="shared" si="601"/>
        <v>4461.4409999999998</v>
      </c>
      <c r="CH207" s="605">
        <f t="shared" si="601"/>
        <v>4461.4409999999998</v>
      </c>
      <c r="CI207" s="139">
        <f t="shared" si="601"/>
        <v>4414.3149999999996</v>
      </c>
      <c r="CJ207" s="139">
        <f t="shared" si="601"/>
        <v>4558.0730000000003</v>
      </c>
      <c r="CK207" s="139">
        <f t="shared" si="601"/>
        <v>4608.5640000000003</v>
      </c>
      <c r="CL207" s="139">
        <f t="shared" si="601"/>
        <v>7944.1900000000005</v>
      </c>
      <c r="CM207" s="605">
        <f t="shared" si="601"/>
        <v>7944.1900000000005</v>
      </c>
      <c r="CN207" s="139">
        <f t="shared" si="601"/>
        <v>8033.5999999999995</v>
      </c>
      <c r="CO207" s="139">
        <f t="shared" si="601"/>
        <v>8231.1</v>
      </c>
      <c r="CP207" s="139">
        <f t="shared" si="601"/>
        <v>8216.9</v>
      </c>
      <c r="CQ207" s="139">
        <f t="shared" si="601"/>
        <v>8115.9000000000005</v>
      </c>
      <c r="CR207" s="605">
        <f t="shared" si="601"/>
        <v>8115.9000000000005</v>
      </c>
      <c r="CS207" s="139">
        <f t="shared" si="601"/>
        <v>8284.2000000000007</v>
      </c>
      <c r="CT207" s="139">
        <f t="shared" si="601"/>
        <v>8658.9</v>
      </c>
      <c r="CU207" s="139">
        <f t="shared" si="601"/>
        <v>8858.0999999999985</v>
      </c>
      <c r="CV207" s="139">
        <f t="shared" si="601"/>
        <v>9093</v>
      </c>
      <c r="CW207" s="828">
        <f t="shared" si="601"/>
        <v>9093</v>
      </c>
      <c r="CX207" s="139">
        <f t="shared" si="601"/>
        <v>9245</v>
      </c>
      <c r="CY207" s="139">
        <f t="shared" si="601"/>
        <v>9362</v>
      </c>
      <c r="CZ207" s="139">
        <f t="shared" si="601"/>
        <v>9605</v>
      </c>
      <c r="DA207" s="139">
        <f t="shared" si="601"/>
        <v>9930</v>
      </c>
      <c r="DB207" s="828">
        <f t="shared" si="601"/>
        <v>9930</v>
      </c>
      <c r="DC207" s="139">
        <f t="shared" si="601"/>
        <v>10044.044413739606</v>
      </c>
      <c r="DD207" s="139">
        <f t="shared" ref="DD207:DQ207" si="602">SUM(DD13:DD16,DD29,DD31,DD37:DD39)</f>
        <v>10119.256722432538</v>
      </c>
      <c r="DE207" s="139">
        <f t="shared" si="602"/>
        <v>10361.70739652737</v>
      </c>
      <c r="DF207" s="139">
        <f t="shared" si="602"/>
        <v>10445.640144627207</v>
      </c>
      <c r="DG207" s="828">
        <f t="shared" si="602"/>
        <v>10445.640144627207</v>
      </c>
      <c r="DH207" s="139">
        <f t="shared" si="602"/>
        <v>10493.437316975343</v>
      </c>
      <c r="DI207" s="139">
        <f t="shared" si="602"/>
        <v>10579.113568166162</v>
      </c>
      <c r="DJ207" s="139">
        <f t="shared" si="602"/>
        <v>10834.898572232833</v>
      </c>
      <c r="DK207" s="139">
        <f t="shared" si="602"/>
        <v>10924.416934560455</v>
      </c>
      <c r="DL207" s="828">
        <f t="shared" si="602"/>
        <v>10924.416934560455</v>
      </c>
      <c r="DM207" s="139">
        <f t="shared" si="602"/>
        <v>10955.501489327487</v>
      </c>
      <c r="DN207" s="139">
        <f t="shared" si="602"/>
        <v>11042.064298427424</v>
      </c>
      <c r="DO207" s="139">
        <f t="shared" si="602"/>
        <v>11297.302608977905</v>
      </c>
      <c r="DP207" s="139">
        <f t="shared" si="602"/>
        <v>11392.191642199134</v>
      </c>
      <c r="DQ207" s="828">
        <f t="shared" si="602"/>
        <v>11392.191642199134</v>
      </c>
      <c r="DR207" s="138"/>
      <c r="DS207" s="139"/>
      <c r="DT207"/>
      <c r="DU207"/>
      <c r="DV207"/>
      <c r="DW207"/>
      <c r="DX207"/>
      <c r="DY207"/>
    </row>
    <row r="208" spans="2:129" s="144" customFormat="1" hidden="1" outlineLevel="1">
      <c r="B208" s="138"/>
      <c r="C208" s="139" t="s">
        <v>244</v>
      </c>
      <c r="D208" s="139"/>
      <c r="E208" s="139"/>
      <c r="F208" s="139"/>
      <c r="G208" s="138"/>
      <c r="H208" s="139">
        <f>SUM(H45:H48,H53:H54)</f>
        <v>11.952</v>
      </c>
      <c r="I208" s="139">
        <f>SUM(I45:I48,I53:I54)</f>
        <v>14.815000000000001</v>
      </c>
      <c r="J208" s="150">
        <f>SUM(J45:J48,J53:J54)</f>
        <v>19.063000000000002</v>
      </c>
      <c r="K208" s="605"/>
      <c r="L208" s="138">
        <f t="shared" ref="L208:AQ208" si="603">SUM(L45:L48,L53:L54)</f>
        <v>18.382999999999999</v>
      </c>
      <c r="M208" s="139">
        <f t="shared" si="603"/>
        <v>18.233999999999998</v>
      </c>
      <c r="N208" s="139">
        <f t="shared" si="603"/>
        <v>19.986999999999998</v>
      </c>
      <c r="O208" s="139">
        <f t="shared" si="603"/>
        <v>23.565000000000001</v>
      </c>
      <c r="P208" s="605">
        <f t="shared" si="603"/>
        <v>23.565000000000001</v>
      </c>
      <c r="Q208" s="138">
        <f t="shared" si="603"/>
        <v>23.501999999999999</v>
      </c>
      <c r="R208" s="139">
        <f t="shared" si="603"/>
        <v>28.422000000000001</v>
      </c>
      <c r="S208" s="139">
        <f t="shared" si="603"/>
        <v>35.246000000000002</v>
      </c>
      <c r="T208" s="150">
        <f t="shared" si="603"/>
        <v>43.423999999999999</v>
      </c>
      <c r="U208" s="605">
        <f t="shared" si="603"/>
        <v>43.423999999999999</v>
      </c>
      <c r="V208" s="139">
        <f t="shared" si="603"/>
        <v>38.951000000000001</v>
      </c>
      <c r="W208" s="139">
        <f t="shared" si="603"/>
        <v>40.33</v>
      </c>
      <c r="X208" s="139">
        <f t="shared" si="603"/>
        <v>46.076999999999998</v>
      </c>
      <c r="Y208" s="150">
        <f t="shared" si="603"/>
        <v>46.191000000000003</v>
      </c>
      <c r="Z208" s="605">
        <f t="shared" si="603"/>
        <v>46.191000000000003</v>
      </c>
      <c r="AA208" s="139">
        <f t="shared" si="603"/>
        <v>47.367999999999995</v>
      </c>
      <c r="AB208" s="139">
        <f t="shared" si="603"/>
        <v>57.699000000000005</v>
      </c>
      <c r="AC208" s="139">
        <f t="shared" si="603"/>
        <v>58.154000000000003</v>
      </c>
      <c r="AD208" s="139">
        <f t="shared" si="603"/>
        <v>65.992000000000004</v>
      </c>
      <c r="AE208" s="605">
        <f t="shared" si="603"/>
        <v>65.992000000000004</v>
      </c>
      <c r="AF208" s="139">
        <f t="shared" si="603"/>
        <v>62.061999999999998</v>
      </c>
      <c r="AG208" s="139">
        <f t="shared" si="603"/>
        <v>68.015000000000001</v>
      </c>
      <c r="AH208" s="139">
        <f t="shared" si="603"/>
        <v>77.024000000000001</v>
      </c>
      <c r="AI208" s="139">
        <f t="shared" si="603"/>
        <v>86.519000000000005</v>
      </c>
      <c r="AJ208" s="605">
        <f t="shared" si="603"/>
        <v>86.519000000000005</v>
      </c>
      <c r="AK208" s="139">
        <f t="shared" si="603"/>
        <v>85.137</v>
      </c>
      <c r="AL208" s="139">
        <f t="shared" si="603"/>
        <v>93.134</v>
      </c>
      <c r="AM208" s="139">
        <f t="shared" si="603"/>
        <v>112.733</v>
      </c>
      <c r="AN208" s="139">
        <f t="shared" si="603"/>
        <v>119.21600000000001</v>
      </c>
      <c r="AO208" s="605">
        <f t="shared" si="603"/>
        <v>119.21600000000001</v>
      </c>
      <c r="AP208" s="139">
        <f t="shared" si="603"/>
        <v>97.76100000000001</v>
      </c>
      <c r="AQ208" s="139">
        <f t="shared" si="603"/>
        <v>118.02</v>
      </c>
      <c r="AR208" s="139">
        <f t="shared" ref="AR208:BW208" si="604">SUM(AR45:AR48,AR53:AR54)</f>
        <v>130.089</v>
      </c>
      <c r="AS208" s="139">
        <f t="shared" si="604"/>
        <v>155.74800000000002</v>
      </c>
      <c r="AT208" s="605">
        <f t="shared" si="604"/>
        <v>155.74800000000002</v>
      </c>
      <c r="AU208" s="139">
        <f t="shared" si="604"/>
        <v>141.17599999999999</v>
      </c>
      <c r="AV208" s="139">
        <f t="shared" si="604"/>
        <v>171.87300000000002</v>
      </c>
      <c r="AW208" s="139">
        <f t="shared" si="604"/>
        <v>215.95400000000001</v>
      </c>
      <c r="AX208" s="139">
        <f t="shared" si="604"/>
        <v>252.482</v>
      </c>
      <c r="AY208" s="605">
        <f t="shared" si="604"/>
        <v>252.482</v>
      </c>
      <c r="AZ208" s="139">
        <f t="shared" si="604"/>
        <v>247.36099999999999</v>
      </c>
      <c r="BA208" s="139">
        <f t="shared" si="604"/>
        <v>267.11100000000005</v>
      </c>
      <c r="BB208" s="139">
        <f t="shared" si="604"/>
        <v>295.50599999999997</v>
      </c>
      <c r="BC208" s="139">
        <f t="shared" si="604"/>
        <v>370.09599999999995</v>
      </c>
      <c r="BD208" s="605">
        <f t="shared" si="604"/>
        <v>370.09599999999995</v>
      </c>
      <c r="BE208" s="139">
        <f t="shared" si="604"/>
        <v>340.63099999999997</v>
      </c>
      <c r="BF208" s="139">
        <f t="shared" si="604"/>
        <v>355.40699999999998</v>
      </c>
      <c r="BG208" s="139">
        <f t="shared" si="604"/>
        <v>369.19899999999996</v>
      </c>
      <c r="BH208" s="139">
        <f t="shared" si="604"/>
        <v>408.98199999999997</v>
      </c>
      <c r="BI208" s="605">
        <f t="shared" si="604"/>
        <v>408.98199999999997</v>
      </c>
      <c r="BJ208" s="139">
        <f t="shared" si="604"/>
        <v>356.33399999999995</v>
      </c>
      <c r="BK208" s="139">
        <f t="shared" si="604"/>
        <v>405.59000000000003</v>
      </c>
      <c r="BL208" s="139">
        <f t="shared" si="604"/>
        <v>540.26400000000001</v>
      </c>
      <c r="BM208" s="139">
        <f t="shared" si="604"/>
        <v>685.0630000000001</v>
      </c>
      <c r="BN208" s="605">
        <f t="shared" si="604"/>
        <v>685.0630000000001</v>
      </c>
      <c r="BO208" s="139">
        <f t="shared" si="604"/>
        <v>623.37799999999993</v>
      </c>
      <c r="BP208" s="139">
        <f t="shared" si="604"/>
        <v>723.26699999999994</v>
      </c>
      <c r="BQ208" s="139">
        <f t="shared" si="604"/>
        <v>879.09500000000014</v>
      </c>
      <c r="BR208" s="139">
        <f t="shared" si="604"/>
        <v>998.64300000000014</v>
      </c>
      <c r="BS208" s="605">
        <f t="shared" si="604"/>
        <v>998.64300000000014</v>
      </c>
      <c r="BT208" s="139">
        <f t="shared" si="604"/>
        <v>873.68399999999997</v>
      </c>
      <c r="BU208" s="139">
        <f t="shared" si="604"/>
        <v>964.85299999999995</v>
      </c>
      <c r="BV208" s="139">
        <f t="shared" si="604"/>
        <v>1164.5930000000001</v>
      </c>
      <c r="BW208" s="139">
        <f t="shared" si="604"/>
        <v>1555.0469999999998</v>
      </c>
      <c r="BX208" s="605">
        <f t="shared" ref="BX208:DC208" si="605">SUM(BX45:BX48,BX53:BX54)</f>
        <v>1555.0469999999998</v>
      </c>
      <c r="BY208" s="139">
        <f t="shared" si="605"/>
        <v>1300.8760000000002</v>
      </c>
      <c r="BZ208" s="139">
        <f t="shared" si="605"/>
        <v>1561.8860000000002</v>
      </c>
      <c r="CA208" s="139">
        <f t="shared" si="605"/>
        <v>1534.6690000000001</v>
      </c>
      <c r="CB208" s="139">
        <f t="shared" si="605"/>
        <v>1667.1880000000001</v>
      </c>
      <c r="CC208" s="605">
        <f t="shared" si="605"/>
        <v>1667.1880000000001</v>
      </c>
      <c r="CD208" s="139">
        <f t="shared" si="605"/>
        <v>1493.3679999999999</v>
      </c>
      <c r="CE208" s="139">
        <f t="shared" si="605"/>
        <v>1688.5720000000001</v>
      </c>
      <c r="CF208" s="139">
        <f t="shared" si="605"/>
        <v>1968.873</v>
      </c>
      <c r="CG208" s="139">
        <f t="shared" si="605"/>
        <v>2073.123</v>
      </c>
      <c r="CH208" s="605">
        <f t="shared" si="605"/>
        <v>2073.123</v>
      </c>
      <c r="CI208" s="139">
        <f t="shared" si="605"/>
        <v>1656.3420000000001</v>
      </c>
      <c r="CJ208" s="139">
        <f t="shared" si="605"/>
        <v>1696.4650000000001</v>
      </c>
      <c r="CK208" s="139">
        <f t="shared" si="605"/>
        <v>1845.3329999999999</v>
      </c>
      <c r="CL208" s="139">
        <f t="shared" si="605"/>
        <v>3041.1980000000003</v>
      </c>
      <c r="CM208" s="605">
        <f t="shared" si="605"/>
        <v>3041.1980000000003</v>
      </c>
      <c r="CN208" s="139">
        <f t="shared" si="605"/>
        <v>2279.9</v>
      </c>
      <c r="CO208" s="139">
        <f t="shared" si="605"/>
        <v>2344.2999999999997</v>
      </c>
      <c r="CP208" s="139">
        <f t="shared" si="605"/>
        <v>2540.5999999999995</v>
      </c>
      <c r="CQ208" s="139">
        <f t="shared" si="605"/>
        <v>2906.1</v>
      </c>
      <c r="CR208" s="605">
        <f t="shared" si="605"/>
        <v>2906.1</v>
      </c>
      <c r="CS208" s="139">
        <f t="shared" si="605"/>
        <v>2265.1999999999994</v>
      </c>
      <c r="CT208" s="139">
        <f t="shared" si="605"/>
        <v>2437.1999999999998</v>
      </c>
      <c r="CU208" s="139">
        <f t="shared" si="605"/>
        <v>2602.7999999999997</v>
      </c>
      <c r="CV208" s="139">
        <f t="shared" si="605"/>
        <v>2737</v>
      </c>
      <c r="CW208" s="828">
        <f t="shared" si="605"/>
        <v>2737</v>
      </c>
      <c r="CX208" s="139">
        <f>SUM(CX45:CX48,CX53:CX54)</f>
        <v>2874</v>
      </c>
      <c r="CY208" s="139">
        <f>SUM(CY45:CY48,CY53:CY54)</f>
        <v>2708</v>
      </c>
      <c r="CZ208" s="139">
        <f t="shared" si="605"/>
        <v>2878</v>
      </c>
      <c r="DA208" s="139">
        <f t="shared" si="605"/>
        <v>3854</v>
      </c>
      <c r="DB208" s="828">
        <f t="shared" si="605"/>
        <v>3854</v>
      </c>
      <c r="DC208" s="139">
        <f t="shared" si="605"/>
        <v>3706.2756195471479</v>
      </c>
      <c r="DD208" s="139">
        <f t="shared" ref="DD208:DL208" si="606">SUM(DD45:DD48,DD53:DD54)</f>
        <v>3448.8687549823958</v>
      </c>
      <c r="DE208" s="139">
        <f t="shared" si="606"/>
        <v>3705.793645443528</v>
      </c>
      <c r="DF208" s="139">
        <f t="shared" si="606"/>
        <v>3846.5952952740959</v>
      </c>
      <c r="DG208" s="828">
        <f t="shared" si="606"/>
        <v>3846.5952952740959</v>
      </c>
      <c r="DH208" s="139">
        <f t="shared" si="606"/>
        <v>3779.887796722629</v>
      </c>
      <c r="DI208" s="139">
        <f t="shared" si="606"/>
        <v>3513.9536282213035</v>
      </c>
      <c r="DJ208" s="139">
        <f t="shared" si="606"/>
        <v>3723.1839158023276</v>
      </c>
      <c r="DK208" s="139">
        <f t="shared" si="606"/>
        <v>3887.6794405954697</v>
      </c>
      <c r="DL208" s="828">
        <f t="shared" si="606"/>
        <v>3887.6794405954697</v>
      </c>
      <c r="DM208" s="139">
        <f t="shared" ref="DM208:DQ208" si="607">SUM(DM45:DM48,DM53:DM54)</f>
        <v>3907.7570178963483</v>
      </c>
      <c r="DN208" s="139">
        <f t="shared" si="607"/>
        <v>3614.3771603111622</v>
      </c>
      <c r="DO208" s="139">
        <f t="shared" si="607"/>
        <v>3769.3250639333414</v>
      </c>
      <c r="DP208" s="139">
        <f t="shared" si="607"/>
        <v>3942.9317024809689</v>
      </c>
      <c r="DQ208" s="828">
        <f t="shared" si="607"/>
        <v>3942.9317024809689</v>
      </c>
      <c r="DR208" s="138"/>
      <c r="DS208" s="139"/>
      <c r="DT208"/>
      <c r="DU208"/>
      <c r="DV208"/>
      <c r="DW208"/>
      <c r="DX208"/>
      <c r="DY208"/>
    </row>
    <row r="209" spans="2:129" s="144" customFormat="1" hidden="1" outlineLevel="1">
      <c r="B209" s="138"/>
      <c r="C209" s="139" t="s">
        <v>242</v>
      </c>
      <c r="D209" s="139"/>
      <c r="E209" s="139"/>
      <c r="F209" s="139"/>
      <c r="G209" s="138"/>
      <c r="H209" s="139">
        <f t="shared" ref="H209:AU209" si="608">H207-H208</f>
        <v>6.5899999999999981</v>
      </c>
      <c r="I209" s="139">
        <f t="shared" si="608"/>
        <v>3.8279999999999959</v>
      </c>
      <c r="J209" s="150">
        <f t="shared" si="608"/>
        <v>4.1979999999999968</v>
      </c>
      <c r="K209" s="605"/>
      <c r="L209" s="138">
        <f t="shared" si="608"/>
        <v>10.364000000000001</v>
      </c>
      <c r="M209" s="139">
        <f t="shared" si="608"/>
        <v>8.7799999999999976</v>
      </c>
      <c r="N209" s="139">
        <f t="shared" si="608"/>
        <v>7.3770000000000024</v>
      </c>
      <c r="O209" s="139">
        <f t="shared" si="608"/>
        <v>2.8200000000000003</v>
      </c>
      <c r="P209" s="605">
        <f>P207-P208</f>
        <v>2.8200000000000003</v>
      </c>
      <c r="Q209" s="138">
        <f t="shared" si="608"/>
        <v>8.9469999999999992</v>
      </c>
      <c r="R209" s="139">
        <f t="shared" si="608"/>
        <v>7.4619999999999997</v>
      </c>
      <c r="S209" s="139">
        <f t="shared" si="608"/>
        <v>5.3410000000000011</v>
      </c>
      <c r="T209" s="150">
        <f t="shared" si="608"/>
        <v>2.1850000000000023</v>
      </c>
      <c r="U209" s="605">
        <f>U207-U208</f>
        <v>2.1850000000000023</v>
      </c>
      <c r="V209" s="139">
        <f t="shared" si="608"/>
        <v>9.9229999999999947</v>
      </c>
      <c r="W209" s="139">
        <f t="shared" si="608"/>
        <v>13.339000000000006</v>
      </c>
      <c r="X209" s="139">
        <f t="shared" si="608"/>
        <v>10.774000000000008</v>
      </c>
      <c r="Y209" s="150">
        <f t="shared" si="608"/>
        <v>13.814999999999998</v>
      </c>
      <c r="Z209" s="605">
        <f>Z207-Z208</f>
        <v>13.814999999999998</v>
      </c>
      <c r="AA209" s="139">
        <f t="shared" si="608"/>
        <v>15.76700000000001</v>
      </c>
      <c r="AB209" s="139">
        <f t="shared" si="608"/>
        <v>19.249999999999979</v>
      </c>
      <c r="AC209" s="139">
        <f t="shared" si="608"/>
        <v>19.54</v>
      </c>
      <c r="AD209" s="139">
        <f t="shared" si="608"/>
        <v>39.269999999999996</v>
      </c>
      <c r="AE209" s="605">
        <f>AE207-AE208</f>
        <v>39.269999999999996</v>
      </c>
      <c r="AF209" s="139">
        <f t="shared" si="608"/>
        <v>52.983000000000004</v>
      </c>
      <c r="AG209" s="139">
        <f t="shared" si="608"/>
        <v>65.658000000000001</v>
      </c>
      <c r="AH209" s="139">
        <f t="shared" si="608"/>
        <v>77.22</v>
      </c>
      <c r="AI209" s="139">
        <f t="shared" si="608"/>
        <v>79.849000000000018</v>
      </c>
      <c r="AJ209" s="605">
        <f>AJ207-AJ208</f>
        <v>79.849000000000018</v>
      </c>
      <c r="AK209" s="139">
        <f t="shared" si="608"/>
        <v>105.35399999999998</v>
      </c>
      <c r="AL209" s="139">
        <f t="shared" si="608"/>
        <v>116.37599999999999</v>
      </c>
      <c r="AM209" s="139">
        <f t="shared" si="608"/>
        <v>123.71799999999999</v>
      </c>
      <c r="AN209" s="139">
        <f t="shared" si="608"/>
        <v>138.76799999999997</v>
      </c>
      <c r="AO209" s="605">
        <f>AO207-AO208</f>
        <v>138.76799999999997</v>
      </c>
      <c r="AP209" s="139">
        <f t="shared" si="608"/>
        <v>192.69199999999995</v>
      </c>
      <c r="AQ209" s="139">
        <f t="shared" si="608"/>
        <v>238.38599999999997</v>
      </c>
      <c r="AR209" s="139">
        <f t="shared" si="608"/>
        <v>273.15100000000001</v>
      </c>
      <c r="AS209" s="139">
        <f t="shared" si="608"/>
        <v>290.14400000000001</v>
      </c>
      <c r="AT209" s="605">
        <f>AT207-AT208</f>
        <v>290.14400000000001</v>
      </c>
      <c r="AU209" s="139">
        <f t="shared" si="608"/>
        <v>370.60300000000001</v>
      </c>
      <c r="AV209" s="139">
        <f t="shared" ref="AV209:CI209" si="609">AV207-AV208</f>
        <v>405.99299999999982</v>
      </c>
      <c r="AW209" s="139">
        <f t="shared" si="609"/>
        <v>430.96000000000009</v>
      </c>
      <c r="AX209" s="139">
        <f t="shared" si="609"/>
        <v>425.34000000000003</v>
      </c>
      <c r="AY209" s="605">
        <f>AY207-AY208</f>
        <v>425.34000000000003</v>
      </c>
      <c r="AZ209" s="139">
        <f t="shared" si="609"/>
        <v>524.22799999999995</v>
      </c>
      <c r="BA209" s="139">
        <f t="shared" si="609"/>
        <v>607.00699999999983</v>
      </c>
      <c r="BB209" s="139">
        <f t="shared" si="609"/>
        <v>634.25099999999986</v>
      </c>
      <c r="BC209" s="139">
        <f t="shared" si="609"/>
        <v>797.78500000000008</v>
      </c>
      <c r="BD209" s="605">
        <f>BD207-BD208</f>
        <v>797.78500000000008</v>
      </c>
      <c r="BE209" s="139">
        <f t="shared" si="609"/>
        <v>955.65800000000002</v>
      </c>
      <c r="BF209" s="139">
        <f t="shared" si="609"/>
        <v>1041.085</v>
      </c>
      <c r="BG209" s="139">
        <f t="shared" si="609"/>
        <v>1085.4990000000003</v>
      </c>
      <c r="BH209" s="139">
        <f t="shared" si="609"/>
        <v>1041.306</v>
      </c>
      <c r="BI209" s="605">
        <f>BI207-BI208</f>
        <v>1041.306</v>
      </c>
      <c r="BJ209" s="139">
        <f t="shared" si="609"/>
        <v>1103.5890000000004</v>
      </c>
      <c r="BK209" s="139">
        <f t="shared" si="609"/>
        <v>1123.7429999999999</v>
      </c>
      <c r="BL209" s="139">
        <f t="shared" si="609"/>
        <v>1096.4850000000001</v>
      </c>
      <c r="BM209" s="139">
        <f t="shared" si="609"/>
        <v>1102.7139999999999</v>
      </c>
      <c r="BN209" s="605">
        <f>BN207-BN208</f>
        <v>1102.7139999999999</v>
      </c>
      <c r="BO209" s="139">
        <f t="shared" si="609"/>
        <v>1315.0409999999999</v>
      </c>
      <c r="BP209" s="139">
        <f t="shared" si="609"/>
        <v>1388.8880000000004</v>
      </c>
      <c r="BQ209" s="139">
        <f t="shared" si="609"/>
        <v>1438.3679999999995</v>
      </c>
      <c r="BR209" s="139">
        <f t="shared" si="609"/>
        <v>1358.0430000000001</v>
      </c>
      <c r="BS209" s="605">
        <f>BS207-BS208</f>
        <v>1358.0430000000001</v>
      </c>
      <c r="BT209" s="139">
        <f t="shared" si="609"/>
        <v>1596.0739999999998</v>
      </c>
      <c r="BU209" s="139">
        <f t="shared" si="609"/>
        <v>1682.4379999999996</v>
      </c>
      <c r="BV209" s="139">
        <f t="shared" si="609"/>
        <v>1648.2460000000003</v>
      </c>
      <c r="BW209" s="139">
        <f t="shared" si="609"/>
        <v>1520.6220000000001</v>
      </c>
      <c r="BX209" s="605">
        <f>BX207-BX208</f>
        <v>1520.6220000000001</v>
      </c>
      <c r="BY209" s="139">
        <f t="shared" si="609"/>
        <v>1876.0539999999996</v>
      </c>
      <c r="BZ209" s="139">
        <f t="shared" si="609"/>
        <v>1746.191</v>
      </c>
      <c r="CA209" s="139">
        <f t="shared" si="609"/>
        <v>1940.6220000000005</v>
      </c>
      <c r="CB209" s="139">
        <f t="shared" si="609"/>
        <v>1990.6249999999995</v>
      </c>
      <c r="CC209" s="605">
        <f>CC207-CC208</f>
        <v>1990.6249999999995</v>
      </c>
      <c r="CD209" s="139">
        <f t="shared" si="609"/>
        <v>2471.4880000000003</v>
      </c>
      <c r="CE209" s="139">
        <f t="shared" si="609"/>
        <v>2423.1790000000001</v>
      </c>
      <c r="CF209" s="139">
        <f t="shared" si="609"/>
        <v>2287.6769999999992</v>
      </c>
      <c r="CG209" s="139">
        <f t="shared" si="609"/>
        <v>2388.3179999999998</v>
      </c>
      <c r="CH209" s="605">
        <f>CH207-CH208</f>
        <v>2388.3179999999998</v>
      </c>
      <c r="CI209" s="139">
        <f t="shared" si="609"/>
        <v>2757.9729999999995</v>
      </c>
      <c r="CJ209" s="139">
        <f t="shared" ref="CJ209:CP209" si="610">CJ207-CJ208</f>
        <v>2861.6080000000002</v>
      </c>
      <c r="CK209" s="139">
        <f t="shared" si="610"/>
        <v>2763.2310000000007</v>
      </c>
      <c r="CL209" s="139">
        <f t="shared" si="610"/>
        <v>4902.9920000000002</v>
      </c>
      <c r="CM209" s="605">
        <f>CM207-CM208</f>
        <v>4902.9920000000002</v>
      </c>
      <c r="CN209" s="139">
        <f t="shared" si="610"/>
        <v>5753.6999999999989</v>
      </c>
      <c r="CO209" s="139">
        <f t="shared" si="610"/>
        <v>5886.8000000000011</v>
      </c>
      <c r="CP209" s="139">
        <f t="shared" si="610"/>
        <v>5676.3</v>
      </c>
      <c r="CQ209" s="139">
        <f t="shared" ref="CQ209:DF209" si="611">CQ207-CQ208</f>
        <v>5209.8000000000011</v>
      </c>
      <c r="CR209" s="605">
        <f>CR207-CR208</f>
        <v>5209.8000000000011</v>
      </c>
      <c r="CS209" s="139">
        <f t="shared" si="611"/>
        <v>6019.0000000000018</v>
      </c>
      <c r="CT209" s="139">
        <f t="shared" si="611"/>
        <v>6221.7</v>
      </c>
      <c r="CU209" s="139">
        <f t="shared" si="611"/>
        <v>6255.2999999999993</v>
      </c>
      <c r="CV209" s="139">
        <f>CV207-CV208</f>
        <v>6356</v>
      </c>
      <c r="CW209" s="828">
        <f>CW207-CW208</f>
        <v>6356</v>
      </c>
      <c r="CX209" s="139">
        <f>CX207-CX208</f>
        <v>6371</v>
      </c>
      <c r="CY209" s="139">
        <f>CY207-CY208</f>
        <v>6654</v>
      </c>
      <c r="CZ209" s="139">
        <f t="shared" si="611"/>
        <v>6727</v>
      </c>
      <c r="DA209" s="139">
        <f t="shared" si="611"/>
        <v>6076</v>
      </c>
      <c r="DB209" s="828">
        <f>DB207-DB208</f>
        <v>6076</v>
      </c>
      <c r="DC209" s="139">
        <f t="shared" si="611"/>
        <v>6337.7687941924578</v>
      </c>
      <c r="DD209" s="139">
        <f t="shared" si="611"/>
        <v>6670.3879674501422</v>
      </c>
      <c r="DE209" s="139">
        <f t="shared" si="611"/>
        <v>6655.9137510838427</v>
      </c>
      <c r="DF209" s="139">
        <f t="shared" si="611"/>
        <v>6599.0448493531112</v>
      </c>
      <c r="DG209" s="828">
        <f t="shared" ref="DG209:DL209" si="612">DG207-DG208</f>
        <v>6599.0448493531112</v>
      </c>
      <c r="DH209" s="139">
        <f t="shared" si="612"/>
        <v>6713.5495202527145</v>
      </c>
      <c r="DI209" s="139">
        <f t="shared" si="612"/>
        <v>7065.1599399448587</v>
      </c>
      <c r="DJ209" s="139">
        <f t="shared" si="612"/>
        <v>7111.7146564305049</v>
      </c>
      <c r="DK209" s="139">
        <f t="shared" si="612"/>
        <v>7036.7374939649853</v>
      </c>
      <c r="DL209" s="828">
        <f t="shared" si="612"/>
        <v>7036.7374939649853</v>
      </c>
      <c r="DM209" s="139">
        <f t="shared" ref="DM209:DQ209" si="613">DM207-DM208</f>
        <v>7047.7444714311387</v>
      </c>
      <c r="DN209" s="139">
        <f t="shared" si="613"/>
        <v>7427.6871381162618</v>
      </c>
      <c r="DO209" s="139">
        <f t="shared" si="613"/>
        <v>7527.9775450445632</v>
      </c>
      <c r="DP209" s="139">
        <f t="shared" si="613"/>
        <v>7449.2599397181648</v>
      </c>
      <c r="DQ209" s="828">
        <f t="shared" si="613"/>
        <v>7449.2599397181648</v>
      </c>
      <c r="DR209" s="138"/>
      <c r="DS209" s="139"/>
      <c r="DT209"/>
      <c r="DU209"/>
      <c r="DV209"/>
      <c r="DW209"/>
      <c r="DX209"/>
      <c r="DY209"/>
    </row>
    <row r="210" spans="2:129" s="144" customFormat="1" hidden="1" outlineLevel="1">
      <c r="B210" s="345"/>
      <c r="C210" s="346"/>
      <c r="D210" s="346"/>
      <c r="E210" s="346"/>
      <c r="F210" s="346"/>
      <c r="G210" s="345"/>
      <c r="H210" s="346"/>
      <c r="I210" s="346"/>
      <c r="J210" s="347"/>
      <c r="K210" s="815"/>
      <c r="L210" s="345"/>
      <c r="M210" s="346"/>
      <c r="N210" s="346"/>
      <c r="O210" s="346"/>
      <c r="P210" s="815"/>
      <c r="Q210" s="345"/>
      <c r="R210" s="346"/>
      <c r="S210" s="346"/>
      <c r="T210" s="347"/>
      <c r="U210" s="815"/>
      <c r="V210" s="346"/>
      <c r="W210" s="346"/>
      <c r="X210" s="346"/>
      <c r="Y210" s="347"/>
      <c r="Z210" s="815"/>
      <c r="AA210" s="346"/>
      <c r="AB210" s="346"/>
      <c r="AC210" s="346"/>
      <c r="AD210" s="346"/>
      <c r="AE210" s="815"/>
      <c r="AF210" s="346"/>
      <c r="AG210" s="346"/>
      <c r="AH210" s="346"/>
      <c r="AI210" s="346"/>
      <c r="AJ210" s="815"/>
      <c r="AK210" s="346"/>
      <c r="AL210" s="346"/>
      <c r="AM210" s="346"/>
      <c r="AN210" s="346"/>
      <c r="AO210" s="815"/>
      <c r="AP210" s="346"/>
      <c r="AQ210" s="346"/>
      <c r="AR210" s="346"/>
      <c r="AS210" s="346"/>
      <c r="AT210" s="815"/>
      <c r="AU210" s="346"/>
      <c r="AV210" s="346"/>
      <c r="AW210" s="346"/>
      <c r="AX210" s="346"/>
      <c r="AY210" s="815"/>
      <c r="AZ210" s="346"/>
      <c r="BA210" s="346"/>
      <c r="BB210" s="346"/>
      <c r="BC210" s="346"/>
      <c r="BD210" s="815"/>
      <c r="BE210" s="346"/>
      <c r="BF210" s="346"/>
      <c r="BG210" s="346"/>
      <c r="BH210" s="346"/>
      <c r="BI210" s="815"/>
      <c r="BJ210" s="346"/>
      <c r="BK210" s="346"/>
      <c r="BL210" s="346"/>
      <c r="BM210" s="346"/>
      <c r="BN210" s="815"/>
      <c r="BO210" s="346"/>
      <c r="BP210" s="346"/>
      <c r="BQ210" s="346"/>
      <c r="BR210" s="346"/>
      <c r="BS210" s="815"/>
      <c r="BT210" s="346"/>
      <c r="BU210" s="346"/>
      <c r="BV210" s="346"/>
      <c r="BW210" s="346"/>
      <c r="BX210" s="815"/>
      <c r="BY210" s="346"/>
      <c r="BZ210" s="346"/>
      <c r="CA210" s="346"/>
      <c r="CB210" s="346"/>
      <c r="CC210" s="815"/>
      <c r="CD210" s="346"/>
      <c r="CE210" s="346"/>
      <c r="CF210" s="346"/>
      <c r="CG210" s="346"/>
      <c r="CH210" s="815"/>
      <c r="CI210" s="346"/>
      <c r="CJ210" s="346"/>
      <c r="CK210" s="346"/>
      <c r="CL210" s="346"/>
      <c r="CM210" s="815"/>
      <c r="CN210" s="346"/>
      <c r="CO210" s="346"/>
      <c r="CP210" s="346"/>
      <c r="CQ210" s="346"/>
      <c r="CR210" s="815"/>
      <c r="CS210" s="346"/>
      <c r="CT210" s="346"/>
      <c r="CU210" s="346"/>
      <c r="CV210" s="346"/>
      <c r="CW210" s="815"/>
      <c r="CX210" s="346"/>
      <c r="CY210" s="346"/>
      <c r="CZ210" s="346"/>
      <c r="DA210" s="346"/>
      <c r="DB210" s="815"/>
      <c r="DC210" s="346"/>
      <c r="DD210" s="346"/>
      <c r="DE210" s="346"/>
      <c r="DF210" s="346"/>
      <c r="DG210" s="815"/>
      <c r="DH210" s="346"/>
      <c r="DI210" s="346"/>
      <c r="DJ210" s="346"/>
      <c r="DK210" s="346"/>
      <c r="DL210" s="815"/>
      <c r="DM210" s="346"/>
      <c r="DN210" s="346"/>
      <c r="DO210" s="346"/>
      <c r="DP210" s="346"/>
      <c r="DQ210" s="815"/>
      <c r="DR210" s="186"/>
      <c r="DS210" s="139"/>
      <c r="DT210"/>
      <c r="DU210"/>
      <c r="DV210"/>
      <c r="DW210"/>
      <c r="DX210"/>
      <c r="DY210"/>
    </row>
    <row r="211" spans="2:129" collapsed="1">
      <c r="DM211" s="114"/>
      <c r="DN211" s="114"/>
      <c r="DO211" s="114"/>
      <c r="DP211" s="114"/>
    </row>
    <row r="212" spans="2:129">
      <c r="DM212" s="114"/>
      <c r="DN212" s="114"/>
      <c r="DO212" s="114"/>
      <c r="DP212" s="114"/>
    </row>
    <row r="213" spans="2:129">
      <c r="DM213" s="114"/>
      <c r="DN213" s="114"/>
      <c r="DO213" s="114"/>
      <c r="DP213" s="114"/>
    </row>
    <row r="214" spans="2:129">
      <c r="DM214" s="114"/>
      <c r="DN214" s="114"/>
      <c r="DO214" s="114"/>
      <c r="DP214" s="114"/>
    </row>
    <row r="215" spans="2:129">
      <c r="DM215" s="114"/>
      <c r="DN215" s="114"/>
      <c r="DO215" s="114"/>
      <c r="DP215" s="114"/>
    </row>
    <row r="216" spans="2:129">
      <c r="DM216" s="114"/>
      <c r="DN216" s="114"/>
      <c r="DO216" s="114"/>
      <c r="DP216" s="114"/>
    </row>
    <row r="217" spans="2:129">
      <c r="DM217" s="114"/>
      <c r="DN217" s="114"/>
      <c r="DO217" s="114"/>
      <c r="DP217" s="114"/>
    </row>
    <row r="218" spans="2:129">
      <c r="DM218" s="114"/>
      <c r="DN218" s="114"/>
      <c r="DO218" s="114"/>
      <c r="DP218" s="114"/>
    </row>
    <row r="219" spans="2:129">
      <c r="DM219" s="114"/>
      <c r="DN219" s="114"/>
      <c r="DO219" s="114"/>
      <c r="DP219" s="114"/>
    </row>
    <row r="220" spans="2:129">
      <c r="DM220" s="114"/>
      <c r="DN220" s="114"/>
      <c r="DO220" s="114"/>
      <c r="DP220" s="114"/>
    </row>
    <row r="221" spans="2:129">
      <c r="DM221" s="114"/>
      <c r="DN221" s="114"/>
      <c r="DO221" s="114"/>
      <c r="DP221" s="114"/>
    </row>
    <row r="222" spans="2:129">
      <c r="DM222" s="114"/>
      <c r="DN222" s="114"/>
      <c r="DO222" s="114"/>
      <c r="DP222" s="114"/>
    </row>
    <row r="223" spans="2:129">
      <c r="DM223" s="114"/>
      <c r="DN223" s="114"/>
      <c r="DO223" s="114"/>
      <c r="DP223" s="114"/>
    </row>
    <row r="224" spans="2:129">
      <c r="DM224" s="114"/>
      <c r="DN224" s="114"/>
      <c r="DO224" s="114"/>
      <c r="DP224" s="114"/>
    </row>
    <row r="225" spans="117:120">
      <c r="DM225" s="114"/>
      <c r="DN225" s="114"/>
      <c r="DO225" s="114"/>
      <c r="DP225" s="114"/>
    </row>
    <row r="226" spans="117:120">
      <c r="DM226" s="114"/>
      <c r="DN226" s="114"/>
      <c r="DO226" s="114"/>
      <c r="DP226" s="114"/>
    </row>
    <row r="227" spans="117:120">
      <c r="DM227" s="114"/>
      <c r="DN227" s="114"/>
      <c r="DO227" s="114"/>
      <c r="DP227" s="114"/>
    </row>
    <row r="228" spans="117:120">
      <c r="DM228" s="114"/>
      <c r="DN228" s="114"/>
      <c r="DO228" s="114"/>
      <c r="DP228" s="114"/>
    </row>
    <row r="229" spans="117:120">
      <c r="DM229" s="114"/>
      <c r="DN229" s="114"/>
      <c r="DO229" s="114"/>
      <c r="DP229" s="114"/>
    </row>
    <row r="230" spans="117:120">
      <c r="DM230" s="114"/>
      <c r="DN230" s="114"/>
      <c r="DO230" s="114"/>
      <c r="DP230" s="114"/>
    </row>
    <row r="231" spans="117:120">
      <c r="DM231" s="114"/>
      <c r="DN231" s="114"/>
      <c r="DO231" s="114"/>
      <c r="DP231" s="114"/>
    </row>
    <row r="232" spans="117:120">
      <c r="DM232" s="114"/>
      <c r="DN232" s="114"/>
      <c r="DO232" s="114"/>
      <c r="DP232" s="114"/>
    </row>
    <row r="233" spans="117:120">
      <c r="DM233" s="114"/>
      <c r="DN233" s="114"/>
      <c r="DO233" s="114"/>
      <c r="DP233" s="114"/>
    </row>
    <row r="234" spans="117:120">
      <c r="DM234" s="114"/>
      <c r="DN234" s="114"/>
      <c r="DO234" s="114"/>
      <c r="DP234" s="114"/>
    </row>
    <row r="235" spans="117:120">
      <c r="DM235" s="114"/>
      <c r="DN235" s="114"/>
      <c r="DO235" s="114"/>
      <c r="DP235" s="114"/>
    </row>
    <row r="236" spans="117:120">
      <c r="DM236" s="114"/>
      <c r="DN236" s="114"/>
      <c r="DO236" s="114"/>
      <c r="DP236" s="114"/>
    </row>
    <row r="237" spans="117:120">
      <c r="DM237" s="114"/>
      <c r="DN237" s="114"/>
      <c r="DO237" s="114"/>
      <c r="DP237" s="114"/>
    </row>
    <row r="238" spans="117:120">
      <c r="DM238" s="114"/>
      <c r="DN238" s="114"/>
      <c r="DO238" s="114"/>
      <c r="DP238" s="114"/>
    </row>
    <row r="239" spans="117:120">
      <c r="DM239" s="114"/>
      <c r="DN239" s="114"/>
      <c r="DO239" s="114"/>
      <c r="DP239" s="114"/>
    </row>
    <row r="240" spans="117:120">
      <c r="DM240" s="114"/>
      <c r="DN240" s="114"/>
      <c r="DO240" s="114"/>
      <c r="DP240" s="114"/>
    </row>
    <row r="241" spans="117:120">
      <c r="DM241" s="114"/>
      <c r="DN241" s="114"/>
      <c r="DO241" s="114"/>
      <c r="DP241" s="114"/>
    </row>
    <row r="242" spans="117:120">
      <c r="DM242" s="114"/>
      <c r="DN242" s="114"/>
      <c r="DO242" s="114"/>
      <c r="DP242" s="114"/>
    </row>
    <row r="243" spans="117:120">
      <c r="DM243" s="114"/>
      <c r="DN243" s="114"/>
      <c r="DO243" s="114"/>
      <c r="DP243" s="114"/>
    </row>
    <row r="244" spans="117:120">
      <c r="DM244" s="114"/>
      <c r="DN244" s="114"/>
      <c r="DO244" s="114"/>
      <c r="DP244" s="114"/>
    </row>
    <row r="245" spans="117:120">
      <c r="DM245" s="114"/>
      <c r="DN245" s="114"/>
      <c r="DO245" s="114"/>
      <c r="DP245" s="114"/>
    </row>
    <row r="246" spans="117:120">
      <c r="DM246" s="114"/>
      <c r="DN246" s="114"/>
      <c r="DO246" s="114"/>
      <c r="DP246" s="114"/>
    </row>
    <row r="247" spans="117:120">
      <c r="DM247" s="114"/>
      <c r="DN247" s="114"/>
      <c r="DO247" s="114"/>
      <c r="DP247" s="114"/>
    </row>
    <row r="248" spans="117:120">
      <c r="DM248" s="114"/>
      <c r="DN248" s="114"/>
      <c r="DO248" s="114"/>
      <c r="DP248" s="114"/>
    </row>
    <row r="249" spans="117:120">
      <c r="DM249" s="114"/>
      <c r="DN249" s="114"/>
      <c r="DO249" s="114"/>
      <c r="DP249" s="114"/>
    </row>
    <row r="250" spans="117:120">
      <c r="DM250" s="114"/>
      <c r="DN250" s="114"/>
      <c r="DO250" s="114"/>
      <c r="DP250" s="114"/>
    </row>
    <row r="251" spans="117:120">
      <c r="DM251" s="114"/>
      <c r="DN251" s="114"/>
      <c r="DO251" s="114"/>
      <c r="DP251" s="114"/>
    </row>
    <row r="252" spans="117:120">
      <c r="DM252" s="114"/>
      <c r="DN252" s="114"/>
      <c r="DO252" s="114"/>
      <c r="DP252" s="114"/>
    </row>
    <row r="253" spans="117:120">
      <c r="DM253" s="114"/>
      <c r="DN253" s="114"/>
      <c r="DO253" s="114"/>
      <c r="DP253" s="114"/>
    </row>
    <row r="254" spans="117:120">
      <c r="DM254" s="114"/>
      <c r="DN254" s="114"/>
      <c r="DO254" s="114"/>
      <c r="DP254" s="114"/>
    </row>
    <row r="255" spans="117:120">
      <c r="DM255" s="114"/>
      <c r="DN255" s="114"/>
      <c r="DO255" s="114"/>
      <c r="DP255" s="114"/>
    </row>
    <row r="256" spans="117:120">
      <c r="DM256" s="114"/>
      <c r="DN256" s="114"/>
      <c r="DO256" s="114"/>
      <c r="DP256" s="114"/>
    </row>
  </sheetData>
  <phoneticPr fontId="2" type="noConversion"/>
  <conditionalFormatting sqref="A31:J35 DR31:DR35 I81:J81 CP71 CP81 CT33:CT35 L31:O35 Q31:T35 V31:Y35 AA31:AD35 AF31:AI35 AK31:AN35 AJ31:AJ37 AP31:AS35 AO31:AO37 AU31:AX35 AT31:AT37 AZ31:BC35 AY31:AY37 BE31:BH35 BD31:BD37 BJ31:BM35 BI31:BI37 BO31:BR35 BN31:BN37 BT31:BW35 BS31:BS37 BY31:CB35 BX31:BX37 CD31:CG35 CC31:CC37 CI31:CI35 CM31:CM37 CH31:CH37 L81:O81 A71:J71 CW81 CR81 CR71:DA71 DC71:DF71 DH71:DK71 AF71:CN71 AF81:CN81 AA71:AD71 AA81:AD81 V71:Y71 V81:Y81 Q71:T71 Q81:T81 L71:O71 DZ31:IR35 DR71:DS71 DZ71:IR71">
    <cfRule type="cellIs" dxfId="84" priority="75" stopIfTrue="1" operator="equal">
      <formula>FALSE</formula>
    </cfRule>
  </conditionalFormatting>
  <conditionalFormatting sqref="CJ31:CJ35">
    <cfRule type="cellIs" dxfId="83" priority="74" stopIfTrue="1" operator="equal">
      <formula>FALSE</formula>
    </cfRule>
  </conditionalFormatting>
  <conditionalFormatting sqref="CK31:CK35">
    <cfRule type="cellIs" dxfId="82" priority="73" stopIfTrue="1" operator="equal">
      <formula>FALSE</formula>
    </cfRule>
  </conditionalFormatting>
  <conditionalFormatting sqref="CT31:CT32">
    <cfRule type="cellIs" dxfId="81" priority="67" stopIfTrue="1" operator="equal">
      <formula>FALSE</formula>
    </cfRule>
  </conditionalFormatting>
  <conditionalFormatting sqref="CV31:CV35">
    <cfRule type="cellIs" dxfId="80" priority="68" stopIfTrue="1" operator="equal">
      <formula>FALSE</formula>
    </cfRule>
  </conditionalFormatting>
  <conditionalFormatting sqref="CZ81:DA81 DA31:DA35 CX71:DA71">
    <cfRule type="cellIs" dxfId="79" priority="66" stopIfTrue="1" operator="equal">
      <formula>FALSE</formula>
    </cfRule>
  </conditionalFormatting>
  <conditionalFormatting sqref="CX32:CX35 CY31:CZ31 CZ32:CZ35">
    <cfRule type="cellIs" dxfId="78" priority="65" stopIfTrue="1" operator="equal">
      <formula>FALSE</formula>
    </cfRule>
  </conditionalFormatting>
  <conditionalFormatting sqref="CL31 CL33:CL35">
    <cfRule type="cellIs" dxfId="77" priority="62" stopIfTrue="1" operator="equal">
      <formula>FALSE</formula>
    </cfRule>
  </conditionalFormatting>
  <conditionalFormatting sqref="CW33:CW35">
    <cfRule type="cellIs" dxfId="76" priority="63" stopIfTrue="1" operator="equal">
      <formula>FALSE</formula>
    </cfRule>
  </conditionalFormatting>
  <conditionalFormatting sqref="CP31:CP35">
    <cfRule type="cellIs" dxfId="75" priority="55" stopIfTrue="1" operator="equal">
      <formula>FALSE</formula>
    </cfRule>
  </conditionalFormatting>
  <conditionalFormatting sqref="CL32">
    <cfRule type="cellIs" dxfId="74" priority="61" stopIfTrue="1" operator="equal">
      <formula>FALSE</formula>
    </cfRule>
  </conditionalFormatting>
  <conditionalFormatting sqref="CN31:CN35">
    <cfRule type="cellIs" dxfId="73" priority="60" stopIfTrue="1" operator="equal">
      <formula>FALSE</formula>
    </cfRule>
  </conditionalFormatting>
  <conditionalFormatting sqref="CO81 CO71">
    <cfRule type="cellIs" dxfId="72" priority="59" stopIfTrue="1" operator="equal">
      <formula>FALSE</formula>
    </cfRule>
  </conditionalFormatting>
  <conditionalFormatting sqref="CO31:CO35">
    <cfRule type="cellIs" dxfId="71" priority="57" stopIfTrue="1" operator="equal">
      <formula>FALSE</formula>
    </cfRule>
  </conditionalFormatting>
  <conditionalFormatting sqref="DB81 DB71">
    <cfRule type="cellIs" dxfId="70" priority="54" stopIfTrue="1" operator="equal">
      <formula>FALSE</formula>
    </cfRule>
  </conditionalFormatting>
  <conditionalFormatting sqref="DB33:DB35">
    <cfRule type="cellIs" dxfId="69" priority="53" stopIfTrue="1" operator="equal">
      <formula>FALSE</formula>
    </cfRule>
  </conditionalFormatting>
  <conditionalFormatting sqref="DG81">
    <cfRule type="cellIs" dxfId="68" priority="52" stopIfTrue="1" operator="equal">
      <formula>FALSE</formula>
    </cfRule>
  </conditionalFormatting>
  <conditionalFormatting sqref="DG33:DG35">
    <cfRule type="cellIs" dxfId="67" priority="51" stopIfTrue="1" operator="equal">
      <formula>FALSE</formula>
    </cfRule>
  </conditionalFormatting>
  <conditionalFormatting sqref="DC31:DE35">
    <cfRule type="cellIs" dxfId="66" priority="45" stopIfTrue="1" operator="equal">
      <formula>FALSE</formula>
    </cfRule>
  </conditionalFormatting>
  <conditionalFormatting sqref="DG71">
    <cfRule type="cellIs" dxfId="65" priority="44" stopIfTrue="1" operator="equal">
      <formula>FALSE</formula>
    </cfRule>
  </conditionalFormatting>
  <conditionalFormatting sqref="DC81:DF81 DF31:DF35 DC71:DF71">
    <cfRule type="cellIs" dxfId="64" priority="46" stopIfTrue="1" operator="equal">
      <formula>FALSE</formula>
    </cfRule>
  </conditionalFormatting>
  <conditionalFormatting sqref="CR31:CR37">
    <cfRule type="cellIs" dxfId="63" priority="43" stopIfTrue="1" operator="equal">
      <formula>FALSE</formula>
    </cfRule>
  </conditionalFormatting>
  <conditionalFormatting sqref="CQ81 CQ71">
    <cfRule type="cellIs" dxfId="62" priority="42" stopIfTrue="1" operator="equal">
      <formula>FALSE</formula>
    </cfRule>
  </conditionalFormatting>
  <conditionalFormatting sqref="CQ31 CQ33:CQ35">
    <cfRule type="cellIs" dxfId="61" priority="41" stopIfTrue="1" operator="equal">
      <formula>FALSE</formula>
    </cfRule>
  </conditionalFormatting>
  <conditionalFormatting sqref="CQ32">
    <cfRule type="cellIs" dxfId="60" priority="40" stopIfTrue="1" operator="equal">
      <formula>FALSE</formula>
    </cfRule>
  </conditionalFormatting>
  <conditionalFormatting sqref="CS81">
    <cfRule type="cellIs" dxfId="59" priority="37" stopIfTrue="1" operator="equal">
      <formula>FALSE</formula>
    </cfRule>
  </conditionalFormatting>
  <conditionalFormatting sqref="CS31:CS35">
    <cfRule type="cellIs" dxfId="58" priority="34" stopIfTrue="1" operator="equal">
      <formula>FALSE</formula>
    </cfRule>
  </conditionalFormatting>
  <conditionalFormatting sqref="CT81">
    <cfRule type="cellIs" dxfId="57" priority="32" stopIfTrue="1" operator="equal">
      <formula>FALSE</formula>
    </cfRule>
  </conditionalFormatting>
  <conditionalFormatting sqref="CU31:CU35">
    <cfRule type="cellIs" dxfId="56" priority="30" stopIfTrue="1" operator="equal">
      <formula>FALSE</formula>
    </cfRule>
  </conditionalFormatting>
  <conditionalFormatting sqref="CU81">
    <cfRule type="cellIs" dxfId="55" priority="29" stopIfTrue="1" operator="equal">
      <formula>FALSE</formula>
    </cfRule>
  </conditionalFormatting>
  <conditionalFormatting sqref="DH31:DJ35">
    <cfRule type="cellIs" dxfId="54" priority="27" stopIfTrue="1" operator="equal">
      <formula>FALSE</formula>
    </cfRule>
  </conditionalFormatting>
  <conditionalFormatting sqref="DH81:DK81 DK31:DK35 DH71:DK71">
    <cfRule type="cellIs" dxfId="53" priority="28" stopIfTrue="1" operator="equal">
      <formula>FALSE</formula>
    </cfRule>
  </conditionalFormatting>
  <conditionalFormatting sqref="DL81">
    <cfRule type="cellIs" dxfId="52" priority="26" stopIfTrue="1" operator="equal">
      <formula>FALSE</formula>
    </cfRule>
  </conditionalFormatting>
  <conditionalFormatting sqref="DL33:DL35">
    <cfRule type="cellIs" dxfId="51" priority="25" stopIfTrue="1" operator="equal">
      <formula>FALSE</formula>
    </cfRule>
  </conditionalFormatting>
  <conditionalFormatting sqref="DL71">
    <cfRule type="cellIs" dxfId="50" priority="24" stopIfTrue="1" operator="equal">
      <formula>FALSE</formula>
    </cfRule>
  </conditionalFormatting>
  <conditionalFormatting sqref="CV81">
    <cfRule type="cellIs" dxfId="49" priority="23" stopIfTrue="1" operator="equal">
      <formula>FALSE</formula>
    </cfRule>
  </conditionalFormatting>
  <conditionalFormatting sqref="AE31:AE37 AE71 AE81">
    <cfRule type="cellIs" dxfId="48" priority="22" stopIfTrue="1" operator="equal">
      <formula>FALSE</formula>
    </cfRule>
  </conditionalFormatting>
  <conditionalFormatting sqref="Z31:Z37 Z71 Z81">
    <cfRule type="cellIs" dxfId="47" priority="21" stopIfTrue="1" operator="equal">
      <formula>FALSE</formula>
    </cfRule>
  </conditionalFormatting>
  <conditionalFormatting sqref="U31:U37 U71 U81">
    <cfRule type="cellIs" dxfId="46" priority="20" stopIfTrue="1" operator="equal">
      <formula>FALSE</formula>
    </cfRule>
  </conditionalFormatting>
  <conditionalFormatting sqref="P31:P37 P71 P81">
    <cfRule type="cellIs" dxfId="45" priority="19" stopIfTrue="1" operator="equal">
      <formula>FALSE</formula>
    </cfRule>
  </conditionalFormatting>
  <conditionalFormatting sqref="K31:K37 K71 K81">
    <cfRule type="cellIs" dxfId="44" priority="18" stopIfTrue="1" operator="equal">
      <formula>FALSE</formula>
    </cfRule>
  </conditionalFormatting>
  <conditionalFormatting sqref="CX31">
    <cfRule type="cellIs" dxfId="43" priority="17" stopIfTrue="1" operator="equal">
      <formula>FALSE</formula>
    </cfRule>
  </conditionalFormatting>
  <conditionalFormatting sqref="CX81">
    <cfRule type="cellIs" dxfId="42" priority="16" stopIfTrue="1" operator="equal">
      <formula>FALSE</formula>
    </cfRule>
  </conditionalFormatting>
  <conditionalFormatting sqref="CY81">
    <cfRule type="cellIs" dxfId="41" priority="15" stopIfTrue="1" operator="equal">
      <formula>FALSE</formula>
    </cfRule>
  </conditionalFormatting>
  <conditionalFormatting sqref="CY33:CY35">
    <cfRule type="cellIs" dxfId="40" priority="14" stopIfTrue="1" operator="equal">
      <formula>FALSE</formula>
    </cfRule>
  </conditionalFormatting>
  <conditionalFormatting sqref="CY32">
    <cfRule type="cellIs" dxfId="39" priority="13" stopIfTrue="1" operator="equal">
      <formula>FALSE</formula>
    </cfRule>
  </conditionalFormatting>
  <conditionalFormatting sqref="DM71:DP71">
    <cfRule type="cellIs" dxfId="38" priority="6" stopIfTrue="1" operator="equal">
      <formula>FALSE</formula>
    </cfRule>
  </conditionalFormatting>
  <conditionalFormatting sqref="DM31:DO35">
    <cfRule type="cellIs" dxfId="37" priority="4" stopIfTrue="1" operator="equal">
      <formula>FALSE</formula>
    </cfRule>
  </conditionalFormatting>
  <conditionalFormatting sqref="DM81:DP81 DP31:DP35 DM71:DP71">
    <cfRule type="cellIs" dxfId="36" priority="5" stopIfTrue="1" operator="equal">
      <formula>FALSE</formula>
    </cfRule>
  </conditionalFormatting>
  <conditionalFormatting sqref="DQ81">
    <cfRule type="cellIs" dxfId="35" priority="3" stopIfTrue="1" operator="equal">
      <formula>FALSE</formula>
    </cfRule>
  </conditionalFormatting>
  <conditionalFormatting sqref="DQ33:DQ35">
    <cfRule type="cellIs" dxfId="34" priority="2" stopIfTrue="1" operator="equal">
      <formula>FALSE</formula>
    </cfRule>
  </conditionalFormatting>
  <conditionalFormatting sqref="DQ71">
    <cfRule type="cellIs" dxfId="33" priority="1" stopIfTrue="1" operator="equal">
      <formula>FALSE</formula>
    </cfRule>
  </conditionalFormatting>
  <pageMargins left="0" right="0" top="0" bottom="0" header="0" footer="0"/>
  <pageSetup paperSize="5" orientation="landscape" r:id="rId1"/>
  <headerFooter alignWithMargins="0"/>
  <ignoredErrors>
    <ignoredError sqref="CD40:CG40"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3333FF"/>
    <pageSetUpPr autoPageBreaks="0" fitToPage="1"/>
  </sheetPr>
  <dimension ref="A1:FD689"/>
  <sheetViews>
    <sheetView showGridLines="0" zoomScaleNormal="100" workbookViewId="0">
      <pane xSplit="6" ySplit="8" topLeftCell="CR9" activePane="bottomRight" state="frozen"/>
      <selection activeCell="DG70" sqref="DG70"/>
      <selection pane="topRight" activeCell="DG70" sqref="DG70"/>
      <selection pane="bottomLeft" activeCell="DG70" sqref="DG70"/>
      <selection pane="bottomRight" activeCell="CR9" sqref="CR9"/>
    </sheetView>
  </sheetViews>
  <sheetFormatPr defaultRowHeight="12.75" outlineLevelRow="1" outlineLevelCol="1"/>
  <cols>
    <col min="1" max="2" width="2.140625" style="1" customWidth="1"/>
    <col min="3" max="4" width="16.7109375" style="1" customWidth="1"/>
    <col min="5" max="5" width="2.28515625" style="1" customWidth="1"/>
    <col min="6" max="6" width="2.140625" style="1" customWidth="1"/>
    <col min="7" max="10" width="8.5703125" style="1" hidden="1" customWidth="1" outlineLevel="1"/>
    <col min="11" max="11" width="9.140625" style="1" hidden="1" customWidth="1" outlineLevel="1"/>
    <col min="12" max="15" width="8.5703125" style="1" hidden="1" customWidth="1" outlineLevel="1"/>
    <col min="16" max="16" width="9.140625" style="1" hidden="1" customWidth="1" outlineLevel="1"/>
    <col min="17" max="20" width="8.5703125" style="1" hidden="1" customWidth="1" outlineLevel="1"/>
    <col min="21" max="21" width="9.140625" style="1" hidden="1" customWidth="1" outlineLevel="1"/>
    <col min="22" max="25" width="8.5703125" style="1" hidden="1" customWidth="1" outlineLevel="1"/>
    <col min="26" max="26" width="9.140625" style="1" hidden="1" customWidth="1" outlineLevel="1"/>
    <col min="27" max="30" width="8.5703125" style="1" hidden="1" customWidth="1" outlineLevel="1"/>
    <col min="31" max="31" width="9.140625" style="1" hidden="1" customWidth="1" outlineLevel="1"/>
    <col min="32" max="35" width="8.5703125" style="1" hidden="1" customWidth="1" outlineLevel="1"/>
    <col min="36" max="36" width="9.140625" style="1" hidden="1" customWidth="1" outlineLevel="1"/>
    <col min="37" max="40" width="8.5703125" style="1" hidden="1" customWidth="1" outlineLevel="1"/>
    <col min="41" max="41" width="9.140625" style="1" hidden="1" customWidth="1" outlineLevel="1"/>
    <col min="42" max="45" width="8.5703125" style="1" hidden="1" customWidth="1" outlineLevel="1"/>
    <col min="46" max="46" width="9.140625" style="1" hidden="1" customWidth="1" outlineLevel="1"/>
    <col min="47" max="50" width="8.5703125" style="1" hidden="1" customWidth="1" outlineLevel="1"/>
    <col min="51" max="51" width="9.140625" style="1" hidden="1" customWidth="1" outlineLevel="1"/>
    <col min="52" max="55" width="8.5703125" style="1" hidden="1" customWidth="1" outlineLevel="1"/>
    <col min="56" max="56" width="9.140625" style="1" hidden="1" customWidth="1" outlineLevel="1"/>
    <col min="57" max="60" width="8.5703125" style="1" hidden="1" customWidth="1" outlineLevel="1"/>
    <col min="61" max="61" width="9.140625" style="1" hidden="1" customWidth="1" outlineLevel="1"/>
    <col min="62" max="65" width="8.5703125" style="1" hidden="1" customWidth="1" outlineLevel="1"/>
    <col min="66" max="66" width="9.140625" style="1" hidden="1" customWidth="1" outlineLevel="1"/>
    <col min="67" max="70" width="8.5703125" style="1" hidden="1" customWidth="1" outlineLevel="1"/>
    <col min="71" max="71" width="9.140625" style="1" hidden="1" customWidth="1" outlineLevel="1" collapsed="1"/>
    <col min="72" max="75" width="8.5703125" style="1" hidden="1" customWidth="1" outlineLevel="1"/>
    <col min="76" max="76" width="9.140625" style="1" hidden="1" customWidth="1" outlineLevel="1" collapsed="1"/>
    <col min="77" max="77" width="8.5703125" style="114" hidden="1" customWidth="1" outlineLevel="1" collapsed="1"/>
    <col min="78" max="80" width="8.5703125" style="114" hidden="1" customWidth="1" outlineLevel="1"/>
    <col min="81" max="81" width="9.140625" style="1" hidden="1" customWidth="1" outlineLevel="1"/>
    <col min="82" max="85" width="8.5703125" style="114" hidden="1" customWidth="1" outlineLevel="1"/>
    <col min="86" max="86" width="9.140625" style="1" hidden="1" customWidth="1" collapsed="1"/>
    <col min="87" max="90" width="8.5703125" style="114" hidden="1" customWidth="1" outlineLevel="1"/>
    <col min="91" max="91" width="9.140625" style="1" hidden="1" customWidth="1" collapsed="1"/>
    <col min="92" max="95" width="8.5703125" style="114" hidden="1" customWidth="1" outlineLevel="1"/>
    <col min="96" max="96" width="9.140625" style="1" customWidth="1" collapsed="1"/>
    <col min="97" max="100" width="8.7109375" style="114" hidden="1" customWidth="1" outlineLevel="1"/>
    <col min="101" max="101" width="9.140625" style="4" customWidth="1" collapsed="1"/>
    <col min="102" max="105" width="8.5703125" style="114" customWidth="1" outlineLevel="1"/>
    <col min="106" max="106" width="9.140625" style="4" customWidth="1"/>
    <col min="107" max="110" width="8.5703125" style="114" customWidth="1" outlineLevel="1"/>
    <col min="111" max="111" width="9.140625" style="4" customWidth="1"/>
    <col min="112" max="115" width="8.5703125" style="114" hidden="1" customWidth="1" outlineLevel="1"/>
    <col min="116" max="116" width="9.140625" style="4" customWidth="1" collapsed="1"/>
    <col min="117" max="120" width="9.140625" style="4" hidden="1" customWidth="1" outlineLevel="1"/>
    <col min="121" max="121" width="9.140625" style="4" customWidth="1" collapsed="1"/>
    <col min="122" max="122" width="2.140625" style="1" customWidth="1"/>
    <col min="123" max="123" width="9.140625" style="114"/>
    <col min="124" max="124" width="60" hidden="1" customWidth="1" outlineLevel="1"/>
    <col min="125" max="125" width="12" hidden="1" customWidth="1" outlineLevel="1"/>
    <col min="126" max="126" width="10.7109375" hidden="1" customWidth="1" outlineLevel="1"/>
    <col min="127" max="127" width="11" hidden="1" customWidth="1" outlineLevel="1"/>
    <col min="128" max="128" width="16.28515625" hidden="1" customWidth="1" outlineLevel="1"/>
    <col min="129" max="129" width="9.42578125" hidden="1" customWidth="1" outlineLevel="1"/>
    <col min="130" max="130" width="9.140625" style="114" collapsed="1"/>
    <col min="131" max="16384" width="9.140625" style="114"/>
  </cols>
  <sheetData>
    <row r="1" spans="1:160">
      <c r="BY1" s="1"/>
      <c r="BZ1" s="1"/>
      <c r="CA1" s="1"/>
      <c r="CB1" s="1"/>
      <c r="CD1" s="1"/>
      <c r="CE1" s="1"/>
      <c r="CF1" s="1"/>
      <c r="CG1" s="1"/>
      <c r="CI1" s="1"/>
      <c r="CJ1" s="1"/>
      <c r="CK1" s="1"/>
      <c r="CL1" s="1"/>
      <c r="CN1" s="1"/>
      <c r="CO1" s="1"/>
      <c r="CP1" s="1"/>
      <c r="CQ1" s="1"/>
      <c r="CS1" s="408"/>
      <c r="CT1" s="408"/>
      <c r="CU1" s="408"/>
      <c r="CV1" s="408"/>
      <c r="CX1" s="408"/>
      <c r="CY1" s="408"/>
      <c r="CZ1" s="408"/>
      <c r="DA1" s="408"/>
      <c r="DC1" s="408"/>
      <c r="DD1" s="408"/>
      <c r="DE1" s="408"/>
      <c r="DF1" s="408"/>
      <c r="DH1" s="408"/>
      <c r="DI1" s="408"/>
      <c r="DJ1" s="408"/>
      <c r="DK1" s="408"/>
      <c r="DM1" s="408"/>
      <c r="DN1" s="408"/>
      <c r="DO1" s="408"/>
      <c r="DP1" s="408"/>
    </row>
    <row r="2" spans="1:160" customFormat="1" hidden="1" outlineLevel="1"/>
    <row r="3" spans="1:160" collapsed="1">
      <c r="BY3" s="1"/>
      <c r="BZ3" s="1"/>
      <c r="CA3" s="1"/>
      <c r="CB3" s="1"/>
      <c r="CD3" s="1"/>
      <c r="CE3" s="1"/>
      <c r="CF3" s="1"/>
      <c r="CG3" s="1"/>
      <c r="CI3" s="1"/>
      <c r="CJ3" s="1"/>
      <c r="CK3" s="1"/>
      <c r="CL3" s="1"/>
      <c r="CN3" s="1"/>
      <c r="CO3" s="1"/>
      <c r="CP3" s="1"/>
      <c r="CQ3" s="1"/>
      <c r="CS3" s="1"/>
      <c r="CT3" s="1"/>
      <c r="CU3" s="1"/>
      <c r="CV3" s="1"/>
      <c r="CX3" s="1"/>
      <c r="CY3" s="1"/>
      <c r="CZ3" s="1"/>
      <c r="DA3" s="1"/>
      <c r="DC3" s="1"/>
      <c r="DD3" s="1"/>
      <c r="DE3" s="1"/>
      <c r="DF3" s="1"/>
      <c r="DH3" s="1"/>
      <c r="DI3" s="1"/>
      <c r="DJ3" s="1"/>
      <c r="DK3" s="1"/>
      <c r="DM3" s="1"/>
      <c r="DN3" s="1"/>
      <c r="DO3" s="1"/>
      <c r="DP3" s="1"/>
    </row>
    <row r="4" spans="1:160">
      <c r="B4" s="2" t="s">
        <v>0</v>
      </c>
      <c r="L4" s="118"/>
      <c r="BY4" s="1"/>
      <c r="BZ4" s="1"/>
      <c r="CA4" s="1"/>
      <c r="CB4" s="320"/>
      <c r="CD4" s="1"/>
      <c r="CE4" s="1"/>
      <c r="CF4" s="1"/>
      <c r="CG4" s="1"/>
      <c r="CI4" s="540"/>
      <c r="CJ4" s="540"/>
      <c r="CK4" s="540"/>
      <c r="CL4" s="540"/>
      <c r="CN4" s="540"/>
      <c r="CO4" s="540"/>
      <c r="CP4" s="540"/>
      <c r="CQ4" s="540"/>
      <c r="CS4" s="540"/>
      <c r="CT4" s="540"/>
      <c r="CU4" s="540"/>
      <c r="CV4" s="540"/>
      <c r="CX4" s="540"/>
      <c r="CY4" s="540"/>
      <c r="CZ4" s="540"/>
      <c r="DA4" s="540"/>
      <c r="DC4" s="540"/>
      <c r="DD4" s="540"/>
      <c r="DE4" s="540"/>
      <c r="DF4" s="540"/>
      <c r="DH4" s="540"/>
      <c r="DI4" s="540"/>
      <c r="DJ4" s="540"/>
      <c r="DK4" s="540"/>
      <c r="DM4" s="540"/>
      <c r="DN4" s="540"/>
      <c r="DO4" s="540"/>
      <c r="DP4" s="540"/>
    </row>
    <row r="5" spans="1:160">
      <c r="B5" s="2" t="s">
        <v>35</v>
      </c>
      <c r="L5" s="118"/>
      <c r="BY5" s="92"/>
      <c r="BZ5" s="93"/>
      <c r="CA5" s="92"/>
      <c r="CB5" s="1"/>
      <c r="CD5" s="1"/>
      <c r="CE5" s="1"/>
      <c r="CF5" s="1"/>
      <c r="CG5" s="1"/>
      <c r="CI5" s="1"/>
      <c r="CJ5" s="1"/>
      <c r="CK5" s="1"/>
      <c r="CL5" s="1"/>
      <c r="CM5" s="4"/>
      <c r="CN5" s="320"/>
      <c r="CO5" s="320"/>
      <c r="CP5" s="320"/>
      <c r="CQ5" s="320"/>
      <c r="CS5" s="320"/>
      <c r="CT5" s="320"/>
      <c r="CU5" s="320"/>
      <c r="CV5" s="556"/>
      <c r="CX5" s="320"/>
      <c r="CY5" s="320"/>
      <c r="CZ5" s="320"/>
      <c r="DA5" s="320"/>
      <c r="DC5" s="320"/>
      <c r="DD5" s="320"/>
      <c r="DE5" s="320"/>
      <c r="DF5" s="320"/>
      <c r="DH5" s="320"/>
      <c r="DI5" s="320"/>
      <c r="DJ5" s="320"/>
      <c r="DK5" s="320"/>
      <c r="DM5" s="320"/>
      <c r="DN5" s="320"/>
      <c r="DO5" s="320"/>
      <c r="DP5" s="320"/>
    </row>
    <row r="6" spans="1:160">
      <c r="BY6" s="1"/>
      <c r="BZ6" s="1"/>
      <c r="CA6" s="1"/>
      <c r="CB6" s="1"/>
      <c r="CD6" s="1"/>
      <c r="CE6" s="1"/>
      <c r="CF6" s="1"/>
      <c r="CG6" s="1"/>
      <c r="CI6" s="1"/>
      <c r="CJ6" s="1"/>
      <c r="CK6" s="1"/>
      <c r="CL6" s="1"/>
      <c r="CM6" s="4"/>
      <c r="CN6" s="1"/>
      <c r="CO6" s="1"/>
      <c r="CP6" s="1"/>
      <c r="CQ6" s="1"/>
      <c r="CS6" s="1"/>
      <c r="CT6" s="1"/>
      <c r="CU6" s="1"/>
      <c r="CV6" s="1"/>
      <c r="CX6" s="1"/>
      <c r="CY6" s="1"/>
      <c r="CZ6" s="1"/>
      <c r="DA6" s="1"/>
      <c r="DC6" s="1"/>
      <c r="DD6" s="1"/>
      <c r="DE6" s="1"/>
      <c r="DF6" s="1"/>
      <c r="DH6" s="1"/>
      <c r="DI6" s="1"/>
      <c r="DJ6" s="1"/>
      <c r="DK6" s="1"/>
      <c r="DM6" s="1"/>
      <c r="DN6" s="1"/>
      <c r="DO6" s="1"/>
      <c r="DP6" s="1"/>
      <c r="DR6" s="4"/>
    </row>
    <row r="7" spans="1:160" s="176" customFormat="1" ht="11.25" customHeight="1">
      <c r="A7" s="9"/>
      <c r="B7" s="12"/>
      <c r="C7" s="13"/>
      <c r="D7" s="927"/>
      <c r="E7" s="927"/>
      <c r="F7" s="927"/>
      <c r="G7" s="928">
        <v>1998</v>
      </c>
      <c r="H7" s="929"/>
      <c r="I7" s="929"/>
      <c r="J7" s="930"/>
      <c r="K7" s="931"/>
      <c r="L7" s="928">
        <v>1999</v>
      </c>
      <c r="M7" s="929"/>
      <c r="N7" s="929"/>
      <c r="O7" s="930"/>
      <c r="P7" s="932"/>
      <c r="Q7" s="928">
        <v>2000</v>
      </c>
      <c r="R7" s="929"/>
      <c r="S7" s="929"/>
      <c r="T7" s="930"/>
      <c r="U7" s="932"/>
      <c r="V7" s="928">
        <v>2001</v>
      </c>
      <c r="W7" s="929"/>
      <c r="X7" s="929"/>
      <c r="Y7" s="930"/>
      <c r="Z7" s="932"/>
      <c r="AA7" s="928">
        <v>2002</v>
      </c>
      <c r="AB7" s="929"/>
      <c r="AC7" s="929"/>
      <c r="AD7" s="930"/>
      <c r="AE7" s="932"/>
      <c r="AF7" s="928">
        <v>2003</v>
      </c>
      <c r="AG7" s="929"/>
      <c r="AH7" s="929"/>
      <c r="AI7" s="930"/>
      <c r="AJ7" s="932"/>
      <c r="AK7" s="928">
        <v>2004</v>
      </c>
      <c r="AL7" s="929"/>
      <c r="AM7" s="929"/>
      <c r="AN7" s="930"/>
      <c r="AO7" s="932"/>
      <c r="AP7" s="928">
        <v>2005</v>
      </c>
      <c r="AQ7" s="929"/>
      <c r="AR7" s="929"/>
      <c r="AS7" s="930"/>
      <c r="AT7" s="932"/>
      <c r="AU7" s="928">
        <v>2006</v>
      </c>
      <c r="AV7" s="929"/>
      <c r="AW7" s="929"/>
      <c r="AX7" s="930"/>
      <c r="AY7" s="932"/>
      <c r="AZ7" s="928">
        <v>2007</v>
      </c>
      <c r="BA7" s="929"/>
      <c r="BB7" s="929"/>
      <c r="BC7" s="930"/>
      <c r="BD7" s="933"/>
      <c r="BE7" s="928">
        <v>2008</v>
      </c>
      <c r="BF7" s="929"/>
      <c r="BG7" s="929"/>
      <c r="BH7" s="930"/>
      <c r="BI7" s="933"/>
      <c r="BJ7" s="928">
        <v>2009</v>
      </c>
      <c r="BK7" s="929"/>
      <c r="BL7" s="929"/>
      <c r="BM7" s="930"/>
      <c r="BN7" s="933"/>
      <c r="BO7" s="928">
        <v>2010</v>
      </c>
      <c r="BP7" s="929"/>
      <c r="BQ7" s="929"/>
      <c r="BR7" s="930"/>
      <c r="BS7" s="934" t="s">
        <v>2</v>
      </c>
      <c r="BT7" s="928">
        <v>2011</v>
      </c>
      <c r="BU7" s="929"/>
      <c r="BV7" s="929"/>
      <c r="BW7" s="930"/>
      <c r="BX7" s="934"/>
      <c r="BY7" s="928">
        <v>2012</v>
      </c>
      <c r="BZ7" s="929"/>
      <c r="CA7" s="929"/>
      <c r="CB7" s="930"/>
      <c r="CC7" s="934" t="s">
        <v>2</v>
      </c>
      <c r="CD7" s="928">
        <v>2013</v>
      </c>
      <c r="CE7" s="929"/>
      <c r="CF7" s="929"/>
      <c r="CG7" s="930"/>
      <c r="CH7" s="935"/>
      <c r="CI7" s="928">
        <v>2014</v>
      </c>
      <c r="CJ7" s="929"/>
      <c r="CK7" s="929"/>
      <c r="CL7" s="930"/>
      <c r="CM7" s="936"/>
      <c r="CN7" s="928">
        <v>2015</v>
      </c>
      <c r="CO7" s="929"/>
      <c r="CP7" s="929"/>
      <c r="CQ7" s="930"/>
      <c r="CR7" s="935"/>
      <c r="CS7" s="928">
        <v>2016</v>
      </c>
      <c r="CT7" s="929"/>
      <c r="CU7" s="929"/>
      <c r="CV7" s="929"/>
      <c r="CW7" s="944"/>
      <c r="CX7" s="928">
        <v>2017</v>
      </c>
      <c r="CY7" s="929"/>
      <c r="CZ7" s="929"/>
      <c r="DA7" s="929"/>
      <c r="DB7" s="944"/>
      <c r="DC7" s="26">
        <v>2018</v>
      </c>
      <c r="DD7" s="26"/>
      <c r="DE7" s="26"/>
      <c r="DF7" s="26"/>
      <c r="DG7" s="804"/>
      <c r="DH7" s="26">
        <v>2019</v>
      </c>
      <c r="DI7" s="26"/>
      <c r="DJ7" s="26"/>
      <c r="DK7" s="26"/>
      <c r="DL7" s="804"/>
      <c r="DM7" s="26">
        <v>2020</v>
      </c>
      <c r="DN7" s="26"/>
      <c r="DO7" s="26"/>
      <c r="DP7" s="26"/>
      <c r="DQ7" s="804"/>
      <c r="DR7" s="833"/>
      <c r="DS7" s="128"/>
      <c r="DT7"/>
      <c r="DU7"/>
      <c r="DV7"/>
      <c r="DW7"/>
      <c r="DX7"/>
      <c r="DY7"/>
      <c r="DZ7" s="188"/>
      <c r="EA7" s="188"/>
    </row>
    <row r="8" spans="1:160">
      <c r="B8" s="10" t="s">
        <v>3</v>
      </c>
      <c r="C8" s="11"/>
      <c r="D8" s="937"/>
      <c r="E8" s="937"/>
      <c r="F8" s="937"/>
      <c r="G8" s="938">
        <v>35885</v>
      </c>
      <c r="H8" s="939">
        <v>35976</v>
      </c>
      <c r="I8" s="939">
        <v>36068</v>
      </c>
      <c r="J8" s="940">
        <v>36160</v>
      </c>
      <c r="K8" s="941">
        <v>1998</v>
      </c>
      <c r="L8" s="938">
        <v>36250</v>
      </c>
      <c r="M8" s="939">
        <v>36341</v>
      </c>
      <c r="N8" s="939">
        <v>36433</v>
      </c>
      <c r="O8" s="940">
        <v>36525</v>
      </c>
      <c r="P8" s="942">
        <v>1999</v>
      </c>
      <c r="Q8" s="938">
        <v>36616</v>
      </c>
      <c r="R8" s="939">
        <v>36707</v>
      </c>
      <c r="S8" s="939">
        <v>36799</v>
      </c>
      <c r="T8" s="940">
        <v>36891</v>
      </c>
      <c r="U8" s="942">
        <v>2000</v>
      </c>
      <c r="V8" s="938">
        <v>36981</v>
      </c>
      <c r="W8" s="939">
        <v>37072</v>
      </c>
      <c r="X8" s="939">
        <v>37164</v>
      </c>
      <c r="Y8" s="940">
        <v>37256</v>
      </c>
      <c r="Z8" s="942">
        <v>2001</v>
      </c>
      <c r="AA8" s="938">
        <v>37346</v>
      </c>
      <c r="AB8" s="939">
        <v>37437</v>
      </c>
      <c r="AC8" s="939">
        <v>37529</v>
      </c>
      <c r="AD8" s="940">
        <v>37621</v>
      </c>
      <c r="AE8" s="942">
        <v>2002</v>
      </c>
      <c r="AF8" s="938">
        <v>37711</v>
      </c>
      <c r="AG8" s="939">
        <v>37802</v>
      </c>
      <c r="AH8" s="939">
        <v>37894</v>
      </c>
      <c r="AI8" s="940">
        <v>37986</v>
      </c>
      <c r="AJ8" s="942">
        <v>2003</v>
      </c>
      <c r="AK8" s="938">
        <v>38077</v>
      </c>
      <c r="AL8" s="939">
        <v>38168</v>
      </c>
      <c r="AM8" s="939">
        <v>38260</v>
      </c>
      <c r="AN8" s="940">
        <v>38352</v>
      </c>
      <c r="AO8" s="942">
        <v>2004</v>
      </c>
      <c r="AP8" s="938">
        <v>38442</v>
      </c>
      <c r="AQ8" s="939">
        <v>38533</v>
      </c>
      <c r="AR8" s="939">
        <v>38625</v>
      </c>
      <c r="AS8" s="940">
        <v>38717</v>
      </c>
      <c r="AT8" s="942">
        <v>2005</v>
      </c>
      <c r="AU8" s="938">
        <v>38807</v>
      </c>
      <c r="AV8" s="939">
        <v>38898</v>
      </c>
      <c r="AW8" s="939">
        <v>38990</v>
      </c>
      <c r="AX8" s="940">
        <v>39082</v>
      </c>
      <c r="AY8" s="942">
        <v>2006</v>
      </c>
      <c r="AZ8" s="938">
        <v>39172</v>
      </c>
      <c r="BA8" s="939">
        <v>39263</v>
      </c>
      <c r="BB8" s="939">
        <v>39355</v>
      </c>
      <c r="BC8" s="940">
        <v>39447</v>
      </c>
      <c r="BD8" s="942">
        <v>2007</v>
      </c>
      <c r="BE8" s="938">
        <v>39538</v>
      </c>
      <c r="BF8" s="939">
        <v>39629</v>
      </c>
      <c r="BG8" s="939">
        <v>39721</v>
      </c>
      <c r="BH8" s="940">
        <v>39813</v>
      </c>
      <c r="BI8" s="942">
        <v>2008</v>
      </c>
      <c r="BJ8" s="938">
        <v>39903</v>
      </c>
      <c r="BK8" s="939">
        <v>39994</v>
      </c>
      <c r="BL8" s="939">
        <v>40086</v>
      </c>
      <c r="BM8" s="940">
        <v>40178</v>
      </c>
      <c r="BN8" s="942">
        <v>2009</v>
      </c>
      <c r="BO8" s="938">
        <v>40268</v>
      </c>
      <c r="BP8" s="939">
        <v>40359</v>
      </c>
      <c r="BQ8" s="939">
        <v>40451</v>
      </c>
      <c r="BR8" s="940">
        <v>40543</v>
      </c>
      <c r="BS8" s="942">
        <v>2010</v>
      </c>
      <c r="BT8" s="938">
        <v>40633</v>
      </c>
      <c r="BU8" s="939">
        <v>40724</v>
      </c>
      <c r="BV8" s="939">
        <v>40816</v>
      </c>
      <c r="BW8" s="940">
        <v>40908</v>
      </c>
      <c r="BX8" s="942">
        <v>2011</v>
      </c>
      <c r="BY8" s="938">
        <v>40999</v>
      </c>
      <c r="BZ8" s="939">
        <v>41090</v>
      </c>
      <c r="CA8" s="939">
        <v>41182</v>
      </c>
      <c r="CB8" s="940">
        <v>41274</v>
      </c>
      <c r="CC8" s="942">
        <v>2012</v>
      </c>
      <c r="CD8" s="938">
        <v>41364</v>
      </c>
      <c r="CE8" s="939">
        <v>41455</v>
      </c>
      <c r="CF8" s="939">
        <v>41547</v>
      </c>
      <c r="CG8" s="452">
        <v>41639</v>
      </c>
      <c r="CH8" s="942">
        <v>2013</v>
      </c>
      <c r="CI8" s="938">
        <v>41729</v>
      </c>
      <c r="CJ8" s="939">
        <v>41820</v>
      </c>
      <c r="CK8" s="939">
        <v>41912</v>
      </c>
      <c r="CL8" s="452">
        <v>42004</v>
      </c>
      <c r="CM8" s="943">
        <v>2014</v>
      </c>
      <c r="CN8" s="938">
        <v>42094</v>
      </c>
      <c r="CO8" s="939">
        <v>42185</v>
      </c>
      <c r="CP8" s="939">
        <v>42277</v>
      </c>
      <c r="CQ8" s="452">
        <v>42369</v>
      </c>
      <c r="CR8" s="942">
        <v>2015</v>
      </c>
      <c r="CS8" s="938">
        <v>42460</v>
      </c>
      <c r="CT8" s="939">
        <v>42551</v>
      </c>
      <c r="CU8" s="939">
        <v>42643</v>
      </c>
      <c r="CV8" s="922">
        <v>42735</v>
      </c>
      <c r="CW8" s="943">
        <v>2016</v>
      </c>
      <c r="CX8" s="20">
        <v>42825</v>
      </c>
      <c r="CY8" s="21">
        <v>42916</v>
      </c>
      <c r="CZ8" s="21">
        <v>43008</v>
      </c>
      <c r="DA8" s="922">
        <v>43100</v>
      </c>
      <c r="DB8" s="943">
        <v>2017</v>
      </c>
      <c r="DC8" s="474">
        <v>43190</v>
      </c>
      <c r="DD8" s="474">
        <v>43281</v>
      </c>
      <c r="DE8" s="474">
        <v>43373</v>
      </c>
      <c r="DF8" s="474">
        <v>43465</v>
      </c>
      <c r="DG8" s="832">
        <v>2018</v>
      </c>
      <c r="DH8" s="474">
        <v>43555</v>
      </c>
      <c r="DI8" s="474">
        <v>43646</v>
      </c>
      <c r="DJ8" s="474">
        <v>43738</v>
      </c>
      <c r="DK8" s="474">
        <v>43830</v>
      </c>
      <c r="DL8" s="832">
        <v>2019</v>
      </c>
      <c r="DM8" s="474">
        <v>43921</v>
      </c>
      <c r="DN8" s="474">
        <v>44012</v>
      </c>
      <c r="DO8" s="474">
        <v>44104</v>
      </c>
      <c r="DP8" s="474">
        <v>44196</v>
      </c>
      <c r="DQ8" s="832">
        <v>2020</v>
      </c>
      <c r="DR8" s="834"/>
      <c r="DS8" s="112"/>
    </row>
    <row r="9" spans="1:160" ht="11.25" customHeight="1">
      <c r="A9" s="114"/>
      <c r="B9" s="111"/>
      <c r="C9" s="112"/>
      <c r="D9" s="112"/>
      <c r="E9" s="112"/>
      <c r="F9" s="112"/>
      <c r="G9" s="111"/>
      <c r="H9" s="112"/>
      <c r="I9" s="112"/>
      <c r="J9" s="113"/>
      <c r="K9" s="111"/>
      <c r="L9" s="111"/>
      <c r="M9" s="112"/>
      <c r="N9" s="112"/>
      <c r="O9" s="113"/>
      <c r="P9" s="112"/>
      <c r="Q9" s="111"/>
      <c r="R9" s="112"/>
      <c r="S9" s="112"/>
      <c r="T9" s="113"/>
      <c r="U9" s="112"/>
      <c r="V9" s="111"/>
      <c r="W9" s="112"/>
      <c r="X9" s="112"/>
      <c r="Y9" s="113"/>
      <c r="Z9" s="112"/>
      <c r="AA9" s="111"/>
      <c r="AB9" s="112"/>
      <c r="AC9" s="112"/>
      <c r="AD9" s="113"/>
      <c r="AE9" s="112"/>
      <c r="AF9" s="111"/>
      <c r="AG9" s="112"/>
      <c r="AH9" s="112"/>
      <c r="AI9" s="113"/>
      <c r="AJ9" s="112"/>
      <c r="AK9" s="111"/>
      <c r="AL9" s="112"/>
      <c r="AM9" s="112"/>
      <c r="AN9" s="113"/>
      <c r="AO9" s="112"/>
      <c r="AP9" s="111"/>
      <c r="AQ9" s="112"/>
      <c r="AR9" s="112"/>
      <c r="AS9" s="113"/>
      <c r="AT9" s="112"/>
      <c r="AU9" s="111"/>
      <c r="AV9" s="112"/>
      <c r="AW9" s="112"/>
      <c r="AX9" s="113"/>
      <c r="AY9" s="112"/>
      <c r="AZ9" s="111"/>
      <c r="BA9" s="112"/>
      <c r="BB9" s="112"/>
      <c r="BC9" s="113"/>
      <c r="BD9" s="112"/>
      <c r="BE9" s="111"/>
      <c r="BF9" s="112"/>
      <c r="BG9" s="112"/>
      <c r="BH9" s="113"/>
      <c r="BI9" s="112"/>
      <c r="BJ9" s="111"/>
      <c r="BK9" s="112"/>
      <c r="BL9" s="112"/>
      <c r="BM9" s="113"/>
      <c r="BN9" s="112"/>
      <c r="BO9" s="111"/>
      <c r="BP9" s="112"/>
      <c r="BQ9" s="112"/>
      <c r="BR9" s="113"/>
      <c r="BS9" s="112"/>
      <c r="BT9" s="111"/>
      <c r="BU9" s="112"/>
      <c r="BV9" s="112"/>
      <c r="BW9" s="113"/>
      <c r="BX9" s="112"/>
      <c r="BY9" s="111"/>
      <c r="BZ9" s="112"/>
      <c r="CA9" s="112"/>
      <c r="CB9" s="113"/>
      <c r="CC9" s="112"/>
      <c r="CD9" s="111"/>
      <c r="CE9" s="112"/>
      <c r="CF9" s="112"/>
      <c r="CG9" s="113"/>
      <c r="CH9" s="112"/>
      <c r="CI9" s="111"/>
      <c r="CJ9" s="112"/>
      <c r="CK9" s="112"/>
      <c r="CL9" s="113"/>
      <c r="CM9" s="328"/>
      <c r="CN9" s="111"/>
      <c r="CO9" s="112"/>
      <c r="CP9" s="112"/>
      <c r="CQ9" s="113"/>
      <c r="CR9" s="112"/>
      <c r="CS9" s="111"/>
      <c r="CT9" s="112"/>
      <c r="CU9" s="112"/>
      <c r="CV9" s="112"/>
      <c r="CW9" s="328"/>
      <c r="CX9" s="111"/>
      <c r="CY9" s="112"/>
      <c r="CZ9" s="112"/>
      <c r="DA9" s="112"/>
      <c r="DB9" s="328"/>
      <c r="DC9" s="112"/>
      <c r="DD9" s="112"/>
      <c r="DE9" s="112"/>
      <c r="DF9" s="112"/>
      <c r="DG9" s="328"/>
      <c r="DH9" s="112"/>
      <c r="DI9" s="112"/>
      <c r="DJ9" s="112"/>
      <c r="DK9" s="112"/>
      <c r="DL9" s="328"/>
      <c r="DM9" s="112"/>
      <c r="DN9" s="112"/>
      <c r="DO9" s="112"/>
      <c r="DP9" s="112"/>
      <c r="DQ9" s="328"/>
      <c r="DR9" s="112"/>
      <c r="DS9" s="112"/>
      <c r="DZ9" s="112"/>
      <c r="EA9" s="112"/>
      <c r="EB9" s="112"/>
      <c r="EC9" s="112"/>
      <c r="ED9" s="112"/>
      <c r="EE9" s="112"/>
      <c r="EF9" s="112"/>
      <c r="EG9" s="112"/>
      <c r="EH9" s="112"/>
      <c r="EI9" s="112"/>
      <c r="EJ9" s="112"/>
      <c r="EK9" s="112"/>
      <c r="EL9" s="112"/>
      <c r="EM9" s="112"/>
      <c r="EN9" s="112"/>
      <c r="EO9" s="112"/>
      <c r="EP9" s="112"/>
      <c r="EQ9" s="112"/>
      <c r="ER9" s="112"/>
      <c r="ES9" s="112"/>
      <c r="ET9" s="112"/>
      <c r="EU9" s="112"/>
      <c r="EV9" s="112"/>
      <c r="EW9" s="112"/>
      <c r="EX9" s="112"/>
      <c r="EY9" s="112"/>
      <c r="EZ9" s="112"/>
      <c r="FA9" s="112"/>
      <c r="FB9" s="112"/>
      <c r="FC9" s="112"/>
      <c r="FD9" s="112"/>
    </row>
    <row r="10" spans="1:160" s="188" customFormat="1" ht="11.25" customHeight="1">
      <c r="B10" s="193" t="s">
        <v>84</v>
      </c>
      <c r="C10" s="128"/>
      <c r="D10" s="128"/>
      <c r="E10" s="128"/>
      <c r="F10" s="128"/>
      <c r="G10" s="193"/>
      <c r="H10" s="128"/>
      <c r="I10" s="128"/>
      <c r="J10" s="205"/>
      <c r="K10" s="193"/>
      <c r="L10" s="193"/>
      <c r="M10" s="128"/>
      <c r="N10" s="128"/>
      <c r="O10" s="128"/>
      <c r="P10" s="128"/>
      <c r="Q10" s="193"/>
      <c r="R10" s="128"/>
      <c r="S10" s="128"/>
      <c r="T10" s="128"/>
      <c r="U10" s="128"/>
      <c r="V10" s="193"/>
      <c r="W10" s="128"/>
      <c r="X10" s="128"/>
      <c r="Y10" s="128"/>
      <c r="Z10" s="128"/>
      <c r="AA10" s="193"/>
      <c r="AB10" s="128"/>
      <c r="AC10" s="128"/>
      <c r="AD10" s="128"/>
      <c r="AE10" s="128"/>
      <c r="AF10" s="193"/>
      <c r="AG10" s="128"/>
      <c r="AH10" s="128"/>
      <c r="AI10" s="128"/>
      <c r="AJ10" s="128"/>
      <c r="AK10" s="193"/>
      <c r="AL10" s="128"/>
      <c r="AM10" s="128"/>
      <c r="AN10" s="128"/>
      <c r="AO10" s="128"/>
      <c r="AP10" s="193"/>
      <c r="AQ10" s="128"/>
      <c r="AR10" s="128"/>
      <c r="AS10" s="128"/>
      <c r="AT10" s="128"/>
      <c r="AU10" s="193"/>
      <c r="AV10" s="128"/>
      <c r="AW10" s="128"/>
      <c r="AX10" s="128"/>
      <c r="AY10" s="128"/>
      <c r="AZ10" s="193"/>
      <c r="BA10" s="128"/>
      <c r="BB10" s="128"/>
      <c r="BC10" s="128"/>
      <c r="BD10" s="128"/>
      <c r="BE10" s="193"/>
      <c r="BF10" s="128"/>
      <c r="BG10" s="128"/>
      <c r="BH10" s="128"/>
      <c r="BI10" s="128"/>
      <c r="BJ10" s="193"/>
      <c r="BK10" s="128"/>
      <c r="BL10" s="128"/>
      <c r="BM10" s="128"/>
      <c r="BN10" s="128"/>
      <c r="BO10" s="193"/>
      <c r="BP10" s="128"/>
      <c r="BQ10" s="128"/>
      <c r="BR10" s="128"/>
      <c r="BS10" s="128"/>
      <c r="BT10" s="193"/>
      <c r="BU10" s="128"/>
      <c r="BV10" s="128"/>
      <c r="BW10" s="128"/>
      <c r="BX10" s="128"/>
      <c r="BY10" s="193"/>
      <c r="BZ10" s="128"/>
      <c r="CA10" s="128"/>
      <c r="CB10" s="205"/>
      <c r="CC10" s="128"/>
      <c r="CD10" s="193"/>
      <c r="CE10" s="128"/>
      <c r="CF10" s="128"/>
      <c r="CG10" s="128"/>
      <c r="CH10" s="128"/>
      <c r="CI10" s="193"/>
      <c r="CJ10" s="128"/>
      <c r="CK10" s="128"/>
      <c r="CL10" s="205"/>
      <c r="CM10" s="353"/>
      <c r="CN10" s="193"/>
      <c r="CO10" s="128"/>
      <c r="CP10" s="128"/>
      <c r="CQ10" s="205"/>
      <c r="CR10" s="128"/>
      <c r="CS10" s="193"/>
      <c r="CT10" s="128"/>
      <c r="CU10" s="128"/>
      <c r="CV10" s="128"/>
      <c r="CW10" s="353"/>
      <c r="CX10" s="193"/>
      <c r="CY10" s="128"/>
      <c r="CZ10" s="128"/>
      <c r="DA10" s="128"/>
      <c r="DB10" s="353"/>
      <c r="DC10" s="128"/>
      <c r="DD10" s="128"/>
      <c r="DE10" s="128"/>
      <c r="DF10" s="128"/>
      <c r="DG10" s="353"/>
      <c r="DH10" s="128"/>
      <c r="DI10" s="128"/>
      <c r="DJ10" s="128"/>
      <c r="DK10" s="128"/>
      <c r="DL10" s="353"/>
      <c r="DM10" s="128"/>
      <c r="DN10" s="128"/>
      <c r="DO10" s="128"/>
      <c r="DP10" s="128"/>
      <c r="DQ10" s="353"/>
      <c r="DR10" s="128"/>
      <c r="DS10" s="128"/>
      <c r="DT10"/>
      <c r="DU10"/>
      <c r="DV10"/>
      <c r="DW10"/>
      <c r="DX10"/>
      <c r="DY10"/>
      <c r="DZ10" s="128"/>
      <c r="EA10" s="128"/>
      <c r="EB10" s="128"/>
      <c r="EC10" s="128"/>
      <c r="ED10" s="128"/>
      <c r="EE10" s="128"/>
      <c r="EF10" s="128"/>
      <c r="EG10" s="128"/>
      <c r="EH10" s="128"/>
      <c r="EI10" s="128"/>
      <c r="EJ10" s="128"/>
      <c r="EK10" s="128"/>
      <c r="EL10" s="128"/>
      <c r="EM10" s="128"/>
      <c r="EN10" s="128"/>
      <c r="EO10" s="128"/>
      <c r="EP10" s="128"/>
      <c r="EQ10" s="128"/>
      <c r="ER10" s="128"/>
      <c r="ES10" s="128"/>
      <c r="ET10" s="128"/>
      <c r="EU10" s="128"/>
      <c r="EV10" s="128"/>
      <c r="EW10" s="128"/>
      <c r="EX10" s="128"/>
      <c r="EY10" s="128"/>
      <c r="EZ10" s="128"/>
      <c r="FA10" s="128"/>
      <c r="FB10" s="128"/>
      <c r="FC10" s="128"/>
      <c r="FD10" s="128"/>
    </row>
    <row r="11" spans="1:160" s="188" customFormat="1" ht="11.25" customHeight="1">
      <c r="A11" s="175"/>
      <c r="B11" s="73" t="s">
        <v>75</v>
      </c>
      <c r="C11" s="74"/>
      <c r="D11" s="74"/>
      <c r="E11" s="74"/>
      <c r="F11" s="74"/>
      <c r="G11" s="195"/>
      <c r="H11" s="194"/>
      <c r="I11" s="194"/>
      <c r="J11" s="204"/>
      <c r="K11" s="73"/>
      <c r="L11" s="195"/>
      <c r="M11" s="194"/>
      <c r="N11" s="194"/>
      <c r="O11" s="194"/>
      <c r="P11" s="74"/>
      <c r="Q11" s="195"/>
      <c r="R11" s="194"/>
      <c r="S11" s="194"/>
      <c r="T11" s="194"/>
      <c r="U11" s="74"/>
      <c r="V11" s="195"/>
      <c r="W11" s="194"/>
      <c r="X11" s="194"/>
      <c r="Y11" s="194"/>
      <c r="Z11" s="74"/>
      <c r="AA11" s="195"/>
      <c r="AB11" s="194"/>
      <c r="AC11" s="194"/>
      <c r="AD11" s="194"/>
      <c r="AE11" s="74"/>
      <c r="AF11" s="195"/>
      <c r="AG11" s="194"/>
      <c r="AH11" s="194"/>
      <c r="AI11" s="194"/>
      <c r="AJ11" s="74"/>
      <c r="AK11" s="195"/>
      <c r="AL11" s="194"/>
      <c r="AM11" s="194"/>
      <c r="AN11" s="194"/>
      <c r="AO11" s="74"/>
      <c r="AP11" s="195"/>
      <c r="AQ11" s="194"/>
      <c r="AR11" s="194"/>
      <c r="AS11" s="194"/>
      <c r="AT11" s="74"/>
      <c r="AU11" s="195"/>
      <c r="AV11" s="194"/>
      <c r="AW11" s="194"/>
      <c r="AX11" s="194"/>
      <c r="AY11" s="74"/>
      <c r="AZ11" s="195"/>
      <c r="BA11" s="194"/>
      <c r="BB11" s="194"/>
      <c r="BC11" s="194"/>
      <c r="BD11" s="74"/>
      <c r="BE11" s="195"/>
      <c r="BF11" s="194"/>
      <c r="BG11" s="194"/>
      <c r="BH11" s="194"/>
      <c r="BI11" s="74"/>
      <c r="BJ11" s="195"/>
      <c r="BK11" s="194"/>
      <c r="BL11" s="194"/>
      <c r="BM11" s="194"/>
      <c r="BN11" s="74"/>
      <c r="BO11" s="195"/>
      <c r="BP11" s="194"/>
      <c r="BQ11" s="194"/>
      <c r="BR11" s="194"/>
      <c r="BS11" s="74"/>
      <c r="BT11" s="195"/>
      <c r="BU11" s="194"/>
      <c r="BV11" s="194"/>
      <c r="BW11" s="194"/>
      <c r="BX11" s="74"/>
      <c r="BY11" s="195"/>
      <c r="BZ11" s="194"/>
      <c r="CA11" s="194"/>
      <c r="CB11" s="321"/>
      <c r="CC11" s="74"/>
      <c r="CD11" s="195"/>
      <c r="CE11" s="194"/>
      <c r="CF11" s="194"/>
      <c r="CG11" s="194"/>
      <c r="CH11" s="74"/>
      <c r="CI11" s="195"/>
      <c r="CJ11" s="194"/>
      <c r="CK11" s="194"/>
      <c r="CL11" s="204"/>
      <c r="CM11" s="354"/>
      <c r="CN11" s="195"/>
      <c r="CO11" s="194"/>
      <c r="CP11" s="194"/>
      <c r="CQ11" s="204"/>
      <c r="CR11" s="74"/>
      <c r="CS11" s="195"/>
      <c r="CT11" s="194"/>
      <c r="CU11" s="194"/>
      <c r="CV11" s="194"/>
      <c r="CW11" s="354"/>
      <c r="CX11" s="195"/>
      <c r="CY11" s="194"/>
      <c r="CZ11" s="194"/>
      <c r="DA11" s="194"/>
      <c r="DB11" s="354"/>
      <c r="DC11" s="194"/>
      <c r="DD11" s="194"/>
      <c r="DE11" s="194"/>
      <c r="DF11" s="194"/>
      <c r="DG11" s="354"/>
      <c r="DH11" s="194"/>
      <c r="DI11" s="194"/>
      <c r="DJ11" s="194"/>
      <c r="DK11" s="194"/>
      <c r="DL11" s="354"/>
      <c r="DM11" s="194"/>
      <c r="DN11" s="194"/>
      <c r="DO11" s="194"/>
      <c r="DP11" s="194"/>
      <c r="DQ11" s="354"/>
      <c r="DR11" s="74"/>
      <c r="DS11" s="128"/>
      <c r="DT11"/>
      <c r="DU11"/>
      <c r="DV11"/>
      <c r="DW11"/>
      <c r="DX11"/>
      <c r="DY11"/>
    </row>
    <row r="12" spans="1:160" ht="11.25" customHeight="1">
      <c r="A12" s="114"/>
      <c r="B12" s="3"/>
      <c r="C12" s="4" t="s">
        <v>76</v>
      </c>
      <c r="D12" s="4"/>
      <c r="E12" s="4"/>
      <c r="F12" s="4"/>
      <c r="G12" s="238">
        <f>G58</f>
        <v>0.71199999999999997</v>
      </c>
      <c r="H12" s="239">
        <f t="shared" ref="H12:H18" si="0">H58-G12</f>
        <v>1.0660000000000001</v>
      </c>
      <c r="I12" s="239">
        <f t="shared" ref="I12:I18" si="1">I58-H12-G12</f>
        <v>1.6989999999999996</v>
      </c>
      <c r="J12" s="240">
        <f t="shared" ref="J12:J18" si="2">J58-I12-H12-G12</f>
        <v>2.5560000000000009</v>
      </c>
      <c r="K12" s="238">
        <f t="shared" ref="K12:K18" si="3">SUM(G12:J12)</f>
        <v>6.0330000000000004</v>
      </c>
      <c r="L12" s="238">
        <f t="shared" ref="L12:L18" si="4">L58</f>
        <v>2.7589999999999999</v>
      </c>
      <c r="M12" s="239">
        <f t="shared" ref="M12:M18" si="5">M58-L12</f>
        <v>2.5550000000000002</v>
      </c>
      <c r="N12" s="239">
        <f t="shared" ref="N12:N18" si="6">N58-M12-L12</f>
        <v>2.8590000000000004</v>
      </c>
      <c r="O12" s="240">
        <f t="shared" ref="O12:O18" si="7">O58-N12-M12-L12</f>
        <v>3.0610000000000004</v>
      </c>
      <c r="P12" s="239">
        <f t="shared" ref="P12:P18" si="8">SUM(L12:O12)</f>
        <v>11.234</v>
      </c>
      <c r="Q12" s="238">
        <f t="shared" ref="Q12:Q18" si="9">Q58</f>
        <v>3.4609999999999999</v>
      </c>
      <c r="R12" s="239">
        <f t="shared" ref="R12:R18" si="10">R58-Q12</f>
        <v>4.0180000000000007</v>
      </c>
      <c r="S12" s="239">
        <f t="shared" ref="S12:S18" si="11">S58-R12-Q12</f>
        <v>4.7850000000000001</v>
      </c>
      <c r="T12" s="240">
        <f t="shared" ref="T12:T18" si="12">T58-S12-R12-Q12</f>
        <v>5.4189999999999987</v>
      </c>
      <c r="U12" s="239">
        <f t="shared" ref="U12:U18" si="13">SUM(Q12:T12)</f>
        <v>17.683</v>
      </c>
      <c r="V12" s="238">
        <f t="shared" ref="V12:V18" si="14">V58</f>
        <v>5.5650000000000004</v>
      </c>
      <c r="W12" s="239">
        <f t="shared" ref="W12:W18" si="15">W58-V12</f>
        <v>5.8470000000000004</v>
      </c>
      <c r="X12" s="239">
        <f t="shared" ref="X12:X18" si="16">X58-W12-V12</f>
        <v>6.1079999999999979</v>
      </c>
      <c r="Y12" s="240">
        <f t="shared" ref="Y12:Y18" si="17">Y58-X12-W12-V12</f>
        <v>4.6400000000000015</v>
      </c>
      <c r="Z12" s="239">
        <f t="shared" ref="Z12:Z18" si="18">SUM(V12:Y12)</f>
        <v>22.16</v>
      </c>
      <c r="AA12" s="238">
        <f t="shared" ref="AA12:AA18" si="19">AA58</f>
        <v>7.109</v>
      </c>
      <c r="AB12" s="239">
        <f t="shared" ref="AB12:AB18" si="20">AB58-AA12</f>
        <v>8.6470000000000002</v>
      </c>
      <c r="AC12" s="239">
        <f t="shared" ref="AC12:AC18" si="21">AC58-AB12-AA12</f>
        <v>9.6669999999999963</v>
      </c>
      <c r="AD12" s="240">
        <f t="shared" ref="AD12:AD18" si="22">AD58-AC12-AB12-AA12</f>
        <v>9.1390000000000047</v>
      </c>
      <c r="AE12" s="239">
        <f t="shared" ref="AE12:AE18" si="23">SUM(AA12:AD12)</f>
        <v>34.561999999999998</v>
      </c>
      <c r="AF12" s="238">
        <f t="shared" ref="AF12:AF18" si="24">AF58</f>
        <v>10.178000000000001</v>
      </c>
      <c r="AG12" s="239">
        <f t="shared" ref="AG12:AG18" si="25">AG58-AF12</f>
        <v>13.501999999999999</v>
      </c>
      <c r="AH12" s="239">
        <f t="shared" ref="AH12:AH18" si="26">AH58-AG12-AF12</f>
        <v>15.96</v>
      </c>
      <c r="AI12" s="240">
        <f t="shared" ref="AI12:AI18" si="27">AI58-AH12-AG12-AF12</f>
        <v>17.725000000000001</v>
      </c>
      <c r="AJ12" s="239">
        <f t="shared" ref="AJ12:AJ18" si="28">SUM(AF12:AI12)</f>
        <v>57.365000000000002</v>
      </c>
      <c r="AK12" s="238">
        <f t="shared" ref="AK12:AK18" si="29">AK58</f>
        <v>19.788</v>
      </c>
      <c r="AL12" s="239">
        <f t="shared" ref="AL12:AL18" si="30">AL58-AK12</f>
        <v>23.800999999999998</v>
      </c>
      <c r="AM12" s="239">
        <f t="shared" ref="AM12:AM18" si="31">AM58-AL12-AK12</f>
        <v>26.052000000000003</v>
      </c>
      <c r="AN12" s="240">
        <f t="shared" ref="AN12:AN18" si="32">AN58-AM12-AL12-AK12</f>
        <v>30.601999999999986</v>
      </c>
      <c r="AO12" s="239">
        <f t="shared" ref="AO12:AO18" si="33">SUM(AK12:AN12)</f>
        <v>100.24299999999999</v>
      </c>
      <c r="AP12" s="238">
        <f t="shared" ref="AP12:AP18" si="34">AP58</f>
        <v>31.978000000000002</v>
      </c>
      <c r="AQ12" s="239">
        <f t="shared" ref="AQ12:AQ18" si="35">AQ58-AP12</f>
        <v>36.032000000000004</v>
      </c>
      <c r="AR12" s="239">
        <f t="shared" ref="AR12:AR18" si="36">AR58-AQ12-AP12</f>
        <v>40.583000000000006</v>
      </c>
      <c r="AS12" s="240">
        <f t="shared" ref="AS12:AS18" si="37">AS58-AR12-AQ12-AP12</f>
        <v>57.672999999999981</v>
      </c>
      <c r="AT12" s="239">
        <f t="shared" ref="AT12:AT18" si="38">SUM(AP12:AS12)</f>
        <v>166.26599999999999</v>
      </c>
      <c r="AU12" s="238">
        <f t="shared" ref="AU12:AU18" si="39">AU58</f>
        <v>47.163999999999994</v>
      </c>
      <c r="AV12" s="239">
        <f t="shared" ref="AV12:AV18" si="40">AV58-AU12</f>
        <v>55.071000000000005</v>
      </c>
      <c r="AW12" s="239">
        <f t="shared" ref="AW12:AW18" si="41">AW58-AV12-AU12</f>
        <v>61.027000000000008</v>
      </c>
      <c r="AX12" s="240">
        <f t="shared" ref="AX12:AX18" si="42">AX58-AW12-AV12-AU12</f>
        <v>69.532999999999987</v>
      </c>
      <c r="AY12" s="239">
        <f t="shared" ref="AY12:AY18" si="43">SUM(AU12:AX12)</f>
        <v>232.79499999999999</v>
      </c>
      <c r="AZ12" s="238">
        <f t="shared" ref="AZ12:AZ18" si="44">AZ58</f>
        <v>75.445999999999998</v>
      </c>
      <c r="BA12" s="239">
        <f t="shared" ref="BA12:BA18" si="45">BA58-AZ12</f>
        <v>82.277000000000015</v>
      </c>
      <c r="BB12" s="239">
        <f t="shared" ref="BB12:BB18" si="46">BB58-BA12-AZ12</f>
        <v>96.153999999999996</v>
      </c>
      <c r="BC12" s="240">
        <f t="shared" ref="BC12:BC18" si="47">BC58-BB12-BA12-AZ12</f>
        <v>96.255999999999972</v>
      </c>
      <c r="BD12" s="239">
        <f t="shared" ref="BD12:BD18" si="48">SUM(AZ12:BC12)</f>
        <v>350.13299999999998</v>
      </c>
      <c r="BE12" s="238">
        <f t="shared" ref="BE12:BE18" si="49">BE58</f>
        <v>101.87299999999999</v>
      </c>
      <c r="BF12" s="239">
        <f t="shared" ref="BF12:BF18" si="50">BF58-BE12</f>
        <v>103.85600000000002</v>
      </c>
      <c r="BG12" s="239">
        <f t="shared" ref="BG12:BG18" si="51">BG58-BF12-BE12</f>
        <v>112.828</v>
      </c>
      <c r="BH12" s="240">
        <f t="shared" ref="BH12:BH18" si="52">BH58-BG12-BF12-BE12</f>
        <v>112.28800000000004</v>
      </c>
      <c r="BI12" s="239">
        <f t="shared" ref="BI12:BI18" si="53">SUM(BE12:BH12)</f>
        <v>430.84500000000003</v>
      </c>
      <c r="BJ12" s="238">
        <f t="shared" ref="BJ12:BJ18" si="54">BJ58</f>
        <v>113.13199999999995</v>
      </c>
      <c r="BK12" s="239">
        <f t="shared" ref="BK12:BK18" si="55">BK58-BJ12</f>
        <v>141.255</v>
      </c>
      <c r="BL12" s="239">
        <f t="shared" ref="BL12:BL18" si="56">BL58-BK12-BJ12</f>
        <v>136.572</v>
      </c>
      <c r="BM12" s="240">
        <f t="shared" ref="BM12:BM18" si="57">BM58-BL12-BK12-BJ12</f>
        <v>144.00400000000002</v>
      </c>
      <c r="BN12" s="239">
        <f t="shared" ref="BN12:BN18" si="58">SUM(BJ12:BM12)</f>
        <v>534.96299999999997</v>
      </c>
      <c r="BO12" s="238">
        <f t="shared" ref="BO12:BO18" si="59">BO58</f>
        <v>151.5</v>
      </c>
      <c r="BP12" s="239">
        <f t="shared" ref="BP12:BP18" si="60">BP58-BO12</f>
        <v>172.17500000000001</v>
      </c>
      <c r="BQ12" s="239">
        <f t="shared" ref="BQ12:BQ18" si="61">BQ58-BP12-BO12</f>
        <v>203.69900000000001</v>
      </c>
      <c r="BR12" s="240">
        <f t="shared" ref="BR12:BR18" si="62">BR58-BQ12-BP12-BO12</f>
        <v>206.16599999999988</v>
      </c>
      <c r="BS12" s="239">
        <f t="shared" ref="BS12:BS18" si="63">SUM(BO12:BR12)</f>
        <v>733.54</v>
      </c>
      <c r="BT12" s="238">
        <f t="shared" ref="BT12:BT18" si="64">BT58</f>
        <v>208.32699999999988</v>
      </c>
      <c r="BU12" s="239">
        <f t="shared" ref="BU12:BU18" si="65">BU58-BT12</f>
        <v>208.04499999999996</v>
      </c>
      <c r="BV12" s="239">
        <f t="shared" ref="BV12:BV18" si="66">BV58-BU12-BT12</f>
        <v>227.11900000000003</v>
      </c>
      <c r="BW12" s="240">
        <f t="shared" ref="BW12:BW18" si="67">BW58-BV12-BU12-BT12</f>
        <v>240.12700000000018</v>
      </c>
      <c r="BX12" s="239">
        <f t="shared" ref="BX12:BX18" si="68">SUM(BT12:BW12)</f>
        <v>883.61800000000005</v>
      </c>
      <c r="BY12" s="238">
        <f t="shared" ref="BY12:BY18" si="69">BY58</f>
        <v>243.65099999999993</v>
      </c>
      <c r="BZ12" s="239">
        <f t="shared" ref="BZ12:BZ18" si="70">BZ58-BY12</f>
        <v>251.9320000000001</v>
      </c>
      <c r="CA12" s="239">
        <f t="shared" ref="CA12:CA18" si="71">CA58-BZ12-BY12</f>
        <v>276.90099999999995</v>
      </c>
      <c r="CB12" s="240">
        <f t="shared" ref="CB12:CB18" si="72">CB58-CA12-BZ12-BY12</f>
        <v>278.77899999999988</v>
      </c>
      <c r="CC12" s="239">
        <f t="shared" ref="CC12:CC18" si="73">SUM(BY12:CB12)</f>
        <v>1051.2629999999999</v>
      </c>
      <c r="CD12" s="238">
        <f t="shared" ref="CD12:CD18" si="74">CD58</f>
        <v>284.209</v>
      </c>
      <c r="CE12" s="239">
        <f t="shared" ref="CE12:CE18" si="75">CE58-CD12</f>
        <v>300.40999999999991</v>
      </c>
      <c r="CF12" s="239">
        <f t="shared" ref="CF12:CF18" si="76">CF58-CE12-CD12</f>
        <v>319.62700000000001</v>
      </c>
      <c r="CG12" s="240">
        <f t="shared" ref="CG12:CG18" si="77">CG58-CF12-CE12-CD12</f>
        <v>324.33199999999994</v>
      </c>
      <c r="CH12" s="239">
        <f t="shared" ref="CH12:CH18" si="78">SUM(CD12:CG12)</f>
        <v>1228.5779999999997</v>
      </c>
      <c r="CI12" s="238">
        <f t="shared" ref="CI12:CI18" si="79">CI58</f>
        <v>348.87800000000004</v>
      </c>
      <c r="CJ12" s="239">
        <f t="shared" ref="CJ12:CJ18" si="80">CJ58-CI12</f>
        <v>371.9079999999999</v>
      </c>
      <c r="CK12" s="239">
        <f t="shared" ref="CK12:CK18" si="81">CK58-CJ12-CI12</f>
        <v>355.62400000000014</v>
      </c>
      <c r="CL12" s="240">
        <f t="shared" ref="CL12:CL18" si="82">CL58-CK12-CJ12-CI12</f>
        <v>362.85700000000008</v>
      </c>
      <c r="CM12" s="835">
        <f t="shared" ref="CM12:CM18" si="83">SUM(CI12:CL12)</f>
        <v>1439.2670000000003</v>
      </c>
      <c r="CN12" s="238">
        <f t="shared" ref="CN12:CN18" si="84">CN58</f>
        <v>382.9</v>
      </c>
      <c r="CO12" s="239">
        <f t="shared" ref="CO12:CO18" si="85">+CO58-CN12</f>
        <v>420.1</v>
      </c>
      <c r="CP12" s="239">
        <f t="shared" ref="CP12:CP18" si="86">CP58-CO12-CN12</f>
        <v>397.20000000000005</v>
      </c>
      <c r="CQ12" s="240">
        <f t="shared" ref="CQ12:CQ18" si="87">CQ58-CP12-CO12-CN12</f>
        <v>423.39999999999986</v>
      </c>
      <c r="CR12" s="239">
        <f t="shared" ref="CR12:CR18" si="88">SUM(CN12:CQ12)</f>
        <v>1623.6</v>
      </c>
      <c r="CS12" s="238">
        <f t="shared" ref="CS12:CS18" si="89">CS58</f>
        <v>441.2</v>
      </c>
      <c r="CT12" s="239">
        <f t="shared" ref="CT12:CT18" si="90">+CT58-CS12</f>
        <v>252.40000000000003</v>
      </c>
      <c r="CU12" s="239">
        <f t="shared" ref="CU12:CU18" si="91">CU58-CT12-CS12</f>
        <v>444.39999999999992</v>
      </c>
      <c r="CV12" s="239">
        <f t="shared" ref="CV12:CV18" si="92">CV58-CU12-CT12-CS12</f>
        <v>415.00000000000006</v>
      </c>
      <c r="CW12" s="352">
        <f>IS!CW76</f>
        <v>1553.8999999999996</v>
      </c>
      <c r="CX12" s="1051">
        <f>CX58</f>
        <v>557</v>
      </c>
      <c r="CY12" s="1037">
        <f>+CY58-CX12</f>
        <v>470</v>
      </c>
      <c r="CZ12" s="1037">
        <f>+CZ58-CY58</f>
        <v>495</v>
      </c>
      <c r="DA12" s="1037">
        <f>+DA58-CZ58</f>
        <v>-18</v>
      </c>
      <c r="DB12" s="1038">
        <f>IS!DB76</f>
        <v>1504</v>
      </c>
      <c r="DC12" s="1037">
        <f>IS!DC76</f>
        <v>561.56931106164393</v>
      </c>
      <c r="DD12" s="1037">
        <f>IS!DD76</f>
        <v>592.11073254971529</v>
      </c>
      <c r="DE12" s="1037">
        <f>IS!DE76</f>
        <v>612.73702270489059</v>
      </c>
      <c r="DF12" s="1037">
        <f>IS!DF76</f>
        <v>645.31861575136293</v>
      </c>
      <c r="DG12" s="1038">
        <f>IS!DG76</f>
        <v>2411.7356820676127</v>
      </c>
      <c r="DH12" s="1037">
        <f>IS!DH76</f>
        <v>648.50859669975773</v>
      </c>
      <c r="DI12" s="1037">
        <f>IS!DI76</f>
        <v>675.24668919986061</v>
      </c>
      <c r="DJ12" s="1037">
        <f>IS!DJ76</f>
        <v>691.80575169392205</v>
      </c>
      <c r="DK12" s="1037">
        <f>IS!DK76</f>
        <v>704.66685503828467</v>
      </c>
      <c r="DL12" s="1038">
        <f>IS!DL76</f>
        <v>2720.2278926318249</v>
      </c>
      <c r="DM12" s="1037">
        <f>IS!DM76</f>
        <v>699.6007210597154</v>
      </c>
      <c r="DN12" s="1037">
        <f>IS!DN76</f>
        <v>728.18026945187671</v>
      </c>
      <c r="DO12" s="1037">
        <f>IS!DO76</f>
        <v>747.76465543152813</v>
      </c>
      <c r="DP12" s="1037">
        <f>IS!DP76</f>
        <v>760.33843862115282</v>
      </c>
      <c r="DQ12" s="1038">
        <f>IS!DQ76</f>
        <v>2935.8840845642731</v>
      </c>
      <c r="DR12" s="4"/>
      <c r="DS12" s="112"/>
    </row>
    <row r="13" spans="1:160" ht="11.25" customHeight="1">
      <c r="A13" s="114"/>
      <c r="B13" s="3"/>
      <c r="C13" s="4" t="s">
        <v>11</v>
      </c>
      <c r="D13" s="4"/>
      <c r="E13" s="4"/>
      <c r="F13" s="4"/>
      <c r="G13" s="238">
        <f t="shared" ref="G13:G18" si="93">G59</f>
        <v>0.48</v>
      </c>
      <c r="H13" s="239">
        <f t="shared" si="0"/>
        <v>0.53499999999999992</v>
      </c>
      <c r="I13" s="239">
        <f t="shared" si="1"/>
        <v>0.58700000000000041</v>
      </c>
      <c r="J13" s="240">
        <f t="shared" si="2"/>
        <v>0.62000000000000011</v>
      </c>
      <c r="K13" s="238">
        <f t="shared" si="3"/>
        <v>2.2220000000000004</v>
      </c>
      <c r="L13" s="238">
        <f t="shared" si="4"/>
        <v>0.63100000000000001</v>
      </c>
      <c r="M13" s="239">
        <f t="shared" si="5"/>
        <v>0.71</v>
      </c>
      <c r="N13" s="239">
        <f t="shared" si="6"/>
        <v>0.80899999999999994</v>
      </c>
      <c r="O13" s="240">
        <f t="shared" si="7"/>
        <v>0.88699999999999979</v>
      </c>
      <c r="P13" s="239">
        <f t="shared" si="8"/>
        <v>3.0369999999999999</v>
      </c>
      <c r="Q13" s="238">
        <f t="shared" si="9"/>
        <v>0.97099999999999997</v>
      </c>
      <c r="R13" s="239">
        <f t="shared" si="10"/>
        <v>1.0259999999999998</v>
      </c>
      <c r="S13" s="239">
        <f t="shared" si="11"/>
        <v>1.2450000000000001</v>
      </c>
      <c r="T13" s="240">
        <f t="shared" si="12"/>
        <v>1.2649999999999997</v>
      </c>
      <c r="U13" s="239">
        <f t="shared" si="13"/>
        <v>4.5069999999999997</v>
      </c>
      <c r="V13" s="238">
        <f t="shared" si="14"/>
        <v>1.4379999999999999</v>
      </c>
      <c r="W13" s="239">
        <f t="shared" si="15"/>
        <v>1.4990000000000003</v>
      </c>
      <c r="X13" s="239">
        <f t="shared" si="16"/>
        <v>1.6290000000000002</v>
      </c>
      <c r="Y13" s="240">
        <f t="shared" si="17"/>
        <v>1.800999999999999</v>
      </c>
      <c r="Z13" s="239">
        <f t="shared" si="18"/>
        <v>6.367</v>
      </c>
      <c r="AA13" s="238">
        <f t="shared" si="19"/>
        <v>1.927</v>
      </c>
      <c r="AB13" s="239">
        <f t="shared" si="20"/>
        <v>1.7470000000000003</v>
      </c>
      <c r="AC13" s="239">
        <f t="shared" si="21"/>
        <v>2.0049999999999999</v>
      </c>
      <c r="AD13" s="240">
        <f t="shared" si="22"/>
        <v>2.1629999999999998</v>
      </c>
      <c r="AE13" s="239">
        <f t="shared" si="23"/>
        <v>7.8420000000000005</v>
      </c>
      <c r="AF13" s="238">
        <f t="shared" si="24"/>
        <v>2.6219999999999999</v>
      </c>
      <c r="AG13" s="239">
        <f t="shared" si="25"/>
        <v>2.7669999999999995</v>
      </c>
      <c r="AH13" s="239">
        <f t="shared" si="26"/>
        <v>3.0079999999999991</v>
      </c>
      <c r="AI13" s="240">
        <f t="shared" si="27"/>
        <v>3.5389999999999997</v>
      </c>
      <c r="AJ13" s="239">
        <f t="shared" si="28"/>
        <v>11.935999999999998</v>
      </c>
      <c r="AK13" s="238">
        <f t="shared" si="29"/>
        <v>3.8650000000000002</v>
      </c>
      <c r="AL13" s="239">
        <f t="shared" si="30"/>
        <v>3.8279999999999994</v>
      </c>
      <c r="AM13" s="239">
        <f t="shared" si="31"/>
        <v>4.0830000000000002</v>
      </c>
      <c r="AN13" s="240">
        <f t="shared" si="32"/>
        <v>4.6709999999999994</v>
      </c>
      <c r="AO13" s="239">
        <f t="shared" si="33"/>
        <v>16.446999999999999</v>
      </c>
      <c r="AP13" s="238">
        <f t="shared" si="34"/>
        <v>5.09</v>
      </c>
      <c r="AQ13" s="239">
        <f t="shared" si="35"/>
        <v>5.4489999999999998</v>
      </c>
      <c r="AR13" s="239">
        <f t="shared" si="36"/>
        <v>5.5810000000000013</v>
      </c>
      <c r="AS13" s="240">
        <f t="shared" si="37"/>
        <v>5.2799999999999976</v>
      </c>
      <c r="AT13" s="239">
        <f t="shared" si="38"/>
        <v>21.4</v>
      </c>
      <c r="AU13" s="238">
        <f t="shared" si="39"/>
        <v>7.03</v>
      </c>
      <c r="AV13" s="239">
        <f t="shared" si="40"/>
        <v>7.8009999999999993</v>
      </c>
      <c r="AW13" s="239">
        <f t="shared" si="41"/>
        <v>8.8610000000000007</v>
      </c>
      <c r="AX13" s="240">
        <f t="shared" si="42"/>
        <v>10.470999999999997</v>
      </c>
      <c r="AY13" s="239">
        <f t="shared" si="43"/>
        <v>34.162999999999997</v>
      </c>
      <c r="AZ13" s="238">
        <f t="shared" si="44"/>
        <v>12.26</v>
      </c>
      <c r="BA13" s="239">
        <f t="shared" si="45"/>
        <v>13.053000000000003</v>
      </c>
      <c r="BB13" s="239">
        <f t="shared" si="46"/>
        <v>13.869999999999996</v>
      </c>
      <c r="BC13" s="240">
        <f t="shared" si="47"/>
        <v>14.734999999999998</v>
      </c>
      <c r="BD13" s="239">
        <f t="shared" si="48"/>
        <v>53.917999999999999</v>
      </c>
      <c r="BE13" s="238">
        <f t="shared" si="49"/>
        <v>16.292999999999999</v>
      </c>
      <c r="BF13" s="239">
        <f t="shared" si="50"/>
        <v>17.777000000000001</v>
      </c>
      <c r="BG13" s="239">
        <f t="shared" si="51"/>
        <v>19.473999999999997</v>
      </c>
      <c r="BH13" s="240">
        <f t="shared" si="52"/>
        <v>21.253</v>
      </c>
      <c r="BI13" s="239">
        <f t="shared" si="53"/>
        <v>74.796999999999997</v>
      </c>
      <c r="BJ13" s="238">
        <f t="shared" si="54"/>
        <v>21.152000000000001</v>
      </c>
      <c r="BK13" s="239">
        <f t="shared" si="55"/>
        <v>21.579000000000001</v>
      </c>
      <c r="BL13" s="239">
        <f t="shared" si="56"/>
        <v>22.300999999999995</v>
      </c>
      <c r="BM13" s="240">
        <f t="shared" si="57"/>
        <v>24.338999999999992</v>
      </c>
      <c r="BN13" s="239">
        <f t="shared" si="58"/>
        <v>89.370999999999981</v>
      </c>
      <c r="BO13" s="238">
        <f t="shared" si="59"/>
        <v>27.381</v>
      </c>
      <c r="BP13" s="239">
        <f t="shared" si="60"/>
        <v>25.247999999999998</v>
      </c>
      <c r="BQ13" s="239">
        <f t="shared" si="61"/>
        <v>27.929000000000009</v>
      </c>
      <c r="BR13" s="240">
        <f t="shared" si="62"/>
        <v>29.613999999999997</v>
      </c>
      <c r="BS13" s="239">
        <f t="shared" si="63"/>
        <v>110.172</v>
      </c>
      <c r="BT13" s="238">
        <f t="shared" si="64"/>
        <v>28.963999999999999</v>
      </c>
      <c r="BU13" s="239">
        <f t="shared" si="65"/>
        <v>29.273000000000003</v>
      </c>
      <c r="BV13" s="239">
        <f t="shared" si="66"/>
        <v>31.639000000000003</v>
      </c>
      <c r="BW13" s="240">
        <f t="shared" si="67"/>
        <v>34.298999999999999</v>
      </c>
      <c r="BX13" s="239">
        <f t="shared" si="68"/>
        <v>124.17500000000001</v>
      </c>
      <c r="BY13" s="238">
        <f t="shared" si="69"/>
        <v>36.625</v>
      </c>
      <c r="BZ13" s="239">
        <f t="shared" si="70"/>
        <v>37.433000000000007</v>
      </c>
      <c r="CA13" s="239">
        <f t="shared" si="71"/>
        <v>41.366</v>
      </c>
      <c r="CB13" s="240">
        <f t="shared" si="72"/>
        <v>41.163999999999987</v>
      </c>
      <c r="CC13" s="239">
        <f t="shared" si="73"/>
        <v>156.58799999999999</v>
      </c>
      <c r="CD13" s="238">
        <f t="shared" si="74"/>
        <v>43.600999999999999</v>
      </c>
      <c r="CE13" s="239">
        <f t="shared" si="75"/>
        <v>43.834000000000003</v>
      </c>
      <c r="CF13" s="239">
        <f t="shared" si="76"/>
        <v>44.578000000000003</v>
      </c>
      <c r="CG13" s="240">
        <f t="shared" si="77"/>
        <v>47.917000000000002</v>
      </c>
      <c r="CH13" s="239">
        <f t="shared" si="78"/>
        <v>179.93</v>
      </c>
      <c r="CI13" s="238">
        <f t="shared" si="79"/>
        <v>46.197632101878291</v>
      </c>
      <c r="CJ13" s="239">
        <f t="shared" si="80"/>
        <v>49.276367898121713</v>
      </c>
      <c r="CK13" s="239">
        <f t="shared" si="81"/>
        <v>49.716999999999992</v>
      </c>
      <c r="CL13" s="240">
        <f t="shared" si="82"/>
        <v>62.876000000000012</v>
      </c>
      <c r="CM13" s="835">
        <f t="shared" si="83"/>
        <v>208.06700000000001</v>
      </c>
      <c r="CN13" s="238">
        <f t="shared" si="84"/>
        <v>75.599999999999994</v>
      </c>
      <c r="CO13" s="239">
        <f t="shared" si="85"/>
        <v>84</v>
      </c>
      <c r="CP13" s="239">
        <f t="shared" si="86"/>
        <v>82.4</v>
      </c>
      <c r="CQ13" s="240">
        <f t="shared" si="87"/>
        <v>88</v>
      </c>
      <c r="CR13" s="239">
        <f t="shared" si="88"/>
        <v>330</v>
      </c>
      <c r="CS13" s="238">
        <f t="shared" si="89"/>
        <v>87.7</v>
      </c>
      <c r="CT13" s="239">
        <f t="shared" si="90"/>
        <v>92.899999999999991</v>
      </c>
      <c r="CU13" s="239">
        <f t="shared" si="91"/>
        <v>97.8</v>
      </c>
      <c r="CV13" s="239">
        <f t="shared" si="92"/>
        <v>100.60000000000001</v>
      </c>
      <c r="CW13" s="835">
        <f t="shared" ref="CW13:CW18" si="94">SUM(CS13:CV13)</f>
        <v>379</v>
      </c>
      <c r="CX13" s="1051">
        <f t="shared" ref="CX13:CX18" si="95">CX59</f>
        <v>104</v>
      </c>
      <c r="CY13" s="1037">
        <f t="shared" ref="CY13:CY18" si="96">+CY59-CX13</f>
        <v>103</v>
      </c>
      <c r="CZ13" s="1037">
        <f t="shared" ref="CZ13:CZ24" si="97">+CZ59-CY59</f>
        <v>114</v>
      </c>
      <c r="DA13" s="1109">
        <f>-(BS!DA94+BS!DA95+BS!DA126)</f>
        <v>86.000000000000128</v>
      </c>
      <c r="DB13" s="1039">
        <f t="shared" ref="DB13:DB18" si="98">SUM(CX13:DA13)</f>
        <v>407.00000000000011</v>
      </c>
      <c r="DC13" s="1037">
        <f>-(BS!DC94+BS!DC95+BS!DC126)</f>
        <v>95.81684288757927</v>
      </c>
      <c r="DD13" s="1037">
        <f>-(BS!DD94+BS!DD95+BS!DD126)</f>
        <v>96.107938113125883</v>
      </c>
      <c r="DE13" s="1037">
        <f>-(BS!DE94+BS!DE95+BS!DE126)</f>
        <v>96.964764638680549</v>
      </c>
      <c r="DF13" s="1037">
        <f>-(BS!DF94+BS!DF95+BS!DF126)</f>
        <v>98.666182669666256</v>
      </c>
      <c r="DG13" s="1039">
        <f t="shared" ref="DG13:DG18" si="99">SUM(DC13:DF13)</f>
        <v>387.55572830905191</v>
      </c>
      <c r="DH13" s="1037">
        <f>-(BS!DH94+BS!DH95+BS!DH126)</f>
        <v>99.834459947413947</v>
      </c>
      <c r="DI13" s="1037">
        <f>-(BS!DI94+BS!DI95+BS!DI126)</f>
        <v>100.19370569508385</v>
      </c>
      <c r="DJ13" s="1037">
        <f>-(BS!DJ94+BS!DJ95+BS!DJ126)</f>
        <v>101.16222078403324</v>
      </c>
      <c r="DK13" s="1037">
        <f>-(BS!DK94+BS!DK95+BS!DK126)</f>
        <v>103.03804725879526</v>
      </c>
      <c r="DL13" s="1039">
        <f t="shared" ref="DL13:DL18" si="100">SUM(DH13:DK13)</f>
        <v>404.22843368532631</v>
      </c>
      <c r="DM13" s="1037">
        <f>-(BS!DM94+BS!DM95+BS!DM126)</f>
        <v>104.33681789425067</v>
      </c>
      <c r="DN13" s="1037">
        <f>-(BS!DN94+BS!DN95+BS!DN126)</f>
        <v>104.75958542141721</v>
      </c>
      <c r="DO13" s="1037">
        <f>-(BS!DO94+BS!DO95+BS!DO126)</f>
        <v>105.83683390517001</v>
      </c>
      <c r="DP13" s="1037">
        <f>-(BS!DP94+BS!DP95+BS!DP126)</f>
        <v>107.89121045805472</v>
      </c>
      <c r="DQ13" s="1039">
        <f t="shared" ref="DQ13:DQ18" si="101">SUM(DM13:DP13)</f>
        <v>422.82444767889262</v>
      </c>
      <c r="DR13" s="4"/>
      <c r="DS13" s="112"/>
    </row>
    <row r="14" spans="1:160" ht="11.25" customHeight="1">
      <c r="A14" s="114"/>
      <c r="B14" s="3"/>
      <c r="C14" s="4" t="s">
        <v>77</v>
      </c>
      <c r="D14" s="4"/>
      <c r="E14" s="4"/>
      <c r="F14" s="4"/>
      <c r="G14" s="238">
        <f t="shared" si="93"/>
        <v>-6.2E-2</v>
      </c>
      <c r="H14" s="239">
        <f t="shared" si="0"/>
        <v>0</v>
      </c>
      <c r="I14" s="239">
        <f t="shared" si="1"/>
        <v>0.10100000000000001</v>
      </c>
      <c r="J14" s="240">
        <f t="shared" si="2"/>
        <v>5.9999999999999915E-3</v>
      </c>
      <c r="K14" s="238">
        <f t="shared" si="3"/>
        <v>4.4999999999999998E-2</v>
      </c>
      <c r="L14" s="238">
        <f t="shared" si="4"/>
        <v>0</v>
      </c>
      <c r="M14" s="239">
        <f t="shared" si="5"/>
        <v>0</v>
      </c>
      <c r="N14" s="239">
        <f t="shared" si="6"/>
        <v>-1.7999999999999999E-2</v>
      </c>
      <c r="O14" s="240">
        <f t="shared" si="7"/>
        <v>-1.3000000000000001E-2</v>
      </c>
      <c r="P14" s="239">
        <f t="shared" si="8"/>
        <v>-3.1E-2</v>
      </c>
      <c r="Q14" s="238">
        <f t="shared" si="9"/>
        <v>1.2999999999999999E-2</v>
      </c>
      <c r="R14" s="239">
        <f t="shared" si="10"/>
        <v>0.04</v>
      </c>
      <c r="S14" s="239">
        <f t="shared" si="11"/>
        <v>0.216</v>
      </c>
      <c r="T14" s="240">
        <f t="shared" si="12"/>
        <v>0.3030000000000001</v>
      </c>
      <c r="U14" s="239">
        <f t="shared" si="13"/>
        <v>0.57200000000000006</v>
      </c>
      <c r="V14" s="238">
        <f t="shared" si="14"/>
        <v>0.755</v>
      </c>
      <c r="W14" s="239">
        <f t="shared" si="15"/>
        <v>0.32599999999999996</v>
      </c>
      <c r="X14" s="239">
        <f t="shared" si="16"/>
        <v>0.30699999999999983</v>
      </c>
      <c r="Y14" s="240">
        <f t="shared" si="17"/>
        <v>0.44900000000000018</v>
      </c>
      <c r="Z14" s="239">
        <f t="shared" si="18"/>
        <v>1.8370000000000002</v>
      </c>
      <c r="AA14" s="238">
        <f t="shared" si="19"/>
        <v>0.32800000000000001</v>
      </c>
      <c r="AB14" s="239">
        <f t="shared" si="20"/>
        <v>3.999999999999998E-2</v>
      </c>
      <c r="AC14" s="239">
        <f t="shared" si="21"/>
        <v>0.17299999999999988</v>
      </c>
      <c r="AD14" s="240">
        <f t="shared" si="22"/>
        <v>-3.0999999999999861E-2</v>
      </c>
      <c r="AE14" s="239">
        <f t="shared" si="23"/>
        <v>0.51</v>
      </c>
      <c r="AF14" s="238">
        <f t="shared" si="24"/>
        <v>-4.0000000000000001E-3</v>
      </c>
      <c r="AG14" s="239">
        <f t="shared" si="25"/>
        <v>7.0000000000000001E-3</v>
      </c>
      <c r="AH14" s="239">
        <f t="shared" si="26"/>
        <v>4.9000000000000002E-2</v>
      </c>
      <c r="AI14" s="240">
        <f t="shared" si="27"/>
        <v>4.8000000000000001E-2</v>
      </c>
      <c r="AJ14" s="239">
        <f t="shared" si="28"/>
        <v>0.1</v>
      </c>
      <c r="AK14" s="238">
        <f t="shared" si="29"/>
        <v>7.9000000000000001E-2</v>
      </c>
      <c r="AL14" s="239">
        <f t="shared" si="30"/>
        <v>8.9999999999999983E-2</v>
      </c>
      <c r="AM14" s="239">
        <f t="shared" si="31"/>
        <v>9.799999999999999E-2</v>
      </c>
      <c r="AN14" s="240">
        <f t="shared" si="32"/>
        <v>0.25999999999999995</v>
      </c>
      <c r="AO14" s="239">
        <f t="shared" si="33"/>
        <v>0.52699999999999991</v>
      </c>
      <c r="AP14" s="238">
        <f t="shared" si="34"/>
        <v>0.42599999999999999</v>
      </c>
      <c r="AQ14" s="239">
        <f t="shared" si="35"/>
        <v>0.28999999999999998</v>
      </c>
      <c r="AR14" s="239">
        <f t="shared" si="36"/>
        <v>-0.10399999999999998</v>
      </c>
      <c r="AS14" s="240">
        <f t="shared" si="37"/>
        <v>1.014</v>
      </c>
      <c r="AT14" s="239">
        <f t="shared" si="38"/>
        <v>1.6259999999999999</v>
      </c>
      <c r="AU14" s="238">
        <f t="shared" si="39"/>
        <v>0.23300000000000001</v>
      </c>
      <c r="AV14" s="239">
        <f t="shared" si="40"/>
        <v>0.61399999999999999</v>
      </c>
      <c r="AW14" s="239">
        <f t="shared" si="41"/>
        <v>0.43799999999999994</v>
      </c>
      <c r="AX14" s="240">
        <f t="shared" si="42"/>
        <v>0.22199999999999995</v>
      </c>
      <c r="AY14" s="239">
        <f t="shared" si="43"/>
        <v>1.5069999999999999</v>
      </c>
      <c r="AZ14" s="238">
        <f t="shared" si="44"/>
        <v>0.497</v>
      </c>
      <c r="BA14" s="239">
        <f t="shared" si="45"/>
        <v>1.125</v>
      </c>
      <c r="BB14" s="239">
        <f t="shared" si="46"/>
        <v>1.5099999999999998</v>
      </c>
      <c r="BC14" s="240">
        <f t="shared" si="47"/>
        <v>0.42800000000000027</v>
      </c>
      <c r="BD14" s="239">
        <f t="shared" si="48"/>
        <v>3.56</v>
      </c>
      <c r="BE14" s="238">
        <f t="shared" si="49"/>
        <v>1.64</v>
      </c>
      <c r="BF14" s="239">
        <f t="shared" si="50"/>
        <v>2.524</v>
      </c>
      <c r="BG14" s="239">
        <f t="shared" si="51"/>
        <v>3.6120000000000001</v>
      </c>
      <c r="BH14" s="240">
        <f t="shared" si="52"/>
        <v>0.69700000000000073</v>
      </c>
      <c r="BI14" s="239">
        <f t="shared" si="53"/>
        <v>8.4730000000000008</v>
      </c>
      <c r="BJ14" s="238">
        <f t="shared" si="54"/>
        <v>1.4E-2</v>
      </c>
      <c r="BK14" s="239">
        <f t="shared" si="55"/>
        <v>0.71899999999999997</v>
      </c>
      <c r="BL14" s="239">
        <f t="shared" si="56"/>
        <v>1.9490000000000001</v>
      </c>
      <c r="BM14" s="240">
        <f t="shared" si="57"/>
        <v>0.66499999999999992</v>
      </c>
      <c r="BN14" s="239">
        <f t="shared" si="58"/>
        <v>3.347</v>
      </c>
      <c r="BO14" s="238">
        <f t="shared" si="59"/>
        <v>2.6579999999999999</v>
      </c>
      <c r="BP14" s="239">
        <f t="shared" si="60"/>
        <v>2.8569999999999998</v>
      </c>
      <c r="BQ14" s="239">
        <f t="shared" si="61"/>
        <v>2.5350000000000015</v>
      </c>
      <c r="BR14" s="240">
        <f t="shared" si="62"/>
        <v>-2.100000000000001</v>
      </c>
      <c r="BS14" s="239">
        <f t="shared" si="63"/>
        <v>5.9499999999999993</v>
      </c>
      <c r="BT14" s="238">
        <f t="shared" si="64"/>
        <v>-0.81899999999999995</v>
      </c>
      <c r="BU14" s="239">
        <f t="shared" si="65"/>
        <v>3.3359999999999999</v>
      </c>
      <c r="BV14" s="239">
        <f t="shared" si="66"/>
        <v>1.016</v>
      </c>
      <c r="BW14" s="240">
        <f t="shared" si="67"/>
        <v>1.0489999999999999</v>
      </c>
      <c r="BX14" s="239">
        <f t="shared" si="68"/>
        <v>4.5819999999999999</v>
      </c>
      <c r="BY14" s="238">
        <f t="shared" si="69"/>
        <v>1.1240000000000001</v>
      </c>
      <c r="BZ14" s="239">
        <f t="shared" si="70"/>
        <v>1.5489999999999999</v>
      </c>
      <c r="CA14" s="239">
        <f t="shared" si="71"/>
        <v>1.6749999999999998</v>
      </c>
      <c r="CB14" s="240">
        <f t="shared" si="72"/>
        <v>0.72799999999999976</v>
      </c>
      <c r="CC14" s="239">
        <f t="shared" si="73"/>
        <v>5.0759999999999996</v>
      </c>
      <c r="CD14" s="238">
        <f t="shared" si="74"/>
        <v>1.7290000000000001</v>
      </c>
      <c r="CE14" s="239">
        <f t="shared" si="75"/>
        <v>1.7809999999999997</v>
      </c>
      <c r="CF14" s="239">
        <f t="shared" si="76"/>
        <v>2.4750000000000005</v>
      </c>
      <c r="CG14" s="240">
        <f t="shared" si="77"/>
        <v>-2.4140000000000001</v>
      </c>
      <c r="CH14" s="239">
        <f t="shared" si="78"/>
        <v>3.5710000000000002</v>
      </c>
      <c r="CI14" s="238">
        <f t="shared" si="79"/>
        <v>0</v>
      </c>
      <c r="CJ14" s="239">
        <f t="shared" si="80"/>
        <v>6.1970000000000001</v>
      </c>
      <c r="CK14" s="239">
        <f t="shared" si="81"/>
        <v>-3.319</v>
      </c>
      <c r="CL14" s="240">
        <f t="shared" si="82"/>
        <v>1.7969999999999997</v>
      </c>
      <c r="CM14" s="835">
        <f t="shared" si="83"/>
        <v>4.6749999999999998</v>
      </c>
      <c r="CN14" s="238">
        <f t="shared" si="84"/>
        <v>-4.9000000000000004</v>
      </c>
      <c r="CO14" s="239">
        <f t="shared" si="85"/>
        <v>3.5000000000000004</v>
      </c>
      <c r="CP14" s="239">
        <f t="shared" si="86"/>
        <v>9.8000000000000007</v>
      </c>
      <c r="CQ14" s="240">
        <f t="shared" si="87"/>
        <v>1.7999999999999985</v>
      </c>
      <c r="CR14" s="239">
        <f t="shared" si="88"/>
        <v>10.199999999999999</v>
      </c>
      <c r="CS14" s="238">
        <f t="shared" si="89"/>
        <v>5.4</v>
      </c>
      <c r="CT14" s="239">
        <f t="shared" si="90"/>
        <v>-1.4000000000000004</v>
      </c>
      <c r="CU14" s="239">
        <f t="shared" si="91"/>
        <v>5.1999999999999993</v>
      </c>
      <c r="CV14" s="239">
        <f t="shared" si="92"/>
        <v>2.8000000000000007</v>
      </c>
      <c r="CW14" s="835">
        <f t="shared" si="94"/>
        <v>12</v>
      </c>
      <c r="CX14" s="1051">
        <f t="shared" si="95"/>
        <v>9</v>
      </c>
      <c r="CY14" s="1037">
        <f t="shared" si="96"/>
        <v>8</v>
      </c>
      <c r="CZ14" s="1037">
        <f t="shared" si="97"/>
        <v>-5</v>
      </c>
      <c r="DA14" s="1110">
        <v>0</v>
      </c>
      <c r="DB14" s="1039">
        <f t="shared" si="98"/>
        <v>12</v>
      </c>
      <c r="DC14" s="1040">
        <v>0</v>
      </c>
      <c r="DD14" s="1040">
        <v>0</v>
      </c>
      <c r="DE14" s="1040">
        <v>0</v>
      </c>
      <c r="DF14" s="1040">
        <v>0</v>
      </c>
      <c r="DG14" s="1039">
        <f t="shared" si="99"/>
        <v>0</v>
      </c>
      <c r="DH14" s="1040">
        <v>0</v>
      </c>
      <c r="DI14" s="1040">
        <v>0</v>
      </c>
      <c r="DJ14" s="1040">
        <v>0</v>
      </c>
      <c r="DK14" s="1040">
        <v>0</v>
      </c>
      <c r="DL14" s="1039">
        <f t="shared" si="100"/>
        <v>0</v>
      </c>
      <c r="DM14" s="1040">
        <v>0</v>
      </c>
      <c r="DN14" s="1040">
        <v>0</v>
      </c>
      <c r="DO14" s="1040">
        <v>0</v>
      </c>
      <c r="DP14" s="1040">
        <v>0</v>
      </c>
      <c r="DQ14" s="1039">
        <f t="shared" si="101"/>
        <v>0</v>
      </c>
      <c r="DR14" s="4"/>
      <c r="DS14" s="112"/>
    </row>
    <row r="15" spans="1:160" ht="11.25" customHeight="1">
      <c r="A15" s="114"/>
      <c r="B15" s="3"/>
      <c r="C15" s="4" t="s">
        <v>78</v>
      </c>
      <c r="D15" s="4"/>
      <c r="E15" s="4"/>
      <c r="F15" s="4"/>
      <c r="G15" s="238">
        <f t="shared" si="93"/>
        <v>0.42599999999999999</v>
      </c>
      <c r="H15" s="239">
        <f t="shared" si="0"/>
        <v>0.82600000000000007</v>
      </c>
      <c r="I15" s="239">
        <f t="shared" si="1"/>
        <v>0.97099999999999986</v>
      </c>
      <c r="J15" s="240">
        <f t="shared" si="2"/>
        <v>1.2869999999999997</v>
      </c>
      <c r="K15" s="238">
        <f t="shared" si="3"/>
        <v>3.51</v>
      </c>
      <c r="L15" s="238">
        <f t="shared" si="4"/>
        <v>1.613</v>
      </c>
      <c r="M15" s="239">
        <f t="shared" si="5"/>
        <v>0.18700000000000006</v>
      </c>
      <c r="N15" s="239">
        <f t="shared" si="6"/>
        <v>0.6549999999999998</v>
      </c>
      <c r="O15" s="240">
        <f t="shared" si="7"/>
        <v>2.6890000000000005</v>
      </c>
      <c r="P15" s="239">
        <f t="shared" si="8"/>
        <v>5.1440000000000001</v>
      </c>
      <c r="Q15" s="238">
        <f t="shared" si="9"/>
        <v>1.669</v>
      </c>
      <c r="R15" s="239">
        <f t="shared" si="10"/>
        <v>2.629</v>
      </c>
      <c r="S15" s="239">
        <f t="shared" si="11"/>
        <v>1.8620000000000001</v>
      </c>
      <c r="T15" s="240">
        <f t="shared" si="12"/>
        <v>1.4390000000000001</v>
      </c>
      <c r="U15" s="239">
        <f t="shared" si="13"/>
        <v>7.5990000000000002</v>
      </c>
      <c r="V15" s="238">
        <f t="shared" si="14"/>
        <v>2.2360000000000002</v>
      </c>
      <c r="W15" s="239">
        <f t="shared" si="15"/>
        <v>3.6219999999999994</v>
      </c>
      <c r="X15" s="239">
        <f t="shared" si="16"/>
        <v>3.9179999999999997</v>
      </c>
      <c r="Y15" s="240">
        <f t="shared" si="17"/>
        <v>2.6480000000000001</v>
      </c>
      <c r="Z15" s="239">
        <f t="shared" si="18"/>
        <v>12.423999999999999</v>
      </c>
      <c r="AA15" s="238">
        <f t="shared" si="19"/>
        <v>0.93399999999999994</v>
      </c>
      <c r="AB15" s="239">
        <f t="shared" si="20"/>
        <v>2.6340000000000003</v>
      </c>
      <c r="AC15" s="239">
        <f t="shared" si="21"/>
        <v>2.9559999999999995</v>
      </c>
      <c r="AD15" s="240">
        <f t="shared" si="22"/>
        <v>5.5990000000000011</v>
      </c>
      <c r="AE15" s="239">
        <f t="shared" si="23"/>
        <v>12.123000000000001</v>
      </c>
      <c r="AF15" s="238">
        <f t="shared" si="24"/>
        <v>1.1879999999999999</v>
      </c>
      <c r="AG15" s="239">
        <f t="shared" si="25"/>
        <v>5.9569999999999999</v>
      </c>
      <c r="AH15" s="239">
        <f t="shared" si="26"/>
        <v>9.0319999999999983</v>
      </c>
      <c r="AI15" s="240">
        <f t="shared" si="27"/>
        <v>-4.8549999999999986</v>
      </c>
      <c r="AJ15" s="239">
        <f t="shared" si="28"/>
        <v>11.322000000000001</v>
      </c>
      <c r="AK15" s="238">
        <f t="shared" si="29"/>
        <v>2.7050000000000001</v>
      </c>
      <c r="AL15" s="239">
        <f t="shared" si="30"/>
        <v>12.611000000000001</v>
      </c>
      <c r="AM15" s="239">
        <f t="shared" si="31"/>
        <v>3.7719999999999967</v>
      </c>
      <c r="AN15" s="240">
        <f t="shared" si="32"/>
        <v>-4.6149999999999984</v>
      </c>
      <c r="AO15" s="239">
        <f t="shared" si="33"/>
        <v>14.472999999999999</v>
      </c>
      <c r="AP15" s="238">
        <f t="shared" si="34"/>
        <v>4.3359999999999994</v>
      </c>
      <c r="AQ15" s="239">
        <f t="shared" si="35"/>
        <v>5.2049999999999992</v>
      </c>
      <c r="AR15" s="239">
        <f t="shared" si="36"/>
        <v>7.6980000000000031</v>
      </c>
      <c r="AS15" s="240">
        <f t="shared" si="37"/>
        <v>-14.874000000000006</v>
      </c>
      <c r="AT15" s="239">
        <f t="shared" si="38"/>
        <v>2.3649999999999949</v>
      </c>
      <c r="AU15" s="238">
        <f t="shared" si="39"/>
        <v>6.4419999999999993</v>
      </c>
      <c r="AV15" s="239">
        <f t="shared" si="40"/>
        <v>7.5750000000000002</v>
      </c>
      <c r="AW15" s="239">
        <f t="shared" si="41"/>
        <v>10.122</v>
      </c>
      <c r="AX15" s="240">
        <f t="shared" si="42"/>
        <v>9.147000000000002</v>
      </c>
      <c r="AY15" s="239">
        <f t="shared" si="43"/>
        <v>33.286000000000001</v>
      </c>
      <c r="AZ15" s="238">
        <f t="shared" si="44"/>
        <v>4.2640000000000002</v>
      </c>
      <c r="BA15" s="239">
        <f t="shared" si="45"/>
        <v>4.6320000000000006</v>
      </c>
      <c r="BB15" s="239">
        <f t="shared" si="46"/>
        <v>13.64</v>
      </c>
      <c r="BC15" s="240">
        <f t="shared" si="47"/>
        <v>2.5250000000000021</v>
      </c>
      <c r="BD15" s="239">
        <f t="shared" si="48"/>
        <v>25.061000000000003</v>
      </c>
      <c r="BE15" s="238">
        <f t="shared" si="49"/>
        <v>-6.6689999999999996</v>
      </c>
      <c r="BF15" s="239">
        <f t="shared" si="50"/>
        <v>13.675000000000001</v>
      </c>
      <c r="BG15" s="239">
        <f t="shared" si="51"/>
        <v>2.8959999999999981</v>
      </c>
      <c r="BH15" s="240">
        <f t="shared" si="52"/>
        <v>-14.93</v>
      </c>
      <c r="BI15" s="239">
        <f t="shared" si="53"/>
        <v>-5.0280000000000005</v>
      </c>
      <c r="BJ15" s="238">
        <f t="shared" si="54"/>
        <v>3.9350000000000001</v>
      </c>
      <c r="BK15" s="239">
        <f t="shared" si="55"/>
        <v>-8.8019999999999996</v>
      </c>
      <c r="BL15" s="239">
        <f t="shared" si="56"/>
        <v>-12.796000000000001</v>
      </c>
      <c r="BM15" s="240">
        <f t="shared" si="57"/>
        <v>-8.9259999999999984</v>
      </c>
      <c r="BN15" s="239">
        <f t="shared" si="58"/>
        <v>-26.588999999999999</v>
      </c>
      <c r="BO15" s="238">
        <f t="shared" si="59"/>
        <v>23.326000000000001</v>
      </c>
      <c r="BP15" s="239">
        <f t="shared" si="60"/>
        <v>15.533999999999999</v>
      </c>
      <c r="BQ15" s="239">
        <f t="shared" si="61"/>
        <v>0.8609999999999971</v>
      </c>
      <c r="BR15" s="240">
        <f t="shared" si="62"/>
        <v>-91.63</v>
      </c>
      <c r="BS15" s="239">
        <f t="shared" si="63"/>
        <v>-51.908999999999999</v>
      </c>
      <c r="BT15" s="238">
        <f t="shared" si="64"/>
        <v>19.901</v>
      </c>
      <c r="BU15" s="239">
        <f t="shared" si="65"/>
        <v>-21.72</v>
      </c>
      <c r="BV15" s="239">
        <f t="shared" si="66"/>
        <v>-24.385000000000002</v>
      </c>
      <c r="BW15" s="240">
        <f t="shared" si="67"/>
        <v>17.605</v>
      </c>
      <c r="BX15" s="239">
        <f t="shared" si="68"/>
        <v>-8.5990000000000002</v>
      </c>
      <c r="BY15" s="238">
        <f t="shared" si="69"/>
        <v>-8.1820000000000004</v>
      </c>
      <c r="BZ15" s="239">
        <f t="shared" si="70"/>
        <v>25.311</v>
      </c>
      <c r="CA15" s="239">
        <f t="shared" si="71"/>
        <v>-79.018999999999991</v>
      </c>
      <c r="CB15" s="240">
        <f t="shared" si="72"/>
        <v>-56.018000000000015</v>
      </c>
      <c r="CC15" s="239">
        <f t="shared" si="73"/>
        <v>-117.90800000000002</v>
      </c>
      <c r="CD15" s="238">
        <f t="shared" si="74"/>
        <v>23.03</v>
      </c>
      <c r="CE15" s="239">
        <f t="shared" si="75"/>
        <v>-24.027000000000001</v>
      </c>
      <c r="CF15" s="239">
        <f t="shared" si="76"/>
        <v>-21.847000000000001</v>
      </c>
      <c r="CG15" s="240">
        <f t="shared" si="77"/>
        <v>-65.350000000000009</v>
      </c>
      <c r="CH15" s="239">
        <f t="shared" si="78"/>
        <v>-88.194000000000017</v>
      </c>
      <c r="CI15" s="238">
        <f t="shared" si="79"/>
        <v>0</v>
      </c>
      <c r="CJ15" s="239">
        <f t="shared" si="80"/>
        <v>2.44</v>
      </c>
      <c r="CK15" s="239">
        <f t="shared" si="81"/>
        <v>-45.812999999999995</v>
      </c>
      <c r="CL15" s="240">
        <f t="shared" si="82"/>
        <v>-56.207000000000001</v>
      </c>
      <c r="CM15" s="835">
        <f t="shared" si="83"/>
        <v>-99.58</v>
      </c>
      <c r="CN15" s="238">
        <f t="shared" si="84"/>
        <v>29</v>
      </c>
      <c r="CO15" s="239">
        <f t="shared" si="85"/>
        <v>-65.900000000000006</v>
      </c>
      <c r="CP15" s="239">
        <f t="shared" si="86"/>
        <v>-70.399999999999991</v>
      </c>
      <c r="CQ15" s="240">
        <f t="shared" si="87"/>
        <v>-18.799999999999997</v>
      </c>
      <c r="CR15" s="239">
        <f t="shared" si="88"/>
        <v>-126.1</v>
      </c>
      <c r="CS15" s="238">
        <f t="shared" si="89"/>
        <v>68.599999999999994</v>
      </c>
      <c r="CT15" s="239">
        <f t="shared" si="90"/>
        <v>-42.499999999999993</v>
      </c>
      <c r="CU15" s="239">
        <f t="shared" si="91"/>
        <v>-70.300000000000011</v>
      </c>
      <c r="CV15" s="239">
        <f t="shared" si="92"/>
        <v>-46.79999999999999</v>
      </c>
      <c r="CW15" s="835">
        <f t="shared" si="94"/>
        <v>-91</v>
      </c>
      <c r="CX15" s="1051">
        <f t="shared" si="95"/>
        <v>9</v>
      </c>
      <c r="CY15" s="1037">
        <f>+CY61-CX15</f>
        <v>-1</v>
      </c>
      <c r="CZ15" s="1037">
        <f t="shared" si="97"/>
        <v>-54</v>
      </c>
      <c r="DA15" s="1110">
        <v>0</v>
      </c>
      <c r="DB15" s="1039">
        <f t="shared" si="98"/>
        <v>-46</v>
      </c>
      <c r="DC15" s="1040">
        <v>0</v>
      </c>
      <c r="DD15" s="1040">
        <v>0</v>
      </c>
      <c r="DE15" s="1040">
        <v>0</v>
      </c>
      <c r="DF15" s="1040">
        <v>0</v>
      </c>
      <c r="DG15" s="1039">
        <f t="shared" si="99"/>
        <v>0</v>
      </c>
      <c r="DH15" s="1040">
        <v>0</v>
      </c>
      <c r="DI15" s="1040">
        <v>0</v>
      </c>
      <c r="DJ15" s="1040">
        <v>0</v>
      </c>
      <c r="DK15" s="1040">
        <v>0</v>
      </c>
      <c r="DL15" s="1039">
        <f t="shared" si="100"/>
        <v>0</v>
      </c>
      <c r="DM15" s="1040">
        <v>0</v>
      </c>
      <c r="DN15" s="1040">
        <v>0</v>
      </c>
      <c r="DO15" s="1040">
        <v>0</v>
      </c>
      <c r="DP15" s="1040">
        <v>0</v>
      </c>
      <c r="DQ15" s="1039">
        <f t="shared" si="101"/>
        <v>0</v>
      </c>
      <c r="DR15" s="4"/>
      <c r="DS15" s="112"/>
    </row>
    <row r="16" spans="1:160" ht="11.25" customHeight="1">
      <c r="A16" s="114"/>
      <c r="B16" s="3"/>
      <c r="C16" s="4" t="s">
        <v>79</v>
      </c>
      <c r="D16" s="4"/>
      <c r="E16" s="4"/>
      <c r="F16" s="4"/>
      <c r="G16" s="14">
        <f t="shared" si="93"/>
        <v>0</v>
      </c>
      <c r="H16" s="15">
        <f t="shared" si="0"/>
        <v>0</v>
      </c>
      <c r="I16" s="239">
        <f t="shared" si="1"/>
        <v>0</v>
      </c>
      <c r="J16" s="240">
        <f t="shared" si="2"/>
        <v>0</v>
      </c>
      <c r="K16" s="14">
        <f t="shared" si="3"/>
        <v>0</v>
      </c>
      <c r="L16" s="14">
        <f t="shared" si="4"/>
        <v>0</v>
      </c>
      <c r="M16" s="15">
        <f t="shared" si="5"/>
        <v>0</v>
      </c>
      <c r="N16" s="239">
        <f t="shared" si="6"/>
        <v>0</v>
      </c>
      <c r="O16" s="240">
        <f t="shared" si="7"/>
        <v>0</v>
      </c>
      <c r="P16" s="15">
        <f t="shared" si="8"/>
        <v>0</v>
      </c>
      <c r="Q16" s="14">
        <f t="shared" si="9"/>
        <v>0</v>
      </c>
      <c r="R16" s="15">
        <f t="shared" si="10"/>
        <v>0</v>
      </c>
      <c r="S16" s="239">
        <f t="shared" si="11"/>
        <v>0</v>
      </c>
      <c r="T16" s="240">
        <f t="shared" si="12"/>
        <v>0</v>
      </c>
      <c r="U16" s="15">
        <f t="shared" si="13"/>
        <v>0</v>
      </c>
      <c r="V16" s="14">
        <f t="shared" si="14"/>
        <v>0</v>
      </c>
      <c r="W16" s="15">
        <f t="shared" si="15"/>
        <v>0</v>
      </c>
      <c r="X16" s="239">
        <f t="shared" si="16"/>
        <v>0</v>
      </c>
      <c r="Y16" s="240">
        <f t="shared" si="17"/>
        <v>0</v>
      </c>
      <c r="Z16" s="15">
        <f t="shared" si="18"/>
        <v>0</v>
      </c>
      <c r="AA16" s="14">
        <f t="shared" si="19"/>
        <v>0</v>
      </c>
      <c r="AB16" s="15">
        <f t="shared" si="20"/>
        <v>0</v>
      </c>
      <c r="AC16" s="239">
        <f t="shared" si="21"/>
        <v>0</v>
      </c>
      <c r="AD16" s="240">
        <f t="shared" si="22"/>
        <v>0</v>
      </c>
      <c r="AE16" s="15">
        <f t="shared" si="23"/>
        <v>0</v>
      </c>
      <c r="AF16" s="14">
        <f t="shared" si="24"/>
        <v>0</v>
      </c>
      <c r="AG16" s="15">
        <f t="shared" si="25"/>
        <v>0</v>
      </c>
      <c r="AH16" s="239">
        <f t="shared" si="26"/>
        <v>0</v>
      </c>
      <c r="AI16" s="240">
        <f t="shared" si="27"/>
        <v>0</v>
      </c>
      <c r="AJ16" s="15">
        <f t="shared" si="28"/>
        <v>0</v>
      </c>
      <c r="AK16" s="14">
        <f t="shared" si="29"/>
        <v>0</v>
      </c>
      <c r="AL16" s="15">
        <f t="shared" si="30"/>
        <v>0</v>
      </c>
      <c r="AM16" s="239">
        <f t="shared" si="31"/>
        <v>0</v>
      </c>
      <c r="AN16" s="240">
        <f t="shared" si="32"/>
        <v>0</v>
      </c>
      <c r="AO16" s="15">
        <f t="shared" si="33"/>
        <v>0</v>
      </c>
      <c r="AP16" s="14">
        <f t="shared" si="34"/>
        <v>0</v>
      </c>
      <c r="AQ16" s="15">
        <f t="shared" si="35"/>
        <v>0</v>
      </c>
      <c r="AR16" s="239">
        <f t="shared" si="36"/>
        <v>0</v>
      </c>
      <c r="AS16" s="240">
        <f t="shared" si="37"/>
        <v>0</v>
      </c>
      <c r="AT16" s="15">
        <f t="shared" si="38"/>
        <v>0</v>
      </c>
      <c r="AU16" s="14">
        <f t="shared" si="39"/>
        <v>7.6020000000000003</v>
      </c>
      <c r="AV16" s="15">
        <f t="shared" si="40"/>
        <v>6.7690000000000001</v>
      </c>
      <c r="AW16" s="239">
        <f t="shared" si="41"/>
        <v>7.4700000000000006</v>
      </c>
      <c r="AX16" s="240">
        <f t="shared" si="42"/>
        <v>8.0929999999999982</v>
      </c>
      <c r="AY16" s="15">
        <f t="shared" si="43"/>
        <v>29.933999999999997</v>
      </c>
      <c r="AZ16" s="14">
        <f t="shared" si="44"/>
        <v>7.4379999999999997</v>
      </c>
      <c r="BA16" s="15">
        <f t="shared" si="45"/>
        <v>9.5120000000000005</v>
      </c>
      <c r="BB16" s="239">
        <f t="shared" si="46"/>
        <v>9.1550000000000011</v>
      </c>
      <c r="BC16" s="240">
        <f t="shared" si="47"/>
        <v>9.8109999999999964</v>
      </c>
      <c r="BD16" s="15">
        <f t="shared" si="48"/>
        <v>35.915999999999997</v>
      </c>
      <c r="BE16" s="14">
        <f t="shared" si="49"/>
        <v>12.984</v>
      </c>
      <c r="BF16" s="15">
        <f t="shared" si="50"/>
        <v>10.464</v>
      </c>
      <c r="BG16" s="239">
        <f t="shared" si="51"/>
        <v>9.5090000000000021</v>
      </c>
      <c r="BH16" s="240">
        <f t="shared" si="52"/>
        <v>10.943</v>
      </c>
      <c r="BI16" s="15">
        <f t="shared" si="53"/>
        <v>43.9</v>
      </c>
      <c r="BJ16" s="14">
        <f t="shared" si="54"/>
        <v>11.763</v>
      </c>
      <c r="BK16" s="15">
        <f t="shared" si="55"/>
        <v>8.386000000000001</v>
      </c>
      <c r="BL16" s="239">
        <f t="shared" si="56"/>
        <v>11.856</v>
      </c>
      <c r="BM16" s="240">
        <f t="shared" si="57"/>
        <v>12.810999999999998</v>
      </c>
      <c r="BN16" s="15">
        <f t="shared" si="58"/>
        <v>44.816000000000003</v>
      </c>
      <c r="BO16" s="14">
        <f t="shared" si="59"/>
        <v>13.945</v>
      </c>
      <c r="BP16" s="15">
        <f t="shared" si="60"/>
        <v>13.989999999999998</v>
      </c>
      <c r="BQ16" s="239">
        <f t="shared" si="61"/>
        <v>14.108999999999998</v>
      </c>
      <c r="BR16" s="240">
        <f t="shared" si="62"/>
        <v>14.940000000000001</v>
      </c>
      <c r="BS16" s="15">
        <f t="shared" si="63"/>
        <v>56.983999999999995</v>
      </c>
      <c r="BT16" s="14">
        <f t="shared" si="64"/>
        <v>16.065000000000001</v>
      </c>
      <c r="BU16" s="15">
        <f t="shared" si="65"/>
        <v>23.678999999999998</v>
      </c>
      <c r="BV16" s="239">
        <f t="shared" si="66"/>
        <v>24.499999999999996</v>
      </c>
      <c r="BW16" s="240">
        <f t="shared" si="67"/>
        <v>25.987999999999996</v>
      </c>
      <c r="BX16" s="15">
        <f t="shared" si="68"/>
        <v>90.231999999999999</v>
      </c>
      <c r="BY16" s="14">
        <f t="shared" si="69"/>
        <v>31.379000000000001</v>
      </c>
      <c r="BZ16" s="15">
        <f t="shared" si="70"/>
        <v>26.270999999999997</v>
      </c>
      <c r="CA16" s="239">
        <f t="shared" si="71"/>
        <v>22.260999999999999</v>
      </c>
      <c r="CB16" s="240">
        <f t="shared" si="72"/>
        <v>27.444000000000006</v>
      </c>
      <c r="CC16" s="15">
        <f t="shared" si="73"/>
        <v>107.355</v>
      </c>
      <c r="CD16" s="14">
        <f t="shared" si="74"/>
        <v>29.093</v>
      </c>
      <c r="CE16" s="15">
        <f t="shared" si="75"/>
        <v>30.236999999999998</v>
      </c>
      <c r="CF16" s="239">
        <f t="shared" si="76"/>
        <v>27.023</v>
      </c>
      <c r="CG16" s="240">
        <f t="shared" si="77"/>
        <v>32.447000000000003</v>
      </c>
      <c r="CH16" s="15">
        <f t="shared" si="78"/>
        <v>118.8</v>
      </c>
      <c r="CI16" s="14">
        <f t="shared" si="79"/>
        <v>35.817</v>
      </c>
      <c r="CJ16" s="15">
        <f t="shared" si="80"/>
        <v>33.533999999999999</v>
      </c>
      <c r="CK16" s="239">
        <f t="shared" si="81"/>
        <v>31.270999999999994</v>
      </c>
      <c r="CL16" s="240">
        <f t="shared" si="82"/>
        <v>34.20300000000001</v>
      </c>
      <c r="CM16" s="352">
        <f t="shared" si="83"/>
        <v>134.82499999999999</v>
      </c>
      <c r="CN16" s="14">
        <f t="shared" si="84"/>
        <v>45.8</v>
      </c>
      <c r="CO16" s="239">
        <f t="shared" si="85"/>
        <v>49.400000000000006</v>
      </c>
      <c r="CP16" s="239">
        <f t="shared" si="86"/>
        <v>46.399999999999991</v>
      </c>
      <c r="CQ16" s="240">
        <f t="shared" si="87"/>
        <v>50.40000000000002</v>
      </c>
      <c r="CR16" s="239">
        <f t="shared" si="88"/>
        <v>192</v>
      </c>
      <c r="CS16" s="14">
        <f t="shared" si="89"/>
        <v>53.5</v>
      </c>
      <c r="CT16" s="239">
        <f t="shared" si="90"/>
        <v>62.2</v>
      </c>
      <c r="CU16" s="239">
        <f t="shared" si="91"/>
        <v>49.7</v>
      </c>
      <c r="CV16" s="239">
        <f t="shared" si="92"/>
        <v>51.600000000000009</v>
      </c>
      <c r="CW16" s="835">
        <f t="shared" si="94"/>
        <v>217</v>
      </c>
      <c r="CX16" s="1052">
        <f t="shared" si="95"/>
        <v>54</v>
      </c>
      <c r="CY16" s="1037">
        <f t="shared" si="96"/>
        <v>55</v>
      </c>
      <c r="CZ16" s="1037">
        <f t="shared" si="97"/>
        <v>52</v>
      </c>
      <c r="DA16" s="1109">
        <f>IS!DA55</f>
        <v>60</v>
      </c>
      <c r="DB16" s="1039">
        <f t="shared" si="98"/>
        <v>221</v>
      </c>
      <c r="DC16" s="1037">
        <f>IS!DC55</f>
        <v>58.074375000000003</v>
      </c>
      <c r="DD16" s="1037">
        <f>IS!DD55</f>
        <v>60.136200000000002</v>
      </c>
      <c r="DE16" s="1037">
        <f>IS!DE55</f>
        <v>61.498200000000004</v>
      </c>
      <c r="DF16" s="1037">
        <f>IS!DF55</f>
        <v>62.528100000000002</v>
      </c>
      <c r="DG16" s="1039">
        <f t="shared" si="99"/>
        <v>242.236875</v>
      </c>
      <c r="DH16" s="1037">
        <f>IS!DH55</f>
        <v>62.684589375000002</v>
      </c>
      <c r="DI16" s="1037">
        <f>IS!DI55</f>
        <v>64.933827749999992</v>
      </c>
      <c r="DJ16" s="1037">
        <f>IS!DJ55</f>
        <v>66.41184075000001</v>
      </c>
      <c r="DK16" s="1037">
        <f>IS!DK55</f>
        <v>67.45154100000002</v>
      </c>
      <c r="DL16" s="1039">
        <f t="shared" si="100"/>
        <v>261.48179887500004</v>
      </c>
      <c r="DM16" s="1037">
        <f>IS!DM55</f>
        <v>67.725858796875002</v>
      </c>
      <c r="DN16" s="1037">
        <f>IS!DN55</f>
        <v>69.995676870000011</v>
      </c>
      <c r="DO16" s="1037">
        <f>IS!DO55</f>
        <v>71.693318313750012</v>
      </c>
      <c r="DP16" s="1037">
        <f>IS!DP55</f>
        <v>72.73534776000001</v>
      </c>
      <c r="DQ16" s="1039">
        <f t="shared" si="101"/>
        <v>282.15020174062505</v>
      </c>
      <c r="DR16" s="4"/>
      <c r="DS16" s="112"/>
    </row>
    <row r="17" spans="1:129" ht="11.25" customHeight="1">
      <c r="A17" s="114"/>
      <c r="B17" s="3"/>
      <c r="C17" s="4" t="s">
        <v>80</v>
      </c>
      <c r="D17" s="4"/>
      <c r="E17" s="4"/>
      <c r="F17" s="4"/>
      <c r="G17" s="14">
        <f t="shared" si="93"/>
        <v>0</v>
      </c>
      <c r="H17" s="15">
        <f t="shared" si="0"/>
        <v>0</v>
      </c>
      <c r="I17" s="239">
        <f t="shared" si="1"/>
        <v>0</v>
      </c>
      <c r="J17" s="240">
        <f t="shared" si="2"/>
        <v>0</v>
      </c>
      <c r="K17" s="14">
        <f t="shared" si="3"/>
        <v>0</v>
      </c>
      <c r="L17" s="14">
        <f t="shared" si="4"/>
        <v>0</v>
      </c>
      <c r="M17" s="15">
        <f t="shared" si="5"/>
        <v>0</v>
      </c>
      <c r="N17" s="239">
        <f t="shared" si="6"/>
        <v>0</v>
      </c>
      <c r="O17" s="240">
        <f t="shared" si="7"/>
        <v>0</v>
      </c>
      <c r="P17" s="15">
        <f t="shared" si="8"/>
        <v>0</v>
      </c>
      <c r="Q17" s="14">
        <f t="shared" si="9"/>
        <v>0</v>
      </c>
      <c r="R17" s="15">
        <f t="shared" si="10"/>
        <v>0</v>
      </c>
      <c r="S17" s="239">
        <f t="shared" si="11"/>
        <v>0</v>
      </c>
      <c r="T17" s="240">
        <f t="shared" si="12"/>
        <v>0</v>
      </c>
      <c r="U17" s="15">
        <f t="shared" si="13"/>
        <v>0</v>
      </c>
      <c r="V17" s="14">
        <f t="shared" si="14"/>
        <v>0</v>
      </c>
      <c r="W17" s="15">
        <f t="shared" si="15"/>
        <v>0</v>
      </c>
      <c r="X17" s="239">
        <f t="shared" si="16"/>
        <v>0</v>
      </c>
      <c r="Y17" s="240">
        <f t="shared" si="17"/>
        <v>0</v>
      </c>
      <c r="Z17" s="15">
        <f t="shared" si="18"/>
        <v>0</v>
      </c>
      <c r="AA17" s="14">
        <f t="shared" si="19"/>
        <v>0</v>
      </c>
      <c r="AB17" s="15">
        <f t="shared" si="20"/>
        <v>0</v>
      </c>
      <c r="AC17" s="239">
        <f t="shared" si="21"/>
        <v>0</v>
      </c>
      <c r="AD17" s="240">
        <f t="shared" si="22"/>
        <v>0</v>
      </c>
      <c r="AE17" s="15">
        <f t="shared" si="23"/>
        <v>0</v>
      </c>
      <c r="AF17" s="14">
        <f t="shared" si="24"/>
        <v>0</v>
      </c>
      <c r="AG17" s="15">
        <f t="shared" si="25"/>
        <v>0</v>
      </c>
      <c r="AH17" s="239">
        <f t="shared" si="26"/>
        <v>0</v>
      </c>
      <c r="AI17" s="240">
        <f t="shared" si="27"/>
        <v>0</v>
      </c>
      <c r="AJ17" s="15">
        <f t="shared" si="28"/>
        <v>0</v>
      </c>
      <c r="AK17" s="14">
        <f t="shared" si="29"/>
        <v>0</v>
      </c>
      <c r="AL17" s="15">
        <f t="shared" si="30"/>
        <v>0</v>
      </c>
      <c r="AM17" s="239">
        <f t="shared" si="31"/>
        <v>0</v>
      </c>
      <c r="AN17" s="240">
        <f t="shared" si="32"/>
        <v>0</v>
      </c>
      <c r="AO17" s="15">
        <f t="shared" si="33"/>
        <v>0</v>
      </c>
      <c r="AP17" s="14">
        <f t="shared" si="34"/>
        <v>0</v>
      </c>
      <c r="AQ17" s="15">
        <f t="shared" si="35"/>
        <v>0</v>
      </c>
      <c r="AR17" s="239">
        <f t="shared" si="36"/>
        <v>0</v>
      </c>
      <c r="AS17" s="240">
        <f t="shared" si="37"/>
        <v>0</v>
      </c>
      <c r="AT17" s="15">
        <f t="shared" si="38"/>
        <v>0</v>
      </c>
      <c r="AU17" s="14">
        <f t="shared" si="39"/>
        <v>-9.08</v>
      </c>
      <c r="AV17" s="15">
        <f t="shared" si="40"/>
        <v>-5.4830000000000005</v>
      </c>
      <c r="AW17" s="239">
        <f t="shared" si="41"/>
        <v>-8.1210000000000004</v>
      </c>
      <c r="AX17" s="240">
        <f t="shared" si="42"/>
        <v>-10.565</v>
      </c>
      <c r="AY17" s="15">
        <f t="shared" si="43"/>
        <v>-33.249000000000002</v>
      </c>
      <c r="AZ17" s="14">
        <f t="shared" si="44"/>
        <v>-20.494</v>
      </c>
      <c r="BA17" s="15">
        <f t="shared" si="45"/>
        <v>-9.907</v>
      </c>
      <c r="BB17" s="239">
        <f t="shared" si="46"/>
        <v>-6.1020000000000003</v>
      </c>
      <c r="BC17" s="240">
        <f t="shared" si="47"/>
        <v>-5.7619999999999969</v>
      </c>
      <c r="BD17" s="15">
        <f t="shared" si="48"/>
        <v>-42.265000000000001</v>
      </c>
      <c r="BE17" s="14">
        <f t="shared" si="49"/>
        <v>-4.0419999999999998</v>
      </c>
      <c r="BF17" s="15">
        <f t="shared" si="50"/>
        <v>-11.115</v>
      </c>
      <c r="BG17" s="239">
        <f t="shared" si="51"/>
        <v>-1.1020000000000003</v>
      </c>
      <c r="BH17" s="240">
        <f t="shared" si="52"/>
        <v>-0.73399999999999821</v>
      </c>
      <c r="BI17" s="15">
        <f t="shared" si="53"/>
        <v>-16.992999999999999</v>
      </c>
      <c r="BJ17" s="14">
        <f t="shared" si="54"/>
        <v>-1.819</v>
      </c>
      <c r="BK17" s="15">
        <f t="shared" si="55"/>
        <v>-3.3319999999999999</v>
      </c>
      <c r="BL17" s="239">
        <f t="shared" si="56"/>
        <v>-7.2499999999999991</v>
      </c>
      <c r="BM17" s="240">
        <f t="shared" si="57"/>
        <v>-19.155000000000001</v>
      </c>
      <c r="BN17" s="15">
        <f t="shared" si="58"/>
        <v>-31.556000000000001</v>
      </c>
      <c r="BO17" s="14">
        <f t="shared" si="59"/>
        <v>-15.753</v>
      </c>
      <c r="BP17" s="15">
        <f t="shared" si="60"/>
        <v>-12.658000000000001</v>
      </c>
      <c r="BQ17" s="239">
        <f t="shared" si="61"/>
        <v>-31.085999999999999</v>
      </c>
      <c r="BR17" s="240">
        <f t="shared" si="62"/>
        <v>-12.421999999999997</v>
      </c>
      <c r="BS17" s="15">
        <f t="shared" si="63"/>
        <v>-71.918999999999997</v>
      </c>
      <c r="BT17" s="14">
        <f t="shared" si="64"/>
        <v>-15.792</v>
      </c>
      <c r="BU17" s="15">
        <f t="shared" si="65"/>
        <v>-6.2490000000000006</v>
      </c>
      <c r="BV17" s="239">
        <f t="shared" si="66"/>
        <v>-8.9249999999999989</v>
      </c>
      <c r="BW17" s="240">
        <f t="shared" si="67"/>
        <v>-8.1749999999999989</v>
      </c>
      <c r="BX17" s="15">
        <f t="shared" si="68"/>
        <v>-39.140999999999998</v>
      </c>
      <c r="BY17" s="14">
        <f t="shared" si="69"/>
        <v>-12.746</v>
      </c>
      <c r="BZ17" s="15">
        <f t="shared" si="70"/>
        <v>-3.1069999999999993</v>
      </c>
      <c r="CA17" s="239">
        <f t="shared" si="71"/>
        <v>-9.1070000000000011</v>
      </c>
      <c r="CB17" s="240">
        <f t="shared" si="72"/>
        <v>-23.412999999999997</v>
      </c>
      <c r="CC17" s="15">
        <f t="shared" si="73"/>
        <v>-48.372999999999998</v>
      </c>
      <c r="CD17" s="14">
        <f t="shared" si="74"/>
        <v>-7.49</v>
      </c>
      <c r="CE17" s="15">
        <f t="shared" si="75"/>
        <v>-1.9919999999999991</v>
      </c>
      <c r="CF17" s="239">
        <f t="shared" si="76"/>
        <v>-6.968</v>
      </c>
      <c r="CG17" s="240">
        <f t="shared" si="77"/>
        <v>-14.131000000000002</v>
      </c>
      <c r="CH17" s="15">
        <f t="shared" si="78"/>
        <v>-30.581000000000003</v>
      </c>
      <c r="CI17" s="14">
        <f t="shared" si="79"/>
        <v>0</v>
      </c>
      <c r="CJ17" s="15">
        <f t="shared" si="80"/>
        <v>-12.034000000000001</v>
      </c>
      <c r="CK17" s="239">
        <f t="shared" si="81"/>
        <v>-2.5129999999999999</v>
      </c>
      <c r="CL17" s="240">
        <f t="shared" si="82"/>
        <v>-9.0020000000000007</v>
      </c>
      <c r="CM17" s="352">
        <f t="shared" si="83"/>
        <v>-23.548999999999999</v>
      </c>
      <c r="CN17" s="14">
        <f t="shared" si="84"/>
        <v>-7.5</v>
      </c>
      <c r="CO17" s="239">
        <f t="shared" si="85"/>
        <v>-7.8000000000000007</v>
      </c>
      <c r="CP17" s="239">
        <f t="shared" si="86"/>
        <v>-3.6999999999999993</v>
      </c>
      <c r="CQ17" s="240">
        <f t="shared" si="87"/>
        <v>-14.700000000000003</v>
      </c>
      <c r="CR17" s="239">
        <f t="shared" si="88"/>
        <v>-33.700000000000003</v>
      </c>
      <c r="CS17" s="14">
        <f t="shared" si="89"/>
        <v>-3.2</v>
      </c>
      <c r="CT17" s="239">
        <f t="shared" si="90"/>
        <v>-6.9999999999999991</v>
      </c>
      <c r="CU17" s="239">
        <f t="shared" si="91"/>
        <v>-8.8000000000000007</v>
      </c>
      <c r="CV17" s="239">
        <f t="shared" si="92"/>
        <v>-4.9999999999999991</v>
      </c>
      <c r="CW17" s="835">
        <f t="shared" si="94"/>
        <v>-24</v>
      </c>
      <c r="CX17" s="1052">
        <f t="shared" si="95"/>
        <v>0</v>
      </c>
      <c r="CY17" s="1037">
        <f t="shared" si="96"/>
        <v>0</v>
      </c>
      <c r="CZ17" s="1037">
        <f t="shared" si="97"/>
        <v>0</v>
      </c>
      <c r="DA17" s="1110">
        <v>0</v>
      </c>
      <c r="DB17" s="1039">
        <f t="shared" si="98"/>
        <v>0</v>
      </c>
      <c r="DC17" s="1040">
        <v>0</v>
      </c>
      <c r="DD17" s="1040">
        <v>0</v>
      </c>
      <c r="DE17" s="1040">
        <v>0</v>
      </c>
      <c r="DF17" s="1040">
        <v>0</v>
      </c>
      <c r="DG17" s="1039">
        <f t="shared" si="99"/>
        <v>0</v>
      </c>
      <c r="DH17" s="1040">
        <v>0</v>
      </c>
      <c r="DI17" s="1040">
        <v>0</v>
      </c>
      <c r="DJ17" s="1040">
        <v>0</v>
      </c>
      <c r="DK17" s="1040">
        <v>0</v>
      </c>
      <c r="DL17" s="1039">
        <f t="shared" si="100"/>
        <v>0</v>
      </c>
      <c r="DM17" s="1040">
        <v>0</v>
      </c>
      <c r="DN17" s="1040">
        <v>0</v>
      </c>
      <c r="DO17" s="1040">
        <v>0</v>
      </c>
      <c r="DP17" s="1040">
        <v>0</v>
      </c>
      <c r="DQ17" s="1039">
        <f t="shared" si="101"/>
        <v>0</v>
      </c>
      <c r="DR17" s="4"/>
      <c r="DS17" s="112"/>
    </row>
    <row r="18" spans="1:129" ht="11.25" customHeight="1">
      <c r="A18" s="114"/>
      <c r="B18" s="3"/>
      <c r="C18" s="4" t="s">
        <v>7</v>
      </c>
      <c r="D18" s="4"/>
      <c r="E18" s="4"/>
      <c r="F18" s="4"/>
      <c r="G18" s="14">
        <f t="shared" si="93"/>
        <v>0</v>
      </c>
      <c r="H18" s="15">
        <f t="shared" si="0"/>
        <v>0</v>
      </c>
      <c r="I18" s="239">
        <f t="shared" si="1"/>
        <v>0</v>
      </c>
      <c r="J18" s="240">
        <f t="shared" si="2"/>
        <v>2.1999999999999999E-2</v>
      </c>
      <c r="K18" s="14">
        <f t="shared" si="3"/>
        <v>2.1999999999999999E-2</v>
      </c>
      <c r="L18" s="14">
        <f t="shared" si="4"/>
        <v>0</v>
      </c>
      <c r="M18" s="15">
        <f t="shared" si="5"/>
        <v>0</v>
      </c>
      <c r="N18" s="239">
        <f t="shared" si="6"/>
        <v>0</v>
      </c>
      <c r="O18" s="240">
        <f t="shared" si="7"/>
        <v>0</v>
      </c>
      <c r="P18" s="15">
        <f t="shared" si="8"/>
        <v>0</v>
      </c>
      <c r="Q18" s="14">
        <f t="shared" si="9"/>
        <v>0</v>
      </c>
      <c r="R18" s="15">
        <f t="shared" si="10"/>
        <v>0</v>
      </c>
      <c r="S18" s="239">
        <f t="shared" si="11"/>
        <v>0</v>
      </c>
      <c r="T18" s="240">
        <f t="shared" si="12"/>
        <v>0</v>
      </c>
      <c r="U18" s="15">
        <f t="shared" si="13"/>
        <v>0</v>
      </c>
      <c r="V18" s="14">
        <f t="shared" si="14"/>
        <v>0</v>
      </c>
      <c r="W18" s="15">
        <f t="shared" si="15"/>
        <v>0</v>
      </c>
      <c r="X18" s="239">
        <f t="shared" si="16"/>
        <v>0</v>
      </c>
      <c r="Y18" s="240">
        <f t="shared" si="17"/>
        <v>1.9550000000000001</v>
      </c>
      <c r="Z18" s="15">
        <f t="shared" si="18"/>
        <v>1.9550000000000001</v>
      </c>
      <c r="AA18" s="14">
        <f t="shared" si="19"/>
        <v>0</v>
      </c>
      <c r="AB18" s="15">
        <f t="shared" si="20"/>
        <v>0</v>
      </c>
      <c r="AC18" s="239">
        <f t="shared" si="21"/>
        <v>0</v>
      </c>
      <c r="AD18" s="240">
        <f t="shared" si="22"/>
        <v>1.68</v>
      </c>
      <c r="AE18" s="15">
        <f t="shared" si="23"/>
        <v>1.68</v>
      </c>
      <c r="AF18" s="14">
        <f t="shared" si="24"/>
        <v>2.0099999999999998</v>
      </c>
      <c r="AG18" s="15">
        <f t="shared" si="25"/>
        <v>0</v>
      </c>
      <c r="AH18" s="239">
        <f t="shared" si="26"/>
        <v>0</v>
      </c>
      <c r="AI18" s="240">
        <f t="shared" si="27"/>
        <v>0</v>
      </c>
      <c r="AJ18" s="15">
        <f t="shared" si="28"/>
        <v>2.0099999999999998</v>
      </c>
      <c r="AK18" s="14">
        <f t="shared" si="29"/>
        <v>0</v>
      </c>
      <c r="AL18" s="15">
        <f t="shared" si="30"/>
        <v>0</v>
      </c>
      <c r="AM18" s="239">
        <f t="shared" si="31"/>
        <v>0</v>
      </c>
      <c r="AN18" s="240">
        <f t="shared" si="32"/>
        <v>0</v>
      </c>
      <c r="AO18" s="15">
        <f t="shared" si="33"/>
        <v>0</v>
      </c>
      <c r="AP18" s="14">
        <f t="shared" si="34"/>
        <v>0</v>
      </c>
      <c r="AQ18" s="15">
        <f t="shared" si="35"/>
        <v>0</v>
      </c>
      <c r="AR18" s="239">
        <f t="shared" si="36"/>
        <v>0</v>
      </c>
      <c r="AS18" s="240">
        <f t="shared" si="37"/>
        <v>0</v>
      </c>
      <c r="AT18" s="15">
        <f t="shared" si="38"/>
        <v>0</v>
      </c>
      <c r="AU18" s="14">
        <f t="shared" si="39"/>
        <v>0</v>
      </c>
      <c r="AV18" s="15">
        <f t="shared" si="40"/>
        <v>0</v>
      </c>
      <c r="AW18" s="239">
        <f t="shared" si="41"/>
        <v>0</v>
      </c>
      <c r="AX18" s="240">
        <f t="shared" si="42"/>
        <v>0</v>
      </c>
      <c r="AY18" s="15">
        <f t="shared" si="43"/>
        <v>0</v>
      </c>
      <c r="AZ18" s="14">
        <f t="shared" si="44"/>
        <v>0</v>
      </c>
      <c r="BA18" s="15">
        <f t="shared" si="45"/>
        <v>0</v>
      </c>
      <c r="BB18" s="239">
        <f t="shared" si="46"/>
        <v>0</v>
      </c>
      <c r="BC18" s="240">
        <f t="shared" si="47"/>
        <v>0</v>
      </c>
      <c r="BD18" s="15">
        <f t="shared" si="48"/>
        <v>0</v>
      </c>
      <c r="BE18" s="14">
        <f t="shared" si="49"/>
        <v>0</v>
      </c>
      <c r="BF18" s="15">
        <f t="shared" si="50"/>
        <v>0</v>
      </c>
      <c r="BG18" s="239">
        <f t="shared" si="51"/>
        <v>0</v>
      </c>
      <c r="BH18" s="240">
        <f t="shared" si="52"/>
        <v>2.5870000000000002</v>
      </c>
      <c r="BI18" s="15">
        <f t="shared" si="53"/>
        <v>2.5870000000000002</v>
      </c>
      <c r="BJ18" s="14">
        <f t="shared" si="54"/>
        <v>0.67500000000000004</v>
      </c>
      <c r="BK18" s="15">
        <f t="shared" si="55"/>
        <v>3.0000000000000027E-3</v>
      </c>
      <c r="BL18" s="239">
        <f t="shared" si="56"/>
        <v>-1.5580000000000001</v>
      </c>
      <c r="BM18" s="240">
        <f t="shared" si="57"/>
        <v>-5.2210000000000001</v>
      </c>
      <c r="BN18" s="15">
        <f t="shared" si="58"/>
        <v>-6.101</v>
      </c>
      <c r="BO18" s="14">
        <f t="shared" si="59"/>
        <v>-10.162000000000001</v>
      </c>
      <c r="BP18" s="15">
        <f t="shared" si="60"/>
        <v>9.3630000000000013</v>
      </c>
      <c r="BQ18" s="239">
        <f t="shared" si="61"/>
        <v>-8.6870000000000029</v>
      </c>
      <c r="BR18" s="240">
        <f t="shared" si="62"/>
        <v>1.8880000000000035</v>
      </c>
      <c r="BS18" s="15">
        <f t="shared" si="63"/>
        <v>-7.597999999999999</v>
      </c>
      <c r="BT18" s="14">
        <f t="shared" si="64"/>
        <v>0.24</v>
      </c>
      <c r="BU18" s="15">
        <f t="shared" si="65"/>
        <v>-7.5999999999999984E-2</v>
      </c>
      <c r="BV18" s="239">
        <f t="shared" si="66"/>
        <v>23.855</v>
      </c>
      <c r="BW18" s="240">
        <f t="shared" si="67"/>
        <v>22.017000000000003</v>
      </c>
      <c r="BX18" s="15">
        <f t="shared" si="68"/>
        <v>46.036000000000001</v>
      </c>
      <c r="BY18" s="14">
        <f t="shared" si="69"/>
        <v>-13.4</v>
      </c>
      <c r="BZ18" s="15">
        <f t="shared" si="70"/>
        <v>11.636000000000001</v>
      </c>
      <c r="CA18" s="239">
        <f t="shared" si="71"/>
        <v>-2.6180000000000003</v>
      </c>
      <c r="CB18" s="240">
        <f t="shared" si="72"/>
        <v>6.8810000000000002</v>
      </c>
      <c r="CC18" s="15">
        <f t="shared" si="73"/>
        <v>2.4990000000000006</v>
      </c>
      <c r="CD18" s="14">
        <f t="shared" si="74"/>
        <v>1.6559999999999999</v>
      </c>
      <c r="CE18" s="15">
        <f t="shared" si="75"/>
        <v>29.652000000000001</v>
      </c>
      <c r="CF18" s="239">
        <f t="shared" si="76"/>
        <v>20.863</v>
      </c>
      <c r="CG18" s="240">
        <f t="shared" si="77"/>
        <v>0.37299999999999645</v>
      </c>
      <c r="CH18" s="15">
        <f t="shared" si="78"/>
        <v>52.543999999999997</v>
      </c>
      <c r="CI18" s="14">
        <f t="shared" si="79"/>
        <v>0</v>
      </c>
      <c r="CJ18" s="15">
        <f t="shared" si="80"/>
        <v>-3.3119999999999998</v>
      </c>
      <c r="CK18" s="239">
        <f t="shared" si="81"/>
        <v>16.108000000000001</v>
      </c>
      <c r="CL18" s="240">
        <f t="shared" si="82"/>
        <v>17.478999999999999</v>
      </c>
      <c r="CM18" s="352">
        <f t="shared" si="83"/>
        <v>30.274999999999999</v>
      </c>
      <c r="CN18" s="14">
        <f t="shared" si="84"/>
        <v>-5.0999999999999996</v>
      </c>
      <c r="CO18" s="239">
        <f t="shared" si="85"/>
        <v>13.799999999999999</v>
      </c>
      <c r="CP18" s="239">
        <f t="shared" si="86"/>
        <v>19.2</v>
      </c>
      <c r="CQ18" s="240">
        <f t="shared" si="87"/>
        <v>20.700000000000003</v>
      </c>
      <c r="CR18" s="239">
        <f t="shared" si="88"/>
        <v>48.6</v>
      </c>
      <c r="CS18" s="14">
        <f t="shared" si="89"/>
        <v>-2.1</v>
      </c>
      <c r="CT18" s="239">
        <f t="shared" si="90"/>
        <v>12</v>
      </c>
      <c r="CU18" s="239">
        <f t="shared" si="91"/>
        <v>-0.70000000000000062</v>
      </c>
      <c r="CV18" s="239">
        <f t="shared" si="92"/>
        <v>36.800000000000004</v>
      </c>
      <c r="CW18" s="835">
        <f t="shared" si="94"/>
        <v>46</v>
      </c>
      <c r="CX18" s="1052">
        <f t="shared" si="95"/>
        <v>-55</v>
      </c>
      <c r="CY18" s="1037">
        <f t="shared" si="96"/>
        <v>-8</v>
      </c>
      <c r="CZ18" s="1037">
        <f t="shared" si="97"/>
        <v>14</v>
      </c>
      <c r="DA18" s="1111">
        <f>318-SUM(DA13:DA17)</f>
        <v>171.99999999999989</v>
      </c>
      <c r="DB18" s="1039">
        <f t="shared" si="98"/>
        <v>122.99999999999989</v>
      </c>
      <c r="DC18" s="1040">
        <v>0</v>
      </c>
      <c r="DD18" s="1040">
        <v>0</v>
      </c>
      <c r="DE18" s="1040">
        <v>0</v>
      </c>
      <c r="DF18" s="1040">
        <v>0</v>
      </c>
      <c r="DG18" s="1039">
        <f t="shared" si="99"/>
        <v>0</v>
      </c>
      <c r="DH18" s="1040">
        <v>0</v>
      </c>
      <c r="DI18" s="1040">
        <v>0</v>
      </c>
      <c r="DJ18" s="1040">
        <v>0</v>
      </c>
      <c r="DK18" s="1040">
        <v>0</v>
      </c>
      <c r="DL18" s="1039">
        <f t="shared" si="100"/>
        <v>0</v>
      </c>
      <c r="DM18" s="1040">
        <v>0</v>
      </c>
      <c r="DN18" s="1040">
        <v>0</v>
      </c>
      <c r="DO18" s="1040">
        <v>0</v>
      </c>
      <c r="DP18" s="1040">
        <v>0</v>
      </c>
      <c r="DQ18" s="1039">
        <f t="shared" si="101"/>
        <v>0</v>
      </c>
      <c r="DR18" s="4"/>
      <c r="DS18" s="112"/>
    </row>
    <row r="19" spans="1:129" ht="11.25" customHeight="1">
      <c r="A19" s="114"/>
      <c r="B19" s="3"/>
      <c r="C19" s="4" t="s">
        <v>81</v>
      </c>
      <c r="D19" s="4"/>
      <c r="E19" s="4"/>
      <c r="F19" s="4"/>
      <c r="G19" s="14"/>
      <c r="H19" s="15"/>
      <c r="I19" s="15"/>
      <c r="J19" s="16"/>
      <c r="K19" s="14"/>
      <c r="L19" s="14"/>
      <c r="M19" s="15"/>
      <c r="N19" s="15"/>
      <c r="O19" s="16"/>
      <c r="P19" s="15"/>
      <c r="Q19" s="14"/>
      <c r="R19" s="15"/>
      <c r="S19" s="15"/>
      <c r="T19" s="16"/>
      <c r="U19" s="15"/>
      <c r="V19" s="14"/>
      <c r="W19" s="15"/>
      <c r="X19" s="15"/>
      <c r="Y19" s="16"/>
      <c r="Z19" s="15"/>
      <c r="AA19" s="14"/>
      <c r="AB19" s="15"/>
      <c r="AC19" s="15"/>
      <c r="AD19" s="16"/>
      <c r="AE19" s="15"/>
      <c r="AF19" s="14"/>
      <c r="AG19" s="15"/>
      <c r="AH19" s="15"/>
      <c r="AI19" s="16"/>
      <c r="AJ19" s="15"/>
      <c r="AK19" s="14"/>
      <c r="AL19" s="15"/>
      <c r="AM19" s="15"/>
      <c r="AN19" s="16"/>
      <c r="AO19" s="15"/>
      <c r="AP19" s="14"/>
      <c r="AQ19" s="15"/>
      <c r="AR19" s="15"/>
      <c r="AS19" s="16"/>
      <c r="AT19" s="15"/>
      <c r="AU19" s="14"/>
      <c r="AV19" s="15"/>
      <c r="AW19" s="15"/>
      <c r="AX19" s="16"/>
      <c r="AY19" s="15"/>
      <c r="AZ19" s="14"/>
      <c r="BA19" s="15"/>
      <c r="BB19" s="15"/>
      <c r="BC19" s="16"/>
      <c r="BD19" s="15"/>
      <c r="BE19" s="14"/>
      <c r="BF19" s="15"/>
      <c r="BG19" s="15"/>
      <c r="BH19" s="16"/>
      <c r="BI19" s="15"/>
      <c r="BJ19" s="14"/>
      <c r="BK19" s="15"/>
      <c r="BL19" s="15"/>
      <c r="BM19" s="16"/>
      <c r="BN19" s="15"/>
      <c r="BO19" s="14"/>
      <c r="BP19" s="15"/>
      <c r="BQ19" s="15"/>
      <c r="BR19" s="16"/>
      <c r="BS19" s="15"/>
      <c r="BT19" s="14"/>
      <c r="BU19" s="15"/>
      <c r="BV19" s="15"/>
      <c r="BW19" s="16"/>
      <c r="BX19" s="15"/>
      <c r="BY19" s="14"/>
      <c r="BZ19" s="15"/>
      <c r="CA19" s="15"/>
      <c r="CB19" s="16"/>
      <c r="CC19" s="15"/>
      <c r="CD19" s="14"/>
      <c r="CE19" s="15"/>
      <c r="CF19" s="15"/>
      <c r="CG19" s="16"/>
      <c r="CH19" s="15"/>
      <c r="CI19" s="14"/>
      <c r="CJ19" s="15"/>
      <c r="CK19" s="15"/>
      <c r="CL19" s="16"/>
      <c r="CM19" s="352"/>
      <c r="CN19" s="14"/>
      <c r="CO19" s="15"/>
      <c r="CP19" s="15"/>
      <c r="CQ19" s="16"/>
      <c r="CR19" s="15"/>
      <c r="CS19" s="14"/>
      <c r="CT19" s="15"/>
      <c r="CU19" s="15"/>
      <c r="CV19" s="15"/>
      <c r="CW19" s="352"/>
      <c r="CX19" s="1052"/>
      <c r="CY19" s="1050"/>
      <c r="CZ19" s="1050">
        <f t="shared" si="97"/>
        <v>0</v>
      </c>
      <c r="DA19" s="1041"/>
      <c r="DB19" s="1038"/>
      <c r="DC19" s="1041"/>
      <c r="DD19" s="1041"/>
      <c r="DE19" s="1041"/>
      <c r="DF19" s="1041"/>
      <c r="DG19" s="1038"/>
      <c r="DH19" s="1041"/>
      <c r="DI19" s="1041"/>
      <c r="DJ19" s="1041"/>
      <c r="DK19" s="1041"/>
      <c r="DL19" s="1038"/>
      <c r="DM19" s="1041"/>
      <c r="DN19" s="1041"/>
      <c r="DO19" s="1041"/>
      <c r="DP19" s="1041"/>
      <c r="DQ19" s="1038"/>
      <c r="DR19" s="4"/>
      <c r="DS19" s="112"/>
    </row>
    <row r="20" spans="1:129" ht="11.25" customHeight="1">
      <c r="A20" s="114"/>
      <c r="B20" s="3"/>
      <c r="C20" s="1030" t="s">
        <v>82</v>
      </c>
      <c r="D20" s="4"/>
      <c r="E20" s="4"/>
      <c r="F20" s="4"/>
      <c r="G20" s="14">
        <f>G66</f>
        <v>-1.2689999999999999</v>
      </c>
      <c r="H20" s="15">
        <f>H66-G20</f>
        <v>-0.20900000000000007</v>
      </c>
      <c r="I20" s="239">
        <f>I66-H20-G20</f>
        <v>0.36399999999999988</v>
      </c>
      <c r="J20" s="240">
        <f>J66-I20-H20-G20</f>
        <v>-2.8450000000000006</v>
      </c>
      <c r="K20" s="14">
        <f t="shared" ref="K20:K25" si="102">SUM(G20:J20)</f>
        <v>-3.9590000000000005</v>
      </c>
      <c r="L20" s="14">
        <f>L66</f>
        <v>-3.7029999999999998</v>
      </c>
      <c r="M20" s="15">
        <f>M66-L20</f>
        <v>2.1449999999999996</v>
      </c>
      <c r="N20" s="239">
        <f>N66-M20-L20</f>
        <v>0.67400000000000038</v>
      </c>
      <c r="O20" s="240">
        <f>O66-N20-M20-L20</f>
        <v>1.952</v>
      </c>
      <c r="P20" s="15">
        <f t="shared" ref="P20:P25" si="103">SUM(L20:O20)</f>
        <v>1.0680000000000001</v>
      </c>
      <c r="Q20" s="14">
        <f>Q66</f>
        <v>-4.5890000000000004</v>
      </c>
      <c r="R20" s="15">
        <f>R66-Q20</f>
        <v>-1.4289999999999994</v>
      </c>
      <c r="S20" s="239">
        <f>S66-R20-Q20</f>
        <v>-2.6030000000000006</v>
      </c>
      <c r="T20" s="240">
        <f>T66-S20-R20-Q20</f>
        <v>-2.203999999999998</v>
      </c>
      <c r="U20" s="15">
        <f t="shared" ref="U20:U25" si="104">SUM(Q20:T20)</f>
        <v>-10.824999999999999</v>
      </c>
      <c r="V20" s="14">
        <f>V66</f>
        <v>5.0999999999999997E-2</v>
      </c>
      <c r="W20" s="15">
        <f>W66-V20</f>
        <v>-3.8069999999999999</v>
      </c>
      <c r="X20" s="239">
        <f>X66-W20-V20</f>
        <v>2.4359999999999999</v>
      </c>
      <c r="Y20" s="240">
        <f>Y66-X20-W20-V20</f>
        <v>-2.5130000000000003</v>
      </c>
      <c r="Z20" s="15">
        <f t="shared" ref="Z20:Z25" si="105">SUM(V20:Y20)</f>
        <v>-3.8330000000000002</v>
      </c>
      <c r="AA20" s="14">
        <f>AA66</f>
        <v>-1.5580000000000001</v>
      </c>
      <c r="AB20" s="15">
        <f>AB66-AA20</f>
        <v>-6.8580000000000005</v>
      </c>
      <c r="AC20" s="239">
        <f>AC66-AB20-AA20</f>
        <v>-1.4009999999999996</v>
      </c>
      <c r="AD20" s="240">
        <f>AD66-AC20-AB20-AA20</f>
        <v>-4.8460000000000001</v>
      </c>
      <c r="AE20" s="15">
        <f t="shared" ref="AE20:AE25" si="106">SUM(AA20:AD20)</f>
        <v>-14.663</v>
      </c>
      <c r="AF20" s="14">
        <f>AF66</f>
        <v>-3.9089999999999998</v>
      </c>
      <c r="AG20" s="15">
        <f>AG66-AF20</f>
        <v>-1.4039999999999999</v>
      </c>
      <c r="AH20" s="239">
        <f>AH66-AG20-AF20</f>
        <v>-10.356000000000002</v>
      </c>
      <c r="AI20" s="240">
        <f>AI66-AH20-AG20-AF20</f>
        <v>2.2270000000000012</v>
      </c>
      <c r="AJ20" s="15">
        <f t="shared" ref="AJ20:AJ25" si="107">SUM(AF20:AI20)</f>
        <v>-13.442</v>
      </c>
      <c r="AK20" s="14">
        <f>AK66</f>
        <v>-18.850000000000001</v>
      </c>
      <c r="AL20" s="15">
        <f>AL66-AK20</f>
        <v>-4.9309999999999974</v>
      </c>
      <c r="AM20" s="239">
        <f>AM66-AL20-AK20</f>
        <v>-10.526000000000003</v>
      </c>
      <c r="AN20" s="240">
        <f>AN66-AM20-AL20-AK20</f>
        <v>-8.4319999999999951</v>
      </c>
      <c r="AO20" s="15">
        <f t="shared" ref="AO20:AO25" si="108">SUM(AK20:AN20)</f>
        <v>-42.738999999999997</v>
      </c>
      <c r="AP20" s="14">
        <f>AP66</f>
        <v>-16.806000000000001</v>
      </c>
      <c r="AQ20" s="15">
        <f>AQ66-AP20</f>
        <v>-26.334999999999997</v>
      </c>
      <c r="AR20" s="239">
        <f>AR66-AQ20-AP20</f>
        <v>-4.0630000000000024</v>
      </c>
      <c r="AS20" s="240">
        <f>AS66-AR20-AQ20-AP20</f>
        <v>-8.6229999999999976</v>
      </c>
      <c r="AT20" s="15">
        <f t="shared" ref="AT20:AT25" si="109">SUM(AP20:AS20)</f>
        <v>-55.826999999999998</v>
      </c>
      <c r="AU20" s="14">
        <f>AU66</f>
        <v>-31.704999999999998</v>
      </c>
      <c r="AV20" s="15">
        <f>AV66-AU20</f>
        <v>-42.504000000000005</v>
      </c>
      <c r="AW20" s="239">
        <f>AW66-AV20-AU20</f>
        <v>-24.087999999999994</v>
      </c>
      <c r="AX20" s="240">
        <f>AX66-AW20-AV20-AU20</f>
        <v>-4.0370000000000061</v>
      </c>
      <c r="AY20" s="15">
        <f t="shared" ref="AY20:AY25" si="110">SUM(AU20:AX20)</f>
        <v>-102.334</v>
      </c>
      <c r="AZ20" s="14">
        <f>AZ66</f>
        <v>-42.923000000000002</v>
      </c>
      <c r="BA20" s="15">
        <f>BA66-AZ20</f>
        <v>-48.680999999999997</v>
      </c>
      <c r="BB20" s="239">
        <f>BB66-BA20-AZ20</f>
        <v>-23.736000000000004</v>
      </c>
      <c r="BC20" s="240">
        <f>BC66-BB20-BA20-AZ20</f>
        <v>-4.5420000000000016</v>
      </c>
      <c r="BD20" s="15">
        <f t="shared" ref="BD20:BD25" si="111">SUM(AZ20:BC20)</f>
        <v>-119.88200000000001</v>
      </c>
      <c r="BE20" s="14">
        <f>BE66</f>
        <v>-66.774000000000001</v>
      </c>
      <c r="BF20" s="15">
        <f>BF66-BE20</f>
        <v>-73.977000000000004</v>
      </c>
      <c r="BG20" s="239">
        <f>BG66-BF20-BE20</f>
        <v>-15.314999999999998</v>
      </c>
      <c r="BH20" s="240">
        <f>BH66-BG20-BF20-BE20</f>
        <v>-12.329000000000008</v>
      </c>
      <c r="BI20" s="15">
        <f t="shared" ref="BI20:BI25" si="112">SUM(BE20:BH20)</f>
        <v>-168.39500000000001</v>
      </c>
      <c r="BJ20" s="14">
        <f>BJ66</f>
        <v>-13.342000000000001</v>
      </c>
      <c r="BK20" s="15">
        <f>BK66-BJ20</f>
        <v>-12.313999999999998</v>
      </c>
      <c r="BL20" s="239">
        <f>BL66-BK20-BJ20</f>
        <v>-36.306000000000004</v>
      </c>
      <c r="BM20" s="240">
        <f>BM66-BL20-BK20-BJ20</f>
        <v>-36.48899999999999</v>
      </c>
      <c r="BN20" s="15">
        <f t="shared" ref="BN20:BN25" si="113">SUM(BJ20:BM20)</f>
        <v>-98.450999999999993</v>
      </c>
      <c r="BO20" s="14">
        <f>BO66</f>
        <v>-92.22</v>
      </c>
      <c r="BP20" s="15">
        <f>BP66-BO20</f>
        <v>-100.089</v>
      </c>
      <c r="BQ20" s="239">
        <f>BQ66-BP20-BO20</f>
        <v>-99.50800000000001</v>
      </c>
      <c r="BR20" s="240">
        <f>BR66-BQ20-BP20-BO20</f>
        <v>13.399000000000001</v>
      </c>
      <c r="BS20" s="15">
        <f t="shared" ref="BS20:BS25" si="114">SUM(BO20:BR20)</f>
        <v>-278.41800000000001</v>
      </c>
      <c r="BT20" s="14">
        <f>BT66</f>
        <v>-89.028999999999996</v>
      </c>
      <c r="BU20" s="15">
        <f>BU66-BT20</f>
        <v>-81.390000000000015</v>
      </c>
      <c r="BV20" s="239">
        <f>BV66-BU20-BT20</f>
        <v>-36.822999999999979</v>
      </c>
      <c r="BW20" s="240">
        <f>BW66-BV20-BU20-BT20</f>
        <v>-76.924999999999983</v>
      </c>
      <c r="BX20" s="15">
        <f t="shared" ref="BX20:BX25" si="115">SUM(BT20:BW20)</f>
        <v>-284.16699999999997</v>
      </c>
      <c r="BY20" s="14">
        <f>BY66</f>
        <v>-49.863999999999997</v>
      </c>
      <c r="BZ20" s="15">
        <f>BZ66-BY20</f>
        <v>-70.085000000000008</v>
      </c>
      <c r="CA20" s="239">
        <f>CA66-BZ20-BY20</f>
        <v>-64.587999999999994</v>
      </c>
      <c r="CB20" s="240">
        <f>CB66-CA20-BZ20-BY20</f>
        <v>25.93399999999999</v>
      </c>
      <c r="CC20" s="15">
        <f t="shared" ref="CC20:CC25" si="116">SUM(BY20:CB20)</f>
        <v>-158.60300000000001</v>
      </c>
      <c r="CD20" s="14">
        <f>CD66</f>
        <v>-149.42099999999999</v>
      </c>
      <c r="CE20" s="15">
        <f>CE66-CD20</f>
        <v>-67.873000000000019</v>
      </c>
      <c r="CF20" s="239">
        <f>CF66-CE20-CD20</f>
        <v>-56.207999999999998</v>
      </c>
      <c r="CG20" s="240">
        <f>CG66-CF20-CE20-CD20</f>
        <v>15.033000000000015</v>
      </c>
      <c r="CH20" s="15">
        <f t="shared" ref="CH20:CH25" si="117">SUM(CD20:CG20)</f>
        <v>-258.46899999999999</v>
      </c>
      <c r="CI20" s="14">
        <f>CI66</f>
        <v>-54.819999999999936</v>
      </c>
      <c r="CJ20" s="15">
        <f>CJ66-CI20</f>
        <v>-106.37100000000007</v>
      </c>
      <c r="CK20" s="239">
        <f>CK66-CJ20-CI20</f>
        <v>-6.4639999999999986</v>
      </c>
      <c r="CL20" s="240">
        <f>CL66-CK20-CJ20-CI20</f>
        <v>-91.676999999999992</v>
      </c>
      <c r="CM20" s="352">
        <f t="shared" ref="CM20:CM25" si="118">SUM(CI20:CL20)</f>
        <v>-259.33199999999999</v>
      </c>
      <c r="CN20" s="14">
        <f>CN66</f>
        <v>-110.7</v>
      </c>
      <c r="CO20" s="239">
        <f>+CO66-CN20</f>
        <v>-74.999999999999986</v>
      </c>
      <c r="CP20" s="239">
        <f>CP66-CO20-CN20</f>
        <v>-4.9000000000000057</v>
      </c>
      <c r="CQ20" s="240">
        <f>CQ66-CP20-CO20-CN20</f>
        <v>-131.80000000000001</v>
      </c>
      <c r="CR20" s="239">
        <f t="shared" ref="CR20:CR25" si="119">SUM(CN20:CQ20)</f>
        <v>-322.39999999999998</v>
      </c>
      <c r="CS20" s="14">
        <f>CS66</f>
        <v>-55.2</v>
      </c>
      <c r="CT20" s="239">
        <f>+CT66-CS20</f>
        <v>-132</v>
      </c>
      <c r="CU20" s="239">
        <f>CU66-CT20-CS20</f>
        <v>-73.999999999999986</v>
      </c>
      <c r="CV20" s="239">
        <f>CV66-CU20-CT20-CS20</f>
        <v>-68.8</v>
      </c>
      <c r="CW20" s="835">
        <f>SUM(CS20:CV20)</f>
        <v>-330</v>
      </c>
      <c r="CX20" s="1052">
        <f>CX66</f>
        <v>-86</v>
      </c>
      <c r="CY20" s="1037">
        <f>+CY66-CX20</f>
        <v>-17</v>
      </c>
      <c r="CZ20" s="1037">
        <f t="shared" si="97"/>
        <v>-181</v>
      </c>
      <c r="DA20" s="1109">
        <f>BS!CZ13-BS!DA13</f>
        <v>24</v>
      </c>
      <c r="DB20" s="1039">
        <f>SUM(CX20:DA20)</f>
        <v>-260</v>
      </c>
      <c r="DC20" s="1037">
        <f>BS!DA13-BS!DC13</f>
        <v>26.245064861815536</v>
      </c>
      <c r="DD20" s="1037">
        <f>BS!DC13-BS!DD13</f>
        <v>-69.193555325031411</v>
      </c>
      <c r="DE20" s="1037">
        <f>BS!DD13-BS!DE13</f>
        <v>-123.41525356227521</v>
      </c>
      <c r="DF20" s="1037">
        <f>BS!DE13-BS!DF13</f>
        <v>-101.57501772999512</v>
      </c>
      <c r="DG20" s="1039">
        <f>SUM(DC20:DF20)</f>
        <v>-267.93876175548621</v>
      </c>
      <c r="DH20" s="1037">
        <f>BS!DF13-BS!DH13</f>
        <v>68.830238066822403</v>
      </c>
      <c r="DI20" s="1037">
        <f>BS!DH13-BS!DI13</f>
        <v>-75.834245984360678</v>
      </c>
      <c r="DJ20" s="1037">
        <f>BS!DI13-BS!DJ13</f>
        <v>-133.62371233042768</v>
      </c>
      <c r="DK20" s="1037">
        <f>BS!DJ13-BS!DK13</f>
        <v>-106.0587958962351</v>
      </c>
      <c r="DL20" s="1039">
        <f>SUM(DH20:DK20)</f>
        <v>-246.68651614420105</v>
      </c>
      <c r="DM20" s="1037">
        <f>BS!DK13-BS!DM13</f>
        <v>69.092604993595614</v>
      </c>
      <c r="DN20" s="1037">
        <f>BS!DM13-BS!DN13</f>
        <v>-74.18107510371874</v>
      </c>
      <c r="DO20" s="1037">
        <f>BS!DN13-BS!DO13</f>
        <v>-149.18685111635159</v>
      </c>
      <c r="DP20" s="1037">
        <f>BS!DO13-BS!DP13</f>
        <v>-110.46713869201994</v>
      </c>
      <c r="DQ20" s="1039">
        <f>SUM(DM20:DP20)</f>
        <v>-264.74245991849466</v>
      </c>
      <c r="DR20" s="4"/>
      <c r="DS20" s="112"/>
    </row>
    <row r="21" spans="1:129" ht="11.25" customHeight="1">
      <c r="A21" s="114"/>
      <c r="B21" s="3"/>
      <c r="C21" s="1030" t="s">
        <v>42</v>
      </c>
      <c r="D21" s="4"/>
      <c r="E21" s="4"/>
      <c r="F21" s="4"/>
      <c r="G21" s="14">
        <f>G67</f>
        <v>-0.53800000000000003</v>
      </c>
      <c r="H21" s="15">
        <f>H67-G21</f>
        <v>-0.7589999999999999</v>
      </c>
      <c r="I21" s="239">
        <f>I67-H21-G21</f>
        <v>-0.53800000000000003</v>
      </c>
      <c r="J21" s="240">
        <f>J67-I21-H21-G21</f>
        <v>-1.9000000000000128E-2</v>
      </c>
      <c r="K21" s="14">
        <f t="shared" si="102"/>
        <v>-1.8540000000000001</v>
      </c>
      <c r="L21" s="14">
        <f>L67</f>
        <v>-0.96099999999999997</v>
      </c>
      <c r="M21" s="15">
        <f>M67-L21</f>
        <v>0.7629999999999999</v>
      </c>
      <c r="N21" s="239">
        <f>N67-M21-L21</f>
        <v>-1.0999999999999899E-2</v>
      </c>
      <c r="O21" s="240">
        <f>O67-N21-M21-L21</f>
        <v>-0.93400000000000005</v>
      </c>
      <c r="P21" s="15">
        <f t="shared" si="103"/>
        <v>-1.143</v>
      </c>
      <c r="Q21" s="14">
        <f>Q67</f>
        <v>-1.538</v>
      </c>
      <c r="R21" s="15">
        <f>R67-Q21</f>
        <v>-0.68300000000000005</v>
      </c>
      <c r="S21" s="239">
        <f>S67-R21-Q21</f>
        <v>-4.2999999999999705E-2</v>
      </c>
      <c r="T21" s="240">
        <f>T67-S21-R21-Q21</f>
        <v>0.33999999999999986</v>
      </c>
      <c r="U21" s="15">
        <f t="shared" si="104"/>
        <v>-1.9239999999999999</v>
      </c>
      <c r="V21" s="14">
        <f>V67</f>
        <v>-2.3660000000000001</v>
      </c>
      <c r="W21" s="15">
        <f>W67-V21</f>
        <v>-0.77400000000000002</v>
      </c>
      <c r="X21" s="239">
        <f>X67-W21-V21</f>
        <v>-2.1779999999999995</v>
      </c>
      <c r="Y21" s="240">
        <f>Y67-X21-W21-V21</f>
        <v>1.2029999999999994</v>
      </c>
      <c r="Z21" s="15">
        <f t="shared" si="105"/>
        <v>-4.1150000000000002</v>
      </c>
      <c r="AA21" s="14">
        <f>AA67</f>
        <v>-2.298</v>
      </c>
      <c r="AB21" s="15">
        <f>AB67-AA21</f>
        <v>-3.3970000000000002</v>
      </c>
      <c r="AC21" s="239">
        <f>AC67-AB21-AA21</f>
        <v>1.0950000000000006</v>
      </c>
      <c r="AD21" s="240">
        <f>AD67-AC21-AB21-AA21</f>
        <v>1.488999999999999</v>
      </c>
      <c r="AE21" s="15">
        <f t="shared" si="106"/>
        <v>-3.1110000000000007</v>
      </c>
      <c r="AF21" s="14">
        <f>AF67</f>
        <v>-2.359</v>
      </c>
      <c r="AG21" s="15">
        <f>AG67-AF21</f>
        <v>-7.3659999999999997</v>
      </c>
      <c r="AH21" s="239">
        <f>AH67-AG21-AF21</f>
        <v>-6.6940000000000008</v>
      </c>
      <c r="AI21" s="240">
        <f>AI67-AH21-AG21-AF21</f>
        <v>8.2360000000000007</v>
      </c>
      <c r="AJ21" s="15">
        <f t="shared" si="107"/>
        <v>-8.1829999999999998</v>
      </c>
      <c r="AK21" s="14">
        <f>AK67</f>
        <v>-4.5519999999999996</v>
      </c>
      <c r="AL21" s="15">
        <f>AL67-AK21</f>
        <v>-14.009</v>
      </c>
      <c r="AM21" s="239">
        <f>AM67-AL21-AK21</f>
        <v>-4.1529999999999987</v>
      </c>
      <c r="AN21" s="240">
        <f>AN67-AM21-AL21-AK21</f>
        <v>14.420999999999999</v>
      </c>
      <c r="AO21" s="15">
        <f t="shared" si="108"/>
        <v>-8.2929999999999993</v>
      </c>
      <c r="AP21" s="14">
        <f>AP67</f>
        <v>-8.1029999999999998</v>
      </c>
      <c r="AQ21" s="15">
        <f>AQ67-AP21</f>
        <v>-2.6590000000000007</v>
      </c>
      <c r="AR21" s="239">
        <f>AR67-AQ21-AP21</f>
        <v>-7.23</v>
      </c>
      <c r="AS21" s="240">
        <f>AS67-AR21-AQ21-AP21</f>
        <v>2.6530000000000005</v>
      </c>
      <c r="AT21" s="15">
        <f t="shared" si="109"/>
        <v>-15.339</v>
      </c>
      <c r="AU21" s="14">
        <f>AU67</f>
        <v>-15.611000000000001</v>
      </c>
      <c r="AV21" s="15">
        <f>AV67-AU21</f>
        <v>-5.416999999999998</v>
      </c>
      <c r="AW21" s="239">
        <f>AW67-AV21-AU21</f>
        <v>-8.1760000000000019</v>
      </c>
      <c r="AX21" s="240">
        <f>AX67-AW21-AV21-AU21</f>
        <v>2.3550000000000004</v>
      </c>
      <c r="AY21" s="15">
        <f t="shared" si="110"/>
        <v>-26.849</v>
      </c>
      <c r="AZ21" s="14">
        <f>AZ67</f>
        <v>-27.32</v>
      </c>
      <c r="BA21" s="15">
        <f>BA67-AZ21</f>
        <v>7.740000000000002</v>
      </c>
      <c r="BB21" s="239">
        <f>BB67-BA21-AZ21</f>
        <v>-11.452000000000005</v>
      </c>
      <c r="BC21" s="240">
        <f>BC67-BB21-BA21-AZ21</f>
        <v>-3.1999999999999957</v>
      </c>
      <c r="BD21" s="15">
        <f t="shared" si="111"/>
        <v>-34.231999999999999</v>
      </c>
      <c r="BE21" s="14">
        <f>BE67</f>
        <v>6.859</v>
      </c>
      <c r="BF21" s="15">
        <f>BF67-BE21</f>
        <v>-5.5730000000000004</v>
      </c>
      <c r="BG21" s="239">
        <f>BG67-BF21-BE21</f>
        <v>-25.856000000000002</v>
      </c>
      <c r="BH21" s="240">
        <f>BH67-BG21-BF21-BE21</f>
        <v>-6.5809999999999977</v>
      </c>
      <c r="BI21" s="15">
        <f t="shared" si="112"/>
        <v>-31.150999999999996</v>
      </c>
      <c r="BJ21" s="14">
        <f>BJ67</f>
        <v>-7.5960000000000001</v>
      </c>
      <c r="BK21" s="15">
        <f>BK67-BJ21</f>
        <v>-17.257999999999999</v>
      </c>
      <c r="BL21" s="239">
        <f>BL67-BK21-BJ21</f>
        <v>-18.54</v>
      </c>
      <c r="BM21" s="240">
        <f>BM67-BL21-BK21-BJ21</f>
        <v>0.61599999999999966</v>
      </c>
      <c r="BN21" s="15">
        <f t="shared" si="113"/>
        <v>-42.777999999999999</v>
      </c>
      <c r="BO21" s="14">
        <f>BO67</f>
        <v>-46.307000000000002</v>
      </c>
      <c r="BP21" s="15">
        <f>BP67-BO21</f>
        <v>-32.515000000000001</v>
      </c>
      <c r="BQ21" s="239">
        <f>BQ67-BP21-BO21</f>
        <v>-19.655000000000001</v>
      </c>
      <c r="BR21" s="240">
        <f>BR67-BQ21-BP21-BO21</f>
        <v>23.13000000000001</v>
      </c>
      <c r="BS21" s="15">
        <f t="shared" si="114"/>
        <v>-75.346999999999994</v>
      </c>
      <c r="BT21" s="14">
        <f>BT67</f>
        <v>-7.1479999999999997</v>
      </c>
      <c r="BU21" s="15">
        <f>BU67-BT21</f>
        <v>-30.363000000000003</v>
      </c>
      <c r="BV21" s="239">
        <f>BV67-BU21-BT21</f>
        <v>-4.1689999999999969</v>
      </c>
      <c r="BW21" s="240">
        <f>BW67-BV21-BU21-BT21</f>
        <v>-57.544000000000011</v>
      </c>
      <c r="BX21" s="15">
        <f t="shared" si="115"/>
        <v>-99.224000000000018</v>
      </c>
      <c r="BY21" s="14">
        <f>BY67</f>
        <v>-7.3550000000000004</v>
      </c>
      <c r="BZ21" s="15">
        <f>BZ67-BY21</f>
        <v>-31.822999999999997</v>
      </c>
      <c r="CA21" s="239">
        <f>CA67-BZ21-BY21</f>
        <v>31.108999999999998</v>
      </c>
      <c r="CB21" s="240">
        <f>CB67-CA21-BZ21-BY21</f>
        <v>-21.763999999999996</v>
      </c>
      <c r="CC21" s="15">
        <f t="shared" si="116"/>
        <v>-29.832999999999995</v>
      </c>
      <c r="CD21" s="14">
        <f>CD67</f>
        <v>-9.02</v>
      </c>
      <c r="CE21" s="15">
        <f>CE67-CD21</f>
        <v>-27.16</v>
      </c>
      <c r="CF21" s="239">
        <f>CF67-CE21-CD21</f>
        <v>-20.466999999999999</v>
      </c>
      <c r="CG21" s="240">
        <f>CG67-CF21-CE21-CD21</f>
        <v>-18.021000000000008</v>
      </c>
      <c r="CH21" s="15">
        <f t="shared" si="117"/>
        <v>-74.668000000000006</v>
      </c>
      <c r="CI21" s="14">
        <f>CI67</f>
        <v>29.473000000000013</v>
      </c>
      <c r="CJ21" s="15">
        <f>CJ67-CI21</f>
        <v>-82.088000000000022</v>
      </c>
      <c r="CK21" s="239">
        <f>CK67-CJ21-CI21</f>
        <v>-23.205999999999989</v>
      </c>
      <c r="CL21" s="240">
        <f>CL67-CK21-CJ21-CI21</f>
        <v>-42.771000000000001</v>
      </c>
      <c r="CM21" s="352">
        <f t="shared" si="118"/>
        <v>-118.592</v>
      </c>
      <c r="CN21" s="14">
        <f>CN67</f>
        <v>-41.4</v>
      </c>
      <c r="CO21" s="239">
        <f>+CO67-CN21</f>
        <v>20.799999999999997</v>
      </c>
      <c r="CP21" s="239">
        <f>CP67-CO21-CN21</f>
        <v>13</v>
      </c>
      <c r="CQ21" s="240">
        <f>CQ67-CP21-CO21-CN21</f>
        <v>-24.9</v>
      </c>
      <c r="CR21" s="239">
        <f t="shared" si="119"/>
        <v>-32.5</v>
      </c>
      <c r="CS21" s="14">
        <f>CS67</f>
        <v>-77.8</v>
      </c>
      <c r="CT21" s="239">
        <f>+CT67-CS21</f>
        <v>-42</v>
      </c>
      <c r="CU21" s="239">
        <f>CU67-CT21-CS21</f>
        <v>35.599999999999994</v>
      </c>
      <c r="CV21" s="239">
        <f>CV67-CU21-CT21-CS21</f>
        <v>-19.799999999999997</v>
      </c>
      <c r="CW21" s="835">
        <f>SUM(CS21:CV21)</f>
        <v>-104</v>
      </c>
      <c r="CX21" s="1052">
        <f>CX67</f>
        <v>20</v>
      </c>
      <c r="CY21" s="1037">
        <f>+CY67-CX21</f>
        <v>-101</v>
      </c>
      <c r="CZ21" s="1037">
        <f t="shared" si="97"/>
        <v>102</v>
      </c>
      <c r="DA21" s="1109">
        <f>BS!CZ14+BS!CZ15+BS!CZ16-BS!DA14-BS!DA15-BS!DA16</f>
        <v>-235</v>
      </c>
      <c r="DB21" s="1039">
        <f>SUM(CX21:DA21)</f>
        <v>-214</v>
      </c>
      <c r="DC21" s="1037">
        <f>BS!DA14+BS!DA15+BS!DA16-BS!DC14-BS!DC15-BS!DC16</f>
        <v>-49.160321489001717</v>
      </c>
      <c r="DD21" s="1037">
        <f>BS!DC14+BS!DC15+BS!DC16-BS!DD14-BS!DD15-BS!DD16</f>
        <v>-32.981411481025589</v>
      </c>
      <c r="DE21" s="1037">
        <f>BS!DD14+BS!DD15+BS!DD16-BS!DE14-BS!DE15-BS!DE16</f>
        <v>-2.8527651712366833</v>
      </c>
      <c r="DF21" s="1037">
        <f>BS!DE14+BS!DE15+BS!DE16-BS!DF14-BS!DF15-BS!DF16</f>
        <v>28.189586960490828</v>
      </c>
      <c r="DG21" s="1039">
        <f>SUM(DC21:DF21)</f>
        <v>-56.804911180773161</v>
      </c>
      <c r="DH21" s="1037">
        <f>BS!DF14+BS!DF15+BS!DF16-BS!DH14-BS!DH15-BS!DH16</f>
        <v>-24.598308362374155</v>
      </c>
      <c r="DI21" s="1037">
        <f>BS!DH14+BS!DH15+BS!DH16-BS!DI14-BS!DI15-BS!DI16</f>
        <v>-35.772961301539226</v>
      </c>
      <c r="DJ21" s="1037">
        <f>BS!DI14+BS!DI15+BS!DI16-BS!DJ14-BS!DJ15-BS!DJ16</f>
        <v>-3.1332074452764118</v>
      </c>
      <c r="DK21" s="1037">
        <f>BS!DJ14+BS!DJ15+BS!DJ16-BS!DK14-BS!DK15-BS!DK16</f>
        <v>30.921621309816601</v>
      </c>
      <c r="DL21" s="1039">
        <f>SUM(DH21:DK21)</f>
        <v>-32.582855799373192</v>
      </c>
      <c r="DM21" s="1037">
        <f>BS!DK14+BS!DK15+BS!DK16-BS!DM14-BS!DM15-BS!DM16</f>
        <v>-27.273061604879103</v>
      </c>
      <c r="DN21" s="1037">
        <f>BS!DM14+BS!DM15+BS!DM16-BS!DN14-BS!DN15-BS!DN16</f>
        <v>-37.479264089634171</v>
      </c>
      <c r="DO21" s="1037">
        <f>BS!DN14+BS!DN15+BS!DN16-BS!DO14-BS!DO15-BS!DO16</f>
        <v>-4.1278704229240475</v>
      </c>
      <c r="DP21" s="1037">
        <f>BS!DO14+BS!DO15+BS!DO16-BS!DP14-BS!DP15-BS!DP16</f>
        <v>33.912474612734968</v>
      </c>
      <c r="DQ21" s="1039">
        <f>SUM(DM21:DP21)</f>
        <v>-34.967721504702354</v>
      </c>
      <c r="DR21" s="4"/>
      <c r="DS21" s="112"/>
    </row>
    <row r="22" spans="1:129" ht="11.25" customHeight="1">
      <c r="A22" s="114"/>
      <c r="B22" s="3"/>
      <c r="C22" s="1030" t="s">
        <v>83</v>
      </c>
      <c r="D22" s="4"/>
      <c r="E22" s="4"/>
      <c r="F22" s="4"/>
      <c r="G22" s="14">
        <f>G68</f>
        <v>0.747</v>
      </c>
      <c r="H22" s="15">
        <f>H68-G22</f>
        <v>-0.11599999999999999</v>
      </c>
      <c r="I22" s="239">
        <f>I68-H22-G22</f>
        <v>1.8000000000000016E-2</v>
      </c>
      <c r="J22" s="240">
        <f>J68-I22-H22-G22</f>
        <v>-1.0589999999999999</v>
      </c>
      <c r="K22" s="14">
        <f t="shared" si="102"/>
        <v>-0.40999999999999992</v>
      </c>
      <c r="L22" s="14">
        <f>L68</f>
        <v>-0.221</v>
      </c>
      <c r="M22" s="15">
        <f>M68-L22</f>
        <v>0.129</v>
      </c>
      <c r="N22" s="239">
        <f>N68-M22-L22</f>
        <v>-0.14599999999999999</v>
      </c>
      <c r="O22" s="240">
        <f>O68-N22-M22-L22</f>
        <v>0.12199999999999998</v>
      </c>
      <c r="P22" s="15">
        <f t="shared" si="103"/>
        <v>-0.11600000000000001</v>
      </c>
      <c r="Q22" s="14">
        <f>Q68</f>
        <v>-0.128</v>
      </c>
      <c r="R22" s="15">
        <f>R68-Q22</f>
        <v>-0.308</v>
      </c>
      <c r="S22" s="239">
        <f>S68-R22-Q22</f>
        <v>-3.6999999999999977E-2</v>
      </c>
      <c r="T22" s="240">
        <f>T68-S22-R22-Q22</f>
        <v>-0.42899999999999994</v>
      </c>
      <c r="U22" s="15">
        <f t="shared" si="104"/>
        <v>-0.90199999999999991</v>
      </c>
      <c r="V22" s="14">
        <f>V68</f>
        <v>-3.5000000000000003E-2</v>
      </c>
      <c r="W22" s="15">
        <f>W68-V22</f>
        <v>0.13900000000000001</v>
      </c>
      <c r="X22" s="239">
        <f>X68-W22-V22</f>
        <v>2.8999999999999998E-2</v>
      </c>
      <c r="Y22" s="240">
        <f>Y68-X22-W22-V22</f>
        <v>0.16700000000000001</v>
      </c>
      <c r="Z22" s="15">
        <f t="shared" si="105"/>
        <v>0.30000000000000004</v>
      </c>
      <c r="AA22" s="14">
        <f>AA68</f>
        <v>0.41699999999999998</v>
      </c>
      <c r="AB22" s="15">
        <f>AB68-AA22</f>
        <v>0.29399999999999998</v>
      </c>
      <c r="AC22" s="239">
        <f>AC68-AB22-AA22</f>
        <v>0.14100000000000007</v>
      </c>
      <c r="AD22" s="240">
        <f>AD68-AC22-AB22-AA22</f>
        <v>-1.2220000000000002</v>
      </c>
      <c r="AE22" s="15">
        <f t="shared" si="106"/>
        <v>-0.37000000000000011</v>
      </c>
      <c r="AF22" s="14">
        <f>AF68</f>
        <v>-7.6999999999999999E-2</v>
      </c>
      <c r="AG22" s="15">
        <f>AG68-AF22</f>
        <v>0.55899999999999994</v>
      </c>
      <c r="AH22" s="239">
        <f>AH68-AG22-AF22</f>
        <v>-1.5999999999999917E-2</v>
      </c>
      <c r="AI22" s="240">
        <f>AI68-AH22-AG22-AF22</f>
        <v>0.8680000000000001</v>
      </c>
      <c r="AJ22" s="15">
        <f t="shared" si="107"/>
        <v>1.3340000000000001</v>
      </c>
      <c r="AK22" s="14">
        <f>AK68</f>
        <v>-0.155</v>
      </c>
      <c r="AL22" s="15">
        <f>AL68-AK22</f>
        <v>-0.371</v>
      </c>
      <c r="AM22" s="239">
        <f>AM68-AL22-AK22</f>
        <v>-1.0129999999999999</v>
      </c>
      <c r="AN22" s="240">
        <f>AN68-AM22-AL22-AK22</f>
        <v>-1.9560000000000002</v>
      </c>
      <c r="AO22" s="15">
        <f t="shared" si="108"/>
        <v>-3.4950000000000001</v>
      </c>
      <c r="AP22" s="14">
        <f>AP68</f>
        <v>-0.42499999999999999</v>
      </c>
      <c r="AQ22" s="15">
        <f>AQ68-AP22</f>
        <v>-0.15199999999999997</v>
      </c>
      <c r="AR22" s="239">
        <f>AR68-AQ22-AP22</f>
        <v>-0.307</v>
      </c>
      <c r="AS22" s="240">
        <f>AS68-AR22-AQ22-AP22</f>
        <v>-0.4100000000000002</v>
      </c>
      <c r="AT22" s="15">
        <f t="shared" si="109"/>
        <v>-1.294</v>
      </c>
      <c r="AU22" s="14">
        <f>AU68</f>
        <v>-1.982</v>
      </c>
      <c r="AV22" s="15">
        <f>AV68-AU22</f>
        <v>-0.76</v>
      </c>
      <c r="AW22" s="239">
        <f>AW68-AV22-AU22</f>
        <v>-2.6980000000000004</v>
      </c>
      <c r="AX22" s="240">
        <f>AX68-AW22-AV22-AU22</f>
        <v>-2.9790000000000001</v>
      </c>
      <c r="AY22" s="15">
        <f t="shared" si="110"/>
        <v>-8.4190000000000005</v>
      </c>
      <c r="AZ22" s="14">
        <f>AZ68</f>
        <v>-1.43</v>
      </c>
      <c r="BA22" s="15">
        <f>BA68-AZ22</f>
        <v>-6.024</v>
      </c>
      <c r="BB22" s="239">
        <f>BB68-BA22-AZ22</f>
        <v>-1.9840000000000007</v>
      </c>
      <c r="BC22" s="240">
        <f>BC68-BB22-BA22-AZ22</f>
        <v>-6.3419999999999996</v>
      </c>
      <c r="BD22" s="15">
        <f t="shared" si="111"/>
        <v>-15.780000000000001</v>
      </c>
      <c r="BE22" s="14">
        <f>BE68</f>
        <v>-3.1160000000000001</v>
      </c>
      <c r="BF22" s="15">
        <f>BF68-BE22</f>
        <v>-1.9709999999999996</v>
      </c>
      <c r="BG22" s="239">
        <f>BG68-BF22-BE22</f>
        <v>-0.24699999999999989</v>
      </c>
      <c r="BH22" s="240">
        <f>BH68-BG22-BF22-BE22</f>
        <v>-4.6420000000000012</v>
      </c>
      <c r="BI22" s="15">
        <f t="shared" si="112"/>
        <v>-9.9760000000000009</v>
      </c>
      <c r="BJ22" s="14">
        <f>BJ68</f>
        <v>-6.6000000000000003E-2</v>
      </c>
      <c r="BK22" s="15">
        <f>BK68-BJ22</f>
        <v>-4.8310000000000004</v>
      </c>
      <c r="BL22" s="239">
        <f>BL68-BK22-BJ22</f>
        <v>-2.9239999999999995</v>
      </c>
      <c r="BM22" s="240">
        <f>BM68-BL22-BK22-BJ22</f>
        <v>-1.4340000000000008</v>
      </c>
      <c r="BN22" s="15">
        <f t="shared" si="113"/>
        <v>-9.2550000000000008</v>
      </c>
      <c r="BO22" s="14">
        <f>BO68</f>
        <v>-4.9889999999999999</v>
      </c>
      <c r="BP22" s="15">
        <f>BP68-BO22</f>
        <v>-7.737000000000001</v>
      </c>
      <c r="BQ22" s="239">
        <f>BQ68-BP22-BO22</f>
        <v>-9.5329999999999977</v>
      </c>
      <c r="BR22" s="240">
        <f>BR68-BQ22-BP22-BO22</f>
        <v>-2.0370000000000008</v>
      </c>
      <c r="BS22" s="15">
        <f t="shared" si="114"/>
        <v>-24.295999999999999</v>
      </c>
      <c r="BT22" s="14">
        <f>BT68</f>
        <v>-6.3339999999999996</v>
      </c>
      <c r="BU22" s="15">
        <f>BU68-BT22</f>
        <v>-10.829000000000001</v>
      </c>
      <c r="BV22" s="239">
        <f>BV68-BU22-BT22</f>
        <v>-3.7210000000000001</v>
      </c>
      <c r="BW22" s="240">
        <f>BW68-BV22-BU22-BT22</f>
        <v>-7.9209999999999994</v>
      </c>
      <c r="BX22" s="15">
        <f t="shared" si="115"/>
        <v>-28.805</v>
      </c>
      <c r="BY22" s="14">
        <f>BY68</f>
        <v>-21.89</v>
      </c>
      <c r="BZ22" s="15">
        <f>BZ68-BY22</f>
        <v>20.341000000000001</v>
      </c>
      <c r="CA22" s="239">
        <f>CA68-BZ22-BY22</f>
        <v>-17.141999999999996</v>
      </c>
      <c r="CB22" s="240">
        <f>CB68-CA22-BZ22-BY22</f>
        <v>-18.001000000000005</v>
      </c>
      <c r="CC22" s="15">
        <f t="shared" si="116"/>
        <v>-36.692</v>
      </c>
      <c r="CD22" s="14">
        <f>CD68</f>
        <v>-20.562000000000001</v>
      </c>
      <c r="CE22" s="15">
        <f>CE68-CD22</f>
        <v>13.169</v>
      </c>
      <c r="CF22" s="239">
        <f>CF68-CE22-CD22</f>
        <v>-2.2109999999999985</v>
      </c>
      <c r="CG22" s="240">
        <f>CG68-CF22-CE22-CD22</f>
        <v>-14.734000000000005</v>
      </c>
      <c r="CH22" s="15">
        <f t="shared" si="117"/>
        <v>-24.338000000000005</v>
      </c>
      <c r="CI22" s="14">
        <f>CI68</f>
        <v>76.600999999999971</v>
      </c>
      <c r="CJ22" s="15">
        <f>CJ68-CI22</f>
        <v>-57.153999999999968</v>
      </c>
      <c r="CK22" s="239">
        <f>CK68-CJ22-CI22</f>
        <v>3.4329999999999927</v>
      </c>
      <c r="CL22" s="240">
        <f>CL68-CK22-CJ22-CI22</f>
        <v>-3.7590000000000003</v>
      </c>
      <c r="CM22" s="352">
        <f t="shared" si="118"/>
        <v>19.120999999999995</v>
      </c>
      <c r="CN22" s="14">
        <f>CN68</f>
        <v>-1</v>
      </c>
      <c r="CO22" s="239">
        <f>+CO68-CN22</f>
        <v>-49.3</v>
      </c>
      <c r="CP22" s="239">
        <f>CP68-CO22-CN22</f>
        <v>10.199999999999996</v>
      </c>
      <c r="CQ22" s="240">
        <f>CQ68-CP22-CO22-CN22</f>
        <v>1.5</v>
      </c>
      <c r="CR22" s="239">
        <f t="shared" si="119"/>
        <v>-38.6</v>
      </c>
      <c r="CS22" s="14">
        <f>CS68</f>
        <v>-12.8</v>
      </c>
      <c r="CT22" s="239">
        <f>+CT68-CS22</f>
        <v>7.2000000000000011</v>
      </c>
      <c r="CU22" s="239">
        <f>CU68-CT22-CS22</f>
        <v>-45.400000000000006</v>
      </c>
      <c r="CV22" s="239">
        <f>CV68-CU22-CT22-CS22</f>
        <v>-7.9999999999999964</v>
      </c>
      <c r="CW22" s="835">
        <f>SUM(CS22:CV22)</f>
        <v>-59</v>
      </c>
      <c r="CX22" s="1052">
        <f>CX68</f>
        <v>-31</v>
      </c>
      <c r="CY22" s="1037">
        <f>+CY68-CX22</f>
        <v>-15</v>
      </c>
      <c r="CZ22" s="1037">
        <f t="shared" si="97"/>
        <v>-19</v>
      </c>
      <c r="DA22" s="1109">
        <f>BS!CZ38+BS!CZ39-BS!DA38-BS!DA39</f>
        <v>26</v>
      </c>
      <c r="DB22" s="1039">
        <f>SUM(CX22:DA22)</f>
        <v>-39</v>
      </c>
      <c r="DC22" s="1037">
        <f>BS!DA38+BS!DA39-BS!DC38-BS!DC39</f>
        <v>-120</v>
      </c>
      <c r="DD22" s="1037">
        <f>BS!DC38+BS!DC39-BS!DD38-BS!DD39</f>
        <v>0</v>
      </c>
      <c r="DE22" s="1037">
        <f>BS!DD38+BS!DD39-BS!DE38-BS!DE39</f>
        <v>-120</v>
      </c>
      <c r="DF22" s="1037">
        <f>BS!DE38+BS!DE39-BS!DF38-BS!DF39</f>
        <v>0</v>
      </c>
      <c r="DG22" s="1039">
        <f>SUM(DC22:DF22)</f>
        <v>-240</v>
      </c>
      <c r="DH22" s="1037">
        <f>BS!DF38+BS!DF39-BS!DH38-BS!DH39</f>
        <v>-120</v>
      </c>
      <c r="DI22" s="1037">
        <f>BS!DH38+BS!DH39-BS!DI38-BS!DI39</f>
        <v>0</v>
      </c>
      <c r="DJ22" s="1037">
        <f>BS!DI38+BS!DI39-BS!DJ38-BS!DJ39</f>
        <v>-120</v>
      </c>
      <c r="DK22" s="1037">
        <f>BS!DJ38+BS!DJ39-BS!DK38-BS!DK39</f>
        <v>0</v>
      </c>
      <c r="DL22" s="1039">
        <f>SUM(DH22:DK22)</f>
        <v>-240</v>
      </c>
      <c r="DM22" s="1037">
        <f>BS!DK38+BS!DK39-BS!DM38-BS!DM39</f>
        <v>-100</v>
      </c>
      <c r="DN22" s="1037">
        <f>BS!DM38+BS!DM39-BS!DN38-BS!DN39</f>
        <v>0</v>
      </c>
      <c r="DO22" s="1037">
        <f>BS!DN38+BS!DN39-BS!DO38-BS!DO39</f>
        <v>-100</v>
      </c>
      <c r="DP22" s="1037">
        <f>BS!DO38+BS!DO39-BS!DP38-BS!DP39</f>
        <v>0</v>
      </c>
      <c r="DQ22" s="1039">
        <f>SUM(DM22:DP22)</f>
        <v>-200</v>
      </c>
      <c r="DR22" s="4"/>
      <c r="DS22" s="112"/>
    </row>
    <row r="23" spans="1:129" ht="11.25" customHeight="1">
      <c r="A23" s="114"/>
      <c r="B23" s="3"/>
      <c r="C23" s="1030" t="s">
        <v>57</v>
      </c>
      <c r="D23" s="4"/>
      <c r="E23" s="4"/>
      <c r="F23" s="4"/>
      <c r="G23" s="14">
        <f>G69</f>
        <v>-0.249</v>
      </c>
      <c r="H23" s="15">
        <f>H69-G23</f>
        <v>-0.375</v>
      </c>
      <c r="I23" s="239">
        <f>I69-H23-G23</f>
        <v>-9.000000000000008E-3</v>
      </c>
      <c r="J23" s="240">
        <f>J69-I23-H23-G23</f>
        <v>0.83399999999999996</v>
      </c>
      <c r="K23" s="14">
        <f t="shared" si="102"/>
        <v>0.20099999999999996</v>
      </c>
      <c r="L23" s="14">
        <f>L69</f>
        <v>-8.0000000000000002E-3</v>
      </c>
      <c r="M23" s="15">
        <f>M69-L23</f>
        <v>-0.65900000000000003</v>
      </c>
      <c r="N23" s="239">
        <f>N69-M23-L23</f>
        <v>0.10400000000000009</v>
      </c>
      <c r="O23" s="240">
        <f>O69-N23-M23-L23</f>
        <v>0.25399999999999995</v>
      </c>
      <c r="P23" s="15">
        <f t="shared" si="103"/>
        <v>-0.309</v>
      </c>
      <c r="Q23" s="14">
        <f>Q69</f>
        <v>0.33600000000000002</v>
      </c>
      <c r="R23" s="15">
        <f>R69-Q23</f>
        <v>-0.24800000000000003</v>
      </c>
      <c r="S23" s="239">
        <f>S69-R23-Q23</f>
        <v>0.38000000000000006</v>
      </c>
      <c r="T23" s="240">
        <f>T69-S23-R23-Q23</f>
        <v>0.94599999999999973</v>
      </c>
      <c r="U23" s="15">
        <f t="shared" si="104"/>
        <v>1.4139999999999997</v>
      </c>
      <c r="V23" s="14">
        <f>V69</f>
        <v>-0.627</v>
      </c>
      <c r="W23" s="15">
        <f>W69-V23</f>
        <v>-0.23199999999999998</v>
      </c>
      <c r="X23" s="239">
        <f>X69-W23-V23</f>
        <v>1.0049999999999999</v>
      </c>
      <c r="Y23" s="240">
        <f>Y69-X23-W23-V23</f>
        <v>0.65700000000000014</v>
      </c>
      <c r="Z23" s="15">
        <f t="shared" si="105"/>
        <v>0.80300000000000005</v>
      </c>
      <c r="AA23" s="14">
        <f>AA69</f>
        <v>-9.1999999999999998E-2</v>
      </c>
      <c r="AB23" s="15">
        <f>AB69-AA23</f>
        <v>1.0469999999999999</v>
      </c>
      <c r="AC23" s="239">
        <f>AC69-AB23-AA23</f>
        <v>0.2100000000000001</v>
      </c>
      <c r="AD23" s="240">
        <f>AD69-AC23-AB23-AA23</f>
        <v>2.1309999999999998</v>
      </c>
      <c r="AE23" s="15">
        <f t="shared" si="106"/>
        <v>3.2959999999999998</v>
      </c>
      <c r="AF23" s="14">
        <f>AF69</f>
        <v>-1.3049999999999999</v>
      </c>
      <c r="AG23" s="15">
        <f>AG69-AF23</f>
        <v>0.57899999999999996</v>
      </c>
      <c r="AH23" s="239">
        <f>AH69-AG23-AF23</f>
        <v>-0.55000000000000004</v>
      </c>
      <c r="AI23" s="240">
        <f>AI69-AH23-AG23-AF23</f>
        <v>3.0609999999999999</v>
      </c>
      <c r="AJ23" s="15">
        <f t="shared" si="107"/>
        <v>1.7849999999999999</v>
      </c>
      <c r="AK23" s="14">
        <f>AK69</f>
        <v>-0.95499999999999996</v>
      </c>
      <c r="AL23" s="15">
        <f>AL69-AK23</f>
        <v>0.70099999999999996</v>
      </c>
      <c r="AM23" s="239">
        <f>AM69-AL23-AK23</f>
        <v>2.57</v>
      </c>
      <c r="AN23" s="240">
        <f>AN69-AM23-AL23-AK23</f>
        <v>-0.76999999999999968</v>
      </c>
      <c r="AO23" s="15">
        <f t="shared" si="108"/>
        <v>1.5460000000000003</v>
      </c>
      <c r="AP23" s="14">
        <f>AP69</f>
        <v>1.996</v>
      </c>
      <c r="AQ23" s="15">
        <f>AQ69-AP23</f>
        <v>-1.3010000000000002</v>
      </c>
      <c r="AR23" s="239">
        <f>AR69-AQ23-AP23</f>
        <v>2.9230000000000005</v>
      </c>
      <c r="AS23" s="240">
        <f>AS69-AR23-AQ23-AP23</f>
        <v>-1.4100000000000001</v>
      </c>
      <c r="AT23" s="15">
        <f t="shared" si="109"/>
        <v>2.2080000000000002</v>
      </c>
      <c r="AU23" s="14">
        <f>AU69</f>
        <v>4.62</v>
      </c>
      <c r="AV23" s="15">
        <f>AV69-AU23</f>
        <v>2.3529999999999998</v>
      </c>
      <c r="AW23" s="239">
        <f>AW69-AV23-AU23</f>
        <v>2.3319999999999999</v>
      </c>
      <c r="AX23" s="240">
        <f>AX69-AW23-AV23-AU23</f>
        <v>1.5119999999999996</v>
      </c>
      <c r="AY23" s="15">
        <f t="shared" si="110"/>
        <v>10.817</v>
      </c>
      <c r="AZ23" s="14">
        <f>AZ69</f>
        <v>19.417000000000002</v>
      </c>
      <c r="BA23" s="15">
        <f>BA69-AZ23</f>
        <v>-21.293000000000003</v>
      </c>
      <c r="BB23" s="239">
        <f>BB69-BA23-AZ23</f>
        <v>5.213000000000001</v>
      </c>
      <c r="BC23" s="240">
        <f>BC69-BB23-BA23-AZ23</f>
        <v>7.2169999999999987</v>
      </c>
      <c r="BD23" s="15">
        <f t="shared" si="111"/>
        <v>10.553999999999998</v>
      </c>
      <c r="BE23" s="14">
        <f>BE69</f>
        <v>11.132</v>
      </c>
      <c r="BF23" s="15">
        <f>BF69-BE23</f>
        <v>2.5890000000000004</v>
      </c>
      <c r="BG23" s="239">
        <f>BG69-BF23-BE23</f>
        <v>0.40199999999999925</v>
      </c>
      <c r="BH23" s="240">
        <f>BH69-BG23-BF23-BE23</f>
        <v>5.1600000000000019</v>
      </c>
      <c r="BI23" s="15">
        <f t="shared" si="112"/>
        <v>19.283000000000001</v>
      </c>
      <c r="BJ23" s="14">
        <f>BJ69</f>
        <v>16.861000000000001</v>
      </c>
      <c r="BK23" s="15">
        <f>BK69-BJ23</f>
        <v>-16.975000000000001</v>
      </c>
      <c r="BL23" s="239">
        <f>BL69-BK23-BJ23</f>
        <v>9.8360000000000021</v>
      </c>
      <c r="BM23" s="240">
        <f>BM69-BL23-BK23-BJ23</f>
        <v>-3.0470000000000006</v>
      </c>
      <c r="BN23" s="15">
        <f t="shared" si="113"/>
        <v>6.6750000000000007</v>
      </c>
      <c r="BO23" s="14">
        <f>BO69</f>
        <v>36.088000000000001</v>
      </c>
      <c r="BP23" s="15">
        <f>BP69-BO23</f>
        <v>-15.470000000000002</v>
      </c>
      <c r="BQ23" s="239">
        <f>BQ69-BP23-BO23</f>
        <v>15.949000000000005</v>
      </c>
      <c r="BR23" s="240">
        <f>BR69-BQ23-BP23-BO23</f>
        <v>-17.970000000000002</v>
      </c>
      <c r="BS23" s="15">
        <f t="shared" si="114"/>
        <v>18.597000000000005</v>
      </c>
      <c r="BT23" s="14">
        <f>BT69</f>
        <v>41.079000000000001</v>
      </c>
      <c r="BU23" s="15">
        <f>BU69-BT23</f>
        <v>-33.435000000000002</v>
      </c>
      <c r="BV23" s="239">
        <f>BV69-BU23-BT23</f>
        <v>-10.297999999999998</v>
      </c>
      <c r="BW23" s="240">
        <f>BW69-BV23-BU23-BT23</f>
        <v>-5.9390000000000001</v>
      </c>
      <c r="BX23" s="15">
        <f t="shared" si="115"/>
        <v>-8.593</v>
      </c>
      <c r="BY23" s="14">
        <f>BY69</f>
        <v>38.581000000000003</v>
      </c>
      <c r="BZ23" s="15">
        <f>BZ69-BY23</f>
        <v>-11.396000000000004</v>
      </c>
      <c r="CA23" s="239">
        <f>CA69-BZ23-BY23</f>
        <v>12.201000000000008</v>
      </c>
      <c r="CB23" s="240">
        <f>CB69-CA23-BZ23-BY23</f>
        <v>-6.6130000000000031</v>
      </c>
      <c r="CC23" s="15">
        <f t="shared" si="116"/>
        <v>32.77300000000001</v>
      </c>
      <c r="CD23" s="14">
        <f>CD69</f>
        <v>16.268999999999998</v>
      </c>
      <c r="CE23" s="15">
        <f>CE69-CD23</f>
        <v>-28.535999999999998</v>
      </c>
      <c r="CF23" s="239">
        <f>CF69-CE23-CD23</f>
        <v>15.518000000000001</v>
      </c>
      <c r="CG23" s="240">
        <f>CG69-CF23-CE23-CD23</f>
        <v>-15.373999999999999</v>
      </c>
      <c r="CH23" s="15">
        <f t="shared" si="117"/>
        <v>-12.122999999999998</v>
      </c>
      <c r="CI23" s="14">
        <f>CI69</f>
        <v>62.97999999999999</v>
      </c>
      <c r="CJ23" s="15">
        <f>CJ69-CI23</f>
        <v>-54.855999999999987</v>
      </c>
      <c r="CK23" s="239">
        <f>CK69-CJ23-CI23</f>
        <v>36.477000000000004</v>
      </c>
      <c r="CL23" s="240">
        <f>CL69-CK23-CJ23-CI23</f>
        <v>-18.920000000000002</v>
      </c>
      <c r="CM23" s="352">
        <f t="shared" si="118"/>
        <v>25.681000000000004</v>
      </c>
      <c r="CN23" s="14">
        <f>CN69</f>
        <v>28.3</v>
      </c>
      <c r="CO23" s="239">
        <f>+CO69-CN23</f>
        <v>-8.9000000000000021</v>
      </c>
      <c r="CP23" s="239">
        <f>CP69-CO23-CN23</f>
        <v>-2.5999999999999979</v>
      </c>
      <c r="CQ23" s="240">
        <f>CQ69-CP23-CO23-CN23</f>
        <v>2.5999999999999979</v>
      </c>
      <c r="CR23" s="239">
        <f t="shared" si="119"/>
        <v>19.399999999999999</v>
      </c>
      <c r="CS23" s="14">
        <f>CS69</f>
        <v>48.1</v>
      </c>
      <c r="CT23" s="239">
        <f>+CT69-CS23</f>
        <v>-42.2</v>
      </c>
      <c r="CU23" s="239">
        <f>CU69-CT23-CS23</f>
        <v>6</v>
      </c>
      <c r="CV23" s="239">
        <f>CV69-CU23-CT23-CS23</f>
        <v>-5.8999999999999986</v>
      </c>
      <c r="CW23" s="835">
        <f>SUM(CS23:CV23)</f>
        <v>6</v>
      </c>
      <c r="CX23" s="1052">
        <f>CX69</f>
        <v>13</v>
      </c>
      <c r="CY23" s="1037">
        <f>+CY69-CX23</f>
        <v>-11</v>
      </c>
      <c r="CZ23" s="1037">
        <f t="shared" si="97"/>
        <v>-7</v>
      </c>
      <c r="DA23" s="1109">
        <f>BS!DA45-BS!CZ45</f>
        <v>24</v>
      </c>
      <c r="DB23" s="1039">
        <f>SUM(CX23:DA23)</f>
        <v>19</v>
      </c>
      <c r="DC23" s="1037">
        <f>BS!DC45-BS!DA45</f>
        <v>-16.016411577028293</v>
      </c>
      <c r="DD23" s="1037">
        <f>BS!DD45-BS!DC45</f>
        <v>2.7503541511105425</v>
      </c>
      <c r="DE23" s="1037">
        <f>BS!DE45-BS!DD45</f>
        <v>-3.9939698740394647</v>
      </c>
      <c r="DF23" s="1037">
        <f>BS!DF45-BS!DE45</f>
        <v>17.100091706736833</v>
      </c>
      <c r="DG23" s="1039">
        <f>SUM(DC23:DF23)</f>
        <v>-0.15993559322038209</v>
      </c>
      <c r="DH23" s="1037">
        <f>BS!DH45-BS!DF45</f>
        <v>-2.5371179097422782</v>
      </c>
      <c r="DI23" s="1037">
        <f>BS!DI45-BS!DH45</f>
        <v>3.3648681863770662</v>
      </c>
      <c r="DJ23" s="1037">
        <f>BS!DJ45-BS!DI45</f>
        <v>-3.9111112102650623</v>
      </c>
      <c r="DK23" s="1037">
        <f>BS!DK45-BS!DJ45</f>
        <v>18.851552474986278</v>
      </c>
      <c r="DL23" s="1039">
        <f>SUM(DH23:DK23)</f>
        <v>15.768191541356003</v>
      </c>
      <c r="DM23" s="1037">
        <f>BS!DM45-BS!DK45</f>
        <v>-1.6334286003177567</v>
      </c>
      <c r="DN23" s="1037">
        <f>BS!DN45-BS!DM45</f>
        <v>3.1153780881202238</v>
      </c>
      <c r="DO23" s="1037">
        <f>BS!DO45-BS!DN45</f>
        <v>-3.8909387358637275</v>
      </c>
      <c r="DP23" s="1037">
        <f>BS!DP45-BS!DO45</f>
        <v>20.081979519559525</v>
      </c>
      <c r="DQ23" s="1039">
        <f>SUM(DM23:DP23)</f>
        <v>17.672990271498264</v>
      </c>
      <c r="DR23" s="4"/>
      <c r="DS23" s="112"/>
    </row>
    <row r="24" spans="1:129" ht="11.25" customHeight="1">
      <c r="A24" s="114"/>
      <c r="B24" s="3"/>
      <c r="C24" s="1030" t="s">
        <v>89</v>
      </c>
      <c r="D24" s="4"/>
      <c r="E24" s="4"/>
      <c r="F24" s="4"/>
      <c r="G24" s="14">
        <f>G70</f>
        <v>0.371</v>
      </c>
      <c r="H24" s="15">
        <f>H70-G24</f>
        <v>3.1349999999999998</v>
      </c>
      <c r="I24" s="239">
        <f>I70-H24-G24</f>
        <v>1.9239999999999999</v>
      </c>
      <c r="J24" s="240">
        <f>J70-I24-H24-G24</f>
        <v>2.1180000000000008</v>
      </c>
      <c r="K24" s="14">
        <f t="shared" si="102"/>
        <v>7.548</v>
      </c>
      <c r="L24" s="14">
        <f>L70</f>
        <v>-2.2770000000000001</v>
      </c>
      <c r="M24" s="15">
        <f>M70-L24</f>
        <v>0.32200000000000006</v>
      </c>
      <c r="N24" s="239">
        <f>N70-M24-L24</f>
        <v>0.996</v>
      </c>
      <c r="O24" s="240">
        <f>O70-N24-M24-L24</f>
        <v>1.5210000000000001</v>
      </c>
      <c r="P24" s="15">
        <f t="shared" si="103"/>
        <v>0.56200000000000006</v>
      </c>
      <c r="Q24" s="14">
        <f>Q70</f>
        <v>-2.0459999999999998</v>
      </c>
      <c r="R24" s="15">
        <f>R70-Q24</f>
        <v>3.3109999999999999</v>
      </c>
      <c r="S24" s="239">
        <f>S70-R24-Q24</f>
        <v>4.8829999999999991</v>
      </c>
      <c r="T24" s="240">
        <f>T70-S24-R24-Q24</f>
        <v>5.9480000000000004</v>
      </c>
      <c r="U24" s="15">
        <f t="shared" si="104"/>
        <v>12.096</v>
      </c>
      <c r="V24" s="14">
        <f>V70</f>
        <v>-5.5590000000000002</v>
      </c>
      <c r="W24" s="15">
        <f>W70-V24</f>
        <v>-0.13499999999999979</v>
      </c>
      <c r="X24" s="239">
        <f>X70-W24-V24</f>
        <v>2.5179999999999998</v>
      </c>
      <c r="Y24" s="240">
        <f>Y70-X24-W24-V24</f>
        <v>-2.6429999999999998</v>
      </c>
      <c r="Z24" s="15">
        <f t="shared" si="105"/>
        <v>-5.819</v>
      </c>
      <c r="AA24" s="14">
        <f>AA70</f>
        <v>0.75800000000000001</v>
      </c>
      <c r="AB24" s="15">
        <f>AB70-AA24</f>
        <v>8.6969999999999992</v>
      </c>
      <c r="AC24" s="239">
        <f>AC70-AB24-AA24</f>
        <v>0.36400000000000166</v>
      </c>
      <c r="AD24" s="240">
        <f>AD70-AC24-AB24-AA24</f>
        <v>4.9939999999999989</v>
      </c>
      <c r="AE24" s="15">
        <f t="shared" si="106"/>
        <v>14.812999999999999</v>
      </c>
      <c r="AF24" s="14">
        <f>AF70</f>
        <v>-1.617</v>
      </c>
      <c r="AG24" s="15">
        <f>AG70-AF24</f>
        <v>1.67</v>
      </c>
      <c r="AH24" s="239">
        <f>AH70-AG24-AF24</f>
        <v>8.5289999999999999</v>
      </c>
      <c r="AI24" s="240">
        <f>AI70-AH24-AG24-AF24</f>
        <v>7.0529999999999999</v>
      </c>
      <c r="AJ24" s="15">
        <f t="shared" si="107"/>
        <v>15.635000000000002</v>
      </c>
      <c r="AK24" s="14">
        <f>AK70</f>
        <v>0.83399999999999996</v>
      </c>
      <c r="AL24" s="15">
        <f>AL70-AK24</f>
        <v>9.0850000000000009</v>
      </c>
      <c r="AM24" s="239">
        <f>AM70-AL24-AK24</f>
        <v>21.088999999999999</v>
      </c>
      <c r="AN24" s="240">
        <f>AN70-AM24-AL24-AK24</f>
        <v>17.616000000000003</v>
      </c>
      <c r="AO24" s="15">
        <f t="shared" si="108"/>
        <v>48.624000000000002</v>
      </c>
      <c r="AP24" s="14">
        <f>AP70</f>
        <v>-18.885999999999999</v>
      </c>
      <c r="AQ24" s="15">
        <f>AQ70-AP24</f>
        <v>14.526</v>
      </c>
      <c r="AR24" s="239">
        <f>AR70-AQ24-AP24</f>
        <v>17.817999999999998</v>
      </c>
      <c r="AS24" s="240">
        <f>AS70-AR24-AQ24-AP24</f>
        <v>24.896999999999998</v>
      </c>
      <c r="AT24" s="15">
        <f t="shared" si="109"/>
        <v>38.354999999999997</v>
      </c>
      <c r="AU24" s="14">
        <f>AU70</f>
        <v>-18.64</v>
      </c>
      <c r="AV24" s="15">
        <f>AV70-AU24</f>
        <v>25.580000000000002</v>
      </c>
      <c r="AW24" s="239">
        <f>AW70-AV24-AU24</f>
        <v>39.578999999999994</v>
      </c>
      <c r="AX24" s="240">
        <f>AX70-AW24-AV24-AU24</f>
        <v>34.706000000000003</v>
      </c>
      <c r="AY24" s="15">
        <f t="shared" si="110"/>
        <v>81.224999999999994</v>
      </c>
      <c r="AZ24" s="14">
        <f>AZ70</f>
        <v>-14.672000000000001</v>
      </c>
      <c r="BA24" s="15">
        <f>BA70-AZ24</f>
        <v>19.603999999999999</v>
      </c>
      <c r="BB24" s="239">
        <f>BB70-BA24-AZ24</f>
        <v>33.635000000000005</v>
      </c>
      <c r="BC24" s="240">
        <f>BC70-BB24-BA24-AZ24</f>
        <v>38.769999999999996</v>
      </c>
      <c r="BD24" s="15">
        <f t="shared" si="111"/>
        <v>77.337000000000003</v>
      </c>
      <c r="BE24" s="14">
        <f>BE70</f>
        <v>-47.918999999999997</v>
      </c>
      <c r="BF24" s="15">
        <f>BF70-BE24</f>
        <v>16.515999999999998</v>
      </c>
      <c r="BG24" s="239">
        <f>BG70-BF24-BE24</f>
        <v>33.564999999999998</v>
      </c>
      <c r="BH24" s="240">
        <f>BH70-BG24-BF24-BE24</f>
        <v>79.200999999999993</v>
      </c>
      <c r="BI24" s="15">
        <f t="shared" si="112"/>
        <v>81.363</v>
      </c>
      <c r="BJ24" s="14">
        <f>BJ70</f>
        <v>-69.619</v>
      </c>
      <c r="BK24" s="15">
        <f>BK70-BJ24</f>
        <v>42.828000000000003</v>
      </c>
      <c r="BL24" s="239">
        <f>BL70-BK24-BJ24</f>
        <v>105.315</v>
      </c>
      <c r="BM24" s="240">
        <f>BM70-BL24-BK24-BJ24</f>
        <v>129.35900000000001</v>
      </c>
      <c r="BN24" s="15">
        <f t="shared" si="113"/>
        <v>207.88300000000001</v>
      </c>
      <c r="BO24" s="14">
        <f>BO70</f>
        <v>-83.138999999999996</v>
      </c>
      <c r="BP24" s="15">
        <f>BP70-BO24</f>
        <v>64.596000000000004</v>
      </c>
      <c r="BQ24" s="239">
        <f>BQ70-BP24-BO24</f>
        <v>138.125</v>
      </c>
      <c r="BR24" s="240">
        <f>BR70-BQ24-BP24-BO24</f>
        <v>229.31600000000003</v>
      </c>
      <c r="BS24" s="15">
        <f t="shared" si="114"/>
        <v>348.89800000000002</v>
      </c>
      <c r="BT24" s="14">
        <f>BT70</f>
        <v>-149.82499999999999</v>
      </c>
      <c r="BU24" s="15">
        <f>BU70-BT24</f>
        <v>134.84199999999998</v>
      </c>
      <c r="BV24" s="239">
        <f>BV70-BU24-BT24</f>
        <v>109.536</v>
      </c>
      <c r="BW24" s="240">
        <f>BW70-BV24-BU24-BT24</f>
        <v>100.48500000000001</v>
      </c>
      <c r="BX24" s="15">
        <f t="shared" si="115"/>
        <v>195.03800000000001</v>
      </c>
      <c r="BY24" s="14">
        <f>BY70</f>
        <v>-136.16</v>
      </c>
      <c r="BZ24" s="15">
        <f>BZ70-BY24</f>
        <v>66.037999999999997</v>
      </c>
      <c r="CA24" s="239">
        <f>CA70-BZ24-BY24</f>
        <v>171.821</v>
      </c>
      <c r="CB24" s="240">
        <f>CB70-CA24-BZ24-BY24</f>
        <v>106.73899999999999</v>
      </c>
      <c r="CC24" s="15">
        <f t="shared" si="116"/>
        <v>208.43799999999999</v>
      </c>
      <c r="CD24" s="14">
        <f>CD70</f>
        <v>-139.626</v>
      </c>
      <c r="CE24" s="15">
        <f>CE70-CD24</f>
        <v>96.062000000000012</v>
      </c>
      <c r="CF24" s="239">
        <f>CF70-CE24-CD24</f>
        <v>156.495</v>
      </c>
      <c r="CG24" s="240">
        <f>CG70-CF24-CE24-CD24</f>
        <v>215.79499999999999</v>
      </c>
      <c r="CH24" s="15">
        <f t="shared" si="117"/>
        <v>328.726</v>
      </c>
      <c r="CI24" s="14">
        <f>CI70</f>
        <v>-388.1</v>
      </c>
      <c r="CJ24" s="15">
        <f>CJ70-CI24</f>
        <v>261.06600000000003</v>
      </c>
      <c r="CK24" s="239">
        <f>CK70-CJ24-CI24</f>
        <v>171.86599999999999</v>
      </c>
      <c r="CL24" s="240">
        <f>CL70-CK24-CJ24-CI24</f>
        <v>67.319999999999993</v>
      </c>
      <c r="CM24" s="352">
        <f t="shared" si="118"/>
        <v>112.15199999999999</v>
      </c>
      <c r="CN24" s="14">
        <f>CN70</f>
        <v>-201.7</v>
      </c>
      <c r="CO24" s="239">
        <f>+CO70-CN24</f>
        <v>71.399999999999977</v>
      </c>
      <c r="CP24" s="239">
        <f>CP70-CO24-CN24</f>
        <v>321.3</v>
      </c>
      <c r="CQ24" s="240">
        <f>CQ70-CP24-CO24-CN24</f>
        <v>291.8</v>
      </c>
      <c r="CR24" s="239">
        <f t="shared" si="119"/>
        <v>482.8</v>
      </c>
      <c r="CS24" s="14">
        <f>CS70</f>
        <v>-484.59999999999997</v>
      </c>
      <c r="CT24" s="239">
        <f>+CT70-CS24</f>
        <v>200</v>
      </c>
      <c r="CU24" s="239">
        <f>CU70-CT24-CS24</f>
        <v>154.49999999999994</v>
      </c>
      <c r="CV24" s="239">
        <f>CV70-CU24-CT24-CS24</f>
        <v>146.10000000000002</v>
      </c>
      <c r="CW24" s="835">
        <f>SUM(CS24:CV24)</f>
        <v>16</v>
      </c>
      <c r="CX24" s="1052">
        <f>CX70</f>
        <v>-317</v>
      </c>
      <c r="CY24" s="1037">
        <f>+CY70-CX24</f>
        <v>38</v>
      </c>
      <c r="CZ24" s="1037">
        <f t="shared" si="97"/>
        <v>262</v>
      </c>
      <c r="DA24" s="1109">
        <f>536-SUM(DA20:DA23)</f>
        <v>697</v>
      </c>
      <c r="DB24" s="1039">
        <f>SUM(CX24:DA24)</f>
        <v>680</v>
      </c>
      <c r="DC24" s="1037">
        <f>BS!DC46+BS!DC48+BS!DC53+BS!DC54-BS!DA46-BS!DA48-BS!DA53-BS!DA54</f>
        <v>-131.70796887582355</v>
      </c>
      <c r="DD24" s="1037">
        <f>BS!DD46+BS!DD48+BS!DD53+BS!DD54-BS!DC46-BS!DC48-BS!DC53-BS!DC54</f>
        <v>-260.15721871586288</v>
      </c>
      <c r="DE24" s="1037">
        <f>BS!DE46+BS!DE48+BS!DE53+BS!DE54-BS!DD46-BS!DD48-BS!DD53-BS!DD54</f>
        <v>260.91886033517221</v>
      </c>
      <c r="DF24" s="1037">
        <f>BS!DF46+BS!DF48+BS!DF53+BS!DF54-BS!DE46-BS!DE48-BS!DE53-BS!DE54</f>
        <v>123.70155812383064</v>
      </c>
      <c r="DG24" s="1039">
        <f>SUM(DC24:DF24)</f>
        <v>-7.2447691326835866</v>
      </c>
      <c r="DH24" s="1037">
        <f>BS!DH46+BS!DH48+BS!DH53+BS!DH54-BS!DF46-BS!DF48-BS!DF53-BS!DF54</f>
        <v>-64.170380641724478</v>
      </c>
      <c r="DI24" s="1037">
        <f>BS!DI46+BS!DI48+BS!DI53+BS!DI54-BS!DH46-BS!DH48-BS!DH53-BS!DH54</f>
        <v>-269.29903668770271</v>
      </c>
      <c r="DJ24" s="1037">
        <f>BS!DJ46+BS!DJ48+BS!DJ53+BS!DJ54-BS!DI46-BS!DI48-BS!DI53-BS!DI54</f>
        <v>213.14139879128879</v>
      </c>
      <c r="DK24" s="1037">
        <f>BS!DK46+BS!DK48+BS!DK53+BS!DK54-BS!DJ46-BS!DJ48-BS!DJ53-BS!DJ54</f>
        <v>145.6439723181561</v>
      </c>
      <c r="DL24" s="1039">
        <f>SUM(DH24:DK24)</f>
        <v>25.315953780017708</v>
      </c>
      <c r="DM24" s="1037">
        <f>BS!DM46+BS!DM48+BS!DM53+BS!DM54-BS!DK46-BS!DK48-BS!DK53-BS!DK54</f>
        <v>21.711005901196131</v>
      </c>
      <c r="DN24" s="1037">
        <f>BS!DN46+BS!DN48+BS!DN53+BS!DN54-BS!DM46-BS!DM48-BS!DM53-BS!DM54</f>
        <v>-296.49523567330607</v>
      </c>
      <c r="DO24" s="1037">
        <f>BS!DO46+BS!DO48+BS!DO53+BS!DO54-BS!DN46-BS!DN48-BS!DN53-BS!DN54</f>
        <v>158.83884235804339</v>
      </c>
      <c r="DP24" s="1037">
        <f>BS!DP46+BS!DP48+BS!DP53+BS!DP54-BS!DO46-BS!DO48-BS!DO53-BS!DO54</f>
        <v>153.52465902806762</v>
      </c>
      <c r="DQ24" s="1039">
        <f>SUM(DM24:DP24)</f>
        <v>37.579271614001073</v>
      </c>
      <c r="DR24" s="4"/>
      <c r="DS24" s="112"/>
    </row>
    <row r="25" spans="1:129" s="188" customFormat="1" ht="11.25" customHeight="1">
      <c r="B25" s="73" t="s">
        <v>90</v>
      </c>
      <c r="C25" s="74"/>
      <c r="D25" s="74"/>
      <c r="E25" s="74"/>
      <c r="F25" s="74"/>
      <c r="G25" s="195">
        <f t="shared" ref="G25:AS25" si="120">SUM(G12:G24)</f>
        <v>0.61799999999999988</v>
      </c>
      <c r="H25" s="194">
        <f t="shared" si="120"/>
        <v>4.1029999999999998</v>
      </c>
      <c r="I25" s="241">
        <f t="shared" si="120"/>
        <v>5.1169999999999991</v>
      </c>
      <c r="J25" s="242">
        <f t="shared" si="120"/>
        <v>3.5200000000000005</v>
      </c>
      <c r="K25" s="195">
        <f t="shared" si="102"/>
        <v>13.358000000000001</v>
      </c>
      <c r="L25" s="195">
        <f t="shared" si="120"/>
        <v>-2.1669999999999998</v>
      </c>
      <c r="M25" s="194">
        <f t="shared" si="120"/>
        <v>6.1519999999999992</v>
      </c>
      <c r="N25" s="241">
        <f t="shared" si="120"/>
        <v>5.9220000000000006</v>
      </c>
      <c r="O25" s="242">
        <f t="shared" si="120"/>
        <v>9.5390000000000015</v>
      </c>
      <c r="P25" s="194">
        <f t="shared" si="103"/>
        <v>19.446000000000002</v>
      </c>
      <c r="Q25" s="195">
        <f t="shared" si="120"/>
        <v>-1.8510000000000013</v>
      </c>
      <c r="R25" s="194">
        <f t="shared" si="120"/>
        <v>8.3560000000000016</v>
      </c>
      <c r="S25" s="241">
        <f t="shared" si="120"/>
        <v>10.687999999999999</v>
      </c>
      <c r="T25" s="242">
        <f t="shared" si="120"/>
        <v>13.027000000000001</v>
      </c>
      <c r="U25" s="194">
        <f t="shared" si="104"/>
        <v>30.22</v>
      </c>
      <c r="V25" s="195">
        <f t="shared" si="120"/>
        <v>1.4580000000000002</v>
      </c>
      <c r="W25" s="194">
        <f t="shared" si="120"/>
        <v>6.4850000000000003</v>
      </c>
      <c r="X25" s="241">
        <f t="shared" si="120"/>
        <v>15.771999999999998</v>
      </c>
      <c r="Y25" s="242">
        <f t="shared" si="120"/>
        <v>8.3640000000000008</v>
      </c>
      <c r="Z25" s="194">
        <f t="shared" si="105"/>
        <v>32.079000000000001</v>
      </c>
      <c r="AA25" s="195">
        <f t="shared" si="120"/>
        <v>7.5249999999999986</v>
      </c>
      <c r="AB25" s="194">
        <f t="shared" si="120"/>
        <v>12.850999999999999</v>
      </c>
      <c r="AC25" s="241">
        <f t="shared" si="120"/>
        <v>15.21</v>
      </c>
      <c r="AD25" s="242">
        <f t="shared" si="120"/>
        <v>21.096000000000004</v>
      </c>
      <c r="AE25" s="194">
        <f t="shared" si="106"/>
        <v>56.682000000000002</v>
      </c>
      <c r="AF25" s="195">
        <f t="shared" si="120"/>
        <v>6.7270000000000012</v>
      </c>
      <c r="AG25" s="194">
        <f t="shared" si="120"/>
        <v>16.271000000000001</v>
      </c>
      <c r="AH25" s="241">
        <f t="shared" si="120"/>
        <v>18.961999999999996</v>
      </c>
      <c r="AI25" s="242">
        <f t="shared" si="120"/>
        <v>37.902000000000001</v>
      </c>
      <c r="AJ25" s="194">
        <f t="shared" si="107"/>
        <v>79.861999999999995</v>
      </c>
      <c r="AK25" s="195">
        <f t="shared" si="120"/>
        <v>2.7589999999999968</v>
      </c>
      <c r="AL25" s="194">
        <f t="shared" si="120"/>
        <v>30.805000000000003</v>
      </c>
      <c r="AM25" s="241">
        <f t="shared" si="120"/>
        <v>41.972000000000001</v>
      </c>
      <c r="AN25" s="242">
        <f t="shared" si="120"/>
        <v>51.796999999999983</v>
      </c>
      <c r="AO25" s="194">
        <f t="shared" si="108"/>
        <v>127.33299999999998</v>
      </c>
      <c r="AP25" s="195">
        <f t="shared" si="120"/>
        <v>-0.3940000000000019</v>
      </c>
      <c r="AQ25" s="194">
        <f t="shared" si="120"/>
        <v>31.054999999999996</v>
      </c>
      <c r="AR25" s="241">
        <f t="shared" si="120"/>
        <v>62.899000000000001</v>
      </c>
      <c r="AS25" s="242">
        <f t="shared" si="120"/>
        <v>66.19999999999996</v>
      </c>
      <c r="AT25" s="194">
        <f t="shared" si="109"/>
        <v>159.75999999999996</v>
      </c>
      <c r="AU25" s="195">
        <f t="shared" ref="AU25:CE25" si="121">SUM(AU12:AU24)</f>
        <v>-3.9270000000000067</v>
      </c>
      <c r="AV25" s="194">
        <f t="shared" si="121"/>
        <v>51.599000000000004</v>
      </c>
      <c r="AW25" s="241">
        <f t="shared" si="121"/>
        <v>86.746000000000009</v>
      </c>
      <c r="AX25" s="242">
        <f t="shared" si="121"/>
        <v>118.458</v>
      </c>
      <c r="AY25" s="194">
        <f t="shared" si="110"/>
        <v>252.876</v>
      </c>
      <c r="AZ25" s="195">
        <f t="shared" si="121"/>
        <v>12.483000000000001</v>
      </c>
      <c r="BA25" s="194">
        <f t="shared" si="121"/>
        <v>52.038000000000025</v>
      </c>
      <c r="BB25" s="241">
        <f t="shared" si="121"/>
        <v>129.90300000000002</v>
      </c>
      <c r="BC25" s="242">
        <f t="shared" si="121"/>
        <v>149.89599999999996</v>
      </c>
      <c r="BD25" s="194">
        <f t="shared" si="111"/>
        <v>344.32</v>
      </c>
      <c r="BE25" s="195">
        <f t="shared" si="121"/>
        <v>22.260999999999996</v>
      </c>
      <c r="BF25" s="194">
        <f t="shared" si="121"/>
        <v>74.765000000000015</v>
      </c>
      <c r="BG25" s="241">
        <f t="shared" si="121"/>
        <v>139.76599999999999</v>
      </c>
      <c r="BH25" s="242">
        <f t="shared" si="121"/>
        <v>192.91300000000001</v>
      </c>
      <c r="BI25" s="194">
        <f t="shared" si="112"/>
        <v>429.70500000000004</v>
      </c>
      <c r="BJ25" s="195">
        <f t="shared" si="121"/>
        <v>75.089999999999947</v>
      </c>
      <c r="BK25" s="194">
        <f t="shared" si="121"/>
        <v>151.25799999999998</v>
      </c>
      <c r="BL25" s="241">
        <f t="shared" si="121"/>
        <v>208.45499999999998</v>
      </c>
      <c r="BM25" s="242">
        <f t="shared" si="121"/>
        <v>237.52200000000005</v>
      </c>
      <c r="BN25" s="194">
        <f t="shared" si="113"/>
        <v>672.32499999999993</v>
      </c>
      <c r="BO25" s="195">
        <f t="shared" si="121"/>
        <v>2.3279999999999603</v>
      </c>
      <c r="BP25" s="194">
        <f t="shared" si="121"/>
        <v>135.29400000000004</v>
      </c>
      <c r="BQ25" s="241">
        <f t="shared" si="121"/>
        <v>234.738</v>
      </c>
      <c r="BR25" s="242">
        <f t="shared" si="121"/>
        <v>392.29399999999993</v>
      </c>
      <c r="BS25" s="194">
        <f t="shared" si="114"/>
        <v>764.654</v>
      </c>
      <c r="BT25" s="195">
        <f t="shared" si="121"/>
        <v>45.628999999999934</v>
      </c>
      <c r="BU25" s="194">
        <f t="shared" si="121"/>
        <v>215.11299999999994</v>
      </c>
      <c r="BV25" s="241">
        <f t="shared" si="121"/>
        <v>329.34400000000011</v>
      </c>
      <c r="BW25" s="242">
        <f t="shared" si="121"/>
        <v>285.06600000000014</v>
      </c>
      <c r="BX25" s="194">
        <f t="shared" si="115"/>
        <v>875.15200000000016</v>
      </c>
      <c r="BY25" s="195">
        <f t="shared" si="121"/>
        <v>101.76300000000006</v>
      </c>
      <c r="BZ25" s="194">
        <f t="shared" si="121"/>
        <v>324.10000000000014</v>
      </c>
      <c r="CA25" s="241">
        <f t="shared" ref="CA25:CJ25" si="122">SUM(CA12:CA24)</f>
        <v>384.86</v>
      </c>
      <c r="CB25" s="242">
        <f t="shared" si="121"/>
        <v>361.85999999999979</v>
      </c>
      <c r="CC25" s="194">
        <f t="shared" si="116"/>
        <v>1172.5830000000001</v>
      </c>
      <c r="CD25" s="195">
        <f t="shared" si="121"/>
        <v>73.467999999999961</v>
      </c>
      <c r="CE25" s="194">
        <f t="shared" si="121"/>
        <v>365.5569999999999</v>
      </c>
      <c r="CF25" s="241">
        <f t="shared" si="122"/>
        <v>478.87800000000016</v>
      </c>
      <c r="CG25" s="242">
        <f t="shared" si="122"/>
        <v>505.87299999999982</v>
      </c>
      <c r="CH25" s="194">
        <f t="shared" si="117"/>
        <v>1423.7759999999998</v>
      </c>
      <c r="CI25" s="195">
        <f t="shared" si="122"/>
        <v>157.02663210187836</v>
      </c>
      <c r="CJ25" s="194">
        <f t="shared" si="122"/>
        <v>408.60636789812156</v>
      </c>
      <c r="CK25" s="241">
        <f t="shared" ref="CK25:CQ25" si="123">SUM(CK12:CK24)</f>
        <v>583.18100000000015</v>
      </c>
      <c r="CL25" s="242">
        <f t="shared" si="123"/>
        <v>324.19600000000008</v>
      </c>
      <c r="CM25" s="355">
        <f t="shared" si="118"/>
        <v>1473.0100000000002</v>
      </c>
      <c r="CN25" s="195">
        <f t="shared" si="123"/>
        <v>189.3</v>
      </c>
      <c r="CO25" s="194">
        <f t="shared" si="123"/>
        <v>456.1</v>
      </c>
      <c r="CP25" s="241">
        <f t="shared" si="123"/>
        <v>817.9</v>
      </c>
      <c r="CQ25" s="242">
        <f t="shared" si="123"/>
        <v>689.99999999999989</v>
      </c>
      <c r="CR25" s="241">
        <f t="shared" si="119"/>
        <v>2153.3000000000002</v>
      </c>
      <c r="CS25" s="195">
        <f t="shared" ref="CS25:DF25" si="124">SUM(CS12:CS24)</f>
        <v>68.799999999999898</v>
      </c>
      <c r="CT25" s="194">
        <f t="shared" si="124"/>
        <v>359.6</v>
      </c>
      <c r="CU25" s="241">
        <f t="shared" si="124"/>
        <v>594</v>
      </c>
      <c r="CV25" s="241">
        <f t="shared" si="124"/>
        <v>598.59999999999991</v>
      </c>
      <c r="CW25" s="355">
        <f t="shared" ref="CW25:DB25" si="125">SUM(CW12:CW24)</f>
        <v>1621.8999999999996</v>
      </c>
      <c r="CX25" s="1053">
        <f t="shared" si="125"/>
        <v>277</v>
      </c>
      <c r="CY25" s="1048">
        <f t="shared" si="125"/>
        <v>521</v>
      </c>
      <c r="CZ25" s="1048">
        <f>SUM(CZ12:CZ24)</f>
        <v>773</v>
      </c>
      <c r="DA25" s="1042">
        <f t="shared" si="125"/>
        <v>836</v>
      </c>
      <c r="DB25" s="1043">
        <f t="shared" si="125"/>
        <v>2407</v>
      </c>
      <c r="DC25" s="1042">
        <f t="shared" si="124"/>
        <v>424.82089186918517</v>
      </c>
      <c r="DD25" s="1042">
        <f t="shared" si="124"/>
        <v>388.77303929203185</v>
      </c>
      <c r="DE25" s="1042">
        <f t="shared" si="124"/>
        <v>781.85685907119205</v>
      </c>
      <c r="DF25" s="1042">
        <f t="shared" si="124"/>
        <v>873.92911748209235</v>
      </c>
      <c r="DG25" s="1043">
        <f>SUM(DG12:DG24)</f>
        <v>2469.3799077145013</v>
      </c>
      <c r="DH25" s="1042">
        <f t="shared" ref="DH25:DL25" si="126">SUM(DH12:DH24)</f>
        <v>668.55207717515316</v>
      </c>
      <c r="DI25" s="1042">
        <f t="shared" si="126"/>
        <v>462.83284685771889</v>
      </c>
      <c r="DJ25" s="1042">
        <f t="shared" si="126"/>
        <v>811.85318103327495</v>
      </c>
      <c r="DK25" s="1042">
        <f t="shared" si="126"/>
        <v>964.51479350380384</v>
      </c>
      <c r="DL25" s="1043">
        <f t="shared" si="126"/>
        <v>2907.752898569951</v>
      </c>
      <c r="DM25" s="1042">
        <f t="shared" ref="DM25:DQ25" si="127">SUM(DM12:DM24)</f>
        <v>833.560518440436</v>
      </c>
      <c r="DN25" s="1042">
        <f t="shared" si="127"/>
        <v>497.89533496475519</v>
      </c>
      <c r="DO25" s="1042">
        <f t="shared" si="127"/>
        <v>826.92798973335209</v>
      </c>
      <c r="DP25" s="1042">
        <f t="shared" si="127"/>
        <v>1038.0169713075497</v>
      </c>
      <c r="DQ25" s="1043">
        <f t="shared" si="127"/>
        <v>3196.4008144460931</v>
      </c>
      <c r="DR25" s="74"/>
      <c r="DS25" s="128"/>
      <c r="DT25"/>
      <c r="DU25"/>
      <c r="DV25"/>
      <c r="DW25"/>
      <c r="DX25"/>
      <c r="DY25"/>
    </row>
    <row r="26" spans="1:129" ht="11.25" customHeight="1">
      <c r="A26" s="114"/>
      <c r="B26" s="3"/>
      <c r="C26" s="4"/>
      <c r="D26" s="4"/>
      <c r="E26" s="4"/>
      <c r="F26" s="4"/>
      <c r="G26" s="14"/>
      <c r="H26" s="15"/>
      <c r="I26" s="15"/>
      <c r="J26" s="16"/>
      <c r="K26" s="14"/>
      <c r="L26" s="14"/>
      <c r="M26" s="15"/>
      <c r="N26" s="15"/>
      <c r="O26" s="16"/>
      <c r="P26" s="15"/>
      <c r="Q26" s="14"/>
      <c r="R26" s="15"/>
      <c r="S26" s="15"/>
      <c r="T26" s="16"/>
      <c r="U26" s="15"/>
      <c r="V26" s="14"/>
      <c r="W26" s="15"/>
      <c r="X26" s="15"/>
      <c r="Y26" s="16"/>
      <c r="Z26" s="15"/>
      <c r="AA26" s="14"/>
      <c r="AB26" s="15"/>
      <c r="AC26" s="15"/>
      <c r="AD26" s="16"/>
      <c r="AE26" s="15"/>
      <c r="AF26" s="14"/>
      <c r="AG26" s="15"/>
      <c r="AH26" s="15"/>
      <c r="AI26" s="16"/>
      <c r="AJ26" s="15"/>
      <c r="AK26" s="14"/>
      <c r="AL26" s="15"/>
      <c r="AM26" s="15"/>
      <c r="AN26" s="16"/>
      <c r="AO26" s="15"/>
      <c r="AP26" s="14"/>
      <c r="AQ26" s="15"/>
      <c r="AR26" s="15"/>
      <c r="AS26" s="16"/>
      <c r="AT26" s="15"/>
      <c r="AU26" s="14"/>
      <c r="AV26" s="15"/>
      <c r="AW26" s="15"/>
      <c r="AX26" s="16"/>
      <c r="AY26" s="15"/>
      <c r="AZ26" s="14"/>
      <c r="BA26" s="15"/>
      <c r="BB26" s="15"/>
      <c r="BC26" s="16"/>
      <c r="BD26" s="15"/>
      <c r="BE26" s="14"/>
      <c r="BF26" s="15"/>
      <c r="BG26" s="15"/>
      <c r="BH26" s="16"/>
      <c r="BI26" s="15"/>
      <c r="BJ26" s="14"/>
      <c r="BK26" s="15"/>
      <c r="BL26" s="15"/>
      <c r="BM26" s="16"/>
      <c r="BN26" s="15"/>
      <c r="BO26" s="14"/>
      <c r="BP26" s="15"/>
      <c r="BQ26" s="15"/>
      <c r="BR26" s="16"/>
      <c r="BS26" s="15"/>
      <c r="BT26" s="14"/>
      <c r="BU26" s="15"/>
      <c r="BV26" s="15"/>
      <c r="BW26" s="16"/>
      <c r="BX26" s="15"/>
      <c r="BY26" s="14"/>
      <c r="BZ26" s="15"/>
      <c r="CA26" s="15"/>
      <c r="CB26" s="16"/>
      <c r="CC26" s="15"/>
      <c r="CD26" s="14"/>
      <c r="CE26" s="15"/>
      <c r="CF26" s="15"/>
      <c r="CG26" s="16"/>
      <c r="CH26" s="469"/>
      <c r="CI26" s="14"/>
      <c r="CJ26" s="15"/>
      <c r="CK26" s="15"/>
      <c r="CL26" s="16"/>
      <c r="CM26" s="926"/>
      <c r="CN26" s="14"/>
      <c r="CO26" s="15"/>
      <c r="CP26" s="15"/>
      <c r="CQ26" s="16"/>
      <c r="CR26" s="70"/>
      <c r="CS26" s="14"/>
      <c r="CT26" s="15"/>
      <c r="CU26" s="15"/>
      <c r="CV26" s="578"/>
      <c r="CW26" s="337"/>
      <c r="CX26" s="1052"/>
      <c r="CY26" s="1050"/>
      <c r="CZ26" s="1050"/>
      <c r="DA26" s="1041"/>
      <c r="DB26" s="1039"/>
      <c r="DC26" s="1041"/>
      <c r="DD26" s="1041"/>
      <c r="DE26" s="1041"/>
      <c r="DF26" s="1041"/>
      <c r="DG26" s="1039"/>
      <c r="DH26" s="1041"/>
      <c r="DI26" s="1041"/>
      <c r="DJ26" s="1041"/>
      <c r="DK26" s="1041"/>
      <c r="DL26" s="1039"/>
      <c r="DM26" s="1041"/>
      <c r="DN26" s="1041"/>
      <c r="DO26" s="1041"/>
      <c r="DP26" s="1041"/>
      <c r="DQ26" s="1039"/>
      <c r="DR26" s="4"/>
      <c r="DS26" s="112"/>
    </row>
    <row r="27" spans="1:129" s="188" customFormat="1" ht="11.25" customHeight="1">
      <c r="B27" s="73" t="s">
        <v>91</v>
      </c>
      <c r="C27" s="74"/>
      <c r="D27" s="74"/>
      <c r="E27" s="74"/>
      <c r="F27" s="74"/>
      <c r="G27" s="243"/>
      <c r="H27" s="241"/>
      <c r="I27" s="241"/>
      <c r="J27" s="242"/>
      <c r="K27" s="243"/>
      <c r="L27" s="243"/>
      <c r="M27" s="241"/>
      <c r="N27" s="241"/>
      <c r="O27" s="242"/>
      <c r="P27" s="241"/>
      <c r="Q27" s="243"/>
      <c r="R27" s="241"/>
      <c r="S27" s="241"/>
      <c r="T27" s="242"/>
      <c r="U27" s="241"/>
      <c r="V27" s="243"/>
      <c r="W27" s="241"/>
      <c r="X27" s="241"/>
      <c r="Y27" s="242"/>
      <c r="Z27" s="241"/>
      <c r="AA27" s="243"/>
      <c r="AB27" s="241"/>
      <c r="AC27" s="241"/>
      <c r="AD27" s="242"/>
      <c r="AE27" s="241"/>
      <c r="AF27" s="243"/>
      <c r="AG27" s="241"/>
      <c r="AH27" s="241"/>
      <c r="AI27" s="242"/>
      <c r="AJ27" s="241"/>
      <c r="AK27" s="243"/>
      <c r="AL27" s="241"/>
      <c r="AM27" s="241"/>
      <c r="AN27" s="242"/>
      <c r="AO27" s="241"/>
      <c r="AP27" s="243"/>
      <c r="AQ27" s="241"/>
      <c r="AR27" s="241"/>
      <c r="AS27" s="242"/>
      <c r="AT27" s="241"/>
      <c r="AU27" s="243"/>
      <c r="AV27" s="241"/>
      <c r="AW27" s="241"/>
      <c r="AX27" s="242"/>
      <c r="AY27" s="241"/>
      <c r="AZ27" s="243"/>
      <c r="BA27" s="241"/>
      <c r="BB27" s="241"/>
      <c r="BC27" s="242"/>
      <c r="BD27" s="241"/>
      <c r="BE27" s="243"/>
      <c r="BF27" s="241"/>
      <c r="BG27" s="241"/>
      <c r="BH27" s="242"/>
      <c r="BI27" s="241"/>
      <c r="BJ27" s="243"/>
      <c r="BK27" s="241"/>
      <c r="BL27" s="241"/>
      <c r="BM27" s="242"/>
      <c r="BN27" s="241"/>
      <c r="BO27" s="243"/>
      <c r="BP27" s="241"/>
      <c r="BQ27" s="241"/>
      <c r="BR27" s="242"/>
      <c r="BS27" s="241"/>
      <c r="BT27" s="243"/>
      <c r="BU27" s="241"/>
      <c r="BV27" s="241"/>
      <c r="BW27" s="242"/>
      <c r="BX27" s="241"/>
      <c r="BY27" s="243"/>
      <c r="BZ27" s="241"/>
      <c r="CA27" s="241"/>
      <c r="CB27" s="242"/>
      <c r="CC27" s="241"/>
      <c r="CD27" s="243"/>
      <c r="CE27" s="241"/>
      <c r="CF27" s="241"/>
      <c r="CG27" s="242"/>
      <c r="CH27" s="241"/>
      <c r="CI27" s="243"/>
      <c r="CJ27" s="241"/>
      <c r="CK27" s="241"/>
      <c r="CL27" s="242"/>
      <c r="CM27" s="837"/>
      <c r="CN27" s="243"/>
      <c r="CO27" s="241"/>
      <c r="CP27" s="241"/>
      <c r="CQ27" s="242"/>
      <c r="CR27" s="194"/>
      <c r="CS27" s="243"/>
      <c r="CT27" s="241"/>
      <c r="CU27" s="241"/>
      <c r="CV27" s="585"/>
      <c r="CW27" s="355"/>
      <c r="CX27" s="1054"/>
      <c r="CY27" s="1046"/>
      <c r="CZ27" s="1046"/>
      <c r="DA27" s="1042"/>
      <c r="DB27" s="1043"/>
      <c r="DC27" s="1042"/>
      <c r="DD27" s="1042"/>
      <c r="DE27" s="1042"/>
      <c r="DF27" s="1042"/>
      <c r="DG27" s="1043"/>
      <c r="DH27" s="1042"/>
      <c r="DI27" s="1042"/>
      <c r="DJ27" s="1042"/>
      <c r="DK27" s="1042"/>
      <c r="DL27" s="1043"/>
      <c r="DM27" s="1042"/>
      <c r="DN27" s="1042"/>
      <c r="DO27" s="1042"/>
      <c r="DP27" s="1042"/>
      <c r="DQ27" s="1043"/>
      <c r="DR27" s="74"/>
      <c r="DS27" s="128"/>
      <c r="DT27"/>
      <c r="DU27"/>
      <c r="DV27"/>
      <c r="DW27"/>
      <c r="DX27"/>
      <c r="DY27"/>
    </row>
    <row r="28" spans="1:129" s="619" customFormat="1" ht="11.25" customHeight="1">
      <c r="B28" s="623"/>
      <c r="C28" s="558" t="s">
        <v>92</v>
      </c>
      <c r="D28" s="558"/>
      <c r="E28" s="558"/>
      <c r="F28" s="558"/>
      <c r="G28" s="577">
        <f>G74</f>
        <v>-0.90600000000000003</v>
      </c>
      <c r="H28" s="578">
        <f>H74-G28</f>
        <v>-0.92400000000000004</v>
      </c>
      <c r="I28" s="576">
        <f>I74-H28-G28</f>
        <v>-0.56999999999999995</v>
      </c>
      <c r="J28" s="574">
        <f>J74-I28-H28-G28</f>
        <v>-1.343</v>
      </c>
      <c r="K28" s="577">
        <f t="shared" ref="K28:K33" si="128">SUM(G28:J28)</f>
        <v>-3.7429999999999999</v>
      </c>
      <c r="L28" s="577">
        <f>L74</f>
        <v>-1.2190000000000001</v>
      </c>
      <c r="M28" s="578">
        <f>M74-L28</f>
        <v>-2.0279999999999996</v>
      </c>
      <c r="N28" s="576">
        <f>N74-M28-L28</f>
        <v>-1.6559999999999999</v>
      </c>
      <c r="O28" s="574">
        <f>O74-N28-M28-L28</f>
        <v>-1.021000000000001</v>
      </c>
      <c r="P28" s="578">
        <f t="shared" ref="P28:P33" si="129">SUM(L28:O28)</f>
        <v>-5.9240000000000004</v>
      </c>
      <c r="Q28" s="577">
        <f>Q74</f>
        <v>-0.79300000000000004</v>
      </c>
      <c r="R28" s="578">
        <f>R74-Q28</f>
        <v>-2.081</v>
      </c>
      <c r="S28" s="576">
        <f>S74-R28-Q28</f>
        <v>-3.4810000000000008</v>
      </c>
      <c r="T28" s="574">
        <f>T74-S28-R28-Q28</f>
        <v>-4.2969999999999979</v>
      </c>
      <c r="U28" s="578">
        <f t="shared" ref="U28:U33" si="130">SUM(Q28:T28)</f>
        <v>-10.651999999999997</v>
      </c>
      <c r="V28" s="577">
        <f>V74</f>
        <v>-3.1080000000000001</v>
      </c>
      <c r="W28" s="578">
        <f>W74-V28</f>
        <v>-2.1779999999999995</v>
      </c>
      <c r="X28" s="576">
        <f>X74-W28-V28</f>
        <v>-5.4050000000000011</v>
      </c>
      <c r="Y28" s="574">
        <f>Y74-X28-W28-V28</f>
        <v>-4.2619999999999987</v>
      </c>
      <c r="Z28" s="578">
        <f t="shared" ref="Z28:Z33" si="131">SUM(V28:Y28)</f>
        <v>-14.952999999999999</v>
      </c>
      <c r="AA28" s="577">
        <f>AA74</f>
        <v>-1.944</v>
      </c>
      <c r="AB28" s="578">
        <f>AB74-AA28</f>
        <v>-2.8970000000000002</v>
      </c>
      <c r="AC28" s="576">
        <f>AC74-AB28-AA28</f>
        <v>-2.758</v>
      </c>
      <c r="AD28" s="574">
        <f>AD74-AC28-AB28-AA28</f>
        <v>-14.669</v>
      </c>
      <c r="AE28" s="578">
        <f t="shared" ref="AE28:AE33" si="132">SUM(AA28:AD28)</f>
        <v>-22.268000000000001</v>
      </c>
      <c r="AF28" s="577">
        <f>AF74</f>
        <v>-6.0540000000000003</v>
      </c>
      <c r="AG28" s="578">
        <f>AG74-AF28</f>
        <v>-7.645999999999999</v>
      </c>
      <c r="AH28" s="576">
        <f>AH74-AG28-AF28</f>
        <v>-6.5620000000000012</v>
      </c>
      <c r="AI28" s="574">
        <f>AI74-AH28-AG28-AF28</f>
        <v>-9.7289999999999992</v>
      </c>
      <c r="AJ28" s="578">
        <f t="shared" ref="AJ28:AJ33" si="133">SUM(AF28:AI28)</f>
        <v>-29.991</v>
      </c>
      <c r="AK28" s="577">
        <f>AK74</f>
        <v>-2.6909999999999998</v>
      </c>
      <c r="AL28" s="578">
        <f>AL74-AK28</f>
        <v>-3.6260000000000003</v>
      </c>
      <c r="AM28" s="576">
        <f>AM74-AL28-AK28</f>
        <v>-15.474</v>
      </c>
      <c r="AN28" s="574">
        <f>AN74-AM28-AL28-AK28</f>
        <v>-24.790000000000003</v>
      </c>
      <c r="AO28" s="578">
        <f t="shared" ref="AO28:AO33" si="134">SUM(AK28:AN28)</f>
        <v>-46.581000000000003</v>
      </c>
      <c r="AP28" s="577">
        <f>AP74</f>
        <v>-8.64</v>
      </c>
      <c r="AQ28" s="578">
        <f>AQ74-AP28</f>
        <v>-13.712</v>
      </c>
      <c r="AR28" s="576">
        <f>AR74-AQ28-AP28</f>
        <v>-27.221000000000004</v>
      </c>
      <c r="AS28" s="574">
        <f>AS74-AR28-AQ28-AP28</f>
        <v>-22.196999999999992</v>
      </c>
      <c r="AT28" s="578">
        <f t="shared" ref="AT28:AT33" si="135">SUM(AP28:AS28)</f>
        <v>-71.77</v>
      </c>
      <c r="AU28" s="577">
        <f>AU74</f>
        <v>-20.587</v>
      </c>
      <c r="AV28" s="578">
        <f>AV74-AU28</f>
        <v>-24.401999999999997</v>
      </c>
      <c r="AW28" s="576">
        <f>AW74-AV28-AU28</f>
        <v>-26.223000000000003</v>
      </c>
      <c r="AX28" s="574">
        <f>AX74-AW28-AV28-AU28</f>
        <v>-33.521999999999991</v>
      </c>
      <c r="AY28" s="578">
        <f t="shared" ref="AY28:AY33" si="136">SUM(AU28:AX28)</f>
        <v>-104.73399999999999</v>
      </c>
      <c r="AZ28" s="577">
        <f>AZ74</f>
        <v>-28.675000000000001</v>
      </c>
      <c r="BA28" s="578">
        <f>BA74-AZ28</f>
        <v>-42.195999999999998</v>
      </c>
      <c r="BB28" s="576">
        <f>BB74-BA28-AZ28</f>
        <v>-39.562000000000012</v>
      </c>
      <c r="BC28" s="574">
        <f>BC74-BB28-BA28-AZ28</f>
        <v>-72.034000000000006</v>
      </c>
      <c r="BD28" s="578">
        <f t="shared" ref="BD28:BD33" si="137">SUM(AZ28:BC28)</f>
        <v>-182.46700000000001</v>
      </c>
      <c r="BE28" s="577">
        <f>BE74</f>
        <v>-53.423000000000002</v>
      </c>
      <c r="BF28" s="578">
        <f>BF74-BE28</f>
        <v>-31.786999999999992</v>
      </c>
      <c r="BG28" s="576">
        <f>BG74-BF28-BE28</f>
        <v>-61.114999999999995</v>
      </c>
      <c r="BH28" s="574">
        <f>BH74-BG28-BF28-BE28</f>
        <v>-23.085000000000008</v>
      </c>
      <c r="BI28" s="578">
        <f t="shared" ref="BI28:BI33" si="138">SUM(BE28:BH28)</f>
        <v>-169.41</v>
      </c>
      <c r="BJ28" s="577">
        <f>BJ74</f>
        <v>-20.472000000000001</v>
      </c>
      <c r="BK28" s="578">
        <f>BK74-BJ28</f>
        <v>-9.5529999999999973</v>
      </c>
      <c r="BL28" s="576">
        <f>BL74-BK28-BJ28</f>
        <v>-31.988</v>
      </c>
      <c r="BM28" s="574">
        <f>BM74-BL28-BK28-BJ28</f>
        <v>-14.625999999999998</v>
      </c>
      <c r="BN28" s="578">
        <f t="shared" ref="BN28:BN33" si="139">SUM(BJ28:BM28)</f>
        <v>-76.638999999999996</v>
      </c>
      <c r="BO28" s="577">
        <f>BO74</f>
        <v>-24.219000000000001</v>
      </c>
      <c r="BP28" s="578">
        <f>BP74-BO28</f>
        <v>-41.946000000000005</v>
      </c>
      <c r="BQ28" s="576">
        <f>BQ74-BP28-BO28</f>
        <v>-44.795999999999985</v>
      </c>
      <c r="BR28" s="574">
        <f>BR74-BQ28-BP28-BO28</f>
        <v>-74.551000000000016</v>
      </c>
      <c r="BS28" s="578">
        <f t="shared" ref="BS28:BS33" si="140">SUM(BO28:BR28)</f>
        <v>-185.512</v>
      </c>
      <c r="BT28" s="577">
        <f>BT74</f>
        <v>-55.814999999999998</v>
      </c>
      <c r="BU28" s="578">
        <f>BU74-BT28</f>
        <v>-33.734999999999999</v>
      </c>
      <c r="BV28" s="576">
        <f>BV74-BU28-BT28</f>
        <v>-74.110000000000014</v>
      </c>
      <c r="BW28" s="574">
        <f>BW74-BV28-BU28-BT28</f>
        <v>-124.56099999999998</v>
      </c>
      <c r="BX28" s="578">
        <f t="shared" ref="BX28:BX33" si="141">SUM(BT28:BW28)</f>
        <v>-288.221</v>
      </c>
      <c r="BY28" s="577">
        <f>BY74</f>
        <v>-60.451000000000001</v>
      </c>
      <c r="BZ28" s="578">
        <f>BZ74-BY28</f>
        <v>-78.320999999999998</v>
      </c>
      <c r="CA28" s="576">
        <f>CA74-BZ28-BY28</f>
        <v>-69.944000000000017</v>
      </c>
      <c r="CB28" s="574">
        <f>CB74-CA28-BZ28-BY28</f>
        <v>-125.74899999999997</v>
      </c>
      <c r="CC28" s="578">
        <f t="shared" ref="CC28:CC33" si="142">SUM(BY28:CB28)</f>
        <v>-334.46499999999997</v>
      </c>
      <c r="CD28" s="577">
        <f>CD74</f>
        <v>-72.185000000000002</v>
      </c>
      <c r="CE28" s="578">
        <f>CE74-CD28</f>
        <v>-50.325000000000003</v>
      </c>
      <c r="CF28" s="576">
        <f>CF74-CE28-CD28</f>
        <v>-31.835999999999999</v>
      </c>
      <c r="CG28" s="574">
        <f>CG74-CF28-CE28-CD28</f>
        <v>-107.27999999999997</v>
      </c>
      <c r="CH28" s="578">
        <f t="shared" ref="CH28:CH33" si="143">SUM(CD28:CG28)</f>
        <v>-261.62599999999998</v>
      </c>
      <c r="CI28" s="577">
        <f>CI74</f>
        <v>-43</v>
      </c>
      <c r="CJ28" s="578">
        <f>CJ74-CI28</f>
        <v>-38.956999999999994</v>
      </c>
      <c r="CK28" s="576">
        <f>CK74-CJ28-CI28</f>
        <v>-55.59</v>
      </c>
      <c r="CL28" s="574">
        <f>CL74-CK28-CJ28-CI28</f>
        <v>-74.656000000000006</v>
      </c>
      <c r="CM28" s="667">
        <f t="shared" ref="CM28:CM33" si="144">SUM(CI28:CL28)</f>
        <v>-212.203</v>
      </c>
      <c r="CN28" s="577">
        <f>CN74</f>
        <v>-58</v>
      </c>
      <c r="CO28" s="578">
        <f>+CO74-CN28</f>
        <v>-75.599999999999994</v>
      </c>
      <c r="CP28" s="576">
        <f>CP74-CO28-CN28</f>
        <v>-65.099999999999994</v>
      </c>
      <c r="CQ28" s="574">
        <f>CQ74-CP28-CO28-CN28</f>
        <v>-74.100000000000023</v>
      </c>
      <c r="CR28" s="576">
        <f t="shared" ref="CR28:CR33" si="145">SUM(CN28:CQ28)</f>
        <v>-272.8</v>
      </c>
      <c r="CS28" s="577">
        <f>CS74</f>
        <v>-63.7</v>
      </c>
      <c r="CT28" s="578">
        <f>+CT74-CS28</f>
        <v>-74.899999999999991</v>
      </c>
      <c r="CU28" s="576">
        <f>CU74-CT28-CS28</f>
        <v>-74.200000000000031</v>
      </c>
      <c r="CV28" s="576">
        <f>CV74-CU28-CT28-CS28</f>
        <v>-87.199999999999974</v>
      </c>
      <c r="CW28" s="836">
        <f>SUM(CS28:CV28)</f>
        <v>-300</v>
      </c>
      <c r="CX28" s="1055">
        <f>CX74</f>
        <v>-66</v>
      </c>
      <c r="CY28" s="1050">
        <f>+CY74-CX28</f>
        <v>-60</v>
      </c>
      <c r="CZ28" s="1050">
        <f t="shared" ref="CZ28:DA32" si="146">+CZ74-CY74</f>
        <v>-78</v>
      </c>
      <c r="DA28" s="1050">
        <f t="shared" si="146"/>
        <v>-80</v>
      </c>
      <c r="DB28" s="1045">
        <f>SUM(CX28:DA28)</f>
        <v>-284</v>
      </c>
      <c r="DC28" s="1044">
        <f>-BS!DC88-BS!DC90</f>
        <v>-61.945999999999998</v>
      </c>
      <c r="DD28" s="1044">
        <f>-BS!DD88-BS!DD90</f>
        <v>-64.14528</v>
      </c>
      <c r="DE28" s="1044">
        <f>-BS!DE88-BS!DE90</f>
        <v>-88.147419999999997</v>
      </c>
      <c r="DF28" s="1044">
        <f>-BS!DF88-BS!DF90</f>
        <v>-104.21350000000001</v>
      </c>
      <c r="DG28" s="1045">
        <f>SUM(DC28:DF28)</f>
        <v>-318.4522</v>
      </c>
      <c r="DH28" s="1044">
        <f>-BS!DH88-BS!DH90</f>
        <v>-66.863562000000002</v>
      </c>
      <c r="DI28" s="1044">
        <f>-BS!DI88-BS!DI90</f>
        <v>-69.262749599999992</v>
      </c>
      <c r="DJ28" s="1044">
        <f>-BS!DJ88-BS!DJ90</f>
        <v>-95.190305075000012</v>
      </c>
      <c r="DK28" s="1044">
        <f>-BS!DK88-BS!DK90</f>
        <v>-112.41923500000003</v>
      </c>
      <c r="DL28" s="1045">
        <f>SUM(DH28:DK28)</f>
        <v>-343.73585167500005</v>
      </c>
      <c r="DM28" s="1044">
        <f>-BS!DM88-BS!DM90</f>
        <v>-72.240916049999996</v>
      </c>
      <c r="DN28" s="1044">
        <f>-BS!DN88-BS!DN90</f>
        <v>-74.662055328000022</v>
      </c>
      <c r="DO28" s="1044">
        <f>-BS!DO88-BS!DO90</f>
        <v>-102.76042291637501</v>
      </c>
      <c r="DP28" s="1044">
        <f>-BS!DP88-BS!DP90</f>
        <v>-121.22557960000002</v>
      </c>
      <c r="DQ28" s="1045">
        <f>SUM(DM28:DP28)</f>
        <v>-370.88897389437506</v>
      </c>
      <c r="DR28" s="558"/>
      <c r="DS28" s="558"/>
      <c r="DT28"/>
      <c r="DU28"/>
      <c r="DV28"/>
      <c r="DW28"/>
      <c r="DX28"/>
      <c r="DY28"/>
    </row>
    <row r="29" spans="1:129" s="619" customFormat="1" ht="11.25" customHeight="1">
      <c r="B29" s="623"/>
      <c r="C29" s="558" t="s">
        <v>138</v>
      </c>
      <c r="D29" s="558"/>
      <c r="E29" s="558"/>
      <c r="F29" s="558"/>
      <c r="G29" s="577">
        <f>G75</f>
        <v>0</v>
      </c>
      <c r="H29" s="578">
        <f>H75-G29</f>
        <v>0</v>
      </c>
      <c r="I29" s="576">
        <f>I75-H29-G29</f>
        <v>0</v>
      </c>
      <c r="J29" s="574">
        <f>J75-I29-H29-G29</f>
        <v>0</v>
      </c>
      <c r="K29" s="577">
        <f t="shared" si="128"/>
        <v>0</v>
      </c>
      <c r="L29" s="577">
        <f>L75</f>
        <v>0</v>
      </c>
      <c r="M29" s="578">
        <f>M75-L29</f>
        <v>0</v>
      </c>
      <c r="N29" s="576">
        <f>N75-M29-L29</f>
        <v>0</v>
      </c>
      <c r="O29" s="574">
        <f>O75-N29-M29-L29</f>
        <v>0</v>
      </c>
      <c r="P29" s="578">
        <f t="shared" si="129"/>
        <v>0</v>
      </c>
      <c r="Q29" s="577">
        <f>Q75</f>
        <v>0</v>
      </c>
      <c r="R29" s="578">
        <f>R75-Q29</f>
        <v>0</v>
      </c>
      <c r="S29" s="576">
        <f>S75-R29-Q29</f>
        <v>0</v>
      </c>
      <c r="T29" s="574">
        <f>T75-S29-R29-Q29</f>
        <v>0</v>
      </c>
      <c r="U29" s="578">
        <f t="shared" si="130"/>
        <v>0</v>
      </c>
      <c r="V29" s="577">
        <f>V75</f>
        <v>0</v>
      </c>
      <c r="W29" s="578">
        <f>W75-V29</f>
        <v>0</v>
      </c>
      <c r="X29" s="576">
        <f>X75-W29-V29</f>
        <v>0</v>
      </c>
      <c r="Y29" s="574">
        <f>Y75-X29-W29-V29</f>
        <v>0</v>
      </c>
      <c r="Z29" s="578">
        <f t="shared" si="131"/>
        <v>0</v>
      </c>
      <c r="AA29" s="577">
        <f>AA75</f>
        <v>0</v>
      </c>
      <c r="AB29" s="578">
        <f>AB75-AA29</f>
        <v>0</v>
      </c>
      <c r="AC29" s="576">
        <f>AC75-AB29-AA29</f>
        <v>0</v>
      </c>
      <c r="AD29" s="574">
        <f>AD75-AC29-AB29-AA29</f>
        <v>0</v>
      </c>
      <c r="AE29" s="578">
        <f t="shared" si="132"/>
        <v>0</v>
      </c>
      <c r="AF29" s="577">
        <f>AF75</f>
        <v>0</v>
      </c>
      <c r="AG29" s="578">
        <f>AG75-AF29</f>
        <v>0</v>
      </c>
      <c r="AH29" s="576">
        <f>AH75-AG29-AF29</f>
        <v>0</v>
      </c>
      <c r="AI29" s="574">
        <f>AI75-AH29-AG29-AF29</f>
        <v>0</v>
      </c>
      <c r="AJ29" s="578">
        <f t="shared" si="133"/>
        <v>0</v>
      </c>
      <c r="AK29" s="577">
        <f>AK75</f>
        <v>0</v>
      </c>
      <c r="AL29" s="578">
        <f>AL75-AK29</f>
        <v>0</v>
      </c>
      <c r="AM29" s="576">
        <f>AM75-AL29-AK29</f>
        <v>0</v>
      </c>
      <c r="AN29" s="574">
        <f>AN75-AM29-AL29-AK29</f>
        <v>0</v>
      </c>
      <c r="AO29" s="578">
        <f t="shared" si="134"/>
        <v>0</v>
      </c>
      <c r="AP29" s="577">
        <f>AP75</f>
        <v>0</v>
      </c>
      <c r="AQ29" s="578">
        <f>AQ75-AP29</f>
        <v>0</v>
      </c>
      <c r="AR29" s="576">
        <f>AR75-AQ29-AP29</f>
        <v>0</v>
      </c>
      <c r="AS29" s="574">
        <f>AS75-AR29-AQ29-AP29</f>
        <v>0</v>
      </c>
      <c r="AT29" s="578">
        <f t="shared" si="135"/>
        <v>0</v>
      </c>
      <c r="AU29" s="577">
        <f>AU75</f>
        <v>0</v>
      </c>
      <c r="AV29" s="578">
        <f>AV75-AU29</f>
        <v>0</v>
      </c>
      <c r="AW29" s="576">
        <f>AW75-AV29-AU29</f>
        <v>0</v>
      </c>
      <c r="AX29" s="574">
        <f>AX75-AW29-AV29-AU29</f>
        <v>0</v>
      </c>
      <c r="AY29" s="578">
        <f t="shared" si="136"/>
        <v>0</v>
      </c>
      <c r="AZ29" s="577">
        <f>AZ75</f>
        <v>0</v>
      </c>
      <c r="BA29" s="578">
        <f>BA75-AZ29</f>
        <v>0</v>
      </c>
      <c r="BB29" s="576">
        <f>BB75-BA29-AZ29</f>
        <v>0</v>
      </c>
      <c r="BC29" s="574">
        <f>BC75-BB29-BA29-AZ29</f>
        <v>0</v>
      </c>
      <c r="BD29" s="578">
        <f t="shared" si="137"/>
        <v>0</v>
      </c>
      <c r="BE29" s="577">
        <f>BE75</f>
        <v>0</v>
      </c>
      <c r="BF29" s="578">
        <f>BF75-BE29</f>
        <v>0</v>
      </c>
      <c r="BG29" s="576">
        <f>BG75-BF29-BE29</f>
        <v>0</v>
      </c>
      <c r="BH29" s="574">
        <f>BH75-BG29-BF29-BE29</f>
        <v>0</v>
      </c>
      <c r="BI29" s="578">
        <f t="shared" si="138"/>
        <v>0</v>
      </c>
      <c r="BJ29" s="577">
        <f>BJ75</f>
        <v>0</v>
      </c>
      <c r="BK29" s="578">
        <f>BK75-BJ29</f>
        <v>0</v>
      </c>
      <c r="BL29" s="576">
        <f>BL75-BK29-BJ29</f>
        <v>0</v>
      </c>
      <c r="BM29" s="574">
        <f>BM75-BL29-BK29-BJ29</f>
        <v>0</v>
      </c>
      <c r="BN29" s="578">
        <f t="shared" si="139"/>
        <v>0</v>
      </c>
      <c r="BO29" s="577">
        <f>BO75</f>
        <v>0</v>
      </c>
      <c r="BP29" s="578">
        <f>BP75-BO29</f>
        <v>0</v>
      </c>
      <c r="BQ29" s="576">
        <f>BQ75-BP29-BO29</f>
        <v>0</v>
      </c>
      <c r="BR29" s="574">
        <f>BR75-BQ29-BP29-BO29</f>
        <v>0</v>
      </c>
      <c r="BS29" s="578">
        <f t="shared" si="140"/>
        <v>0</v>
      </c>
      <c r="BT29" s="577">
        <f>BT75</f>
        <v>0</v>
      </c>
      <c r="BU29" s="578">
        <f>BU75-BT29</f>
        <v>0</v>
      </c>
      <c r="BV29" s="576">
        <f>BV75-BU29-BT29</f>
        <v>0</v>
      </c>
      <c r="BW29" s="574">
        <f>BW75-BV29-BU29-BT29</f>
        <v>0</v>
      </c>
      <c r="BX29" s="578">
        <f t="shared" si="141"/>
        <v>0</v>
      </c>
      <c r="BY29" s="577">
        <f>BY75</f>
        <v>0</v>
      </c>
      <c r="BZ29" s="578">
        <f>BZ75-BY29</f>
        <v>0</v>
      </c>
      <c r="CA29" s="576">
        <f>CA75-BZ29-BY29</f>
        <v>0</v>
      </c>
      <c r="CB29" s="574">
        <f>CB75-CA29-BZ29-BY29</f>
        <v>0</v>
      </c>
      <c r="CC29" s="578">
        <f t="shared" si="142"/>
        <v>0</v>
      </c>
      <c r="CD29" s="577">
        <f>CD75</f>
        <v>0</v>
      </c>
      <c r="CE29" s="578">
        <f>CE75-CD29</f>
        <v>0</v>
      </c>
      <c r="CF29" s="576">
        <f>CF75-CE29-CD29</f>
        <v>0</v>
      </c>
      <c r="CG29" s="574">
        <f>CG75-CF29-CE29-CD29</f>
        <v>0</v>
      </c>
      <c r="CH29" s="578">
        <f t="shared" si="143"/>
        <v>0</v>
      </c>
      <c r="CI29" s="577">
        <f>CI75</f>
        <v>0</v>
      </c>
      <c r="CJ29" s="578">
        <f>CJ75-CI29</f>
        <v>0</v>
      </c>
      <c r="CK29" s="576">
        <v>0</v>
      </c>
      <c r="CL29" s="574">
        <f>CL75-CK29-CJ29-CI29</f>
        <v>0</v>
      </c>
      <c r="CM29" s="667">
        <f t="shared" si="144"/>
        <v>0</v>
      </c>
      <c r="CN29" s="577">
        <f>CN75</f>
        <v>0</v>
      </c>
      <c r="CO29" s="578">
        <f>+CO75-CN29</f>
        <v>0</v>
      </c>
      <c r="CP29" s="576">
        <f>CP75-CO29-CN29</f>
        <v>0</v>
      </c>
      <c r="CQ29" s="574">
        <f>CQ75-CP29-CO29-CN29</f>
        <v>0</v>
      </c>
      <c r="CR29" s="576">
        <f t="shared" si="145"/>
        <v>0</v>
      </c>
      <c r="CS29" s="577">
        <f>CS75</f>
        <v>0</v>
      </c>
      <c r="CT29" s="578">
        <f>+CT75-CS29</f>
        <v>0</v>
      </c>
      <c r="CU29" s="576">
        <f>CU75-CT29-CS29</f>
        <v>0</v>
      </c>
      <c r="CV29" s="576">
        <f>CV75-CU29-CT29-CS29</f>
        <v>0</v>
      </c>
      <c r="CW29" s="836">
        <f>SUM(CS29:CV29)</f>
        <v>0</v>
      </c>
      <c r="CX29" s="1055">
        <f>CX75</f>
        <v>0</v>
      </c>
      <c r="CY29" s="1050">
        <f>+CY75-CX29</f>
        <v>0</v>
      </c>
      <c r="CZ29" s="1050">
        <f t="shared" si="146"/>
        <v>0</v>
      </c>
      <c r="DA29" s="1044">
        <f>-BS!DA89</f>
        <v>0</v>
      </c>
      <c r="DB29" s="1045">
        <f>SUM(CX29:DA29)</f>
        <v>0</v>
      </c>
      <c r="DC29" s="1044">
        <f>-BS!DC89</f>
        <v>0</v>
      </c>
      <c r="DD29" s="1044">
        <f>-BS!DD89</f>
        <v>0</v>
      </c>
      <c r="DE29" s="1044">
        <f>-BS!DE89</f>
        <v>0</v>
      </c>
      <c r="DF29" s="1044">
        <f>-BS!DF89</f>
        <v>0</v>
      </c>
      <c r="DG29" s="1045">
        <f>SUM(DC29:DF29)</f>
        <v>0</v>
      </c>
      <c r="DH29" s="1044">
        <f>-BS!DH89</f>
        <v>0</v>
      </c>
      <c r="DI29" s="1044">
        <f>-BS!DI89</f>
        <v>0</v>
      </c>
      <c r="DJ29" s="1044">
        <f>-BS!DJ89</f>
        <v>0</v>
      </c>
      <c r="DK29" s="1044">
        <f>-BS!DK89</f>
        <v>0</v>
      </c>
      <c r="DL29" s="1045">
        <f>SUM(DH29:DK29)</f>
        <v>0</v>
      </c>
      <c r="DM29" s="1044">
        <f>-BS!DM89</f>
        <v>0</v>
      </c>
      <c r="DN29" s="1044">
        <f>-BS!DN89</f>
        <v>0</v>
      </c>
      <c r="DO29" s="1044">
        <f>-BS!DO89</f>
        <v>0</v>
      </c>
      <c r="DP29" s="1044">
        <f>-BS!DP89</f>
        <v>0</v>
      </c>
      <c r="DQ29" s="1045">
        <f>SUM(DM29:DP29)</f>
        <v>0</v>
      </c>
      <c r="DR29" s="558"/>
      <c r="DS29" s="558"/>
      <c r="DT29"/>
      <c r="DU29"/>
      <c r="DV29"/>
      <c r="DW29"/>
      <c r="DX29"/>
      <c r="DY29"/>
    </row>
    <row r="30" spans="1:129" s="619" customFormat="1" ht="11.25" customHeight="1">
      <c r="B30" s="623"/>
      <c r="C30" s="558" t="s">
        <v>93</v>
      </c>
      <c r="D30" s="558"/>
      <c r="E30" s="558"/>
      <c r="F30" s="558"/>
      <c r="G30" s="577">
        <f>G76</f>
        <v>0</v>
      </c>
      <c r="H30" s="578">
        <f>H76-G30</f>
        <v>0</v>
      </c>
      <c r="I30" s="576">
        <f>I76-H30-G30</f>
        <v>0</v>
      </c>
      <c r="J30" s="574">
        <f>J76-I30-H30-G30</f>
        <v>0</v>
      </c>
      <c r="K30" s="577">
        <f t="shared" si="128"/>
        <v>0</v>
      </c>
      <c r="L30" s="577">
        <f>L76</f>
        <v>0</v>
      </c>
      <c r="M30" s="578">
        <f>M76-L30</f>
        <v>0</v>
      </c>
      <c r="N30" s="576">
        <f>N76-M30-L30</f>
        <v>0</v>
      </c>
      <c r="O30" s="574">
        <f>O76-N30-M30-L30</f>
        <v>0</v>
      </c>
      <c r="P30" s="578">
        <f t="shared" si="129"/>
        <v>0</v>
      </c>
      <c r="Q30" s="577">
        <f>Q76</f>
        <v>0</v>
      </c>
      <c r="R30" s="578">
        <f>R76-Q30</f>
        <v>-1.9550000000000001</v>
      </c>
      <c r="S30" s="576">
        <f>S76-R30-Q30</f>
        <v>0</v>
      </c>
      <c r="T30" s="574">
        <f>T76-S30-R30-Q30</f>
        <v>0</v>
      </c>
      <c r="U30" s="578">
        <f t="shared" si="130"/>
        <v>-1.9550000000000001</v>
      </c>
      <c r="V30" s="577">
        <f>V76</f>
        <v>0</v>
      </c>
      <c r="W30" s="578">
        <f>W76-V30</f>
        <v>0</v>
      </c>
      <c r="X30" s="576">
        <f>X76-W30-V30</f>
        <v>0</v>
      </c>
      <c r="Y30" s="574">
        <f>Y76-X30-W30-V30</f>
        <v>0</v>
      </c>
      <c r="Z30" s="578">
        <f t="shared" si="131"/>
        <v>0</v>
      </c>
      <c r="AA30" s="577">
        <f>AA76</f>
        <v>0</v>
      </c>
      <c r="AB30" s="578">
        <f>AB76-AA30</f>
        <v>0</v>
      </c>
      <c r="AC30" s="576">
        <f>AC76-AB30-AA30</f>
        <v>0</v>
      </c>
      <c r="AD30" s="574">
        <f>AD76-AC30-AB30-AA30</f>
        <v>0</v>
      </c>
      <c r="AE30" s="578">
        <f t="shared" si="132"/>
        <v>0</v>
      </c>
      <c r="AF30" s="577">
        <f>AF76</f>
        <v>0</v>
      </c>
      <c r="AG30" s="578">
        <f>AG76-AF30</f>
        <v>0</v>
      </c>
      <c r="AH30" s="576">
        <f>AH76-AG30-AF30</f>
        <v>0</v>
      </c>
      <c r="AI30" s="574">
        <f>AI76-AH30-AG30-AF30</f>
        <v>0</v>
      </c>
      <c r="AJ30" s="578">
        <f t="shared" si="133"/>
        <v>0</v>
      </c>
      <c r="AK30" s="577">
        <f>AK76</f>
        <v>-112.70399999999999</v>
      </c>
      <c r="AL30" s="578">
        <f>AL76-AK30</f>
        <v>-14.75</v>
      </c>
      <c r="AM30" s="576">
        <f>AM76-AL30-AK30</f>
        <v>-7.8769999999999953</v>
      </c>
      <c r="AN30" s="574">
        <f>AN76-AM30-AL30-AK30</f>
        <v>-40.000000000000014</v>
      </c>
      <c r="AO30" s="578">
        <f t="shared" si="134"/>
        <v>-175.33100000000002</v>
      </c>
      <c r="AP30" s="577">
        <f>AP76</f>
        <v>-65.308999999999997</v>
      </c>
      <c r="AQ30" s="578">
        <f>AQ76-AP30</f>
        <v>-43.239000000000004</v>
      </c>
      <c r="AR30" s="576">
        <f>AR76-AQ30-AP30</f>
        <v>-148.78300000000002</v>
      </c>
      <c r="AS30" s="574">
        <f>AS76-AR30-AQ30-AP30</f>
        <v>-368.46100000000001</v>
      </c>
      <c r="AT30" s="578">
        <f t="shared" si="135"/>
        <v>-625.79200000000003</v>
      </c>
      <c r="AU30" s="577">
        <f>AU76</f>
        <v>-133.24799999999999</v>
      </c>
      <c r="AV30" s="578">
        <f>AV76-AU30</f>
        <v>-53.65100000000001</v>
      </c>
      <c r="AW30" s="576">
        <f>AW76-AV30-AU30</f>
        <v>-196.19200000000001</v>
      </c>
      <c r="AX30" s="574">
        <f>AX76-AW30-AV30-AU30</f>
        <v>-105.07</v>
      </c>
      <c r="AY30" s="578">
        <f t="shared" si="136"/>
        <v>-488.161</v>
      </c>
      <c r="AZ30" s="577">
        <f>AZ76</f>
        <v>-121.58499999999999</v>
      </c>
      <c r="BA30" s="578">
        <f>BA76-AZ30</f>
        <v>-181.14000000000004</v>
      </c>
      <c r="BB30" s="576">
        <f>BB76-BA30-AZ30</f>
        <v>-241.75</v>
      </c>
      <c r="BC30" s="574">
        <f>BC76-BB30-BA30-AZ30</f>
        <v>-424.19400000000002</v>
      </c>
      <c r="BD30" s="578">
        <f t="shared" si="137"/>
        <v>-968.6690000000001</v>
      </c>
      <c r="BE30" s="577">
        <f>BE76</f>
        <v>-97.86</v>
      </c>
      <c r="BF30" s="578">
        <f>BF76-BE30</f>
        <v>-10.25</v>
      </c>
      <c r="BG30" s="576">
        <f>BG76-BF30-BE30</f>
        <v>-20.221999999999994</v>
      </c>
      <c r="BH30" s="574">
        <f>BH76-BG30-BF30-BE30</f>
        <v>-6.867999999999995</v>
      </c>
      <c r="BI30" s="578">
        <f t="shared" si="138"/>
        <v>-135.19999999999999</v>
      </c>
      <c r="BJ30" s="577">
        <f>BJ76</f>
        <v>-40.743000000000002</v>
      </c>
      <c r="BK30" s="578">
        <f>BK76-BJ30</f>
        <v>-88.152000000000015</v>
      </c>
      <c r="BL30" s="576">
        <f>BL76-BK30-BJ30</f>
        <v>-99.931999999999988</v>
      </c>
      <c r="BM30" s="574">
        <f>BM76-BL30-BK30-BJ30</f>
        <v>-119.38200000000001</v>
      </c>
      <c r="BN30" s="578">
        <f t="shared" si="139"/>
        <v>-348.209</v>
      </c>
      <c r="BO30" s="577">
        <f>BO76</f>
        <v>-46.798000000000002</v>
      </c>
      <c r="BP30" s="578">
        <f>BP76-BO30</f>
        <v>-367.12</v>
      </c>
      <c r="BQ30" s="576">
        <f>BQ76-BP30-BO30</f>
        <v>-252.03099999999995</v>
      </c>
      <c r="BR30" s="574">
        <f>BR76-BQ30-BP30-BO30</f>
        <v>-268.23599999999999</v>
      </c>
      <c r="BS30" s="578">
        <f t="shared" si="140"/>
        <v>-934.18499999999995</v>
      </c>
      <c r="BT30" s="577">
        <f>BT76</f>
        <v>-317.78300000000002</v>
      </c>
      <c r="BU30" s="578">
        <f>BU76-BT30</f>
        <v>-453.23500000000001</v>
      </c>
      <c r="BV30" s="576">
        <f>BV76-BU30-BT30</f>
        <v>-410.44200000000001</v>
      </c>
      <c r="BW30" s="574">
        <f>BW76-BV30-BU30-BT30</f>
        <v>-157.20399999999995</v>
      </c>
      <c r="BX30" s="578">
        <f t="shared" si="141"/>
        <v>-1338.664</v>
      </c>
      <c r="BY30" s="577">
        <f>BY76</f>
        <v>-434.83199999999999</v>
      </c>
      <c r="BZ30" s="578">
        <f>BZ76-BY30</f>
        <v>-382.59699999999998</v>
      </c>
      <c r="CA30" s="576">
        <f>CA76-BZ30-BY30</f>
        <v>-362.245</v>
      </c>
      <c r="CB30" s="574">
        <f>CB76-CA30-BZ30-BY30</f>
        <v>-248.83399999999995</v>
      </c>
      <c r="CC30" s="578">
        <f t="shared" si="142"/>
        <v>-1428.5079999999998</v>
      </c>
      <c r="CD30" s="577">
        <f>CD76</f>
        <v>-348.69200000000001</v>
      </c>
      <c r="CE30" s="578">
        <f>CE76-CD30</f>
        <v>-574.61900000000003</v>
      </c>
      <c r="CF30" s="576">
        <f>CF76-CE30-CD30</f>
        <v>-445.50099999999986</v>
      </c>
      <c r="CG30" s="574">
        <f>CG76-CF30-CE30-CD30</f>
        <v>-479.9319999999999</v>
      </c>
      <c r="CH30" s="578">
        <f t="shared" si="143"/>
        <v>-1848.7439999999997</v>
      </c>
      <c r="CI30" s="577">
        <f>CI76</f>
        <v>-394.52599999999984</v>
      </c>
      <c r="CJ30" s="578">
        <f>CJ76-CI30</f>
        <v>-1013.1110000000001</v>
      </c>
      <c r="CK30" s="576">
        <f>CK76-CJ30-CI30</f>
        <v>-772.66799999999989</v>
      </c>
      <c r="CL30" s="574">
        <f>CL76-CK30-CJ30-CI30</f>
        <v>-316.99400000000014</v>
      </c>
      <c r="CM30" s="667">
        <f t="shared" si="144"/>
        <v>-2497.299</v>
      </c>
      <c r="CN30" s="577">
        <f>CN76</f>
        <v>-719.7</v>
      </c>
      <c r="CO30" s="578">
        <f>+CO76-CN30</f>
        <v>-846.09999999999991</v>
      </c>
      <c r="CP30" s="576">
        <f>CP76-CO30-CN30</f>
        <v>-528.10000000000014</v>
      </c>
      <c r="CQ30" s="574">
        <f>CQ76-CP30-CO30-CN30</f>
        <v>-909.7999999999995</v>
      </c>
      <c r="CR30" s="576">
        <f t="shared" si="145"/>
        <v>-3003.7</v>
      </c>
      <c r="CS30" s="577">
        <f>CS76</f>
        <v>-1096</v>
      </c>
      <c r="CT30" s="578">
        <f>+CT76-CS30</f>
        <v>-1836.9</v>
      </c>
      <c r="CU30" s="576">
        <f>CU76-CT30-CS30</f>
        <v>-1282.5999999999999</v>
      </c>
      <c r="CV30" s="576">
        <f>CV76-CU30-CT30-CS30</f>
        <v>-953.5</v>
      </c>
      <c r="CW30" s="836">
        <f>SUM(CS30:CV30)</f>
        <v>-5169</v>
      </c>
      <c r="CX30" s="1055">
        <f>CX76</f>
        <v>-1584</v>
      </c>
      <c r="CY30" s="1050">
        <f>+CY76-CX30</f>
        <v>-913</v>
      </c>
      <c r="CZ30" s="1050">
        <f t="shared" si="146"/>
        <v>-1044</v>
      </c>
      <c r="DA30" s="1112">
        <f>64-DA31</f>
        <v>32</v>
      </c>
      <c r="DB30" s="1045">
        <f>SUM(CX30:DA30)</f>
        <v>-3509</v>
      </c>
      <c r="DC30" s="1044">
        <f>IF(BS!DC12+BS!DC30-BS!DA12-BS!DA30&gt;0,BS!DA12+BS!DA30-BS!DC12-BS!DC30,0)</f>
        <v>-100</v>
      </c>
      <c r="DD30" s="1044">
        <f>IF(BS!DD12+BS!DD30-BS!DC12-BS!DC30&gt;0,BS!DC12+BS!DC30-BS!DD12-BS!DD30,0)</f>
        <v>-100</v>
      </c>
      <c r="DE30" s="1044">
        <f>IF(BS!DE12+BS!DE30-BS!DD12-BS!DD30&gt;0,BS!DD12+BS!DD30-BS!DE12-BS!DE30,0)</f>
        <v>-100</v>
      </c>
      <c r="DF30" s="1044">
        <f>IF(BS!DF12+BS!DF30-BS!DE12-BS!DE30&gt;0,BS!DE12+BS!DE30-BS!DF12-BS!DF30,0)</f>
        <v>-100</v>
      </c>
      <c r="DG30" s="1045">
        <f>SUM(DC30:DF30)</f>
        <v>-400</v>
      </c>
      <c r="DH30" s="1044">
        <f>IF(BS!DH12+BS!DH30-BS!DF12-BS!DF30&gt;0,BS!DF12+BS!DF30-BS!DH12-BS!DH30,0)</f>
        <v>-100</v>
      </c>
      <c r="DI30" s="1044">
        <f>IF(BS!DI12+BS!DI30-BS!DH12-BS!DH30&gt;0,BS!DH12+BS!DH30-BS!DI12-BS!DI30,0)</f>
        <v>-100</v>
      </c>
      <c r="DJ30" s="1044">
        <f>IF(BS!DJ12+BS!DJ30-BS!DI12-BS!DI30&gt;0,BS!DI12+BS!DI30-BS!DJ12-BS!DJ30,0)</f>
        <v>-100</v>
      </c>
      <c r="DK30" s="1044">
        <f>IF(BS!DK12+BS!DK30-BS!DJ12-BS!DJ30&gt;0,BS!DJ12+BS!DJ30-BS!DK12-BS!DK30,0)</f>
        <v>-100</v>
      </c>
      <c r="DL30" s="1045">
        <f>SUM(DH30:DK30)</f>
        <v>-400</v>
      </c>
      <c r="DM30" s="1044">
        <f>IF(BS!DM12+BS!DM30-BS!DK12-BS!DK30&gt;0,BS!DK12+BS!DK30-BS!DM12-BS!DM30,0)</f>
        <v>-100</v>
      </c>
      <c r="DN30" s="1044">
        <f>IF(BS!DN12+BS!DN30-BS!DM12-BS!DM30&gt;0,BS!DM12+BS!DM30-BS!DN12-BS!DN30,0)</f>
        <v>-100</v>
      </c>
      <c r="DO30" s="1044">
        <f>IF(BS!DO12+BS!DO30-BS!DN12-BS!DN30&gt;0,BS!DN12+BS!DN30-BS!DO12-BS!DO30,0)</f>
        <v>-100</v>
      </c>
      <c r="DP30" s="1044">
        <f>IF(BS!DP12+BS!DP30-BS!DO12-BS!DO30&gt;0,BS!DO12+BS!DO30-BS!DP12-BS!DP30,0)</f>
        <v>-100</v>
      </c>
      <c r="DQ30" s="1045">
        <f>SUM(DM30:DP30)</f>
        <v>-400</v>
      </c>
      <c r="DR30" s="558"/>
      <c r="DS30" s="558"/>
      <c r="DT30"/>
      <c r="DU30"/>
      <c r="DV30"/>
      <c r="DW30"/>
      <c r="DX30"/>
      <c r="DY30"/>
    </row>
    <row r="31" spans="1:129" s="619" customFormat="1" ht="11.25" customHeight="1">
      <c r="B31" s="623"/>
      <c r="C31" s="558" t="s">
        <v>94</v>
      </c>
      <c r="D31" s="558"/>
      <c r="E31" s="558"/>
      <c r="F31" s="558"/>
      <c r="G31" s="577">
        <f>G77</f>
        <v>0</v>
      </c>
      <c r="H31" s="578">
        <f>H77-G31</f>
        <v>0</v>
      </c>
      <c r="I31" s="576">
        <f>I77-H31-G31</f>
        <v>0</v>
      </c>
      <c r="J31" s="574">
        <f>J77-I31-H31-G31</f>
        <v>0</v>
      </c>
      <c r="K31" s="577">
        <f t="shared" si="128"/>
        <v>0</v>
      </c>
      <c r="L31" s="577">
        <f>L77</f>
        <v>0</v>
      </c>
      <c r="M31" s="578">
        <f>M77-L31</f>
        <v>0</v>
      </c>
      <c r="N31" s="576">
        <f>N77-M31-L31</f>
        <v>0</v>
      </c>
      <c r="O31" s="574">
        <f>O77-N31-M31-L31</f>
        <v>0</v>
      </c>
      <c r="P31" s="578">
        <f t="shared" si="129"/>
        <v>0</v>
      </c>
      <c r="Q31" s="577">
        <f>Q77</f>
        <v>0</v>
      </c>
      <c r="R31" s="578">
        <f>R77-Q31</f>
        <v>0</v>
      </c>
      <c r="S31" s="576">
        <f>S77-R31-Q31</f>
        <v>0</v>
      </c>
      <c r="T31" s="574">
        <f>T77-S31-R31-Q31</f>
        <v>0</v>
      </c>
      <c r="U31" s="578">
        <f t="shared" si="130"/>
        <v>0</v>
      </c>
      <c r="V31" s="577">
        <f>V77</f>
        <v>0</v>
      </c>
      <c r="W31" s="578">
        <f>W77-V31</f>
        <v>0</v>
      </c>
      <c r="X31" s="576">
        <f>X77-W31-V31</f>
        <v>0</v>
      </c>
      <c r="Y31" s="574">
        <f>Y77-X31-W31-V31</f>
        <v>0</v>
      </c>
      <c r="Z31" s="578">
        <f t="shared" si="131"/>
        <v>0</v>
      </c>
      <c r="AA31" s="577">
        <f>AA77</f>
        <v>0</v>
      </c>
      <c r="AB31" s="578">
        <f>AB77-AA31</f>
        <v>0</v>
      </c>
      <c r="AC31" s="576">
        <f>AC77-AB31-AA31</f>
        <v>0</v>
      </c>
      <c r="AD31" s="574">
        <f>AD77-AC31-AB31-AA31</f>
        <v>0</v>
      </c>
      <c r="AE31" s="578">
        <f t="shared" si="132"/>
        <v>0</v>
      </c>
      <c r="AF31" s="577">
        <f>AF77</f>
        <v>0</v>
      </c>
      <c r="AG31" s="578">
        <f>AG77-AF31</f>
        <v>0</v>
      </c>
      <c r="AH31" s="576">
        <f>AH77-AG31-AF31</f>
        <v>0</v>
      </c>
      <c r="AI31" s="574">
        <f>AI77-AH31-AG31-AF31</f>
        <v>0</v>
      </c>
      <c r="AJ31" s="578">
        <f t="shared" si="133"/>
        <v>0</v>
      </c>
      <c r="AK31" s="577">
        <f>AK77</f>
        <v>52.78</v>
      </c>
      <c r="AL31" s="578">
        <f>AL77-AK31</f>
        <v>13.625</v>
      </c>
      <c r="AM31" s="576">
        <f>AM77-AL31-AK31</f>
        <v>24.233000000000004</v>
      </c>
      <c r="AN31" s="574">
        <f>AN77-AM31-AL31-AK31</f>
        <v>20.074999999999989</v>
      </c>
      <c r="AO31" s="578">
        <f t="shared" si="134"/>
        <v>110.71299999999999</v>
      </c>
      <c r="AP31" s="577">
        <f>AP77</f>
        <v>40.606000000000002</v>
      </c>
      <c r="AQ31" s="578">
        <f>AQ77-AP31</f>
        <v>35.274999999999999</v>
      </c>
      <c r="AR31" s="576">
        <f>AR77-AQ31-AP31</f>
        <v>141.96100000000001</v>
      </c>
      <c r="AS31" s="574">
        <f>AS77-AR31-AQ31-AP31</f>
        <v>294.98500000000001</v>
      </c>
      <c r="AT31" s="578">
        <f t="shared" si="135"/>
        <v>512.827</v>
      </c>
      <c r="AU31" s="577">
        <f>AU77</f>
        <v>103.126</v>
      </c>
      <c r="AV31" s="578">
        <f>AV77-AU31</f>
        <v>45.740999999999985</v>
      </c>
      <c r="AW31" s="576">
        <f>AW77-AV31-AU31</f>
        <v>123.97299999999998</v>
      </c>
      <c r="AX31" s="574">
        <f>AX77-AW31-AV31-AU31</f>
        <v>62.490000000000009</v>
      </c>
      <c r="AY31" s="578">
        <f t="shared" si="136"/>
        <v>335.33</v>
      </c>
      <c r="AZ31" s="577">
        <f>AZ77</f>
        <v>103.91500000000001</v>
      </c>
      <c r="BA31" s="578">
        <f>BA77-AZ31</f>
        <v>140.78699999999998</v>
      </c>
      <c r="BB31" s="576">
        <f>BB77-BA31-AZ31</f>
        <v>170.95499999999998</v>
      </c>
      <c r="BC31" s="574">
        <f>BC77-BB31-BA31-AZ31</f>
        <v>604.96</v>
      </c>
      <c r="BD31" s="578">
        <f t="shared" si="137"/>
        <v>1020.617</v>
      </c>
      <c r="BE31" s="577">
        <f>BE77</f>
        <v>226.68799999999999</v>
      </c>
      <c r="BF31" s="578">
        <f>BF77-BE31</f>
        <v>13.27800000000002</v>
      </c>
      <c r="BG31" s="576">
        <f>BG77-BF31-BE31</f>
        <v>22.194000000000017</v>
      </c>
      <c r="BH31" s="574">
        <f>BH77-BG31-BF31-BE31</f>
        <v>8.3999999999999773</v>
      </c>
      <c r="BI31" s="578">
        <f t="shared" si="138"/>
        <v>270.56</v>
      </c>
      <c r="BJ31" s="577">
        <f>BJ77</f>
        <v>18.974</v>
      </c>
      <c r="BK31" s="578">
        <f>BK77-BJ31</f>
        <v>20.815999999999999</v>
      </c>
      <c r="BL31" s="576">
        <f>BL77-BK31-BJ31</f>
        <v>37.146999999999991</v>
      </c>
      <c r="BM31" s="574">
        <f>BM77-BL31-BK31-BJ31</f>
        <v>21.760000000000009</v>
      </c>
      <c r="BN31" s="578">
        <f t="shared" si="139"/>
        <v>98.696999999999989</v>
      </c>
      <c r="BO31" s="577">
        <f>BO77</f>
        <v>13.875999999999999</v>
      </c>
      <c r="BP31" s="578">
        <f>BP77-BO31</f>
        <v>237.25700000000001</v>
      </c>
      <c r="BQ31" s="576">
        <f>BQ77-BP31-BO31</f>
        <v>264.89699999999999</v>
      </c>
      <c r="BR31" s="574">
        <f>BR77-BQ31-BP31-BO31</f>
        <v>190.63999999999996</v>
      </c>
      <c r="BS31" s="578">
        <f t="shared" si="140"/>
        <v>706.67</v>
      </c>
      <c r="BT31" s="577">
        <f>BT77</f>
        <v>128.83600000000001</v>
      </c>
      <c r="BU31" s="578">
        <f>BU77-BT31</f>
        <v>254.64999999999998</v>
      </c>
      <c r="BV31" s="576">
        <f>BV77-BU31-BT31</f>
        <v>359.625</v>
      </c>
      <c r="BW31" s="574">
        <f>BW77-BV31-BU31-BT31</f>
        <v>116.29300000000001</v>
      </c>
      <c r="BX31" s="578">
        <f t="shared" si="141"/>
        <v>859.404</v>
      </c>
      <c r="BY31" s="577">
        <f>BY77</f>
        <v>407.67</v>
      </c>
      <c r="BZ31" s="578">
        <f>BZ77-BY31</f>
        <v>230.60499999999996</v>
      </c>
      <c r="CA31" s="576">
        <f>CA77-BZ31-BY31</f>
        <v>364.67699999999996</v>
      </c>
      <c r="CB31" s="574">
        <f>CB77-CA31-BZ31-BY31</f>
        <v>249.86899999999997</v>
      </c>
      <c r="CC31" s="578">
        <f t="shared" si="142"/>
        <v>1252.8209999999999</v>
      </c>
      <c r="CD31" s="577">
        <f>CD77</f>
        <v>374.279</v>
      </c>
      <c r="CE31" s="578">
        <f>CE77-CD31</f>
        <v>596.90499999999997</v>
      </c>
      <c r="CF31" s="576">
        <f>CF77-CE31-CD31</f>
        <v>326.07400000000007</v>
      </c>
      <c r="CG31" s="574">
        <f>CG77-CF31-CE31-CD31</f>
        <v>276.154</v>
      </c>
      <c r="CH31" s="578">
        <f t="shared" si="143"/>
        <v>1573.412</v>
      </c>
      <c r="CI31" s="577">
        <f>CI77</f>
        <v>0</v>
      </c>
      <c r="CJ31" s="578">
        <f>CJ77-CI31</f>
        <v>809.89300000000003</v>
      </c>
      <c r="CK31" s="576">
        <f>CK77-CJ31-CI31</f>
        <v>892.81</v>
      </c>
      <c r="CL31" s="574">
        <f>CL77-CK31-CJ31-CI31</f>
        <v>537.54199999999992</v>
      </c>
      <c r="CM31" s="667">
        <f t="shared" si="144"/>
        <v>2240.2449999999999</v>
      </c>
      <c r="CN31" s="577">
        <f>CN77</f>
        <v>413.7</v>
      </c>
      <c r="CO31" s="578">
        <f>+CO77-CN31</f>
        <v>432.2</v>
      </c>
      <c r="CP31" s="576">
        <f>CP77-CO31-CN31</f>
        <v>416.3</v>
      </c>
      <c r="CQ31" s="574">
        <f>CQ77-CP31-CO31-CN31</f>
        <v>645.39999999999986</v>
      </c>
      <c r="CR31" s="576">
        <f t="shared" si="145"/>
        <v>1907.6</v>
      </c>
      <c r="CS31" s="577">
        <f>CS77</f>
        <v>1001.8</v>
      </c>
      <c r="CT31" s="578">
        <f>+CT77-CS31</f>
        <v>1960.7</v>
      </c>
      <c r="CU31" s="576">
        <f>CU77-CT31-CS31</f>
        <v>778.09999999999991</v>
      </c>
      <c r="CV31" s="576">
        <f>CV77-CU31-CT31-CS31</f>
        <v>1099.3999999999999</v>
      </c>
      <c r="CW31" s="836">
        <f>SUM(CS31:CV31)</f>
        <v>4840</v>
      </c>
      <c r="CX31" s="1055">
        <f>CX77</f>
        <v>1747</v>
      </c>
      <c r="CY31" s="1050">
        <f>+CY77-CX31</f>
        <v>584</v>
      </c>
      <c r="CZ31" s="1050">
        <f t="shared" si="146"/>
        <v>1064</v>
      </c>
      <c r="DA31" s="1112">
        <f>IF(BS!DA12+BS!DA30-BS!CZ12-BS!CZ30&lt;0,BS!CZ12+BS!CZ30-BS!DA12-BS!DA30,0)</f>
        <v>32</v>
      </c>
      <c r="DB31" s="1045">
        <f>SUM(CX31:DA31)</f>
        <v>3427</v>
      </c>
      <c r="DC31" s="1044">
        <f>IF(BS!DC12+BS!DC30-BS!DA12-BS!DA30&lt;0,BS!DA12+BS!DA30-BS!DC12-BS!DC30,0)</f>
        <v>0</v>
      </c>
      <c r="DD31" s="1044">
        <f>IF(BS!DD12+BS!DD30-BS!DC12-BS!DC30&lt;0,BS!DC12+BS!DC30-BS!DD12-BS!DD30,0)</f>
        <v>0</v>
      </c>
      <c r="DE31" s="1044">
        <f>IF(BS!DE12+BS!DE30-BS!DD12-BS!DD30&lt;0,BS!DD12+BS!DD30-BS!DE12-BS!DE30,0)</f>
        <v>0</v>
      </c>
      <c r="DF31" s="1044">
        <f>IF(BS!DF12+BS!DF30-BS!DE12-BS!DE30&lt;0,BS!DE12+BS!DE30-BS!DF12-BS!DF30,0)</f>
        <v>0</v>
      </c>
      <c r="DG31" s="1045">
        <f>SUM(DC31:DF31)</f>
        <v>0</v>
      </c>
      <c r="DH31" s="1044">
        <f>IF(BS!DH12+BS!DH30-BS!DF12-BS!DF30&lt;0,BS!DF12+BS!DF30-BS!DH12-BS!DH30,0)</f>
        <v>0</v>
      </c>
      <c r="DI31" s="1044">
        <f>IF(BS!DI12+BS!DI30-BS!DH12-BS!DH30&lt;0,BS!DH12+BS!DH30-BS!DI12-BS!DI30,0)</f>
        <v>0</v>
      </c>
      <c r="DJ31" s="1044">
        <f>IF(BS!DJ12+BS!DJ30-BS!DI12-BS!DI30&lt;0,BS!DI12+BS!DI30-BS!DJ12-BS!DJ30,0)</f>
        <v>0</v>
      </c>
      <c r="DK31" s="1044">
        <f>IF(BS!DK12+BS!DK30-BS!DJ12-BS!DJ30&lt;0,BS!DJ12+BS!DJ30-BS!DK12-BS!DK30,0)</f>
        <v>0</v>
      </c>
      <c r="DL31" s="1045">
        <f>SUM(DH31:DK31)</f>
        <v>0</v>
      </c>
      <c r="DM31" s="1044">
        <f>IF(BS!DM12+BS!DM30-BS!DK12-BS!DK30&lt;0,BS!DK12+BS!DK30-BS!DM12-BS!DM30,0)</f>
        <v>0</v>
      </c>
      <c r="DN31" s="1044">
        <f>IF(BS!DN12+BS!DN30-BS!DM12-BS!DM30&lt;0,BS!DM12+BS!DM30-BS!DN12-BS!DN30,0)</f>
        <v>0</v>
      </c>
      <c r="DO31" s="1044">
        <f>IF(BS!DO12+BS!DO30-BS!DN12-BS!DN30&lt;0,BS!DN12+BS!DN30-BS!DO12-BS!DO30,0)</f>
        <v>0</v>
      </c>
      <c r="DP31" s="1044">
        <f>IF(BS!DP12+BS!DP30-BS!DO12-BS!DO30&lt;0,BS!DO12+BS!DO30-BS!DP12-BS!DP30,0)</f>
        <v>0</v>
      </c>
      <c r="DQ31" s="1045">
        <f>SUM(DM31:DP31)</f>
        <v>0</v>
      </c>
      <c r="DR31" s="558"/>
      <c r="DS31" s="558"/>
      <c r="DT31"/>
      <c r="DU31"/>
      <c r="DV31"/>
      <c r="DW31"/>
      <c r="DX31"/>
      <c r="DY31"/>
    </row>
    <row r="32" spans="1:129" s="619" customFormat="1" ht="11.25" customHeight="1">
      <c r="B32" s="623"/>
      <c r="C32" s="558" t="s">
        <v>172</v>
      </c>
      <c r="D32" s="558"/>
      <c r="E32" s="558"/>
      <c r="F32" s="558"/>
      <c r="G32" s="577">
        <f>G78</f>
        <v>0</v>
      </c>
      <c r="H32" s="578">
        <f>H78-G32</f>
        <v>0</v>
      </c>
      <c r="I32" s="576">
        <f>I78-H32-G32</f>
        <v>0</v>
      </c>
      <c r="J32" s="574">
        <f>J78-I32-H32-G32</f>
        <v>0</v>
      </c>
      <c r="K32" s="577">
        <f t="shared" si="128"/>
        <v>0</v>
      </c>
      <c r="L32" s="577">
        <f>L78</f>
        <v>0</v>
      </c>
      <c r="M32" s="578">
        <f>M78-L32</f>
        <v>0</v>
      </c>
      <c r="N32" s="576">
        <f>N78-M32-L32</f>
        <v>0</v>
      </c>
      <c r="O32" s="574">
        <f>O78-N32-M32-L32</f>
        <v>0</v>
      </c>
      <c r="P32" s="578">
        <f t="shared" si="129"/>
        <v>0</v>
      </c>
      <c r="Q32" s="577">
        <f>Q78</f>
        <v>0</v>
      </c>
      <c r="R32" s="578">
        <f>R78-Q32</f>
        <v>0</v>
      </c>
      <c r="S32" s="576">
        <f>S78-R32-Q32</f>
        <v>0</v>
      </c>
      <c r="T32" s="574">
        <f>T78-S32-R32-Q32</f>
        <v>0</v>
      </c>
      <c r="U32" s="578">
        <f t="shared" si="130"/>
        <v>0</v>
      </c>
      <c r="V32" s="577">
        <f>V78</f>
        <v>0</v>
      </c>
      <c r="W32" s="578">
        <f>W78-V32</f>
        <v>0</v>
      </c>
      <c r="X32" s="576">
        <f>X78-W32-V32</f>
        <v>0</v>
      </c>
      <c r="Y32" s="574">
        <f>Y78-X32-W32-V32</f>
        <v>0</v>
      </c>
      <c r="Z32" s="578">
        <f t="shared" si="131"/>
        <v>0</v>
      </c>
      <c r="AA32" s="577">
        <f>AA78</f>
        <v>0</v>
      </c>
      <c r="AB32" s="578">
        <f>AB78-AA32</f>
        <v>-2.7440000000000002</v>
      </c>
      <c r="AC32" s="576">
        <f>AC78-AB32-AA32</f>
        <v>0</v>
      </c>
      <c r="AD32" s="574">
        <f>AD78-AC32-AB32-AA32</f>
        <v>-10.452</v>
      </c>
      <c r="AE32" s="578">
        <f t="shared" si="132"/>
        <v>-13.196</v>
      </c>
      <c r="AF32" s="577">
        <f>AF78</f>
        <v>0</v>
      </c>
      <c r="AG32" s="578">
        <f>AG78-AF32</f>
        <v>-3.8159999999999998</v>
      </c>
      <c r="AH32" s="576">
        <f>AH78-AG32-AF32</f>
        <v>0</v>
      </c>
      <c r="AI32" s="574">
        <f>AI78-AH32-AG32-AF32</f>
        <v>-4.0070000000000006</v>
      </c>
      <c r="AJ32" s="578">
        <f t="shared" si="133"/>
        <v>-7.8230000000000004</v>
      </c>
      <c r="AK32" s="577">
        <f>AK78</f>
        <v>-1.4950000000000001</v>
      </c>
      <c r="AL32" s="578">
        <f>AL78-AK32</f>
        <v>0</v>
      </c>
      <c r="AM32" s="576">
        <f>AM78-AL32-AK32</f>
        <v>0</v>
      </c>
      <c r="AN32" s="574">
        <f>AN78-AM32-AL32-AK32</f>
        <v>0</v>
      </c>
      <c r="AO32" s="578">
        <f t="shared" si="134"/>
        <v>-1.4950000000000001</v>
      </c>
      <c r="AP32" s="577">
        <f>AP78</f>
        <v>-1.1830000000000001</v>
      </c>
      <c r="AQ32" s="578">
        <f>AQ78-AP32</f>
        <v>-14.106999999999999</v>
      </c>
      <c r="AR32" s="576">
        <f>AR78-AQ32-AP32</f>
        <v>-4.5210000000000008</v>
      </c>
      <c r="AS32" s="574">
        <f>AS78-AR32-AQ32-AP32</f>
        <v>0</v>
      </c>
      <c r="AT32" s="578">
        <f t="shared" si="135"/>
        <v>-19.811</v>
      </c>
      <c r="AU32" s="577">
        <f>AU78</f>
        <v>0</v>
      </c>
      <c r="AV32" s="578">
        <f>AV78-AU32</f>
        <v>0</v>
      </c>
      <c r="AW32" s="576">
        <f>AW78-AV32-AU32</f>
        <v>-14.773</v>
      </c>
      <c r="AX32" s="574">
        <f>AX78-AW32-AV32-AU32</f>
        <v>0</v>
      </c>
      <c r="AY32" s="578">
        <f t="shared" si="136"/>
        <v>-14.773</v>
      </c>
      <c r="AZ32" s="577">
        <f>AZ78</f>
        <v>0</v>
      </c>
      <c r="BA32" s="578">
        <f>BA78-AZ32</f>
        <v>0</v>
      </c>
      <c r="BB32" s="576">
        <f>BB78-BA32-AZ32</f>
        <v>-11.955</v>
      </c>
      <c r="BC32" s="574">
        <f>BC78-BB32-BA32-AZ32</f>
        <v>-134.86499999999998</v>
      </c>
      <c r="BD32" s="578">
        <f t="shared" si="137"/>
        <v>-146.82</v>
      </c>
      <c r="BE32" s="577">
        <f>BE78</f>
        <v>-9.2490000000000006</v>
      </c>
      <c r="BF32" s="578">
        <f>BF78-BE32</f>
        <v>-11.706999999999999</v>
      </c>
      <c r="BG32" s="576">
        <f>BG78-BF32-BE32</f>
        <v>0</v>
      </c>
      <c r="BH32" s="574">
        <f>BH78-BG32-BF32-BE32</f>
        <v>0</v>
      </c>
      <c r="BI32" s="578">
        <f t="shared" si="138"/>
        <v>-20.956</v>
      </c>
      <c r="BJ32" s="577">
        <f>BJ78</f>
        <v>-1.304</v>
      </c>
      <c r="BK32" s="578">
        <f>BK78-BJ32</f>
        <v>0</v>
      </c>
      <c r="BL32" s="576">
        <f>BL78-BK32-BJ32</f>
        <v>-4.4719999999999995</v>
      </c>
      <c r="BM32" s="574">
        <f>BM78-BL32-BK32-BJ32</f>
        <v>-62.837000000000003</v>
      </c>
      <c r="BN32" s="578">
        <f t="shared" si="139"/>
        <v>-68.613</v>
      </c>
      <c r="BO32" s="577">
        <f>BO78</f>
        <v>0</v>
      </c>
      <c r="BP32" s="578">
        <f>BP78-BO32</f>
        <v>-29.035</v>
      </c>
      <c r="BQ32" s="576">
        <f>BQ78-BP32-BO32</f>
        <v>-2.6699999999999982</v>
      </c>
      <c r="BR32" s="574">
        <f>BR78-BQ32-BP32-BO32</f>
        <v>-2.1580000000000013</v>
      </c>
      <c r="BS32" s="578">
        <f t="shared" si="140"/>
        <v>-33.863</v>
      </c>
      <c r="BT32" s="577">
        <f>BT78</f>
        <v>-7.8949999999999996</v>
      </c>
      <c r="BU32" s="578">
        <f>BU78-BT32</f>
        <v>-11.426000000000002</v>
      </c>
      <c r="BV32" s="576">
        <f>BV78-BU32-BT32</f>
        <v>-55.719000000000008</v>
      </c>
      <c r="BW32" s="574">
        <f>BW78-BV32-BU32-BT32</f>
        <v>-7.7599999999999874</v>
      </c>
      <c r="BX32" s="578">
        <f t="shared" si="141"/>
        <v>-82.8</v>
      </c>
      <c r="BY32" s="577">
        <f>BY78</f>
        <v>-7.8739999999999997</v>
      </c>
      <c r="BZ32" s="578">
        <f>BZ78-BY32</f>
        <v>-17.003</v>
      </c>
      <c r="CA32" s="576">
        <f>CA78-BZ32-BY32</f>
        <v>-19.019000000000002</v>
      </c>
      <c r="CB32" s="574">
        <f>CB78-CA32-BZ32-BY32</f>
        <v>-15.998000000000001</v>
      </c>
      <c r="CC32" s="578">
        <f t="shared" si="142"/>
        <v>-59.894000000000005</v>
      </c>
      <c r="CD32" s="577">
        <f>CD78</f>
        <v>-139.27600000000001</v>
      </c>
      <c r="CE32" s="578">
        <f>CE78-CD32</f>
        <v>-11.86099999999999</v>
      </c>
      <c r="CF32" s="576">
        <f>CF78-CE32-CD32</f>
        <v>-1.3389999999999986</v>
      </c>
      <c r="CG32" s="574">
        <f>CG78-CF32-CE32-CD32</f>
        <v>-41.329000000000008</v>
      </c>
      <c r="CH32" s="578">
        <f t="shared" si="143"/>
        <v>-193.80500000000001</v>
      </c>
      <c r="CI32" s="577">
        <f>CI78</f>
        <v>10.484367898121992</v>
      </c>
      <c r="CJ32" s="578">
        <f>CJ78-CI32</f>
        <v>-21.97136789812199</v>
      </c>
      <c r="CK32" s="576">
        <f>CK78-CJ32-CI32</f>
        <v>0</v>
      </c>
      <c r="CL32" s="574">
        <f>CL78-CK32-CJ32-CI32</f>
        <v>-2679.95</v>
      </c>
      <c r="CM32" s="667">
        <f t="shared" si="144"/>
        <v>-2691.4369999999999</v>
      </c>
      <c r="CN32" s="577">
        <f>CN78</f>
        <v>0</v>
      </c>
      <c r="CO32" s="578">
        <f>+CO78-CN32</f>
        <v>0</v>
      </c>
      <c r="CP32" s="576">
        <f>CP78-CO32-CN32</f>
        <v>0</v>
      </c>
      <c r="CQ32" s="574">
        <f>CQ78-CP32-CO32-CN32</f>
        <v>-1.7</v>
      </c>
      <c r="CR32" s="576">
        <f t="shared" si="145"/>
        <v>-1.7</v>
      </c>
      <c r="CS32" s="577">
        <f>CS78</f>
        <v>-70.5</v>
      </c>
      <c r="CT32" s="578">
        <f>+CT78-CS32</f>
        <v>-80.800000000000011</v>
      </c>
      <c r="CU32" s="576">
        <f>CU78-CT32-CS32</f>
        <v>-33.699999999999989</v>
      </c>
      <c r="CV32" s="576">
        <f>CV78-CU32-CT32-CS32</f>
        <v>-149</v>
      </c>
      <c r="CW32" s="836">
        <f>SUM(CS32:CV32)</f>
        <v>-334</v>
      </c>
      <c r="CX32" s="1055">
        <f>CX78</f>
        <v>-6</v>
      </c>
      <c r="CY32" s="1050">
        <f>+CY78-CX32</f>
        <v>0</v>
      </c>
      <c r="CZ32" s="1050">
        <f t="shared" si="146"/>
        <v>-66</v>
      </c>
      <c r="DA32" s="1050">
        <f t="shared" si="146"/>
        <v>-144</v>
      </c>
      <c r="DB32" s="1045">
        <f>SUM(CX32:DA32)</f>
        <v>-216</v>
      </c>
      <c r="DC32" s="1044">
        <f>-BS!DC122</f>
        <v>-5</v>
      </c>
      <c r="DD32" s="1044">
        <f>-BS!DD122</f>
        <v>-5</v>
      </c>
      <c r="DE32" s="1044">
        <f>-BS!DE122</f>
        <v>-5</v>
      </c>
      <c r="DF32" s="1044">
        <f>-BS!DF122</f>
        <v>-5</v>
      </c>
      <c r="DG32" s="1045">
        <f>SUM(DC32:DF32)</f>
        <v>-20</v>
      </c>
      <c r="DH32" s="1044">
        <f>-BS!DH122</f>
        <v>-5</v>
      </c>
      <c r="DI32" s="1044">
        <f>-BS!DI122</f>
        <v>-5</v>
      </c>
      <c r="DJ32" s="1044">
        <f>-BS!DJ122</f>
        <v>-5</v>
      </c>
      <c r="DK32" s="1044">
        <f>-BS!DK122</f>
        <v>-5</v>
      </c>
      <c r="DL32" s="1045">
        <f>SUM(DH32:DK32)</f>
        <v>-20</v>
      </c>
      <c r="DM32" s="1044">
        <f>-BS!DM122</f>
        <v>-5</v>
      </c>
      <c r="DN32" s="1044">
        <f>-BS!DN122</f>
        <v>-5</v>
      </c>
      <c r="DO32" s="1044">
        <f>-BS!DO122</f>
        <v>-5</v>
      </c>
      <c r="DP32" s="1044">
        <f>-BS!DP122</f>
        <v>-5</v>
      </c>
      <c r="DQ32" s="1045">
        <f>SUM(DM32:DP32)</f>
        <v>-20</v>
      </c>
      <c r="DR32" s="558"/>
      <c r="DS32" s="558"/>
      <c r="DT32"/>
      <c r="DU32"/>
      <c r="DV32"/>
      <c r="DW32"/>
      <c r="DX32"/>
      <c r="DY32"/>
    </row>
    <row r="33" spans="1:131" s="635" customFormat="1" ht="11.25" customHeight="1">
      <c r="B33" s="620" t="s">
        <v>95</v>
      </c>
      <c r="C33" s="636"/>
      <c r="D33" s="636"/>
      <c r="E33" s="636"/>
      <c r="F33" s="636"/>
      <c r="G33" s="586">
        <f t="shared" ref="G33:AS33" si="147">SUM(G28:G32)</f>
        <v>-0.90600000000000003</v>
      </c>
      <c r="H33" s="587">
        <f t="shared" si="147"/>
        <v>-0.92400000000000004</v>
      </c>
      <c r="I33" s="585">
        <f t="shared" si="147"/>
        <v>-0.56999999999999995</v>
      </c>
      <c r="J33" s="575">
        <f t="shared" si="147"/>
        <v>-1.343</v>
      </c>
      <c r="K33" s="586">
        <f t="shared" si="128"/>
        <v>-3.7429999999999999</v>
      </c>
      <c r="L33" s="586">
        <f t="shared" si="147"/>
        <v>-1.2190000000000001</v>
      </c>
      <c r="M33" s="587">
        <f t="shared" si="147"/>
        <v>-2.0279999999999996</v>
      </c>
      <c r="N33" s="585">
        <f t="shared" si="147"/>
        <v>-1.6559999999999999</v>
      </c>
      <c r="O33" s="575">
        <f t="shared" si="147"/>
        <v>-1.021000000000001</v>
      </c>
      <c r="P33" s="587">
        <f t="shared" si="129"/>
        <v>-5.9240000000000004</v>
      </c>
      <c r="Q33" s="586">
        <f t="shared" si="147"/>
        <v>-0.79300000000000004</v>
      </c>
      <c r="R33" s="587">
        <f t="shared" si="147"/>
        <v>-4.0359999999999996</v>
      </c>
      <c r="S33" s="585">
        <f t="shared" si="147"/>
        <v>-3.4810000000000008</v>
      </c>
      <c r="T33" s="575">
        <f t="shared" si="147"/>
        <v>-4.2969999999999979</v>
      </c>
      <c r="U33" s="587">
        <f t="shared" si="130"/>
        <v>-12.606999999999999</v>
      </c>
      <c r="V33" s="586">
        <f t="shared" si="147"/>
        <v>-3.1080000000000001</v>
      </c>
      <c r="W33" s="587">
        <f t="shared" si="147"/>
        <v>-2.1779999999999995</v>
      </c>
      <c r="X33" s="585">
        <f t="shared" si="147"/>
        <v>-5.4050000000000011</v>
      </c>
      <c r="Y33" s="575">
        <f t="shared" si="147"/>
        <v>-4.2619999999999987</v>
      </c>
      <c r="Z33" s="587">
        <f t="shared" si="131"/>
        <v>-14.952999999999999</v>
      </c>
      <c r="AA33" s="586">
        <f t="shared" si="147"/>
        <v>-1.944</v>
      </c>
      <c r="AB33" s="587">
        <f t="shared" si="147"/>
        <v>-5.641</v>
      </c>
      <c r="AC33" s="585">
        <f t="shared" si="147"/>
        <v>-2.758</v>
      </c>
      <c r="AD33" s="575">
        <f t="shared" si="147"/>
        <v>-25.121000000000002</v>
      </c>
      <c r="AE33" s="587">
        <f t="shared" si="132"/>
        <v>-35.463999999999999</v>
      </c>
      <c r="AF33" s="586">
        <f t="shared" si="147"/>
        <v>-6.0540000000000003</v>
      </c>
      <c r="AG33" s="587">
        <f t="shared" si="147"/>
        <v>-11.462</v>
      </c>
      <c r="AH33" s="585">
        <f t="shared" si="147"/>
        <v>-6.5620000000000012</v>
      </c>
      <c r="AI33" s="575">
        <f t="shared" si="147"/>
        <v>-13.736000000000001</v>
      </c>
      <c r="AJ33" s="587">
        <f t="shared" si="133"/>
        <v>-37.814</v>
      </c>
      <c r="AK33" s="586">
        <f t="shared" si="147"/>
        <v>-64.11</v>
      </c>
      <c r="AL33" s="587">
        <f t="shared" si="147"/>
        <v>-4.7510000000000012</v>
      </c>
      <c r="AM33" s="585">
        <f t="shared" si="147"/>
        <v>0.88200000000000855</v>
      </c>
      <c r="AN33" s="575">
        <f t="shared" si="147"/>
        <v>-44.715000000000032</v>
      </c>
      <c r="AO33" s="587">
        <f t="shared" si="134"/>
        <v>-112.69400000000003</v>
      </c>
      <c r="AP33" s="586">
        <f t="shared" si="147"/>
        <v>-34.525999999999996</v>
      </c>
      <c r="AQ33" s="587">
        <f t="shared" si="147"/>
        <v>-35.783000000000008</v>
      </c>
      <c r="AR33" s="585">
        <f t="shared" si="147"/>
        <v>-38.564000000000007</v>
      </c>
      <c r="AS33" s="575">
        <f t="shared" si="147"/>
        <v>-95.673000000000002</v>
      </c>
      <c r="AT33" s="587">
        <f t="shared" si="135"/>
        <v>-204.54599999999999</v>
      </c>
      <c r="AU33" s="586">
        <f t="shared" ref="AU33:CE33" si="148">SUM(AU28:AU32)</f>
        <v>-50.708999999999975</v>
      </c>
      <c r="AV33" s="587">
        <f t="shared" si="148"/>
        <v>-32.312000000000026</v>
      </c>
      <c r="AW33" s="585">
        <f t="shared" si="148"/>
        <v>-113.21500000000003</v>
      </c>
      <c r="AX33" s="575">
        <f t="shared" si="148"/>
        <v>-76.101999999999975</v>
      </c>
      <c r="AY33" s="587">
        <f t="shared" si="136"/>
        <v>-272.33800000000002</v>
      </c>
      <c r="AZ33" s="586">
        <f t="shared" si="148"/>
        <v>-46.344999999999985</v>
      </c>
      <c r="BA33" s="587">
        <f t="shared" si="148"/>
        <v>-82.549000000000063</v>
      </c>
      <c r="BB33" s="585">
        <f t="shared" si="148"/>
        <v>-122.31200000000003</v>
      </c>
      <c r="BC33" s="575">
        <f t="shared" si="148"/>
        <v>-26.132999999999953</v>
      </c>
      <c r="BD33" s="587">
        <f t="shared" si="137"/>
        <v>-277.33900000000006</v>
      </c>
      <c r="BE33" s="586">
        <f t="shared" si="148"/>
        <v>66.155999999999977</v>
      </c>
      <c r="BF33" s="587">
        <f t="shared" si="148"/>
        <v>-40.465999999999973</v>
      </c>
      <c r="BG33" s="585">
        <f t="shared" si="148"/>
        <v>-59.142999999999972</v>
      </c>
      <c r="BH33" s="575">
        <f t="shared" si="148"/>
        <v>-21.553000000000026</v>
      </c>
      <c r="BI33" s="587">
        <f t="shared" si="138"/>
        <v>-55.005999999999993</v>
      </c>
      <c r="BJ33" s="586">
        <f t="shared" si="148"/>
        <v>-43.545000000000002</v>
      </c>
      <c r="BK33" s="587">
        <f t="shared" si="148"/>
        <v>-76.88900000000001</v>
      </c>
      <c r="BL33" s="585">
        <f t="shared" si="148"/>
        <v>-99.24499999999999</v>
      </c>
      <c r="BM33" s="575">
        <f t="shared" si="148"/>
        <v>-175.08500000000001</v>
      </c>
      <c r="BN33" s="587">
        <f t="shared" si="139"/>
        <v>-394.76400000000001</v>
      </c>
      <c r="BO33" s="586">
        <f t="shared" si="148"/>
        <v>-57.140999999999998</v>
      </c>
      <c r="BP33" s="587">
        <f t="shared" si="148"/>
        <v>-200.84400000000002</v>
      </c>
      <c r="BQ33" s="585">
        <f t="shared" si="148"/>
        <v>-34.599999999999952</v>
      </c>
      <c r="BR33" s="575">
        <f t="shared" si="148"/>
        <v>-154.30500000000006</v>
      </c>
      <c r="BS33" s="587">
        <f t="shared" si="140"/>
        <v>-446.89000000000004</v>
      </c>
      <c r="BT33" s="586">
        <f t="shared" si="148"/>
        <v>-252.65700000000001</v>
      </c>
      <c r="BU33" s="587">
        <f t="shared" si="148"/>
        <v>-243.74600000000004</v>
      </c>
      <c r="BV33" s="585">
        <f t="shared" si="148"/>
        <v>-180.64600000000002</v>
      </c>
      <c r="BW33" s="575">
        <f t="shared" si="148"/>
        <v>-173.23199999999991</v>
      </c>
      <c r="BX33" s="587">
        <f t="shared" si="141"/>
        <v>-850.28099999999995</v>
      </c>
      <c r="BY33" s="586">
        <f t="shared" si="148"/>
        <v>-95.486999999999995</v>
      </c>
      <c r="BZ33" s="587">
        <f t="shared" si="148"/>
        <v>-247.31600000000003</v>
      </c>
      <c r="CA33" s="585">
        <f t="shared" ref="CA33:CJ33" si="149">SUM(CA28:CA32)</f>
        <v>-86.531000000000063</v>
      </c>
      <c r="CB33" s="575">
        <f t="shared" si="148"/>
        <v>-140.71199999999993</v>
      </c>
      <c r="CC33" s="587">
        <f t="shared" si="142"/>
        <v>-570.04600000000005</v>
      </c>
      <c r="CD33" s="586">
        <f t="shared" si="148"/>
        <v>-185.87400000000002</v>
      </c>
      <c r="CE33" s="587">
        <f t="shared" si="148"/>
        <v>-39.900000000000091</v>
      </c>
      <c r="CF33" s="585">
        <f t="shared" si="149"/>
        <v>-152.6019999999998</v>
      </c>
      <c r="CG33" s="575">
        <f t="shared" si="149"/>
        <v>-352.38699999999989</v>
      </c>
      <c r="CH33" s="587">
        <f t="shared" si="143"/>
        <v>-730.76299999999981</v>
      </c>
      <c r="CI33" s="586">
        <f t="shared" si="149"/>
        <v>-427.04163210187784</v>
      </c>
      <c r="CJ33" s="587">
        <f t="shared" si="149"/>
        <v>-264.14636789812215</v>
      </c>
      <c r="CK33" s="585">
        <f t="shared" ref="CK33:CQ33" si="150">SUM(CK28:CK32)</f>
        <v>64.552000000000021</v>
      </c>
      <c r="CL33" s="575">
        <f t="shared" si="150"/>
        <v>-2534.058</v>
      </c>
      <c r="CM33" s="737">
        <f t="shared" si="144"/>
        <v>-3160.694</v>
      </c>
      <c r="CN33" s="586">
        <f t="shared" si="150"/>
        <v>-364.00000000000006</v>
      </c>
      <c r="CO33" s="587">
        <f t="shared" si="150"/>
        <v>-489.49999999999994</v>
      </c>
      <c r="CP33" s="585">
        <f t="shared" si="150"/>
        <v>-176.90000000000015</v>
      </c>
      <c r="CQ33" s="575">
        <f t="shared" si="150"/>
        <v>-340.19999999999965</v>
      </c>
      <c r="CR33" s="585">
        <f t="shared" si="145"/>
        <v>-1370.5999999999997</v>
      </c>
      <c r="CS33" s="586">
        <f t="shared" ref="CS33:DF33" si="151">SUM(CS28:CS32)</f>
        <v>-228.40000000000009</v>
      </c>
      <c r="CT33" s="587">
        <f t="shared" si="151"/>
        <v>-31.900000000000148</v>
      </c>
      <c r="CU33" s="585">
        <f t="shared" si="151"/>
        <v>-612.40000000000009</v>
      </c>
      <c r="CV33" s="585">
        <f t="shared" si="151"/>
        <v>-90.300000000000182</v>
      </c>
      <c r="CW33" s="737">
        <f t="shared" ref="CW33:DB33" si="152">SUM(CW28:CW32)</f>
        <v>-963</v>
      </c>
      <c r="CX33" s="1056">
        <f t="shared" si="152"/>
        <v>91</v>
      </c>
      <c r="CY33" s="1057">
        <f t="shared" si="152"/>
        <v>-389</v>
      </c>
      <c r="CZ33" s="1057">
        <f t="shared" si="152"/>
        <v>-124</v>
      </c>
      <c r="DA33" s="1046">
        <f t="shared" si="152"/>
        <v>-160</v>
      </c>
      <c r="DB33" s="1047">
        <f t="shared" si="152"/>
        <v>-582</v>
      </c>
      <c r="DC33" s="1046">
        <f t="shared" si="151"/>
        <v>-166.946</v>
      </c>
      <c r="DD33" s="1046">
        <f t="shared" si="151"/>
        <v>-169.14528000000001</v>
      </c>
      <c r="DE33" s="1046">
        <f t="shared" si="151"/>
        <v>-193.14742000000001</v>
      </c>
      <c r="DF33" s="1046">
        <f t="shared" si="151"/>
        <v>-209.21350000000001</v>
      </c>
      <c r="DG33" s="1047">
        <f t="shared" ref="DG33:DL33" si="153">SUM(DG28:DG32)</f>
        <v>-738.45219999999995</v>
      </c>
      <c r="DH33" s="1046">
        <f t="shared" si="153"/>
        <v>-171.863562</v>
      </c>
      <c r="DI33" s="1046">
        <f t="shared" si="153"/>
        <v>-174.26274960000001</v>
      </c>
      <c r="DJ33" s="1046">
        <f t="shared" si="153"/>
        <v>-200.19030507500003</v>
      </c>
      <c r="DK33" s="1046">
        <f t="shared" si="153"/>
        <v>-217.41923500000001</v>
      </c>
      <c r="DL33" s="1047">
        <f t="shared" si="153"/>
        <v>-763.73585167500005</v>
      </c>
      <c r="DM33" s="1046">
        <f t="shared" ref="DM33:DQ33" si="154">SUM(DM28:DM32)</f>
        <v>-177.24091605000001</v>
      </c>
      <c r="DN33" s="1046">
        <f t="shared" si="154"/>
        <v>-179.66205532800001</v>
      </c>
      <c r="DO33" s="1046">
        <f t="shared" si="154"/>
        <v>-207.76042291637501</v>
      </c>
      <c r="DP33" s="1046">
        <f t="shared" si="154"/>
        <v>-226.2255796</v>
      </c>
      <c r="DQ33" s="1047">
        <f t="shared" si="154"/>
        <v>-790.88897389437511</v>
      </c>
      <c r="DR33" s="636"/>
      <c r="DS33" s="636"/>
      <c r="DT33"/>
      <c r="DU33"/>
      <c r="DV33"/>
      <c r="DW33"/>
      <c r="DX33"/>
      <c r="DY33"/>
    </row>
    <row r="34" spans="1:131" ht="11.25" customHeight="1">
      <c r="B34" s="3"/>
      <c r="C34" s="4"/>
      <c r="D34" s="4"/>
      <c r="E34" s="4"/>
      <c r="F34" s="4"/>
      <c r="G34" s="14"/>
      <c r="H34" s="15"/>
      <c r="I34" s="15"/>
      <c r="J34" s="16"/>
      <c r="K34" s="14"/>
      <c r="L34" s="14"/>
      <c r="M34" s="15"/>
      <c r="N34" s="15"/>
      <c r="O34" s="16"/>
      <c r="P34" s="15"/>
      <c r="Q34" s="14"/>
      <c r="R34" s="15"/>
      <c r="S34" s="15"/>
      <c r="T34" s="16"/>
      <c r="U34" s="15"/>
      <c r="V34" s="14"/>
      <c r="W34" s="15"/>
      <c r="X34" s="15"/>
      <c r="Y34" s="16"/>
      <c r="Z34" s="15"/>
      <c r="AA34" s="14"/>
      <c r="AB34" s="15"/>
      <c r="AC34" s="15"/>
      <c r="AD34" s="16"/>
      <c r="AE34" s="15"/>
      <c r="AF34" s="14"/>
      <c r="AG34" s="15"/>
      <c r="AH34" s="15"/>
      <c r="AI34" s="16"/>
      <c r="AJ34" s="15"/>
      <c r="AK34" s="14"/>
      <c r="AL34" s="15"/>
      <c r="AM34" s="15"/>
      <c r="AN34" s="16"/>
      <c r="AO34" s="15"/>
      <c r="AP34" s="14"/>
      <c r="AQ34" s="15"/>
      <c r="AR34" s="15"/>
      <c r="AS34" s="16"/>
      <c r="AT34" s="15"/>
      <c r="AU34" s="14"/>
      <c r="AV34" s="15"/>
      <c r="AW34" s="15"/>
      <c r="AX34" s="16"/>
      <c r="AY34" s="15"/>
      <c r="AZ34" s="14"/>
      <c r="BA34" s="15"/>
      <c r="BB34" s="15"/>
      <c r="BC34" s="16"/>
      <c r="BD34" s="15"/>
      <c r="BE34" s="14"/>
      <c r="BF34" s="15"/>
      <c r="BG34" s="15"/>
      <c r="BH34" s="16"/>
      <c r="BI34" s="15"/>
      <c r="BJ34" s="14"/>
      <c r="BK34" s="15"/>
      <c r="BL34" s="15"/>
      <c r="BM34" s="16"/>
      <c r="BN34" s="15"/>
      <c r="BO34" s="14"/>
      <c r="BP34" s="15"/>
      <c r="BQ34" s="15"/>
      <c r="BR34" s="16"/>
      <c r="BS34" s="15"/>
      <c r="BT34" s="14"/>
      <c r="BU34" s="15"/>
      <c r="BV34" s="15"/>
      <c r="BW34" s="16"/>
      <c r="BX34" s="15"/>
      <c r="BY34" s="14"/>
      <c r="BZ34" s="15"/>
      <c r="CA34" s="15"/>
      <c r="CB34" s="16"/>
      <c r="CC34" s="15"/>
      <c r="CD34" s="14"/>
      <c r="CE34" s="15"/>
      <c r="CF34" s="15"/>
      <c r="CG34" s="16"/>
      <c r="CH34" s="15"/>
      <c r="CI34" s="14"/>
      <c r="CJ34" s="15"/>
      <c r="CK34" s="15"/>
      <c r="CL34" s="16"/>
      <c r="CM34" s="352"/>
      <c r="CN34" s="14"/>
      <c r="CO34" s="15"/>
      <c r="CP34" s="15"/>
      <c r="CQ34" s="16"/>
      <c r="CR34" s="15"/>
      <c r="CS34" s="14"/>
      <c r="CT34" s="15"/>
      <c r="CU34" s="15"/>
      <c r="CV34" s="578"/>
      <c r="CW34" s="352"/>
      <c r="CX34" s="1052"/>
      <c r="CY34" s="1041"/>
      <c r="CZ34" s="1041"/>
      <c r="DA34" s="1041"/>
      <c r="DB34" s="1038"/>
      <c r="DC34" s="1041"/>
      <c r="DD34" s="1041"/>
      <c r="DE34" s="1041"/>
      <c r="DF34" s="1041"/>
      <c r="DG34" s="1038"/>
      <c r="DH34" s="1041"/>
      <c r="DI34" s="1041"/>
      <c r="DJ34" s="1041"/>
      <c r="DK34" s="1041"/>
      <c r="DL34" s="1038"/>
      <c r="DM34" s="1041"/>
      <c r="DN34" s="1041"/>
      <c r="DO34" s="1041"/>
      <c r="DP34" s="1041"/>
      <c r="DQ34" s="1038"/>
      <c r="DR34" s="4"/>
      <c r="DS34" s="112"/>
    </row>
    <row r="35" spans="1:131" s="188" customFormat="1" ht="11.25" customHeight="1">
      <c r="A35" s="175"/>
      <c r="B35" s="73" t="s">
        <v>96</v>
      </c>
      <c r="C35" s="74"/>
      <c r="D35" s="74"/>
      <c r="E35" s="74"/>
      <c r="F35" s="74"/>
      <c r="G35" s="195"/>
      <c r="H35" s="194"/>
      <c r="I35" s="194"/>
      <c r="J35" s="204"/>
      <c r="K35" s="195"/>
      <c r="L35" s="195"/>
      <c r="M35" s="194"/>
      <c r="N35" s="194"/>
      <c r="O35" s="204"/>
      <c r="P35" s="194"/>
      <c r="Q35" s="195"/>
      <c r="R35" s="194"/>
      <c r="S35" s="194"/>
      <c r="T35" s="204"/>
      <c r="U35" s="194"/>
      <c r="V35" s="195"/>
      <c r="W35" s="194"/>
      <c r="X35" s="194"/>
      <c r="Y35" s="204"/>
      <c r="Z35" s="194"/>
      <c r="AA35" s="195"/>
      <c r="AB35" s="194"/>
      <c r="AC35" s="194"/>
      <c r="AD35" s="204"/>
      <c r="AE35" s="194"/>
      <c r="AF35" s="195"/>
      <c r="AG35" s="194"/>
      <c r="AH35" s="194"/>
      <c r="AI35" s="204"/>
      <c r="AJ35" s="194"/>
      <c r="AK35" s="195"/>
      <c r="AL35" s="194"/>
      <c r="AM35" s="194"/>
      <c r="AN35" s="204"/>
      <c r="AO35" s="194"/>
      <c r="AP35" s="195"/>
      <c r="AQ35" s="194"/>
      <c r="AR35" s="194"/>
      <c r="AS35" s="204"/>
      <c r="AT35" s="194"/>
      <c r="AU35" s="195"/>
      <c r="AV35" s="194"/>
      <c r="AW35" s="194"/>
      <c r="AX35" s="204"/>
      <c r="AY35" s="194"/>
      <c r="AZ35" s="195"/>
      <c r="BA35" s="194"/>
      <c r="BB35" s="194"/>
      <c r="BC35" s="204"/>
      <c r="BD35" s="194"/>
      <c r="BE35" s="195"/>
      <c r="BF35" s="194"/>
      <c r="BG35" s="194"/>
      <c r="BH35" s="204"/>
      <c r="BI35" s="194"/>
      <c r="BJ35" s="195"/>
      <c r="BK35" s="194"/>
      <c r="BL35" s="194"/>
      <c r="BM35" s="204"/>
      <c r="BN35" s="194"/>
      <c r="BO35" s="195"/>
      <c r="BP35" s="194"/>
      <c r="BQ35" s="194"/>
      <c r="BR35" s="204"/>
      <c r="BS35" s="194"/>
      <c r="BT35" s="195"/>
      <c r="BU35" s="194"/>
      <c r="BV35" s="194"/>
      <c r="BW35" s="204"/>
      <c r="BX35" s="194"/>
      <c r="BY35" s="195"/>
      <c r="BZ35" s="194"/>
      <c r="CA35" s="194"/>
      <c r="CB35" s="204"/>
      <c r="CC35" s="194"/>
      <c r="CD35" s="195"/>
      <c r="CE35" s="194"/>
      <c r="CF35" s="194"/>
      <c r="CG35" s="204"/>
      <c r="CH35" s="194"/>
      <c r="CI35" s="195"/>
      <c r="CJ35" s="194"/>
      <c r="CK35" s="194"/>
      <c r="CL35" s="204"/>
      <c r="CM35" s="355"/>
      <c r="CN35" s="195"/>
      <c r="CO35" s="194"/>
      <c r="CP35" s="194"/>
      <c r="CQ35" s="204"/>
      <c r="CR35" s="194"/>
      <c r="CS35" s="195"/>
      <c r="CT35" s="194"/>
      <c r="CU35" s="194"/>
      <c r="CV35" s="587"/>
      <c r="CW35" s="355"/>
      <c r="CX35" s="1053"/>
      <c r="CY35" s="1048"/>
      <c r="CZ35" s="1048"/>
      <c r="DA35" s="1048"/>
      <c r="DB35" s="1043"/>
      <c r="DC35" s="1048"/>
      <c r="DD35" s="1048"/>
      <c r="DE35" s="1048"/>
      <c r="DF35" s="1048"/>
      <c r="DG35" s="1043"/>
      <c r="DH35" s="1048"/>
      <c r="DI35" s="1048"/>
      <c r="DJ35" s="1048"/>
      <c r="DK35" s="1048"/>
      <c r="DL35" s="1043"/>
      <c r="DM35" s="1048"/>
      <c r="DN35" s="1048"/>
      <c r="DO35" s="1048"/>
      <c r="DP35" s="1048"/>
      <c r="DQ35" s="1043"/>
      <c r="DR35" s="74"/>
      <c r="DS35" s="128"/>
      <c r="DT35"/>
      <c r="DU35"/>
      <c r="DV35"/>
      <c r="DW35"/>
      <c r="DX35"/>
      <c r="DY35"/>
    </row>
    <row r="36" spans="1:131" s="188" customFormat="1" ht="11.25" customHeight="1">
      <c r="A36" s="175"/>
      <c r="B36" s="136"/>
      <c r="C36" s="135" t="s">
        <v>104</v>
      </c>
      <c r="D36" s="135"/>
      <c r="E36" s="135"/>
      <c r="F36" s="135"/>
      <c r="G36" s="14">
        <f>G82</f>
        <v>-5.8000000000000003E-2</v>
      </c>
      <c r="H36" s="15">
        <f>H82-G36</f>
        <v>22.59</v>
      </c>
      <c r="I36" s="239">
        <f>I82-H36-G36</f>
        <v>1.399999999999952E-2</v>
      </c>
      <c r="J36" s="240">
        <f>J82-I36-H36-G36</f>
        <v>0.70400000000000085</v>
      </c>
      <c r="K36" s="14">
        <f>SUM(G36:J36)</f>
        <v>23.25</v>
      </c>
      <c r="L36" s="14">
        <f>L82</f>
        <v>0</v>
      </c>
      <c r="M36" s="15">
        <f>M82-L36</f>
        <v>0</v>
      </c>
      <c r="N36" s="239">
        <f>N82-M36-L36</f>
        <v>0</v>
      </c>
      <c r="O36" s="240">
        <f>O82-N36-M36-L36</f>
        <v>0</v>
      </c>
      <c r="P36" s="15">
        <f>SUM(L36:O36)</f>
        <v>0</v>
      </c>
      <c r="Q36" s="14">
        <f>Q82</f>
        <v>0</v>
      </c>
      <c r="R36" s="15">
        <f>R82-Q36</f>
        <v>0</v>
      </c>
      <c r="S36" s="239">
        <f>S82-R36-Q36</f>
        <v>0</v>
      </c>
      <c r="T36" s="240">
        <f>T82-S36-R36-Q36</f>
        <v>0</v>
      </c>
      <c r="U36" s="15">
        <f>SUM(Q36:T36)</f>
        <v>0</v>
      </c>
      <c r="V36" s="14">
        <f>V82</f>
        <v>0</v>
      </c>
      <c r="W36" s="15">
        <f>W82-V36</f>
        <v>0</v>
      </c>
      <c r="X36" s="239">
        <f>X82-W36-V36</f>
        <v>0</v>
      </c>
      <c r="Y36" s="240">
        <f>Y82-X36-W36-V36</f>
        <v>0</v>
      </c>
      <c r="Z36" s="15">
        <f>SUM(V36:Y36)</f>
        <v>0</v>
      </c>
      <c r="AA36" s="14">
        <f>AA82</f>
        <v>0</v>
      </c>
      <c r="AB36" s="15">
        <f>AB82-AA36</f>
        <v>0</v>
      </c>
      <c r="AC36" s="239">
        <f>AC82-AB36-AA36</f>
        <v>0</v>
      </c>
      <c r="AD36" s="240">
        <f>AD82-AC36-AB36-AA36</f>
        <v>0</v>
      </c>
      <c r="AE36" s="15">
        <f>SUM(AA36:AD36)</f>
        <v>0</v>
      </c>
      <c r="AF36" s="14">
        <f>AF82</f>
        <v>0</v>
      </c>
      <c r="AG36" s="15">
        <f>AG82-AF36</f>
        <v>0</v>
      </c>
      <c r="AH36" s="239">
        <f>AH82-AG36-AF36</f>
        <v>0</v>
      </c>
      <c r="AI36" s="240">
        <f>AI82-AH36-AG36-AF36</f>
        <v>0</v>
      </c>
      <c r="AJ36" s="15">
        <f>SUM(AF36:AI36)</f>
        <v>0</v>
      </c>
      <c r="AK36" s="14">
        <f>AK82</f>
        <v>0</v>
      </c>
      <c r="AL36" s="15">
        <f>AL82-AK36</f>
        <v>0</v>
      </c>
      <c r="AM36" s="239">
        <f>AM82-AL36-AK36</f>
        <v>0</v>
      </c>
      <c r="AN36" s="240">
        <f>AN82-AM36-AL36-AK36</f>
        <v>0</v>
      </c>
      <c r="AO36" s="15">
        <f>SUM(AK36:AN36)</f>
        <v>0</v>
      </c>
      <c r="AP36" s="14">
        <f>AP82</f>
        <v>0</v>
      </c>
      <c r="AQ36" s="15">
        <f>AQ82-AP36</f>
        <v>0</v>
      </c>
      <c r="AR36" s="239">
        <f>AR82-AQ36-AP36</f>
        <v>0</v>
      </c>
      <c r="AS36" s="240">
        <f>AS82-AR36-AQ36-AP36</f>
        <v>0</v>
      </c>
      <c r="AT36" s="15">
        <f>SUM(AP36:AS36)</f>
        <v>0</v>
      </c>
      <c r="AU36" s="14">
        <f>AU82</f>
        <v>0</v>
      </c>
      <c r="AV36" s="15">
        <f>AV82-AU36</f>
        <v>0</v>
      </c>
      <c r="AW36" s="239">
        <f>AW82-AV36-AU36</f>
        <v>0</v>
      </c>
      <c r="AX36" s="240">
        <f>AX82-AW36-AV36-AU36</f>
        <v>0</v>
      </c>
      <c r="AY36" s="15">
        <f>SUM(AU36:AX36)</f>
        <v>0</v>
      </c>
      <c r="AZ36" s="14">
        <f>AZ82</f>
        <v>0</v>
      </c>
      <c r="BA36" s="15">
        <f>BA82-AZ36</f>
        <v>0</v>
      </c>
      <c r="BB36" s="239">
        <f>BB82-BA36-AZ36</f>
        <v>0</v>
      </c>
      <c r="BC36" s="240">
        <f>BC82-BB36-BA36-AZ36</f>
        <v>0</v>
      </c>
      <c r="BD36" s="15">
        <f>SUM(AZ36:BC36)</f>
        <v>0</v>
      </c>
      <c r="BE36" s="14">
        <f>BE82</f>
        <v>0</v>
      </c>
      <c r="BF36" s="15">
        <f>BF82-BE36</f>
        <v>0</v>
      </c>
      <c r="BG36" s="239">
        <f>BG82-BF36-BE36</f>
        <v>0</v>
      </c>
      <c r="BH36" s="240">
        <f>BH82-BG36-BF36-BE36</f>
        <v>0</v>
      </c>
      <c r="BI36" s="15">
        <f>SUM(BE36:BH36)</f>
        <v>0</v>
      </c>
      <c r="BJ36" s="14">
        <f>BJ82</f>
        <v>0</v>
      </c>
      <c r="BK36" s="15">
        <f>BK82-BJ36</f>
        <v>0</v>
      </c>
      <c r="BL36" s="239">
        <f>BL82-BK36-BJ36</f>
        <v>0</v>
      </c>
      <c r="BM36" s="240">
        <f>BM82-BL36-BK36-BJ36</f>
        <v>0</v>
      </c>
      <c r="BN36" s="15">
        <f>SUM(BJ36:BM36)</f>
        <v>0</v>
      </c>
      <c r="BO36" s="14">
        <f>BO82</f>
        <v>0</v>
      </c>
      <c r="BP36" s="15">
        <f>BP82-BO36</f>
        <v>0</v>
      </c>
      <c r="BQ36" s="239">
        <f>BQ82-BP36-BO36</f>
        <v>0</v>
      </c>
      <c r="BR36" s="240">
        <f>BR82-BQ36-BP36-BO36</f>
        <v>0</v>
      </c>
      <c r="BS36" s="15">
        <f>SUM(BO36:BR36)</f>
        <v>0</v>
      </c>
      <c r="BT36" s="14">
        <f>BT82</f>
        <v>0</v>
      </c>
      <c r="BU36" s="15">
        <f>BU82-BT36</f>
        <v>0</v>
      </c>
      <c r="BV36" s="239">
        <f>BV82-BU36-BT36</f>
        <v>0</v>
      </c>
      <c r="BW36" s="240">
        <f>BW82-BV36-BU36-BT36</f>
        <v>0</v>
      </c>
      <c r="BX36" s="15">
        <f>SUM(BT36:BW36)</f>
        <v>0</v>
      </c>
      <c r="BY36" s="14">
        <f>BY82</f>
        <v>0</v>
      </c>
      <c r="BZ36" s="15">
        <f>BZ82-BY36</f>
        <v>0</v>
      </c>
      <c r="CA36" s="239">
        <f>CA82-BZ36-BY36</f>
        <v>0</v>
      </c>
      <c r="CB36" s="240">
        <f>CB82-CA36-BZ36-BY36</f>
        <v>0</v>
      </c>
      <c r="CC36" s="15">
        <f>SUM(BY36:CB36)</f>
        <v>0</v>
      </c>
      <c r="CD36" s="14">
        <f>CD82</f>
        <v>0</v>
      </c>
      <c r="CE36" s="15">
        <f>CE82-CD36</f>
        <v>0</v>
      </c>
      <c r="CF36" s="239">
        <f>CF82-CE36-CD36</f>
        <v>0</v>
      </c>
      <c r="CG36" s="240">
        <f>CG82-CF36-CE36-CD36</f>
        <v>0</v>
      </c>
      <c r="CH36" s="15">
        <f>SUM(CD36:CG36)</f>
        <v>0</v>
      </c>
      <c r="CI36" s="14">
        <f>CI82</f>
        <v>0</v>
      </c>
      <c r="CJ36" s="15">
        <f>CJ82-CI36</f>
        <v>0</v>
      </c>
      <c r="CK36" s="239">
        <v>0</v>
      </c>
      <c r="CL36" s="240">
        <v>0</v>
      </c>
      <c r="CM36" s="352">
        <f t="shared" ref="CM36:CM43" si="155">SUM(CI36:CL36)</f>
        <v>0</v>
      </c>
      <c r="CN36" s="14">
        <f>CN82</f>
        <v>0</v>
      </c>
      <c r="CO36" s="15">
        <f>+CO82-CN36</f>
        <v>0</v>
      </c>
      <c r="CP36" s="239">
        <f>CP82-CO36-CN36</f>
        <v>0</v>
      </c>
      <c r="CQ36" s="240">
        <v>0</v>
      </c>
      <c r="CR36" s="239">
        <f t="shared" ref="CR36:CR43" si="156">SUM(CN36:CQ36)</f>
        <v>0</v>
      </c>
      <c r="CS36" s="14">
        <f>CS82</f>
        <v>0</v>
      </c>
      <c r="CT36" s="15">
        <f>+CT82-CS36</f>
        <v>0</v>
      </c>
      <c r="CU36" s="239">
        <f>CU82-CT36-CS36</f>
        <v>0</v>
      </c>
      <c r="CV36" s="576">
        <v>0</v>
      </c>
      <c r="CW36" s="836">
        <f t="shared" ref="CW36:CW42" si="157">SUM(CS36:CV36)</f>
        <v>0</v>
      </c>
      <c r="CX36" s="1052">
        <f>CX82</f>
        <v>0</v>
      </c>
      <c r="CY36" s="1041">
        <f>+CY82-CX36</f>
        <v>0</v>
      </c>
      <c r="CZ36" s="1041">
        <f t="shared" ref="CZ36:DA42" si="158">+CZ82-CY82</f>
        <v>0</v>
      </c>
      <c r="DA36" s="1041">
        <f>+DA82-CZ82</f>
        <v>0</v>
      </c>
      <c r="DB36" s="1045">
        <f>SUM(CX36:DA36)</f>
        <v>0</v>
      </c>
      <c r="DC36" s="1049">
        <f>+BS!DC60-BS!DA60</f>
        <v>0</v>
      </c>
      <c r="DD36" s="1049">
        <f>+BS!DD60-BS!DC60</f>
        <v>0</v>
      </c>
      <c r="DE36" s="1049">
        <f>+BS!DE60-BS!DD60</f>
        <v>0</v>
      </c>
      <c r="DF36" s="1049">
        <f>+BS!DF60-BS!DE60</f>
        <v>0</v>
      </c>
      <c r="DG36" s="1045">
        <f>SUM(DC36:DF36)</f>
        <v>0</v>
      </c>
      <c r="DH36" s="1049">
        <f>+BS!DH60-BS!DF60</f>
        <v>0</v>
      </c>
      <c r="DI36" s="1049">
        <f>+BS!DI60-BS!DH60</f>
        <v>0</v>
      </c>
      <c r="DJ36" s="1049">
        <f>+BS!DJ60-BS!DI60</f>
        <v>0</v>
      </c>
      <c r="DK36" s="1049">
        <f>+BS!DK60-BS!DJ60</f>
        <v>0</v>
      </c>
      <c r="DL36" s="1045">
        <f>SUM(DH36:DK36)</f>
        <v>0</v>
      </c>
      <c r="DM36" s="1049">
        <f>+BS!DM60-BS!DK60</f>
        <v>0</v>
      </c>
      <c r="DN36" s="1049">
        <f>+BS!DN60-BS!DM60</f>
        <v>0</v>
      </c>
      <c r="DO36" s="1049">
        <f>+BS!DO60-BS!DN60</f>
        <v>0</v>
      </c>
      <c r="DP36" s="1049">
        <f>+BS!DP60-BS!DO60</f>
        <v>0</v>
      </c>
      <c r="DQ36" s="1045">
        <f>SUM(DM36:DP36)</f>
        <v>0</v>
      </c>
      <c r="DR36" s="74"/>
      <c r="DS36" s="128"/>
      <c r="DT36"/>
      <c r="DU36"/>
      <c r="DV36"/>
      <c r="DW36"/>
      <c r="DX36"/>
      <c r="DY36"/>
    </row>
    <row r="37" spans="1:131" s="188" customFormat="1" ht="11.25" customHeight="1">
      <c r="A37" s="175"/>
      <c r="B37" s="136"/>
      <c r="C37" s="185" t="s">
        <v>279</v>
      </c>
      <c r="D37" s="135"/>
      <c r="E37" s="135"/>
      <c r="F37" s="135"/>
      <c r="G37" s="14"/>
      <c r="H37" s="15"/>
      <c r="I37" s="239"/>
      <c r="J37" s="240"/>
      <c r="K37" s="14"/>
      <c r="L37" s="14"/>
      <c r="M37" s="15"/>
      <c r="N37" s="239"/>
      <c r="O37" s="240"/>
      <c r="P37" s="15"/>
      <c r="Q37" s="14"/>
      <c r="R37" s="15"/>
      <c r="S37" s="239"/>
      <c r="T37" s="240"/>
      <c r="U37" s="15"/>
      <c r="V37" s="14"/>
      <c r="W37" s="15"/>
      <c r="X37" s="239"/>
      <c r="Y37" s="240"/>
      <c r="Z37" s="15"/>
      <c r="AA37" s="14"/>
      <c r="AB37" s="15"/>
      <c r="AC37" s="239"/>
      <c r="AD37" s="240"/>
      <c r="AE37" s="15"/>
      <c r="AF37" s="14"/>
      <c r="AG37" s="15"/>
      <c r="AH37" s="239"/>
      <c r="AI37" s="240"/>
      <c r="AJ37" s="15"/>
      <c r="AK37" s="14"/>
      <c r="AL37" s="15"/>
      <c r="AM37" s="239"/>
      <c r="AN37" s="240"/>
      <c r="AO37" s="15"/>
      <c r="AP37" s="14"/>
      <c r="AQ37" s="15"/>
      <c r="AR37" s="239"/>
      <c r="AS37" s="240"/>
      <c r="AT37" s="15"/>
      <c r="AU37" s="14"/>
      <c r="AV37" s="15"/>
      <c r="AW37" s="239"/>
      <c r="AX37" s="240"/>
      <c r="AY37" s="15"/>
      <c r="AZ37" s="14"/>
      <c r="BA37" s="15"/>
      <c r="BB37" s="239"/>
      <c r="BC37" s="240"/>
      <c r="BD37" s="15"/>
      <c r="BE37" s="14"/>
      <c r="BF37" s="15"/>
      <c r="BG37" s="239"/>
      <c r="BH37" s="240"/>
      <c r="BI37" s="15"/>
      <c r="BJ37" s="14"/>
      <c r="BK37" s="15"/>
      <c r="BL37" s="239"/>
      <c r="BM37" s="240"/>
      <c r="BN37" s="15"/>
      <c r="BO37" s="14"/>
      <c r="BP37" s="15"/>
      <c r="BQ37" s="239"/>
      <c r="BR37" s="240"/>
      <c r="BS37" s="15"/>
      <c r="BT37" s="14"/>
      <c r="BU37" s="15"/>
      <c r="BV37" s="239"/>
      <c r="BW37" s="240"/>
      <c r="BX37" s="15"/>
      <c r="BY37" s="14"/>
      <c r="BZ37" s="15"/>
      <c r="CA37" s="239"/>
      <c r="CB37" s="240"/>
      <c r="CC37" s="15"/>
      <c r="CD37" s="14"/>
      <c r="CE37" s="15"/>
      <c r="CF37" s="239"/>
      <c r="CG37" s="240"/>
      <c r="CH37" s="15"/>
      <c r="CI37" s="14"/>
      <c r="CJ37" s="15"/>
      <c r="CK37" s="239"/>
      <c r="CL37" s="240"/>
      <c r="CM37" s="352">
        <f t="shared" si="155"/>
        <v>0</v>
      </c>
      <c r="CN37" s="14"/>
      <c r="CO37" s="15">
        <v>0</v>
      </c>
      <c r="CP37" s="239">
        <v>0</v>
      </c>
      <c r="CQ37" s="240">
        <v>0</v>
      </c>
      <c r="CR37" s="239">
        <f t="shared" si="156"/>
        <v>0</v>
      </c>
      <c r="CS37" s="14">
        <v>0</v>
      </c>
      <c r="CT37" s="15">
        <v>0</v>
      </c>
      <c r="CU37" s="239">
        <v>0</v>
      </c>
      <c r="CV37" s="576">
        <v>0</v>
      </c>
      <c r="CW37" s="836">
        <f t="shared" si="157"/>
        <v>0</v>
      </c>
      <c r="CX37" s="1052">
        <v>0</v>
      </c>
      <c r="CY37" s="1041">
        <v>0</v>
      </c>
      <c r="CZ37" s="1041">
        <f t="shared" si="158"/>
        <v>0</v>
      </c>
      <c r="DA37" s="1041">
        <f t="shared" si="158"/>
        <v>0</v>
      </c>
      <c r="DB37" s="1045">
        <f t="shared" ref="DB37:DB42" si="159">SUM(CX37:DA37)</f>
        <v>0</v>
      </c>
      <c r="DC37" s="1044">
        <f>-BS!DC152+BS!DC153</f>
        <v>0</v>
      </c>
      <c r="DD37" s="1044">
        <f>-BS!DD152+BS!DD153</f>
        <v>-25</v>
      </c>
      <c r="DE37" s="1044">
        <f>-BS!DE152+BS!DE153</f>
        <v>0</v>
      </c>
      <c r="DF37" s="1044">
        <f>-BS!DF152+BS!DF153</f>
        <v>-25</v>
      </c>
      <c r="DG37" s="1045">
        <f t="shared" ref="DG37:DG42" si="160">SUM(DC37:DF37)</f>
        <v>-50</v>
      </c>
      <c r="DH37" s="1044">
        <f>-BS!DH152+BS!DH153</f>
        <v>0</v>
      </c>
      <c r="DI37" s="1044">
        <f>-BS!DI152+BS!DI153</f>
        <v>-25</v>
      </c>
      <c r="DJ37" s="1044">
        <f>-BS!DJ152+BS!DJ153</f>
        <v>0</v>
      </c>
      <c r="DK37" s="1044">
        <f>-BS!DK152+BS!DK153</f>
        <v>-25</v>
      </c>
      <c r="DL37" s="1045">
        <f t="shared" ref="DL37:DL42" si="161">SUM(DH37:DK37)</f>
        <v>-50</v>
      </c>
      <c r="DM37" s="1044">
        <f>-BS!DM152+BS!DM153</f>
        <v>0</v>
      </c>
      <c r="DN37" s="1044">
        <f>-BS!DN152+BS!DN153</f>
        <v>-25</v>
      </c>
      <c r="DO37" s="1044">
        <f>-BS!DO152+BS!DO153</f>
        <v>0</v>
      </c>
      <c r="DP37" s="1044">
        <f>-BS!DP152+BS!DP153</f>
        <v>-25</v>
      </c>
      <c r="DQ37" s="1045">
        <f t="shared" ref="DQ37" si="162">SUM(DM37:DP37)</f>
        <v>-50</v>
      </c>
      <c r="DR37" s="74"/>
      <c r="DS37" s="128"/>
      <c r="DT37"/>
      <c r="DU37"/>
      <c r="DV37"/>
      <c r="DW37"/>
      <c r="DX37"/>
      <c r="DY37"/>
    </row>
    <row r="38" spans="1:131" ht="11.25" customHeight="1">
      <c r="B38" s="3"/>
      <c r="C38" s="4" t="s">
        <v>97</v>
      </c>
      <c r="D38" s="4"/>
      <c r="E38" s="4"/>
      <c r="F38" s="4"/>
      <c r="G38" s="14">
        <f>G84</f>
        <v>0</v>
      </c>
      <c r="H38" s="15">
        <f>H84-G38</f>
        <v>0</v>
      </c>
      <c r="I38" s="239">
        <f>I84-H38-G38</f>
        <v>0</v>
      </c>
      <c r="J38" s="240">
        <f>J84-I38-H38-G38</f>
        <v>0.32700000000000001</v>
      </c>
      <c r="K38" s="14">
        <f>SUM(G38:J38)</f>
        <v>0.32700000000000001</v>
      </c>
      <c r="L38" s="14">
        <f>L84</f>
        <v>9.6000000000000002E-2</v>
      </c>
      <c r="M38" s="15">
        <f>M84-L38</f>
        <v>0.127</v>
      </c>
      <c r="N38" s="239">
        <f>N84-M38-L38</f>
        <v>3.4000000000000002E-2</v>
      </c>
      <c r="O38" s="240">
        <f>O84-N38-M38-L38</f>
        <v>0.29400000000000004</v>
      </c>
      <c r="P38" s="15">
        <f>SUM(L38:O38)</f>
        <v>0.55100000000000005</v>
      </c>
      <c r="Q38" s="14">
        <f>Q84</f>
        <v>0.35099999999999998</v>
      </c>
      <c r="R38" s="15">
        <f>R84-Q38</f>
        <v>0.56600000000000006</v>
      </c>
      <c r="S38" s="239">
        <f>S84-R38-Q38</f>
        <v>0.43999999999999995</v>
      </c>
      <c r="T38" s="240">
        <f>T84-S38-R38-Q38</f>
        <v>0.36299999999999999</v>
      </c>
      <c r="U38" s="15">
        <f>SUM(Q38:T38)</f>
        <v>1.72</v>
      </c>
      <c r="V38" s="14">
        <f>V84</f>
        <v>0.75600000000000001</v>
      </c>
      <c r="W38" s="15">
        <f>W84-V38</f>
        <v>2.3570000000000002</v>
      </c>
      <c r="X38" s="239">
        <f>X84-W38-V38</f>
        <v>1.7049999999999994</v>
      </c>
      <c r="Y38" s="240">
        <f>Y84-X38-W38-V38</f>
        <v>1.1730000000000003</v>
      </c>
      <c r="Z38" s="15">
        <f>SUM(V38:Y38)</f>
        <v>5.9909999999999997</v>
      </c>
      <c r="AA38" s="14">
        <f>AA84</f>
        <v>0.67400000000000004</v>
      </c>
      <c r="AB38" s="15">
        <f>AB84-AA38</f>
        <v>5.3049999999999997</v>
      </c>
      <c r="AC38" s="239">
        <f>AC84-AB38-AA38</f>
        <v>6.9810000000000008</v>
      </c>
      <c r="AD38" s="240">
        <f>AD84-AC38-AB38-AA38</f>
        <v>7.0829999999999975</v>
      </c>
      <c r="AE38" s="15">
        <f>SUM(AA38:AD38)</f>
        <v>20.042999999999999</v>
      </c>
      <c r="AF38" s="14">
        <f>AF84</f>
        <v>2.823</v>
      </c>
      <c r="AG38" s="15">
        <f>AG84-AF38</f>
        <v>6.0559999999999992</v>
      </c>
      <c r="AH38" s="239">
        <f>AH84-AG38-AF38</f>
        <v>9.3179999999999996</v>
      </c>
      <c r="AI38" s="240">
        <f>AI84-AH38-AG38-AF38</f>
        <v>6.0549999999999997</v>
      </c>
      <c r="AJ38" s="15">
        <f>SUM(AF38:AI38)</f>
        <v>24.251999999999999</v>
      </c>
      <c r="AK38" s="14">
        <f>AK84</f>
        <v>4.5430000000000001</v>
      </c>
      <c r="AL38" s="15">
        <f>AL84-AK38</f>
        <v>8.3520000000000003</v>
      </c>
      <c r="AM38" s="239">
        <f>AM84-AL38-AK38</f>
        <v>10.804000000000002</v>
      </c>
      <c r="AN38" s="240">
        <f>AN84-AM38-AL38-AK38</f>
        <v>13.068999999999999</v>
      </c>
      <c r="AO38" s="15">
        <f>SUM(AK38:AN38)</f>
        <v>36.768000000000001</v>
      </c>
      <c r="AP38" s="14">
        <f>AP84</f>
        <v>11.182</v>
      </c>
      <c r="AQ38" s="15">
        <f>AQ84-AP38</f>
        <v>11.828999999999999</v>
      </c>
      <c r="AR38" s="239">
        <f>AR84-AQ38-AP38</f>
        <v>11.476000000000001</v>
      </c>
      <c r="AS38" s="240">
        <f>AS84-AR38-AQ38-AP38</f>
        <v>12.964</v>
      </c>
      <c r="AT38" s="15">
        <f>SUM(AP38:AS38)</f>
        <v>47.451000000000001</v>
      </c>
      <c r="AU38" s="14">
        <f>AU84</f>
        <v>13.587</v>
      </c>
      <c r="AV38" s="15">
        <f>AV84-AU38</f>
        <v>9.2850000000000001</v>
      </c>
      <c r="AW38" s="239">
        <f>AW84-AV38-AU38</f>
        <v>14.564</v>
      </c>
      <c r="AX38" s="240">
        <f>AX84-AW38-AV38-AU38</f>
        <v>13.963999999999999</v>
      </c>
      <c r="AY38" s="15">
        <f>SUM(AU38:AX38)</f>
        <v>51.4</v>
      </c>
      <c r="AZ38" s="14">
        <f>AZ84</f>
        <v>20.106000000000002</v>
      </c>
      <c r="BA38" s="15">
        <f>BA84-AZ38</f>
        <v>15.881999999999998</v>
      </c>
      <c r="BB38" s="239">
        <f>BB84-BA38-AZ38</f>
        <v>11.834000000000003</v>
      </c>
      <c r="BC38" s="240">
        <f>BC84-BB38-BA38-AZ38</f>
        <v>19.280999999999992</v>
      </c>
      <c r="BD38" s="15">
        <f>SUM(AZ38:BC38)</f>
        <v>67.102999999999994</v>
      </c>
      <c r="BE38" s="14">
        <f>BE84</f>
        <v>12.834</v>
      </c>
      <c r="BF38" s="15">
        <f>BF84-BE38</f>
        <v>27.458000000000002</v>
      </c>
      <c r="BG38" s="239">
        <f>BG84-BF38-BE38</f>
        <v>8.5210000000000008</v>
      </c>
      <c r="BH38" s="240">
        <f>BH84-BG38-BF38-BE38</f>
        <v>6.0629999999999953</v>
      </c>
      <c r="BI38" s="15">
        <f>SUM(BE38:BH38)</f>
        <v>54.875999999999998</v>
      </c>
      <c r="BJ38" s="14">
        <f>BJ84</f>
        <v>8.7639999999999993</v>
      </c>
      <c r="BK38" s="15">
        <f>BK84-BJ38</f>
        <v>9.6829999999999998</v>
      </c>
      <c r="BL38" s="239">
        <f>BL84-BK38-BJ38</f>
        <v>15.312999999999999</v>
      </c>
      <c r="BM38" s="240">
        <f>BM84-BL38-BK38-BJ38</f>
        <v>27.891000000000009</v>
      </c>
      <c r="BN38" s="15">
        <f>SUM(BJ38:BM38)</f>
        <v>61.65100000000001</v>
      </c>
      <c r="BO38" s="14">
        <f>BO84</f>
        <v>30.103000000000002</v>
      </c>
      <c r="BP38" s="15">
        <f>BP84-BO38</f>
        <v>19.832000000000001</v>
      </c>
      <c r="BQ38" s="239">
        <f>BQ84-BP38-BO38</f>
        <v>37.134999999999998</v>
      </c>
      <c r="BR38" s="240">
        <f>BR84-BQ38-BP38-BO38</f>
        <v>20.01400000000001</v>
      </c>
      <c r="BS38" s="15">
        <f>SUM(BO38:BR38)</f>
        <v>107.084</v>
      </c>
      <c r="BT38" s="14">
        <f>BT84</f>
        <v>23.43</v>
      </c>
      <c r="BU38" s="15">
        <f>BU84-BT38</f>
        <v>16.851999999999997</v>
      </c>
      <c r="BV38" s="239">
        <f>BV84-BU38-BT38</f>
        <v>16.995000000000005</v>
      </c>
      <c r="BW38" s="240">
        <f>BW84-BV38-BU38-BT38</f>
        <v>22.274000000000001</v>
      </c>
      <c r="BX38" s="15">
        <f>SUM(BT38:BW38)</f>
        <v>79.551000000000002</v>
      </c>
      <c r="BY38" s="14">
        <f>BY84</f>
        <v>43.353000000000002</v>
      </c>
      <c r="BZ38" s="15">
        <f>BZ84-BY38</f>
        <v>18.173999999999999</v>
      </c>
      <c r="CA38" s="239">
        <f>CA84-BZ38-BY38</f>
        <v>30.356000000000002</v>
      </c>
      <c r="CB38" s="240">
        <f>CB84-CA38-BZ38-BY38</f>
        <v>37.601000000000006</v>
      </c>
      <c r="CC38" s="15">
        <f t="shared" ref="CC38:CC43" si="163">SUM(BY38:CB38)</f>
        <v>129.48400000000001</v>
      </c>
      <c r="CD38" s="14">
        <f>CD84</f>
        <v>31.995999999999999</v>
      </c>
      <c r="CE38" s="15">
        <f>CE84-CD38</f>
        <v>16.55</v>
      </c>
      <c r="CF38" s="239">
        <f>CF84-CE38-CD38</f>
        <v>28.291000000000007</v>
      </c>
      <c r="CG38" s="240">
        <f>CG84-CF38-CE38-CD38</f>
        <v>40.718999999999994</v>
      </c>
      <c r="CH38" s="15">
        <f t="shared" ref="CH38:CH43" si="164">SUM(CD38:CG38)</f>
        <v>117.556</v>
      </c>
      <c r="CI38" s="14">
        <f>CI84</f>
        <v>22.3</v>
      </c>
      <c r="CJ38" s="15">
        <f>CJ84-CI38</f>
        <v>27.538999999999998</v>
      </c>
      <c r="CK38" s="239">
        <f>CK84-CJ38-CI38</f>
        <v>1.4000000000002899E-2</v>
      </c>
      <c r="CL38" s="240">
        <f>CL84-CK38-CJ38-CI38</f>
        <v>51.602000000000004</v>
      </c>
      <c r="CM38" s="352">
        <f t="shared" si="155"/>
        <v>101.45500000000001</v>
      </c>
      <c r="CN38" s="14">
        <f>CN84</f>
        <v>36.700000000000003</v>
      </c>
      <c r="CO38" s="15">
        <f>+CO84-CN38</f>
        <v>31.799999999999997</v>
      </c>
      <c r="CP38" s="239">
        <f>CP84-CO38-CN38</f>
        <v>30.400000000000006</v>
      </c>
      <c r="CQ38" s="240">
        <f>CQ84-CP38-CO38-CN38</f>
        <v>32.699999999999989</v>
      </c>
      <c r="CR38" s="239">
        <f t="shared" si="156"/>
        <v>131.6</v>
      </c>
      <c r="CS38" s="14">
        <f>CS84</f>
        <v>49.4</v>
      </c>
      <c r="CT38" s="15">
        <f>+CT84-CS38</f>
        <v>40.9</v>
      </c>
      <c r="CU38" s="239">
        <f>CU84-CT38-CS38</f>
        <v>44.29999999999999</v>
      </c>
      <c r="CV38" s="576">
        <f>CV84-CU38-CT38-CS38</f>
        <v>41.400000000000013</v>
      </c>
      <c r="CW38" s="836">
        <f t="shared" si="157"/>
        <v>176</v>
      </c>
      <c r="CX38" s="1052">
        <f>CX84</f>
        <v>61</v>
      </c>
      <c r="CY38" s="1041">
        <f>+CY84-CX38</f>
        <v>43</v>
      </c>
      <c r="CZ38" s="1041">
        <f t="shared" si="158"/>
        <v>42</v>
      </c>
      <c r="DA38" s="1041">
        <f t="shared" si="158"/>
        <v>43</v>
      </c>
      <c r="DB38" s="1045">
        <f t="shared" si="159"/>
        <v>189</v>
      </c>
      <c r="DC38" s="1044">
        <f>+IS!DC96-CF!DC36</f>
        <v>20</v>
      </c>
      <c r="DD38" s="1044">
        <f>+IS!DD96-CF!DD36</f>
        <v>20</v>
      </c>
      <c r="DE38" s="1044">
        <f>+IS!DE96-CF!DE36</f>
        <v>20</v>
      </c>
      <c r="DF38" s="1044">
        <f>+IS!DF96-CF!DF36</f>
        <v>20</v>
      </c>
      <c r="DG38" s="1045">
        <f>SUM(DC38:DF38)</f>
        <v>80</v>
      </c>
      <c r="DH38" s="1044">
        <f>+IS!DH96-CF!DH36</f>
        <v>20</v>
      </c>
      <c r="DI38" s="1044">
        <f>+IS!DI96-CF!DI36</f>
        <v>20</v>
      </c>
      <c r="DJ38" s="1044">
        <f>+IS!DJ96-CF!DJ36</f>
        <v>20</v>
      </c>
      <c r="DK38" s="1044">
        <f>+IS!DK96-CF!DK36</f>
        <v>20</v>
      </c>
      <c r="DL38" s="1045">
        <f>SUM(DH38:DK38)</f>
        <v>80</v>
      </c>
      <c r="DM38" s="1044">
        <f>+IS!DM96-CF!DM36</f>
        <v>20</v>
      </c>
      <c r="DN38" s="1044">
        <f>+IS!DN96-CF!DN36</f>
        <v>20</v>
      </c>
      <c r="DO38" s="1044">
        <f>+IS!DO96-CF!DO36</f>
        <v>20</v>
      </c>
      <c r="DP38" s="1044">
        <f>+IS!DP96-CF!DP36</f>
        <v>20</v>
      </c>
      <c r="DQ38" s="1045">
        <f>SUM(DM38:DP38)</f>
        <v>80</v>
      </c>
      <c r="DR38" s="4"/>
      <c r="DS38" s="112"/>
    </row>
    <row r="39" spans="1:131" ht="11.25" customHeight="1">
      <c r="B39" s="3"/>
      <c r="C39" s="4" t="s">
        <v>80</v>
      </c>
      <c r="D39" s="4"/>
      <c r="E39" s="4"/>
      <c r="F39" s="4"/>
      <c r="G39" s="14">
        <f>G85</f>
        <v>0</v>
      </c>
      <c r="H39" s="15">
        <f>H85-G39</f>
        <v>0</v>
      </c>
      <c r="I39" s="239">
        <f>I85-H39-G39</f>
        <v>0</v>
      </c>
      <c r="J39" s="240">
        <f>J85-I39-H39-G39</f>
        <v>0</v>
      </c>
      <c r="K39" s="14">
        <f>SUM(G39:J39)</f>
        <v>0</v>
      </c>
      <c r="L39" s="14">
        <f>L85</f>
        <v>0</v>
      </c>
      <c r="M39" s="15">
        <f>M85-L39</f>
        <v>0</v>
      </c>
      <c r="N39" s="239">
        <f>N85-M39-L39</f>
        <v>0</v>
      </c>
      <c r="O39" s="240">
        <f>O85-N39-M39-L39</f>
        <v>0</v>
      </c>
      <c r="P39" s="15">
        <f>SUM(L39:O39)</f>
        <v>0</v>
      </c>
      <c r="Q39" s="14">
        <f>Q85</f>
        <v>0</v>
      </c>
      <c r="R39" s="15">
        <f>R85-Q39</f>
        <v>0</v>
      </c>
      <c r="S39" s="239">
        <f>S85-R39-Q39</f>
        <v>0</v>
      </c>
      <c r="T39" s="240">
        <f>T85-S39-R39-Q39</f>
        <v>0</v>
      </c>
      <c r="U39" s="15">
        <f>SUM(Q39:T39)</f>
        <v>0</v>
      </c>
      <c r="V39" s="14">
        <f>V85</f>
        <v>0</v>
      </c>
      <c r="W39" s="15">
        <f>W85-V39</f>
        <v>0</v>
      </c>
      <c r="X39" s="239">
        <f>X85-W39-V39</f>
        <v>0</v>
      </c>
      <c r="Y39" s="240">
        <f>Y85-X39-W39-V39</f>
        <v>0</v>
      </c>
      <c r="Z39" s="15">
        <f>SUM(V39:Y39)</f>
        <v>0</v>
      </c>
      <c r="AA39" s="14">
        <f>AA85</f>
        <v>0</v>
      </c>
      <c r="AB39" s="15">
        <f>AB85-AA39</f>
        <v>0</v>
      </c>
      <c r="AC39" s="239">
        <f>AC85-AB39-AA39</f>
        <v>0</v>
      </c>
      <c r="AD39" s="240">
        <f>AD85-AC39-AB39-AA39</f>
        <v>0</v>
      </c>
      <c r="AE39" s="15">
        <f>SUM(AA39:AD39)</f>
        <v>0</v>
      </c>
      <c r="AF39" s="14">
        <f>AF85</f>
        <v>0</v>
      </c>
      <c r="AG39" s="15">
        <f>AG85-AF39</f>
        <v>0</v>
      </c>
      <c r="AH39" s="239">
        <f>AH85-AG39-AF39</f>
        <v>0</v>
      </c>
      <c r="AI39" s="240">
        <f>AI85-AH39-AG39-AF39</f>
        <v>0</v>
      </c>
      <c r="AJ39" s="15">
        <f>SUM(AF39:AI39)</f>
        <v>0</v>
      </c>
      <c r="AK39" s="14">
        <f>AK85</f>
        <v>0</v>
      </c>
      <c r="AL39" s="15">
        <f>AL85-AK39</f>
        <v>0</v>
      </c>
      <c r="AM39" s="239">
        <f>AM85-AL39-AK39</f>
        <v>0</v>
      </c>
      <c r="AN39" s="240">
        <f>AN85-AM39-AL39-AK39</f>
        <v>0</v>
      </c>
      <c r="AO39" s="15">
        <f>SUM(AK39:AN39)</f>
        <v>0</v>
      </c>
      <c r="AP39" s="14">
        <f>AP85</f>
        <v>0</v>
      </c>
      <c r="AQ39" s="15">
        <f>AQ85-AP39</f>
        <v>0</v>
      </c>
      <c r="AR39" s="239">
        <f>AR85-AQ39-AP39</f>
        <v>0</v>
      </c>
      <c r="AS39" s="240">
        <f>AS85-AR39-AQ39-AP39</f>
        <v>0</v>
      </c>
      <c r="AT39" s="15">
        <f>SUM(AP39:AS39)</f>
        <v>0</v>
      </c>
      <c r="AU39" s="14">
        <f>AU85</f>
        <v>9.08</v>
      </c>
      <c r="AV39" s="15">
        <f>AV85-AU39</f>
        <v>5.4830000000000005</v>
      </c>
      <c r="AW39" s="239">
        <f>AW85-AV39-AU39</f>
        <v>8.1210000000000004</v>
      </c>
      <c r="AX39" s="240">
        <f>AX85-AW39-AV39-AU39</f>
        <v>10.565</v>
      </c>
      <c r="AY39" s="15">
        <f>SUM(AU39:AX39)</f>
        <v>33.249000000000002</v>
      </c>
      <c r="AZ39" s="14">
        <f>AZ85</f>
        <v>20.494</v>
      </c>
      <c r="BA39" s="15">
        <f>BA85-AZ39</f>
        <v>9.907</v>
      </c>
      <c r="BB39" s="239">
        <f>BB85-BA39-AZ39</f>
        <v>6.1020000000000003</v>
      </c>
      <c r="BC39" s="240">
        <f>BC85-BB39-BA39-AZ39</f>
        <v>5.7619999999999969</v>
      </c>
      <c r="BD39" s="15">
        <f>SUM(AZ39:BC39)</f>
        <v>42.265000000000001</v>
      </c>
      <c r="BE39" s="14">
        <f>BE85</f>
        <v>4.0419999999999998</v>
      </c>
      <c r="BF39" s="15">
        <f>BF85-BE39</f>
        <v>11.115</v>
      </c>
      <c r="BG39" s="239">
        <f>BG85-BF39-BE39</f>
        <v>1.1020000000000003</v>
      </c>
      <c r="BH39" s="240">
        <f>BH85-BG39-BF39-BE39</f>
        <v>0.73399999999999821</v>
      </c>
      <c r="BI39" s="15">
        <f>SUM(BE39:BH39)</f>
        <v>16.992999999999999</v>
      </c>
      <c r="BJ39" s="14">
        <f>BJ85</f>
        <v>1.819</v>
      </c>
      <c r="BK39" s="15">
        <f>BK85-BJ39</f>
        <v>3.3319999999999999</v>
      </c>
      <c r="BL39" s="239">
        <f>BL85-BK39-BJ39</f>
        <v>7.2499999999999991</v>
      </c>
      <c r="BM39" s="240">
        <f>BM85-BL39-BK39-BJ39</f>
        <v>19.155000000000001</v>
      </c>
      <c r="BN39" s="15">
        <f>SUM(BJ39:BM39)</f>
        <v>31.556000000000001</v>
      </c>
      <c r="BO39" s="14">
        <f>BO85</f>
        <v>15.753</v>
      </c>
      <c r="BP39" s="15">
        <f>BP85-BO39</f>
        <v>12.658000000000001</v>
      </c>
      <c r="BQ39" s="239">
        <f>BQ85-BP39-BO39</f>
        <v>31.085999999999999</v>
      </c>
      <c r="BR39" s="240">
        <f>BR85-BQ39-BP39-BO39</f>
        <v>12.421999999999997</v>
      </c>
      <c r="BS39" s="15">
        <f>SUM(BO39:BR39)</f>
        <v>71.918999999999997</v>
      </c>
      <c r="BT39" s="14">
        <f>BT85</f>
        <v>15.792</v>
      </c>
      <c r="BU39" s="15">
        <f>BU85-BT39</f>
        <v>6.2490000000000006</v>
      </c>
      <c r="BV39" s="239">
        <f>BV85-BU39-BT39</f>
        <v>8.9249999999999989</v>
      </c>
      <c r="BW39" s="240">
        <f>BW85-BV39-BU39-BT39</f>
        <v>8.1749999999999989</v>
      </c>
      <c r="BX39" s="15">
        <f>SUM(BT39:BW39)</f>
        <v>39.140999999999998</v>
      </c>
      <c r="BY39" s="14">
        <f>BY85</f>
        <v>12.746</v>
      </c>
      <c r="BZ39" s="15">
        <f>BZ85-BY39</f>
        <v>3.1069999999999993</v>
      </c>
      <c r="CA39" s="239">
        <f>CA85-BZ39-BY39</f>
        <v>9.1070000000000011</v>
      </c>
      <c r="CB39" s="240">
        <f>CB85-CA39-BZ39-BY39</f>
        <v>23.412999999999997</v>
      </c>
      <c r="CC39" s="15">
        <f t="shared" si="163"/>
        <v>48.372999999999998</v>
      </c>
      <c r="CD39" s="14">
        <f>CD85</f>
        <v>7.49</v>
      </c>
      <c r="CE39" s="15">
        <f>CE85-CD39</f>
        <v>1.9919999999999991</v>
      </c>
      <c r="CF39" s="239">
        <f>CF85-CE39-CD39</f>
        <v>6.968</v>
      </c>
      <c r="CG39" s="240">
        <f>CG85-CF39-CE39-CD39</f>
        <v>14.131000000000002</v>
      </c>
      <c r="CH39" s="15">
        <f t="shared" si="164"/>
        <v>30.581000000000003</v>
      </c>
      <c r="CI39" s="14">
        <f>CI85</f>
        <v>0</v>
      </c>
      <c r="CJ39" s="15">
        <f>CJ85-CI39</f>
        <v>12.034000000000001</v>
      </c>
      <c r="CK39" s="239">
        <f>CK85-CJ39-CI39</f>
        <v>2.5129999999999999</v>
      </c>
      <c r="CL39" s="240">
        <f>CL85-CK39-CJ39-CI39</f>
        <v>9.0020000000000007</v>
      </c>
      <c r="CM39" s="352">
        <f t="shared" si="155"/>
        <v>23.548999999999999</v>
      </c>
      <c r="CN39" s="14">
        <f>CN85</f>
        <v>7.5</v>
      </c>
      <c r="CO39" s="15">
        <f>+CO85-CN39</f>
        <v>7.8000000000000007</v>
      </c>
      <c r="CP39" s="239">
        <f>CP85-CO39-CN39</f>
        <v>3.6999999999999993</v>
      </c>
      <c r="CQ39" s="240">
        <f>CQ85-CP39-CO39-CN39</f>
        <v>14.700000000000003</v>
      </c>
      <c r="CR39" s="239">
        <f t="shared" si="156"/>
        <v>33.700000000000003</v>
      </c>
      <c r="CS39" s="14">
        <f>CS85</f>
        <v>3.2</v>
      </c>
      <c r="CT39" s="15">
        <f>+CT85-CS39</f>
        <v>6.9999999999999991</v>
      </c>
      <c r="CU39" s="239">
        <f>CU85-CT39-CS39</f>
        <v>8.8000000000000007</v>
      </c>
      <c r="CV39" s="576">
        <f>CV85-CU39-CT39-CS39</f>
        <v>4.9999999999999991</v>
      </c>
      <c r="CW39" s="836">
        <f t="shared" si="157"/>
        <v>24</v>
      </c>
      <c r="CX39" s="1052">
        <f>CX85</f>
        <v>0</v>
      </c>
      <c r="CY39" s="1041">
        <f>+CY85-CX39</f>
        <v>0</v>
      </c>
      <c r="CZ39" s="1041">
        <f t="shared" si="158"/>
        <v>0</v>
      </c>
      <c r="DA39" s="1041">
        <f t="shared" si="158"/>
        <v>0</v>
      </c>
      <c r="DB39" s="1045">
        <f t="shared" si="159"/>
        <v>0</v>
      </c>
      <c r="DC39" s="1049">
        <v>0</v>
      </c>
      <c r="DD39" s="1049">
        <v>0</v>
      </c>
      <c r="DE39" s="1049">
        <v>0</v>
      </c>
      <c r="DF39" s="1049">
        <v>0</v>
      </c>
      <c r="DG39" s="1045">
        <f t="shared" si="160"/>
        <v>0</v>
      </c>
      <c r="DH39" s="1049">
        <v>0</v>
      </c>
      <c r="DI39" s="1049">
        <v>0</v>
      </c>
      <c r="DJ39" s="1049">
        <v>0</v>
      </c>
      <c r="DK39" s="1049">
        <v>0</v>
      </c>
      <c r="DL39" s="1045">
        <f t="shared" si="161"/>
        <v>0</v>
      </c>
      <c r="DM39" s="1049">
        <v>0</v>
      </c>
      <c r="DN39" s="1049">
        <v>0</v>
      </c>
      <c r="DO39" s="1049">
        <v>0</v>
      </c>
      <c r="DP39" s="1049">
        <v>0</v>
      </c>
      <c r="DQ39" s="1045">
        <f t="shared" ref="DQ39:DQ42" si="165">SUM(DM39:DP39)</f>
        <v>0</v>
      </c>
      <c r="DR39" s="4"/>
      <c r="DS39" s="112"/>
    </row>
    <row r="40" spans="1:131" ht="11.25" customHeight="1">
      <c r="B40" s="3"/>
      <c r="C40" s="4" t="s">
        <v>98</v>
      </c>
      <c r="D40" s="4"/>
      <c r="E40" s="4"/>
      <c r="F40" s="4"/>
      <c r="G40" s="14">
        <f>G86</f>
        <v>0</v>
      </c>
      <c r="H40" s="15">
        <f>H86-G40</f>
        <v>0</v>
      </c>
      <c r="I40" s="239">
        <f>I86-H40-G40</f>
        <v>0</v>
      </c>
      <c r="J40" s="240">
        <f>J86-I40-H40-G40</f>
        <v>0</v>
      </c>
      <c r="K40" s="14">
        <f>SUM(G40:J40)</f>
        <v>0</v>
      </c>
      <c r="L40" s="14">
        <f>L86</f>
        <v>0</v>
      </c>
      <c r="M40" s="15">
        <f>M86-L40</f>
        <v>0</v>
      </c>
      <c r="N40" s="239">
        <f>N86-M40-L40</f>
        <v>0</v>
      </c>
      <c r="O40" s="240">
        <f>O86-N40-M40-L40</f>
        <v>0</v>
      </c>
      <c r="P40" s="15">
        <f>SUM(L40:O40)</f>
        <v>0</v>
      </c>
      <c r="Q40" s="14">
        <f>Q86</f>
        <v>0</v>
      </c>
      <c r="R40" s="15">
        <f>R86-Q40</f>
        <v>0</v>
      </c>
      <c r="S40" s="239">
        <f>S86-R40-Q40</f>
        <v>0</v>
      </c>
      <c r="T40" s="240">
        <f>T86-S40-R40-Q40</f>
        <v>0</v>
      </c>
      <c r="U40" s="15">
        <f>SUM(Q40:T40)</f>
        <v>0</v>
      </c>
      <c r="V40" s="14">
        <f>V86</f>
        <v>0</v>
      </c>
      <c r="W40" s="15">
        <f>W86-V40</f>
        <v>0</v>
      </c>
      <c r="X40" s="239">
        <f>X86-W40-V40</f>
        <v>0</v>
      </c>
      <c r="Y40" s="240">
        <f>Y86-X40-W40-V40</f>
        <v>0</v>
      </c>
      <c r="Z40" s="15">
        <f>SUM(V40:Y40)</f>
        <v>0</v>
      </c>
      <c r="AA40" s="14">
        <f>AA86</f>
        <v>0</v>
      </c>
      <c r="AB40" s="15">
        <f>AB86-AA40</f>
        <v>0</v>
      </c>
      <c r="AC40" s="239">
        <f>AC86-AB40-AA40</f>
        <v>0</v>
      </c>
      <c r="AD40" s="240">
        <f>AD86-AC40-AB40-AA40</f>
        <v>0</v>
      </c>
      <c r="AE40" s="15">
        <f>SUM(AA40:AD40)</f>
        <v>0</v>
      </c>
      <c r="AF40" s="14">
        <f>AF86</f>
        <v>0</v>
      </c>
      <c r="AG40" s="15">
        <f>AG86-AF40</f>
        <v>0</v>
      </c>
      <c r="AH40" s="239">
        <f>AH86-AG40-AF40</f>
        <v>0</v>
      </c>
      <c r="AI40" s="240">
        <f>AI86-AH40-AG40-AF40</f>
        <v>0</v>
      </c>
      <c r="AJ40" s="15">
        <f>SUM(AF40:AI40)</f>
        <v>0</v>
      </c>
      <c r="AK40" s="14">
        <f>AK86</f>
        <v>0</v>
      </c>
      <c r="AL40" s="15">
        <f>AL86-AK40</f>
        <v>0</v>
      </c>
      <c r="AM40" s="239">
        <f>AM86-AL40-AK40</f>
        <v>0</v>
      </c>
      <c r="AN40" s="240">
        <f>AN86-AM40-AL40-AK40</f>
        <v>0</v>
      </c>
      <c r="AO40" s="15">
        <f>SUM(AK40:AN40)</f>
        <v>0</v>
      </c>
      <c r="AP40" s="14">
        <f>AP86</f>
        <v>0</v>
      </c>
      <c r="AQ40" s="15">
        <f>AQ86-AP40</f>
        <v>0</v>
      </c>
      <c r="AR40" s="239">
        <f>AR86-AQ40-AP40</f>
        <v>0</v>
      </c>
      <c r="AS40" s="240">
        <f>AS86-AR40-AQ40-AP40</f>
        <v>0</v>
      </c>
      <c r="AT40" s="15">
        <f>SUM(AP40:AS40)</f>
        <v>0</v>
      </c>
      <c r="AU40" s="14">
        <f>AU86</f>
        <v>0</v>
      </c>
      <c r="AV40" s="15">
        <f>AV86-AU40</f>
        <v>0</v>
      </c>
      <c r="AW40" s="239">
        <f>AW86-AV40-AU40</f>
        <v>0</v>
      </c>
      <c r="AX40" s="240">
        <f>AX86-AW40-AV40-AU40</f>
        <v>0</v>
      </c>
      <c r="AY40" s="15">
        <f>SUM(AU40:AX40)</f>
        <v>0</v>
      </c>
      <c r="AZ40" s="14">
        <f>AZ86</f>
        <v>0</v>
      </c>
      <c r="BA40" s="15">
        <f>BA86-AZ40</f>
        <v>0</v>
      </c>
      <c r="BB40" s="239">
        <f>BB86-BA40-AZ40</f>
        <v>0</v>
      </c>
      <c r="BC40" s="240">
        <f>BC86-BB40-BA40-AZ40</f>
        <v>-105.36</v>
      </c>
      <c r="BD40" s="15">
        <f>SUM(AZ40:BC40)</f>
        <v>-105.36</v>
      </c>
      <c r="BE40" s="14">
        <f>BE86</f>
        <v>0</v>
      </c>
      <c r="BF40" s="15">
        <f>BF86-BE40</f>
        <v>0</v>
      </c>
      <c r="BG40" s="239">
        <f>BG86-BF40-BE40</f>
        <v>-27.835000000000001</v>
      </c>
      <c r="BH40" s="240">
        <f>BH86-BG40-BF40-BE40</f>
        <v>0</v>
      </c>
      <c r="BI40" s="15">
        <f>SUM(BE40:BH40)</f>
        <v>-27.835000000000001</v>
      </c>
      <c r="BJ40" s="14">
        <f>BJ86</f>
        <v>-12.882</v>
      </c>
      <c r="BK40" s="15">
        <f>BK86-BJ40</f>
        <v>-0.58300000000000018</v>
      </c>
      <c r="BL40" s="239">
        <f>BL86-BK40-BJ40</f>
        <v>-1.0990000000000002</v>
      </c>
      <c r="BM40" s="240">
        <f>BM86-BL40-BK40-BJ40</f>
        <v>-1.6950000000000003</v>
      </c>
      <c r="BN40" s="15">
        <f>SUM(BJ40:BM40)</f>
        <v>-16.259</v>
      </c>
      <c r="BO40" s="14">
        <f>BO86</f>
        <v>-2.3149999999999999</v>
      </c>
      <c r="BP40" s="15">
        <f>BP86-BO40</f>
        <v>-2.5859999999999999</v>
      </c>
      <c r="BQ40" s="239">
        <f>BQ86-BP40-BO40</f>
        <v>-7.1950000000000003</v>
      </c>
      <c r="BR40" s="240">
        <f>BR86-BQ40-BP40-BO40</f>
        <v>-46.904000000000003</v>
      </c>
      <c r="BS40" s="15">
        <f>SUM(BO40:BR40)</f>
        <v>-59</v>
      </c>
      <c r="BT40" s="14">
        <f>BT86</f>
        <v>-88.266000000000005</v>
      </c>
      <c r="BU40" s="15">
        <f>BU86-BT40</f>
        <v>-103.86399999999999</v>
      </c>
      <c r="BV40" s="239">
        <f>BV86-BU40-BT40</f>
        <v>-172.84399999999999</v>
      </c>
      <c r="BW40" s="240">
        <f>BW86-BV40-BU40-BT40</f>
        <v>-9.1730000000000018</v>
      </c>
      <c r="BX40" s="15">
        <f>SUM(BT40:BW40)</f>
        <v>-374.14699999999999</v>
      </c>
      <c r="BY40" s="14">
        <f>BY86</f>
        <v>-48.981999999999999</v>
      </c>
      <c r="BZ40" s="15">
        <f>BZ86-BY40</f>
        <v>-369.80100000000004</v>
      </c>
      <c r="CA40" s="239">
        <f>CA86-BZ40-BY40</f>
        <v>-65.111999999999938</v>
      </c>
      <c r="CB40" s="240">
        <f>CB86-CA40-BZ40-BY40</f>
        <v>-36.950000000000017</v>
      </c>
      <c r="CC40" s="15">
        <f t="shared" si="163"/>
        <v>-520.84500000000003</v>
      </c>
      <c r="CD40" s="14">
        <f>CD86</f>
        <v>-22.553999999999998</v>
      </c>
      <c r="CE40" s="15">
        <f>CE86-CD40</f>
        <v>-124.85499999999999</v>
      </c>
      <c r="CF40" s="239">
        <f>CF86-CE40-CD40</f>
        <v>-6.9270000000000245</v>
      </c>
      <c r="CG40" s="240">
        <f>CG86-CF40-CE40-CD40</f>
        <v>-24.667999999999981</v>
      </c>
      <c r="CH40" s="15">
        <f t="shared" si="164"/>
        <v>-179.00399999999999</v>
      </c>
      <c r="CI40" s="14">
        <f>CI86</f>
        <v>-29.3</v>
      </c>
      <c r="CJ40" s="15">
        <f>CJ86-CI40</f>
        <v>-132.56099999999998</v>
      </c>
      <c r="CK40" s="239">
        <f>CK86-CJ40-CI40</f>
        <v>-9.4270000000000316</v>
      </c>
      <c r="CL40" s="240">
        <f>CL86-CK40-CJ40-CI40</f>
        <v>-77.029000000000011</v>
      </c>
      <c r="CM40" s="352">
        <f t="shared" si="155"/>
        <v>-248.31700000000001</v>
      </c>
      <c r="CN40" s="14">
        <f>CN86</f>
        <v>-38.4</v>
      </c>
      <c r="CO40" s="15">
        <f>+CO86-CN40</f>
        <v>-175.6</v>
      </c>
      <c r="CP40" s="239">
        <f>CP86-CO40-CN40</f>
        <v>-169.2</v>
      </c>
      <c r="CQ40" s="240">
        <f>CQ86-CP40-CO40-CN40</f>
        <v>-76.800000000000011</v>
      </c>
      <c r="CR40" s="239">
        <f t="shared" si="156"/>
        <v>-460</v>
      </c>
      <c r="CS40" s="14">
        <f>CS86</f>
        <v>-257.39999999999998</v>
      </c>
      <c r="CT40" s="15">
        <f>+CT86-CS40</f>
        <v>-77.700000000000045</v>
      </c>
      <c r="CU40" s="239">
        <f>CU86-CT40-CS40</f>
        <v>-157.09999999999997</v>
      </c>
      <c r="CV40" s="576">
        <f>CV86-CU40-CT40-CS40</f>
        <v>-19.800000000000011</v>
      </c>
      <c r="CW40" s="836">
        <f t="shared" si="157"/>
        <v>-512</v>
      </c>
      <c r="CX40" s="1052">
        <f>CX86</f>
        <v>-1514</v>
      </c>
      <c r="CY40" s="1041">
        <f>+CY86-CX40</f>
        <v>-30</v>
      </c>
      <c r="CZ40" s="1041">
        <f t="shared" si="158"/>
        <v>-13</v>
      </c>
      <c r="DA40" s="1041">
        <f t="shared" si="158"/>
        <v>-332</v>
      </c>
      <c r="DB40" s="1045">
        <f t="shared" si="159"/>
        <v>-1889</v>
      </c>
      <c r="DC40" s="1044">
        <f>IS!DC101</f>
        <v>-225</v>
      </c>
      <c r="DD40" s="1044">
        <f>IS!DD101</f>
        <v>-225</v>
      </c>
      <c r="DE40" s="1044">
        <f>IS!DE101</f>
        <v>-225</v>
      </c>
      <c r="DF40" s="1044">
        <f>IS!DF101</f>
        <v>-225</v>
      </c>
      <c r="DG40" s="1045">
        <f t="shared" si="160"/>
        <v>-900</v>
      </c>
      <c r="DH40" s="1044">
        <f>IS!DH101</f>
        <v>-300</v>
      </c>
      <c r="DI40" s="1044">
        <f>IS!DI101</f>
        <v>-300</v>
      </c>
      <c r="DJ40" s="1044">
        <f>IS!DJ101</f>
        <v>-300</v>
      </c>
      <c r="DK40" s="1044">
        <f>IS!DK101</f>
        <v>-300</v>
      </c>
      <c r="DL40" s="1045">
        <f t="shared" si="161"/>
        <v>-1200</v>
      </c>
      <c r="DM40" s="1044">
        <f>IS!DM101</f>
        <v>-300</v>
      </c>
      <c r="DN40" s="1044">
        <f>IS!DN101</f>
        <v>-300</v>
      </c>
      <c r="DO40" s="1044">
        <f>IS!DO101</f>
        <v>-300</v>
      </c>
      <c r="DP40" s="1044">
        <f>IS!DP101</f>
        <v>-300</v>
      </c>
      <c r="DQ40" s="1045">
        <f t="shared" si="165"/>
        <v>-1200</v>
      </c>
      <c r="DR40" s="4"/>
      <c r="DS40" s="112"/>
    </row>
    <row r="41" spans="1:131" ht="11.25" customHeight="1">
      <c r="B41" s="3"/>
      <c r="C41" s="4" t="s">
        <v>281</v>
      </c>
      <c r="D41" s="4"/>
      <c r="E41" s="4"/>
      <c r="F41" s="4"/>
      <c r="G41" s="14"/>
      <c r="H41" s="15"/>
      <c r="I41" s="239"/>
      <c r="J41" s="240"/>
      <c r="K41" s="14"/>
      <c r="L41" s="14"/>
      <c r="M41" s="15"/>
      <c r="N41" s="239"/>
      <c r="O41" s="240"/>
      <c r="P41" s="15"/>
      <c r="Q41" s="14"/>
      <c r="R41" s="15"/>
      <c r="S41" s="239"/>
      <c r="T41" s="240"/>
      <c r="U41" s="15"/>
      <c r="V41" s="14"/>
      <c r="W41" s="15"/>
      <c r="X41" s="239"/>
      <c r="Y41" s="240"/>
      <c r="Z41" s="15"/>
      <c r="AA41" s="14"/>
      <c r="AB41" s="15"/>
      <c r="AC41" s="239"/>
      <c r="AD41" s="240"/>
      <c r="AE41" s="15"/>
      <c r="AF41" s="14"/>
      <c r="AG41" s="15"/>
      <c r="AH41" s="239"/>
      <c r="AI41" s="240"/>
      <c r="AJ41" s="15"/>
      <c r="AK41" s="14"/>
      <c r="AL41" s="15"/>
      <c r="AM41" s="239"/>
      <c r="AN41" s="240"/>
      <c r="AO41" s="15"/>
      <c r="AP41" s="14"/>
      <c r="AQ41" s="15"/>
      <c r="AR41" s="239"/>
      <c r="AS41" s="240"/>
      <c r="AT41" s="15"/>
      <c r="AU41" s="14"/>
      <c r="AV41" s="15"/>
      <c r="AW41" s="239"/>
      <c r="AX41" s="240"/>
      <c r="AY41" s="15"/>
      <c r="AZ41" s="14"/>
      <c r="BA41" s="15"/>
      <c r="BB41" s="239"/>
      <c r="BC41" s="240"/>
      <c r="BD41" s="15"/>
      <c r="BE41" s="14"/>
      <c r="BF41" s="15"/>
      <c r="BG41" s="239"/>
      <c r="BH41" s="240"/>
      <c r="BI41" s="15"/>
      <c r="BJ41" s="14"/>
      <c r="BK41" s="15"/>
      <c r="BL41" s="239"/>
      <c r="BM41" s="240"/>
      <c r="BN41" s="15"/>
      <c r="BO41" s="14"/>
      <c r="BP41" s="15"/>
      <c r="BQ41" s="239"/>
      <c r="BR41" s="240"/>
      <c r="BS41" s="15"/>
      <c r="BT41" s="14"/>
      <c r="BU41" s="15"/>
      <c r="BV41" s="239"/>
      <c r="BW41" s="240"/>
      <c r="BX41" s="15"/>
      <c r="BY41" s="14"/>
      <c r="BZ41" s="15"/>
      <c r="CA41" s="239"/>
      <c r="CB41" s="240"/>
      <c r="CC41" s="15">
        <f t="shared" si="163"/>
        <v>0</v>
      </c>
      <c r="CD41" s="14"/>
      <c r="CE41" s="15"/>
      <c r="CF41" s="239"/>
      <c r="CG41" s="240"/>
      <c r="CH41" s="15">
        <f t="shared" si="164"/>
        <v>0</v>
      </c>
      <c r="CI41" s="14">
        <v>0</v>
      </c>
      <c r="CJ41" s="15">
        <v>0</v>
      </c>
      <c r="CK41" s="239">
        <v>0</v>
      </c>
      <c r="CL41" s="240">
        <f>CL87-CK41-CJ41-CI41</f>
        <v>1635.816</v>
      </c>
      <c r="CM41" s="352">
        <f t="shared" si="155"/>
        <v>1635.816</v>
      </c>
      <c r="CN41" s="14">
        <f>CN87</f>
        <v>-563.1</v>
      </c>
      <c r="CO41" s="15">
        <f>+CO87-CN41</f>
        <v>-13.100000000000023</v>
      </c>
      <c r="CP41" s="239">
        <f>CP87-CO41-CN41</f>
        <v>-113.39999999999998</v>
      </c>
      <c r="CQ41" s="240">
        <f>CQ87-CP41-CO41-CN41</f>
        <v>336.20000000000005</v>
      </c>
      <c r="CR41" s="239">
        <f t="shared" si="156"/>
        <v>-353.4</v>
      </c>
      <c r="CS41" s="14">
        <f>CS87</f>
        <v>-263</v>
      </c>
      <c r="CT41" s="15">
        <f>+CT87-CS41</f>
        <v>-113.5</v>
      </c>
      <c r="CU41" s="239">
        <f>CU87-CT41-CS41</f>
        <v>-14.5</v>
      </c>
      <c r="CV41" s="576">
        <f>CV87-CU41-CT41-CS41</f>
        <v>-16</v>
      </c>
      <c r="CW41" s="836">
        <f t="shared" si="157"/>
        <v>-407</v>
      </c>
      <c r="CX41" s="1052">
        <f>CX87</f>
        <v>329</v>
      </c>
      <c r="CY41" s="1041">
        <f>+CY87-CX41</f>
        <v>-221</v>
      </c>
      <c r="CZ41" s="1041">
        <f t="shared" si="158"/>
        <v>-170</v>
      </c>
      <c r="DA41" s="1041">
        <f t="shared" si="158"/>
        <v>42</v>
      </c>
      <c r="DB41" s="1045">
        <f t="shared" si="159"/>
        <v>-20</v>
      </c>
      <c r="DC41" s="1044"/>
      <c r="DD41" s="1044"/>
      <c r="DE41" s="1044"/>
      <c r="DF41" s="1044"/>
      <c r="DG41" s="1045">
        <f t="shared" si="160"/>
        <v>0</v>
      </c>
      <c r="DH41" s="1044"/>
      <c r="DI41" s="1044"/>
      <c r="DJ41" s="1044"/>
      <c r="DK41" s="1044"/>
      <c r="DL41" s="1045">
        <f t="shared" si="161"/>
        <v>0</v>
      </c>
      <c r="DM41" s="1044"/>
      <c r="DN41" s="1044"/>
      <c r="DO41" s="1044"/>
      <c r="DP41" s="1044"/>
      <c r="DQ41" s="1045">
        <f t="shared" si="165"/>
        <v>0</v>
      </c>
      <c r="DR41" s="4"/>
      <c r="DS41" s="112"/>
    </row>
    <row r="42" spans="1:131" ht="11.25" customHeight="1">
      <c r="B42" s="3"/>
      <c r="C42" s="4" t="s">
        <v>313</v>
      </c>
      <c r="D42" s="4"/>
      <c r="E42" s="4"/>
      <c r="F42" s="4"/>
      <c r="G42" s="14">
        <f>G88</f>
        <v>-0.17199999999999999</v>
      </c>
      <c r="H42" s="15">
        <f>H88-G42</f>
        <v>-6.4510000000000005</v>
      </c>
      <c r="I42" s="239">
        <f>I88-H42-G42</f>
        <v>-2.299999999999941E-2</v>
      </c>
      <c r="J42" s="240">
        <f>J88-I42-H42-G42</f>
        <v>-0.83399999999999941</v>
      </c>
      <c r="K42" s="14">
        <f>SUM(G42:J42)</f>
        <v>-7.4799999999999995</v>
      </c>
      <c r="L42" s="14">
        <f>L88</f>
        <v>-2.1000000000000001E-2</v>
      </c>
      <c r="M42" s="15">
        <f>M88-L42</f>
        <v>1.4000000000000002E-2</v>
      </c>
      <c r="N42" s="239">
        <f>N88-M42-L42</f>
        <v>-1.9999999999999983E-3</v>
      </c>
      <c r="O42" s="240">
        <f>O88-N42-M42-L42</f>
        <v>0.15699999999999997</v>
      </c>
      <c r="P42" s="15">
        <f>SUM(L42:O42)</f>
        <v>0.14799999999999996</v>
      </c>
      <c r="Q42" s="14">
        <f>Q88</f>
        <v>8.0000000000000002E-3</v>
      </c>
      <c r="R42" s="15">
        <f>R88-Q42</f>
        <v>-8.0000000000000002E-3</v>
      </c>
      <c r="S42" s="239">
        <f>S88-R42-Q42</f>
        <v>0</v>
      </c>
      <c r="T42" s="240">
        <f>T88-S42-R42-Q42</f>
        <v>4.3000000000000003E-2</v>
      </c>
      <c r="U42" s="15">
        <f>SUM(Q42:T42)</f>
        <v>4.3000000000000003E-2</v>
      </c>
      <c r="V42" s="14">
        <f>V88</f>
        <v>0</v>
      </c>
      <c r="W42" s="15">
        <f>W88-V42</f>
        <v>2.1999999999999999E-2</v>
      </c>
      <c r="X42" s="239">
        <f>X88-W42-V42</f>
        <v>-1.3999999999999999E-2</v>
      </c>
      <c r="Y42" s="240">
        <f>Y88-X42-W42-V42</f>
        <v>-1.6E-2</v>
      </c>
      <c r="Z42" s="15">
        <f>SUM(V42:Y42)</f>
        <v>-8.0000000000000002E-3</v>
      </c>
      <c r="AA42" s="14">
        <f>AA88</f>
        <v>0</v>
      </c>
      <c r="AB42" s="15">
        <f>AB88-AA42</f>
        <v>0</v>
      </c>
      <c r="AC42" s="239">
        <f>AC88-AB42-AA42</f>
        <v>0</v>
      </c>
      <c r="AD42" s="240">
        <f>AD88-AC42-AB42-AA42</f>
        <v>0</v>
      </c>
      <c r="AE42" s="15">
        <f>SUM(AA42:AD42)</f>
        <v>0</v>
      </c>
      <c r="AF42" s="14">
        <f>AF88</f>
        <v>-3.05</v>
      </c>
      <c r="AG42" s="15">
        <f>AG88-AF42</f>
        <v>8.6999999999999744E-2</v>
      </c>
      <c r="AH42" s="239">
        <f>AH88-AG42-AF42</f>
        <v>0</v>
      </c>
      <c r="AI42" s="240">
        <f>AI88-AH42-AG42-AF42</f>
        <v>0.48799999999999999</v>
      </c>
      <c r="AJ42" s="15">
        <f>SUM(AF42:AI42)</f>
        <v>-2.4750000000000001</v>
      </c>
      <c r="AK42" s="14">
        <f>AK88</f>
        <v>0</v>
      </c>
      <c r="AL42" s="15">
        <f>AL88-AK42</f>
        <v>0</v>
      </c>
      <c r="AM42" s="239">
        <f>AM88-AL42-AK42</f>
        <v>0</v>
      </c>
      <c r="AN42" s="240">
        <f>AN88-AM42-AL42-AK42</f>
        <v>0</v>
      </c>
      <c r="AO42" s="15">
        <f>SUM(AK42:AN42)</f>
        <v>0</v>
      </c>
      <c r="AP42" s="14">
        <f>AP88</f>
        <v>0</v>
      </c>
      <c r="AQ42" s="15">
        <f>AQ88-AP42</f>
        <v>0</v>
      </c>
      <c r="AR42" s="239">
        <f>AR88-AQ42-AP42</f>
        <v>0</v>
      </c>
      <c r="AS42" s="240">
        <f>AS88-AR42-AQ42-AP42</f>
        <v>0</v>
      </c>
      <c r="AT42" s="15">
        <f>SUM(AP42:AS42)</f>
        <v>0</v>
      </c>
      <c r="AU42" s="14">
        <f>AU88</f>
        <v>0</v>
      </c>
      <c r="AV42" s="15">
        <f>AV88-AU42</f>
        <v>0</v>
      </c>
      <c r="AW42" s="239">
        <f>AW88-AV42-AU42</f>
        <v>-1.7250000000000001</v>
      </c>
      <c r="AX42" s="240">
        <f>AX88-AW42-AV42-AU42</f>
        <v>-2.8999999999999915E-2</v>
      </c>
      <c r="AY42" s="15">
        <f>SUM(AU42:AX42)</f>
        <v>-1.754</v>
      </c>
      <c r="AZ42" s="14">
        <f>AZ88</f>
        <v>0</v>
      </c>
      <c r="BA42" s="15">
        <f>BA88-AZ42</f>
        <v>0</v>
      </c>
      <c r="BB42" s="239">
        <f>BB88-BA42-AZ42</f>
        <v>0</v>
      </c>
      <c r="BC42" s="240">
        <f>BC88-BB42-BA42-AZ42</f>
        <v>0</v>
      </c>
      <c r="BD42" s="15">
        <f>SUM(AZ42:BC42)</f>
        <v>0</v>
      </c>
      <c r="BE42" s="14">
        <f>BE88</f>
        <v>0</v>
      </c>
      <c r="BF42" s="15">
        <f>BF88-BE42</f>
        <v>0</v>
      </c>
      <c r="BG42" s="239">
        <f>BG88-BF42-BE42</f>
        <v>0</v>
      </c>
      <c r="BH42" s="240">
        <f>BH88-BG42-BF42-BE42</f>
        <v>0</v>
      </c>
      <c r="BI42" s="15">
        <f>SUM(BE42:BH42)</f>
        <v>0</v>
      </c>
      <c r="BJ42" s="14">
        <f>BJ88</f>
        <v>0</v>
      </c>
      <c r="BK42" s="15">
        <f>BK88-BJ42</f>
        <v>0</v>
      </c>
      <c r="BL42" s="239">
        <f>BL88-BK42-BJ42</f>
        <v>0</v>
      </c>
      <c r="BM42" s="240">
        <f>BM88-BL42-BK42-BJ42</f>
        <v>0</v>
      </c>
      <c r="BN42" s="15">
        <f>SUM(BJ42:BM42)</f>
        <v>0</v>
      </c>
      <c r="BO42" s="14">
        <f>BO88</f>
        <v>0</v>
      </c>
      <c r="BP42" s="15">
        <f>BP88-BO42</f>
        <v>0</v>
      </c>
      <c r="BQ42" s="239">
        <f>BQ88-BP42-BO42</f>
        <v>0</v>
      </c>
      <c r="BR42" s="240">
        <f>BR88-BQ42-BP42-BO42</f>
        <v>0</v>
      </c>
      <c r="BS42" s="15">
        <f>SUM(BO42:BR42)</f>
        <v>0</v>
      </c>
      <c r="BT42" s="14">
        <f>BT88</f>
        <v>0</v>
      </c>
      <c r="BU42" s="15">
        <f>BU88-BT42</f>
        <v>0</v>
      </c>
      <c r="BV42" s="239">
        <f>BV88-BU42-BT42</f>
        <v>0</v>
      </c>
      <c r="BW42" s="240">
        <f>BW88-BV42-BU42-BT42</f>
        <v>0</v>
      </c>
      <c r="BX42" s="15">
        <f>SUM(BT42:BW42)</f>
        <v>0</v>
      </c>
      <c r="BY42" s="14">
        <f>BY88</f>
        <v>0</v>
      </c>
      <c r="BZ42" s="15">
        <f>BZ88-BY42</f>
        <v>0</v>
      </c>
      <c r="CA42" s="239">
        <f>CA88-BZ42-BY42</f>
        <v>0</v>
      </c>
      <c r="CB42" s="240">
        <f>CB88-CA42-BZ42-BY42</f>
        <v>0</v>
      </c>
      <c r="CC42" s="15">
        <f t="shared" si="163"/>
        <v>0</v>
      </c>
      <c r="CD42" s="14">
        <f>CD88</f>
        <v>0</v>
      </c>
      <c r="CE42" s="15">
        <f>CE88-CD42</f>
        <v>0</v>
      </c>
      <c r="CF42" s="239">
        <f>CF88-CE42-CD42</f>
        <v>0</v>
      </c>
      <c r="CG42" s="240">
        <f>CG88-CF42-CE42-CD42</f>
        <v>0</v>
      </c>
      <c r="CH42" s="15">
        <f t="shared" si="164"/>
        <v>0</v>
      </c>
      <c r="CI42" s="14">
        <f>CI88</f>
        <v>0</v>
      </c>
      <c r="CJ42" s="15">
        <f>CJ88-CI42</f>
        <v>0</v>
      </c>
      <c r="CK42" s="239">
        <f>CK88-CJ42-CI42</f>
        <v>-1.5</v>
      </c>
      <c r="CL42" s="240">
        <f>CL88-CK42-CJ42-CI42</f>
        <v>-7.593</v>
      </c>
      <c r="CM42" s="352">
        <f t="shared" si="155"/>
        <v>-9.093</v>
      </c>
      <c r="CN42" s="14">
        <f>CN88</f>
        <v>-4.9000000000432919E-2</v>
      </c>
      <c r="CO42" s="15">
        <f>+CO88-CN42</f>
        <v>0</v>
      </c>
      <c r="CP42" s="239">
        <f>CP88-CO42-CN42</f>
        <v>0</v>
      </c>
      <c r="CQ42" s="240">
        <f>CQ88-CP42-CO42-CN42</f>
        <v>4.5471959531084849E-13</v>
      </c>
      <c r="CR42" s="239">
        <f t="shared" si="156"/>
        <v>-4.89999999999782E-2</v>
      </c>
      <c r="CS42" s="14">
        <f>CS88</f>
        <v>0</v>
      </c>
      <c r="CT42" s="15">
        <f>+CT88-CS42</f>
        <v>0</v>
      </c>
      <c r="CU42" s="239">
        <f>CU88-CT42-CS42</f>
        <v>0</v>
      </c>
      <c r="CV42" s="576">
        <f>CV88-CU42-CT42-CS42</f>
        <v>0</v>
      </c>
      <c r="CW42" s="836">
        <f t="shared" si="157"/>
        <v>0</v>
      </c>
      <c r="CX42" s="1052">
        <f>CX88</f>
        <v>0</v>
      </c>
      <c r="CY42" s="1041">
        <f>+CY88-CX42</f>
        <v>-89</v>
      </c>
      <c r="CZ42" s="1041">
        <f t="shared" si="158"/>
        <v>-90</v>
      </c>
      <c r="DA42" s="1041">
        <f t="shared" si="158"/>
        <v>-86</v>
      </c>
      <c r="DB42" s="1045">
        <f t="shared" si="159"/>
        <v>-265</v>
      </c>
      <c r="DC42" s="1044">
        <f>-IS!DC107*IS!DC86</f>
        <v>-117.47026510101298</v>
      </c>
      <c r="DD42" s="1044">
        <f>-IS!DD107*IS!DD86</f>
        <v>-117.15236725598209</v>
      </c>
      <c r="DE42" s="1044">
        <f>-IS!DE107*IS!DE86</f>
        <v>-116.84607436581017</v>
      </c>
      <c r="DF42" s="1044">
        <f>-IS!DF107*IS!DF86</f>
        <v>-116.5511588823627</v>
      </c>
      <c r="DG42" s="1045">
        <f t="shared" si="160"/>
        <v>-468.01986560516792</v>
      </c>
      <c r="DH42" s="1044">
        <f>-IS!DH107*IS!DH86</f>
        <v>-116.08149238059828</v>
      </c>
      <c r="DI42" s="1044">
        <f>-IS!DI107*IS!DI86</f>
        <v>-115.62640668970721</v>
      </c>
      <c r="DJ42" s="1044">
        <f>-IS!DJ107*IS!DJ86</f>
        <v>-115.18561591143708</v>
      </c>
      <c r="DK42" s="1044">
        <f>-IS!DK107*IS!DK86</f>
        <v>-114.75883975338353</v>
      </c>
      <c r="DL42" s="1045">
        <f t="shared" si="161"/>
        <v>-461.6523547351261</v>
      </c>
      <c r="DM42" s="1044">
        <f>-IS!DM107*IS!DM86</f>
        <v>-114.34580341907173</v>
      </c>
      <c r="DN42" s="1044">
        <f>-IS!DN107*IS!DN86</f>
        <v>-113.94623750019301</v>
      </c>
      <c r="DO42" s="1044">
        <f>-IS!DO107*IS!DO86</f>
        <v>-113.55987787095458</v>
      </c>
      <c r="DP42" s="1044">
        <f>-IS!DP107*IS!DP86</f>
        <v>-113.18646558450074</v>
      </c>
      <c r="DQ42" s="1045">
        <f t="shared" si="165"/>
        <v>-455.03838437472007</v>
      </c>
      <c r="DR42" s="4"/>
      <c r="DS42" s="112"/>
    </row>
    <row r="43" spans="1:131" s="208" customFormat="1" ht="11.25" customHeight="1">
      <c r="A43" s="206"/>
      <c r="B43" s="73" t="s">
        <v>99</v>
      </c>
      <c r="C43" s="74"/>
      <c r="D43" s="207"/>
      <c r="E43" s="207"/>
      <c r="F43" s="207"/>
      <c r="G43" s="195">
        <f t="shared" ref="G43:AS43" si="166">SUM(G36:G42)</f>
        <v>-0.22999999999999998</v>
      </c>
      <c r="H43" s="194">
        <f t="shared" si="166"/>
        <v>16.138999999999999</v>
      </c>
      <c r="I43" s="241">
        <f t="shared" si="166"/>
        <v>-8.99999999999989E-3</v>
      </c>
      <c r="J43" s="242">
        <f t="shared" si="166"/>
        <v>0.1970000000000014</v>
      </c>
      <c r="K43" s="195">
        <f>SUM(G43:J43)</f>
        <v>16.097000000000001</v>
      </c>
      <c r="L43" s="195">
        <f t="shared" si="166"/>
        <v>7.4999999999999997E-2</v>
      </c>
      <c r="M43" s="194">
        <f t="shared" si="166"/>
        <v>0.14100000000000001</v>
      </c>
      <c r="N43" s="241">
        <f t="shared" si="166"/>
        <v>3.2000000000000001E-2</v>
      </c>
      <c r="O43" s="242">
        <f t="shared" si="166"/>
        <v>0.45100000000000001</v>
      </c>
      <c r="P43" s="194">
        <f>SUM(L43:O43)</f>
        <v>0.69900000000000007</v>
      </c>
      <c r="Q43" s="195">
        <f t="shared" si="166"/>
        <v>0.35899999999999999</v>
      </c>
      <c r="R43" s="194">
        <f t="shared" si="166"/>
        <v>0.55800000000000005</v>
      </c>
      <c r="S43" s="241">
        <f t="shared" si="166"/>
        <v>0.43999999999999995</v>
      </c>
      <c r="T43" s="242">
        <f t="shared" si="166"/>
        <v>0.40599999999999997</v>
      </c>
      <c r="U43" s="194">
        <f>SUM(Q43:T43)</f>
        <v>1.7629999999999999</v>
      </c>
      <c r="V43" s="195">
        <f t="shared" si="166"/>
        <v>0.75600000000000001</v>
      </c>
      <c r="W43" s="194">
        <f t="shared" si="166"/>
        <v>2.379</v>
      </c>
      <c r="X43" s="241">
        <f t="shared" si="166"/>
        <v>1.6909999999999994</v>
      </c>
      <c r="Y43" s="242">
        <f t="shared" si="166"/>
        <v>1.1570000000000003</v>
      </c>
      <c r="Z43" s="194">
        <f>SUM(V43:Y43)</f>
        <v>5.9829999999999988</v>
      </c>
      <c r="AA43" s="195">
        <f t="shared" si="166"/>
        <v>0.67400000000000004</v>
      </c>
      <c r="AB43" s="194">
        <f t="shared" si="166"/>
        <v>5.3049999999999997</v>
      </c>
      <c r="AC43" s="241">
        <f t="shared" si="166"/>
        <v>6.9810000000000008</v>
      </c>
      <c r="AD43" s="242">
        <f t="shared" si="166"/>
        <v>7.0829999999999975</v>
      </c>
      <c r="AE43" s="194">
        <f>SUM(AA43:AD43)</f>
        <v>20.042999999999999</v>
      </c>
      <c r="AF43" s="195">
        <f t="shared" si="166"/>
        <v>-0.22699999999999987</v>
      </c>
      <c r="AG43" s="194">
        <f t="shared" si="166"/>
        <v>6.1429999999999989</v>
      </c>
      <c r="AH43" s="241">
        <f t="shared" si="166"/>
        <v>9.3179999999999996</v>
      </c>
      <c r="AI43" s="242">
        <f t="shared" si="166"/>
        <v>6.5429999999999993</v>
      </c>
      <c r="AJ43" s="194">
        <f>SUM(AF43:AI43)</f>
        <v>21.776999999999997</v>
      </c>
      <c r="AK43" s="195">
        <f t="shared" si="166"/>
        <v>4.5430000000000001</v>
      </c>
      <c r="AL43" s="194">
        <f t="shared" si="166"/>
        <v>8.3520000000000003</v>
      </c>
      <c r="AM43" s="241">
        <f t="shared" si="166"/>
        <v>10.804000000000002</v>
      </c>
      <c r="AN43" s="242">
        <f t="shared" si="166"/>
        <v>13.068999999999999</v>
      </c>
      <c r="AO43" s="194">
        <f>SUM(AK43:AN43)</f>
        <v>36.768000000000001</v>
      </c>
      <c r="AP43" s="195">
        <f t="shared" si="166"/>
        <v>11.182</v>
      </c>
      <c r="AQ43" s="194">
        <f t="shared" si="166"/>
        <v>11.828999999999999</v>
      </c>
      <c r="AR43" s="241">
        <f t="shared" si="166"/>
        <v>11.476000000000001</v>
      </c>
      <c r="AS43" s="242">
        <f t="shared" si="166"/>
        <v>12.964</v>
      </c>
      <c r="AT43" s="194">
        <f>SUM(AP43:AS43)</f>
        <v>47.451000000000001</v>
      </c>
      <c r="AU43" s="195">
        <f t="shared" ref="AU43:CG43" si="167">SUM(AU36:AU42)</f>
        <v>22.667000000000002</v>
      </c>
      <c r="AV43" s="194">
        <f t="shared" si="167"/>
        <v>14.768000000000001</v>
      </c>
      <c r="AW43" s="241">
        <f t="shared" si="167"/>
        <v>20.96</v>
      </c>
      <c r="AX43" s="242">
        <f t="shared" si="167"/>
        <v>24.499999999999996</v>
      </c>
      <c r="AY43" s="194">
        <f>SUM(AU43:AX43)</f>
        <v>82.894999999999996</v>
      </c>
      <c r="AZ43" s="195">
        <f t="shared" si="167"/>
        <v>40.6</v>
      </c>
      <c r="BA43" s="194">
        <f t="shared" si="167"/>
        <v>25.788999999999998</v>
      </c>
      <c r="BB43" s="241">
        <f t="shared" si="167"/>
        <v>17.936000000000003</v>
      </c>
      <c r="BC43" s="242">
        <f t="shared" si="167"/>
        <v>-80.317000000000007</v>
      </c>
      <c r="BD43" s="194">
        <f>SUM(AZ43:BC43)</f>
        <v>4.0079999999999956</v>
      </c>
      <c r="BE43" s="195">
        <f t="shared" si="167"/>
        <v>16.875999999999998</v>
      </c>
      <c r="BF43" s="194">
        <f t="shared" si="167"/>
        <v>38.573</v>
      </c>
      <c r="BG43" s="241">
        <f t="shared" si="167"/>
        <v>-18.212</v>
      </c>
      <c r="BH43" s="242">
        <f t="shared" si="167"/>
        <v>6.7969999999999935</v>
      </c>
      <c r="BI43" s="194">
        <f>SUM(BE43:BH43)</f>
        <v>44.033999999999992</v>
      </c>
      <c r="BJ43" s="195">
        <f t="shared" si="167"/>
        <v>-2.2990000000000013</v>
      </c>
      <c r="BK43" s="194">
        <f t="shared" si="167"/>
        <v>12.432</v>
      </c>
      <c r="BL43" s="241">
        <f t="shared" si="167"/>
        <v>21.463999999999999</v>
      </c>
      <c r="BM43" s="242">
        <f t="shared" si="167"/>
        <v>45.351000000000006</v>
      </c>
      <c r="BN43" s="194">
        <f>SUM(BJ43:BM43)</f>
        <v>76.948000000000008</v>
      </c>
      <c r="BO43" s="195">
        <f t="shared" si="167"/>
        <v>43.541000000000004</v>
      </c>
      <c r="BP43" s="194">
        <f t="shared" si="167"/>
        <v>29.904000000000003</v>
      </c>
      <c r="BQ43" s="241">
        <f t="shared" si="167"/>
        <v>61.026000000000003</v>
      </c>
      <c r="BR43" s="242">
        <f t="shared" si="167"/>
        <v>-14.467999999999996</v>
      </c>
      <c r="BS43" s="194">
        <f>SUM(BO43:BR43)</f>
        <v>120.00300000000001</v>
      </c>
      <c r="BT43" s="195">
        <f t="shared" si="167"/>
        <v>-49.044000000000004</v>
      </c>
      <c r="BU43" s="194">
        <f t="shared" si="167"/>
        <v>-80.762999999999991</v>
      </c>
      <c r="BV43" s="241">
        <f t="shared" si="167"/>
        <v>-146.92399999999998</v>
      </c>
      <c r="BW43" s="242">
        <f t="shared" si="167"/>
        <v>21.275999999999996</v>
      </c>
      <c r="BX43" s="194">
        <f>SUM(BT43:BW43)</f>
        <v>-255.45499999999998</v>
      </c>
      <c r="BY43" s="195">
        <f t="shared" si="167"/>
        <v>7.1170000000000044</v>
      </c>
      <c r="BZ43" s="194">
        <f t="shared" si="167"/>
        <v>-348.52000000000004</v>
      </c>
      <c r="CA43" s="241">
        <f t="shared" si="167"/>
        <v>-25.648999999999937</v>
      </c>
      <c r="CB43" s="242">
        <f t="shared" si="167"/>
        <v>24.063999999999986</v>
      </c>
      <c r="CC43" s="194">
        <f t="shared" si="163"/>
        <v>-342.988</v>
      </c>
      <c r="CD43" s="195">
        <f t="shared" si="167"/>
        <v>16.931999999999999</v>
      </c>
      <c r="CE43" s="194">
        <f t="shared" si="167"/>
        <v>-106.31299999999999</v>
      </c>
      <c r="CF43" s="241">
        <f t="shared" si="167"/>
        <v>28.331999999999983</v>
      </c>
      <c r="CG43" s="242">
        <f t="shared" si="167"/>
        <v>30.182000000000013</v>
      </c>
      <c r="CH43" s="194">
        <f t="shared" si="164"/>
        <v>-30.866999999999994</v>
      </c>
      <c r="CI43" s="195">
        <f t="shared" ref="CI43:DK43" si="168">SUM(CI36:CI42)</f>
        <v>-7</v>
      </c>
      <c r="CJ43" s="194">
        <f t="shared" si="168"/>
        <v>-92.987999999999971</v>
      </c>
      <c r="CK43" s="241">
        <f t="shared" si="168"/>
        <v>-8.4000000000000288</v>
      </c>
      <c r="CL43" s="242">
        <f t="shared" si="168"/>
        <v>1611.798</v>
      </c>
      <c r="CM43" s="355">
        <f t="shared" si="155"/>
        <v>1503.41</v>
      </c>
      <c r="CN43" s="195">
        <f t="shared" si="168"/>
        <v>-557.3490000000005</v>
      </c>
      <c r="CO43" s="194">
        <f t="shared" si="168"/>
        <v>-149.10000000000002</v>
      </c>
      <c r="CP43" s="241">
        <f t="shared" si="168"/>
        <v>-248.49999999999994</v>
      </c>
      <c r="CQ43" s="242">
        <f t="shared" si="168"/>
        <v>306.80000000000047</v>
      </c>
      <c r="CR43" s="241">
        <f t="shared" si="156"/>
        <v>-648.14900000000011</v>
      </c>
      <c r="CS43" s="195">
        <f t="shared" si="168"/>
        <v>-467.79999999999995</v>
      </c>
      <c r="CT43" s="194">
        <f t="shared" si="168"/>
        <v>-143.30000000000004</v>
      </c>
      <c r="CU43" s="241">
        <f t="shared" si="168"/>
        <v>-118.49999999999997</v>
      </c>
      <c r="CV43" s="585">
        <f t="shared" si="168"/>
        <v>10.600000000000001</v>
      </c>
      <c r="CW43" s="737">
        <f>SUM(CW36:CW42)</f>
        <v>-719</v>
      </c>
      <c r="CX43" s="1053">
        <f>SUM(CX36:CX42)</f>
        <v>-1124</v>
      </c>
      <c r="CY43" s="1048">
        <f>SUM(CY36:CY42)</f>
        <v>-297</v>
      </c>
      <c r="CZ43" s="1048">
        <f>SUM(CZ36:CZ42)</f>
        <v>-231</v>
      </c>
      <c r="DA43" s="1046">
        <f t="shared" si="168"/>
        <v>-333</v>
      </c>
      <c r="DB43" s="1047">
        <f>SUM(DB36:DB42)</f>
        <v>-1985</v>
      </c>
      <c r="DC43" s="1046">
        <f t="shared" si="168"/>
        <v>-322.47026510101296</v>
      </c>
      <c r="DD43" s="1046">
        <f t="shared" si="168"/>
        <v>-347.15236725598209</v>
      </c>
      <c r="DE43" s="1046">
        <f t="shared" si="168"/>
        <v>-321.84607436581018</v>
      </c>
      <c r="DF43" s="1046">
        <f t="shared" si="168"/>
        <v>-346.5511588823627</v>
      </c>
      <c r="DG43" s="1047">
        <f>SUM(DG36:DG42)</f>
        <v>-1338.019865605168</v>
      </c>
      <c r="DH43" s="1046">
        <f t="shared" si="168"/>
        <v>-396.08149238059826</v>
      </c>
      <c r="DI43" s="1046">
        <f t="shared" si="168"/>
        <v>-420.62640668970721</v>
      </c>
      <c r="DJ43" s="1046">
        <f t="shared" si="168"/>
        <v>-395.18561591143708</v>
      </c>
      <c r="DK43" s="1046">
        <f t="shared" si="168"/>
        <v>-419.75883975338354</v>
      </c>
      <c r="DL43" s="1047">
        <f>SUM(DL36:DL42)</f>
        <v>-1631.6523547351262</v>
      </c>
      <c r="DM43" s="1046">
        <f t="shared" ref="DM43:DP43" si="169">SUM(DM36:DM42)</f>
        <v>-394.34580341907173</v>
      </c>
      <c r="DN43" s="1046">
        <f t="shared" si="169"/>
        <v>-418.94623750019298</v>
      </c>
      <c r="DO43" s="1046">
        <f t="shared" si="169"/>
        <v>-393.55987787095455</v>
      </c>
      <c r="DP43" s="1046">
        <f t="shared" si="169"/>
        <v>-418.18646558450075</v>
      </c>
      <c r="DQ43" s="1047">
        <f>SUM(DQ36:DQ42)</f>
        <v>-1625.03838437472</v>
      </c>
      <c r="DR43" s="840"/>
      <c r="DS43" s="128"/>
      <c r="DT43"/>
      <c r="DU43"/>
      <c r="DV43"/>
      <c r="DW43"/>
      <c r="DX43"/>
      <c r="DY43"/>
      <c r="DZ43" s="188"/>
      <c r="EA43" s="188"/>
    </row>
    <row r="44" spans="1:131" ht="11.25" customHeight="1">
      <c r="B44" s="3"/>
      <c r="C44" s="4"/>
      <c r="D44" s="4"/>
      <c r="E44" s="4"/>
      <c r="F44" s="4"/>
      <c r="G44" s="14"/>
      <c r="H44" s="15"/>
      <c r="I44" s="15"/>
      <c r="J44" s="16"/>
      <c r="K44" s="14"/>
      <c r="L44" s="14"/>
      <c r="M44" s="15"/>
      <c r="N44" s="15"/>
      <c r="O44" s="16"/>
      <c r="P44" s="15"/>
      <c r="Q44" s="14"/>
      <c r="R44" s="15"/>
      <c r="S44" s="15"/>
      <c r="T44" s="16"/>
      <c r="U44" s="15"/>
      <c r="V44" s="14"/>
      <c r="W44" s="15"/>
      <c r="X44" s="15"/>
      <c r="Y44" s="16"/>
      <c r="Z44" s="15"/>
      <c r="AA44" s="14"/>
      <c r="AB44" s="15"/>
      <c r="AC44" s="15"/>
      <c r="AD44" s="16"/>
      <c r="AE44" s="15"/>
      <c r="AF44" s="14"/>
      <c r="AG44" s="15"/>
      <c r="AH44" s="15"/>
      <c r="AI44" s="16"/>
      <c r="AJ44" s="15"/>
      <c r="AK44" s="14"/>
      <c r="AL44" s="15"/>
      <c r="AM44" s="15"/>
      <c r="AN44" s="16"/>
      <c r="AO44" s="15"/>
      <c r="AP44" s="14"/>
      <c r="AQ44" s="15"/>
      <c r="AR44" s="15"/>
      <c r="AS44" s="16"/>
      <c r="AT44" s="15"/>
      <c r="AU44" s="14"/>
      <c r="AV44" s="15"/>
      <c r="AW44" s="15"/>
      <c r="AX44" s="16"/>
      <c r="AY44" s="15"/>
      <c r="AZ44" s="14"/>
      <c r="BA44" s="15"/>
      <c r="BB44" s="15"/>
      <c r="BC44" s="16"/>
      <c r="BD44" s="15"/>
      <c r="BE44" s="14"/>
      <c r="BF44" s="15"/>
      <c r="BG44" s="15"/>
      <c r="BH44" s="16"/>
      <c r="BI44" s="15"/>
      <c r="BJ44" s="14"/>
      <c r="BK44" s="15"/>
      <c r="BL44" s="15"/>
      <c r="BM44" s="16"/>
      <c r="BN44" s="15"/>
      <c r="BO44" s="14"/>
      <c r="BP44" s="15"/>
      <c r="BQ44" s="15"/>
      <c r="BR44" s="16"/>
      <c r="BS44" s="15"/>
      <c r="BT44" s="14"/>
      <c r="BU44" s="15"/>
      <c r="BV44" s="15"/>
      <c r="BW44" s="16"/>
      <c r="BX44" s="15"/>
      <c r="BY44" s="14"/>
      <c r="BZ44" s="15"/>
      <c r="CA44" s="15"/>
      <c r="CB44" s="16"/>
      <c r="CC44" s="15"/>
      <c r="CD44" s="14"/>
      <c r="CE44" s="15"/>
      <c r="CF44" s="15"/>
      <c r="CG44" s="16"/>
      <c r="CH44" s="15"/>
      <c r="CI44" s="14"/>
      <c r="CJ44" s="15"/>
      <c r="CK44" s="15"/>
      <c r="CL44" s="16"/>
      <c r="CM44" s="352"/>
      <c r="CN44" s="14"/>
      <c r="CO44" s="15"/>
      <c r="CP44" s="15"/>
      <c r="CQ44" s="16"/>
      <c r="CR44" s="15"/>
      <c r="CS44" s="14"/>
      <c r="CT44" s="15"/>
      <c r="CU44" s="15"/>
      <c r="CV44" s="15"/>
      <c r="CW44" s="352"/>
      <c r="CX44" s="1052"/>
      <c r="CY44" s="1050"/>
      <c r="CZ44" s="1050"/>
      <c r="DA44" s="1050"/>
      <c r="DB44" s="1038"/>
      <c r="DC44" s="1041"/>
      <c r="DD44" s="1041"/>
      <c r="DE44" s="1041"/>
      <c r="DF44" s="1041"/>
      <c r="DG44" s="1038"/>
      <c r="DH44" s="1041"/>
      <c r="DI44" s="1041"/>
      <c r="DJ44" s="1041"/>
      <c r="DK44" s="1041"/>
      <c r="DL44" s="1038"/>
      <c r="DM44" s="1041"/>
      <c r="DN44" s="1041"/>
      <c r="DO44" s="1041"/>
      <c r="DP44" s="1041"/>
      <c r="DQ44" s="1038"/>
      <c r="DR44" s="3"/>
      <c r="DS44" s="112"/>
    </row>
    <row r="45" spans="1:131" ht="11.25" customHeight="1">
      <c r="B45" s="3" t="s">
        <v>100</v>
      </c>
      <c r="C45" s="4"/>
      <c r="D45" s="4"/>
      <c r="E45" s="4"/>
      <c r="F45" s="4"/>
      <c r="G45" s="14">
        <f>G91</f>
        <v>0</v>
      </c>
      <c r="H45" s="15">
        <f>H91-G45</f>
        <v>0</v>
      </c>
      <c r="I45" s="239">
        <f>I91-H45-G45</f>
        <v>0</v>
      </c>
      <c r="J45" s="240">
        <f>J91-I45-H45-G45</f>
        <v>-8.9999999999999993E-3</v>
      </c>
      <c r="K45" s="14">
        <f>SUM(G45:J45)</f>
        <v>-8.9999999999999993E-3</v>
      </c>
      <c r="L45" s="14">
        <f>L91</f>
        <v>-5.0000000000000001E-3</v>
      </c>
      <c r="M45" s="15">
        <f>M91-L45</f>
        <v>-8.0000000000000002E-3</v>
      </c>
      <c r="N45" s="239">
        <f>N91-M45-L45</f>
        <v>2.8000000000000001E-2</v>
      </c>
      <c r="O45" s="240">
        <f>O91-N45-M45-L45</f>
        <v>-1.3000000000000001E-2</v>
      </c>
      <c r="P45" s="15">
        <f>SUM(L45:O45)</f>
        <v>1.9999999999999983E-3</v>
      </c>
      <c r="Q45" s="14">
        <f>Q91</f>
        <v>4.0000000000000001E-3</v>
      </c>
      <c r="R45" s="15">
        <f>R91-Q45</f>
        <v>-2.9000000000000001E-2</v>
      </c>
      <c r="S45" s="239">
        <f>S91-R45-Q45</f>
        <v>-1.9999999999999997E-2</v>
      </c>
      <c r="T45" s="240">
        <f>T91-S45-R45-Q45</f>
        <v>3.9999999999999966E-3</v>
      </c>
      <c r="U45" s="15">
        <f>SUM(Q45:T45)</f>
        <v>-4.1000000000000002E-2</v>
      </c>
      <c r="V45" s="14">
        <f>V91</f>
        <v>-0.11600000000000001</v>
      </c>
      <c r="W45" s="15">
        <f>W91-V45</f>
        <v>7.0000000000000062E-3</v>
      </c>
      <c r="X45" s="239">
        <f>X91-W45-V45</f>
        <v>0.05</v>
      </c>
      <c r="Y45" s="240">
        <f>Y91-X45-W45-V45</f>
        <v>-4.9000000000000002E-2</v>
      </c>
      <c r="Z45" s="15">
        <f>SUM(V45:Y45)</f>
        <v>-0.108</v>
      </c>
      <c r="AA45" s="14">
        <f>AA91</f>
        <v>-4.5999999999999999E-2</v>
      </c>
      <c r="AB45" s="15">
        <f>AB91-AA45</f>
        <v>0.14200000000000002</v>
      </c>
      <c r="AC45" s="239">
        <f>AC91-AB45-AA45</f>
        <v>-0.19400000000000001</v>
      </c>
      <c r="AD45" s="240">
        <f>AD91-AC45-AB45-AA45</f>
        <v>7.0999999999999994E-2</v>
      </c>
      <c r="AE45" s="15">
        <f>SUM(AA45:AD45)</f>
        <v>-2.6999999999999996E-2</v>
      </c>
      <c r="AF45" s="14">
        <f>AF91</f>
        <v>-0.01</v>
      </c>
      <c r="AG45" s="15">
        <f>AG91-AF45</f>
        <v>0.14000000000000001</v>
      </c>
      <c r="AH45" s="239">
        <f>AH91-AG45-AF45</f>
        <v>0.29199999999999998</v>
      </c>
      <c r="AI45" s="240">
        <f>AI91-AH45-AG45-AF45</f>
        <v>3.7629999999999995</v>
      </c>
      <c r="AJ45" s="15">
        <f>SUM(AF45:AI45)</f>
        <v>4.1849999999999996</v>
      </c>
      <c r="AK45" s="14">
        <f>AK91</f>
        <v>1.522</v>
      </c>
      <c r="AL45" s="15">
        <f>AL91-AK45</f>
        <v>-0.4890000000000001</v>
      </c>
      <c r="AM45" s="239">
        <f>AM91-AL45-AK45</f>
        <v>-0.5149999999999999</v>
      </c>
      <c r="AN45" s="240">
        <f>AN91-AM45-AL45-AK45</f>
        <v>2.9999999999999991</v>
      </c>
      <c r="AO45" s="15">
        <f>SUM(AK45:AN45)</f>
        <v>3.5179999999999989</v>
      </c>
      <c r="AP45" s="14">
        <f>AP91</f>
        <v>-0.56999999999999995</v>
      </c>
      <c r="AQ45" s="15">
        <f>AQ91-AP45</f>
        <v>-1.9660000000000002</v>
      </c>
      <c r="AR45" s="239">
        <f>AR91-AQ45-AP45</f>
        <v>-1.0249999999999999</v>
      </c>
      <c r="AS45" s="240">
        <f>AS91-AR45-AQ45-AP45</f>
        <v>-1.4619999999999997</v>
      </c>
      <c r="AT45" s="15">
        <f>SUM(AP45:AS45)</f>
        <v>-5.0229999999999997</v>
      </c>
      <c r="AU45" s="14">
        <f>AU91</f>
        <v>0.39300000000000002</v>
      </c>
      <c r="AV45" s="15">
        <f>AV91-AU45</f>
        <v>3.6880000000000006</v>
      </c>
      <c r="AW45" s="239">
        <f>AW91-AV45-AU45</f>
        <v>0.10399999999999898</v>
      </c>
      <c r="AX45" s="240">
        <f>AX91-AW45-AV45-AU45</f>
        <v>1.381</v>
      </c>
      <c r="AY45" s="15">
        <f>SUM(AU45:AX45)</f>
        <v>5.5659999999999998</v>
      </c>
      <c r="AZ45" s="14">
        <f>AZ91</f>
        <v>0.36299999999999999</v>
      </c>
      <c r="BA45" s="15">
        <f>BA91-AZ45</f>
        <v>0.66900000000000004</v>
      </c>
      <c r="BB45" s="239">
        <f>BB91-BA45-AZ45</f>
        <v>1.976</v>
      </c>
      <c r="BC45" s="240">
        <f>BC91-BB45-BA45-AZ45</f>
        <v>-8.8999999999999968E-2</v>
      </c>
      <c r="BD45" s="15">
        <f>SUM(AZ45:BC45)</f>
        <v>2.919</v>
      </c>
      <c r="BE45" s="14">
        <f>BE91</f>
        <v>4.601</v>
      </c>
      <c r="BF45" s="15">
        <f>BF91-BE45</f>
        <v>-1.4180000000000001</v>
      </c>
      <c r="BG45" s="239">
        <f>BG91-BF45-BE45</f>
        <v>-14.341999999999999</v>
      </c>
      <c r="BH45" s="240">
        <f>BH91-BG45-BF45-BE45</f>
        <v>-12.353000000000002</v>
      </c>
      <c r="BI45" s="15">
        <f>SUM(BE45:BH45)</f>
        <v>-23.512</v>
      </c>
      <c r="BJ45" s="14">
        <f>BJ91</f>
        <v>-5.7439999999999998</v>
      </c>
      <c r="BK45" s="15">
        <f>BK91-BJ45</f>
        <v>15.007999999999999</v>
      </c>
      <c r="BL45" s="239">
        <f>BL91-BK45-BJ45</f>
        <v>1.875</v>
      </c>
      <c r="BM45" s="240">
        <f>BM91-BL45-BK45-BJ45</f>
        <v>0.21600000000000108</v>
      </c>
      <c r="BN45" s="15">
        <f>SUM(BJ45:BM45)</f>
        <v>11.355</v>
      </c>
      <c r="BO45" s="14">
        <f>BO91</f>
        <v>-8.7159999999999993</v>
      </c>
      <c r="BP45" s="15">
        <f>BP91-BO45</f>
        <v>-5.6100000000000012</v>
      </c>
      <c r="BQ45" s="239">
        <f>BQ91-BP45-BO45</f>
        <v>16.227</v>
      </c>
      <c r="BR45" s="240">
        <f>BR91-BQ45-BP45-BO45</f>
        <v>0.37100000000000044</v>
      </c>
      <c r="BS45" s="15">
        <f>SUM(BO45:BR45)</f>
        <v>2.2720000000000002</v>
      </c>
      <c r="BT45" s="14">
        <f>BT91</f>
        <v>8.6020000000000003</v>
      </c>
      <c r="BU45" s="15">
        <f>BU91-BT45</f>
        <v>8.9370000000000012</v>
      </c>
      <c r="BV45" s="239">
        <f>BV91-BU45-BT45</f>
        <v>-13.595000000000002</v>
      </c>
      <c r="BW45" s="240">
        <f>BW91-BV45-BU45-BT45</f>
        <v>-3.4229999999999983</v>
      </c>
      <c r="BX45" s="15">
        <f>SUM(BT45:BW45)</f>
        <v>0.5210000000000008</v>
      </c>
      <c r="BY45" s="14">
        <f>BY91</f>
        <v>4.2359999999999998</v>
      </c>
      <c r="BZ45" s="15">
        <f>BZ91-BY45</f>
        <v>-6.5540000000000003</v>
      </c>
      <c r="CA45" s="239">
        <f>CA91-BZ45-BY45</f>
        <v>1.8140000000000009</v>
      </c>
      <c r="CB45" s="240">
        <f>CB91-CA45-BZ45-BY45</f>
        <v>0.12599999999999945</v>
      </c>
      <c r="CC45" s="15">
        <f>SUM(BY45:CB45)</f>
        <v>-0.37800000000000011</v>
      </c>
      <c r="CD45" s="14">
        <f>CD91</f>
        <v>0.25700000000000001</v>
      </c>
      <c r="CE45" s="15">
        <f>CE91-CD45</f>
        <v>-15.999000000000001</v>
      </c>
      <c r="CF45" s="239">
        <f>CF91-CE45-CD45</f>
        <v>-1.6939999999999995</v>
      </c>
      <c r="CG45" s="240">
        <f>CG91-CF45-CE45-CD45</f>
        <v>-1.7809999999999993</v>
      </c>
      <c r="CH45" s="15">
        <f>SUM(CD45:CG45)</f>
        <v>-19.216999999999999</v>
      </c>
      <c r="CI45" s="14">
        <f>CI91</f>
        <v>0</v>
      </c>
      <c r="CJ45" s="15">
        <f>CJ91-CI45</f>
        <v>4.9790000000000001</v>
      </c>
      <c r="CK45" s="239">
        <f>CK91-CJ45-CI45</f>
        <v>-14.155999999999999</v>
      </c>
      <c r="CL45" s="240">
        <f>CL91-CK45-CJ45-CI45</f>
        <v>-9.4059999999999988</v>
      </c>
      <c r="CM45" s="352">
        <f>SUM(CI45:CL45)</f>
        <v>-18.582999999999998</v>
      </c>
      <c r="CN45" s="14">
        <f>CN91</f>
        <v>-6.7</v>
      </c>
      <c r="CO45" s="15">
        <f>+CO91-CN45</f>
        <v>0.40000000000000036</v>
      </c>
      <c r="CP45" s="239">
        <f>CP91-CO45-CN45</f>
        <v>-5.1000000000000005</v>
      </c>
      <c r="CQ45" s="240">
        <f>CQ91-CP45-CO45-CN45</f>
        <v>-8.0999999999999979</v>
      </c>
      <c r="CR45" s="239">
        <f>SUM(CN45:CQ45)</f>
        <v>-19.5</v>
      </c>
      <c r="CS45" s="14">
        <f>CS91</f>
        <v>26</v>
      </c>
      <c r="CT45" s="15">
        <f>+CT91-CS45</f>
        <v>-23.7</v>
      </c>
      <c r="CU45" s="239">
        <f>CU91-CT45-CS45</f>
        <v>2.6999999999999993</v>
      </c>
      <c r="CV45" s="239">
        <f>CV91-CU45-CT45-CS45</f>
        <v>-35</v>
      </c>
      <c r="CW45" s="835">
        <f>SUM(CS45:CV45)</f>
        <v>-30</v>
      </c>
      <c r="CX45" s="1052">
        <f>CX91</f>
        <v>30</v>
      </c>
      <c r="CY45" s="1041">
        <f>+CY91-CX45</f>
        <v>14</v>
      </c>
      <c r="CZ45" s="1041">
        <f t="shared" ref="CZ45:DA45" si="170">+CZ91-CY91</f>
        <v>2</v>
      </c>
      <c r="DA45" s="1041">
        <f t="shared" si="170"/>
        <v>5</v>
      </c>
      <c r="DB45" s="1039">
        <f>SUM(CX45:DA45)</f>
        <v>51</v>
      </c>
      <c r="DC45" s="1040">
        <v>0</v>
      </c>
      <c r="DD45" s="1040">
        <v>0</v>
      </c>
      <c r="DE45" s="1040">
        <v>0</v>
      </c>
      <c r="DF45" s="1040">
        <v>0</v>
      </c>
      <c r="DG45" s="1039">
        <f>SUM(DC45:DF45)</f>
        <v>0</v>
      </c>
      <c r="DH45" s="1040">
        <v>0</v>
      </c>
      <c r="DI45" s="1040">
        <v>0</v>
      </c>
      <c r="DJ45" s="1040">
        <v>0</v>
      </c>
      <c r="DK45" s="1040">
        <v>0</v>
      </c>
      <c r="DL45" s="1039">
        <f>SUM(DH45:DK45)</f>
        <v>0</v>
      </c>
      <c r="DM45" s="1040">
        <v>0</v>
      </c>
      <c r="DN45" s="1040">
        <v>0</v>
      </c>
      <c r="DO45" s="1040">
        <v>0</v>
      </c>
      <c r="DP45" s="1040">
        <v>0</v>
      </c>
      <c r="DQ45" s="1039">
        <f>SUM(DM45:DP45)</f>
        <v>0</v>
      </c>
      <c r="DR45" s="3"/>
      <c r="DS45" s="112"/>
    </row>
    <row r="46" spans="1:131" s="210" customFormat="1" ht="11.25" customHeight="1">
      <c r="A46" s="209"/>
      <c r="B46" s="87"/>
      <c r="C46" s="15"/>
      <c r="D46" s="15"/>
      <c r="E46" s="15"/>
      <c r="F46" s="15"/>
      <c r="G46" s="14"/>
      <c r="H46" s="15"/>
      <c r="I46" s="15"/>
      <c r="J46" s="16"/>
      <c r="K46" s="14"/>
      <c r="L46" s="14"/>
      <c r="M46" s="15"/>
      <c r="N46" s="15"/>
      <c r="O46" s="16"/>
      <c r="P46" s="15"/>
      <c r="Q46" s="14"/>
      <c r="R46" s="15"/>
      <c r="S46" s="15"/>
      <c r="T46" s="16"/>
      <c r="U46" s="15"/>
      <c r="V46" s="14"/>
      <c r="W46" s="15"/>
      <c r="X46" s="15"/>
      <c r="Y46" s="16"/>
      <c r="Z46" s="15"/>
      <c r="AA46" s="14"/>
      <c r="AB46" s="15"/>
      <c r="AC46" s="15"/>
      <c r="AD46" s="16"/>
      <c r="AE46" s="15"/>
      <c r="AF46" s="14"/>
      <c r="AG46" s="15"/>
      <c r="AH46" s="15"/>
      <c r="AI46" s="16"/>
      <c r="AJ46" s="15"/>
      <c r="AK46" s="14"/>
      <c r="AL46" s="15"/>
      <c r="AM46" s="15"/>
      <c r="AN46" s="16"/>
      <c r="AO46" s="15"/>
      <c r="AP46" s="14"/>
      <c r="AQ46" s="15"/>
      <c r="AR46" s="15"/>
      <c r="AS46" s="16"/>
      <c r="AT46" s="15"/>
      <c r="AU46" s="14"/>
      <c r="AV46" s="15"/>
      <c r="AW46" s="15"/>
      <c r="AX46" s="16"/>
      <c r="AY46" s="15"/>
      <c r="AZ46" s="14"/>
      <c r="BA46" s="15"/>
      <c r="BB46" s="15"/>
      <c r="BC46" s="16"/>
      <c r="BD46" s="15"/>
      <c r="BE46" s="14"/>
      <c r="BF46" s="15"/>
      <c r="BG46" s="15"/>
      <c r="BH46" s="16"/>
      <c r="BI46" s="15"/>
      <c r="BJ46" s="14"/>
      <c r="BK46" s="15"/>
      <c r="BL46" s="15"/>
      <c r="BM46" s="16"/>
      <c r="BN46" s="15"/>
      <c r="BO46" s="14"/>
      <c r="BP46" s="15"/>
      <c r="BQ46" s="15"/>
      <c r="BR46" s="16"/>
      <c r="BS46" s="15"/>
      <c r="BT46" s="14"/>
      <c r="BU46" s="15"/>
      <c r="BV46" s="15"/>
      <c r="BW46" s="16"/>
      <c r="BX46" s="15"/>
      <c r="BY46" s="14"/>
      <c r="BZ46" s="15"/>
      <c r="CA46" s="15"/>
      <c r="CB46" s="16"/>
      <c r="CC46" s="15"/>
      <c r="CD46" s="14"/>
      <c r="CE46" s="15"/>
      <c r="CF46" s="15"/>
      <c r="CG46" s="16"/>
      <c r="CH46" s="15"/>
      <c r="CI46" s="14"/>
      <c r="CJ46" s="15"/>
      <c r="CK46" s="15"/>
      <c r="CL46" s="16"/>
      <c r="CM46" s="352"/>
      <c r="CN46" s="14"/>
      <c r="CO46" s="15"/>
      <c r="CP46" s="15"/>
      <c r="CQ46" s="16"/>
      <c r="CR46" s="15"/>
      <c r="CS46" s="14"/>
      <c r="CT46" s="15"/>
      <c r="CU46" s="15"/>
      <c r="CV46" s="15"/>
      <c r="CW46" s="351"/>
      <c r="CX46" s="14"/>
      <c r="CY46" s="15"/>
      <c r="CZ46" s="578"/>
      <c r="DA46" s="578"/>
      <c r="DB46" s="351"/>
      <c r="DC46" s="15"/>
      <c r="DD46" s="15"/>
      <c r="DE46" s="15"/>
      <c r="DF46" s="15"/>
      <c r="DG46" s="351"/>
      <c r="DH46" s="15"/>
      <c r="DI46" s="15"/>
      <c r="DJ46" s="15"/>
      <c r="DK46" s="15"/>
      <c r="DL46" s="351"/>
      <c r="DM46" s="15"/>
      <c r="DN46" s="15"/>
      <c r="DO46" s="15"/>
      <c r="DP46" s="15"/>
      <c r="DQ46" s="351"/>
      <c r="DR46" s="87"/>
      <c r="DS46" s="260"/>
      <c r="DT46"/>
      <c r="DU46"/>
      <c r="DV46"/>
      <c r="DW46"/>
      <c r="DX46"/>
      <c r="DY46"/>
      <c r="DZ46" s="189"/>
      <c r="EA46" s="189"/>
    </row>
    <row r="47" spans="1:131" s="190" customFormat="1" ht="11.25" customHeight="1">
      <c r="A47" s="211"/>
      <c r="B47" s="73" t="s">
        <v>101</v>
      </c>
      <c r="C47" s="194"/>
      <c r="D47" s="194"/>
      <c r="E47" s="194"/>
      <c r="F47" s="194"/>
      <c r="G47" s="195">
        <f t="shared" ref="G47:AS47" si="171">G25+G33+G43+G45</f>
        <v>-0.51800000000000013</v>
      </c>
      <c r="H47" s="194">
        <f t="shared" si="171"/>
        <v>19.317999999999998</v>
      </c>
      <c r="I47" s="194">
        <f t="shared" si="171"/>
        <v>4.5379999999999994</v>
      </c>
      <c r="J47" s="204">
        <f t="shared" si="171"/>
        <v>2.365000000000002</v>
      </c>
      <c r="K47" s="195">
        <f>SUM(G47:J47)</f>
        <v>25.702999999999999</v>
      </c>
      <c r="L47" s="195">
        <f t="shared" si="171"/>
        <v>-3.3159999999999998</v>
      </c>
      <c r="M47" s="194">
        <f t="shared" si="171"/>
        <v>4.2569999999999997</v>
      </c>
      <c r="N47" s="194">
        <f t="shared" si="171"/>
        <v>4.3260000000000005</v>
      </c>
      <c r="O47" s="204">
        <f t="shared" si="171"/>
        <v>8.9560000000000013</v>
      </c>
      <c r="P47" s="194">
        <f>SUM(L47:O47)</f>
        <v>14.223000000000003</v>
      </c>
      <c r="Q47" s="195">
        <f t="shared" si="171"/>
        <v>-2.2810000000000015</v>
      </c>
      <c r="R47" s="194">
        <f t="shared" si="171"/>
        <v>4.849000000000002</v>
      </c>
      <c r="S47" s="194">
        <f t="shared" si="171"/>
        <v>7.6269999999999989</v>
      </c>
      <c r="T47" s="204">
        <f t="shared" si="171"/>
        <v>9.1400000000000041</v>
      </c>
      <c r="U47" s="194">
        <f>SUM(Q47:T47)</f>
        <v>19.335000000000004</v>
      </c>
      <c r="V47" s="195">
        <f t="shared" si="171"/>
        <v>-1.01</v>
      </c>
      <c r="W47" s="194">
        <f t="shared" si="171"/>
        <v>6.6929999999999996</v>
      </c>
      <c r="X47" s="194">
        <f t="shared" si="171"/>
        <v>12.107999999999997</v>
      </c>
      <c r="Y47" s="204">
        <f t="shared" si="171"/>
        <v>5.2100000000000017</v>
      </c>
      <c r="Z47" s="194">
        <f>SUM(V47:Y47)</f>
        <v>23.000999999999998</v>
      </c>
      <c r="AA47" s="195">
        <f t="shared" si="171"/>
        <v>6.2089999999999987</v>
      </c>
      <c r="AB47" s="194">
        <f t="shared" si="171"/>
        <v>12.656999999999998</v>
      </c>
      <c r="AC47" s="194">
        <f t="shared" si="171"/>
        <v>19.239000000000004</v>
      </c>
      <c r="AD47" s="204">
        <f t="shared" si="171"/>
        <v>3.1289999999999991</v>
      </c>
      <c r="AE47" s="194">
        <f>SUM(AA47:AD47)</f>
        <v>41.234000000000002</v>
      </c>
      <c r="AF47" s="195">
        <f t="shared" si="171"/>
        <v>0.43600000000000105</v>
      </c>
      <c r="AG47" s="194">
        <f t="shared" si="171"/>
        <v>11.092000000000001</v>
      </c>
      <c r="AH47" s="194">
        <f t="shared" si="171"/>
        <v>22.009999999999998</v>
      </c>
      <c r="AI47" s="204">
        <f t="shared" si="171"/>
        <v>34.472000000000001</v>
      </c>
      <c r="AJ47" s="194">
        <f>SUM(AF47:AI47)</f>
        <v>68.009999999999991</v>
      </c>
      <c r="AK47" s="195">
        <f t="shared" si="171"/>
        <v>-55.286000000000001</v>
      </c>
      <c r="AL47" s="194">
        <f t="shared" si="171"/>
        <v>33.917000000000009</v>
      </c>
      <c r="AM47" s="194">
        <f t="shared" si="171"/>
        <v>53.143000000000015</v>
      </c>
      <c r="AN47" s="204">
        <f t="shared" si="171"/>
        <v>23.15099999999995</v>
      </c>
      <c r="AO47" s="194">
        <f>SUM(AK47:AN47)</f>
        <v>54.924999999999969</v>
      </c>
      <c r="AP47" s="195">
        <f t="shared" si="171"/>
        <v>-24.308</v>
      </c>
      <c r="AQ47" s="194">
        <f t="shared" si="171"/>
        <v>5.1349999999999865</v>
      </c>
      <c r="AR47" s="194">
        <f t="shared" si="171"/>
        <v>34.785999999999994</v>
      </c>
      <c r="AS47" s="204">
        <f t="shared" si="171"/>
        <v>-17.971000000000043</v>
      </c>
      <c r="AT47" s="194">
        <f>SUM(AP47:AS47)</f>
        <v>-2.3580000000000609</v>
      </c>
      <c r="AU47" s="195">
        <f t="shared" ref="AU47:CG47" si="172">AU25+AU33+AU43+AU45</f>
        <v>-31.575999999999979</v>
      </c>
      <c r="AV47" s="194">
        <f t="shared" si="172"/>
        <v>37.742999999999981</v>
      </c>
      <c r="AW47" s="194">
        <f t="shared" si="172"/>
        <v>-5.4050000000000225</v>
      </c>
      <c r="AX47" s="204">
        <f t="shared" si="172"/>
        <v>68.237000000000023</v>
      </c>
      <c r="AY47" s="194">
        <f>SUM(AU47:AX47)</f>
        <v>68.998999999999995</v>
      </c>
      <c r="AZ47" s="195">
        <f t="shared" si="172"/>
        <v>7.1010000000000204</v>
      </c>
      <c r="BA47" s="194">
        <f t="shared" si="172"/>
        <v>-4.0530000000000399</v>
      </c>
      <c r="BB47" s="194">
        <f t="shared" si="172"/>
        <v>27.502999999999997</v>
      </c>
      <c r="BC47" s="204">
        <f t="shared" si="172"/>
        <v>43.356999999999999</v>
      </c>
      <c r="BD47" s="194">
        <f>SUM(AZ47:BC47)</f>
        <v>73.907999999999973</v>
      </c>
      <c r="BE47" s="195">
        <f t="shared" si="172"/>
        <v>109.89399999999998</v>
      </c>
      <c r="BF47" s="194">
        <f t="shared" si="172"/>
        <v>71.454000000000036</v>
      </c>
      <c r="BG47" s="194">
        <f t="shared" si="172"/>
        <v>48.069000000000017</v>
      </c>
      <c r="BH47" s="204">
        <f t="shared" si="172"/>
        <v>165.80399999999997</v>
      </c>
      <c r="BI47" s="194">
        <f>SUM(BE47:BH47)</f>
        <v>395.221</v>
      </c>
      <c r="BJ47" s="195">
        <f t="shared" si="172"/>
        <v>23.501999999999946</v>
      </c>
      <c r="BK47" s="194">
        <f t="shared" si="172"/>
        <v>101.80899999999997</v>
      </c>
      <c r="BL47" s="194">
        <f t="shared" si="172"/>
        <v>132.54899999999998</v>
      </c>
      <c r="BM47" s="204">
        <f t="shared" si="172"/>
        <v>108.00400000000005</v>
      </c>
      <c r="BN47" s="194">
        <f>SUM(BJ47:BM47)</f>
        <v>365.86399999999992</v>
      </c>
      <c r="BO47" s="195">
        <f t="shared" si="172"/>
        <v>-19.988000000000035</v>
      </c>
      <c r="BP47" s="194">
        <f t="shared" si="172"/>
        <v>-41.255999999999979</v>
      </c>
      <c r="BQ47" s="194">
        <f t="shared" si="172"/>
        <v>277.39100000000002</v>
      </c>
      <c r="BR47" s="204">
        <f t="shared" si="172"/>
        <v>223.89199999999988</v>
      </c>
      <c r="BS47" s="194">
        <f>SUM(BO47:BR47)</f>
        <v>440.03899999999987</v>
      </c>
      <c r="BT47" s="195">
        <f t="shared" si="172"/>
        <v>-247.47000000000006</v>
      </c>
      <c r="BU47" s="194">
        <f t="shared" si="172"/>
        <v>-100.45900000000009</v>
      </c>
      <c r="BV47" s="194">
        <f t="shared" si="172"/>
        <v>-11.820999999999888</v>
      </c>
      <c r="BW47" s="204">
        <f t="shared" si="172"/>
        <v>129.68700000000024</v>
      </c>
      <c r="BX47" s="194">
        <f>SUM(BT47:BW47)</f>
        <v>-230.06299999999982</v>
      </c>
      <c r="BY47" s="195">
        <f t="shared" si="172"/>
        <v>17.629000000000072</v>
      </c>
      <c r="BZ47" s="194">
        <f t="shared" si="172"/>
        <v>-278.28999999999991</v>
      </c>
      <c r="CA47" s="194">
        <f t="shared" si="172"/>
        <v>274.49400000000003</v>
      </c>
      <c r="CB47" s="204">
        <f t="shared" si="172"/>
        <v>245.33799999999985</v>
      </c>
      <c r="CC47" s="194">
        <f>SUM(BY47:CB47)</f>
        <v>259.17100000000005</v>
      </c>
      <c r="CD47" s="195">
        <f t="shared" si="172"/>
        <v>-95.217000000000056</v>
      </c>
      <c r="CE47" s="194">
        <f t="shared" si="172"/>
        <v>203.34499999999983</v>
      </c>
      <c r="CF47" s="194">
        <f t="shared" si="172"/>
        <v>352.91400000000033</v>
      </c>
      <c r="CG47" s="204">
        <f t="shared" si="172"/>
        <v>181.88699999999994</v>
      </c>
      <c r="CH47" s="194">
        <f>SUM(CD47:CG47)</f>
        <v>642.92900000000009</v>
      </c>
      <c r="CI47" s="195">
        <f t="shared" ref="CI47:DK47" si="173">CI25+CI33+CI43+CI45</f>
        <v>-277.01499999999947</v>
      </c>
      <c r="CJ47" s="194">
        <f t="shared" si="173"/>
        <v>56.450999999999439</v>
      </c>
      <c r="CK47" s="194">
        <f t="shared" si="173"/>
        <v>625.17700000000025</v>
      </c>
      <c r="CL47" s="204">
        <f t="shared" si="173"/>
        <v>-607.47</v>
      </c>
      <c r="CM47" s="355">
        <f>SUM(CI47:CL47)</f>
        <v>-202.8569999999998</v>
      </c>
      <c r="CN47" s="195">
        <f t="shared" si="173"/>
        <v>-738.74900000000059</v>
      </c>
      <c r="CO47" s="194">
        <f t="shared" si="173"/>
        <v>-182.09999999999994</v>
      </c>
      <c r="CP47" s="194">
        <f t="shared" si="173"/>
        <v>387.39999999999981</v>
      </c>
      <c r="CQ47" s="204">
        <f t="shared" si="173"/>
        <v>648.50000000000068</v>
      </c>
      <c r="CR47" s="241">
        <f>SUM(CN47:CQ47)</f>
        <v>115.05099999999993</v>
      </c>
      <c r="CS47" s="195">
        <f t="shared" si="173"/>
        <v>-601.40000000000009</v>
      </c>
      <c r="CT47" s="194">
        <f t="shared" si="173"/>
        <v>160.69999999999985</v>
      </c>
      <c r="CU47" s="194">
        <f t="shared" si="173"/>
        <v>-134.20000000000007</v>
      </c>
      <c r="CV47" s="194">
        <f t="shared" si="173"/>
        <v>483.89999999999975</v>
      </c>
      <c r="CW47" s="837">
        <f>SUM(CS47:CV47)</f>
        <v>-91.000000000000568</v>
      </c>
      <c r="CX47" s="195">
        <f>CX25+CX33+CX43+CX45</f>
        <v>-726</v>
      </c>
      <c r="CY47" s="194">
        <f>CY25+CY33+CY43+CY45</f>
        <v>-151</v>
      </c>
      <c r="CZ47" s="587">
        <f t="shared" si="173"/>
        <v>420</v>
      </c>
      <c r="DA47" s="587">
        <f t="shared" si="173"/>
        <v>348</v>
      </c>
      <c r="DB47" s="837">
        <f>SUM(CX47:DA47)</f>
        <v>-109</v>
      </c>
      <c r="DC47" s="194">
        <f t="shared" si="173"/>
        <v>-64.595373231827807</v>
      </c>
      <c r="DD47" s="194">
        <f t="shared" si="173"/>
        <v>-127.52460796395025</v>
      </c>
      <c r="DE47" s="194">
        <f t="shared" si="173"/>
        <v>266.86336470538185</v>
      </c>
      <c r="DF47" s="194">
        <f t="shared" si="173"/>
        <v>318.16445859972958</v>
      </c>
      <c r="DG47" s="837">
        <f>SUM(DC47:DF47)</f>
        <v>392.90784210933339</v>
      </c>
      <c r="DH47" s="194">
        <f t="shared" si="173"/>
        <v>100.60702279455489</v>
      </c>
      <c r="DI47" s="194">
        <f t="shared" si="173"/>
        <v>-132.05630943198832</v>
      </c>
      <c r="DJ47" s="194">
        <f t="shared" si="173"/>
        <v>216.4772600468379</v>
      </c>
      <c r="DK47" s="194">
        <f t="shared" si="173"/>
        <v>327.33671875042035</v>
      </c>
      <c r="DL47" s="837">
        <f>SUM(DH47:DK47)</f>
        <v>512.36469215982481</v>
      </c>
      <c r="DM47" s="194">
        <f t="shared" ref="DM47:DP47" si="174">DM25+DM33+DM43+DM45</f>
        <v>261.97379897136426</v>
      </c>
      <c r="DN47" s="194">
        <f t="shared" si="174"/>
        <v>-100.71295786343779</v>
      </c>
      <c r="DO47" s="194">
        <f t="shared" si="174"/>
        <v>225.60768894602256</v>
      </c>
      <c r="DP47" s="194">
        <f t="shared" si="174"/>
        <v>393.60492612304904</v>
      </c>
      <c r="DQ47" s="837">
        <f>SUM(DM47:DP47)</f>
        <v>780.47345617699807</v>
      </c>
      <c r="DR47" s="195"/>
      <c r="DS47" s="356"/>
      <c r="DT47"/>
      <c r="DU47"/>
      <c r="DV47"/>
      <c r="DW47"/>
      <c r="DX47"/>
      <c r="DY47"/>
    </row>
    <row r="48" spans="1:131" s="182" customFormat="1" ht="11.25" customHeight="1">
      <c r="A48" s="60"/>
      <c r="B48" s="136" t="s">
        <v>124</v>
      </c>
      <c r="C48" s="36"/>
      <c r="D48" s="36"/>
      <c r="E48" s="36"/>
      <c r="F48" s="36"/>
      <c r="G48" s="35">
        <f>G94</f>
        <v>0</v>
      </c>
      <c r="H48" s="36">
        <f>H94-G48</f>
        <v>0</v>
      </c>
      <c r="I48" s="36">
        <f>I94-H48-G48</f>
        <v>0</v>
      </c>
      <c r="J48" s="37">
        <f>J94-I48-H48-G48</f>
        <v>0</v>
      </c>
      <c r="K48" s="35">
        <f>SUM(G48:J48)</f>
        <v>0</v>
      </c>
      <c r="L48" s="35">
        <f>L94</f>
        <v>0</v>
      </c>
      <c r="M48" s="36">
        <f>M94-L48</f>
        <v>0</v>
      </c>
      <c r="N48" s="36">
        <f>N94-M48-L48</f>
        <v>0</v>
      </c>
      <c r="O48" s="37">
        <f>O94-N48-M48-L48</f>
        <v>0</v>
      </c>
      <c r="P48" s="36">
        <f>SUM(L48:O48)</f>
        <v>0</v>
      </c>
      <c r="Q48" s="35">
        <f>Q94</f>
        <v>0</v>
      </c>
      <c r="R48" s="36">
        <f>R94-Q48</f>
        <v>0</v>
      </c>
      <c r="S48" s="36">
        <f>S94-R48-Q48</f>
        <v>0</v>
      </c>
      <c r="T48" s="37">
        <f>T94-S48-R48-Q48</f>
        <v>0</v>
      </c>
      <c r="U48" s="36">
        <f>SUM(Q48:T48)</f>
        <v>0</v>
      </c>
      <c r="V48" s="35">
        <f>V94</f>
        <v>0</v>
      </c>
      <c r="W48" s="36">
        <f>W94-V48</f>
        <v>0</v>
      </c>
      <c r="X48" s="36">
        <f>X94-W48-V48</f>
        <v>0</v>
      </c>
      <c r="Y48" s="37">
        <f>Y94-X48-W48-V48</f>
        <v>0</v>
      </c>
      <c r="Z48" s="36">
        <f>SUM(V48:Y48)</f>
        <v>0</v>
      </c>
      <c r="AA48" s="35">
        <f>AA94</f>
        <v>0</v>
      </c>
      <c r="AB48" s="36">
        <f>AB94-AA48</f>
        <v>0</v>
      </c>
      <c r="AC48" s="36">
        <f>AC94-AB48-AA48</f>
        <v>0</v>
      </c>
      <c r="AD48" s="37">
        <f>AD94-AC48-AB48-AA48</f>
        <v>0</v>
      </c>
      <c r="AE48" s="36">
        <f>SUM(AA48:AD48)</f>
        <v>0</v>
      </c>
      <c r="AF48" s="35">
        <f>AF94</f>
        <v>0</v>
      </c>
      <c r="AG48" s="36">
        <f>AG94-AF48</f>
        <v>0</v>
      </c>
      <c r="AH48" s="36">
        <f>AH94-AG48-AF48</f>
        <v>0</v>
      </c>
      <c r="AI48" s="37">
        <f>AI94-AH48-AG48-AF48</f>
        <v>0</v>
      </c>
      <c r="AJ48" s="36">
        <f>SUM(AF48:AI48)</f>
        <v>0</v>
      </c>
      <c r="AK48" s="35">
        <f>AK94</f>
        <v>23.049999999999997</v>
      </c>
      <c r="AL48" s="36">
        <f>AL94-AK48</f>
        <v>1.1250000000000071</v>
      </c>
      <c r="AM48" s="36">
        <f>AM94-AL48-AK48</f>
        <v>0.19999999999999574</v>
      </c>
      <c r="AN48" s="37">
        <f>AN94-AM48-AL48-AK48</f>
        <v>19.924999999999997</v>
      </c>
      <c r="AO48" s="36">
        <f>SUM(AK48:AN48)</f>
        <v>44.3</v>
      </c>
      <c r="AP48" s="35">
        <f>AP94</f>
        <v>-94.150000000000034</v>
      </c>
      <c r="AQ48" s="36">
        <f>AQ94-AP48</f>
        <v>0</v>
      </c>
      <c r="AR48" s="36">
        <f>AR94-AQ48-AP48</f>
        <v>0</v>
      </c>
      <c r="AS48" s="37">
        <f>AS94-AR48-AQ48-AP48</f>
        <v>0</v>
      </c>
      <c r="AT48" s="36">
        <f>SUM(AP48:AS48)</f>
        <v>-94.150000000000034</v>
      </c>
      <c r="AU48" s="35">
        <f>AU94</f>
        <v>0</v>
      </c>
      <c r="AV48" s="36">
        <f>AV94-AU48</f>
        <v>0</v>
      </c>
      <c r="AW48" s="36">
        <f>AW94-AV48-AU48</f>
        <v>0</v>
      </c>
      <c r="AX48" s="37">
        <f>AX94-AW48-AV48-AU48</f>
        <v>0</v>
      </c>
      <c r="AY48" s="36">
        <f>SUM(AU48:AX48)</f>
        <v>0</v>
      </c>
      <c r="AZ48" s="35">
        <f>AZ94</f>
        <v>0</v>
      </c>
      <c r="BA48" s="36">
        <f>BA94-AZ48</f>
        <v>0</v>
      </c>
      <c r="BB48" s="36">
        <f>BB94-BA48-AZ48</f>
        <v>0</v>
      </c>
      <c r="BC48" s="37">
        <f>BC94-BB48-BA48-AZ48</f>
        <v>0</v>
      </c>
      <c r="BD48" s="36">
        <f>SUM(AZ48:BC48)</f>
        <v>0</v>
      </c>
      <c r="BE48" s="35">
        <f>BE94</f>
        <v>0</v>
      </c>
      <c r="BF48" s="36">
        <f>BF94-BE48</f>
        <v>0</v>
      </c>
      <c r="BG48" s="36">
        <f>BG94-BF48-BE48</f>
        <v>0</v>
      </c>
      <c r="BH48" s="37">
        <f>BH94-BG48-BF48-BE48</f>
        <v>0</v>
      </c>
      <c r="BI48" s="36">
        <f>SUM(BE48:BH48)</f>
        <v>0</v>
      </c>
      <c r="BJ48" s="35">
        <f>BJ94</f>
        <v>0</v>
      </c>
      <c r="BK48" s="36">
        <f>BK94-BJ48</f>
        <v>0</v>
      </c>
      <c r="BL48" s="36">
        <f>BL94-BK48-BJ48</f>
        <v>0</v>
      </c>
      <c r="BM48" s="37">
        <f>BM94-BL48-BK48-BJ48</f>
        <v>0</v>
      </c>
      <c r="BN48" s="36">
        <f>SUM(BJ48:BM48)</f>
        <v>0</v>
      </c>
      <c r="BO48" s="35">
        <f>BO94</f>
        <v>0</v>
      </c>
      <c r="BP48" s="36">
        <f>BP94-BO48</f>
        <v>0</v>
      </c>
      <c r="BQ48" s="36">
        <f>BQ94-BP48-BO48</f>
        <v>0</v>
      </c>
      <c r="BR48" s="37">
        <f>BR94-BQ48-BP48-BO48</f>
        <v>0</v>
      </c>
      <c r="BS48" s="36">
        <f>SUM(BO48:BR48)</f>
        <v>0</v>
      </c>
      <c r="BT48" s="35">
        <f>BT94</f>
        <v>0</v>
      </c>
      <c r="BU48" s="36">
        <f>BU94-BT48</f>
        <v>0</v>
      </c>
      <c r="BV48" s="36">
        <f>BV94-BU48-BT48</f>
        <v>0</v>
      </c>
      <c r="BW48" s="37">
        <f>BW94-BV48-BU48-BT48</f>
        <v>0</v>
      </c>
      <c r="BX48" s="36">
        <f>SUM(BT48:BW48)</f>
        <v>0</v>
      </c>
      <c r="BY48" s="35">
        <f>BY94</f>
        <v>0</v>
      </c>
      <c r="BZ48" s="36">
        <f>BZ94-BY48</f>
        <v>0</v>
      </c>
      <c r="CA48" s="36">
        <f>CA94-BZ48-BY48</f>
        <v>0</v>
      </c>
      <c r="CB48" s="37">
        <f>CB94-CA48-BZ48-BY48</f>
        <v>0</v>
      </c>
      <c r="CC48" s="36">
        <f>SUM(BY48:CB48)</f>
        <v>0</v>
      </c>
      <c r="CD48" s="35">
        <f>CD94</f>
        <v>0</v>
      </c>
      <c r="CE48" s="36">
        <f>CE94-CD48</f>
        <v>0</v>
      </c>
      <c r="CF48" s="36">
        <f>CF94-CE48-CD48</f>
        <v>0</v>
      </c>
      <c r="CG48" s="37">
        <f>CG94-CF48-CE48-CD48</f>
        <v>0</v>
      </c>
      <c r="CH48" s="36">
        <f>SUM(CD48:CG48)</f>
        <v>0</v>
      </c>
      <c r="CI48" s="35">
        <f>CI94</f>
        <v>0</v>
      </c>
      <c r="CJ48" s="36">
        <f>CJ94-CI48</f>
        <v>0</v>
      </c>
      <c r="CK48" s="36">
        <v>0</v>
      </c>
      <c r="CL48" s="37">
        <v>0</v>
      </c>
      <c r="CM48" s="333">
        <f>SUM(CI48:CL48)</f>
        <v>0</v>
      </c>
      <c r="CN48" s="35">
        <f>CN94</f>
        <v>0</v>
      </c>
      <c r="CO48" s="36">
        <f>CO94-CN48</f>
        <v>0</v>
      </c>
      <c r="CP48" s="36">
        <f>CP94-CO48-CN48</f>
        <v>0</v>
      </c>
      <c r="CQ48" s="131">
        <f>CP48</f>
        <v>0</v>
      </c>
      <c r="CR48" s="239">
        <f>SUM(CN48:CQ48)</f>
        <v>0</v>
      </c>
      <c r="CS48" s="35">
        <f>CS94</f>
        <v>0</v>
      </c>
      <c r="CT48" s="36">
        <f>CT94-CS48</f>
        <v>0</v>
      </c>
      <c r="CU48" s="36">
        <f>CU94-CT48-CS48</f>
        <v>0</v>
      </c>
      <c r="CV48" s="130">
        <f>CV94-CU48-CT48-CS48+CV97</f>
        <v>-0.1999999999998181</v>
      </c>
      <c r="CW48" s="835">
        <f>SUM(CS48:CV48)</f>
        <v>-0.1999999999998181</v>
      </c>
      <c r="CX48" s="35">
        <f>CX94</f>
        <v>0</v>
      </c>
      <c r="CY48" s="36">
        <f>CY94-CX48</f>
        <v>0</v>
      </c>
      <c r="CZ48" s="580">
        <f>CY48</f>
        <v>0</v>
      </c>
      <c r="DA48" s="580">
        <f>CZ48</f>
        <v>0</v>
      </c>
      <c r="DB48" s="835">
        <f>SUM(CX48:DA48)</f>
        <v>0</v>
      </c>
      <c r="DC48" s="130">
        <f>DA48</f>
        <v>0</v>
      </c>
      <c r="DD48" s="130">
        <f t="shared" ref="DD48:DK48" si="175">DC48</f>
        <v>0</v>
      </c>
      <c r="DE48" s="130">
        <f t="shared" si="175"/>
        <v>0</v>
      </c>
      <c r="DF48" s="130">
        <f t="shared" si="175"/>
        <v>0</v>
      </c>
      <c r="DG48" s="835">
        <f>SUM(DC48:DF48)</f>
        <v>0</v>
      </c>
      <c r="DH48" s="130">
        <f>DF48</f>
        <v>0</v>
      </c>
      <c r="DI48" s="130">
        <f t="shared" si="175"/>
        <v>0</v>
      </c>
      <c r="DJ48" s="130">
        <f t="shared" si="175"/>
        <v>0</v>
      </c>
      <c r="DK48" s="130">
        <f t="shared" si="175"/>
        <v>0</v>
      </c>
      <c r="DL48" s="835">
        <f>SUM(DH48:DK48)</f>
        <v>0</v>
      </c>
      <c r="DM48" s="130">
        <f>DK48</f>
        <v>0</v>
      </c>
      <c r="DN48" s="130">
        <f t="shared" ref="DN48" si="176">DM48</f>
        <v>0</v>
      </c>
      <c r="DO48" s="130">
        <f t="shared" ref="DO48" si="177">DN48</f>
        <v>0</v>
      </c>
      <c r="DP48" s="130">
        <f t="shared" ref="DP48" si="178">DO48</f>
        <v>0</v>
      </c>
      <c r="DQ48" s="835">
        <f>SUM(DM48:DP48)</f>
        <v>0</v>
      </c>
      <c r="DR48" s="35"/>
      <c r="DS48" s="130"/>
      <c r="DT48"/>
      <c r="DU48"/>
      <c r="DV48"/>
      <c r="DW48"/>
      <c r="DX48"/>
      <c r="DY48"/>
    </row>
    <row r="49" spans="1:131" s="190" customFormat="1" ht="11.25" customHeight="1">
      <c r="A49" s="211"/>
      <c r="B49" s="195" t="s">
        <v>105</v>
      </c>
      <c r="C49" s="194"/>
      <c r="D49" s="194"/>
      <c r="E49" s="194"/>
      <c r="F49" s="194"/>
      <c r="G49" s="195">
        <f>G95</f>
        <v>2.7149999999999999</v>
      </c>
      <c r="H49" s="194">
        <f t="shared" ref="H49:AS49" si="179">G50</f>
        <v>2.1969999999999996</v>
      </c>
      <c r="I49" s="194">
        <f t="shared" si="179"/>
        <v>21.514999999999997</v>
      </c>
      <c r="J49" s="204">
        <f t="shared" si="179"/>
        <v>26.052999999999997</v>
      </c>
      <c r="K49" s="195">
        <f>G49</f>
        <v>2.7149999999999999</v>
      </c>
      <c r="L49" s="195">
        <f>J50</f>
        <v>28.417999999999999</v>
      </c>
      <c r="M49" s="194">
        <f t="shared" si="179"/>
        <v>25.102</v>
      </c>
      <c r="N49" s="194">
        <f t="shared" si="179"/>
        <v>29.359000000000002</v>
      </c>
      <c r="O49" s="204">
        <f t="shared" si="179"/>
        <v>33.685000000000002</v>
      </c>
      <c r="P49" s="194">
        <f>K50</f>
        <v>28.417999999999999</v>
      </c>
      <c r="Q49" s="195">
        <f>O50</f>
        <v>42.641000000000005</v>
      </c>
      <c r="R49" s="194">
        <f t="shared" si="179"/>
        <v>40.360000000000007</v>
      </c>
      <c r="S49" s="194">
        <f t="shared" si="179"/>
        <v>45.20900000000001</v>
      </c>
      <c r="T49" s="204">
        <f t="shared" si="179"/>
        <v>52.836000000000013</v>
      </c>
      <c r="U49" s="194">
        <f>P50</f>
        <v>42.641000000000005</v>
      </c>
      <c r="V49" s="195">
        <f>T50</f>
        <v>61.976000000000013</v>
      </c>
      <c r="W49" s="194">
        <f t="shared" si="179"/>
        <v>60.966000000000015</v>
      </c>
      <c r="X49" s="194">
        <f t="shared" si="179"/>
        <v>67.65900000000002</v>
      </c>
      <c r="Y49" s="204">
        <f t="shared" si="179"/>
        <v>79.767000000000024</v>
      </c>
      <c r="Z49" s="194">
        <f>U50</f>
        <v>61.976000000000013</v>
      </c>
      <c r="AA49" s="195">
        <f>Y50</f>
        <v>84.977000000000032</v>
      </c>
      <c r="AB49" s="194">
        <f t="shared" si="179"/>
        <v>91.186000000000035</v>
      </c>
      <c r="AC49" s="194">
        <f t="shared" si="179"/>
        <v>103.84300000000003</v>
      </c>
      <c r="AD49" s="204">
        <f t="shared" si="179"/>
        <v>123.08200000000004</v>
      </c>
      <c r="AE49" s="194">
        <f>Z50</f>
        <v>84.977000000000004</v>
      </c>
      <c r="AF49" s="195">
        <f>AD50</f>
        <v>126.21100000000004</v>
      </c>
      <c r="AG49" s="194">
        <f t="shared" si="179"/>
        <v>126.64700000000005</v>
      </c>
      <c r="AH49" s="194">
        <f t="shared" si="179"/>
        <v>137.73900000000006</v>
      </c>
      <c r="AI49" s="204">
        <f t="shared" si="179"/>
        <v>159.74900000000005</v>
      </c>
      <c r="AJ49" s="194">
        <f>AE50</f>
        <v>126.21100000000001</v>
      </c>
      <c r="AK49" s="195">
        <f>AI50</f>
        <v>194.22100000000006</v>
      </c>
      <c r="AL49" s="194">
        <f t="shared" si="179"/>
        <v>161.98500000000007</v>
      </c>
      <c r="AM49" s="194">
        <f t="shared" si="179"/>
        <v>197.0270000000001</v>
      </c>
      <c r="AN49" s="204">
        <f t="shared" si="179"/>
        <v>250.37000000000012</v>
      </c>
      <c r="AO49" s="194">
        <f>AJ50</f>
        <v>194.221</v>
      </c>
      <c r="AP49" s="195">
        <f>AN50</f>
        <v>293.44600000000008</v>
      </c>
      <c r="AQ49" s="194">
        <f t="shared" si="179"/>
        <v>174.98800000000006</v>
      </c>
      <c r="AR49" s="194">
        <f t="shared" si="179"/>
        <v>180.12300000000005</v>
      </c>
      <c r="AS49" s="204">
        <f t="shared" si="179"/>
        <v>214.90900000000005</v>
      </c>
      <c r="AT49" s="194">
        <f>AO50</f>
        <v>293.44599999999997</v>
      </c>
      <c r="AU49" s="195">
        <f>AS50</f>
        <v>196.93800000000002</v>
      </c>
      <c r="AV49" s="194">
        <f t="shared" ref="AV49:CO49" si="180">AU50</f>
        <v>165.36200000000002</v>
      </c>
      <c r="AW49" s="194">
        <f t="shared" si="180"/>
        <v>203.10500000000002</v>
      </c>
      <c r="AX49" s="204">
        <f t="shared" si="180"/>
        <v>197.7</v>
      </c>
      <c r="AY49" s="194">
        <f>AT50</f>
        <v>196.93799999999987</v>
      </c>
      <c r="AZ49" s="195">
        <f>AX50</f>
        <v>265.93700000000001</v>
      </c>
      <c r="BA49" s="194">
        <f t="shared" si="180"/>
        <v>273.03800000000001</v>
      </c>
      <c r="BB49" s="194">
        <f t="shared" si="180"/>
        <v>268.98499999999996</v>
      </c>
      <c r="BC49" s="204">
        <f t="shared" si="180"/>
        <v>296.48799999999994</v>
      </c>
      <c r="BD49" s="194">
        <f>AY50</f>
        <v>265.9369999999999</v>
      </c>
      <c r="BE49" s="195">
        <f>BC50</f>
        <v>339.84499999999991</v>
      </c>
      <c r="BF49" s="194">
        <f t="shared" si="180"/>
        <v>449.73899999999992</v>
      </c>
      <c r="BG49" s="194">
        <f t="shared" si="180"/>
        <v>521.19299999999998</v>
      </c>
      <c r="BH49" s="204">
        <f t="shared" si="180"/>
        <v>569.26199999999994</v>
      </c>
      <c r="BI49" s="194">
        <f>BD50</f>
        <v>339.84499999999986</v>
      </c>
      <c r="BJ49" s="195">
        <f>BH50</f>
        <v>735.06599999999992</v>
      </c>
      <c r="BK49" s="194">
        <f t="shared" si="180"/>
        <v>758.56799999999987</v>
      </c>
      <c r="BL49" s="194">
        <f t="shared" si="180"/>
        <v>860.37699999999984</v>
      </c>
      <c r="BM49" s="204">
        <f t="shared" si="180"/>
        <v>992.92599999999982</v>
      </c>
      <c r="BN49" s="194">
        <f>BI50</f>
        <v>735.0659999999998</v>
      </c>
      <c r="BO49" s="195">
        <f>BM50</f>
        <v>1100.9299999999998</v>
      </c>
      <c r="BP49" s="194">
        <f t="shared" si="180"/>
        <v>1080.9419999999998</v>
      </c>
      <c r="BQ49" s="194">
        <f t="shared" si="180"/>
        <v>1039.6859999999997</v>
      </c>
      <c r="BR49" s="204">
        <f t="shared" si="180"/>
        <v>1317.0769999999998</v>
      </c>
      <c r="BS49" s="194">
        <f>BN50</f>
        <v>1100.9299999999998</v>
      </c>
      <c r="BT49" s="195">
        <f>BR50</f>
        <v>1540.9689999999996</v>
      </c>
      <c r="BU49" s="194">
        <f t="shared" si="180"/>
        <v>1293.4989999999996</v>
      </c>
      <c r="BV49" s="194">
        <f t="shared" si="180"/>
        <v>1193.0399999999995</v>
      </c>
      <c r="BW49" s="204">
        <f t="shared" si="180"/>
        <v>1181.2189999999996</v>
      </c>
      <c r="BX49" s="194">
        <f>BS50</f>
        <v>1540.9689999999996</v>
      </c>
      <c r="BY49" s="195">
        <f>BW50</f>
        <v>1310.9059999999999</v>
      </c>
      <c r="BZ49" s="194">
        <f t="shared" si="180"/>
        <v>1328.5350000000001</v>
      </c>
      <c r="CA49" s="194">
        <f>BZ50</f>
        <v>1050.2450000000001</v>
      </c>
      <c r="CB49" s="204">
        <f t="shared" si="180"/>
        <v>1324.739</v>
      </c>
      <c r="CC49" s="194">
        <f>BX50</f>
        <v>1310.9059999999997</v>
      </c>
      <c r="CD49" s="195">
        <f>CB50</f>
        <v>1570.0769999999998</v>
      </c>
      <c r="CE49" s="194">
        <f t="shared" si="180"/>
        <v>1474.8599999999997</v>
      </c>
      <c r="CF49" s="194">
        <f>CE50</f>
        <v>1678.2049999999995</v>
      </c>
      <c r="CG49" s="204">
        <f t="shared" si="180"/>
        <v>2031.1189999999997</v>
      </c>
      <c r="CH49" s="194">
        <f>CC50</f>
        <v>1570.0769999999998</v>
      </c>
      <c r="CI49" s="195">
        <f>CG50</f>
        <v>2213.0059999999994</v>
      </c>
      <c r="CJ49" s="194">
        <f t="shared" si="180"/>
        <v>1935.991</v>
      </c>
      <c r="CK49" s="194">
        <f>CJ50</f>
        <v>1992.4419999999993</v>
      </c>
      <c r="CL49" s="204">
        <f t="shared" si="180"/>
        <v>2617.6189999999997</v>
      </c>
      <c r="CM49" s="355">
        <f>CH50</f>
        <v>2213.0059999999999</v>
      </c>
      <c r="CN49" s="195">
        <f>CL50</f>
        <v>2010.1489999999997</v>
      </c>
      <c r="CO49" s="194">
        <f t="shared" si="180"/>
        <v>1271.3999999999992</v>
      </c>
      <c r="CP49" s="194">
        <f>CO50</f>
        <v>1089.2999999999993</v>
      </c>
      <c r="CQ49" s="204">
        <f>CP50</f>
        <v>1476.6999999999991</v>
      </c>
      <c r="CR49" s="194">
        <f>CM50</f>
        <v>2010.1490000000001</v>
      </c>
      <c r="CS49" s="195">
        <f>CQ50</f>
        <v>2125.1999999999998</v>
      </c>
      <c r="CT49" s="194">
        <f>CS50</f>
        <v>1523.7999999999997</v>
      </c>
      <c r="CU49" s="194">
        <f>CT50</f>
        <v>1684.4999999999995</v>
      </c>
      <c r="CV49" s="194">
        <f>CU50</f>
        <v>1550.2999999999995</v>
      </c>
      <c r="CW49" s="355">
        <f>CR50</f>
        <v>2125.1999999999998</v>
      </c>
      <c r="CX49" s="195">
        <f>CV50</f>
        <v>2033.9999999999995</v>
      </c>
      <c r="CY49" s="194">
        <f>CX50</f>
        <v>1307.9999999999995</v>
      </c>
      <c r="CZ49" s="194">
        <f>CY50</f>
        <v>1156.9999999999995</v>
      </c>
      <c r="DA49" s="194">
        <f>CZ50</f>
        <v>1576.9999999999995</v>
      </c>
      <c r="DB49" s="355">
        <f>CW50</f>
        <v>2033.9999999999995</v>
      </c>
      <c r="DC49" s="194">
        <f>DA50</f>
        <v>1924.9999999999995</v>
      </c>
      <c r="DD49" s="194">
        <f t="shared" ref="DD49:DK49" si="181">DC50</f>
        <v>1860.4046267681717</v>
      </c>
      <c r="DE49" s="194">
        <f t="shared" si="181"/>
        <v>1732.8800188042214</v>
      </c>
      <c r="DF49" s="194">
        <f t="shared" si="181"/>
        <v>1999.7433835096033</v>
      </c>
      <c r="DG49" s="355">
        <f>DB50</f>
        <v>1924.9999999999995</v>
      </c>
      <c r="DH49" s="194">
        <f>DF50</f>
        <v>2317.9078421093327</v>
      </c>
      <c r="DI49" s="194">
        <f t="shared" si="181"/>
        <v>2418.5148649038874</v>
      </c>
      <c r="DJ49" s="194">
        <f t="shared" si="181"/>
        <v>2286.4585554718992</v>
      </c>
      <c r="DK49" s="194">
        <f t="shared" si="181"/>
        <v>2502.9358155187369</v>
      </c>
      <c r="DL49" s="355">
        <f>DG50</f>
        <v>2317.9078421093327</v>
      </c>
      <c r="DM49" s="194">
        <f>DK50</f>
        <v>2830.2725342691574</v>
      </c>
      <c r="DN49" s="194">
        <f t="shared" ref="DN49" si="182">DM50</f>
        <v>3092.2463332405218</v>
      </c>
      <c r="DO49" s="194">
        <f t="shared" ref="DO49" si="183">DN50</f>
        <v>2991.5333753770842</v>
      </c>
      <c r="DP49" s="194">
        <f t="shared" ref="DP49" si="184">DO50</f>
        <v>3217.1410643231065</v>
      </c>
      <c r="DQ49" s="355">
        <f>DL50</f>
        <v>2830.2725342691574</v>
      </c>
      <c r="DR49" s="195"/>
      <c r="DS49" s="356"/>
      <c r="DT49"/>
      <c r="DU49"/>
      <c r="DV49"/>
      <c r="DW49"/>
      <c r="DX49"/>
      <c r="DY49"/>
    </row>
    <row r="50" spans="1:131" s="188" customFormat="1" ht="11.25" customHeight="1">
      <c r="A50" s="175"/>
      <c r="B50" s="195" t="s">
        <v>103</v>
      </c>
      <c r="C50" s="74"/>
      <c r="D50" s="74"/>
      <c r="E50" s="74"/>
      <c r="F50" s="74"/>
      <c r="G50" s="195">
        <f>SUM(G47:G49)</f>
        <v>2.1969999999999996</v>
      </c>
      <c r="H50" s="194">
        <f t="shared" ref="H50:AU50" si="185">SUM(H47:H49)</f>
        <v>21.514999999999997</v>
      </c>
      <c r="I50" s="194">
        <f t="shared" si="185"/>
        <v>26.052999999999997</v>
      </c>
      <c r="J50" s="204">
        <f t="shared" si="185"/>
        <v>28.417999999999999</v>
      </c>
      <c r="K50" s="195">
        <f>SUM(K47:K49)</f>
        <v>28.417999999999999</v>
      </c>
      <c r="L50" s="195">
        <f t="shared" si="185"/>
        <v>25.102</v>
      </c>
      <c r="M50" s="194">
        <f t="shared" si="185"/>
        <v>29.359000000000002</v>
      </c>
      <c r="N50" s="194">
        <f t="shared" si="185"/>
        <v>33.685000000000002</v>
      </c>
      <c r="O50" s="204">
        <f t="shared" si="185"/>
        <v>42.641000000000005</v>
      </c>
      <c r="P50" s="194">
        <f>SUM(P47:P49)</f>
        <v>42.641000000000005</v>
      </c>
      <c r="Q50" s="195">
        <f t="shared" si="185"/>
        <v>40.360000000000007</v>
      </c>
      <c r="R50" s="194">
        <f t="shared" si="185"/>
        <v>45.20900000000001</v>
      </c>
      <c r="S50" s="194">
        <f t="shared" si="185"/>
        <v>52.836000000000013</v>
      </c>
      <c r="T50" s="204">
        <f t="shared" si="185"/>
        <v>61.976000000000013</v>
      </c>
      <c r="U50" s="194">
        <f>SUM(U47:U49)</f>
        <v>61.976000000000013</v>
      </c>
      <c r="V50" s="195">
        <f t="shared" si="185"/>
        <v>60.966000000000015</v>
      </c>
      <c r="W50" s="194">
        <f t="shared" si="185"/>
        <v>67.65900000000002</v>
      </c>
      <c r="X50" s="194">
        <f t="shared" si="185"/>
        <v>79.767000000000024</v>
      </c>
      <c r="Y50" s="204">
        <f t="shared" si="185"/>
        <v>84.977000000000032</v>
      </c>
      <c r="Z50" s="194">
        <f>SUM(Z47:Z49)</f>
        <v>84.977000000000004</v>
      </c>
      <c r="AA50" s="195">
        <f t="shared" si="185"/>
        <v>91.186000000000035</v>
      </c>
      <c r="AB50" s="194">
        <f t="shared" si="185"/>
        <v>103.84300000000003</v>
      </c>
      <c r="AC50" s="194">
        <f t="shared" si="185"/>
        <v>123.08200000000004</v>
      </c>
      <c r="AD50" s="204">
        <f t="shared" si="185"/>
        <v>126.21100000000004</v>
      </c>
      <c r="AE50" s="194">
        <f>SUM(AE47:AE49)</f>
        <v>126.21100000000001</v>
      </c>
      <c r="AF50" s="195">
        <f t="shared" si="185"/>
        <v>126.64700000000005</v>
      </c>
      <c r="AG50" s="194">
        <f t="shared" si="185"/>
        <v>137.73900000000006</v>
      </c>
      <c r="AH50" s="194">
        <f t="shared" si="185"/>
        <v>159.74900000000005</v>
      </c>
      <c r="AI50" s="204">
        <f t="shared" si="185"/>
        <v>194.22100000000006</v>
      </c>
      <c r="AJ50" s="194">
        <f>SUM(AJ47:AJ49)</f>
        <v>194.221</v>
      </c>
      <c r="AK50" s="195">
        <f t="shared" si="185"/>
        <v>161.98500000000007</v>
      </c>
      <c r="AL50" s="194">
        <f t="shared" si="185"/>
        <v>197.0270000000001</v>
      </c>
      <c r="AM50" s="194">
        <f t="shared" si="185"/>
        <v>250.37000000000012</v>
      </c>
      <c r="AN50" s="204">
        <f t="shared" si="185"/>
        <v>293.44600000000008</v>
      </c>
      <c r="AO50" s="194">
        <f>SUM(AO47:AO49)</f>
        <v>293.44599999999997</v>
      </c>
      <c r="AP50" s="195">
        <f t="shared" si="185"/>
        <v>174.98800000000006</v>
      </c>
      <c r="AQ50" s="194">
        <f t="shared" si="185"/>
        <v>180.12300000000005</v>
      </c>
      <c r="AR50" s="194">
        <f t="shared" si="185"/>
        <v>214.90900000000005</v>
      </c>
      <c r="AS50" s="204">
        <f t="shared" si="185"/>
        <v>196.93800000000002</v>
      </c>
      <c r="AT50" s="194">
        <f>SUM(AT47:AT49)</f>
        <v>196.93799999999987</v>
      </c>
      <c r="AU50" s="195">
        <f t="shared" si="185"/>
        <v>165.36200000000002</v>
      </c>
      <c r="AV50" s="194">
        <f t="shared" ref="AV50:CE50" si="186">SUM(AV47:AV49)</f>
        <v>203.10500000000002</v>
      </c>
      <c r="AW50" s="194">
        <f t="shared" si="186"/>
        <v>197.7</v>
      </c>
      <c r="AX50" s="204">
        <f t="shared" si="186"/>
        <v>265.93700000000001</v>
      </c>
      <c r="AY50" s="194">
        <f>SUM(AY47:AY49)</f>
        <v>265.9369999999999</v>
      </c>
      <c r="AZ50" s="195">
        <f t="shared" si="186"/>
        <v>273.03800000000001</v>
      </c>
      <c r="BA50" s="194">
        <f t="shared" si="186"/>
        <v>268.98499999999996</v>
      </c>
      <c r="BB50" s="194">
        <f t="shared" si="186"/>
        <v>296.48799999999994</v>
      </c>
      <c r="BC50" s="204">
        <f t="shared" si="186"/>
        <v>339.84499999999991</v>
      </c>
      <c r="BD50" s="194">
        <f>SUM(BD47:BD49)</f>
        <v>339.84499999999986</v>
      </c>
      <c r="BE50" s="195">
        <f t="shared" si="186"/>
        <v>449.73899999999992</v>
      </c>
      <c r="BF50" s="194">
        <f t="shared" si="186"/>
        <v>521.19299999999998</v>
      </c>
      <c r="BG50" s="194">
        <f t="shared" si="186"/>
        <v>569.26199999999994</v>
      </c>
      <c r="BH50" s="204">
        <f t="shared" si="186"/>
        <v>735.06599999999992</v>
      </c>
      <c r="BI50" s="194">
        <f>SUM(BI47:BI49)</f>
        <v>735.0659999999998</v>
      </c>
      <c r="BJ50" s="195">
        <f t="shared" si="186"/>
        <v>758.56799999999987</v>
      </c>
      <c r="BK50" s="194">
        <f t="shared" si="186"/>
        <v>860.37699999999984</v>
      </c>
      <c r="BL50" s="194">
        <f t="shared" si="186"/>
        <v>992.92599999999982</v>
      </c>
      <c r="BM50" s="204">
        <f t="shared" si="186"/>
        <v>1100.9299999999998</v>
      </c>
      <c r="BN50" s="194">
        <f>SUM(BN47:BN49)</f>
        <v>1100.9299999999998</v>
      </c>
      <c r="BO50" s="195">
        <f t="shared" si="186"/>
        <v>1080.9419999999998</v>
      </c>
      <c r="BP50" s="194">
        <f t="shared" si="186"/>
        <v>1039.6859999999997</v>
      </c>
      <c r="BQ50" s="194">
        <f t="shared" si="186"/>
        <v>1317.0769999999998</v>
      </c>
      <c r="BR50" s="204">
        <f t="shared" si="186"/>
        <v>1540.9689999999996</v>
      </c>
      <c r="BS50" s="194">
        <f>SUM(BS47:BS49)</f>
        <v>1540.9689999999996</v>
      </c>
      <c r="BT50" s="195">
        <f t="shared" si="186"/>
        <v>1293.4989999999996</v>
      </c>
      <c r="BU50" s="194">
        <f t="shared" si="186"/>
        <v>1193.0399999999995</v>
      </c>
      <c r="BV50" s="194">
        <f t="shared" si="186"/>
        <v>1181.2189999999996</v>
      </c>
      <c r="BW50" s="204">
        <f t="shared" si="186"/>
        <v>1310.9059999999999</v>
      </c>
      <c r="BX50" s="194">
        <f>SUM(BX47:BX49)</f>
        <v>1310.9059999999997</v>
      </c>
      <c r="BY50" s="195">
        <f t="shared" si="186"/>
        <v>1328.5350000000001</v>
      </c>
      <c r="BZ50" s="194">
        <f t="shared" si="186"/>
        <v>1050.2450000000001</v>
      </c>
      <c r="CA50" s="194">
        <f t="shared" ref="CA50:CJ50" si="187">SUM(CA47:CA49)</f>
        <v>1324.739</v>
      </c>
      <c r="CB50" s="204">
        <f t="shared" si="186"/>
        <v>1570.0769999999998</v>
      </c>
      <c r="CC50" s="194">
        <f>SUM(CC47:CC49)</f>
        <v>1570.0769999999998</v>
      </c>
      <c r="CD50" s="195">
        <f t="shared" si="186"/>
        <v>1474.8599999999997</v>
      </c>
      <c r="CE50" s="194">
        <f t="shared" si="186"/>
        <v>1678.2049999999995</v>
      </c>
      <c r="CF50" s="194">
        <f t="shared" si="187"/>
        <v>2031.1189999999997</v>
      </c>
      <c r="CG50" s="204">
        <f t="shared" si="187"/>
        <v>2213.0059999999994</v>
      </c>
      <c r="CH50" s="194">
        <f>SUM(CH47:CH49)</f>
        <v>2213.0059999999999</v>
      </c>
      <c r="CI50" s="195">
        <f t="shared" si="187"/>
        <v>1935.991</v>
      </c>
      <c r="CJ50" s="194">
        <f t="shared" si="187"/>
        <v>1992.4419999999993</v>
      </c>
      <c r="CK50" s="194">
        <f t="shared" ref="CK50:CQ50" si="188">SUM(CK47:CK49)</f>
        <v>2617.6189999999997</v>
      </c>
      <c r="CL50" s="204">
        <f t="shared" si="188"/>
        <v>2010.1489999999997</v>
      </c>
      <c r="CM50" s="355">
        <f>SUM(CM47:CM49)</f>
        <v>2010.1490000000001</v>
      </c>
      <c r="CN50" s="195">
        <f t="shared" si="188"/>
        <v>1271.3999999999992</v>
      </c>
      <c r="CO50" s="194">
        <f t="shared" si="188"/>
        <v>1089.2999999999993</v>
      </c>
      <c r="CP50" s="194">
        <f t="shared" si="188"/>
        <v>1476.6999999999991</v>
      </c>
      <c r="CQ50" s="204">
        <f t="shared" si="188"/>
        <v>2125.1999999999998</v>
      </c>
      <c r="CR50" s="194">
        <f>SUM(CR47:CR49)</f>
        <v>2125.1999999999998</v>
      </c>
      <c r="CS50" s="195">
        <f t="shared" ref="CS50:DF50" si="189">SUM(CS47:CS49)</f>
        <v>1523.7999999999997</v>
      </c>
      <c r="CT50" s="194">
        <f t="shared" si="189"/>
        <v>1684.4999999999995</v>
      </c>
      <c r="CU50" s="194">
        <f t="shared" si="189"/>
        <v>1550.2999999999995</v>
      </c>
      <c r="CV50" s="194">
        <f t="shared" si="189"/>
        <v>2033.9999999999995</v>
      </c>
      <c r="CW50" s="355">
        <f>SUM(CW47:CW49)</f>
        <v>2033.9999999999995</v>
      </c>
      <c r="CX50" s="195">
        <f>SUM(CX47:CX49)</f>
        <v>1307.9999999999995</v>
      </c>
      <c r="CY50" s="194">
        <f>SUM(CY47:CY49)</f>
        <v>1156.9999999999995</v>
      </c>
      <c r="CZ50" s="194">
        <f t="shared" si="189"/>
        <v>1576.9999999999995</v>
      </c>
      <c r="DA50" s="194">
        <f t="shared" si="189"/>
        <v>1924.9999999999995</v>
      </c>
      <c r="DB50" s="355">
        <f>SUM(DB47:DB49)</f>
        <v>1924.9999999999995</v>
      </c>
      <c r="DC50" s="194">
        <f t="shared" si="189"/>
        <v>1860.4046267681717</v>
      </c>
      <c r="DD50" s="194">
        <f t="shared" si="189"/>
        <v>1732.8800188042214</v>
      </c>
      <c r="DE50" s="194">
        <f t="shared" si="189"/>
        <v>1999.7433835096033</v>
      </c>
      <c r="DF50" s="194">
        <f t="shared" si="189"/>
        <v>2317.9078421093327</v>
      </c>
      <c r="DG50" s="355">
        <f t="shared" ref="DG50:DL50" si="190">SUM(DG47:DG49)</f>
        <v>2317.9078421093327</v>
      </c>
      <c r="DH50" s="194">
        <f t="shared" si="190"/>
        <v>2418.5148649038874</v>
      </c>
      <c r="DI50" s="194">
        <f t="shared" si="190"/>
        <v>2286.4585554718992</v>
      </c>
      <c r="DJ50" s="194">
        <f t="shared" si="190"/>
        <v>2502.9358155187369</v>
      </c>
      <c r="DK50" s="194">
        <f t="shared" si="190"/>
        <v>2830.2725342691574</v>
      </c>
      <c r="DL50" s="355">
        <f t="shared" si="190"/>
        <v>2830.2725342691574</v>
      </c>
      <c r="DM50" s="194">
        <f t="shared" ref="DM50:DQ50" si="191">SUM(DM47:DM49)</f>
        <v>3092.2463332405218</v>
      </c>
      <c r="DN50" s="194">
        <f t="shared" si="191"/>
        <v>2991.5333753770842</v>
      </c>
      <c r="DO50" s="194">
        <f t="shared" si="191"/>
        <v>3217.1410643231065</v>
      </c>
      <c r="DP50" s="194">
        <f t="shared" si="191"/>
        <v>3610.7459904461557</v>
      </c>
      <c r="DQ50" s="355">
        <f t="shared" si="191"/>
        <v>3610.7459904461557</v>
      </c>
      <c r="DR50" s="73"/>
      <c r="DS50" s="128"/>
      <c r="DT50"/>
      <c r="DU50"/>
      <c r="DV50"/>
      <c r="DW50"/>
      <c r="DX50"/>
      <c r="DY50"/>
    </row>
    <row r="51" spans="1:131" ht="11.25" customHeight="1">
      <c r="B51" s="6"/>
      <c r="C51" s="7"/>
      <c r="D51" s="7"/>
      <c r="E51" s="7"/>
      <c r="F51" s="7"/>
      <c r="G51" s="212"/>
      <c r="H51" s="213"/>
      <c r="I51" s="213"/>
      <c r="J51" s="214"/>
      <c r="K51" s="6"/>
      <c r="L51" s="212"/>
      <c r="M51" s="213"/>
      <c r="N51" s="213"/>
      <c r="O51" s="215"/>
      <c r="P51" s="7"/>
      <c r="Q51" s="212"/>
      <c r="R51" s="213"/>
      <c r="S51" s="213"/>
      <c r="T51" s="215"/>
      <c r="U51" s="7"/>
      <c r="V51" s="212"/>
      <c r="W51" s="213"/>
      <c r="X51" s="213"/>
      <c r="Y51" s="215"/>
      <c r="Z51" s="7"/>
      <c r="AA51" s="212"/>
      <c r="AB51" s="213"/>
      <c r="AC51" s="213"/>
      <c r="AD51" s="215"/>
      <c r="AE51" s="7"/>
      <c r="AF51" s="212"/>
      <c r="AG51" s="213"/>
      <c r="AH51" s="213"/>
      <c r="AI51" s="215"/>
      <c r="AJ51" s="7"/>
      <c r="AK51" s="212"/>
      <c r="AL51" s="213"/>
      <c r="AM51" s="213"/>
      <c r="AN51" s="215"/>
      <c r="AO51" s="7"/>
      <c r="AP51" s="212"/>
      <c r="AQ51" s="213"/>
      <c r="AR51" s="213"/>
      <c r="AS51" s="215"/>
      <c r="AT51" s="7"/>
      <c r="AU51" s="212"/>
      <c r="AV51" s="213"/>
      <c r="AW51" s="213"/>
      <c r="AX51" s="215"/>
      <c r="AY51" s="7"/>
      <c r="AZ51" s="212"/>
      <c r="BA51" s="213"/>
      <c r="BB51" s="213"/>
      <c r="BC51" s="215"/>
      <c r="BD51" s="7"/>
      <c r="BE51" s="212"/>
      <c r="BF51" s="213"/>
      <c r="BG51" s="213"/>
      <c r="BH51" s="215"/>
      <c r="BI51" s="7"/>
      <c r="BJ51" s="212"/>
      <c r="BK51" s="213"/>
      <c r="BL51" s="213"/>
      <c r="BM51" s="215"/>
      <c r="BN51" s="7"/>
      <c r="BO51" s="212"/>
      <c r="BP51" s="213"/>
      <c r="BQ51" s="213"/>
      <c r="BR51" s="215"/>
      <c r="BS51" s="7"/>
      <c r="BT51" s="212"/>
      <c r="BU51" s="213"/>
      <c r="BV51" s="213"/>
      <c r="BW51" s="215"/>
      <c r="BX51" s="7"/>
      <c r="BY51" s="212"/>
      <c r="BZ51" s="213"/>
      <c r="CA51" s="213"/>
      <c r="CB51" s="216"/>
      <c r="CC51" s="7"/>
      <c r="CD51" s="217"/>
      <c r="CE51" s="213"/>
      <c r="CF51" s="213"/>
      <c r="CG51" s="216"/>
      <c r="CH51" s="7"/>
      <c r="CI51" s="217"/>
      <c r="CJ51" s="213"/>
      <c r="CK51" s="213"/>
      <c r="CL51" s="216"/>
      <c r="CM51" s="812"/>
      <c r="CN51" s="217"/>
      <c r="CO51" s="213"/>
      <c r="CP51" s="213"/>
      <c r="CQ51" s="216"/>
      <c r="CR51" s="7"/>
      <c r="CS51" s="217"/>
      <c r="CT51" s="213"/>
      <c r="CU51" s="213"/>
      <c r="CV51" s="218"/>
      <c r="CW51" s="812"/>
      <c r="CX51" s="217"/>
      <c r="CY51" s="213"/>
      <c r="CZ51" s="213"/>
      <c r="DA51" s="218"/>
      <c r="DB51" s="812"/>
      <c r="DC51" s="218"/>
      <c r="DD51" s="213"/>
      <c r="DE51" s="213"/>
      <c r="DF51" s="218"/>
      <c r="DG51" s="812"/>
      <c r="DH51" s="218"/>
      <c r="DI51" s="213"/>
      <c r="DJ51" s="213"/>
      <c r="DK51" s="218"/>
      <c r="DL51" s="812"/>
      <c r="DM51" s="218"/>
      <c r="DN51" s="213"/>
      <c r="DO51" s="213"/>
      <c r="DP51" s="218"/>
      <c r="DQ51" s="812"/>
      <c r="DR51" s="3"/>
      <c r="DS51" s="112"/>
    </row>
    <row r="52" spans="1:131" ht="11.25" customHeight="1">
      <c r="B52" s="196" t="s">
        <v>8</v>
      </c>
      <c r="H52" s="92"/>
      <c r="I52" s="92"/>
      <c r="J52" s="92"/>
      <c r="L52" s="92"/>
      <c r="M52" s="92"/>
      <c r="N52" s="92"/>
      <c r="O52" s="92"/>
      <c r="Q52" s="92"/>
      <c r="R52" s="92"/>
      <c r="S52" s="92"/>
      <c r="T52" s="92"/>
      <c r="V52" s="92"/>
      <c r="W52" s="92"/>
      <c r="X52" s="92"/>
      <c r="Y52" s="92"/>
      <c r="AA52" s="92"/>
      <c r="AB52" s="92"/>
      <c r="AC52" s="92"/>
      <c r="AD52" s="92"/>
      <c r="AF52" s="92"/>
      <c r="AG52" s="92"/>
      <c r="AH52" s="92"/>
      <c r="AI52" s="92"/>
      <c r="AK52" s="92"/>
      <c r="AL52" s="92"/>
      <c r="AM52" s="92"/>
      <c r="AN52" s="92"/>
      <c r="AP52" s="92"/>
      <c r="AQ52" s="92"/>
      <c r="AR52" s="92"/>
      <c r="AS52" s="92"/>
      <c r="AU52" s="92"/>
      <c r="AV52" s="92"/>
      <c r="AW52" s="92"/>
      <c r="AX52" s="92"/>
      <c r="AZ52" s="92"/>
      <c r="BA52" s="92"/>
      <c r="BB52" s="92"/>
      <c r="BC52" s="92"/>
      <c r="BE52" s="92"/>
      <c r="BF52" s="92"/>
      <c r="BG52" s="92"/>
      <c r="BH52" s="92"/>
      <c r="BJ52" s="92"/>
      <c r="BK52" s="92"/>
      <c r="BL52" s="92"/>
      <c r="BM52" s="92"/>
      <c r="BO52" s="92"/>
      <c r="BP52" s="92"/>
      <c r="BQ52" s="92"/>
      <c r="BR52" s="92"/>
      <c r="BT52" s="92"/>
      <c r="BU52" s="92"/>
      <c r="BV52" s="92"/>
      <c r="BW52" s="92"/>
      <c r="BY52" s="92"/>
      <c r="BZ52" s="92"/>
      <c r="CA52" s="92"/>
      <c r="CB52" s="1"/>
      <c r="CD52" s="1"/>
      <c r="CE52" s="1"/>
      <c r="CF52" s="1"/>
      <c r="CG52" s="1"/>
      <c r="CI52" s="1"/>
      <c r="CJ52" s="1"/>
      <c r="CK52" s="1"/>
      <c r="CL52" s="1"/>
      <c r="CM52" s="4"/>
      <c r="CN52" s="320"/>
      <c r="CO52" s="320"/>
      <c r="CP52" s="266"/>
      <c r="CW52" s="571">
        <f>-(CW40+CW42)/CW102</f>
        <v>0.38732127997579252</v>
      </c>
      <c r="DA52" s="189"/>
      <c r="DB52" s="838">
        <f>-(DB40+DB42)/DB102</f>
        <v>1.0146019783325482</v>
      </c>
      <c r="DG52" s="838">
        <f>-(DG40+DG42)/DG102</f>
        <v>0.63601387471026494</v>
      </c>
      <c r="DL52" s="838">
        <f>-(DL40+DL42)/DL102</f>
        <v>0.64806603245770267</v>
      </c>
      <c r="DM52" s="114"/>
      <c r="DN52" s="114"/>
      <c r="DO52" s="114"/>
      <c r="DP52" s="114"/>
      <c r="DQ52" s="838">
        <f>-(DQ40+DQ42)/DQ102</f>
        <v>0.58574816803866303</v>
      </c>
      <c r="DR52" s="3"/>
    </row>
    <row r="53" spans="1:131" ht="11.25" customHeight="1">
      <c r="B53" s="196"/>
      <c r="H53" s="92"/>
      <c r="I53" s="92"/>
      <c r="J53" s="92"/>
      <c r="L53" s="92"/>
      <c r="M53" s="92"/>
      <c r="N53" s="92"/>
      <c r="O53" s="92"/>
      <c r="Q53" s="92"/>
      <c r="R53" s="92"/>
      <c r="S53" s="92"/>
      <c r="T53" s="92"/>
      <c r="V53" s="92"/>
      <c r="W53" s="92"/>
      <c r="X53" s="92"/>
      <c r="Y53" s="92"/>
      <c r="AA53" s="92"/>
      <c r="AB53" s="92"/>
      <c r="AC53" s="92"/>
      <c r="AD53" s="92"/>
      <c r="AF53" s="92"/>
      <c r="AG53" s="92"/>
      <c r="AH53" s="92"/>
      <c r="AI53" s="92"/>
      <c r="AK53" s="92"/>
      <c r="AL53" s="92"/>
      <c r="AM53" s="92"/>
      <c r="AN53" s="92"/>
      <c r="AP53" s="92"/>
      <c r="AQ53" s="92"/>
      <c r="AR53" s="92"/>
      <c r="AS53" s="92"/>
      <c r="AU53" s="92"/>
      <c r="AV53" s="92"/>
      <c r="AW53" s="92"/>
      <c r="AX53" s="92"/>
      <c r="AZ53" s="92"/>
      <c r="BA53" s="92"/>
      <c r="BB53" s="92"/>
      <c r="BC53" s="92"/>
      <c r="BE53" s="92"/>
      <c r="BF53" s="92"/>
      <c r="BG53" s="92"/>
      <c r="BH53" s="92"/>
      <c r="BJ53" s="92"/>
      <c r="BK53" s="92"/>
      <c r="BL53" s="92"/>
      <c r="BM53" s="92"/>
      <c r="BO53" s="92"/>
      <c r="BP53" s="92"/>
      <c r="BQ53" s="92"/>
      <c r="BR53" s="92"/>
      <c r="BT53" s="92"/>
      <c r="BU53" s="92"/>
      <c r="BV53" s="92"/>
      <c r="BW53" s="92"/>
      <c r="BY53" s="92"/>
      <c r="BZ53" s="92"/>
      <c r="CA53" s="92"/>
      <c r="CB53" s="1"/>
      <c r="CD53" s="1"/>
      <c r="CE53" s="1"/>
      <c r="CF53" s="1"/>
      <c r="CG53" s="1"/>
      <c r="CI53" s="1"/>
      <c r="CJ53" s="1"/>
      <c r="CK53" s="1"/>
      <c r="CL53" s="1"/>
      <c r="CN53" s="1"/>
      <c r="CO53" s="1"/>
      <c r="CP53" s="536"/>
      <c r="CQ53" s="1"/>
      <c r="CS53" s="539"/>
      <c r="CT53" s="1"/>
      <c r="CU53" s="1"/>
      <c r="CV53" s="1"/>
      <c r="CX53" s="1"/>
      <c r="CY53" s="1"/>
      <c r="CZ53" s="1"/>
      <c r="DA53" s="266"/>
      <c r="DB53" s="330"/>
      <c r="DC53" s="1"/>
      <c r="DD53" s="1"/>
      <c r="DE53" s="1"/>
      <c r="DF53" s="1"/>
      <c r="DG53" s="330"/>
      <c r="DH53" s="1"/>
      <c r="DI53" s="1"/>
      <c r="DJ53" s="1"/>
      <c r="DK53" s="1"/>
      <c r="DL53" s="330"/>
      <c r="DM53" s="1"/>
      <c r="DN53" s="1"/>
      <c r="DO53" s="1"/>
      <c r="DP53" s="1"/>
      <c r="DQ53" s="330"/>
    </row>
    <row r="54" spans="1:131" s="435" customFormat="1" ht="11.25" customHeight="1">
      <c r="A54" s="433"/>
      <c r="B54" s="433" t="s">
        <v>20</v>
      </c>
      <c r="C54" s="433"/>
      <c r="D54" s="433"/>
      <c r="E54" s="433"/>
      <c r="F54" s="433"/>
      <c r="G54" s="426"/>
      <c r="H54" s="434">
        <f>H50-BS!H11</f>
        <v>0</v>
      </c>
      <c r="I54" s="434">
        <f>I50-BS!I11</f>
        <v>0</v>
      </c>
      <c r="J54" s="434">
        <f>J50-BS!J11</f>
        <v>0</v>
      </c>
      <c r="K54" s="434">
        <f>K50-BS!K11</f>
        <v>0</v>
      </c>
      <c r="L54" s="434">
        <f>L50-BS!L11</f>
        <v>0</v>
      </c>
      <c r="M54" s="434">
        <f>M50-BS!M11</f>
        <v>0</v>
      </c>
      <c r="N54" s="434">
        <f>N50-BS!N11</f>
        <v>0</v>
      </c>
      <c r="O54" s="434">
        <f>O50-BS!O11</f>
        <v>0</v>
      </c>
      <c r="P54" s="434">
        <f>P50-BS!P11</f>
        <v>0</v>
      </c>
      <c r="Q54" s="434">
        <f>Q50-BS!Q11</f>
        <v>0</v>
      </c>
      <c r="R54" s="434">
        <f>R50-BS!R11</f>
        <v>0</v>
      </c>
      <c r="S54" s="434">
        <f>S50-BS!S11</f>
        <v>0</v>
      </c>
      <c r="T54" s="434">
        <f>T50-BS!T11</f>
        <v>0</v>
      </c>
      <c r="U54" s="434">
        <f>U50-BS!U11</f>
        <v>0</v>
      </c>
      <c r="V54" s="434">
        <f>V50-BS!V11</f>
        <v>0</v>
      </c>
      <c r="W54" s="434">
        <f>W50-BS!W11</f>
        <v>0</v>
      </c>
      <c r="X54" s="434">
        <f>X50-BS!X11</f>
        <v>0</v>
      </c>
      <c r="Y54" s="434">
        <f>Y50-BS!Y11</f>
        <v>0</v>
      </c>
      <c r="Z54" s="434">
        <f>Z50-BS!Z11</f>
        <v>0</v>
      </c>
      <c r="AA54" s="434">
        <f>AA50-BS!AA11</f>
        <v>0</v>
      </c>
      <c r="AB54" s="434">
        <f>AB50-BS!AB11</f>
        <v>0</v>
      </c>
      <c r="AC54" s="434">
        <f>AC50-BS!AC11</f>
        <v>0</v>
      </c>
      <c r="AD54" s="434">
        <f>AD50-BS!AD11</f>
        <v>0</v>
      </c>
      <c r="AE54" s="434">
        <f>AE50-BS!AE11</f>
        <v>0</v>
      </c>
      <c r="AF54" s="434">
        <f>AF50-BS!AF11</f>
        <v>0</v>
      </c>
      <c r="AG54" s="434">
        <f>AG50-BS!AG11</f>
        <v>0</v>
      </c>
      <c r="AH54" s="434">
        <f>AH50-BS!AH11</f>
        <v>0</v>
      </c>
      <c r="AI54" s="434">
        <f>AI50-BS!AI11</f>
        <v>0</v>
      </c>
      <c r="AJ54" s="434">
        <f>AJ50-BS!AJ11</f>
        <v>0</v>
      </c>
      <c r="AK54" s="434">
        <f>AK50-BS!AK11</f>
        <v>0</v>
      </c>
      <c r="AL54" s="434">
        <f>AL50-BS!AL11</f>
        <v>0</v>
      </c>
      <c r="AM54" s="434">
        <f>AM50-BS!AM11</f>
        <v>0</v>
      </c>
      <c r="AN54" s="434">
        <f>AN50-BS!AN11</f>
        <v>0</v>
      </c>
      <c r="AO54" s="434">
        <f>AO50-BS!AO11</f>
        <v>0</v>
      </c>
      <c r="AP54" s="434">
        <f>AP50-BS!AP11</f>
        <v>0</v>
      </c>
      <c r="AQ54" s="434">
        <f>AQ50-BS!AQ11</f>
        <v>0</v>
      </c>
      <c r="AR54" s="434">
        <f>AR50-BS!AR11</f>
        <v>0</v>
      </c>
      <c r="AS54" s="434">
        <f>AS50-BS!AS11</f>
        <v>0</v>
      </c>
      <c r="AT54" s="434">
        <f>AT50-BS!AT11</f>
        <v>0</v>
      </c>
      <c r="AU54" s="434">
        <f>AU50-BS!AU11</f>
        <v>0</v>
      </c>
      <c r="AV54" s="434">
        <f>AV50-BS!AV11</f>
        <v>0</v>
      </c>
      <c r="AW54" s="434">
        <f>AW50-BS!AW11</f>
        <v>0</v>
      </c>
      <c r="AX54" s="434">
        <f>AX50-BS!AX11</f>
        <v>0</v>
      </c>
      <c r="AY54" s="434">
        <f>AY50-BS!AY11</f>
        <v>0</v>
      </c>
      <c r="AZ54" s="434">
        <f>AZ50-BS!AZ11</f>
        <v>0</v>
      </c>
      <c r="BA54" s="434">
        <f>BA50-BS!BA11</f>
        <v>0</v>
      </c>
      <c r="BB54" s="434">
        <f>BB50-BS!BB11</f>
        <v>0</v>
      </c>
      <c r="BC54" s="434">
        <f>BC50-BS!BC11</f>
        <v>0</v>
      </c>
      <c r="BD54" s="434">
        <f>BD50-BS!BD11</f>
        <v>0</v>
      </c>
      <c r="BE54" s="434">
        <f>BE50-BS!BE11</f>
        <v>0</v>
      </c>
      <c r="BF54" s="434">
        <f>BF50-BS!BF11</f>
        <v>0</v>
      </c>
      <c r="BG54" s="434">
        <f>BG50-BS!BG11</f>
        <v>0</v>
      </c>
      <c r="BH54" s="434">
        <f>BH50-BS!BH11</f>
        <v>0</v>
      </c>
      <c r="BI54" s="434">
        <f>BI50-BS!BI11</f>
        <v>0</v>
      </c>
      <c r="BJ54" s="434">
        <f>BJ50-BS!BJ11</f>
        <v>0</v>
      </c>
      <c r="BK54" s="434">
        <f>BK50-BS!BK11</f>
        <v>0</v>
      </c>
      <c r="BL54" s="434">
        <f>BL50-BS!BL11</f>
        <v>0</v>
      </c>
      <c r="BM54" s="434">
        <f>BM50-BS!BM11</f>
        <v>0</v>
      </c>
      <c r="BN54" s="434">
        <f>BN50-BS!BN11</f>
        <v>0</v>
      </c>
      <c r="BO54" s="434">
        <f>BO50-BS!BO11</f>
        <v>0</v>
      </c>
      <c r="BP54" s="434">
        <f>BP50-BS!BP11</f>
        <v>0</v>
      </c>
      <c r="BQ54" s="434">
        <f>BQ50-BS!BQ11</f>
        <v>0</v>
      </c>
      <c r="BR54" s="434">
        <f>BR50-BS!BR11</f>
        <v>0</v>
      </c>
      <c r="BS54" s="434">
        <f>BS50-BS!BS11</f>
        <v>0</v>
      </c>
      <c r="BT54" s="434">
        <f>BT50-BS!BT11</f>
        <v>0</v>
      </c>
      <c r="BU54" s="434">
        <f>BU50-BS!BU11</f>
        <v>0</v>
      </c>
      <c r="BV54" s="434">
        <f>BV50-BS!BV11</f>
        <v>0</v>
      </c>
      <c r="BW54" s="434">
        <f>BW50-BS!BW11</f>
        <v>0</v>
      </c>
      <c r="BX54" s="434">
        <f>BX50-BS!BX11</f>
        <v>0</v>
      </c>
      <c r="BY54" s="434">
        <f>BY50-BS!BY11</f>
        <v>0</v>
      </c>
      <c r="BZ54" s="434">
        <f>BZ50-BS!BZ11</f>
        <v>0</v>
      </c>
      <c r="CA54" s="434">
        <f>CA50-BS!CA11</f>
        <v>0</v>
      </c>
      <c r="CB54" s="434">
        <f>CB50-BS!CB11</f>
        <v>0</v>
      </c>
      <c r="CC54" s="434">
        <f>CC50-BS!CC11</f>
        <v>0</v>
      </c>
      <c r="CD54" s="434">
        <f>CD50-BS!CD11</f>
        <v>0</v>
      </c>
      <c r="CE54" s="436">
        <f>CE50-BS!CE11</f>
        <v>0</v>
      </c>
      <c r="CF54" s="436">
        <f>CF50-BS!CF11</f>
        <v>0</v>
      </c>
      <c r="CG54" s="434">
        <f>CG50-BS!CG11</f>
        <v>0</v>
      </c>
      <c r="CH54" s="434">
        <f>CH50-BS!CH11</f>
        <v>0</v>
      </c>
      <c r="CI54" s="434">
        <f>CI50-BS!CI11</f>
        <v>0</v>
      </c>
      <c r="CJ54" s="434">
        <f>CJ50-BS!CJ11</f>
        <v>0</v>
      </c>
      <c r="CK54" s="434">
        <f>CK50-BS!CK11</f>
        <v>0</v>
      </c>
      <c r="CL54" s="434">
        <f>CL50-BS!CL11</f>
        <v>0</v>
      </c>
      <c r="CM54" s="434">
        <f>CM50-BS!CM11</f>
        <v>0</v>
      </c>
      <c r="CN54" s="537">
        <f>CN50-BS!CN11</f>
        <v>0</v>
      </c>
      <c r="CO54" s="537">
        <f>CO50-BS!CO11</f>
        <v>0</v>
      </c>
      <c r="CP54" s="537">
        <f>CP50-BS!CP11</f>
        <v>0</v>
      </c>
      <c r="CQ54" s="542">
        <f>CQ50-BS!CQ11</f>
        <v>0</v>
      </c>
      <c r="CR54" s="471">
        <f>CR50-BS!CR11</f>
        <v>0</v>
      </c>
      <c r="CS54" s="545">
        <f>CS50-BS!CS11</f>
        <v>0</v>
      </c>
      <c r="CT54" s="436">
        <f>CT50-BS!CT11</f>
        <v>0</v>
      </c>
      <c r="CU54" s="434">
        <f>CU50-BS!CU11</f>
        <v>0</v>
      </c>
      <c r="CV54" s="545">
        <f>CV50-BS!CV11</f>
        <v>0</v>
      </c>
      <c r="CW54" s="471">
        <f>CW50-BS!CW11</f>
        <v>0</v>
      </c>
      <c r="CX54" s="434">
        <f>CX50-BS!CX11</f>
        <v>0</v>
      </c>
      <c r="CY54" s="436">
        <f>CY50-BS!CY11</f>
        <v>0</v>
      </c>
      <c r="CZ54" s="434">
        <f>CZ50-BS!CZ11</f>
        <v>0</v>
      </c>
      <c r="DA54" s="434">
        <f>DA50-BS!DA11</f>
        <v>0</v>
      </c>
      <c r="DB54" s="839">
        <f>DB50-BS!DB11</f>
        <v>0</v>
      </c>
      <c r="DC54" s="434">
        <f>DC50-BS!DC11</f>
        <v>0</v>
      </c>
      <c r="DD54" s="434">
        <f>DD50-BS!DD11</f>
        <v>0</v>
      </c>
      <c r="DE54" s="434">
        <f>DE50-BS!DE11</f>
        <v>0</v>
      </c>
      <c r="DF54" s="434">
        <f>DF50-BS!DF11</f>
        <v>0</v>
      </c>
      <c r="DG54" s="839">
        <f>DG50-BS!DG11</f>
        <v>0</v>
      </c>
      <c r="DH54" s="434">
        <f>DH50-BS!DH11</f>
        <v>0</v>
      </c>
      <c r="DI54" s="434">
        <f>DI50-BS!DI11</f>
        <v>0</v>
      </c>
      <c r="DJ54" s="434">
        <f>DJ50-BS!DJ11</f>
        <v>0</v>
      </c>
      <c r="DK54" s="434">
        <f>DK50-BS!DK11</f>
        <v>0</v>
      </c>
      <c r="DL54" s="839">
        <f>DL50-BS!DL11</f>
        <v>0</v>
      </c>
      <c r="DM54" s="434">
        <f>DM50-BS!DM11</f>
        <v>0</v>
      </c>
      <c r="DN54" s="434">
        <f>DN50-BS!DN11</f>
        <v>0</v>
      </c>
      <c r="DO54" s="434">
        <f>DO50-BS!DO11</f>
        <v>0</v>
      </c>
      <c r="DP54" s="434">
        <f>DP50-BS!DP11</f>
        <v>0</v>
      </c>
      <c r="DQ54" s="839">
        <f>DQ50-BS!DQ11</f>
        <v>0</v>
      </c>
      <c r="DR54" s="433"/>
      <c r="DT54"/>
      <c r="DU54"/>
      <c r="DV54"/>
      <c r="DW54"/>
      <c r="DX54"/>
      <c r="DY54"/>
    </row>
    <row r="55" spans="1:131" ht="11.25" customHeight="1">
      <c r="BY55" s="1"/>
      <c r="BZ55" s="1"/>
      <c r="CA55" s="1"/>
      <c r="CB55" s="1"/>
      <c r="CD55" s="1"/>
      <c r="CE55" s="1"/>
      <c r="CF55" s="1"/>
      <c r="CG55" s="1"/>
      <c r="CI55" s="1"/>
      <c r="CJ55" s="1"/>
      <c r="CK55" s="1"/>
      <c r="CL55" s="1"/>
      <c r="CN55" s="1"/>
      <c r="CO55" s="1"/>
      <c r="CP55" s="1"/>
      <c r="CQ55" s="1"/>
      <c r="CS55" s="1"/>
      <c r="CT55" s="1"/>
      <c r="CU55" s="1"/>
      <c r="CV55" s="1"/>
      <c r="CX55" s="1"/>
      <c r="CY55" s="1"/>
      <c r="CZ55" s="1"/>
      <c r="DA55" s="1"/>
      <c r="DB55" s="330"/>
      <c r="DC55" s="1"/>
      <c r="DD55" s="1"/>
      <c r="DE55" s="1"/>
      <c r="DF55" s="1"/>
      <c r="DG55" s="330"/>
      <c r="DH55" s="1"/>
      <c r="DI55" s="1"/>
      <c r="DJ55" s="1"/>
      <c r="DK55" s="1"/>
      <c r="DL55" s="330"/>
      <c r="DM55" s="1"/>
      <c r="DN55" s="1"/>
      <c r="DO55" s="1"/>
      <c r="DP55" s="1"/>
      <c r="DQ55" s="330"/>
    </row>
    <row r="56" spans="1:131" ht="11.25" hidden="1" customHeight="1" outlineLevel="1">
      <c r="B56" s="197" t="s">
        <v>74</v>
      </c>
      <c r="C56" s="47"/>
      <c r="D56" s="47"/>
      <c r="E56" s="47"/>
      <c r="F56" s="47"/>
      <c r="G56" s="46"/>
      <c r="H56" s="47"/>
      <c r="I56" s="47"/>
      <c r="J56" s="48"/>
      <c r="K56" s="46"/>
      <c r="L56" s="46"/>
      <c r="M56" s="47"/>
      <c r="N56" s="47"/>
      <c r="O56" s="47"/>
      <c r="P56" s="47"/>
      <c r="Q56" s="46"/>
      <c r="R56" s="47"/>
      <c r="S56" s="47"/>
      <c r="T56" s="48"/>
      <c r="U56" s="47"/>
      <c r="V56" s="47"/>
      <c r="W56" s="47"/>
      <c r="X56" s="47"/>
      <c r="Y56" s="48"/>
      <c r="Z56" s="47"/>
      <c r="AA56" s="47"/>
      <c r="AB56" s="47"/>
      <c r="AC56" s="47"/>
      <c r="AD56" s="47"/>
      <c r="AE56" s="47"/>
      <c r="AF56" s="46"/>
      <c r="AG56" s="47"/>
      <c r="AH56" s="47"/>
      <c r="AI56" s="47"/>
      <c r="AJ56" s="47"/>
      <c r="AK56" s="46"/>
      <c r="AL56" s="47"/>
      <c r="AM56" s="47"/>
      <c r="AN56" s="48"/>
      <c r="AO56" s="47"/>
      <c r="AP56" s="47"/>
      <c r="AQ56" s="47"/>
      <c r="AR56" s="47"/>
      <c r="AS56" s="48"/>
      <c r="AT56" s="47"/>
      <c r="AU56" s="47"/>
      <c r="AV56" s="47"/>
      <c r="AW56" s="47"/>
      <c r="AX56" s="47"/>
      <c r="AY56" s="47"/>
      <c r="AZ56" s="46"/>
      <c r="BA56" s="47"/>
      <c r="BB56" s="47"/>
      <c r="BC56" s="47"/>
      <c r="BD56" s="47"/>
      <c r="BE56" s="46"/>
      <c r="BF56" s="47"/>
      <c r="BG56" s="47"/>
      <c r="BH56" s="48"/>
      <c r="BI56" s="47"/>
      <c r="BJ56" s="47"/>
      <c r="BK56" s="47"/>
      <c r="BL56" s="47"/>
      <c r="BM56" s="48"/>
      <c r="BN56" s="47"/>
      <c r="BO56" s="47"/>
      <c r="BP56" s="47"/>
      <c r="BQ56" s="47"/>
      <c r="BR56" s="47"/>
      <c r="BS56" s="47"/>
      <c r="BT56" s="46"/>
      <c r="BU56" s="47"/>
      <c r="BV56" s="47"/>
      <c r="BW56" s="47"/>
      <c r="BX56" s="47"/>
      <c r="BY56" s="46"/>
      <c r="BZ56" s="47"/>
      <c r="CA56" s="47"/>
      <c r="CB56" s="48"/>
      <c r="CC56" s="47"/>
      <c r="CD56" s="47"/>
      <c r="CE56" s="47"/>
      <c r="CF56" s="47"/>
      <c r="CG56" s="48"/>
      <c r="CH56" s="47"/>
      <c r="CI56" s="47"/>
      <c r="CJ56" s="47"/>
      <c r="CK56" s="47"/>
      <c r="CL56" s="48"/>
      <c r="CM56" s="47"/>
      <c r="CN56" s="47"/>
      <c r="CO56" s="47"/>
      <c r="CP56" s="47"/>
      <c r="CQ56" s="48"/>
      <c r="CR56" s="604"/>
      <c r="CS56" s="47"/>
      <c r="CT56" s="47"/>
      <c r="CU56" s="47"/>
      <c r="CV56" s="48"/>
      <c r="CW56" s="604"/>
      <c r="CX56" s="47"/>
      <c r="CY56" s="47"/>
      <c r="CZ56" s="47"/>
      <c r="DA56" s="47"/>
      <c r="DB56" s="604"/>
      <c r="DC56" s="47"/>
      <c r="DD56" s="47"/>
      <c r="DE56" s="47"/>
      <c r="DF56" s="47"/>
      <c r="DG56" s="604"/>
      <c r="DH56" s="47"/>
      <c r="DI56" s="47"/>
      <c r="DJ56" s="47"/>
      <c r="DK56" s="47"/>
      <c r="DL56" s="604"/>
      <c r="DM56" s="47"/>
      <c r="DN56" s="47"/>
      <c r="DO56" s="47"/>
      <c r="DP56" s="47"/>
      <c r="DQ56" s="604"/>
      <c r="DR56" s="4"/>
      <c r="DS56" s="112"/>
    </row>
    <row r="57" spans="1:131" ht="11.25" hidden="1" customHeight="1" outlineLevel="1">
      <c r="B57" s="73" t="s">
        <v>75</v>
      </c>
      <c r="C57" s="74"/>
      <c r="D57" s="74"/>
      <c r="E57" s="74"/>
      <c r="F57" s="74"/>
      <c r="G57" s="221"/>
      <c r="H57" s="222"/>
      <c r="I57" s="222"/>
      <c r="J57" s="223"/>
      <c r="K57" s="3"/>
      <c r="L57" s="221"/>
      <c r="M57" s="222"/>
      <c r="N57" s="222"/>
      <c r="O57" s="222"/>
      <c r="P57" s="4"/>
      <c r="Q57" s="221"/>
      <c r="R57" s="222"/>
      <c r="S57" s="222"/>
      <c r="T57" s="223"/>
      <c r="U57" s="4"/>
      <c r="V57" s="222"/>
      <c r="W57" s="222"/>
      <c r="X57" s="222"/>
      <c r="Y57" s="223"/>
      <c r="Z57" s="4"/>
      <c r="AA57" s="222"/>
      <c r="AB57" s="222"/>
      <c r="AC57" s="222"/>
      <c r="AD57" s="222"/>
      <c r="AE57" s="4"/>
      <c r="AF57" s="221"/>
      <c r="AG57" s="222"/>
      <c r="AH57" s="222"/>
      <c r="AI57" s="222"/>
      <c r="AJ57" s="4"/>
      <c r="AK57" s="221"/>
      <c r="AL57" s="222"/>
      <c r="AM57" s="222"/>
      <c r="AN57" s="223"/>
      <c r="AO57" s="4"/>
      <c r="AP57" s="222"/>
      <c r="AQ57" s="222"/>
      <c r="AR57" s="222"/>
      <c r="AS57" s="223"/>
      <c r="AT57" s="4"/>
      <c r="AU57" s="222"/>
      <c r="AV57" s="222"/>
      <c r="AW57" s="222"/>
      <c r="AX57" s="222"/>
      <c r="AY57" s="4"/>
      <c r="AZ57" s="221"/>
      <c r="BA57" s="222"/>
      <c r="BB57" s="222"/>
      <c r="BC57" s="222"/>
      <c r="BD57" s="4"/>
      <c r="BE57" s="221"/>
      <c r="BF57" s="222"/>
      <c r="BG57" s="222"/>
      <c r="BH57" s="223"/>
      <c r="BI57" s="4"/>
      <c r="BJ57" s="222"/>
      <c r="BK57" s="222"/>
      <c r="BL57" s="222"/>
      <c r="BM57" s="223"/>
      <c r="BN57" s="4"/>
      <c r="BO57" s="222"/>
      <c r="BP57" s="222"/>
      <c r="BQ57" s="222"/>
      <c r="BR57" s="222"/>
      <c r="BS57" s="4"/>
      <c r="BT57" s="221"/>
      <c r="BU57" s="222"/>
      <c r="BV57" s="222"/>
      <c r="BW57" s="222"/>
      <c r="BX57" s="4"/>
      <c r="BY57" s="221"/>
      <c r="BZ57" s="222"/>
      <c r="CA57" s="222"/>
      <c r="CB57" s="223"/>
      <c r="CC57" s="4"/>
      <c r="CD57" s="222"/>
      <c r="CE57" s="222"/>
      <c r="CF57" s="222"/>
      <c r="CG57" s="223"/>
      <c r="CH57" s="4"/>
      <c r="CI57" s="222"/>
      <c r="CJ57" s="222"/>
      <c r="CK57" s="222"/>
      <c r="CL57" s="223"/>
      <c r="CM57" s="4"/>
      <c r="CN57" s="222"/>
      <c r="CO57" s="72"/>
      <c r="CP57" s="222"/>
      <c r="CQ57" s="223"/>
      <c r="CR57" s="330"/>
      <c r="CS57" s="222"/>
      <c r="CT57" s="222"/>
      <c r="CU57" s="222"/>
      <c r="CV57" s="223"/>
      <c r="CW57" s="330"/>
      <c r="CX57" s="222"/>
      <c r="CY57" s="222"/>
      <c r="CZ57" s="222"/>
      <c r="DA57" s="222"/>
      <c r="DB57" s="330"/>
      <c r="DC57" s="222"/>
      <c r="DD57" s="222"/>
      <c r="DE57" s="222"/>
      <c r="DF57" s="222"/>
      <c r="DG57" s="330"/>
      <c r="DH57" s="222"/>
      <c r="DI57" s="222"/>
      <c r="DJ57" s="222"/>
      <c r="DK57" s="222"/>
      <c r="DL57" s="330"/>
      <c r="DM57" s="222"/>
      <c r="DN57" s="222"/>
      <c r="DO57" s="222"/>
      <c r="DP57" s="222"/>
      <c r="DQ57" s="330"/>
      <c r="DR57" s="4"/>
      <c r="DS57" s="112"/>
    </row>
    <row r="58" spans="1:131" s="187" customFormat="1" ht="11.25" hidden="1" customHeight="1" outlineLevel="1">
      <c r="A58" s="156"/>
      <c r="B58" s="186"/>
      <c r="C58" s="185" t="s">
        <v>76</v>
      </c>
      <c r="D58" s="185"/>
      <c r="E58" s="185"/>
      <c r="F58" s="185"/>
      <c r="G58" s="229">
        <v>0.71199999999999997</v>
      </c>
      <c r="H58" s="230">
        <v>1.778</v>
      </c>
      <c r="I58" s="230">
        <v>3.4769999999999994</v>
      </c>
      <c r="J58" s="231">
        <v>6.0330000000000004</v>
      </c>
      <c r="K58" s="14">
        <f t="shared" ref="K58:K71" si="192">K12</f>
        <v>6.0330000000000004</v>
      </c>
      <c r="L58" s="229">
        <v>2.7589999999999999</v>
      </c>
      <c r="M58" s="230">
        <v>5.3140000000000001</v>
      </c>
      <c r="N58" s="230">
        <v>8.173</v>
      </c>
      <c r="O58" s="231">
        <v>11.234</v>
      </c>
      <c r="P58" s="15">
        <f t="shared" ref="P58:P71" si="193">P12</f>
        <v>11.234</v>
      </c>
      <c r="Q58" s="244">
        <v>3.4609999999999999</v>
      </c>
      <c r="R58" s="245">
        <v>7.479000000000001</v>
      </c>
      <c r="S58" s="245">
        <v>12.264000000000001</v>
      </c>
      <c r="T58" s="246">
        <v>17.683</v>
      </c>
      <c r="U58" s="15">
        <f t="shared" ref="U58:U71" si="194">U12</f>
        <v>17.683</v>
      </c>
      <c r="V58" s="245">
        <v>5.5650000000000004</v>
      </c>
      <c r="W58" s="245">
        <v>11.412000000000001</v>
      </c>
      <c r="X58" s="245">
        <v>17.52</v>
      </c>
      <c r="Y58" s="246">
        <v>22.16</v>
      </c>
      <c r="Z58" s="15">
        <f t="shared" ref="Z58:Z71" si="195">Z12</f>
        <v>22.16</v>
      </c>
      <c r="AA58" s="245">
        <v>7.109</v>
      </c>
      <c r="AB58" s="245">
        <v>15.756</v>
      </c>
      <c r="AC58" s="245">
        <v>25.422999999999995</v>
      </c>
      <c r="AD58" s="246">
        <v>34.561999999999998</v>
      </c>
      <c r="AE58" s="15">
        <f t="shared" ref="AE58:AE71" si="196">AE12</f>
        <v>34.561999999999998</v>
      </c>
      <c r="AF58" s="244">
        <v>10.178000000000001</v>
      </c>
      <c r="AG58" s="245">
        <v>23.68</v>
      </c>
      <c r="AH58" s="245">
        <v>39.64</v>
      </c>
      <c r="AI58" s="246">
        <v>57.365000000000002</v>
      </c>
      <c r="AJ58" s="15">
        <f t="shared" ref="AJ58:AJ71" si="197">AJ12</f>
        <v>57.365000000000002</v>
      </c>
      <c r="AK58" s="244">
        <v>19.788</v>
      </c>
      <c r="AL58" s="245">
        <v>43.588999999999999</v>
      </c>
      <c r="AM58" s="245">
        <v>69.641000000000005</v>
      </c>
      <c r="AN58" s="246">
        <v>100.24299999999999</v>
      </c>
      <c r="AO58" s="15">
        <f t="shared" ref="AO58:AO71" si="198">AO12</f>
        <v>100.24299999999999</v>
      </c>
      <c r="AP58" s="245">
        <v>31.978000000000002</v>
      </c>
      <c r="AQ58" s="245">
        <v>68.010000000000005</v>
      </c>
      <c r="AR58" s="245">
        <v>108.59300000000002</v>
      </c>
      <c r="AS58" s="246">
        <v>166.26599999999999</v>
      </c>
      <c r="AT58" s="15">
        <f t="shared" ref="AT58:AT71" si="199">AT12</f>
        <v>166.26599999999999</v>
      </c>
      <c r="AU58" s="230">
        <v>47.163999999999994</v>
      </c>
      <c r="AV58" s="230">
        <v>102.235</v>
      </c>
      <c r="AW58" s="230">
        <v>163.262</v>
      </c>
      <c r="AX58" s="231">
        <v>232.79499999999999</v>
      </c>
      <c r="AY58" s="15">
        <f t="shared" ref="AY58:AY71" si="200">AY12</f>
        <v>232.79499999999999</v>
      </c>
      <c r="AZ58" s="229">
        <v>75.445999999999998</v>
      </c>
      <c r="BA58" s="230">
        <v>157.72300000000001</v>
      </c>
      <c r="BB58" s="230">
        <v>253.87700000000001</v>
      </c>
      <c r="BC58" s="231">
        <v>350.13299999999998</v>
      </c>
      <c r="BD58" s="15">
        <f t="shared" ref="BD58:BD71" si="201">BD12</f>
        <v>350.13299999999998</v>
      </c>
      <c r="BE58" s="229">
        <v>101.87299999999999</v>
      </c>
      <c r="BF58" s="230">
        <v>205.72900000000001</v>
      </c>
      <c r="BG58" s="230">
        <v>318.55700000000002</v>
      </c>
      <c r="BH58" s="231">
        <v>430.84500000000003</v>
      </c>
      <c r="BI58" s="15">
        <f t="shared" ref="BI58:BI71" si="202">BI12</f>
        <v>430.84500000000003</v>
      </c>
      <c r="BJ58" s="230">
        <v>113.13199999999995</v>
      </c>
      <c r="BK58" s="230">
        <v>254.38699999999994</v>
      </c>
      <c r="BL58" s="230">
        <v>390.95899999999995</v>
      </c>
      <c r="BM58" s="231">
        <v>534.96299999999997</v>
      </c>
      <c r="BN58" s="15">
        <f t="shared" ref="BN58:BN71" si="203">BN12</f>
        <v>534.96299999999997</v>
      </c>
      <c r="BO58" s="230">
        <v>151.5</v>
      </c>
      <c r="BP58" s="230">
        <v>323.67500000000001</v>
      </c>
      <c r="BQ58" s="230">
        <v>527.37400000000002</v>
      </c>
      <c r="BR58" s="231">
        <v>733.54</v>
      </c>
      <c r="BS58" s="15">
        <f t="shared" ref="BS58:BS71" si="204">BS12</f>
        <v>733.54</v>
      </c>
      <c r="BT58" s="229">
        <v>208.32699999999988</v>
      </c>
      <c r="BU58" s="230">
        <v>416.37199999999984</v>
      </c>
      <c r="BV58" s="230">
        <v>643.49099999999987</v>
      </c>
      <c r="BW58" s="231">
        <v>883.61800000000005</v>
      </c>
      <c r="BX58" s="15">
        <f t="shared" ref="BX58:BX71" si="205">BX12</f>
        <v>883.61800000000005</v>
      </c>
      <c r="BY58" s="229">
        <v>243.65099999999993</v>
      </c>
      <c r="BZ58" s="230">
        <v>495.58300000000003</v>
      </c>
      <c r="CA58" s="230">
        <v>772.48400000000004</v>
      </c>
      <c r="CB58" s="231">
        <v>1051.2629999999999</v>
      </c>
      <c r="CC58" s="15">
        <f t="shared" ref="CC58:CC71" si="206">CC12</f>
        <v>1051.2629999999999</v>
      </c>
      <c r="CD58" s="230">
        <v>284.209</v>
      </c>
      <c r="CE58" s="245">
        <v>584.61899999999991</v>
      </c>
      <c r="CF58" s="245">
        <v>904.24599999999987</v>
      </c>
      <c r="CG58" s="450">
        <v>1228.5779999999997</v>
      </c>
      <c r="CH58" s="15">
        <f t="shared" ref="CH58:CH71" si="207">CH12</f>
        <v>1228.5779999999997</v>
      </c>
      <c r="CI58" s="230">
        <v>348.87800000000004</v>
      </c>
      <c r="CJ58" s="245">
        <v>720.78599999999994</v>
      </c>
      <c r="CK58" s="245">
        <v>1076.4100000000001</v>
      </c>
      <c r="CL58" s="450">
        <v>1439.2670000000001</v>
      </c>
      <c r="CM58" s="15">
        <f t="shared" ref="CM58:CM71" si="208">CM12</f>
        <v>1439.2670000000003</v>
      </c>
      <c r="CN58" s="230">
        <v>382.9</v>
      </c>
      <c r="CO58" s="245">
        <v>803</v>
      </c>
      <c r="CP58" s="245">
        <v>1200.2</v>
      </c>
      <c r="CQ58" s="450">
        <v>1623.6</v>
      </c>
      <c r="CR58" s="352">
        <f t="shared" ref="CR58:CR71" si="209">CR12</f>
        <v>1623.6</v>
      </c>
      <c r="CS58" s="230">
        <v>441.2</v>
      </c>
      <c r="CT58" s="245">
        <v>693.6</v>
      </c>
      <c r="CU58" s="245">
        <v>1138</v>
      </c>
      <c r="CV58" s="246">
        <v>1553</v>
      </c>
      <c r="CW58" s="352">
        <f>CW12</f>
        <v>1553.8999999999996</v>
      </c>
      <c r="CX58" s="230">
        <v>557</v>
      </c>
      <c r="CY58" s="245">
        <v>1027</v>
      </c>
      <c r="CZ58" s="245">
        <v>1522</v>
      </c>
      <c r="DA58" s="1104">
        <v>1504</v>
      </c>
      <c r="DB58" s="352">
        <f>DB12</f>
        <v>1504</v>
      </c>
      <c r="DC58" s="239">
        <f t="shared" ref="DC58:DC64" si="210">+DC12</f>
        <v>561.56931106164393</v>
      </c>
      <c r="DD58" s="239">
        <f t="shared" ref="DD58:DF64" si="211">DC58+DD12</f>
        <v>1153.6800436113592</v>
      </c>
      <c r="DE58" s="239">
        <f t="shared" si="211"/>
        <v>1766.4170663162499</v>
      </c>
      <c r="DF58" s="239">
        <f t="shared" si="211"/>
        <v>2411.7356820676127</v>
      </c>
      <c r="DG58" s="352">
        <f t="shared" ref="DG58:DG71" si="212">DG12</f>
        <v>2411.7356820676127</v>
      </c>
      <c r="DH58" s="239">
        <f t="shared" ref="DH58:DH64" si="213">+DH12</f>
        <v>648.50859669975773</v>
      </c>
      <c r="DI58" s="239">
        <f t="shared" ref="DI58:DK64" si="214">DH58+DI12</f>
        <v>1323.7552858996182</v>
      </c>
      <c r="DJ58" s="239">
        <f t="shared" si="214"/>
        <v>2015.5610375935403</v>
      </c>
      <c r="DK58" s="239">
        <f t="shared" si="214"/>
        <v>2720.2278926318249</v>
      </c>
      <c r="DL58" s="352">
        <f t="shared" ref="DL58:DL71" si="215">DL12</f>
        <v>2720.2278926318249</v>
      </c>
      <c r="DM58" s="239">
        <f t="shared" ref="DM58:DM64" si="216">+DM12</f>
        <v>699.6007210597154</v>
      </c>
      <c r="DN58" s="239">
        <f t="shared" ref="DN58:DN64" si="217">DM58+DN12</f>
        <v>1427.7809905115921</v>
      </c>
      <c r="DO58" s="239">
        <f t="shared" ref="DO58:DO64" si="218">DN58+DO12</f>
        <v>2175.5456459431202</v>
      </c>
      <c r="DP58" s="239">
        <f t="shared" ref="DP58:DP64" si="219">DO58+DP12</f>
        <v>2935.8840845642731</v>
      </c>
      <c r="DQ58" s="352">
        <f t="shared" ref="DQ58:DQ71" si="220">DQ12</f>
        <v>2935.8840845642731</v>
      </c>
      <c r="DR58" s="86"/>
      <c r="DS58" s="139"/>
      <c r="DT58"/>
      <c r="DU58"/>
      <c r="DV58"/>
      <c r="DW58"/>
      <c r="DX58"/>
      <c r="DY58"/>
      <c r="DZ58" s="144"/>
      <c r="EA58" s="144"/>
    </row>
    <row r="59" spans="1:131" s="187" customFormat="1" ht="11.25" hidden="1" customHeight="1" outlineLevel="1">
      <c r="A59" s="156"/>
      <c r="B59" s="186"/>
      <c r="C59" s="185" t="s">
        <v>11</v>
      </c>
      <c r="D59" s="185"/>
      <c r="E59" s="185"/>
      <c r="F59" s="185"/>
      <c r="G59" s="229">
        <v>0.48</v>
      </c>
      <c r="H59" s="230">
        <v>1.0149999999999999</v>
      </c>
      <c r="I59" s="230">
        <v>1.6020000000000003</v>
      </c>
      <c r="J59" s="231">
        <v>2.2220000000000004</v>
      </c>
      <c r="K59" s="14">
        <f t="shared" si="192"/>
        <v>2.2220000000000004</v>
      </c>
      <c r="L59" s="229">
        <v>0.63100000000000001</v>
      </c>
      <c r="M59" s="230">
        <v>1.341</v>
      </c>
      <c r="N59" s="230">
        <v>2.15</v>
      </c>
      <c r="O59" s="231">
        <v>3.0369999999999999</v>
      </c>
      <c r="P59" s="15">
        <f t="shared" si="193"/>
        <v>3.0369999999999999</v>
      </c>
      <c r="Q59" s="244">
        <v>0.97099999999999997</v>
      </c>
      <c r="R59" s="245">
        <v>1.9969999999999999</v>
      </c>
      <c r="S59" s="245">
        <v>3.242</v>
      </c>
      <c r="T59" s="246">
        <v>4.5069999999999997</v>
      </c>
      <c r="U59" s="15">
        <f t="shared" si="194"/>
        <v>4.5069999999999997</v>
      </c>
      <c r="V59" s="245">
        <v>1.4379999999999999</v>
      </c>
      <c r="W59" s="245">
        <v>2.9370000000000003</v>
      </c>
      <c r="X59" s="245">
        <v>4.5660000000000007</v>
      </c>
      <c r="Y59" s="246">
        <v>6.367</v>
      </c>
      <c r="Z59" s="15">
        <f t="shared" si="195"/>
        <v>6.367</v>
      </c>
      <c r="AA59" s="245">
        <v>1.927</v>
      </c>
      <c r="AB59" s="245">
        <v>3.6740000000000004</v>
      </c>
      <c r="AC59" s="245">
        <v>5.6790000000000003</v>
      </c>
      <c r="AD59" s="246">
        <v>7.8420000000000005</v>
      </c>
      <c r="AE59" s="15">
        <f t="shared" si="196"/>
        <v>7.8420000000000005</v>
      </c>
      <c r="AF59" s="244">
        <v>2.6219999999999999</v>
      </c>
      <c r="AG59" s="245">
        <v>5.3889999999999993</v>
      </c>
      <c r="AH59" s="245">
        <v>8.3969999999999985</v>
      </c>
      <c r="AI59" s="246">
        <v>11.935999999999998</v>
      </c>
      <c r="AJ59" s="15">
        <f t="shared" si="197"/>
        <v>11.935999999999998</v>
      </c>
      <c r="AK59" s="244">
        <v>3.8650000000000002</v>
      </c>
      <c r="AL59" s="245">
        <v>7.6929999999999996</v>
      </c>
      <c r="AM59" s="245">
        <v>11.776</v>
      </c>
      <c r="AN59" s="246">
        <v>16.446999999999999</v>
      </c>
      <c r="AO59" s="15">
        <f t="shared" si="198"/>
        <v>16.446999999999999</v>
      </c>
      <c r="AP59" s="245">
        <v>5.09</v>
      </c>
      <c r="AQ59" s="245">
        <v>10.539</v>
      </c>
      <c r="AR59" s="245">
        <v>16.12</v>
      </c>
      <c r="AS59" s="246">
        <v>21.4</v>
      </c>
      <c r="AT59" s="15">
        <f t="shared" si="199"/>
        <v>21.4</v>
      </c>
      <c r="AU59" s="230">
        <v>7.03</v>
      </c>
      <c r="AV59" s="230">
        <v>14.831</v>
      </c>
      <c r="AW59" s="230">
        <v>23.692</v>
      </c>
      <c r="AX59" s="231">
        <v>34.162999999999997</v>
      </c>
      <c r="AY59" s="15">
        <f t="shared" si="200"/>
        <v>34.162999999999997</v>
      </c>
      <c r="AZ59" s="229">
        <v>12.26</v>
      </c>
      <c r="BA59" s="230">
        <v>25.313000000000002</v>
      </c>
      <c r="BB59" s="230">
        <v>39.183</v>
      </c>
      <c r="BC59" s="231">
        <v>53.917999999999999</v>
      </c>
      <c r="BD59" s="15">
        <f t="shared" si="201"/>
        <v>53.917999999999999</v>
      </c>
      <c r="BE59" s="229">
        <v>16.292999999999999</v>
      </c>
      <c r="BF59" s="230">
        <v>34.07</v>
      </c>
      <c r="BG59" s="230">
        <v>53.543999999999997</v>
      </c>
      <c r="BH59" s="231">
        <v>74.796999999999997</v>
      </c>
      <c r="BI59" s="15">
        <f t="shared" si="202"/>
        <v>74.796999999999997</v>
      </c>
      <c r="BJ59" s="230">
        <v>21.152000000000001</v>
      </c>
      <c r="BK59" s="230">
        <v>42.731000000000002</v>
      </c>
      <c r="BL59" s="230">
        <v>65.031999999999996</v>
      </c>
      <c r="BM59" s="231">
        <v>89.370999999999981</v>
      </c>
      <c r="BN59" s="15">
        <f t="shared" si="203"/>
        <v>89.370999999999981</v>
      </c>
      <c r="BO59" s="230">
        <v>27.381</v>
      </c>
      <c r="BP59" s="230">
        <v>52.628999999999998</v>
      </c>
      <c r="BQ59" s="230">
        <v>80.558000000000007</v>
      </c>
      <c r="BR59" s="231">
        <v>110.172</v>
      </c>
      <c r="BS59" s="15">
        <f t="shared" si="204"/>
        <v>110.172</v>
      </c>
      <c r="BT59" s="229">
        <v>28.963999999999999</v>
      </c>
      <c r="BU59" s="230">
        <v>58.237000000000002</v>
      </c>
      <c r="BV59" s="230">
        <v>89.876000000000005</v>
      </c>
      <c r="BW59" s="231">
        <v>124.175</v>
      </c>
      <c r="BX59" s="15">
        <f t="shared" si="205"/>
        <v>124.17500000000001</v>
      </c>
      <c r="BY59" s="229">
        <v>36.625</v>
      </c>
      <c r="BZ59" s="230">
        <v>74.058000000000007</v>
      </c>
      <c r="CA59" s="230">
        <v>115.42400000000001</v>
      </c>
      <c r="CB59" s="231">
        <v>156.58799999999999</v>
      </c>
      <c r="CC59" s="15">
        <f t="shared" si="206"/>
        <v>156.58799999999999</v>
      </c>
      <c r="CD59" s="230">
        <v>43.600999999999999</v>
      </c>
      <c r="CE59" s="245">
        <v>87.435000000000002</v>
      </c>
      <c r="CF59" s="245">
        <v>132.01300000000001</v>
      </c>
      <c r="CG59" s="450">
        <v>179.93</v>
      </c>
      <c r="CH59" s="15">
        <f t="shared" si="207"/>
        <v>179.93</v>
      </c>
      <c r="CI59" s="230">
        <v>46.197632101878291</v>
      </c>
      <c r="CJ59" s="245">
        <v>95.474000000000004</v>
      </c>
      <c r="CK59" s="245">
        <v>145.191</v>
      </c>
      <c r="CL59" s="450">
        <v>208.06700000000001</v>
      </c>
      <c r="CM59" s="15">
        <f t="shared" si="208"/>
        <v>208.06700000000001</v>
      </c>
      <c r="CN59" s="230">
        <v>75.599999999999994</v>
      </c>
      <c r="CO59" s="245">
        <v>159.6</v>
      </c>
      <c r="CP59" s="245">
        <v>242</v>
      </c>
      <c r="CQ59" s="450">
        <v>330</v>
      </c>
      <c r="CR59" s="352">
        <f t="shared" si="209"/>
        <v>330</v>
      </c>
      <c r="CS59" s="230">
        <v>87.7</v>
      </c>
      <c r="CT59" s="245">
        <v>180.6</v>
      </c>
      <c r="CU59" s="245">
        <v>278.39999999999998</v>
      </c>
      <c r="CV59" s="246">
        <v>379</v>
      </c>
      <c r="CW59" s="352">
        <f t="shared" ref="CW59:CW71" si="221">CW13</f>
        <v>379</v>
      </c>
      <c r="CX59" s="230">
        <v>104</v>
      </c>
      <c r="CY59" s="245">
        <v>207</v>
      </c>
      <c r="CZ59" s="245">
        <v>321</v>
      </c>
      <c r="DA59" s="1105">
        <f t="shared" ref="DA59:DA64" si="222">CZ59+DA13</f>
        <v>407.00000000000011</v>
      </c>
      <c r="DB59" s="352">
        <f>DB13</f>
        <v>407.00000000000011</v>
      </c>
      <c r="DC59" s="239">
        <f t="shared" si="210"/>
        <v>95.81684288757927</v>
      </c>
      <c r="DD59" s="239">
        <f t="shared" si="211"/>
        <v>191.92478100070514</v>
      </c>
      <c r="DE59" s="239">
        <f t="shared" si="211"/>
        <v>288.88954563938569</v>
      </c>
      <c r="DF59" s="239">
        <f t="shared" si="211"/>
        <v>387.55572830905191</v>
      </c>
      <c r="DG59" s="352">
        <f t="shared" si="212"/>
        <v>387.55572830905191</v>
      </c>
      <c r="DH59" s="239">
        <f t="shared" si="213"/>
        <v>99.834459947413947</v>
      </c>
      <c r="DI59" s="239">
        <f t="shared" si="214"/>
        <v>200.02816564249781</v>
      </c>
      <c r="DJ59" s="239">
        <f t="shared" si="214"/>
        <v>301.19038642653106</v>
      </c>
      <c r="DK59" s="239">
        <f t="shared" si="214"/>
        <v>404.22843368532631</v>
      </c>
      <c r="DL59" s="352">
        <f t="shared" si="215"/>
        <v>404.22843368532631</v>
      </c>
      <c r="DM59" s="239">
        <f t="shared" si="216"/>
        <v>104.33681789425067</v>
      </c>
      <c r="DN59" s="239">
        <f t="shared" si="217"/>
        <v>209.09640331566789</v>
      </c>
      <c r="DO59" s="239">
        <f t="shared" si="218"/>
        <v>314.9332372208379</v>
      </c>
      <c r="DP59" s="239">
        <f t="shared" si="219"/>
        <v>422.82444767889262</v>
      </c>
      <c r="DQ59" s="352">
        <f t="shared" si="220"/>
        <v>422.82444767889262</v>
      </c>
      <c r="DR59" s="86"/>
      <c r="DS59" s="139"/>
      <c r="DT59"/>
      <c r="DU59"/>
      <c r="DV59"/>
      <c r="DW59"/>
      <c r="DX59"/>
      <c r="DY59"/>
      <c r="DZ59" s="144"/>
      <c r="EA59" s="144"/>
    </row>
    <row r="60" spans="1:131" s="187" customFormat="1" ht="11.25" hidden="1" customHeight="1" outlineLevel="1">
      <c r="A60" s="156"/>
      <c r="B60" s="186"/>
      <c r="C60" s="185" t="s">
        <v>77</v>
      </c>
      <c r="D60" s="185"/>
      <c r="E60" s="185"/>
      <c r="F60" s="185"/>
      <c r="G60" s="229">
        <v>-6.2E-2</v>
      </c>
      <c r="H60" s="230">
        <v>-6.2E-2</v>
      </c>
      <c r="I60" s="230">
        <v>3.9000000000000007E-2</v>
      </c>
      <c r="J60" s="231">
        <v>4.4999999999999998E-2</v>
      </c>
      <c r="K60" s="14">
        <f t="shared" si="192"/>
        <v>4.4999999999999998E-2</v>
      </c>
      <c r="L60" s="229">
        <v>0</v>
      </c>
      <c r="M60" s="230">
        <v>0</v>
      </c>
      <c r="N60" s="230">
        <v>-1.7999999999999999E-2</v>
      </c>
      <c r="O60" s="231">
        <v>-3.1E-2</v>
      </c>
      <c r="P60" s="15">
        <f t="shared" si="193"/>
        <v>-3.1E-2</v>
      </c>
      <c r="Q60" s="244">
        <v>1.2999999999999999E-2</v>
      </c>
      <c r="R60" s="245">
        <v>5.2999999999999999E-2</v>
      </c>
      <c r="S60" s="245">
        <v>0.26900000000000002</v>
      </c>
      <c r="T60" s="246">
        <v>0.57200000000000006</v>
      </c>
      <c r="U60" s="15">
        <f t="shared" si="194"/>
        <v>0.57200000000000006</v>
      </c>
      <c r="V60" s="245">
        <v>0.755</v>
      </c>
      <c r="W60" s="245">
        <v>1.081</v>
      </c>
      <c r="X60" s="245">
        <v>1.3879999999999999</v>
      </c>
      <c r="Y60" s="246">
        <v>1.8370000000000002</v>
      </c>
      <c r="Z60" s="15">
        <f t="shared" si="195"/>
        <v>1.8370000000000002</v>
      </c>
      <c r="AA60" s="245">
        <v>0.32800000000000001</v>
      </c>
      <c r="AB60" s="245">
        <v>0.36799999999999999</v>
      </c>
      <c r="AC60" s="245">
        <v>0.54099999999999993</v>
      </c>
      <c r="AD60" s="246">
        <v>0.51</v>
      </c>
      <c r="AE60" s="15">
        <f t="shared" si="196"/>
        <v>0.51</v>
      </c>
      <c r="AF60" s="244">
        <v>-4.0000000000000001E-3</v>
      </c>
      <c r="AG60" s="245">
        <v>3.0000000000000001E-3</v>
      </c>
      <c r="AH60" s="245">
        <v>5.2000000000000005E-2</v>
      </c>
      <c r="AI60" s="246">
        <v>0.1</v>
      </c>
      <c r="AJ60" s="15">
        <f t="shared" si="197"/>
        <v>0.1</v>
      </c>
      <c r="AK60" s="244">
        <v>7.9000000000000001E-2</v>
      </c>
      <c r="AL60" s="245">
        <v>0.16899999999999998</v>
      </c>
      <c r="AM60" s="245">
        <v>0.26699999999999996</v>
      </c>
      <c r="AN60" s="246">
        <v>0.52699999999999991</v>
      </c>
      <c r="AO60" s="15">
        <f t="shared" si="198"/>
        <v>0.52699999999999991</v>
      </c>
      <c r="AP60" s="245">
        <v>0.42599999999999999</v>
      </c>
      <c r="AQ60" s="245">
        <v>0.71599999999999997</v>
      </c>
      <c r="AR60" s="245">
        <v>0.61199999999999999</v>
      </c>
      <c r="AS60" s="246">
        <v>1.6259999999999999</v>
      </c>
      <c r="AT60" s="15">
        <f t="shared" si="199"/>
        <v>1.6259999999999999</v>
      </c>
      <c r="AU60" s="230">
        <v>0.23300000000000001</v>
      </c>
      <c r="AV60" s="230">
        <v>0.84699999999999998</v>
      </c>
      <c r="AW60" s="230">
        <v>1.2849999999999999</v>
      </c>
      <c r="AX60" s="231">
        <v>1.5069999999999999</v>
      </c>
      <c r="AY60" s="15">
        <f t="shared" si="200"/>
        <v>1.5069999999999999</v>
      </c>
      <c r="AZ60" s="244">
        <v>0.497</v>
      </c>
      <c r="BA60" s="245">
        <v>1.6219999999999999</v>
      </c>
      <c r="BB60" s="245">
        <v>3.1319999999999997</v>
      </c>
      <c r="BC60" s="246">
        <v>3.56</v>
      </c>
      <c r="BD60" s="15">
        <f t="shared" si="201"/>
        <v>3.56</v>
      </c>
      <c r="BE60" s="244">
        <v>1.64</v>
      </c>
      <c r="BF60" s="245">
        <v>4.1639999999999997</v>
      </c>
      <c r="BG60" s="245">
        <v>7.7759999999999998</v>
      </c>
      <c r="BH60" s="246">
        <v>8.4730000000000008</v>
      </c>
      <c r="BI60" s="15">
        <f t="shared" si="202"/>
        <v>8.4730000000000008</v>
      </c>
      <c r="BJ60" s="230">
        <v>1.4E-2</v>
      </c>
      <c r="BK60" s="230">
        <v>0.73299999999999998</v>
      </c>
      <c r="BL60" s="230">
        <v>2.6819999999999999</v>
      </c>
      <c r="BM60" s="231">
        <v>3.347</v>
      </c>
      <c r="BN60" s="15">
        <f t="shared" si="203"/>
        <v>3.347</v>
      </c>
      <c r="BO60" s="230">
        <v>2.6579999999999999</v>
      </c>
      <c r="BP60" s="230">
        <v>5.5149999999999997</v>
      </c>
      <c r="BQ60" s="230">
        <v>8.0500000000000007</v>
      </c>
      <c r="BR60" s="231">
        <v>5.95</v>
      </c>
      <c r="BS60" s="15">
        <f t="shared" si="204"/>
        <v>5.9499999999999993</v>
      </c>
      <c r="BT60" s="229">
        <v>-0.81899999999999995</v>
      </c>
      <c r="BU60" s="230">
        <v>2.5169999999999999</v>
      </c>
      <c r="BV60" s="230">
        <v>3.5329999999999999</v>
      </c>
      <c r="BW60" s="231">
        <v>4.5819999999999999</v>
      </c>
      <c r="BX60" s="15">
        <f t="shared" si="205"/>
        <v>4.5819999999999999</v>
      </c>
      <c r="BY60" s="229">
        <v>1.1240000000000001</v>
      </c>
      <c r="BZ60" s="230">
        <v>2.673</v>
      </c>
      <c r="CA60" s="230">
        <v>4.3479999999999999</v>
      </c>
      <c r="CB60" s="231">
        <v>5.0759999999999996</v>
      </c>
      <c r="CC60" s="15">
        <f t="shared" si="206"/>
        <v>5.0759999999999996</v>
      </c>
      <c r="CD60" s="230">
        <v>1.7290000000000001</v>
      </c>
      <c r="CE60" s="245">
        <v>3.51</v>
      </c>
      <c r="CF60" s="245">
        <v>5.9850000000000003</v>
      </c>
      <c r="CG60" s="450">
        <v>3.5710000000000002</v>
      </c>
      <c r="CH60" s="15">
        <f t="shared" si="207"/>
        <v>3.5710000000000002</v>
      </c>
      <c r="CI60" s="230">
        <v>0</v>
      </c>
      <c r="CJ60" s="245">
        <v>6.1970000000000001</v>
      </c>
      <c r="CK60" s="245">
        <v>2.8780000000000001</v>
      </c>
      <c r="CL60" s="450">
        <v>4.6749999999999998</v>
      </c>
      <c r="CM60" s="15">
        <f t="shared" si="208"/>
        <v>4.6749999999999998</v>
      </c>
      <c r="CN60" s="230">
        <v>-4.9000000000000004</v>
      </c>
      <c r="CO60" s="245">
        <v>-1.4</v>
      </c>
      <c r="CP60" s="245">
        <v>8.4</v>
      </c>
      <c r="CQ60" s="450">
        <v>10.199999999999999</v>
      </c>
      <c r="CR60" s="352">
        <f t="shared" si="209"/>
        <v>10.199999999999999</v>
      </c>
      <c r="CS60" s="230">
        <v>5.4</v>
      </c>
      <c r="CT60" s="245">
        <v>4</v>
      </c>
      <c r="CU60" s="245">
        <v>9.1999999999999993</v>
      </c>
      <c r="CV60" s="246">
        <v>12</v>
      </c>
      <c r="CW60" s="352">
        <f t="shared" si="221"/>
        <v>12</v>
      </c>
      <c r="CX60" s="86">
        <v>9</v>
      </c>
      <c r="CY60" s="245">
        <v>17</v>
      </c>
      <c r="CZ60" s="245">
        <v>12</v>
      </c>
      <c r="DA60" s="1105">
        <f t="shared" si="222"/>
        <v>12</v>
      </c>
      <c r="DB60" s="352">
        <f t="shared" ref="DB60:DB71" si="223">DB14</f>
        <v>12</v>
      </c>
      <c r="DC60" s="239">
        <f t="shared" si="210"/>
        <v>0</v>
      </c>
      <c r="DD60" s="239">
        <f t="shared" si="211"/>
        <v>0</v>
      </c>
      <c r="DE60" s="239">
        <f t="shared" si="211"/>
        <v>0</v>
      </c>
      <c r="DF60" s="239">
        <f t="shared" si="211"/>
        <v>0</v>
      </c>
      <c r="DG60" s="352">
        <f t="shared" si="212"/>
        <v>0</v>
      </c>
      <c r="DH60" s="239">
        <f t="shared" si="213"/>
        <v>0</v>
      </c>
      <c r="DI60" s="239">
        <f t="shared" si="214"/>
        <v>0</v>
      </c>
      <c r="DJ60" s="239">
        <f t="shared" si="214"/>
        <v>0</v>
      </c>
      <c r="DK60" s="239">
        <f t="shared" si="214"/>
        <v>0</v>
      </c>
      <c r="DL60" s="352">
        <f t="shared" si="215"/>
        <v>0</v>
      </c>
      <c r="DM60" s="239">
        <f t="shared" si="216"/>
        <v>0</v>
      </c>
      <c r="DN60" s="239">
        <f t="shared" si="217"/>
        <v>0</v>
      </c>
      <c r="DO60" s="239">
        <f t="shared" si="218"/>
        <v>0</v>
      </c>
      <c r="DP60" s="239">
        <f t="shared" si="219"/>
        <v>0</v>
      </c>
      <c r="DQ60" s="352">
        <f t="shared" si="220"/>
        <v>0</v>
      </c>
      <c r="DR60" s="86"/>
      <c r="DS60" s="139"/>
      <c r="DT60"/>
      <c r="DU60"/>
      <c r="DV60"/>
      <c r="DW60"/>
      <c r="DX60"/>
      <c r="DY60"/>
      <c r="DZ60" s="144"/>
      <c r="EA60" s="144"/>
    </row>
    <row r="61" spans="1:131" s="187" customFormat="1" ht="11.25" hidden="1" customHeight="1" outlineLevel="1">
      <c r="A61" s="156"/>
      <c r="B61" s="186"/>
      <c r="C61" s="185" t="s">
        <v>78</v>
      </c>
      <c r="D61" s="185"/>
      <c r="E61" s="185"/>
      <c r="F61" s="185"/>
      <c r="G61" s="229">
        <v>0.42599999999999999</v>
      </c>
      <c r="H61" s="230">
        <v>1.252</v>
      </c>
      <c r="I61" s="230">
        <v>2.2229999999999999</v>
      </c>
      <c r="J61" s="231">
        <v>3.51</v>
      </c>
      <c r="K61" s="14">
        <f t="shared" si="192"/>
        <v>3.51</v>
      </c>
      <c r="L61" s="229">
        <v>1.613</v>
      </c>
      <c r="M61" s="230">
        <v>1.8</v>
      </c>
      <c r="N61" s="230">
        <v>2.4550000000000001</v>
      </c>
      <c r="O61" s="231">
        <f>4.258+0.886</f>
        <v>5.1440000000000001</v>
      </c>
      <c r="P61" s="15">
        <f t="shared" si="193"/>
        <v>5.1440000000000001</v>
      </c>
      <c r="Q61" s="244">
        <f>1.639+0.03</f>
        <v>1.669</v>
      </c>
      <c r="R61" s="245">
        <f>3.504+0.794</f>
        <v>4.298</v>
      </c>
      <c r="S61" s="245">
        <f>5.065+1.095</f>
        <v>6.16</v>
      </c>
      <c r="T61" s="246">
        <f>6.341+1.258</f>
        <v>7.5990000000000002</v>
      </c>
      <c r="U61" s="15">
        <f t="shared" si="194"/>
        <v>7.5990000000000002</v>
      </c>
      <c r="V61" s="245">
        <f>1.713+0.523</f>
        <v>2.2360000000000002</v>
      </c>
      <c r="W61" s="245">
        <f>3.437+2.421</f>
        <v>5.8579999999999997</v>
      </c>
      <c r="X61" s="245">
        <f>5.675+4.101</f>
        <v>9.7759999999999998</v>
      </c>
      <c r="Y61" s="246">
        <f>7.791+4.633</f>
        <v>12.423999999999999</v>
      </c>
      <c r="Z61" s="15">
        <f t="shared" si="195"/>
        <v>12.423999999999999</v>
      </c>
      <c r="AA61" s="245">
        <f>0.511+0.423</f>
        <v>0.93399999999999994</v>
      </c>
      <c r="AB61" s="245">
        <f>1.098+2.47</f>
        <v>3.5680000000000005</v>
      </c>
      <c r="AC61" s="245">
        <f>0.979+5.545</f>
        <v>6.524</v>
      </c>
      <c r="AD61" s="246">
        <f>0.012+12.111</f>
        <v>12.123000000000001</v>
      </c>
      <c r="AE61" s="15">
        <f t="shared" si="196"/>
        <v>12.123000000000001</v>
      </c>
      <c r="AF61" s="244">
        <f>0.032+1.156</f>
        <v>1.1879999999999999</v>
      </c>
      <c r="AG61" s="245">
        <f>1.919+5.226</f>
        <v>7.1449999999999996</v>
      </c>
      <c r="AH61" s="245">
        <f>2.949+13.228</f>
        <v>16.177</v>
      </c>
      <c r="AI61" s="246">
        <f>-10.977+22.299</f>
        <v>11.321999999999999</v>
      </c>
      <c r="AJ61" s="15">
        <f t="shared" si="197"/>
        <v>11.322000000000001</v>
      </c>
      <c r="AK61" s="244">
        <f>-1.585+4.29</f>
        <v>2.7050000000000001</v>
      </c>
      <c r="AL61" s="245">
        <f>-3.374+18.69</f>
        <v>15.316000000000001</v>
      </c>
      <c r="AM61" s="245">
        <f>-7.434+26.522</f>
        <v>19.087999999999997</v>
      </c>
      <c r="AN61" s="246">
        <f>-22.326+36.799</f>
        <v>14.472999999999999</v>
      </c>
      <c r="AO61" s="15">
        <f t="shared" si="198"/>
        <v>14.472999999999999</v>
      </c>
      <c r="AP61" s="245">
        <f>-7.642+11.978</f>
        <v>4.3359999999999994</v>
      </c>
      <c r="AQ61" s="245">
        <f>-11.484+21.025</f>
        <v>9.5409999999999986</v>
      </c>
      <c r="AR61" s="245">
        <f>-28.19+45.429</f>
        <v>17.239000000000001</v>
      </c>
      <c r="AS61" s="246">
        <f>-47.34+49.705</f>
        <v>2.3649999999999949</v>
      </c>
      <c r="AT61" s="15">
        <f t="shared" si="199"/>
        <v>2.3649999999999949</v>
      </c>
      <c r="AU61" s="245">
        <f>-3.489+9.931</f>
        <v>6.4419999999999993</v>
      </c>
      <c r="AV61" s="245">
        <f>-1.734+15.751</f>
        <v>14.016999999999999</v>
      </c>
      <c r="AW61" s="245">
        <f>-0.277+24.416</f>
        <v>24.138999999999999</v>
      </c>
      <c r="AX61" s="246">
        <v>33.286000000000001</v>
      </c>
      <c r="AY61" s="15">
        <f t="shared" si="200"/>
        <v>33.286000000000001</v>
      </c>
      <c r="AZ61" s="244">
        <v>4.2640000000000002</v>
      </c>
      <c r="BA61" s="245">
        <v>8.8960000000000008</v>
      </c>
      <c r="BB61" s="245">
        <v>22.536000000000001</v>
      </c>
      <c r="BC61" s="246">
        <v>25.061000000000003</v>
      </c>
      <c r="BD61" s="15">
        <f t="shared" si="201"/>
        <v>25.061000000000003</v>
      </c>
      <c r="BE61" s="244">
        <v>-6.6689999999999996</v>
      </c>
      <c r="BF61" s="245">
        <v>7.0060000000000002</v>
      </c>
      <c r="BG61" s="245">
        <v>9.9019999999999992</v>
      </c>
      <c r="BH61" s="246">
        <v>-5.0280000000000005</v>
      </c>
      <c r="BI61" s="15">
        <f t="shared" si="202"/>
        <v>-5.0280000000000005</v>
      </c>
      <c r="BJ61" s="230">
        <v>3.9350000000000001</v>
      </c>
      <c r="BK61" s="230">
        <v>-4.8669999999999991</v>
      </c>
      <c r="BL61" s="230">
        <v>-17.663</v>
      </c>
      <c r="BM61" s="231">
        <v>-26.588999999999999</v>
      </c>
      <c r="BN61" s="15">
        <f t="shared" si="203"/>
        <v>-26.588999999999999</v>
      </c>
      <c r="BO61" s="230">
        <v>23.326000000000001</v>
      </c>
      <c r="BP61" s="230">
        <v>38.86</v>
      </c>
      <c r="BQ61" s="230">
        <v>39.720999999999997</v>
      </c>
      <c r="BR61" s="231">
        <v>-51.908999999999999</v>
      </c>
      <c r="BS61" s="15">
        <f t="shared" si="204"/>
        <v>-51.908999999999999</v>
      </c>
      <c r="BT61" s="229">
        <v>19.901</v>
      </c>
      <c r="BU61" s="230">
        <v>-1.8189999999999991</v>
      </c>
      <c r="BV61" s="230">
        <v>-26.204000000000001</v>
      </c>
      <c r="BW61" s="231">
        <v>-8.5990000000000002</v>
      </c>
      <c r="BX61" s="15">
        <f t="shared" si="205"/>
        <v>-8.5990000000000002</v>
      </c>
      <c r="BY61" s="229">
        <v>-8.1820000000000004</v>
      </c>
      <c r="BZ61" s="230">
        <v>17.128999999999998</v>
      </c>
      <c r="CA61" s="230">
        <v>-61.89</v>
      </c>
      <c r="CB61" s="231">
        <v>-117.908</v>
      </c>
      <c r="CC61" s="15">
        <f t="shared" si="206"/>
        <v>-117.90800000000002</v>
      </c>
      <c r="CD61" s="230">
        <v>23.03</v>
      </c>
      <c r="CE61" s="245">
        <v>-0.997</v>
      </c>
      <c r="CF61" s="245">
        <v>-22.844000000000001</v>
      </c>
      <c r="CG61" s="450">
        <v>-88.194000000000003</v>
      </c>
      <c r="CH61" s="15">
        <f t="shared" si="207"/>
        <v>-88.194000000000017</v>
      </c>
      <c r="CI61" s="230">
        <v>0</v>
      </c>
      <c r="CJ61" s="245">
        <v>2.44</v>
      </c>
      <c r="CK61" s="245">
        <v>-43.372999999999998</v>
      </c>
      <c r="CL61" s="450">
        <v>-99.58</v>
      </c>
      <c r="CM61" s="15">
        <f t="shared" si="208"/>
        <v>-99.58</v>
      </c>
      <c r="CN61" s="230">
        <v>29</v>
      </c>
      <c r="CO61" s="245">
        <v>-36.9</v>
      </c>
      <c r="CP61" s="245">
        <v>-107.3</v>
      </c>
      <c r="CQ61" s="450">
        <v>-126.1</v>
      </c>
      <c r="CR61" s="352">
        <f t="shared" si="209"/>
        <v>-126.1</v>
      </c>
      <c r="CS61" s="230">
        <v>68.599999999999994</v>
      </c>
      <c r="CT61" s="245">
        <v>26.1</v>
      </c>
      <c r="CU61" s="245">
        <v>-44.2</v>
      </c>
      <c r="CV61" s="246">
        <v>-91</v>
      </c>
      <c r="CW61" s="352">
        <f t="shared" si="221"/>
        <v>-91</v>
      </c>
      <c r="CX61" s="86">
        <v>9</v>
      </c>
      <c r="CY61" s="245">
        <v>8</v>
      </c>
      <c r="CZ61" s="245">
        <v>-46</v>
      </c>
      <c r="DA61" s="1105">
        <f t="shared" si="222"/>
        <v>-46</v>
      </c>
      <c r="DB61" s="352">
        <f t="shared" si="223"/>
        <v>-46</v>
      </c>
      <c r="DC61" s="239">
        <f t="shared" si="210"/>
        <v>0</v>
      </c>
      <c r="DD61" s="239">
        <f t="shared" si="211"/>
        <v>0</v>
      </c>
      <c r="DE61" s="239">
        <f t="shared" si="211"/>
        <v>0</v>
      </c>
      <c r="DF61" s="239">
        <f t="shared" si="211"/>
        <v>0</v>
      </c>
      <c r="DG61" s="352">
        <f t="shared" si="212"/>
        <v>0</v>
      </c>
      <c r="DH61" s="239">
        <f t="shared" si="213"/>
        <v>0</v>
      </c>
      <c r="DI61" s="239">
        <f t="shared" si="214"/>
        <v>0</v>
      </c>
      <c r="DJ61" s="239">
        <f t="shared" si="214"/>
        <v>0</v>
      </c>
      <c r="DK61" s="239">
        <f t="shared" si="214"/>
        <v>0</v>
      </c>
      <c r="DL61" s="352">
        <f t="shared" si="215"/>
        <v>0</v>
      </c>
      <c r="DM61" s="239">
        <f t="shared" si="216"/>
        <v>0</v>
      </c>
      <c r="DN61" s="239">
        <f t="shared" si="217"/>
        <v>0</v>
      </c>
      <c r="DO61" s="239">
        <f t="shared" si="218"/>
        <v>0</v>
      </c>
      <c r="DP61" s="239">
        <f t="shared" si="219"/>
        <v>0</v>
      </c>
      <c r="DQ61" s="352">
        <f t="shared" si="220"/>
        <v>0</v>
      </c>
      <c r="DR61" s="86"/>
      <c r="DS61" s="139"/>
      <c r="DT61"/>
      <c r="DU61"/>
      <c r="DV61"/>
      <c r="DW61"/>
      <c r="DX61"/>
      <c r="DY61"/>
      <c r="DZ61" s="144"/>
      <c r="EA61" s="144"/>
    </row>
    <row r="62" spans="1:131" s="187" customFormat="1" ht="11.25" hidden="1" customHeight="1" outlineLevel="1">
      <c r="A62" s="156"/>
      <c r="B62" s="186"/>
      <c r="C62" s="185" t="s">
        <v>79</v>
      </c>
      <c r="D62" s="185"/>
      <c r="E62" s="185"/>
      <c r="F62" s="185"/>
      <c r="G62" s="87">
        <v>0</v>
      </c>
      <c r="H62" s="230">
        <v>0</v>
      </c>
      <c r="I62" s="86">
        <v>0</v>
      </c>
      <c r="J62" s="88">
        <v>0</v>
      </c>
      <c r="K62" s="14">
        <f t="shared" si="192"/>
        <v>0</v>
      </c>
      <c r="L62" s="87">
        <v>0</v>
      </c>
      <c r="M62" s="230">
        <v>0</v>
      </c>
      <c r="N62" s="86">
        <v>0</v>
      </c>
      <c r="O62" s="88">
        <v>0</v>
      </c>
      <c r="P62" s="15">
        <f t="shared" si="193"/>
        <v>0</v>
      </c>
      <c r="Q62" s="247">
        <v>0</v>
      </c>
      <c r="R62" s="245">
        <v>0</v>
      </c>
      <c r="S62" s="248">
        <v>0</v>
      </c>
      <c r="T62" s="249">
        <v>0</v>
      </c>
      <c r="U62" s="15">
        <f t="shared" si="194"/>
        <v>0</v>
      </c>
      <c r="V62" s="248">
        <v>0</v>
      </c>
      <c r="W62" s="245">
        <v>0</v>
      </c>
      <c r="X62" s="248">
        <v>0</v>
      </c>
      <c r="Y62" s="249">
        <v>0</v>
      </c>
      <c r="Z62" s="15">
        <f t="shared" si="195"/>
        <v>0</v>
      </c>
      <c r="AA62" s="248">
        <v>0</v>
      </c>
      <c r="AB62" s="245">
        <v>0</v>
      </c>
      <c r="AC62" s="248">
        <v>0</v>
      </c>
      <c r="AD62" s="249">
        <v>0</v>
      </c>
      <c r="AE62" s="15">
        <f t="shared" si="196"/>
        <v>0</v>
      </c>
      <c r="AF62" s="247">
        <v>0</v>
      </c>
      <c r="AG62" s="245">
        <v>0</v>
      </c>
      <c r="AH62" s="248">
        <v>0</v>
      </c>
      <c r="AI62" s="249">
        <v>0</v>
      </c>
      <c r="AJ62" s="15">
        <f t="shared" si="197"/>
        <v>0</v>
      </c>
      <c r="AK62" s="247">
        <v>0</v>
      </c>
      <c r="AL62" s="245">
        <v>0</v>
      </c>
      <c r="AM62" s="248">
        <v>0</v>
      </c>
      <c r="AN62" s="249">
        <v>0</v>
      </c>
      <c r="AO62" s="15">
        <f t="shared" si="198"/>
        <v>0</v>
      </c>
      <c r="AP62" s="248">
        <v>0</v>
      </c>
      <c r="AQ62" s="245">
        <v>0</v>
      </c>
      <c r="AR62" s="248">
        <v>0</v>
      </c>
      <c r="AS62" s="249">
        <v>0</v>
      </c>
      <c r="AT62" s="15">
        <f t="shared" si="199"/>
        <v>0</v>
      </c>
      <c r="AU62" s="248">
        <v>7.6020000000000003</v>
      </c>
      <c r="AV62" s="245">
        <v>14.371</v>
      </c>
      <c r="AW62" s="248">
        <v>21.841000000000001</v>
      </c>
      <c r="AX62" s="249">
        <v>29.934000000000001</v>
      </c>
      <c r="AY62" s="15">
        <f t="shared" si="200"/>
        <v>29.933999999999997</v>
      </c>
      <c r="AZ62" s="247">
        <v>7.4379999999999997</v>
      </c>
      <c r="BA62" s="245">
        <v>16.95</v>
      </c>
      <c r="BB62" s="248">
        <v>26.105</v>
      </c>
      <c r="BC62" s="249">
        <v>35.915999999999997</v>
      </c>
      <c r="BD62" s="15">
        <f t="shared" si="201"/>
        <v>35.915999999999997</v>
      </c>
      <c r="BE62" s="247">
        <v>12.984</v>
      </c>
      <c r="BF62" s="245">
        <v>23.448</v>
      </c>
      <c r="BG62" s="248">
        <v>32.957000000000001</v>
      </c>
      <c r="BH62" s="249">
        <v>43.9</v>
      </c>
      <c r="BI62" s="15">
        <f t="shared" si="202"/>
        <v>43.9</v>
      </c>
      <c r="BJ62" s="86">
        <v>11.763</v>
      </c>
      <c r="BK62" s="230">
        <v>20.149000000000001</v>
      </c>
      <c r="BL62" s="86">
        <v>32.005000000000003</v>
      </c>
      <c r="BM62" s="88">
        <v>44.816000000000003</v>
      </c>
      <c r="BN62" s="15">
        <f t="shared" si="203"/>
        <v>44.816000000000003</v>
      </c>
      <c r="BO62" s="86">
        <v>13.945</v>
      </c>
      <c r="BP62" s="230">
        <v>27.934999999999999</v>
      </c>
      <c r="BQ62" s="86">
        <v>42.043999999999997</v>
      </c>
      <c r="BR62" s="88">
        <v>56.984000000000002</v>
      </c>
      <c r="BS62" s="15">
        <f t="shared" si="204"/>
        <v>56.983999999999995</v>
      </c>
      <c r="BT62" s="87">
        <v>16.065000000000001</v>
      </c>
      <c r="BU62" s="230">
        <v>39.744</v>
      </c>
      <c r="BV62" s="86">
        <v>64.244</v>
      </c>
      <c r="BW62" s="88">
        <v>90.231999999999999</v>
      </c>
      <c r="BX62" s="15">
        <f t="shared" si="205"/>
        <v>90.231999999999999</v>
      </c>
      <c r="BY62" s="87">
        <v>31.379000000000001</v>
      </c>
      <c r="BZ62" s="230">
        <v>57.65</v>
      </c>
      <c r="CA62" s="86">
        <v>79.911000000000001</v>
      </c>
      <c r="CB62" s="88">
        <v>107.355</v>
      </c>
      <c r="CC62" s="15">
        <f t="shared" si="206"/>
        <v>107.355</v>
      </c>
      <c r="CD62" s="86">
        <v>29.093</v>
      </c>
      <c r="CE62" s="248">
        <v>59.33</v>
      </c>
      <c r="CF62" s="248">
        <v>86.352999999999994</v>
      </c>
      <c r="CG62" s="440">
        <v>118.8</v>
      </c>
      <c r="CH62" s="15">
        <f t="shared" si="207"/>
        <v>118.8</v>
      </c>
      <c r="CI62" s="86">
        <v>35.817</v>
      </c>
      <c r="CJ62" s="248">
        <v>69.350999999999999</v>
      </c>
      <c r="CK62" s="248">
        <v>100.622</v>
      </c>
      <c r="CL62" s="440">
        <v>134.82499999999999</v>
      </c>
      <c r="CM62" s="15">
        <f t="shared" si="208"/>
        <v>134.82499999999999</v>
      </c>
      <c r="CN62" s="86">
        <v>45.8</v>
      </c>
      <c r="CO62" s="248">
        <v>95.2</v>
      </c>
      <c r="CP62" s="248">
        <v>141.6</v>
      </c>
      <c r="CQ62" s="440">
        <v>192</v>
      </c>
      <c r="CR62" s="352">
        <f t="shared" si="209"/>
        <v>192</v>
      </c>
      <c r="CS62" s="86">
        <v>53.5</v>
      </c>
      <c r="CT62" s="248">
        <v>115.7</v>
      </c>
      <c r="CU62" s="248">
        <v>165.4</v>
      </c>
      <c r="CV62" s="249">
        <v>217</v>
      </c>
      <c r="CW62" s="352">
        <f t="shared" si="221"/>
        <v>217</v>
      </c>
      <c r="CX62" s="86">
        <v>54</v>
      </c>
      <c r="CY62" s="248">
        <v>109</v>
      </c>
      <c r="CZ62" s="248">
        <v>161</v>
      </c>
      <c r="DA62" s="1106">
        <f t="shared" si="222"/>
        <v>221</v>
      </c>
      <c r="DB62" s="352">
        <f t="shared" si="223"/>
        <v>221</v>
      </c>
      <c r="DC62" s="239">
        <f t="shared" si="210"/>
        <v>58.074375000000003</v>
      </c>
      <c r="DD62" s="15">
        <f t="shared" si="211"/>
        <v>118.21057500000001</v>
      </c>
      <c r="DE62" s="15">
        <f t="shared" si="211"/>
        <v>179.708775</v>
      </c>
      <c r="DF62" s="15">
        <f t="shared" si="211"/>
        <v>242.236875</v>
      </c>
      <c r="DG62" s="352">
        <f t="shared" si="212"/>
        <v>242.236875</v>
      </c>
      <c r="DH62" s="239">
        <f t="shared" si="213"/>
        <v>62.684589375000002</v>
      </c>
      <c r="DI62" s="15">
        <f t="shared" si="214"/>
        <v>127.61841712499999</v>
      </c>
      <c r="DJ62" s="15">
        <f t="shared" si="214"/>
        <v>194.03025787500002</v>
      </c>
      <c r="DK62" s="15">
        <f t="shared" si="214"/>
        <v>261.48179887500004</v>
      </c>
      <c r="DL62" s="352">
        <f t="shared" si="215"/>
        <v>261.48179887500004</v>
      </c>
      <c r="DM62" s="239">
        <f t="shared" si="216"/>
        <v>67.725858796875002</v>
      </c>
      <c r="DN62" s="15">
        <f t="shared" si="217"/>
        <v>137.72153566687501</v>
      </c>
      <c r="DO62" s="15">
        <f t="shared" si="218"/>
        <v>209.41485398062503</v>
      </c>
      <c r="DP62" s="15">
        <f t="shared" si="219"/>
        <v>282.15020174062505</v>
      </c>
      <c r="DQ62" s="352">
        <f t="shared" si="220"/>
        <v>282.15020174062505</v>
      </c>
      <c r="DR62" s="86"/>
      <c r="DS62" s="139"/>
      <c r="DT62"/>
      <c r="DU62"/>
      <c r="DV62"/>
      <c r="DW62"/>
      <c r="DX62"/>
      <c r="DY62"/>
      <c r="DZ62" s="144"/>
      <c r="EA62" s="144"/>
    </row>
    <row r="63" spans="1:131" s="155" customFormat="1" hidden="1" outlineLevel="1">
      <c r="A63" s="192"/>
      <c r="B63" s="136"/>
      <c r="C63" s="135" t="s">
        <v>80</v>
      </c>
      <c r="D63" s="135"/>
      <c r="E63" s="135"/>
      <c r="F63" s="135"/>
      <c r="G63" s="62">
        <v>0</v>
      </c>
      <c r="H63" s="61">
        <v>0</v>
      </c>
      <c r="I63" s="61">
        <v>0</v>
      </c>
      <c r="J63" s="63">
        <v>0</v>
      </c>
      <c r="K63" s="14">
        <f t="shared" si="192"/>
        <v>0</v>
      </c>
      <c r="L63" s="62">
        <v>0</v>
      </c>
      <c r="M63" s="61">
        <v>0</v>
      </c>
      <c r="N63" s="61">
        <v>0</v>
      </c>
      <c r="O63" s="61">
        <v>0</v>
      </c>
      <c r="P63" s="15">
        <f t="shared" si="193"/>
        <v>0</v>
      </c>
      <c r="Q63" s="250">
        <v>0</v>
      </c>
      <c r="R63" s="251">
        <v>0</v>
      </c>
      <c r="S63" s="251">
        <v>0</v>
      </c>
      <c r="T63" s="252">
        <v>0</v>
      </c>
      <c r="U63" s="15">
        <f t="shared" si="194"/>
        <v>0</v>
      </c>
      <c r="V63" s="251">
        <v>0</v>
      </c>
      <c r="W63" s="251">
        <v>0</v>
      </c>
      <c r="X63" s="251">
        <v>0</v>
      </c>
      <c r="Y63" s="252">
        <v>0</v>
      </c>
      <c r="Z63" s="15">
        <f t="shared" si="195"/>
        <v>0</v>
      </c>
      <c r="AA63" s="251">
        <v>0</v>
      </c>
      <c r="AB63" s="251">
        <v>0</v>
      </c>
      <c r="AC63" s="251">
        <v>0</v>
      </c>
      <c r="AD63" s="251">
        <v>0</v>
      </c>
      <c r="AE63" s="15">
        <f t="shared" si="196"/>
        <v>0</v>
      </c>
      <c r="AF63" s="250">
        <v>0</v>
      </c>
      <c r="AG63" s="251">
        <v>0</v>
      </c>
      <c r="AH63" s="251">
        <v>0</v>
      </c>
      <c r="AI63" s="251">
        <v>0</v>
      </c>
      <c r="AJ63" s="15">
        <f t="shared" si="197"/>
        <v>0</v>
      </c>
      <c r="AK63" s="250">
        <v>0</v>
      </c>
      <c r="AL63" s="251">
        <v>0</v>
      </c>
      <c r="AM63" s="251">
        <v>0</v>
      </c>
      <c r="AN63" s="252">
        <v>0</v>
      </c>
      <c r="AO63" s="15">
        <f t="shared" si="198"/>
        <v>0</v>
      </c>
      <c r="AP63" s="251">
        <v>0</v>
      </c>
      <c r="AQ63" s="251">
        <v>0</v>
      </c>
      <c r="AR63" s="251">
        <v>0</v>
      </c>
      <c r="AS63" s="252">
        <v>0</v>
      </c>
      <c r="AT63" s="15">
        <f t="shared" si="199"/>
        <v>0</v>
      </c>
      <c r="AU63" s="251">
        <v>-9.08</v>
      </c>
      <c r="AV63" s="251">
        <v>-14.563000000000001</v>
      </c>
      <c r="AW63" s="251">
        <v>-22.684000000000001</v>
      </c>
      <c r="AX63" s="251">
        <v>-33.249000000000002</v>
      </c>
      <c r="AY63" s="15">
        <f t="shared" si="200"/>
        <v>-33.249000000000002</v>
      </c>
      <c r="AZ63" s="250">
        <v>-20.494</v>
      </c>
      <c r="BA63" s="251">
        <v>-30.401</v>
      </c>
      <c r="BB63" s="251">
        <v>-36.503</v>
      </c>
      <c r="BC63" s="251">
        <v>-42.265000000000001</v>
      </c>
      <c r="BD63" s="15">
        <f t="shared" si="201"/>
        <v>-42.265000000000001</v>
      </c>
      <c r="BE63" s="250">
        <v>-4.0419999999999998</v>
      </c>
      <c r="BF63" s="251">
        <v>-15.157</v>
      </c>
      <c r="BG63" s="251">
        <v>-16.259</v>
      </c>
      <c r="BH63" s="252">
        <v>-16.992999999999999</v>
      </c>
      <c r="BI63" s="15">
        <f t="shared" si="202"/>
        <v>-16.992999999999999</v>
      </c>
      <c r="BJ63" s="61">
        <v>-1.819</v>
      </c>
      <c r="BK63" s="61">
        <v>-5.1509999999999998</v>
      </c>
      <c r="BL63" s="61">
        <v>-12.401</v>
      </c>
      <c r="BM63" s="63">
        <v>-31.556000000000001</v>
      </c>
      <c r="BN63" s="15">
        <f t="shared" si="203"/>
        <v>-31.556000000000001</v>
      </c>
      <c r="BO63" s="61">
        <v>-15.753</v>
      </c>
      <c r="BP63" s="61">
        <v>-28.411000000000001</v>
      </c>
      <c r="BQ63" s="61">
        <v>-59.497</v>
      </c>
      <c r="BR63" s="61">
        <v>-71.918999999999997</v>
      </c>
      <c r="BS63" s="15">
        <f t="shared" si="204"/>
        <v>-71.918999999999997</v>
      </c>
      <c r="BT63" s="62">
        <v>-15.792</v>
      </c>
      <c r="BU63" s="61">
        <v>-22.041</v>
      </c>
      <c r="BV63" s="61">
        <v>-30.966000000000001</v>
      </c>
      <c r="BW63" s="61">
        <v>-39.140999999999998</v>
      </c>
      <c r="BX63" s="15">
        <f t="shared" si="205"/>
        <v>-39.140999999999998</v>
      </c>
      <c r="BY63" s="62">
        <v>-12.746</v>
      </c>
      <c r="BZ63" s="61">
        <v>-15.853</v>
      </c>
      <c r="CA63" s="61">
        <v>-24.96</v>
      </c>
      <c r="CB63" s="88">
        <v>-48.372999999999998</v>
      </c>
      <c r="CC63" s="15">
        <f t="shared" si="206"/>
        <v>-48.372999999999998</v>
      </c>
      <c r="CD63" s="86">
        <v>-7.49</v>
      </c>
      <c r="CE63" s="248">
        <v>-9.4819999999999993</v>
      </c>
      <c r="CF63" s="248">
        <v>-16.45</v>
      </c>
      <c r="CG63" s="440">
        <v>-30.581</v>
      </c>
      <c r="CH63" s="15">
        <f t="shared" si="207"/>
        <v>-30.581000000000003</v>
      </c>
      <c r="CI63" s="86">
        <v>0</v>
      </c>
      <c r="CJ63" s="248">
        <v>-12.034000000000001</v>
      </c>
      <c r="CK63" s="248">
        <v>-14.547000000000001</v>
      </c>
      <c r="CL63" s="440">
        <v>-23.548999999999999</v>
      </c>
      <c r="CM63" s="15">
        <f t="shared" si="208"/>
        <v>-23.548999999999999</v>
      </c>
      <c r="CN63" s="86">
        <v>-7.5</v>
      </c>
      <c r="CO63" s="248">
        <v>-15.3</v>
      </c>
      <c r="CP63" s="248">
        <v>-19</v>
      </c>
      <c r="CQ63" s="440">
        <v>-33.700000000000003</v>
      </c>
      <c r="CR63" s="352">
        <f t="shared" si="209"/>
        <v>-33.700000000000003</v>
      </c>
      <c r="CS63" s="86">
        <v>-3.2</v>
      </c>
      <c r="CT63" s="248">
        <v>-10.199999999999999</v>
      </c>
      <c r="CU63" s="248">
        <v>-19</v>
      </c>
      <c r="CV63" s="249">
        <v>-24</v>
      </c>
      <c r="CW63" s="352">
        <f t="shared" si="221"/>
        <v>-24</v>
      </c>
      <c r="CX63" s="86">
        <v>0</v>
      </c>
      <c r="CY63" s="248">
        <v>0</v>
      </c>
      <c r="CZ63" s="248">
        <v>0</v>
      </c>
      <c r="DA63" s="1106">
        <f t="shared" si="222"/>
        <v>0</v>
      </c>
      <c r="DB63" s="352">
        <f t="shared" si="223"/>
        <v>0</v>
      </c>
      <c r="DC63" s="239">
        <f t="shared" si="210"/>
        <v>0</v>
      </c>
      <c r="DD63" s="15">
        <f t="shared" si="211"/>
        <v>0</v>
      </c>
      <c r="DE63" s="15">
        <f t="shared" si="211"/>
        <v>0</v>
      </c>
      <c r="DF63" s="15">
        <f t="shared" si="211"/>
        <v>0</v>
      </c>
      <c r="DG63" s="352">
        <f t="shared" si="212"/>
        <v>0</v>
      </c>
      <c r="DH63" s="239">
        <f t="shared" si="213"/>
        <v>0</v>
      </c>
      <c r="DI63" s="15">
        <f t="shared" si="214"/>
        <v>0</v>
      </c>
      <c r="DJ63" s="15">
        <f t="shared" si="214"/>
        <v>0</v>
      </c>
      <c r="DK63" s="15">
        <f t="shared" si="214"/>
        <v>0</v>
      </c>
      <c r="DL63" s="352">
        <f t="shared" si="215"/>
        <v>0</v>
      </c>
      <c r="DM63" s="239">
        <f t="shared" si="216"/>
        <v>0</v>
      </c>
      <c r="DN63" s="15">
        <f t="shared" si="217"/>
        <v>0</v>
      </c>
      <c r="DO63" s="15">
        <f t="shared" si="218"/>
        <v>0</v>
      </c>
      <c r="DP63" s="15">
        <f t="shared" si="219"/>
        <v>0</v>
      </c>
      <c r="DQ63" s="352">
        <f t="shared" si="220"/>
        <v>0</v>
      </c>
      <c r="DR63" s="61"/>
      <c r="DS63" s="153"/>
      <c r="DT63"/>
      <c r="DU63"/>
      <c r="DV63"/>
      <c r="DW63"/>
      <c r="DX63"/>
      <c r="DY63"/>
    </row>
    <row r="64" spans="1:131" s="155" customFormat="1" hidden="1" outlineLevel="1">
      <c r="A64" s="192"/>
      <c r="B64" s="136"/>
      <c r="C64" s="135" t="s">
        <v>7</v>
      </c>
      <c r="D64" s="135"/>
      <c r="E64" s="135"/>
      <c r="F64" s="135"/>
      <c r="G64" s="62">
        <v>0</v>
      </c>
      <c r="H64" s="61">
        <v>0</v>
      </c>
      <c r="I64" s="61">
        <v>0</v>
      </c>
      <c r="J64" s="63">
        <v>2.1999999999999999E-2</v>
      </c>
      <c r="K64" s="14">
        <f t="shared" si="192"/>
        <v>2.1999999999999999E-2</v>
      </c>
      <c r="L64" s="62">
        <v>0</v>
      </c>
      <c r="M64" s="61">
        <v>0</v>
      </c>
      <c r="N64" s="61">
        <v>0</v>
      </c>
      <c r="O64" s="61">
        <v>0</v>
      </c>
      <c r="P64" s="15">
        <f t="shared" si="193"/>
        <v>0</v>
      </c>
      <c r="Q64" s="250">
        <v>0</v>
      </c>
      <c r="R64" s="251">
        <v>0</v>
      </c>
      <c r="S64" s="251">
        <v>0</v>
      </c>
      <c r="T64" s="252">
        <v>0</v>
      </c>
      <c r="U64" s="15">
        <f t="shared" si="194"/>
        <v>0</v>
      </c>
      <c r="V64" s="251">
        <v>0</v>
      </c>
      <c r="W64" s="251">
        <v>0</v>
      </c>
      <c r="X64" s="251">
        <v>0</v>
      </c>
      <c r="Y64" s="252">
        <v>1.9550000000000001</v>
      </c>
      <c r="Z64" s="15">
        <f t="shared" si="195"/>
        <v>1.9550000000000001</v>
      </c>
      <c r="AA64" s="251">
        <v>0</v>
      </c>
      <c r="AB64" s="251">
        <v>0</v>
      </c>
      <c r="AC64" s="251">
        <v>0</v>
      </c>
      <c r="AD64" s="251">
        <v>1.68</v>
      </c>
      <c r="AE64" s="15">
        <f t="shared" si="196"/>
        <v>1.68</v>
      </c>
      <c r="AF64" s="250">
        <v>2.0099999999999998</v>
      </c>
      <c r="AG64" s="251">
        <v>2.0099999999999998</v>
      </c>
      <c r="AH64" s="251">
        <v>2.0099999999999998</v>
      </c>
      <c r="AI64" s="251">
        <v>2.0099999999999998</v>
      </c>
      <c r="AJ64" s="15">
        <f t="shared" si="197"/>
        <v>2.0099999999999998</v>
      </c>
      <c r="AK64" s="250">
        <v>0</v>
      </c>
      <c r="AL64" s="251">
        <v>0</v>
      </c>
      <c r="AM64" s="251">
        <v>0</v>
      </c>
      <c r="AN64" s="252">
        <v>0</v>
      </c>
      <c r="AO64" s="15">
        <f t="shared" si="198"/>
        <v>0</v>
      </c>
      <c r="AP64" s="251">
        <v>0</v>
      </c>
      <c r="AQ64" s="251">
        <v>0</v>
      </c>
      <c r="AR64" s="251">
        <v>0</v>
      </c>
      <c r="AS64" s="252">
        <v>0</v>
      </c>
      <c r="AT64" s="15">
        <f t="shared" si="199"/>
        <v>0</v>
      </c>
      <c r="AU64" s="251">
        <v>0</v>
      </c>
      <c r="AV64" s="251">
        <v>0</v>
      </c>
      <c r="AW64" s="251">
        <v>0</v>
      </c>
      <c r="AX64" s="251">
        <v>0</v>
      </c>
      <c r="AY64" s="15">
        <f t="shared" si="200"/>
        <v>0</v>
      </c>
      <c r="AZ64" s="250">
        <v>0</v>
      </c>
      <c r="BA64" s="251">
        <v>0</v>
      </c>
      <c r="BB64" s="251">
        <v>0</v>
      </c>
      <c r="BC64" s="251">
        <v>0</v>
      </c>
      <c r="BD64" s="15">
        <f t="shared" si="201"/>
        <v>0</v>
      </c>
      <c r="BE64" s="250">
        <v>0</v>
      </c>
      <c r="BF64" s="251">
        <v>0</v>
      </c>
      <c r="BG64" s="251">
        <v>0</v>
      </c>
      <c r="BH64" s="252">
        <v>2.5870000000000002</v>
      </c>
      <c r="BI64" s="15">
        <f t="shared" si="202"/>
        <v>2.5870000000000002</v>
      </c>
      <c r="BJ64" s="61">
        <v>0.67500000000000004</v>
      </c>
      <c r="BK64" s="61">
        <v>0.67800000000000005</v>
      </c>
      <c r="BL64" s="61">
        <v>-0.88</v>
      </c>
      <c r="BM64" s="63">
        <v>-6.101</v>
      </c>
      <c r="BN64" s="15">
        <f t="shared" si="203"/>
        <v>-6.101</v>
      </c>
      <c r="BO64" s="61">
        <v>-10.162000000000001</v>
      </c>
      <c r="BP64" s="61">
        <v>-0.79900000000000004</v>
      </c>
      <c r="BQ64" s="61">
        <v>-9.4860000000000007</v>
      </c>
      <c r="BR64" s="61">
        <v>-7.5979999999999999</v>
      </c>
      <c r="BS64" s="15">
        <f t="shared" si="204"/>
        <v>-7.597999999999999</v>
      </c>
      <c r="BT64" s="62">
        <v>0.24</v>
      </c>
      <c r="BU64" s="61">
        <v>0.16400000000000001</v>
      </c>
      <c r="BV64" s="61">
        <v>24.018999999999998</v>
      </c>
      <c r="BW64" s="61">
        <v>46.036000000000001</v>
      </c>
      <c r="BX64" s="15">
        <f t="shared" si="205"/>
        <v>46.036000000000001</v>
      </c>
      <c r="BY64" s="62">
        <v>-13.4</v>
      </c>
      <c r="BZ64" s="61">
        <v>-1.764</v>
      </c>
      <c r="CA64" s="61">
        <v>-4.3819999999999997</v>
      </c>
      <c r="CB64" s="88">
        <v>2.4990000000000001</v>
      </c>
      <c r="CC64" s="15">
        <f t="shared" si="206"/>
        <v>2.4990000000000006</v>
      </c>
      <c r="CD64" s="86">
        <v>1.6559999999999999</v>
      </c>
      <c r="CE64" s="248">
        <v>31.308</v>
      </c>
      <c r="CF64" s="248">
        <v>52.170999999999999</v>
      </c>
      <c r="CG64" s="440">
        <v>52.543999999999997</v>
      </c>
      <c r="CH64" s="15">
        <f t="shared" si="207"/>
        <v>52.543999999999997</v>
      </c>
      <c r="CI64" s="86">
        <v>0</v>
      </c>
      <c r="CJ64" s="248">
        <v>-3.3119999999999998</v>
      </c>
      <c r="CK64" s="248">
        <v>12.795999999999999</v>
      </c>
      <c r="CL64" s="440">
        <v>30.274999999999999</v>
      </c>
      <c r="CM64" s="15">
        <f t="shared" si="208"/>
        <v>30.274999999999999</v>
      </c>
      <c r="CN64" s="86">
        <v>-5.0999999999999996</v>
      </c>
      <c r="CO64" s="248">
        <v>8.6999999999999993</v>
      </c>
      <c r="CP64" s="248">
        <v>27.9</v>
      </c>
      <c r="CQ64" s="440">
        <v>48.6</v>
      </c>
      <c r="CR64" s="352">
        <f t="shared" si="209"/>
        <v>48.6</v>
      </c>
      <c r="CS64" s="86">
        <v>-2.1</v>
      </c>
      <c r="CT64" s="248">
        <v>9.9</v>
      </c>
      <c r="CU64" s="248">
        <v>9.1999999999999993</v>
      </c>
      <c r="CV64" s="249">
        <v>46</v>
      </c>
      <c r="CW64" s="352">
        <f t="shared" si="221"/>
        <v>46</v>
      </c>
      <c r="CX64" s="86">
        <v>-55</v>
      </c>
      <c r="CY64" s="248">
        <v>-63</v>
      </c>
      <c r="CZ64" s="248">
        <v>-49</v>
      </c>
      <c r="DA64" s="1106">
        <f t="shared" si="222"/>
        <v>122.99999999999989</v>
      </c>
      <c r="DB64" s="352">
        <f t="shared" si="223"/>
        <v>122.99999999999989</v>
      </c>
      <c r="DC64" s="239">
        <f t="shared" si="210"/>
        <v>0</v>
      </c>
      <c r="DD64" s="15">
        <f t="shared" si="211"/>
        <v>0</v>
      </c>
      <c r="DE64" s="15">
        <f t="shared" si="211"/>
        <v>0</v>
      </c>
      <c r="DF64" s="15">
        <f t="shared" si="211"/>
        <v>0</v>
      </c>
      <c r="DG64" s="352">
        <f t="shared" si="212"/>
        <v>0</v>
      </c>
      <c r="DH64" s="239">
        <f t="shared" si="213"/>
        <v>0</v>
      </c>
      <c r="DI64" s="15">
        <f t="shared" si="214"/>
        <v>0</v>
      </c>
      <c r="DJ64" s="15">
        <f t="shared" si="214"/>
        <v>0</v>
      </c>
      <c r="DK64" s="15">
        <f t="shared" si="214"/>
        <v>0</v>
      </c>
      <c r="DL64" s="352">
        <f t="shared" si="215"/>
        <v>0</v>
      </c>
      <c r="DM64" s="239">
        <f t="shared" si="216"/>
        <v>0</v>
      </c>
      <c r="DN64" s="15">
        <f t="shared" si="217"/>
        <v>0</v>
      </c>
      <c r="DO64" s="15">
        <f t="shared" si="218"/>
        <v>0</v>
      </c>
      <c r="DP64" s="15">
        <f t="shared" si="219"/>
        <v>0</v>
      </c>
      <c r="DQ64" s="352">
        <f t="shared" si="220"/>
        <v>0</v>
      </c>
      <c r="DR64" s="61"/>
      <c r="DS64" s="153"/>
      <c r="DT64"/>
      <c r="DU64"/>
      <c r="DV64"/>
      <c r="DW64"/>
      <c r="DX64"/>
      <c r="DY64"/>
    </row>
    <row r="65" spans="1:129" s="155" customFormat="1" hidden="1" outlineLevel="1">
      <c r="A65" s="192"/>
      <c r="B65" s="136"/>
      <c r="C65" s="135" t="s">
        <v>81</v>
      </c>
      <c r="D65" s="135"/>
      <c r="E65" s="135"/>
      <c r="F65" s="135"/>
      <c r="G65" s="62"/>
      <c r="H65" s="61"/>
      <c r="I65" s="61"/>
      <c r="J65" s="63"/>
      <c r="K65" s="14">
        <f t="shared" si="192"/>
        <v>0</v>
      </c>
      <c r="L65" s="62"/>
      <c r="M65" s="61"/>
      <c r="N65" s="61"/>
      <c r="O65" s="61"/>
      <c r="P65" s="15">
        <f t="shared" si="193"/>
        <v>0</v>
      </c>
      <c r="Q65" s="250"/>
      <c r="R65" s="251"/>
      <c r="S65" s="251"/>
      <c r="T65" s="252"/>
      <c r="U65" s="15">
        <f t="shared" si="194"/>
        <v>0</v>
      </c>
      <c r="V65" s="251"/>
      <c r="W65" s="251"/>
      <c r="X65" s="251"/>
      <c r="Y65" s="252"/>
      <c r="Z65" s="15">
        <f t="shared" si="195"/>
        <v>0</v>
      </c>
      <c r="AA65" s="251"/>
      <c r="AB65" s="251"/>
      <c r="AC65" s="251"/>
      <c r="AD65" s="252"/>
      <c r="AE65" s="15">
        <f t="shared" si="196"/>
        <v>0</v>
      </c>
      <c r="AF65" s="251"/>
      <c r="AG65" s="251"/>
      <c r="AH65" s="251"/>
      <c r="AI65" s="251"/>
      <c r="AJ65" s="15">
        <f t="shared" si="197"/>
        <v>0</v>
      </c>
      <c r="AK65" s="250"/>
      <c r="AL65" s="251"/>
      <c r="AM65" s="251"/>
      <c r="AN65" s="252"/>
      <c r="AO65" s="15">
        <f t="shared" si="198"/>
        <v>0</v>
      </c>
      <c r="AP65" s="251"/>
      <c r="AQ65" s="251"/>
      <c r="AR65" s="251"/>
      <c r="AS65" s="252"/>
      <c r="AT65" s="15">
        <f t="shared" si="199"/>
        <v>0</v>
      </c>
      <c r="AU65" s="251"/>
      <c r="AV65" s="251"/>
      <c r="AW65" s="251"/>
      <c r="AX65" s="251"/>
      <c r="AY65" s="15">
        <f t="shared" si="200"/>
        <v>0</v>
      </c>
      <c r="AZ65" s="250"/>
      <c r="BA65" s="251"/>
      <c r="BB65" s="251"/>
      <c r="BC65" s="251"/>
      <c r="BD65" s="15">
        <f t="shared" si="201"/>
        <v>0</v>
      </c>
      <c r="BE65" s="250"/>
      <c r="BF65" s="251"/>
      <c r="BG65" s="251"/>
      <c r="BH65" s="252"/>
      <c r="BI65" s="15">
        <f t="shared" si="202"/>
        <v>0</v>
      </c>
      <c r="BJ65" s="61"/>
      <c r="BK65" s="61"/>
      <c r="BL65" s="61"/>
      <c r="BM65" s="63"/>
      <c r="BN65" s="15">
        <f t="shared" si="203"/>
        <v>0</v>
      </c>
      <c r="BO65" s="61"/>
      <c r="BP65" s="61"/>
      <c r="BQ65" s="61"/>
      <c r="BR65" s="61"/>
      <c r="BS65" s="15">
        <f t="shared" si="204"/>
        <v>0</v>
      </c>
      <c r="BT65" s="62"/>
      <c r="BU65" s="61"/>
      <c r="BV65" s="61"/>
      <c r="BW65" s="61"/>
      <c r="BX65" s="15">
        <f t="shared" si="205"/>
        <v>0</v>
      </c>
      <c r="BY65" s="62"/>
      <c r="BZ65" s="61"/>
      <c r="CA65" s="61"/>
      <c r="CB65" s="88"/>
      <c r="CC65" s="15">
        <f t="shared" si="206"/>
        <v>0</v>
      </c>
      <c r="CD65" s="15"/>
      <c r="CE65" s="248"/>
      <c r="CF65" s="248"/>
      <c r="CG65" s="440"/>
      <c r="CH65" s="15">
        <f t="shared" si="207"/>
        <v>0</v>
      </c>
      <c r="CI65" s="15"/>
      <c r="CJ65" s="248"/>
      <c r="CK65" s="248"/>
      <c r="CL65" s="440"/>
      <c r="CM65" s="15">
        <f t="shared" si="208"/>
        <v>0</v>
      </c>
      <c r="CN65" s="15"/>
      <c r="CO65" s="248"/>
      <c r="CP65" s="248"/>
      <c r="CQ65" s="440"/>
      <c r="CR65" s="352"/>
      <c r="CS65" s="15"/>
      <c r="CT65" s="248"/>
      <c r="CU65" s="248"/>
      <c r="CV65" s="16"/>
      <c r="CW65" s="352"/>
      <c r="CX65" s="15"/>
      <c r="CY65" s="15"/>
      <c r="CZ65" s="15"/>
      <c r="DA65" s="1106"/>
      <c r="DB65" s="352"/>
      <c r="DC65" s="15"/>
      <c r="DD65" s="15"/>
      <c r="DE65" s="15"/>
      <c r="DF65" s="15"/>
      <c r="DG65" s="352"/>
      <c r="DH65" s="15"/>
      <c r="DI65" s="15"/>
      <c r="DJ65" s="15"/>
      <c r="DK65" s="15"/>
      <c r="DL65" s="352"/>
      <c r="DM65" s="15"/>
      <c r="DN65" s="15"/>
      <c r="DO65" s="15"/>
      <c r="DP65" s="15"/>
      <c r="DQ65" s="352"/>
      <c r="DR65" s="61"/>
      <c r="DS65" s="153"/>
      <c r="DT65"/>
      <c r="DU65"/>
      <c r="DV65"/>
      <c r="DW65"/>
      <c r="DX65"/>
      <c r="DY65"/>
    </row>
    <row r="66" spans="1:129" s="155" customFormat="1" hidden="1" outlineLevel="1">
      <c r="A66" s="192"/>
      <c r="B66" s="136"/>
      <c r="C66" s="559" t="s">
        <v>82</v>
      </c>
      <c r="D66" s="135"/>
      <c r="E66" s="135"/>
      <c r="F66" s="135"/>
      <c r="G66" s="62">
        <v>-1.2689999999999999</v>
      </c>
      <c r="H66" s="61">
        <v>-1.478</v>
      </c>
      <c r="I66" s="61">
        <v>-1.1140000000000001</v>
      </c>
      <c r="J66" s="63">
        <v>-3.9590000000000001</v>
      </c>
      <c r="K66" s="14">
        <f t="shared" si="192"/>
        <v>-3.9590000000000005</v>
      </c>
      <c r="L66" s="62">
        <v>-3.7029999999999998</v>
      </c>
      <c r="M66" s="61">
        <v>-1.5580000000000001</v>
      </c>
      <c r="N66" s="61">
        <v>-0.88400000000000001</v>
      </c>
      <c r="O66" s="61">
        <v>1.0680000000000001</v>
      </c>
      <c r="P66" s="15">
        <f t="shared" si="193"/>
        <v>1.0680000000000001</v>
      </c>
      <c r="Q66" s="250">
        <v>-4.5890000000000004</v>
      </c>
      <c r="R66" s="251">
        <v>-6.0179999999999998</v>
      </c>
      <c r="S66" s="251">
        <v>-8.6210000000000004</v>
      </c>
      <c r="T66" s="252">
        <v>-10.824999999999999</v>
      </c>
      <c r="U66" s="15">
        <f t="shared" si="194"/>
        <v>-10.824999999999999</v>
      </c>
      <c r="V66" s="251">
        <v>5.0999999999999997E-2</v>
      </c>
      <c r="W66" s="251">
        <v>-3.7559999999999998</v>
      </c>
      <c r="X66" s="251">
        <v>-1.32</v>
      </c>
      <c r="Y66" s="252">
        <v>-3.8330000000000002</v>
      </c>
      <c r="Z66" s="15">
        <f t="shared" si="195"/>
        <v>-3.8330000000000002</v>
      </c>
      <c r="AA66" s="251">
        <v>-1.5580000000000001</v>
      </c>
      <c r="AB66" s="251">
        <v>-8.4160000000000004</v>
      </c>
      <c r="AC66" s="251">
        <v>-9.8170000000000002</v>
      </c>
      <c r="AD66" s="252">
        <v>-14.663</v>
      </c>
      <c r="AE66" s="15">
        <f t="shared" si="196"/>
        <v>-14.663</v>
      </c>
      <c r="AF66" s="251">
        <v>-3.9089999999999998</v>
      </c>
      <c r="AG66" s="251">
        <v>-5.3129999999999997</v>
      </c>
      <c r="AH66" s="251">
        <v>-15.669</v>
      </c>
      <c r="AI66" s="252">
        <v>-13.442</v>
      </c>
      <c r="AJ66" s="15">
        <f t="shared" si="197"/>
        <v>-13.442</v>
      </c>
      <c r="AK66" s="251">
        <v>-18.850000000000001</v>
      </c>
      <c r="AL66" s="251">
        <v>-23.780999999999999</v>
      </c>
      <c r="AM66" s="251">
        <v>-34.307000000000002</v>
      </c>
      <c r="AN66" s="251">
        <v>-42.738999999999997</v>
      </c>
      <c r="AO66" s="15">
        <f t="shared" si="198"/>
        <v>-42.738999999999997</v>
      </c>
      <c r="AP66" s="250">
        <v>-16.806000000000001</v>
      </c>
      <c r="AQ66" s="251">
        <v>-43.140999999999998</v>
      </c>
      <c r="AR66" s="251">
        <v>-47.204000000000001</v>
      </c>
      <c r="AS66" s="252">
        <v>-55.826999999999998</v>
      </c>
      <c r="AT66" s="15">
        <f t="shared" si="199"/>
        <v>-55.826999999999998</v>
      </c>
      <c r="AU66" s="251">
        <v>-31.704999999999998</v>
      </c>
      <c r="AV66" s="251">
        <v>-74.209000000000003</v>
      </c>
      <c r="AW66" s="251">
        <v>-98.296999999999997</v>
      </c>
      <c r="AX66" s="251">
        <v>-102.334</v>
      </c>
      <c r="AY66" s="15">
        <f t="shared" si="200"/>
        <v>-102.334</v>
      </c>
      <c r="AZ66" s="250">
        <v>-42.923000000000002</v>
      </c>
      <c r="BA66" s="251">
        <v>-91.603999999999999</v>
      </c>
      <c r="BB66" s="251">
        <v>-115.34</v>
      </c>
      <c r="BC66" s="251">
        <v>-119.88200000000001</v>
      </c>
      <c r="BD66" s="15">
        <f t="shared" si="201"/>
        <v>-119.88200000000001</v>
      </c>
      <c r="BE66" s="250">
        <v>-66.774000000000001</v>
      </c>
      <c r="BF66" s="251">
        <v>-140.751</v>
      </c>
      <c r="BG66" s="251">
        <v>-156.066</v>
      </c>
      <c r="BH66" s="252">
        <v>-168.39500000000001</v>
      </c>
      <c r="BI66" s="15">
        <f t="shared" si="202"/>
        <v>-168.39500000000001</v>
      </c>
      <c r="BJ66" s="61">
        <v>-13.342000000000001</v>
      </c>
      <c r="BK66" s="61">
        <v>-25.655999999999999</v>
      </c>
      <c r="BL66" s="61">
        <v>-61.962000000000003</v>
      </c>
      <c r="BM66" s="63">
        <v>-98.450999999999993</v>
      </c>
      <c r="BN66" s="15">
        <f t="shared" si="203"/>
        <v>-98.450999999999993</v>
      </c>
      <c r="BO66" s="61">
        <v>-92.22</v>
      </c>
      <c r="BP66" s="61">
        <v>-192.309</v>
      </c>
      <c r="BQ66" s="61">
        <v>-291.81700000000001</v>
      </c>
      <c r="BR66" s="61">
        <v>-278.41800000000001</v>
      </c>
      <c r="BS66" s="15">
        <f t="shared" si="204"/>
        <v>-278.41800000000001</v>
      </c>
      <c r="BT66" s="62">
        <v>-89.028999999999996</v>
      </c>
      <c r="BU66" s="61">
        <v>-170.41900000000001</v>
      </c>
      <c r="BV66" s="61">
        <v>-207.24199999999999</v>
      </c>
      <c r="BW66" s="61">
        <v>-284.16699999999997</v>
      </c>
      <c r="BX66" s="15">
        <f t="shared" si="205"/>
        <v>-284.16699999999997</v>
      </c>
      <c r="BY66" s="62">
        <v>-49.863999999999997</v>
      </c>
      <c r="BZ66" s="61">
        <v>-119.949</v>
      </c>
      <c r="CA66" s="61">
        <v>-184.53700000000001</v>
      </c>
      <c r="CB66" s="88">
        <v>-158.60300000000001</v>
      </c>
      <c r="CC66" s="15">
        <f t="shared" si="206"/>
        <v>-158.60300000000001</v>
      </c>
      <c r="CD66" s="86">
        <v>-149.42099999999999</v>
      </c>
      <c r="CE66" s="248">
        <v>-217.29400000000001</v>
      </c>
      <c r="CF66" s="248">
        <v>-273.50200000000001</v>
      </c>
      <c r="CG66" s="440">
        <v>-258.46899999999999</v>
      </c>
      <c r="CH66" s="15">
        <f t="shared" si="207"/>
        <v>-258.46899999999999</v>
      </c>
      <c r="CI66" s="86">
        <v>-54.819999999999936</v>
      </c>
      <c r="CJ66" s="248">
        <v>-161.191</v>
      </c>
      <c r="CK66" s="248">
        <v>-167.655</v>
      </c>
      <c r="CL66" s="440">
        <v>-259.33199999999999</v>
      </c>
      <c r="CM66" s="15">
        <f t="shared" si="208"/>
        <v>-259.33199999999999</v>
      </c>
      <c r="CN66" s="86">
        <v>-110.7</v>
      </c>
      <c r="CO66" s="248">
        <v>-185.7</v>
      </c>
      <c r="CP66" s="248">
        <v>-190.6</v>
      </c>
      <c r="CQ66" s="440">
        <v>-322.39999999999998</v>
      </c>
      <c r="CR66" s="352">
        <f t="shared" si="209"/>
        <v>-322.39999999999998</v>
      </c>
      <c r="CS66" s="86">
        <v>-55.2</v>
      </c>
      <c r="CT66" s="248">
        <v>-187.2</v>
      </c>
      <c r="CU66" s="248">
        <v>-261.2</v>
      </c>
      <c r="CV66" s="249">
        <v>-330</v>
      </c>
      <c r="CW66" s="352">
        <f t="shared" si="221"/>
        <v>-330</v>
      </c>
      <c r="CX66" s="86">
        <v>-86</v>
      </c>
      <c r="CY66" s="248">
        <v>-103</v>
      </c>
      <c r="CZ66" s="248">
        <v>-284</v>
      </c>
      <c r="DA66" s="1106">
        <f t="shared" ref="DA66:DA70" si="224">CZ66+DA20</f>
        <v>-260</v>
      </c>
      <c r="DB66" s="352">
        <f t="shared" si="223"/>
        <v>-260</v>
      </c>
      <c r="DC66" s="239">
        <f>+DC20</f>
        <v>26.245064861815536</v>
      </c>
      <c r="DD66" s="15">
        <f t="shared" ref="DD66:DF70" si="225">DC66+DD20</f>
        <v>-42.948490463215876</v>
      </c>
      <c r="DE66" s="15">
        <f t="shared" si="225"/>
        <v>-166.36374402549109</v>
      </c>
      <c r="DF66" s="15">
        <f t="shared" si="225"/>
        <v>-267.93876175548621</v>
      </c>
      <c r="DG66" s="352">
        <f t="shared" si="212"/>
        <v>-267.93876175548621</v>
      </c>
      <c r="DH66" s="239">
        <f>+DH20</f>
        <v>68.830238066822403</v>
      </c>
      <c r="DI66" s="15">
        <f t="shared" ref="DI66:DK70" si="226">DH66+DI20</f>
        <v>-7.0040079175382743</v>
      </c>
      <c r="DJ66" s="15">
        <f t="shared" si="226"/>
        <v>-140.62772024796595</v>
      </c>
      <c r="DK66" s="15">
        <f t="shared" si="226"/>
        <v>-246.68651614420105</v>
      </c>
      <c r="DL66" s="352">
        <f t="shared" si="215"/>
        <v>-246.68651614420105</v>
      </c>
      <c r="DM66" s="239">
        <f>+DM20</f>
        <v>69.092604993595614</v>
      </c>
      <c r="DN66" s="15">
        <f t="shared" ref="DN66:DN70" si="227">DM66+DN20</f>
        <v>-5.0884701101231258</v>
      </c>
      <c r="DO66" s="15">
        <f t="shared" ref="DO66:DO70" si="228">DN66+DO20</f>
        <v>-154.27532122647472</v>
      </c>
      <c r="DP66" s="15">
        <f t="shared" ref="DP66:DP70" si="229">DO66+DP20</f>
        <v>-264.74245991849466</v>
      </c>
      <c r="DQ66" s="352">
        <f t="shared" si="220"/>
        <v>-264.74245991849466</v>
      </c>
      <c r="DR66" s="61"/>
      <c r="DS66" s="153"/>
      <c r="DT66"/>
      <c r="DU66"/>
      <c r="DV66"/>
      <c r="DW66"/>
      <c r="DX66"/>
      <c r="DY66"/>
    </row>
    <row r="67" spans="1:129" s="155" customFormat="1" hidden="1" outlineLevel="1">
      <c r="A67" s="192"/>
      <c r="B67" s="136"/>
      <c r="C67" s="559" t="s">
        <v>42</v>
      </c>
      <c r="D67" s="135"/>
      <c r="E67" s="135"/>
      <c r="F67" s="135"/>
      <c r="G67" s="62">
        <v>-0.53800000000000003</v>
      </c>
      <c r="H67" s="61">
        <v>-1.2969999999999999</v>
      </c>
      <c r="I67" s="61">
        <v>-1.835</v>
      </c>
      <c r="J67" s="63">
        <v>-1.8540000000000001</v>
      </c>
      <c r="K67" s="14">
        <f t="shared" si="192"/>
        <v>-1.8540000000000001</v>
      </c>
      <c r="L67" s="62">
        <v>-0.96099999999999997</v>
      </c>
      <c r="M67" s="61">
        <v>-0.19800000000000001</v>
      </c>
      <c r="N67" s="61">
        <v>-0.20899999999999999</v>
      </c>
      <c r="O67" s="61">
        <v>-1.143</v>
      </c>
      <c r="P67" s="15">
        <f t="shared" si="193"/>
        <v>-1.143</v>
      </c>
      <c r="Q67" s="250">
        <v>-1.538</v>
      </c>
      <c r="R67" s="251">
        <v>-2.2210000000000001</v>
      </c>
      <c r="S67" s="251">
        <v>-2.2639999999999998</v>
      </c>
      <c r="T67" s="252">
        <v>-1.9239999999999999</v>
      </c>
      <c r="U67" s="15">
        <f t="shared" si="194"/>
        <v>-1.9239999999999999</v>
      </c>
      <c r="V67" s="251">
        <v>-2.3660000000000001</v>
      </c>
      <c r="W67" s="251">
        <v>-3.14</v>
      </c>
      <c r="X67" s="251">
        <v>-5.3179999999999996</v>
      </c>
      <c r="Y67" s="252">
        <v>-4.1150000000000002</v>
      </c>
      <c r="Z67" s="15">
        <f t="shared" si="195"/>
        <v>-4.1150000000000002</v>
      </c>
      <c r="AA67" s="251">
        <v>-2.298</v>
      </c>
      <c r="AB67" s="251">
        <v>-5.6950000000000003</v>
      </c>
      <c r="AC67" s="251">
        <v>-4.5999999999999996</v>
      </c>
      <c r="AD67" s="252">
        <v>-3.1110000000000002</v>
      </c>
      <c r="AE67" s="15">
        <f t="shared" si="196"/>
        <v>-3.1110000000000007</v>
      </c>
      <c r="AF67" s="251">
        <v>-2.359</v>
      </c>
      <c r="AG67" s="251">
        <v>-9.7249999999999996</v>
      </c>
      <c r="AH67" s="251">
        <v>-16.419</v>
      </c>
      <c r="AI67" s="252">
        <v>-8.1829999999999998</v>
      </c>
      <c r="AJ67" s="15">
        <f t="shared" si="197"/>
        <v>-8.1829999999999998</v>
      </c>
      <c r="AK67" s="251">
        <v>-4.5519999999999996</v>
      </c>
      <c r="AL67" s="251">
        <v>-18.561</v>
      </c>
      <c r="AM67" s="251">
        <v>-22.713999999999999</v>
      </c>
      <c r="AN67" s="251">
        <v>-8.2929999999999993</v>
      </c>
      <c r="AO67" s="15">
        <f t="shared" si="198"/>
        <v>-8.2929999999999993</v>
      </c>
      <c r="AP67" s="250">
        <v>-8.1029999999999998</v>
      </c>
      <c r="AQ67" s="251">
        <v>-10.762</v>
      </c>
      <c r="AR67" s="251">
        <v>-17.992000000000001</v>
      </c>
      <c r="AS67" s="252">
        <v>-15.339</v>
      </c>
      <c r="AT67" s="15">
        <f t="shared" si="199"/>
        <v>-15.339</v>
      </c>
      <c r="AU67" s="251">
        <v>-15.611000000000001</v>
      </c>
      <c r="AV67" s="251">
        <v>-21.027999999999999</v>
      </c>
      <c r="AW67" s="251">
        <v>-29.204000000000001</v>
      </c>
      <c r="AX67" s="251">
        <v>-26.849</v>
      </c>
      <c r="AY67" s="15">
        <f t="shared" si="200"/>
        <v>-26.849</v>
      </c>
      <c r="AZ67" s="250">
        <v>-27.32</v>
      </c>
      <c r="BA67" s="251">
        <v>-19.579999999999998</v>
      </c>
      <c r="BB67" s="251">
        <v>-31.032</v>
      </c>
      <c r="BC67" s="251">
        <v>-34.231999999999999</v>
      </c>
      <c r="BD67" s="15">
        <f t="shared" si="201"/>
        <v>-34.231999999999999</v>
      </c>
      <c r="BE67" s="250">
        <v>6.859</v>
      </c>
      <c r="BF67" s="251">
        <v>1.286</v>
      </c>
      <c r="BG67" s="251">
        <v>-24.57</v>
      </c>
      <c r="BH67" s="252">
        <v>-31.151</v>
      </c>
      <c r="BI67" s="15">
        <f t="shared" si="202"/>
        <v>-31.150999999999996</v>
      </c>
      <c r="BJ67" s="61">
        <v>-7.5960000000000001</v>
      </c>
      <c r="BK67" s="61">
        <v>-24.853999999999999</v>
      </c>
      <c r="BL67" s="61">
        <v>-43.393999999999998</v>
      </c>
      <c r="BM67" s="63">
        <v>-42.777999999999999</v>
      </c>
      <c r="BN67" s="15">
        <f t="shared" si="203"/>
        <v>-42.777999999999999</v>
      </c>
      <c r="BO67" s="61">
        <v>-46.307000000000002</v>
      </c>
      <c r="BP67" s="61">
        <v>-78.822000000000003</v>
      </c>
      <c r="BQ67" s="61">
        <v>-98.477000000000004</v>
      </c>
      <c r="BR67" s="61">
        <v>-75.346999999999994</v>
      </c>
      <c r="BS67" s="15">
        <f t="shared" si="204"/>
        <v>-75.346999999999994</v>
      </c>
      <c r="BT67" s="62">
        <v>-7.1479999999999997</v>
      </c>
      <c r="BU67" s="61">
        <v>-37.511000000000003</v>
      </c>
      <c r="BV67" s="61">
        <v>-41.68</v>
      </c>
      <c r="BW67" s="61">
        <v>-99.224000000000004</v>
      </c>
      <c r="BX67" s="15">
        <f t="shared" si="205"/>
        <v>-99.224000000000018</v>
      </c>
      <c r="BY67" s="62">
        <v>-7.3550000000000004</v>
      </c>
      <c r="BZ67" s="61">
        <v>-39.177999999999997</v>
      </c>
      <c r="CA67" s="61">
        <v>-8.0690000000000008</v>
      </c>
      <c r="CB67" s="88">
        <v>-29.832999999999998</v>
      </c>
      <c r="CC67" s="15">
        <f t="shared" si="206"/>
        <v>-29.832999999999995</v>
      </c>
      <c r="CD67" s="86">
        <v>-9.02</v>
      </c>
      <c r="CE67" s="248">
        <v>-36.18</v>
      </c>
      <c r="CF67" s="248">
        <v>-56.646999999999998</v>
      </c>
      <c r="CG67" s="440">
        <v>-74.668000000000006</v>
      </c>
      <c r="CH67" s="15">
        <f t="shared" si="207"/>
        <v>-74.668000000000006</v>
      </c>
      <c r="CI67" s="86">
        <v>29.473000000000013</v>
      </c>
      <c r="CJ67" s="248">
        <v>-52.615000000000002</v>
      </c>
      <c r="CK67" s="248">
        <v>-75.820999999999998</v>
      </c>
      <c r="CL67" s="440">
        <v>-118.592</v>
      </c>
      <c r="CM67" s="15">
        <f t="shared" si="208"/>
        <v>-118.592</v>
      </c>
      <c r="CN67" s="86">
        <v>-41.4</v>
      </c>
      <c r="CO67" s="248">
        <v>-20.6</v>
      </c>
      <c r="CP67" s="248">
        <v>-7.6</v>
      </c>
      <c r="CQ67" s="440">
        <v>-32.5</v>
      </c>
      <c r="CR67" s="352">
        <f t="shared" si="209"/>
        <v>-32.5</v>
      </c>
      <c r="CS67" s="86">
        <v>-77.8</v>
      </c>
      <c r="CT67" s="248">
        <v>-119.8</v>
      </c>
      <c r="CU67" s="248">
        <v>-84.2</v>
      </c>
      <c r="CV67" s="249">
        <v>-104</v>
      </c>
      <c r="CW67" s="352">
        <f t="shared" si="221"/>
        <v>-104</v>
      </c>
      <c r="CX67" s="86">
        <v>20</v>
      </c>
      <c r="CY67" s="248">
        <v>-81</v>
      </c>
      <c r="CZ67" s="248">
        <v>21</v>
      </c>
      <c r="DA67" s="1106">
        <f t="shared" si="224"/>
        <v>-214</v>
      </c>
      <c r="DB67" s="352">
        <f t="shared" si="223"/>
        <v>-214</v>
      </c>
      <c r="DC67" s="239">
        <f>+DC21</f>
        <v>-49.160321489001717</v>
      </c>
      <c r="DD67" s="15">
        <f t="shared" si="225"/>
        <v>-82.141732970027306</v>
      </c>
      <c r="DE67" s="15">
        <f t="shared" si="225"/>
        <v>-84.994498141263989</v>
      </c>
      <c r="DF67" s="15">
        <f t="shared" si="225"/>
        <v>-56.804911180773161</v>
      </c>
      <c r="DG67" s="352">
        <f t="shared" si="212"/>
        <v>-56.804911180773161</v>
      </c>
      <c r="DH67" s="239">
        <f>+DH21</f>
        <v>-24.598308362374155</v>
      </c>
      <c r="DI67" s="15">
        <f t="shared" si="226"/>
        <v>-60.371269663913381</v>
      </c>
      <c r="DJ67" s="15">
        <f t="shared" si="226"/>
        <v>-63.504477109189793</v>
      </c>
      <c r="DK67" s="15">
        <f t="shared" si="226"/>
        <v>-32.582855799373192</v>
      </c>
      <c r="DL67" s="352">
        <f t="shared" si="215"/>
        <v>-32.582855799373192</v>
      </c>
      <c r="DM67" s="239">
        <f>+DM21</f>
        <v>-27.273061604879103</v>
      </c>
      <c r="DN67" s="15">
        <f t="shared" si="227"/>
        <v>-64.752325694513274</v>
      </c>
      <c r="DO67" s="15">
        <f t="shared" si="228"/>
        <v>-68.880196117437322</v>
      </c>
      <c r="DP67" s="15">
        <f t="shared" si="229"/>
        <v>-34.967721504702354</v>
      </c>
      <c r="DQ67" s="352">
        <f t="shared" si="220"/>
        <v>-34.967721504702354</v>
      </c>
      <c r="DR67" s="61"/>
      <c r="DS67" s="153"/>
      <c r="DT67"/>
      <c r="DU67"/>
      <c r="DV67"/>
      <c r="DW67"/>
      <c r="DX67"/>
      <c r="DY67"/>
    </row>
    <row r="68" spans="1:129" s="155" customFormat="1" hidden="1" outlineLevel="1">
      <c r="A68" s="192"/>
      <c r="B68" s="136"/>
      <c r="C68" s="559" t="s">
        <v>83</v>
      </c>
      <c r="D68" s="135"/>
      <c r="E68" s="135"/>
      <c r="F68" s="135"/>
      <c r="G68" s="62">
        <v>0.747</v>
      </c>
      <c r="H68" s="61">
        <v>0.63100000000000001</v>
      </c>
      <c r="I68" s="61">
        <v>0.64900000000000002</v>
      </c>
      <c r="J68" s="63">
        <v>-0.41</v>
      </c>
      <c r="K68" s="14">
        <f t="shared" si="192"/>
        <v>-0.40999999999999992</v>
      </c>
      <c r="L68" s="62">
        <v>-0.221</v>
      </c>
      <c r="M68" s="61">
        <v>-9.1999999999999998E-2</v>
      </c>
      <c r="N68" s="61">
        <v>-0.23799999999999999</v>
      </c>
      <c r="O68" s="61">
        <v>-0.11600000000000001</v>
      </c>
      <c r="P68" s="15">
        <f t="shared" si="193"/>
        <v>-0.11600000000000001</v>
      </c>
      <c r="Q68" s="250">
        <v>-0.128</v>
      </c>
      <c r="R68" s="251">
        <v>-0.436</v>
      </c>
      <c r="S68" s="251">
        <v>-0.47299999999999998</v>
      </c>
      <c r="T68" s="252">
        <v>-0.90200000000000002</v>
      </c>
      <c r="U68" s="15">
        <f t="shared" si="194"/>
        <v>-0.90199999999999991</v>
      </c>
      <c r="V68" s="251">
        <v>-3.5000000000000003E-2</v>
      </c>
      <c r="W68" s="251">
        <v>0.104</v>
      </c>
      <c r="X68" s="251">
        <v>0.13300000000000001</v>
      </c>
      <c r="Y68" s="252">
        <v>0.3</v>
      </c>
      <c r="Z68" s="15">
        <f t="shared" si="195"/>
        <v>0.30000000000000004</v>
      </c>
      <c r="AA68" s="251">
        <v>0.41699999999999998</v>
      </c>
      <c r="AB68" s="251">
        <v>0.71099999999999997</v>
      </c>
      <c r="AC68" s="251">
        <v>0.85199999999999998</v>
      </c>
      <c r="AD68" s="252">
        <v>-0.37</v>
      </c>
      <c r="AE68" s="15">
        <f t="shared" si="196"/>
        <v>-0.37000000000000011</v>
      </c>
      <c r="AF68" s="251">
        <v>-7.6999999999999999E-2</v>
      </c>
      <c r="AG68" s="251">
        <v>0.48199999999999998</v>
      </c>
      <c r="AH68" s="251">
        <v>0.46600000000000003</v>
      </c>
      <c r="AI68" s="252">
        <v>1.3340000000000001</v>
      </c>
      <c r="AJ68" s="15">
        <f t="shared" si="197"/>
        <v>1.3340000000000001</v>
      </c>
      <c r="AK68" s="251">
        <v>-0.155</v>
      </c>
      <c r="AL68" s="251">
        <v>-0.52600000000000002</v>
      </c>
      <c r="AM68" s="251">
        <v>-1.5389999999999999</v>
      </c>
      <c r="AN68" s="251">
        <v>-3.4950000000000001</v>
      </c>
      <c r="AO68" s="15">
        <f t="shared" si="198"/>
        <v>-3.4950000000000001</v>
      </c>
      <c r="AP68" s="250">
        <v>-0.42499999999999999</v>
      </c>
      <c r="AQ68" s="251">
        <v>-0.57699999999999996</v>
      </c>
      <c r="AR68" s="251">
        <v>-0.88400000000000001</v>
      </c>
      <c r="AS68" s="252">
        <v>-1.294</v>
      </c>
      <c r="AT68" s="15">
        <f t="shared" si="199"/>
        <v>-1.294</v>
      </c>
      <c r="AU68" s="251">
        <v>-1.982</v>
      </c>
      <c r="AV68" s="251">
        <v>-2.742</v>
      </c>
      <c r="AW68" s="251">
        <v>-5.44</v>
      </c>
      <c r="AX68" s="251">
        <v>-8.4190000000000005</v>
      </c>
      <c r="AY68" s="15">
        <f t="shared" si="200"/>
        <v>-8.4190000000000005</v>
      </c>
      <c r="AZ68" s="250">
        <v>-1.43</v>
      </c>
      <c r="BA68" s="251">
        <v>-7.4539999999999997</v>
      </c>
      <c r="BB68" s="251">
        <v>-9.4380000000000006</v>
      </c>
      <c r="BC68" s="251">
        <v>-15.78</v>
      </c>
      <c r="BD68" s="15">
        <f t="shared" si="201"/>
        <v>-15.780000000000001</v>
      </c>
      <c r="BE68" s="250">
        <v>-3.1160000000000001</v>
      </c>
      <c r="BF68" s="251">
        <v>-5.0869999999999997</v>
      </c>
      <c r="BG68" s="251">
        <v>-5.3339999999999996</v>
      </c>
      <c r="BH68" s="252">
        <v>-9.9760000000000009</v>
      </c>
      <c r="BI68" s="15">
        <f t="shared" si="202"/>
        <v>-9.9760000000000009</v>
      </c>
      <c r="BJ68" s="61">
        <v>-6.6000000000000003E-2</v>
      </c>
      <c r="BK68" s="61">
        <v>-4.8970000000000002</v>
      </c>
      <c r="BL68" s="61">
        <v>-7.8209999999999997</v>
      </c>
      <c r="BM68" s="63">
        <v>-9.2550000000000008</v>
      </c>
      <c r="BN68" s="15">
        <f t="shared" si="203"/>
        <v>-9.2550000000000008</v>
      </c>
      <c r="BO68" s="61">
        <v>-4.9889999999999999</v>
      </c>
      <c r="BP68" s="61">
        <v>-12.726000000000001</v>
      </c>
      <c r="BQ68" s="61">
        <v>-22.259</v>
      </c>
      <c r="BR68" s="61">
        <v>-24.295999999999999</v>
      </c>
      <c r="BS68" s="15">
        <f t="shared" si="204"/>
        <v>-24.295999999999999</v>
      </c>
      <c r="BT68" s="62">
        <v>-6.3339999999999996</v>
      </c>
      <c r="BU68" s="61">
        <v>-17.163</v>
      </c>
      <c r="BV68" s="61">
        <v>-20.884</v>
      </c>
      <c r="BW68" s="61">
        <v>-28.805</v>
      </c>
      <c r="BX68" s="15">
        <f t="shared" si="205"/>
        <v>-28.805</v>
      </c>
      <c r="BY68" s="62">
        <v>-21.89</v>
      </c>
      <c r="BZ68" s="61">
        <v>-1.5489999999999999</v>
      </c>
      <c r="CA68" s="61">
        <v>-18.690999999999999</v>
      </c>
      <c r="CB68" s="88">
        <v>-36.692</v>
      </c>
      <c r="CC68" s="15">
        <f t="shared" si="206"/>
        <v>-36.692</v>
      </c>
      <c r="CD68" s="86">
        <v>-20.562000000000001</v>
      </c>
      <c r="CE68" s="248">
        <v>-7.3929999999999998</v>
      </c>
      <c r="CF68" s="248">
        <v>-9.6039999999999992</v>
      </c>
      <c r="CG68" s="440">
        <v>-24.338000000000001</v>
      </c>
      <c r="CH68" s="15">
        <f t="shared" si="207"/>
        <v>-24.338000000000005</v>
      </c>
      <c r="CI68" s="86">
        <v>76.600999999999971</v>
      </c>
      <c r="CJ68" s="248">
        <v>19.446999999999999</v>
      </c>
      <c r="CK68" s="248">
        <v>22.88</v>
      </c>
      <c r="CL68" s="440">
        <v>19.120999999999999</v>
      </c>
      <c r="CM68" s="15">
        <f t="shared" si="208"/>
        <v>19.120999999999995</v>
      </c>
      <c r="CN68" s="86">
        <v>-1</v>
      </c>
      <c r="CO68" s="248">
        <v>-50.3</v>
      </c>
      <c r="CP68" s="248">
        <v>-40.1</v>
      </c>
      <c r="CQ68" s="440">
        <v>-38.6</v>
      </c>
      <c r="CR68" s="352">
        <f t="shared" si="209"/>
        <v>-38.6</v>
      </c>
      <c r="CS68" s="86">
        <v>-12.8</v>
      </c>
      <c r="CT68" s="248">
        <v>-5.6</v>
      </c>
      <c r="CU68" s="248">
        <v>-51</v>
      </c>
      <c r="CV68" s="249">
        <v>-59</v>
      </c>
      <c r="CW68" s="352">
        <f t="shared" si="221"/>
        <v>-59</v>
      </c>
      <c r="CX68" s="86">
        <v>-31</v>
      </c>
      <c r="CY68" s="248">
        <v>-46</v>
      </c>
      <c r="CZ68" s="248">
        <v>-65</v>
      </c>
      <c r="DA68" s="1106">
        <f t="shared" si="224"/>
        <v>-39</v>
      </c>
      <c r="DB68" s="352">
        <f t="shared" si="223"/>
        <v>-39</v>
      </c>
      <c r="DC68" s="239">
        <f>+DC22</f>
        <v>-120</v>
      </c>
      <c r="DD68" s="15">
        <f t="shared" si="225"/>
        <v>-120</v>
      </c>
      <c r="DE68" s="15">
        <f t="shared" si="225"/>
        <v>-240</v>
      </c>
      <c r="DF68" s="15">
        <f t="shared" si="225"/>
        <v>-240</v>
      </c>
      <c r="DG68" s="352">
        <f t="shared" si="212"/>
        <v>-240</v>
      </c>
      <c r="DH68" s="239">
        <f>+DH22</f>
        <v>-120</v>
      </c>
      <c r="DI68" s="15">
        <f t="shared" si="226"/>
        <v>-120</v>
      </c>
      <c r="DJ68" s="15">
        <f t="shared" si="226"/>
        <v>-240</v>
      </c>
      <c r="DK68" s="15">
        <f t="shared" si="226"/>
        <v>-240</v>
      </c>
      <c r="DL68" s="352">
        <f t="shared" si="215"/>
        <v>-240</v>
      </c>
      <c r="DM68" s="239">
        <f>+DM22</f>
        <v>-100</v>
      </c>
      <c r="DN68" s="15">
        <f t="shared" si="227"/>
        <v>-100</v>
      </c>
      <c r="DO68" s="15">
        <f t="shared" si="228"/>
        <v>-200</v>
      </c>
      <c r="DP68" s="15">
        <f t="shared" si="229"/>
        <v>-200</v>
      </c>
      <c r="DQ68" s="352">
        <f t="shared" si="220"/>
        <v>-200</v>
      </c>
      <c r="DR68" s="61"/>
      <c r="DS68" s="153"/>
      <c r="DT68"/>
      <c r="DU68"/>
      <c r="DV68"/>
      <c r="DW68"/>
      <c r="DX68"/>
      <c r="DY68"/>
    </row>
    <row r="69" spans="1:129" s="155" customFormat="1" hidden="1" outlineLevel="1">
      <c r="A69" s="192"/>
      <c r="B69" s="136"/>
      <c r="C69" s="559" t="s">
        <v>57</v>
      </c>
      <c r="D69" s="135"/>
      <c r="E69" s="135"/>
      <c r="F69" s="135"/>
      <c r="G69" s="62">
        <v>-0.249</v>
      </c>
      <c r="H69" s="61">
        <v>-0.624</v>
      </c>
      <c r="I69" s="61">
        <v>-0.63300000000000001</v>
      </c>
      <c r="J69" s="63">
        <v>0.20100000000000001</v>
      </c>
      <c r="K69" s="14">
        <f t="shared" si="192"/>
        <v>0.20099999999999996</v>
      </c>
      <c r="L69" s="62">
        <v>-8.0000000000000002E-3</v>
      </c>
      <c r="M69" s="61">
        <v>-0.66700000000000004</v>
      </c>
      <c r="N69" s="61">
        <v>-0.56299999999999994</v>
      </c>
      <c r="O69" s="61">
        <v>-0.309</v>
      </c>
      <c r="P69" s="15">
        <f t="shared" si="193"/>
        <v>-0.309</v>
      </c>
      <c r="Q69" s="250">
        <v>0.33600000000000002</v>
      </c>
      <c r="R69" s="251">
        <v>8.7999999999999995E-2</v>
      </c>
      <c r="S69" s="251">
        <v>0.46800000000000003</v>
      </c>
      <c r="T69" s="252">
        <v>1.4139999999999999</v>
      </c>
      <c r="U69" s="15">
        <f t="shared" si="194"/>
        <v>1.4139999999999997</v>
      </c>
      <c r="V69" s="251">
        <v>-0.627</v>
      </c>
      <c r="W69" s="251">
        <v>-0.85899999999999999</v>
      </c>
      <c r="X69" s="251">
        <v>0.14599999999999999</v>
      </c>
      <c r="Y69" s="252">
        <v>0.80300000000000005</v>
      </c>
      <c r="Z69" s="15">
        <f t="shared" si="195"/>
        <v>0.80300000000000005</v>
      </c>
      <c r="AA69" s="251">
        <v>-9.1999999999999998E-2</v>
      </c>
      <c r="AB69" s="251">
        <v>0.95499999999999996</v>
      </c>
      <c r="AC69" s="251">
        <v>1.165</v>
      </c>
      <c r="AD69" s="252">
        <v>3.2959999999999998</v>
      </c>
      <c r="AE69" s="15">
        <f t="shared" si="196"/>
        <v>3.2959999999999998</v>
      </c>
      <c r="AF69" s="251">
        <v>-1.3049999999999999</v>
      </c>
      <c r="AG69" s="251">
        <v>-0.72599999999999998</v>
      </c>
      <c r="AH69" s="251">
        <v>-1.276</v>
      </c>
      <c r="AI69" s="252">
        <v>1.7849999999999999</v>
      </c>
      <c r="AJ69" s="15">
        <f t="shared" si="197"/>
        <v>1.7849999999999999</v>
      </c>
      <c r="AK69" s="251">
        <v>-0.95499999999999996</v>
      </c>
      <c r="AL69" s="251">
        <v>-0.254</v>
      </c>
      <c r="AM69" s="251">
        <v>2.3159999999999998</v>
      </c>
      <c r="AN69" s="251">
        <v>1.546</v>
      </c>
      <c r="AO69" s="15">
        <f t="shared" si="198"/>
        <v>1.5460000000000003</v>
      </c>
      <c r="AP69" s="250">
        <v>1.996</v>
      </c>
      <c r="AQ69" s="251">
        <v>0.69499999999999995</v>
      </c>
      <c r="AR69" s="251">
        <v>3.6179999999999999</v>
      </c>
      <c r="AS69" s="252">
        <v>2.2080000000000002</v>
      </c>
      <c r="AT69" s="15">
        <f t="shared" si="199"/>
        <v>2.2080000000000002</v>
      </c>
      <c r="AU69" s="251">
        <v>4.62</v>
      </c>
      <c r="AV69" s="251">
        <v>6.9729999999999999</v>
      </c>
      <c r="AW69" s="251">
        <v>9.3049999999999997</v>
      </c>
      <c r="AX69" s="251">
        <v>10.817</v>
      </c>
      <c r="AY69" s="15">
        <f t="shared" si="200"/>
        <v>10.817</v>
      </c>
      <c r="AZ69" s="250">
        <v>19.417000000000002</v>
      </c>
      <c r="BA69" s="251">
        <v>-1.8759999999999999</v>
      </c>
      <c r="BB69" s="251">
        <v>3.3370000000000002</v>
      </c>
      <c r="BC69" s="251">
        <v>10.554</v>
      </c>
      <c r="BD69" s="15">
        <f t="shared" si="201"/>
        <v>10.553999999999998</v>
      </c>
      <c r="BE69" s="250">
        <v>11.132</v>
      </c>
      <c r="BF69" s="251">
        <v>13.721</v>
      </c>
      <c r="BG69" s="251">
        <v>14.122999999999999</v>
      </c>
      <c r="BH69" s="252">
        <v>19.283000000000001</v>
      </c>
      <c r="BI69" s="15">
        <f t="shared" si="202"/>
        <v>19.283000000000001</v>
      </c>
      <c r="BJ69" s="61">
        <v>16.861000000000001</v>
      </c>
      <c r="BK69" s="61">
        <v>-0.114</v>
      </c>
      <c r="BL69" s="61">
        <v>9.7219999999999995</v>
      </c>
      <c r="BM69" s="63">
        <v>6.6749999999999998</v>
      </c>
      <c r="BN69" s="15">
        <f t="shared" si="203"/>
        <v>6.6750000000000007</v>
      </c>
      <c r="BO69" s="61">
        <v>36.088000000000001</v>
      </c>
      <c r="BP69" s="61">
        <v>20.617999999999999</v>
      </c>
      <c r="BQ69" s="61">
        <v>36.567</v>
      </c>
      <c r="BR69" s="61">
        <v>18.597000000000001</v>
      </c>
      <c r="BS69" s="15">
        <f t="shared" si="204"/>
        <v>18.597000000000005</v>
      </c>
      <c r="BT69" s="62">
        <v>41.079000000000001</v>
      </c>
      <c r="BU69" s="61">
        <v>7.6440000000000001</v>
      </c>
      <c r="BV69" s="61">
        <v>-2.6539999999999999</v>
      </c>
      <c r="BW69" s="61">
        <v>-8.593</v>
      </c>
      <c r="BX69" s="15">
        <f t="shared" si="205"/>
        <v>-8.593</v>
      </c>
      <c r="BY69" s="62">
        <v>38.581000000000003</v>
      </c>
      <c r="BZ69" s="61">
        <v>27.184999999999999</v>
      </c>
      <c r="CA69" s="61">
        <v>39.386000000000003</v>
      </c>
      <c r="CB69" s="88">
        <v>32.773000000000003</v>
      </c>
      <c r="CC69" s="15">
        <f t="shared" si="206"/>
        <v>32.77300000000001</v>
      </c>
      <c r="CD69" s="86">
        <v>16.268999999999998</v>
      </c>
      <c r="CE69" s="248">
        <v>-12.266999999999999</v>
      </c>
      <c r="CF69" s="248">
        <v>3.2509999999999999</v>
      </c>
      <c r="CG69" s="440">
        <v>-12.122999999999999</v>
      </c>
      <c r="CH69" s="15">
        <f t="shared" si="207"/>
        <v>-12.122999999999998</v>
      </c>
      <c r="CI69" s="86">
        <v>62.97999999999999</v>
      </c>
      <c r="CJ69" s="248">
        <v>8.1240000000000006</v>
      </c>
      <c r="CK69" s="248">
        <v>44.600999999999999</v>
      </c>
      <c r="CL69" s="440">
        <v>25.681000000000001</v>
      </c>
      <c r="CM69" s="15">
        <f t="shared" si="208"/>
        <v>25.681000000000004</v>
      </c>
      <c r="CN69" s="86">
        <v>28.3</v>
      </c>
      <c r="CO69" s="248">
        <v>19.399999999999999</v>
      </c>
      <c r="CP69" s="248">
        <v>16.8</v>
      </c>
      <c r="CQ69" s="440">
        <v>19.399999999999999</v>
      </c>
      <c r="CR69" s="352">
        <f t="shared" si="209"/>
        <v>19.399999999999999</v>
      </c>
      <c r="CS69" s="86">
        <v>48.1</v>
      </c>
      <c r="CT69" s="248">
        <v>5.9</v>
      </c>
      <c r="CU69" s="248">
        <v>11.9</v>
      </c>
      <c r="CV69" s="249">
        <v>6</v>
      </c>
      <c r="CW69" s="352">
        <f t="shared" si="221"/>
        <v>6</v>
      </c>
      <c r="CX69" s="86">
        <v>13</v>
      </c>
      <c r="CY69" s="248">
        <v>2</v>
      </c>
      <c r="CZ69" s="248">
        <v>-5</v>
      </c>
      <c r="DA69" s="1106">
        <f t="shared" si="224"/>
        <v>19</v>
      </c>
      <c r="DB69" s="352">
        <f t="shared" si="223"/>
        <v>19</v>
      </c>
      <c r="DC69" s="239">
        <f>+DC23</f>
        <v>-16.016411577028293</v>
      </c>
      <c r="DD69" s="15">
        <f t="shared" si="225"/>
        <v>-13.266057425917751</v>
      </c>
      <c r="DE69" s="15">
        <f t="shared" si="225"/>
        <v>-17.260027299957216</v>
      </c>
      <c r="DF69" s="15">
        <f t="shared" si="225"/>
        <v>-0.15993559322038209</v>
      </c>
      <c r="DG69" s="352">
        <f t="shared" si="212"/>
        <v>-0.15993559322038209</v>
      </c>
      <c r="DH69" s="239">
        <f>+DH23</f>
        <v>-2.5371179097422782</v>
      </c>
      <c r="DI69" s="15">
        <f t="shared" si="226"/>
        <v>0.82775027663478795</v>
      </c>
      <c r="DJ69" s="15">
        <f t="shared" si="226"/>
        <v>-3.0833609336302743</v>
      </c>
      <c r="DK69" s="15">
        <f t="shared" si="226"/>
        <v>15.768191541356003</v>
      </c>
      <c r="DL69" s="352">
        <f t="shared" si="215"/>
        <v>15.768191541356003</v>
      </c>
      <c r="DM69" s="239">
        <f>+DM23</f>
        <v>-1.6334286003177567</v>
      </c>
      <c r="DN69" s="15">
        <f t="shared" si="227"/>
        <v>1.481949487802467</v>
      </c>
      <c r="DO69" s="15">
        <f t="shared" si="228"/>
        <v>-2.4089892480612605</v>
      </c>
      <c r="DP69" s="15">
        <f t="shared" si="229"/>
        <v>17.672990271498264</v>
      </c>
      <c r="DQ69" s="352">
        <f t="shared" si="220"/>
        <v>17.672990271498264</v>
      </c>
      <c r="DR69" s="61"/>
      <c r="DS69" s="153"/>
      <c r="DT69"/>
      <c r="DU69"/>
      <c r="DV69"/>
      <c r="DW69"/>
      <c r="DX69"/>
      <c r="DY69"/>
    </row>
    <row r="70" spans="1:129" s="155" customFormat="1" hidden="1" outlineLevel="1">
      <c r="A70" s="192"/>
      <c r="B70" s="136"/>
      <c r="C70" s="559" t="s">
        <v>89</v>
      </c>
      <c r="D70" s="135"/>
      <c r="E70" s="135"/>
      <c r="F70" s="135"/>
      <c r="G70" s="62">
        <v>0.371</v>
      </c>
      <c r="H70" s="61">
        <v>3.5059999999999998</v>
      </c>
      <c r="I70" s="61">
        <v>5.43</v>
      </c>
      <c r="J70" s="63">
        <v>7.548</v>
      </c>
      <c r="K70" s="14">
        <f t="shared" si="192"/>
        <v>7.548</v>
      </c>
      <c r="L70" s="62">
        <v>-2.2770000000000001</v>
      </c>
      <c r="M70" s="61">
        <v>-1.9550000000000001</v>
      </c>
      <c r="N70" s="61">
        <v>-0.95899999999999996</v>
      </c>
      <c r="O70" s="61">
        <v>0.56200000000000006</v>
      </c>
      <c r="P70" s="15">
        <f t="shared" si="193"/>
        <v>0.56200000000000006</v>
      </c>
      <c r="Q70" s="250">
        <v>-2.0459999999999998</v>
      </c>
      <c r="R70" s="251">
        <v>1.2649999999999999</v>
      </c>
      <c r="S70" s="251">
        <v>6.1479999999999997</v>
      </c>
      <c r="T70" s="252">
        <v>12.096</v>
      </c>
      <c r="U70" s="15">
        <f t="shared" si="194"/>
        <v>12.096</v>
      </c>
      <c r="V70" s="251">
        <v>-5.5590000000000002</v>
      </c>
      <c r="W70" s="251">
        <v>-5.694</v>
      </c>
      <c r="X70" s="251">
        <v>-3.1760000000000002</v>
      </c>
      <c r="Y70" s="252">
        <v>-5.819</v>
      </c>
      <c r="Z70" s="15">
        <f t="shared" si="195"/>
        <v>-5.819</v>
      </c>
      <c r="AA70" s="251">
        <v>0.75800000000000001</v>
      </c>
      <c r="AB70" s="251">
        <v>9.4550000000000001</v>
      </c>
      <c r="AC70" s="251">
        <v>9.8190000000000008</v>
      </c>
      <c r="AD70" s="252">
        <v>14.813000000000001</v>
      </c>
      <c r="AE70" s="15">
        <f t="shared" si="196"/>
        <v>14.812999999999999</v>
      </c>
      <c r="AF70" s="251">
        <v>-1.617</v>
      </c>
      <c r="AG70" s="251">
        <v>5.2999999999999999E-2</v>
      </c>
      <c r="AH70" s="251">
        <v>8.5820000000000007</v>
      </c>
      <c r="AI70" s="252">
        <v>15.635</v>
      </c>
      <c r="AJ70" s="15">
        <f t="shared" si="197"/>
        <v>15.635000000000002</v>
      </c>
      <c r="AK70" s="251">
        <v>0.83399999999999996</v>
      </c>
      <c r="AL70" s="251">
        <v>9.9190000000000005</v>
      </c>
      <c r="AM70" s="251">
        <v>31.007999999999999</v>
      </c>
      <c r="AN70" s="251">
        <v>48.624000000000002</v>
      </c>
      <c r="AO70" s="15">
        <f t="shared" si="198"/>
        <v>48.624000000000002</v>
      </c>
      <c r="AP70" s="250">
        <v>-18.885999999999999</v>
      </c>
      <c r="AQ70" s="251">
        <v>-4.3600000000000003</v>
      </c>
      <c r="AR70" s="251">
        <v>13.458</v>
      </c>
      <c r="AS70" s="252">
        <v>38.354999999999997</v>
      </c>
      <c r="AT70" s="15">
        <f t="shared" si="199"/>
        <v>38.354999999999997</v>
      </c>
      <c r="AU70" s="251">
        <v>-18.64</v>
      </c>
      <c r="AV70" s="251">
        <v>6.94</v>
      </c>
      <c r="AW70" s="251">
        <v>46.518999999999998</v>
      </c>
      <c r="AX70" s="251">
        <v>81.224999999999994</v>
      </c>
      <c r="AY70" s="15">
        <f t="shared" si="200"/>
        <v>81.224999999999994</v>
      </c>
      <c r="AZ70" s="250">
        <v>-14.672000000000001</v>
      </c>
      <c r="BA70" s="251">
        <v>4.9320000000000004</v>
      </c>
      <c r="BB70" s="251">
        <v>38.567</v>
      </c>
      <c r="BC70" s="251">
        <v>77.337000000000003</v>
      </c>
      <c r="BD70" s="15">
        <f t="shared" si="201"/>
        <v>77.337000000000003</v>
      </c>
      <c r="BE70" s="250">
        <v>-47.918999999999997</v>
      </c>
      <c r="BF70" s="251">
        <v>-31.402999999999999</v>
      </c>
      <c r="BG70" s="251">
        <v>2.1619999999999999</v>
      </c>
      <c r="BH70" s="252">
        <v>81.363</v>
      </c>
      <c r="BI70" s="15">
        <f t="shared" si="202"/>
        <v>81.363</v>
      </c>
      <c r="BJ70" s="61">
        <v>-69.619</v>
      </c>
      <c r="BK70" s="61">
        <v>-26.791</v>
      </c>
      <c r="BL70" s="61">
        <v>78.524000000000001</v>
      </c>
      <c r="BM70" s="63">
        <v>207.88300000000001</v>
      </c>
      <c r="BN70" s="15">
        <f t="shared" si="203"/>
        <v>207.88300000000001</v>
      </c>
      <c r="BO70" s="61">
        <v>-83.138999999999996</v>
      </c>
      <c r="BP70" s="61">
        <v>-18.542999999999999</v>
      </c>
      <c r="BQ70" s="61">
        <v>119.58199999999999</v>
      </c>
      <c r="BR70" s="61">
        <v>348.89800000000002</v>
      </c>
      <c r="BS70" s="15">
        <f t="shared" si="204"/>
        <v>348.89800000000002</v>
      </c>
      <c r="BT70" s="62">
        <v>-149.82499999999999</v>
      </c>
      <c r="BU70" s="61">
        <v>-14.983000000000001</v>
      </c>
      <c r="BV70" s="61">
        <v>94.552999999999997</v>
      </c>
      <c r="BW70" s="61">
        <v>195.03800000000001</v>
      </c>
      <c r="BX70" s="15">
        <f t="shared" si="205"/>
        <v>195.03800000000001</v>
      </c>
      <c r="BY70" s="62">
        <v>-136.16</v>
      </c>
      <c r="BZ70" s="61">
        <v>-70.122</v>
      </c>
      <c r="CA70" s="61">
        <v>101.699</v>
      </c>
      <c r="CB70" s="88">
        <v>208.43799999999999</v>
      </c>
      <c r="CC70" s="15">
        <f t="shared" si="206"/>
        <v>208.43799999999999</v>
      </c>
      <c r="CD70" s="86">
        <v>-139.626</v>
      </c>
      <c r="CE70" s="248">
        <v>-43.564</v>
      </c>
      <c r="CF70" s="248">
        <v>112.931</v>
      </c>
      <c r="CG70" s="440">
        <v>328.726</v>
      </c>
      <c r="CH70" s="15">
        <f t="shared" si="207"/>
        <v>328.726</v>
      </c>
      <c r="CI70" s="86">
        <v>-388.1</v>
      </c>
      <c r="CJ70" s="248">
        <v>-127.03400000000001</v>
      </c>
      <c r="CK70" s="248">
        <v>44.832000000000001</v>
      </c>
      <c r="CL70" s="440">
        <v>112.152</v>
      </c>
      <c r="CM70" s="15">
        <f t="shared" si="208"/>
        <v>112.15199999999999</v>
      </c>
      <c r="CN70" s="86">
        <v>-201.7</v>
      </c>
      <c r="CO70" s="248">
        <v>-130.30000000000001</v>
      </c>
      <c r="CP70" s="248">
        <v>191</v>
      </c>
      <c r="CQ70" s="440">
        <f>49.7+433.1</f>
        <v>482.8</v>
      </c>
      <c r="CR70" s="352">
        <f t="shared" si="209"/>
        <v>482.8</v>
      </c>
      <c r="CS70" s="86">
        <f>41.2-525.8</f>
        <v>-484.59999999999997</v>
      </c>
      <c r="CT70" s="248">
        <f>2.3-286.9</f>
        <v>-284.59999999999997</v>
      </c>
      <c r="CU70" s="248">
        <f>-72.9-57.2</f>
        <v>-130.10000000000002</v>
      </c>
      <c r="CV70" s="249">
        <f>54-38</f>
        <v>16</v>
      </c>
      <c r="CW70" s="352">
        <f t="shared" si="221"/>
        <v>16</v>
      </c>
      <c r="CX70" s="86">
        <f>67-384</f>
        <v>-317</v>
      </c>
      <c r="CY70" s="248">
        <f>10-289</f>
        <v>-279</v>
      </c>
      <c r="CZ70" s="248">
        <f>-21+4</f>
        <v>-17</v>
      </c>
      <c r="DA70" s="1106">
        <f t="shared" si="224"/>
        <v>680</v>
      </c>
      <c r="DB70" s="352">
        <f t="shared" si="223"/>
        <v>680</v>
      </c>
      <c r="DC70" s="239">
        <f>+DC24</f>
        <v>-131.70796887582355</v>
      </c>
      <c r="DD70" s="15">
        <f t="shared" si="225"/>
        <v>-391.86518759168644</v>
      </c>
      <c r="DE70" s="15">
        <f t="shared" si="225"/>
        <v>-130.94632725651422</v>
      </c>
      <c r="DF70" s="15">
        <f t="shared" si="225"/>
        <v>-7.2447691326835866</v>
      </c>
      <c r="DG70" s="352">
        <f t="shared" si="212"/>
        <v>-7.2447691326835866</v>
      </c>
      <c r="DH70" s="239">
        <f>+DH24</f>
        <v>-64.170380641724478</v>
      </c>
      <c r="DI70" s="15">
        <f t="shared" si="226"/>
        <v>-333.46941732942719</v>
      </c>
      <c r="DJ70" s="15">
        <f t="shared" si="226"/>
        <v>-120.32801853813839</v>
      </c>
      <c r="DK70" s="15">
        <f t="shared" si="226"/>
        <v>25.315953780017708</v>
      </c>
      <c r="DL70" s="352">
        <f t="shared" si="215"/>
        <v>25.315953780017708</v>
      </c>
      <c r="DM70" s="239">
        <f>+DM24</f>
        <v>21.711005901196131</v>
      </c>
      <c r="DN70" s="15">
        <f t="shared" si="227"/>
        <v>-274.78422977210994</v>
      </c>
      <c r="DO70" s="15">
        <f t="shared" si="228"/>
        <v>-115.94538741406654</v>
      </c>
      <c r="DP70" s="15">
        <f t="shared" si="229"/>
        <v>37.579271614001073</v>
      </c>
      <c r="DQ70" s="352">
        <f t="shared" si="220"/>
        <v>37.579271614001073</v>
      </c>
      <c r="DR70" s="61"/>
      <c r="DS70" s="153"/>
      <c r="DT70"/>
      <c r="DU70"/>
      <c r="DV70"/>
      <c r="DW70"/>
      <c r="DX70"/>
      <c r="DY70"/>
    </row>
    <row r="71" spans="1:129" s="202" customFormat="1" hidden="1" outlineLevel="1">
      <c r="A71" s="200"/>
      <c r="B71" s="169" t="s">
        <v>90</v>
      </c>
      <c r="C71" s="191"/>
      <c r="D71" s="191"/>
      <c r="E71" s="191"/>
      <c r="F71" s="191"/>
      <c r="G71" s="39">
        <f t="shared" ref="G71:BL71" si="230">SUM(G58:G70)</f>
        <v>0.61799999999999988</v>
      </c>
      <c r="H71" s="40">
        <f t="shared" si="230"/>
        <v>4.7210000000000001</v>
      </c>
      <c r="I71" s="40">
        <f t="shared" si="230"/>
        <v>9.8379999999999992</v>
      </c>
      <c r="J71" s="41">
        <f t="shared" si="230"/>
        <v>13.358000000000001</v>
      </c>
      <c r="K71" s="195">
        <f t="shared" si="192"/>
        <v>13.358000000000001</v>
      </c>
      <c r="L71" s="39">
        <f t="shared" si="230"/>
        <v>-2.1669999999999998</v>
      </c>
      <c r="M71" s="40">
        <f t="shared" si="230"/>
        <v>3.9850000000000003</v>
      </c>
      <c r="N71" s="40">
        <f t="shared" si="230"/>
        <v>9.907</v>
      </c>
      <c r="O71" s="40">
        <f t="shared" si="230"/>
        <v>19.446000000000002</v>
      </c>
      <c r="P71" s="194">
        <f t="shared" si="193"/>
        <v>19.446000000000002</v>
      </c>
      <c r="Q71" s="78">
        <f t="shared" si="230"/>
        <v>-1.8510000000000013</v>
      </c>
      <c r="R71" s="77">
        <f t="shared" si="230"/>
        <v>6.5050000000000017</v>
      </c>
      <c r="S71" s="77">
        <f t="shared" si="230"/>
        <v>17.193000000000001</v>
      </c>
      <c r="T71" s="79">
        <f t="shared" si="230"/>
        <v>30.22</v>
      </c>
      <c r="U71" s="194">
        <f t="shared" si="194"/>
        <v>30.22</v>
      </c>
      <c r="V71" s="77">
        <f t="shared" si="230"/>
        <v>1.4580000000000002</v>
      </c>
      <c r="W71" s="77">
        <f t="shared" si="230"/>
        <v>7.9429999999999987</v>
      </c>
      <c r="X71" s="77">
        <f t="shared" si="230"/>
        <v>23.715000000000003</v>
      </c>
      <c r="Y71" s="79">
        <f t="shared" si="230"/>
        <v>32.078999999999986</v>
      </c>
      <c r="Z71" s="194">
        <f t="shared" si="195"/>
        <v>32.079000000000001</v>
      </c>
      <c r="AA71" s="77">
        <f t="shared" si="230"/>
        <v>7.5249999999999986</v>
      </c>
      <c r="AB71" s="77">
        <f t="shared" si="230"/>
        <v>20.375999999999998</v>
      </c>
      <c r="AC71" s="77">
        <f t="shared" si="230"/>
        <v>35.585999999999991</v>
      </c>
      <c r="AD71" s="79">
        <f t="shared" si="230"/>
        <v>56.681999999999995</v>
      </c>
      <c r="AE71" s="194">
        <f t="shared" si="196"/>
        <v>56.682000000000002</v>
      </c>
      <c r="AF71" s="77">
        <f t="shared" si="230"/>
        <v>6.7270000000000012</v>
      </c>
      <c r="AG71" s="77">
        <f t="shared" si="230"/>
        <v>22.997999999999994</v>
      </c>
      <c r="AH71" s="77">
        <f t="shared" si="230"/>
        <v>41.96</v>
      </c>
      <c r="AI71" s="79">
        <f t="shared" si="230"/>
        <v>79.862000000000009</v>
      </c>
      <c r="AJ71" s="194">
        <f t="shared" si="197"/>
        <v>79.861999999999995</v>
      </c>
      <c r="AK71" s="77">
        <f t="shared" si="230"/>
        <v>2.7589999999999968</v>
      </c>
      <c r="AL71" s="77">
        <f t="shared" si="230"/>
        <v>33.563999999999993</v>
      </c>
      <c r="AM71" s="77">
        <f t="shared" si="230"/>
        <v>75.535999999999987</v>
      </c>
      <c r="AN71" s="77">
        <f t="shared" si="230"/>
        <v>127.333</v>
      </c>
      <c r="AO71" s="194">
        <f t="shared" si="198"/>
        <v>127.33299999999998</v>
      </c>
      <c r="AP71" s="78">
        <f t="shared" si="230"/>
        <v>-0.3940000000000019</v>
      </c>
      <c r="AQ71" s="77">
        <f t="shared" si="230"/>
        <v>30.661000000000001</v>
      </c>
      <c r="AR71" s="77">
        <f t="shared" si="230"/>
        <v>93.56</v>
      </c>
      <c r="AS71" s="79">
        <f t="shared" si="230"/>
        <v>159.76</v>
      </c>
      <c r="AT71" s="194">
        <f t="shared" si="199"/>
        <v>159.75999999999996</v>
      </c>
      <c r="AU71" s="77">
        <f t="shared" si="230"/>
        <v>-3.9270000000000067</v>
      </c>
      <c r="AV71" s="77">
        <f t="shared" si="230"/>
        <v>47.672000000000025</v>
      </c>
      <c r="AW71" s="77">
        <f t="shared" si="230"/>
        <v>134.41800000000003</v>
      </c>
      <c r="AX71" s="77">
        <f t="shared" si="230"/>
        <v>252.87599999999998</v>
      </c>
      <c r="AY71" s="194">
        <f t="shared" si="200"/>
        <v>252.876</v>
      </c>
      <c r="AZ71" s="78">
        <f t="shared" si="230"/>
        <v>12.483000000000001</v>
      </c>
      <c r="BA71" s="77">
        <f t="shared" si="230"/>
        <v>64.521000000000015</v>
      </c>
      <c r="BB71" s="77">
        <f t="shared" si="230"/>
        <v>194.42400000000004</v>
      </c>
      <c r="BC71" s="77">
        <f t="shared" si="230"/>
        <v>344.31999999999994</v>
      </c>
      <c r="BD71" s="194">
        <f t="shared" si="201"/>
        <v>344.32</v>
      </c>
      <c r="BE71" s="78">
        <f t="shared" si="230"/>
        <v>22.260999999999996</v>
      </c>
      <c r="BF71" s="77">
        <f t="shared" si="230"/>
        <v>97.025999999999982</v>
      </c>
      <c r="BG71" s="77">
        <f t="shared" si="230"/>
        <v>236.79199999999997</v>
      </c>
      <c r="BH71" s="79">
        <f t="shared" si="230"/>
        <v>429.70499999999993</v>
      </c>
      <c r="BI71" s="194">
        <f t="shared" si="202"/>
        <v>429.70500000000004</v>
      </c>
      <c r="BJ71" s="40">
        <f t="shared" si="230"/>
        <v>75.089999999999947</v>
      </c>
      <c r="BK71" s="40">
        <f t="shared" si="230"/>
        <v>226.34799999999993</v>
      </c>
      <c r="BL71" s="40">
        <f t="shared" si="230"/>
        <v>434.80299999999988</v>
      </c>
      <c r="BM71" s="41">
        <f t="shared" ref="BM71:CB71" si="231">SUM(BM58:BM70)</f>
        <v>672.32499999999982</v>
      </c>
      <c r="BN71" s="194">
        <f t="shared" si="203"/>
        <v>672.32499999999993</v>
      </c>
      <c r="BO71" s="40">
        <f t="shared" si="231"/>
        <v>2.3279999999999603</v>
      </c>
      <c r="BP71" s="40">
        <f t="shared" si="231"/>
        <v>137.62200000000004</v>
      </c>
      <c r="BQ71" s="40">
        <f t="shared" si="231"/>
        <v>372.36</v>
      </c>
      <c r="BR71" s="40">
        <f t="shared" si="231"/>
        <v>764.65400000000022</v>
      </c>
      <c r="BS71" s="194">
        <f t="shared" si="204"/>
        <v>764.654</v>
      </c>
      <c r="BT71" s="39">
        <f t="shared" si="231"/>
        <v>45.628999999999934</v>
      </c>
      <c r="BU71" s="40">
        <f t="shared" si="231"/>
        <v>260.74199999999973</v>
      </c>
      <c r="BV71" s="40">
        <f t="shared" si="231"/>
        <v>590.08600000000001</v>
      </c>
      <c r="BW71" s="40">
        <f t="shared" si="231"/>
        <v>875.15200000000016</v>
      </c>
      <c r="BX71" s="194">
        <f t="shared" si="205"/>
        <v>875.15200000000016</v>
      </c>
      <c r="BY71" s="39">
        <f t="shared" si="231"/>
        <v>101.76300000000006</v>
      </c>
      <c r="BZ71" s="40">
        <f t="shared" si="231"/>
        <v>425.86300000000011</v>
      </c>
      <c r="CA71" s="40">
        <f t="shared" si="231"/>
        <v>810.72299999999996</v>
      </c>
      <c r="CB71" s="204">
        <f t="shared" si="231"/>
        <v>1172.5830000000001</v>
      </c>
      <c r="CC71" s="194">
        <f t="shared" si="206"/>
        <v>1172.5830000000001</v>
      </c>
      <c r="CD71" s="39">
        <f t="shared" ref="CD71:CL71" si="232">SUM(CD58:CD70)</f>
        <v>73.467999999999961</v>
      </c>
      <c r="CE71" s="40">
        <f t="shared" si="232"/>
        <v>439.02499999999998</v>
      </c>
      <c r="CF71" s="40">
        <f t="shared" si="232"/>
        <v>917.90299999999968</v>
      </c>
      <c r="CG71" s="451">
        <f t="shared" si="232"/>
        <v>1423.7759999999998</v>
      </c>
      <c r="CH71" s="194">
        <f t="shared" si="207"/>
        <v>1423.7759999999998</v>
      </c>
      <c r="CI71" s="39">
        <f t="shared" si="232"/>
        <v>157.02663210187836</v>
      </c>
      <c r="CJ71" s="40">
        <f t="shared" si="232"/>
        <v>565.63300000000004</v>
      </c>
      <c r="CK71" s="40">
        <f t="shared" si="232"/>
        <v>1148.8140000000005</v>
      </c>
      <c r="CL71" s="451">
        <f t="shared" si="232"/>
        <v>1473.0100000000002</v>
      </c>
      <c r="CM71" s="194">
        <f t="shared" si="208"/>
        <v>1473.0100000000002</v>
      </c>
      <c r="CN71" s="39">
        <f t="shared" ref="CN71:CV71" si="233">SUM(CN58:CN70)</f>
        <v>189.3</v>
      </c>
      <c r="CO71" s="40">
        <f t="shared" si="233"/>
        <v>645.40000000000032</v>
      </c>
      <c r="CP71" s="40">
        <f t="shared" si="233"/>
        <v>1463.3000000000004</v>
      </c>
      <c r="CQ71" s="451">
        <f>SUM(CQ58:CQ70)</f>
        <v>2153.3000000000002</v>
      </c>
      <c r="CR71" s="355">
        <f t="shared" si="209"/>
        <v>2153.3000000000002</v>
      </c>
      <c r="CS71" s="40">
        <f t="shared" si="233"/>
        <v>68.799999999999898</v>
      </c>
      <c r="CT71" s="40">
        <f>SUM(CT58:CT70)</f>
        <v>428.40000000000003</v>
      </c>
      <c r="CU71" s="40">
        <f t="shared" si="233"/>
        <v>1022.4000000000002</v>
      </c>
      <c r="CV71" s="204">
        <f t="shared" si="233"/>
        <v>1621</v>
      </c>
      <c r="CW71" s="355">
        <f t="shared" si="221"/>
        <v>1621.8999999999996</v>
      </c>
      <c r="CX71" s="194">
        <f>SUM(CX58:CX70)</f>
        <v>277</v>
      </c>
      <c r="CY71" s="40">
        <f>SUM(CY58:CY70)</f>
        <v>798</v>
      </c>
      <c r="CZ71" s="40">
        <f t="shared" ref="CZ71:DF71" si="234">SUM(CZ58:CZ70)</f>
        <v>1571</v>
      </c>
      <c r="DA71" s="194">
        <f t="shared" si="234"/>
        <v>2407</v>
      </c>
      <c r="DB71" s="355">
        <f t="shared" si="223"/>
        <v>2407</v>
      </c>
      <c r="DC71" s="194">
        <f t="shared" si="234"/>
        <v>424.82089186918517</v>
      </c>
      <c r="DD71" s="194">
        <f t="shared" si="234"/>
        <v>813.59393116121714</v>
      </c>
      <c r="DE71" s="194">
        <f t="shared" si="234"/>
        <v>1595.450790232409</v>
      </c>
      <c r="DF71" s="194">
        <f t="shared" si="234"/>
        <v>2469.3799077145013</v>
      </c>
      <c r="DG71" s="355">
        <f t="shared" si="212"/>
        <v>2469.3799077145013</v>
      </c>
      <c r="DH71" s="194">
        <f>SUM(DH58:DH70)</f>
        <v>668.55207717515316</v>
      </c>
      <c r="DI71" s="194">
        <f>SUM(DI58:DI70)</f>
        <v>1131.3849240328718</v>
      </c>
      <c r="DJ71" s="194">
        <f>SUM(DJ58:DJ70)</f>
        <v>1943.2381050661468</v>
      </c>
      <c r="DK71" s="194">
        <f>SUM(DK58:DK70)</f>
        <v>2907.752898569951</v>
      </c>
      <c r="DL71" s="355">
        <f t="shared" si="215"/>
        <v>2907.752898569951</v>
      </c>
      <c r="DM71" s="194">
        <f>SUM(DM58:DM70)</f>
        <v>833.560518440436</v>
      </c>
      <c r="DN71" s="194">
        <f>SUM(DN58:DN70)</f>
        <v>1331.4558534051912</v>
      </c>
      <c r="DO71" s="194">
        <f>SUM(DO58:DO70)</f>
        <v>2158.3838431385439</v>
      </c>
      <c r="DP71" s="194">
        <f>SUM(DP58:DP70)</f>
        <v>3196.4008144460931</v>
      </c>
      <c r="DQ71" s="355">
        <f t="shared" si="220"/>
        <v>3196.4008144460931</v>
      </c>
      <c r="DR71" s="40"/>
      <c r="DS71" s="269"/>
      <c r="DT71"/>
      <c r="DU71"/>
      <c r="DV71"/>
      <c r="DW71"/>
      <c r="DX71"/>
      <c r="DY71"/>
    </row>
    <row r="72" spans="1:129" s="155" customFormat="1" hidden="1" outlineLevel="1">
      <c r="A72" s="192"/>
      <c r="B72" s="136"/>
      <c r="C72" s="135"/>
      <c r="D72" s="135"/>
      <c r="E72" s="135"/>
      <c r="F72" s="135"/>
      <c r="G72" s="62"/>
      <c r="H72" s="61"/>
      <c r="I72" s="61"/>
      <c r="J72" s="63"/>
      <c r="K72" s="14"/>
      <c r="L72" s="62"/>
      <c r="M72" s="61"/>
      <c r="N72" s="61"/>
      <c r="O72" s="61"/>
      <c r="P72" s="15"/>
      <c r="Q72" s="250"/>
      <c r="R72" s="251"/>
      <c r="S72" s="251"/>
      <c r="T72" s="252"/>
      <c r="U72" s="15"/>
      <c r="V72" s="251"/>
      <c r="W72" s="251"/>
      <c r="X72" s="251"/>
      <c r="Y72" s="252"/>
      <c r="Z72" s="15"/>
      <c r="AA72" s="251"/>
      <c r="AB72" s="251"/>
      <c r="AC72" s="251"/>
      <c r="AD72" s="252"/>
      <c r="AE72" s="15"/>
      <c r="AF72" s="251"/>
      <c r="AG72" s="251"/>
      <c r="AH72" s="251"/>
      <c r="AI72" s="252"/>
      <c r="AJ72" s="15"/>
      <c r="AK72" s="251"/>
      <c r="AL72" s="251"/>
      <c r="AM72" s="251"/>
      <c r="AN72" s="252"/>
      <c r="AO72" s="15"/>
      <c r="AP72" s="251"/>
      <c r="AQ72" s="251"/>
      <c r="AR72" s="251"/>
      <c r="AS72" s="252"/>
      <c r="AT72" s="15"/>
      <c r="AU72" s="251"/>
      <c r="AV72" s="251"/>
      <c r="AW72" s="251"/>
      <c r="AX72" s="251"/>
      <c r="AY72" s="15"/>
      <c r="AZ72" s="250"/>
      <c r="BA72" s="251"/>
      <c r="BB72" s="251"/>
      <c r="BC72" s="251"/>
      <c r="BD72" s="15"/>
      <c r="BE72" s="250"/>
      <c r="BF72" s="251"/>
      <c r="BG72" s="251"/>
      <c r="BH72" s="252"/>
      <c r="BI72" s="15"/>
      <c r="BJ72" s="61"/>
      <c r="BK72" s="61"/>
      <c r="BL72" s="61"/>
      <c r="BM72" s="63"/>
      <c r="BN72" s="15"/>
      <c r="BO72" s="61"/>
      <c r="BP72" s="61"/>
      <c r="BQ72" s="61"/>
      <c r="BR72" s="61"/>
      <c r="BS72" s="15"/>
      <c r="BT72" s="62"/>
      <c r="BU72" s="61"/>
      <c r="BV72" s="61"/>
      <c r="BW72" s="61"/>
      <c r="BX72" s="15"/>
      <c r="BY72" s="62"/>
      <c r="BZ72" s="61"/>
      <c r="CA72" s="61"/>
      <c r="CB72" s="16"/>
      <c r="CC72" s="15"/>
      <c r="CD72" s="15"/>
      <c r="CE72" s="407"/>
      <c r="CF72" s="15"/>
      <c r="CG72" s="261"/>
      <c r="CH72" s="15"/>
      <c r="CI72" s="15"/>
      <c r="CJ72" s="407"/>
      <c r="CK72" s="407"/>
      <c r="CL72" s="261"/>
      <c r="CM72" s="15"/>
      <c r="CN72" s="15"/>
      <c r="CO72" s="407"/>
      <c r="CP72" s="407"/>
      <c r="CQ72" s="261"/>
      <c r="CR72" s="352"/>
      <c r="CS72" s="15"/>
      <c r="CT72" s="407"/>
      <c r="CU72" s="407"/>
      <c r="CV72" s="16"/>
      <c r="CW72" s="352"/>
      <c r="CX72" s="239"/>
      <c r="CY72" s="15"/>
      <c r="CZ72" s="15"/>
      <c r="DA72" s="15"/>
      <c r="DB72" s="352"/>
      <c r="DC72" s="239"/>
      <c r="DD72" s="15"/>
      <c r="DE72" s="15"/>
      <c r="DF72" s="15"/>
      <c r="DG72" s="352"/>
      <c r="DH72" s="239"/>
      <c r="DI72" s="15"/>
      <c r="DJ72" s="15"/>
      <c r="DK72" s="15"/>
      <c r="DL72" s="352"/>
      <c r="DM72" s="239"/>
      <c r="DN72" s="15"/>
      <c r="DO72" s="15"/>
      <c r="DP72" s="15"/>
      <c r="DQ72" s="352"/>
      <c r="DR72" s="61"/>
      <c r="DS72" s="153"/>
      <c r="DT72"/>
      <c r="DU72"/>
      <c r="DV72"/>
      <c r="DW72"/>
      <c r="DX72"/>
      <c r="DY72"/>
    </row>
    <row r="73" spans="1:129" s="155" customFormat="1" hidden="1" outlineLevel="1">
      <c r="A73" s="192"/>
      <c r="B73" s="169" t="s">
        <v>91</v>
      </c>
      <c r="C73" s="191"/>
      <c r="D73" s="191"/>
      <c r="E73" s="191"/>
      <c r="F73" s="191"/>
      <c r="G73" s="62"/>
      <c r="H73" s="61"/>
      <c r="I73" s="61"/>
      <c r="J73" s="63"/>
      <c r="K73" s="14">
        <f t="shared" ref="K73:K79" si="235">K27</f>
        <v>0</v>
      </c>
      <c r="L73" s="62"/>
      <c r="M73" s="61"/>
      <c r="N73" s="61"/>
      <c r="O73" s="61"/>
      <c r="P73" s="15">
        <f t="shared" ref="P73:P79" si="236">P27</f>
        <v>0</v>
      </c>
      <c r="Q73" s="250"/>
      <c r="R73" s="251"/>
      <c r="S73" s="251"/>
      <c r="T73" s="252"/>
      <c r="U73" s="15">
        <f t="shared" ref="U73:U79" si="237">U27</f>
        <v>0</v>
      </c>
      <c r="V73" s="251"/>
      <c r="W73" s="251"/>
      <c r="X73" s="251"/>
      <c r="Y73" s="252"/>
      <c r="Z73" s="15">
        <f t="shared" ref="Z73:Z79" si="238">Z27</f>
        <v>0</v>
      </c>
      <c r="AA73" s="251"/>
      <c r="AB73" s="251"/>
      <c r="AC73" s="251"/>
      <c r="AD73" s="252"/>
      <c r="AE73" s="15">
        <f t="shared" ref="AE73:AE79" si="239">AE27</f>
        <v>0</v>
      </c>
      <c r="AF73" s="251"/>
      <c r="AG73" s="251"/>
      <c r="AH73" s="251"/>
      <c r="AI73" s="251"/>
      <c r="AJ73" s="15">
        <f t="shared" ref="AJ73:AJ79" si="240">AJ27</f>
        <v>0</v>
      </c>
      <c r="AK73" s="250"/>
      <c r="AL73" s="251"/>
      <c r="AM73" s="251"/>
      <c r="AN73" s="252"/>
      <c r="AO73" s="15">
        <f t="shared" ref="AO73:AO79" si="241">AO27</f>
        <v>0</v>
      </c>
      <c r="AP73" s="251"/>
      <c r="AQ73" s="251"/>
      <c r="AR73" s="251"/>
      <c r="AS73" s="252"/>
      <c r="AT73" s="15">
        <f t="shared" ref="AT73:AT79" si="242">AT27</f>
        <v>0</v>
      </c>
      <c r="AU73" s="251"/>
      <c r="AV73" s="251"/>
      <c r="AW73" s="251"/>
      <c r="AX73" s="251"/>
      <c r="AY73" s="15">
        <f t="shared" ref="AY73:AY79" si="243">AY27</f>
        <v>0</v>
      </c>
      <c r="AZ73" s="250"/>
      <c r="BA73" s="251"/>
      <c r="BB73" s="251"/>
      <c r="BC73" s="251"/>
      <c r="BD73" s="15">
        <f t="shared" ref="BD73:BD79" si="244">BD27</f>
        <v>0</v>
      </c>
      <c r="BE73" s="250"/>
      <c r="BF73" s="251"/>
      <c r="BG73" s="251"/>
      <c r="BH73" s="252"/>
      <c r="BI73" s="15">
        <f t="shared" ref="BI73:BI79" si="245">BI27</f>
        <v>0</v>
      </c>
      <c r="BJ73" s="61"/>
      <c r="BK73" s="61"/>
      <c r="BL73" s="61"/>
      <c r="BM73" s="63"/>
      <c r="BN73" s="15">
        <f t="shared" ref="BN73:BN79" si="246">BN27</f>
        <v>0</v>
      </c>
      <c r="BO73" s="61"/>
      <c r="BP73" s="61"/>
      <c r="BQ73" s="61"/>
      <c r="BR73" s="61"/>
      <c r="BS73" s="15">
        <f t="shared" ref="BS73:BS79" si="247">BS27</f>
        <v>0</v>
      </c>
      <c r="BT73" s="62"/>
      <c r="BU73" s="61"/>
      <c r="BV73" s="61"/>
      <c r="BW73" s="61"/>
      <c r="BX73" s="15">
        <f t="shared" ref="BX73:BX79" si="248">BX27</f>
        <v>0</v>
      </c>
      <c r="BY73" s="62"/>
      <c r="BZ73" s="61"/>
      <c r="CA73" s="61"/>
      <c r="CB73" s="16"/>
      <c r="CC73" s="15">
        <f t="shared" ref="CC73:CC79" si="249">CC27</f>
        <v>0</v>
      </c>
      <c r="CD73" s="15"/>
      <c r="CE73" s="15"/>
      <c r="CF73" s="15"/>
      <c r="CG73" s="261"/>
      <c r="CH73" s="15">
        <f t="shared" ref="CH73:CH79" si="250">CH27</f>
        <v>0</v>
      </c>
      <c r="CI73" s="15"/>
      <c r="CJ73" s="15"/>
      <c r="CK73" s="15"/>
      <c r="CL73" s="261"/>
      <c r="CM73" s="15">
        <f t="shared" ref="CM73:CM79" si="251">CM27</f>
        <v>0</v>
      </c>
      <c r="CN73" s="15"/>
      <c r="CO73" s="15"/>
      <c r="CP73" s="15"/>
      <c r="CQ73" s="261"/>
      <c r="CR73" s="352">
        <f t="shared" ref="CR73:CR79" si="252">CR27</f>
        <v>0</v>
      </c>
      <c r="CS73" s="15"/>
      <c r="CT73" s="15"/>
      <c r="CU73" s="15"/>
      <c r="CV73" s="16"/>
      <c r="CW73" s="352">
        <f t="shared" ref="CW73:CW79" si="253">CW27</f>
        <v>0</v>
      </c>
      <c r="CX73" s="15"/>
      <c r="CY73" s="15"/>
      <c r="CZ73" s="15"/>
      <c r="DA73" s="15"/>
      <c r="DB73" s="352">
        <f t="shared" ref="DB73:DB79" si="254">DB27</f>
        <v>0</v>
      </c>
      <c r="DC73" s="15"/>
      <c r="DD73" s="15"/>
      <c r="DE73" s="15"/>
      <c r="DF73" s="15"/>
      <c r="DG73" s="352">
        <f t="shared" ref="DG73:DG79" si="255">DG27</f>
        <v>0</v>
      </c>
      <c r="DH73" s="15"/>
      <c r="DI73" s="15"/>
      <c r="DJ73" s="15"/>
      <c r="DK73" s="15"/>
      <c r="DL73" s="352">
        <f t="shared" ref="DL73:DL79" si="256">DL27</f>
        <v>0</v>
      </c>
      <c r="DM73" s="15"/>
      <c r="DN73" s="15"/>
      <c r="DO73" s="15"/>
      <c r="DP73" s="15"/>
      <c r="DQ73" s="352">
        <f t="shared" ref="DQ73:DQ79" si="257">DQ27</f>
        <v>0</v>
      </c>
      <c r="DR73" s="61"/>
      <c r="DS73" s="153"/>
      <c r="DT73"/>
      <c r="DU73"/>
      <c r="DV73"/>
      <c r="DW73"/>
      <c r="DX73"/>
      <c r="DY73"/>
    </row>
    <row r="74" spans="1:129" s="155" customFormat="1" hidden="1" outlineLevel="1">
      <c r="A74" s="192"/>
      <c r="B74" s="136"/>
      <c r="C74" s="135" t="s">
        <v>92</v>
      </c>
      <c r="D74" s="135"/>
      <c r="E74" s="135"/>
      <c r="F74" s="135"/>
      <c r="G74" s="62">
        <v>-0.90600000000000003</v>
      </c>
      <c r="H74" s="61">
        <v>-1.83</v>
      </c>
      <c r="I74" s="61">
        <v>-2.4</v>
      </c>
      <c r="J74" s="63">
        <v>-3.7429999999999999</v>
      </c>
      <c r="K74" s="14">
        <f t="shared" si="235"/>
        <v>-3.7429999999999999</v>
      </c>
      <c r="L74" s="62">
        <v>-1.2190000000000001</v>
      </c>
      <c r="M74" s="61">
        <v>-3.2469999999999999</v>
      </c>
      <c r="N74" s="61">
        <v>-4.9029999999999996</v>
      </c>
      <c r="O74" s="61">
        <v>-5.9240000000000004</v>
      </c>
      <c r="P74" s="15">
        <f t="shared" si="236"/>
        <v>-5.9240000000000004</v>
      </c>
      <c r="Q74" s="250">
        <v>-0.79300000000000004</v>
      </c>
      <c r="R74" s="251">
        <v>-2.8740000000000001</v>
      </c>
      <c r="S74" s="251">
        <v>-6.3550000000000004</v>
      </c>
      <c r="T74" s="252">
        <v>-10.651999999999999</v>
      </c>
      <c r="U74" s="15">
        <f t="shared" si="237"/>
        <v>-10.651999999999997</v>
      </c>
      <c r="V74" s="251">
        <v>-3.1080000000000001</v>
      </c>
      <c r="W74" s="251">
        <v>-5.2859999999999996</v>
      </c>
      <c r="X74" s="251">
        <v>-10.691000000000001</v>
      </c>
      <c r="Y74" s="252">
        <v>-14.952999999999999</v>
      </c>
      <c r="Z74" s="15">
        <f t="shared" si="238"/>
        <v>-14.952999999999999</v>
      </c>
      <c r="AA74" s="251">
        <v>-1.944</v>
      </c>
      <c r="AB74" s="251">
        <v>-4.8410000000000002</v>
      </c>
      <c r="AC74" s="251">
        <v>-7.5990000000000002</v>
      </c>
      <c r="AD74" s="252">
        <v>-22.268000000000001</v>
      </c>
      <c r="AE74" s="15">
        <f t="shared" si="239"/>
        <v>-22.268000000000001</v>
      </c>
      <c r="AF74" s="251">
        <v>-6.0540000000000003</v>
      </c>
      <c r="AG74" s="251">
        <v>-13.7</v>
      </c>
      <c r="AH74" s="251">
        <v>-20.262</v>
      </c>
      <c r="AI74" s="251">
        <v>-29.991</v>
      </c>
      <c r="AJ74" s="15">
        <f t="shared" si="240"/>
        <v>-29.991</v>
      </c>
      <c r="AK74" s="250">
        <v>-2.6909999999999998</v>
      </c>
      <c r="AL74" s="251">
        <v>-6.3170000000000002</v>
      </c>
      <c r="AM74" s="251">
        <v>-21.791</v>
      </c>
      <c r="AN74" s="252">
        <v>-46.581000000000003</v>
      </c>
      <c r="AO74" s="15">
        <f t="shared" si="241"/>
        <v>-46.581000000000003</v>
      </c>
      <c r="AP74" s="251">
        <v>-8.64</v>
      </c>
      <c r="AQ74" s="251">
        <v>-22.352</v>
      </c>
      <c r="AR74" s="251">
        <v>-49.573</v>
      </c>
      <c r="AS74" s="252">
        <v>-71.77</v>
      </c>
      <c r="AT74" s="15">
        <f t="shared" si="242"/>
        <v>-71.77</v>
      </c>
      <c r="AU74" s="251">
        <v>-20.587</v>
      </c>
      <c r="AV74" s="251">
        <v>-44.988999999999997</v>
      </c>
      <c r="AW74" s="251">
        <v>-71.212000000000003</v>
      </c>
      <c r="AX74" s="251">
        <v>-104.73399999999999</v>
      </c>
      <c r="AY74" s="15">
        <f t="shared" si="243"/>
        <v>-104.73399999999999</v>
      </c>
      <c r="AZ74" s="250">
        <v>-28.675000000000001</v>
      </c>
      <c r="BA74" s="251">
        <v>-70.870999999999995</v>
      </c>
      <c r="BB74" s="251">
        <v>-110.43300000000001</v>
      </c>
      <c r="BC74" s="251">
        <v>-182.46700000000001</v>
      </c>
      <c r="BD74" s="15">
        <f t="shared" si="244"/>
        <v>-182.46700000000001</v>
      </c>
      <c r="BE74" s="250">
        <v>-53.423000000000002</v>
      </c>
      <c r="BF74" s="251">
        <v>-85.21</v>
      </c>
      <c r="BG74" s="251">
        <v>-146.32499999999999</v>
      </c>
      <c r="BH74" s="252">
        <v>-169.41</v>
      </c>
      <c r="BI74" s="15">
        <f t="shared" si="245"/>
        <v>-169.41</v>
      </c>
      <c r="BJ74" s="61">
        <v>-20.472000000000001</v>
      </c>
      <c r="BK74" s="61">
        <v>-30.024999999999999</v>
      </c>
      <c r="BL74" s="61">
        <v>-62.012999999999998</v>
      </c>
      <c r="BM74" s="63">
        <v>-76.638999999999996</v>
      </c>
      <c r="BN74" s="15">
        <f t="shared" si="246"/>
        <v>-76.638999999999996</v>
      </c>
      <c r="BO74" s="61">
        <v>-24.219000000000001</v>
      </c>
      <c r="BP74" s="61">
        <v>-66.165000000000006</v>
      </c>
      <c r="BQ74" s="61">
        <v>-110.961</v>
      </c>
      <c r="BR74" s="61">
        <v>-185.512</v>
      </c>
      <c r="BS74" s="15">
        <f t="shared" si="247"/>
        <v>-185.512</v>
      </c>
      <c r="BT74" s="62">
        <v>-55.814999999999998</v>
      </c>
      <c r="BU74" s="61">
        <v>-89.55</v>
      </c>
      <c r="BV74" s="61">
        <v>-163.66</v>
      </c>
      <c r="BW74" s="61">
        <v>-288.221</v>
      </c>
      <c r="BX74" s="15">
        <f t="shared" si="248"/>
        <v>-288.221</v>
      </c>
      <c r="BY74" s="62">
        <v>-60.451000000000001</v>
      </c>
      <c r="BZ74" s="61">
        <v>-138.77199999999999</v>
      </c>
      <c r="CA74" s="61">
        <v>-208.71600000000001</v>
      </c>
      <c r="CB74" s="88">
        <v>-334.46499999999997</v>
      </c>
      <c r="CC74" s="15">
        <f t="shared" si="249"/>
        <v>-334.46499999999997</v>
      </c>
      <c r="CD74" s="86">
        <v>-72.185000000000002</v>
      </c>
      <c r="CE74" s="248">
        <v>-122.51</v>
      </c>
      <c r="CF74" s="248">
        <v>-154.346</v>
      </c>
      <c r="CG74" s="440">
        <v>-261.62599999999998</v>
      </c>
      <c r="CH74" s="15">
        <f t="shared" si="250"/>
        <v>-261.62599999999998</v>
      </c>
      <c r="CI74" s="86">
        <v>-43</v>
      </c>
      <c r="CJ74" s="248">
        <v>-81.956999999999994</v>
      </c>
      <c r="CK74" s="248">
        <v>-137.547</v>
      </c>
      <c r="CL74" s="440">
        <v>-212.203</v>
      </c>
      <c r="CM74" s="15">
        <f t="shared" si="251"/>
        <v>-212.203</v>
      </c>
      <c r="CN74" s="86">
        <v>-58</v>
      </c>
      <c r="CO74" s="248">
        <v>-133.6</v>
      </c>
      <c r="CP74" s="248">
        <v>-198.7</v>
      </c>
      <c r="CQ74" s="440">
        <v>-272.8</v>
      </c>
      <c r="CR74" s="352">
        <f t="shared" si="252"/>
        <v>-272.8</v>
      </c>
      <c r="CS74" s="86">
        <v>-63.7</v>
      </c>
      <c r="CT74" s="248">
        <v>-138.6</v>
      </c>
      <c r="CU74" s="248">
        <v>-212.8</v>
      </c>
      <c r="CV74" s="249">
        <v>-300</v>
      </c>
      <c r="CW74" s="352">
        <f t="shared" si="253"/>
        <v>-300</v>
      </c>
      <c r="CX74" s="86">
        <v>-66</v>
      </c>
      <c r="CY74" s="248">
        <v>-126</v>
      </c>
      <c r="CZ74" s="248">
        <v>-204</v>
      </c>
      <c r="DA74" s="441">
        <v>-284</v>
      </c>
      <c r="DB74" s="352">
        <f t="shared" si="254"/>
        <v>-284</v>
      </c>
      <c r="DC74" s="239">
        <f>+DC28</f>
        <v>-61.945999999999998</v>
      </c>
      <c r="DD74" s="15">
        <f t="shared" ref="DD74:DF78" si="258">DC74+DD28</f>
        <v>-126.09128</v>
      </c>
      <c r="DE74" s="15">
        <f t="shared" si="258"/>
        <v>-214.23869999999999</v>
      </c>
      <c r="DF74" s="15">
        <f t="shared" si="258"/>
        <v>-318.4522</v>
      </c>
      <c r="DG74" s="352">
        <f t="shared" si="255"/>
        <v>-318.4522</v>
      </c>
      <c r="DH74" s="239">
        <f>+DH28</f>
        <v>-66.863562000000002</v>
      </c>
      <c r="DI74" s="15">
        <f t="shared" ref="DI74:DK78" si="259">DH74+DI28</f>
        <v>-136.12631160000001</v>
      </c>
      <c r="DJ74" s="15">
        <f t="shared" si="259"/>
        <v>-231.31661667500003</v>
      </c>
      <c r="DK74" s="15">
        <f t="shared" si="259"/>
        <v>-343.73585167500005</v>
      </c>
      <c r="DL74" s="352">
        <f t="shared" si="256"/>
        <v>-343.73585167500005</v>
      </c>
      <c r="DM74" s="239">
        <f>+DM28</f>
        <v>-72.240916049999996</v>
      </c>
      <c r="DN74" s="15">
        <f t="shared" ref="DN74:DN78" si="260">DM74+DN28</f>
        <v>-146.90297137800002</v>
      </c>
      <c r="DO74" s="15">
        <f t="shared" ref="DO74:DO78" si="261">DN74+DO28</f>
        <v>-249.66339429437502</v>
      </c>
      <c r="DP74" s="15">
        <f t="shared" ref="DP74:DP78" si="262">DO74+DP28</f>
        <v>-370.88897389437506</v>
      </c>
      <c r="DQ74" s="352">
        <f t="shared" si="257"/>
        <v>-370.88897389437506</v>
      </c>
      <c r="DR74" s="61"/>
      <c r="DS74" s="153"/>
      <c r="DT74"/>
      <c r="DU74"/>
      <c r="DV74"/>
      <c r="DW74"/>
      <c r="DX74"/>
      <c r="DY74"/>
    </row>
    <row r="75" spans="1:129" s="155" customFormat="1" hidden="1" outlineLevel="1">
      <c r="A75" s="192"/>
      <c r="B75" s="136"/>
      <c r="C75" s="135" t="s">
        <v>138</v>
      </c>
      <c r="D75" s="135"/>
      <c r="E75" s="135"/>
      <c r="F75" s="135"/>
      <c r="G75" s="62">
        <v>0</v>
      </c>
      <c r="H75" s="61">
        <v>0</v>
      </c>
      <c r="I75" s="61">
        <v>0</v>
      </c>
      <c r="J75" s="63">
        <v>0</v>
      </c>
      <c r="K75" s="14">
        <f t="shared" si="235"/>
        <v>0</v>
      </c>
      <c r="L75" s="62">
        <v>0</v>
      </c>
      <c r="M75" s="61">
        <v>0</v>
      </c>
      <c r="N75" s="61">
        <v>0</v>
      </c>
      <c r="O75" s="61">
        <v>0</v>
      </c>
      <c r="P75" s="15">
        <f t="shared" si="236"/>
        <v>0</v>
      </c>
      <c r="Q75" s="250">
        <v>0</v>
      </c>
      <c r="R75" s="251">
        <v>0</v>
      </c>
      <c r="S75" s="251">
        <v>0</v>
      </c>
      <c r="T75" s="252">
        <v>0</v>
      </c>
      <c r="U75" s="15">
        <f t="shared" si="237"/>
        <v>0</v>
      </c>
      <c r="V75" s="251">
        <v>0</v>
      </c>
      <c r="W75" s="251">
        <v>0</v>
      </c>
      <c r="X75" s="251">
        <v>0</v>
      </c>
      <c r="Y75" s="252">
        <v>0</v>
      </c>
      <c r="Z75" s="15">
        <f t="shared" si="238"/>
        <v>0</v>
      </c>
      <c r="AA75" s="251">
        <v>0</v>
      </c>
      <c r="AB75" s="251">
        <v>0</v>
      </c>
      <c r="AC75" s="251">
        <v>0</v>
      </c>
      <c r="AD75" s="251">
        <v>0</v>
      </c>
      <c r="AE75" s="15">
        <f t="shared" si="239"/>
        <v>0</v>
      </c>
      <c r="AF75" s="251">
        <v>0</v>
      </c>
      <c r="AG75" s="251">
        <v>0</v>
      </c>
      <c r="AH75" s="251">
        <v>0</v>
      </c>
      <c r="AI75" s="251">
        <v>0</v>
      </c>
      <c r="AJ75" s="15">
        <f t="shared" si="240"/>
        <v>0</v>
      </c>
      <c r="AK75" s="250">
        <v>0</v>
      </c>
      <c r="AL75" s="251">
        <v>0</v>
      </c>
      <c r="AM75" s="251">
        <v>0</v>
      </c>
      <c r="AN75" s="252">
        <v>0</v>
      </c>
      <c r="AO75" s="15">
        <f t="shared" si="241"/>
        <v>0</v>
      </c>
      <c r="AP75" s="251">
        <v>0</v>
      </c>
      <c r="AQ75" s="251">
        <v>0</v>
      </c>
      <c r="AR75" s="251">
        <v>0</v>
      </c>
      <c r="AS75" s="252">
        <v>0</v>
      </c>
      <c r="AT75" s="15">
        <f t="shared" si="242"/>
        <v>0</v>
      </c>
      <c r="AU75" s="251">
        <v>0</v>
      </c>
      <c r="AV75" s="251">
        <v>0</v>
      </c>
      <c r="AW75" s="251">
        <v>0</v>
      </c>
      <c r="AX75" s="251">
        <v>0</v>
      </c>
      <c r="AY75" s="15">
        <f t="shared" si="243"/>
        <v>0</v>
      </c>
      <c r="AZ75" s="250">
        <v>0</v>
      </c>
      <c r="BA75" s="251">
        <v>0</v>
      </c>
      <c r="BB75" s="251">
        <v>0</v>
      </c>
      <c r="BC75" s="251">
        <v>0</v>
      </c>
      <c r="BD75" s="15">
        <f t="shared" si="244"/>
        <v>0</v>
      </c>
      <c r="BE75" s="250">
        <v>0</v>
      </c>
      <c r="BF75" s="251">
        <v>0</v>
      </c>
      <c r="BG75" s="251">
        <v>0</v>
      </c>
      <c r="BH75" s="252">
        <v>0</v>
      </c>
      <c r="BI75" s="15">
        <f t="shared" si="245"/>
        <v>0</v>
      </c>
      <c r="BJ75" s="61">
        <v>0</v>
      </c>
      <c r="BK75" s="61">
        <v>0</v>
      </c>
      <c r="BL75" s="61">
        <v>0</v>
      </c>
      <c r="BM75" s="63">
        <v>0</v>
      </c>
      <c r="BN75" s="15">
        <f t="shared" si="246"/>
        <v>0</v>
      </c>
      <c r="BO75" s="61">
        <v>0</v>
      </c>
      <c r="BP75" s="61">
        <v>0</v>
      </c>
      <c r="BQ75" s="61">
        <v>0</v>
      </c>
      <c r="BR75" s="61">
        <v>0</v>
      </c>
      <c r="BS75" s="15">
        <f t="shared" si="247"/>
        <v>0</v>
      </c>
      <c r="BT75" s="62">
        <v>0</v>
      </c>
      <c r="BU75" s="61">
        <v>0</v>
      </c>
      <c r="BV75" s="61">
        <v>0</v>
      </c>
      <c r="BW75" s="61">
        <v>0</v>
      </c>
      <c r="BX75" s="15">
        <f t="shared" si="248"/>
        <v>0</v>
      </c>
      <c r="BY75" s="62">
        <v>0</v>
      </c>
      <c r="BZ75" s="61">
        <v>0</v>
      </c>
      <c r="CA75" s="61">
        <v>0</v>
      </c>
      <c r="CB75" s="88">
        <v>0</v>
      </c>
      <c r="CC75" s="15">
        <f t="shared" si="249"/>
        <v>0</v>
      </c>
      <c r="CD75" s="86">
        <v>0</v>
      </c>
      <c r="CE75" s="248">
        <v>0</v>
      </c>
      <c r="CF75" s="248">
        <v>0</v>
      </c>
      <c r="CG75" s="440">
        <v>0</v>
      </c>
      <c r="CH75" s="15">
        <f t="shared" si="250"/>
        <v>0</v>
      </c>
      <c r="CI75" s="86">
        <v>0</v>
      </c>
      <c r="CJ75" s="248">
        <v>0</v>
      </c>
      <c r="CK75" s="248">
        <f>CJ75+CK29</f>
        <v>0</v>
      </c>
      <c r="CL75" s="440">
        <v>0</v>
      </c>
      <c r="CM75" s="15">
        <f t="shared" si="251"/>
        <v>0</v>
      </c>
      <c r="CN75" s="86">
        <v>0</v>
      </c>
      <c r="CO75" s="248">
        <v>0</v>
      </c>
      <c r="CP75" s="248">
        <v>0</v>
      </c>
      <c r="CQ75" s="440">
        <v>0</v>
      </c>
      <c r="CR75" s="1038">
        <f t="shared" si="252"/>
        <v>0</v>
      </c>
      <c r="CS75" s="1099">
        <v>0</v>
      </c>
      <c r="CT75" s="1077">
        <v>0</v>
      </c>
      <c r="CU75" s="1077">
        <v>0</v>
      </c>
      <c r="CV75" s="1107">
        <v>0</v>
      </c>
      <c r="CW75" s="1038">
        <f t="shared" si="253"/>
        <v>0</v>
      </c>
      <c r="CX75" s="1099">
        <v>0</v>
      </c>
      <c r="CY75" s="1077">
        <v>0</v>
      </c>
      <c r="CZ75" s="1077">
        <v>0</v>
      </c>
      <c r="DA75" s="1041">
        <f t="shared" ref="DA75:DA77" si="263">CZ75+DA29</f>
        <v>0</v>
      </c>
      <c r="DB75" s="1038">
        <f t="shared" si="254"/>
        <v>0</v>
      </c>
      <c r="DC75" s="1037">
        <f>+DC29</f>
        <v>0</v>
      </c>
      <c r="DD75" s="1041">
        <f t="shared" si="258"/>
        <v>0</v>
      </c>
      <c r="DE75" s="1041">
        <f t="shared" si="258"/>
        <v>0</v>
      </c>
      <c r="DF75" s="1041">
        <f t="shared" si="258"/>
        <v>0</v>
      </c>
      <c r="DG75" s="1038">
        <f t="shared" si="255"/>
        <v>0</v>
      </c>
      <c r="DH75" s="1037">
        <f>+DH29</f>
        <v>0</v>
      </c>
      <c r="DI75" s="1041">
        <f t="shared" si="259"/>
        <v>0</v>
      </c>
      <c r="DJ75" s="1041">
        <f t="shared" si="259"/>
        <v>0</v>
      </c>
      <c r="DK75" s="1041">
        <f t="shared" si="259"/>
        <v>0</v>
      </c>
      <c r="DL75" s="1038">
        <f t="shared" si="256"/>
        <v>0</v>
      </c>
      <c r="DM75" s="1037">
        <f>+DM29</f>
        <v>0</v>
      </c>
      <c r="DN75" s="1041">
        <f t="shared" si="260"/>
        <v>0</v>
      </c>
      <c r="DO75" s="1041">
        <f t="shared" si="261"/>
        <v>0</v>
      </c>
      <c r="DP75" s="1041">
        <f t="shared" si="262"/>
        <v>0</v>
      </c>
      <c r="DQ75" s="1038">
        <f t="shared" si="257"/>
        <v>0</v>
      </c>
      <c r="DR75" s="61"/>
      <c r="DS75" s="153"/>
      <c r="DT75"/>
      <c r="DU75"/>
      <c r="DV75"/>
      <c r="DW75"/>
      <c r="DX75"/>
      <c r="DY75"/>
    </row>
    <row r="76" spans="1:129" s="155" customFormat="1" hidden="1" outlineLevel="1">
      <c r="A76" s="152"/>
      <c r="B76" s="136"/>
      <c r="C76" s="135" t="s">
        <v>93</v>
      </c>
      <c r="D76" s="135"/>
      <c r="E76" s="135"/>
      <c r="F76" s="135"/>
      <c r="G76" s="62">
        <v>0</v>
      </c>
      <c r="H76" s="61">
        <v>0</v>
      </c>
      <c r="I76" s="61">
        <v>0</v>
      </c>
      <c r="J76" s="63">
        <v>0</v>
      </c>
      <c r="K76" s="14">
        <f t="shared" si="235"/>
        <v>0</v>
      </c>
      <c r="L76" s="62">
        <v>0</v>
      </c>
      <c r="M76" s="61">
        <v>0</v>
      </c>
      <c r="N76" s="61">
        <v>0</v>
      </c>
      <c r="O76" s="61">
        <v>0</v>
      </c>
      <c r="P76" s="15">
        <f t="shared" si="236"/>
        <v>0</v>
      </c>
      <c r="Q76" s="250">
        <v>0</v>
      </c>
      <c r="R76" s="251">
        <v>-1.9550000000000001</v>
      </c>
      <c r="S76" s="251">
        <v>-1.9550000000000001</v>
      </c>
      <c r="T76" s="252">
        <v>-1.9550000000000001</v>
      </c>
      <c r="U76" s="15">
        <f t="shared" si="237"/>
        <v>-1.9550000000000001</v>
      </c>
      <c r="V76" s="251">
        <v>0</v>
      </c>
      <c r="W76" s="251">
        <v>0</v>
      </c>
      <c r="X76" s="251">
        <v>0</v>
      </c>
      <c r="Y76" s="252">
        <v>0</v>
      </c>
      <c r="Z76" s="15">
        <f t="shared" si="238"/>
        <v>0</v>
      </c>
      <c r="AA76" s="251">
        <v>0</v>
      </c>
      <c r="AB76" s="251">
        <v>0</v>
      </c>
      <c r="AC76" s="251">
        <v>0</v>
      </c>
      <c r="AD76" s="251">
        <v>0</v>
      </c>
      <c r="AE76" s="15">
        <f t="shared" si="239"/>
        <v>0</v>
      </c>
      <c r="AF76" s="250">
        <v>0</v>
      </c>
      <c r="AG76" s="251">
        <v>0</v>
      </c>
      <c r="AH76" s="251">
        <v>0</v>
      </c>
      <c r="AI76" s="251">
        <v>0</v>
      </c>
      <c r="AJ76" s="15">
        <f t="shared" si="240"/>
        <v>0</v>
      </c>
      <c r="AK76" s="250">
        <v>-112.70399999999999</v>
      </c>
      <c r="AL76" s="251">
        <v>-127.45399999999999</v>
      </c>
      <c r="AM76" s="251">
        <v>-135.33099999999999</v>
      </c>
      <c r="AN76" s="252">
        <v>-175.33099999999999</v>
      </c>
      <c r="AO76" s="15">
        <f t="shared" si="241"/>
        <v>-175.33100000000002</v>
      </c>
      <c r="AP76" s="251">
        <v>-65.308999999999997</v>
      </c>
      <c r="AQ76" s="251">
        <v>-108.548</v>
      </c>
      <c r="AR76" s="251">
        <v>-257.33100000000002</v>
      </c>
      <c r="AS76" s="252">
        <v>-625.79200000000003</v>
      </c>
      <c r="AT76" s="15">
        <f t="shared" si="242"/>
        <v>-625.79200000000003</v>
      </c>
      <c r="AU76" s="251">
        <v>-133.24799999999999</v>
      </c>
      <c r="AV76" s="251">
        <v>-186.899</v>
      </c>
      <c r="AW76" s="251">
        <v>-383.09100000000001</v>
      </c>
      <c r="AX76" s="251">
        <v>-488.161</v>
      </c>
      <c r="AY76" s="15">
        <f t="shared" si="243"/>
        <v>-488.161</v>
      </c>
      <c r="AZ76" s="250">
        <v>-121.58499999999999</v>
      </c>
      <c r="BA76" s="251">
        <v>-302.72500000000002</v>
      </c>
      <c r="BB76" s="251">
        <v>-544.47500000000002</v>
      </c>
      <c r="BC76" s="251">
        <v>-968.66899999999998</v>
      </c>
      <c r="BD76" s="15">
        <f t="shared" si="244"/>
        <v>-968.6690000000001</v>
      </c>
      <c r="BE76" s="250">
        <v>-97.86</v>
      </c>
      <c r="BF76" s="251">
        <v>-108.11</v>
      </c>
      <c r="BG76" s="251">
        <v>-128.33199999999999</v>
      </c>
      <c r="BH76" s="252">
        <v>-135.19999999999999</v>
      </c>
      <c r="BI76" s="15">
        <f t="shared" si="245"/>
        <v>-135.19999999999999</v>
      </c>
      <c r="BJ76" s="61">
        <v>-40.743000000000002</v>
      </c>
      <c r="BK76" s="61">
        <v>-128.89500000000001</v>
      </c>
      <c r="BL76" s="61">
        <v>-228.827</v>
      </c>
      <c r="BM76" s="63">
        <v>-348.209</v>
      </c>
      <c r="BN76" s="15">
        <f t="shared" si="246"/>
        <v>-348.209</v>
      </c>
      <c r="BO76" s="61">
        <v>-46.798000000000002</v>
      </c>
      <c r="BP76" s="61">
        <v>-413.91800000000001</v>
      </c>
      <c r="BQ76" s="61">
        <v>-665.94899999999996</v>
      </c>
      <c r="BR76" s="61">
        <v>-934.18499999999995</v>
      </c>
      <c r="BS76" s="15">
        <f t="shared" si="247"/>
        <v>-934.18499999999995</v>
      </c>
      <c r="BT76" s="62">
        <v>-317.78300000000002</v>
      </c>
      <c r="BU76" s="61">
        <v>-771.01800000000003</v>
      </c>
      <c r="BV76" s="61">
        <v>-1181.46</v>
      </c>
      <c r="BW76" s="61">
        <v>-1338.664</v>
      </c>
      <c r="BX76" s="15">
        <f t="shared" si="248"/>
        <v>-1338.664</v>
      </c>
      <c r="BY76" s="62">
        <v>-434.83199999999999</v>
      </c>
      <c r="BZ76" s="61">
        <v>-817.42899999999997</v>
      </c>
      <c r="CA76" s="61">
        <v>-1179.674</v>
      </c>
      <c r="CB76" s="88">
        <v>-1428.508</v>
      </c>
      <c r="CC76" s="15">
        <f t="shared" si="249"/>
        <v>-1428.5079999999998</v>
      </c>
      <c r="CD76" s="86">
        <v>-348.69200000000001</v>
      </c>
      <c r="CE76" s="248">
        <v>-923.31100000000004</v>
      </c>
      <c r="CF76" s="248">
        <v>-1368.8119999999999</v>
      </c>
      <c r="CG76" s="440">
        <v>-1848.7439999999999</v>
      </c>
      <c r="CH76" s="15">
        <f t="shared" si="250"/>
        <v>-1848.7439999999997</v>
      </c>
      <c r="CI76" s="86">
        <v>-394.52599999999984</v>
      </c>
      <c r="CJ76" s="248">
        <v>-1407.6369999999999</v>
      </c>
      <c r="CK76" s="248">
        <v>-2180.3049999999998</v>
      </c>
      <c r="CL76" s="440">
        <v>-2497.299</v>
      </c>
      <c r="CM76" s="15">
        <f t="shared" si="251"/>
        <v>-2497.299</v>
      </c>
      <c r="CN76" s="86">
        <v>-719.7</v>
      </c>
      <c r="CO76" s="248">
        <v>-1565.8</v>
      </c>
      <c r="CP76" s="248">
        <v>-2093.9</v>
      </c>
      <c r="CQ76" s="440">
        <v>-3003.7</v>
      </c>
      <c r="CR76" s="352">
        <f t="shared" si="252"/>
        <v>-3003.7</v>
      </c>
      <c r="CS76" s="86">
        <v>-1096</v>
      </c>
      <c r="CT76" s="248">
        <v>-2932.9</v>
      </c>
      <c r="CU76" s="248">
        <v>-4215.5</v>
      </c>
      <c r="CV76" s="249">
        <v>-5169</v>
      </c>
      <c r="CW76" s="352">
        <f t="shared" si="253"/>
        <v>-5169</v>
      </c>
      <c r="CX76" s="86">
        <v>-1584</v>
      </c>
      <c r="CY76" s="248">
        <f>-1622-662-213</f>
        <v>-2497</v>
      </c>
      <c r="CZ76" s="248">
        <f>-2163-1015-363</f>
        <v>-3541</v>
      </c>
      <c r="DA76" s="1106">
        <f t="shared" si="263"/>
        <v>-3509</v>
      </c>
      <c r="DB76" s="352">
        <f t="shared" si="254"/>
        <v>-3509</v>
      </c>
      <c r="DC76" s="239">
        <f>+DC30</f>
        <v>-100</v>
      </c>
      <c r="DD76" s="15">
        <f t="shared" si="258"/>
        <v>-200</v>
      </c>
      <c r="DE76" s="15">
        <f t="shared" si="258"/>
        <v>-300</v>
      </c>
      <c r="DF76" s="15">
        <f t="shared" si="258"/>
        <v>-400</v>
      </c>
      <c r="DG76" s="352">
        <f t="shared" si="255"/>
        <v>-400</v>
      </c>
      <c r="DH76" s="239">
        <f>+DH30</f>
        <v>-100</v>
      </c>
      <c r="DI76" s="15">
        <f t="shared" si="259"/>
        <v>-200</v>
      </c>
      <c r="DJ76" s="15">
        <f t="shared" si="259"/>
        <v>-300</v>
      </c>
      <c r="DK76" s="15">
        <f t="shared" si="259"/>
        <v>-400</v>
      </c>
      <c r="DL76" s="352">
        <f t="shared" si="256"/>
        <v>-400</v>
      </c>
      <c r="DM76" s="239">
        <f>+DM30</f>
        <v>-100</v>
      </c>
      <c r="DN76" s="15">
        <f t="shared" si="260"/>
        <v>-200</v>
      </c>
      <c r="DO76" s="15">
        <f t="shared" si="261"/>
        <v>-300</v>
      </c>
      <c r="DP76" s="15">
        <f t="shared" si="262"/>
        <v>-400</v>
      </c>
      <c r="DQ76" s="352">
        <f t="shared" si="257"/>
        <v>-400</v>
      </c>
      <c r="DR76" s="61"/>
      <c r="DS76" s="153"/>
      <c r="DT76"/>
      <c r="DU76"/>
      <c r="DV76"/>
      <c r="DW76"/>
      <c r="DX76"/>
      <c r="DY76"/>
    </row>
    <row r="77" spans="1:129" s="155" customFormat="1" hidden="1" outlineLevel="1">
      <c r="A77" s="192"/>
      <c r="B77" s="136"/>
      <c r="C77" s="135" t="s">
        <v>94</v>
      </c>
      <c r="D77" s="135"/>
      <c r="E77" s="135"/>
      <c r="F77" s="135"/>
      <c r="G77" s="232">
        <v>0</v>
      </c>
      <c r="H77" s="233">
        <v>0</v>
      </c>
      <c r="I77" s="233">
        <v>0</v>
      </c>
      <c r="J77" s="234">
        <v>0</v>
      </c>
      <c r="K77" s="14">
        <f t="shared" si="235"/>
        <v>0</v>
      </c>
      <c r="L77" s="232">
        <v>0</v>
      </c>
      <c r="M77" s="233">
        <v>0</v>
      </c>
      <c r="N77" s="233">
        <v>0</v>
      </c>
      <c r="O77" s="233">
        <v>0</v>
      </c>
      <c r="P77" s="15">
        <f t="shared" si="236"/>
        <v>0</v>
      </c>
      <c r="Q77" s="253">
        <v>0</v>
      </c>
      <c r="R77" s="254">
        <v>0</v>
      </c>
      <c r="S77" s="254">
        <v>0</v>
      </c>
      <c r="T77" s="255">
        <v>0</v>
      </c>
      <c r="U77" s="15">
        <f t="shared" si="237"/>
        <v>0</v>
      </c>
      <c r="V77" s="254">
        <v>0</v>
      </c>
      <c r="W77" s="254">
        <v>0</v>
      </c>
      <c r="X77" s="254">
        <v>0</v>
      </c>
      <c r="Y77" s="255">
        <v>0</v>
      </c>
      <c r="Z77" s="15">
        <f t="shared" si="238"/>
        <v>0</v>
      </c>
      <c r="AA77" s="254">
        <v>0</v>
      </c>
      <c r="AB77" s="254">
        <v>0</v>
      </c>
      <c r="AC77" s="254">
        <v>0</v>
      </c>
      <c r="AD77" s="254">
        <v>0</v>
      </c>
      <c r="AE77" s="15">
        <f t="shared" si="239"/>
        <v>0</v>
      </c>
      <c r="AF77" s="253">
        <v>0</v>
      </c>
      <c r="AG77" s="254">
        <v>0</v>
      </c>
      <c r="AH77" s="254">
        <v>0</v>
      </c>
      <c r="AI77" s="254">
        <v>0</v>
      </c>
      <c r="AJ77" s="15">
        <f t="shared" si="240"/>
        <v>0</v>
      </c>
      <c r="AK77" s="253">
        <v>52.78</v>
      </c>
      <c r="AL77" s="254">
        <v>66.405000000000001</v>
      </c>
      <c r="AM77" s="254">
        <v>90.638000000000005</v>
      </c>
      <c r="AN77" s="255">
        <v>110.71299999999999</v>
      </c>
      <c r="AO77" s="15">
        <f t="shared" si="241"/>
        <v>110.71299999999999</v>
      </c>
      <c r="AP77" s="254">
        <v>40.606000000000002</v>
      </c>
      <c r="AQ77" s="254">
        <v>75.881</v>
      </c>
      <c r="AR77" s="254">
        <v>217.84200000000001</v>
      </c>
      <c r="AS77" s="255">
        <v>512.827</v>
      </c>
      <c r="AT77" s="15">
        <f t="shared" si="242"/>
        <v>512.827</v>
      </c>
      <c r="AU77" s="254">
        <v>103.126</v>
      </c>
      <c r="AV77" s="254">
        <v>148.86699999999999</v>
      </c>
      <c r="AW77" s="254">
        <v>272.83999999999997</v>
      </c>
      <c r="AX77" s="254">
        <v>335.33</v>
      </c>
      <c r="AY77" s="15">
        <f t="shared" si="243"/>
        <v>335.33</v>
      </c>
      <c r="AZ77" s="253">
        <v>103.91500000000001</v>
      </c>
      <c r="BA77" s="254">
        <v>244.702</v>
      </c>
      <c r="BB77" s="254">
        <v>415.65699999999998</v>
      </c>
      <c r="BC77" s="254">
        <v>1020.617</v>
      </c>
      <c r="BD77" s="15">
        <f t="shared" si="244"/>
        <v>1020.617</v>
      </c>
      <c r="BE77" s="253">
        <v>226.68799999999999</v>
      </c>
      <c r="BF77" s="254">
        <v>239.96600000000001</v>
      </c>
      <c r="BG77" s="254">
        <v>262.16000000000003</v>
      </c>
      <c r="BH77" s="255">
        <v>270.56</v>
      </c>
      <c r="BI77" s="15">
        <f t="shared" si="245"/>
        <v>270.56</v>
      </c>
      <c r="BJ77" s="233">
        <v>18.974</v>
      </c>
      <c r="BK77" s="233">
        <v>39.79</v>
      </c>
      <c r="BL77" s="233">
        <v>76.936999999999998</v>
      </c>
      <c r="BM77" s="234">
        <v>98.697000000000003</v>
      </c>
      <c r="BN77" s="15">
        <f t="shared" si="246"/>
        <v>98.696999999999989</v>
      </c>
      <c r="BO77" s="233">
        <v>13.875999999999999</v>
      </c>
      <c r="BP77" s="233">
        <v>251.13300000000001</v>
      </c>
      <c r="BQ77" s="233">
        <v>516.03</v>
      </c>
      <c r="BR77" s="233">
        <v>706.67</v>
      </c>
      <c r="BS77" s="15">
        <f t="shared" si="247"/>
        <v>706.67</v>
      </c>
      <c r="BT77" s="232">
        <v>128.83600000000001</v>
      </c>
      <c r="BU77" s="233">
        <v>383.48599999999999</v>
      </c>
      <c r="BV77" s="233">
        <v>743.11099999999999</v>
      </c>
      <c r="BW77" s="233">
        <v>859.404</v>
      </c>
      <c r="BX77" s="15">
        <f t="shared" si="248"/>
        <v>859.404</v>
      </c>
      <c r="BY77" s="232">
        <v>407.67</v>
      </c>
      <c r="BZ77" s="233">
        <v>638.27499999999998</v>
      </c>
      <c r="CA77" s="233">
        <v>1002.952</v>
      </c>
      <c r="CB77" s="231">
        <v>1252.8209999999999</v>
      </c>
      <c r="CC77" s="15">
        <f t="shared" si="249"/>
        <v>1252.8209999999999</v>
      </c>
      <c r="CD77" s="86">
        <v>374.279</v>
      </c>
      <c r="CE77" s="245">
        <v>971.18399999999997</v>
      </c>
      <c r="CF77" s="248">
        <v>1297.258</v>
      </c>
      <c r="CG77" s="450">
        <v>1573.412</v>
      </c>
      <c r="CH77" s="15">
        <f t="shared" si="250"/>
        <v>1573.412</v>
      </c>
      <c r="CI77" s="86">
        <v>0</v>
      </c>
      <c r="CJ77" s="245">
        <v>809.89300000000003</v>
      </c>
      <c r="CK77" s="245">
        <v>1702.703</v>
      </c>
      <c r="CL77" s="450">
        <v>2240.2449999999999</v>
      </c>
      <c r="CM77" s="15">
        <f t="shared" si="251"/>
        <v>2240.2449999999999</v>
      </c>
      <c r="CN77" s="86">
        <v>413.7</v>
      </c>
      <c r="CO77" s="245">
        <v>845.9</v>
      </c>
      <c r="CP77" s="245">
        <v>1262.2</v>
      </c>
      <c r="CQ77" s="450">
        <v>1907.6</v>
      </c>
      <c r="CR77" s="352">
        <f t="shared" si="252"/>
        <v>1907.6</v>
      </c>
      <c r="CS77" s="86">
        <v>1001.8</v>
      </c>
      <c r="CT77" s="245">
        <v>2962.5</v>
      </c>
      <c r="CU77" s="245">
        <v>3740.6</v>
      </c>
      <c r="CV77" s="246">
        <v>4840</v>
      </c>
      <c r="CW77" s="352">
        <f t="shared" si="253"/>
        <v>4840</v>
      </c>
      <c r="CX77" s="86">
        <v>1747</v>
      </c>
      <c r="CY77" s="245">
        <f>1936+50+345</f>
        <v>2331</v>
      </c>
      <c r="CZ77" s="245">
        <f>2352+208+835</f>
        <v>3395</v>
      </c>
      <c r="DA77" s="1105">
        <f t="shared" si="263"/>
        <v>3427</v>
      </c>
      <c r="DB77" s="352">
        <f t="shared" si="254"/>
        <v>3427</v>
      </c>
      <c r="DC77" s="239">
        <f>+DC31</f>
        <v>0</v>
      </c>
      <c r="DD77" s="239">
        <f t="shared" si="258"/>
        <v>0</v>
      </c>
      <c r="DE77" s="239">
        <f t="shared" si="258"/>
        <v>0</v>
      </c>
      <c r="DF77" s="239">
        <f t="shared" si="258"/>
        <v>0</v>
      </c>
      <c r="DG77" s="352">
        <f t="shared" si="255"/>
        <v>0</v>
      </c>
      <c r="DH77" s="239">
        <f>+DH31</f>
        <v>0</v>
      </c>
      <c r="DI77" s="239">
        <f t="shared" si="259"/>
        <v>0</v>
      </c>
      <c r="DJ77" s="239">
        <f t="shared" si="259"/>
        <v>0</v>
      </c>
      <c r="DK77" s="239">
        <f t="shared" si="259"/>
        <v>0</v>
      </c>
      <c r="DL77" s="352">
        <f t="shared" si="256"/>
        <v>0</v>
      </c>
      <c r="DM77" s="239">
        <f>+DM31</f>
        <v>0</v>
      </c>
      <c r="DN77" s="239">
        <f t="shared" si="260"/>
        <v>0</v>
      </c>
      <c r="DO77" s="239">
        <f t="shared" si="261"/>
        <v>0</v>
      </c>
      <c r="DP77" s="239">
        <f t="shared" si="262"/>
        <v>0</v>
      </c>
      <c r="DQ77" s="352">
        <f t="shared" si="257"/>
        <v>0</v>
      </c>
      <c r="DR77" s="61"/>
      <c r="DS77" s="153"/>
      <c r="DT77"/>
      <c r="DU77"/>
      <c r="DV77"/>
      <c r="DW77"/>
      <c r="DX77"/>
      <c r="DY77"/>
    </row>
    <row r="78" spans="1:129" s="155" customFormat="1" hidden="1" outlineLevel="1">
      <c r="A78" s="192"/>
      <c r="B78" s="136"/>
      <c r="C78" s="4" t="s">
        <v>172</v>
      </c>
      <c r="D78" s="135"/>
      <c r="E78" s="135"/>
      <c r="F78" s="135"/>
      <c r="G78" s="232">
        <v>0</v>
      </c>
      <c r="H78" s="233">
        <v>0</v>
      </c>
      <c r="I78" s="233">
        <v>0</v>
      </c>
      <c r="J78" s="234">
        <v>0</v>
      </c>
      <c r="K78" s="14">
        <f t="shared" si="235"/>
        <v>0</v>
      </c>
      <c r="L78" s="232">
        <v>0</v>
      </c>
      <c r="M78" s="233">
        <v>0</v>
      </c>
      <c r="N78" s="233">
        <v>0</v>
      </c>
      <c r="O78" s="233">
        <v>0</v>
      </c>
      <c r="P78" s="15">
        <f t="shared" si="236"/>
        <v>0</v>
      </c>
      <c r="Q78" s="253">
        <v>0</v>
      </c>
      <c r="R78" s="254">
        <v>0</v>
      </c>
      <c r="S78" s="254">
        <v>0</v>
      </c>
      <c r="T78" s="255">
        <v>0</v>
      </c>
      <c r="U78" s="15">
        <f t="shared" si="237"/>
        <v>0</v>
      </c>
      <c r="V78" s="254">
        <v>0</v>
      </c>
      <c r="W78" s="254">
        <v>0</v>
      </c>
      <c r="X78" s="254">
        <v>0</v>
      </c>
      <c r="Y78" s="255">
        <v>0</v>
      </c>
      <c r="Z78" s="15">
        <f t="shared" si="238"/>
        <v>0</v>
      </c>
      <c r="AA78" s="254">
        <v>0</v>
      </c>
      <c r="AB78" s="254">
        <v>-2.7440000000000002</v>
      </c>
      <c r="AC78" s="254">
        <v>-2.7440000000000002</v>
      </c>
      <c r="AD78" s="254">
        <v>-13.196</v>
      </c>
      <c r="AE78" s="15">
        <f t="shared" si="239"/>
        <v>-13.196</v>
      </c>
      <c r="AF78" s="253">
        <v>0</v>
      </c>
      <c r="AG78" s="254">
        <v>-3.8159999999999998</v>
      </c>
      <c r="AH78" s="254">
        <v>-3.8159999999999998</v>
      </c>
      <c r="AI78" s="254">
        <v>-7.8230000000000004</v>
      </c>
      <c r="AJ78" s="15">
        <f t="shared" si="240"/>
        <v>-7.8230000000000004</v>
      </c>
      <c r="AK78" s="253">
        <v>-1.4950000000000001</v>
      </c>
      <c r="AL78" s="254">
        <v>-1.4950000000000001</v>
      </c>
      <c r="AM78" s="254">
        <v>-1.4950000000000001</v>
      </c>
      <c r="AN78" s="255">
        <v>-1.4950000000000001</v>
      </c>
      <c r="AO78" s="15">
        <f t="shared" si="241"/>
        <v>-1.4950000000000001</v>
      </c>
      <c r="AP78" s="254">
        <v>-1.1830000000000001</v>
      </c>
      <c r="AQ78" s="254">
        <v>-15.29</v>
      </c>
      <c r="AR78" s="254">
        <v>-19.811</v>
      </c>
      <c r="AS78" s="255">
        <v>-19.811</v>
      </c>
      <c r="AT78" s="15">
        <f t="shared" si="242"/>
        <v>-19.811</v>
      </c>
      <c r="AU78" s="254">
        <v>0</v>
      </c>
      <c r="AV78" s="254">
        <v>0</v>
      </c>
      <c r="AW78" s="254">
        <v>-14.773</v>
      </c>
      <c r="AX78" s="254">
        <v>-14.773</v>
      </c>
      <c r="AY78" s="15">
        <f t="shared" si="243"/>
        <v>-14.773</v>
      </c>
      <c r="AZ78" s="253">
        <v>0</v>
      </c>
      <c r="BA78" s="254">
        <v>0</v>
      </c>
      <c r="BB78" s="254">
        <v>-11.955</v>
      </c>
      <c r="BC78" s="254">
        <v>-146.82</v>
      </c>
      <c r="BD78" s="15">
        <f t="shared" si="244"/>
        <v>-146.82</v>
      </c>
      <c r="BE78" s="253">
        <v>-9.2490000000000006</v>
      </c>
      <c r="BF78" s="254">
        <v>-20.956</v>
      </c>
      <c r="BG78" s="254">
        <v>-20.956</v>
      </c>
      <c r="BH78" s="255">
        <v>-20.956</v>
      </c>
      <c r="BI78" s="15">
        <f t="shared" si="245"/>
        <v>-20.956</v>
      </c>
      <c r="BJ78" s="233">
        <v>-1.304</v>
      </c>
      <c r="BK78" s="233">
        <v>-1.304</v>
      </c>
      <c r="BL78" s="233">
        <v>-5.7759999999999998</v>
      </c>
      <c r="BM78" s="234">
        <v>-68.613</v>
      </c>
      <c r="BN78" s="15">
        <f t="shared" si="246"/>
        <v>-68.613</v>
      </c>
      <c r="BO78" s="233">
        <v>0</v>
      </c>
      <c r="BP78" s="233">
        <v>-29.035</v>
      </c>
      <c r="BQ78" s="233">
        <v>-31.704999999999998</v>
      </c>
      <c r="BR78" s="233">
        <v>-33.863</v>
      </c>
      <c r="BS78" s="15">
        <f t="shared" si="247"/>
        <v>-33.863</v>
      </c>
      <c r="BT78" s="232">
        <v>-7.8949999999999996</v>
      </c>
      <c r="BU78" s="233">
        <v>-19.321000000000002</v>
      </c>
      <c r="BV78" s="233">
        <v>-75.040000000000006</v>
      </c>
      <c r="BW78" s="233">
        <v>-82.8</v>
      </c>
      <c r="BX78" s="15">
        <f t="shared" si="248"/>
        <v>-82.8</v>
      </c>
      <c r="BY78" s="232">
        <v>-7.8739999999999997</v>
      </c>
      <c r="BZ78" s="233">
        <v>-24.876999999999999</v>
      </c>
      <c r="CA78" s="233">
        <v>-43.896000000000001</v>
      </c>
      <c r="CB78" s="231">
        <v>-59.893999999999998</v>
      </c>
      <c r="CC78" s="15">
        <f t="shared" si="249"/>
        <v>-59.894000000000005</v>
      </c>
      <c r="CD78" s="230">
        <v>-139.27600000000001</v>
      </c>
      <c r="CE78" s="245">
        <v>-151.137</v>
      </c>
      <c r="CF78" s="248">
        <v>-152.476</v>
      </c>
      <c r="CG78" s="450">
        <v>-193.80500000000001</v>
      </c>
      <c r="CH78" s="15">
        <f t="shared" si="250"/>
        <v>-193.80500000000001</v>
      </c>
      <c r="CI78" s="230">
        <v>10.484367898121992</v>
      </c>
      <c r="CJ78" s="245">
        <v>-11.487</v>
      </c>
      <c r="CK78" s="245">
        <v>-11.487</v>
      </c>
      <c r="CL78" s="450">
        <v>-2691.4369999999999</v>
      </c>
      <c r="CM78" s="15">
        <f t="shared" si="251"/>
        <v>-2691.4369999999999</v>
      </c>
      <c r="CN78" s="230">
        <v>0</v>
      </c>
      <c r="CO78" s="245">
        <v>0</v>
      </c>
      <c r="CP78" s="245">
        <v>0</v>
      </c>
      <c r="CQ78" s="450">
        <v>-1.7</v>
      </c>
      <c r="CR78" s="352">
        <f t="shared" si="252"/>
        <v>-1.7</v>
      </c>
      <c r="CS78" s="230">
        <v>-70.5</v>
      </c>
      <c r="CT78" s="245">
        <v>-151.30000000000001</v>
      </c>
      <c r="CU78" s="245">
        <v>-185</v>
      </c>
      <c r="CV78" s="246">
        <v>-334</v>
      </c>
      <c r="CW78" s="352">
        <f t="shared" si="253"/>
        <v>-334</v>
      </c>
      <c r="CX78" s="86">
        <v>-6</v>
      </c>
      <c r="CY78" s="245">
        <v>-6</v>
      </c>
      <c r="CZ78" s="245">
        <v>-72</v>
      </c>
      <c r="DA78" s="1108">
        <v>-216</v>
      </c>
      <c r="DB78" s="352">
        <f t="shared" si="254"/>
        <v>-216</v>
      </c>
      <c r="DC78" s="239">
        <f>+DC32</f>
        <v>-5</v>
      </c>
      <c r="DD78" s="239">
        <f t="shared" si="258"/>
        <v>-10</v>
      </c>
      <c r="DE78" s="239">
        <f t="shared" si="258"/>
        <v>-15</v>
      </c>
      <c r="DF78" s="239">
        <f t="shared" si="258"/>
        <v>-20</v>
      </c>
      <c r="DG78" s="352">
        <f t="shared" si="255"/>
        <v>-20</v>
      </c>
      <c r="DH78" s="239">
        <f>+DH32</f>
        <v>-5</v>
      </c>
      <c r="DI78" s="239">
        <f t="shared" si="259"/>
        <v>-10</v>
      </c>
      <c r="DJ78" s="239">
        <f t="shared" si="259"/>
        <v>-15</v>
      </c>
      <c r="DK78" s="239">
        <f t="shared" si="259"/>
        <v>-20</v>
      </c>
      <c r="DL78" s="352">
        <f t="shared" si="256"/>
        <v>-20</v>
      </c>
      <c r="DM78" s="239">
        <f>+DM32</f>
        <v>-5</v>
      </c>
      <c r="DN78" s="239">
        <f t="shared" si="260"/>
        <v>-10</v>
      </c>
      <c r="DO78" s="239">
        <f t="shared" si="261"/>
        <v>-15</v>
      </c>
      <c r="DP78" s="239">
        <f t="shared" si="262"/>
        <v>-20</v>
      </c>
      <c r="DQ78" s="352">
        <f t="shared" si="257"/>
        <v>-20</v>
      </c>
      <c r="DR78" s="61"/>
      <c r="DS78" s="153"/>
      <c r="DT78"/>
      <c r="DU78"/>
      <c r="DV78"/>
      <c r="DW78"/>
      <c r="DX78"/>
      <c r="DY78"/>
    </row>
    <row r="79" spans="1:129" s="202" customFormat="1" hidden="1" outlineLevel="1">
      <c r="A79" s="200"/>
      <c r="B79" s="169" t="s">
        <v>95</v>
      </c>
      <c r="C79" s="191"/>
      <c r="D79" s="191"/>
      <c r="E79" s="191"/>
      <c r="F79" s="191"/>
      <c r="G79" s="235">
        <f t="shared" ref="G79:BL79" si="264">SUM(G74:G78)</f>
        <v>-0.90600000000000003</v>
      </c>
      <c r="H79" s="236">
        <f t="shared" si="264"/>
        <v>-1.83</v>
      </c>
      <c r="I79" s="236">
        <f t="shared" si="264"/>
        <v>-2.4</v>
      </c>
      <c r="J79" s="237">
        <f t="shared" si="264"/>
        <v>-3.7429999999999999</v>
      </c>
      <c r="K79" s="195">
        <f t="shared" si="235"/>
        <v>-3.7429999999999999</v>
      </c>
      <c r="L79" s="235">
        <f t="shared" si="264"/>
        <v>-1.2190000000000001</v>
      </c>
      <c r="M79" s="236">
        <f t="shared" si="264"/>
        <v>-3.2469999999999999</v>
      </c>
      <c r="N79" s="236">
        <f t="shared" si="264"/>
        <v>-4.9029999999999996</v>
      </c>
      <c r="O79" s="236">
        <f t="shared" si="264"/>
        <v>-5.9240000000000004</v>
      </c>
      <c r="P79" s="194">
        <f t="shared" si="236"/>
        <v>-5.9240000000000004</v>
      </c>
      <c r="Q79" s="256">
        <f t="shared" si="264"/>
        <v>-0.79300000000000004</v>
      </c>
      <c r="R79" s="257">
        <f t="shared" si="264"/>
        <v>-4.8290000000000006</v>
      </c>
      <c r="S79" s="257">
        <f t="shared" si="264"/>
        <v>-8.31</v>
      </c>
      <c r="T79" s="258">
        <f t="shared" si="264"/>
        <v>-12.606999999999999</v>
      </c>
      <c r="U79" s="194">
        <f t="shared" si="237"/>
        <v>-12.606999999999999</v>
      </c>
      <c r="V79" s="257">
        <f t="shared" si="264"/>
        <v>-3.1080000000000001</v>
      </c>
      <c r="W79" s="257">
        <f t="shared" si="264"/>
        <v>-5.2859999999999996</v>
      </c>
      <c r="X79" s="257">
        <f t="shared" si="264"/>
        <v>-10.691000000000001</v>
      </c>
      <c r="Y79" s="258">
        <f t="shared" si="264"/>
        <v>-14.952999999999999</v>
      </c>
      <c r="Z79" s="194">
        <f t="shared" si="238"/>
        <v>-14.952999999999999</v>
      </c>
      <c r="AA79" s="257">
        <f t="shared" si="264"/>
        <v>-1.944</v>
      </c>
      <c r="AB79" s="257">
        <f t="shared" si="264"/>
        <v>-7.5850000000000009</v>
      </c>
      <c r="AC79" s="257">
        <f t="shared" si="264"/>
        <v>-10.343</v>
      </c>
      <c r="AD79" s="257">
        <f t="shared" si="264"/>
        <v>-35.463999999999999</v>
      </c>
      <c r="AE79" s="194">
        <f t="shared" si="239"/>
        <v>-35.463999999999999</v>
      </c>
      <c r="AF79" s="256">
        <f t="shared" si="264"/>
        <v>-6.0540000000000003</v>
      </c>
      <c r="AG79" s="257">
        <f t="shared" si="264"/>
        <v>-17.515999999999998</v>
      </c>
      <c r="AH79" s="257">
        <f t="shared" si="264"/>
        <v>-24.077999999999999</v>
      </c>
      <c r="AI79" s="257">
        <f t="shared" si="264"/>
        <v>-37.814</v>
      </c>
      <c r="AJ79" s="194">
        <f t="shared" si="240"/>
        <v>-37.814</v>
      </c>
      <c r="AK79" s="256">
        <f t="shared" si="264"/>
        <v>-64.11</v>
      </c>
      <c r="AL79" s="257">
        <f t="shared" si="264"/>
        <v>-68.86099999999999</v>
      </c>
      <c r="AM79" s="257">
        <f t="shared" si="264"/>
        <v>-67.978999999999985</v>
      </c>
      <c r="AN79" s="258">
        <f t="shared" si="264"/>
        <v>-112.69399999999999</v>
      </c>
      <c r="AO79" s="194">
        <f t="shared" si="241"/>
        <v>-112.69400000000003</v>
      </c>
      <c r="AP79" s="257">
        <f t="shared" si="264"/>
        <v>-34.525999999999996</v>
      </c>
      <c r="AQ79" s="257">
        <f t="shared" si="264"/>
        <v>-70.308999999999997</v>
      </c>
      <c r="AR79" s="257">
        <f t="shared" si="264"/>
        <v>-108.87299999999999</v>
      </c>
      <c r="AS79" s="258">
        <f t="shared" si="264"/>
        <v>-204.54600000000002</v>
      </c>
      <c r="AT79" s="194">
        <f t="shared" si="242"/>
        <v>-204.54599999999999</v>
      </c>
      <c r="AU79" s="257">
        <f t="shared" si="264"/>
        <v>-50.708999999999975</v>
      </c>
      <c r="AV79" s="257">
        <f t="shared" si="264"/>
        <v>-83.021000000000015</v>
      </c>
      <c r="AW79" s="257">
        <f t="shared" si="264"/>
        <v>-196.23600000000002</v>
      </c>
      <c r="AX79" s="257">
        <f t="shared" si="264"/>
        <v>-272.33800000000002</v>
      </c>
      <c r="AY79" s="194">
        <f t="shared" si="243"/>
        <v>-272.33800000000002</v>
      </c>
      <c r="AZ79" s="256">
        <f t="shared" si="264"/>
        <v>-46.344999999999985</v>
      </c>
      <c r="BA79" s="257">
        <f t="shared" si="264"/>
        <v>-128.89400000000001</v>
      </c>
      <c r="BB79" s="257">
        <f t="shared" si="264"/>
        <v>-251.20600000000005</v>
      </c>
      <c r="BC79" s="257">
        <f t="shared" si="264"/>
        <v>-277.339</v>
      </c>
      <c r="BD79" s="194">
        <f t="shared" si="244"/>
        <v>-277.33900000000006</v>
      </c>
      <c r="BE79" s="256">
        <f t="shared" si="264"/>
        <v>66.155999999999977</v>
      </c>
      <c r="BF79" s="257">
        <f t="shared" si="264"/>
        <v>25.690000000000015</v>
      </c>
      <c r="BG79" s="257">
        <f t="shared" si="264"/>
        <v>-33.45299999999996</v>
      </c>
      <c r="BH79" s="258">
        <f t="shared" si="264"/>
        <v>-55.006000000000014</v>
      </c>
      <c r="BI79" s="194">
        <f t="shared" si="245"/>
        <v>-55.005999999999993</v>
      </c>
      <c r="BJ79" s="236">
        <f t="shared" si="264"/>
        <v>-43.545000000000002</v>
      </c>
      <c r="BK79" s="236">
        <f t="shared" si="264"/>
        <v>-120.43400000000003</v>
      </c>
      <c r="BL79" s="236">
        <f t="shared" si="264"/>
        <v>-219.67899999999997</v>
      </c>
      <c r="BM79" s="237">
        <f t="shared" ref="BM79:CB79" si="265">SUM(BM74:BM78)</f>
        <v>-394.76400000000001</v>
      </c>
      <c r="BN79" s="194">
        <f t="shared" si="246"/>
        <v>-394.76400000000001</v>
      </c>
      <c r="BO79" s="236">
        <f t="shared" si="265"/>
        <v>-57.140999999999998</v>
      </c>
      <c r="BP79" s="236">
        <f t="shared" si="265"/>
        <v>-257.98500000000001</v>
      </c>
      <c r="BQ79" s="236">
        <f t="shared" si="265"/>
        <v>-292.58499999999998</v>
      </c>
      <c r="BR79" s="236">
        <f t="shared" si="265"/>
        <v>-446.88999999999993</v>
      </c>
      <c r="BS79" s="194">
        <f t="shared" si="247"/>
        <v>-446.89000000000004</v>
      </c>
      <c r="BT79" s="235">
        <f t="shared" si="265"/>
        <v>-252.65700000000001</v>
      </c>
      <c r="BU79" s="236">
        <f t="shared" si="265"/>
        <v>-496.40300000000002</v>
      </c>
      <c r="BV79" s="236">
        <f t="shared" si="265"/>
        <v>-677.04900000000009</v>
      </c>
      <c r="BW79" s="236">
        <f t="shared" si="265"/>
        <v>-850.28099999999995</v>
      </c>
      <c r="BX79" s="194">
        <f t="shared" si="248"/>
        <v>-850.28099999999995</v>
      </c>
      <c r="BY79" s="235">
        <f t="shared" si="265"/>
        <v>-95.486999999999995</v>
      </c>
      <c r="BZ79" s="236">
        <f t="shared" si="265"/>
        <v>-342.80300000000005</v>
      </c>
      <c r="CA79" s="236">
        <f t="shared" si="265"/>
        <v>-429.33399999999989</v>
      </c>
      <c r="CB79" s="237">
        <f t="shared" si="265"/>
        <v>-570.04600000000005</v>
      </c>
      <c r="CC79" s="194">
        <f t="shared" si="249"/>
        <v>-570.04600000000005</v>
      </c>
      <c r="CD79" s="235">
        <f t="shared" ref="CD79:CN79" si="266">SUM(CD74:CD78)</f>
        <v>-185.87400000000002</v>
      </c>
      <c r="CE79" s="236">
        <f t="shared" si="266"/>
        <v>-225.77400000000017</v>
      </c>
      <c r="CF79" s="236">
        <f t="shared" si="266"/>
        <v>-378.37599999999986</v>
      </c>
      <c r="CG79" s="258">
        <f t="shared" si="266"/>
        <v>-730.76299999999992</v>
      </c>
      <c r="CH79" s="194">
        <f t="shared" si="250"/>
        <v>-730.76299999999981</v>
      </c>
      <c r="CI79" s="235">
        <f t="shared" si="266"/>
        <v>-427.04163210187784</v>
      </c>
      <c r="CJ79" s="236">
        <f t="shared" si="266"/>
        <v>-691.18799999999999</v>
      </c>
      <c r="CK79" s="236">
        <f t="shared" si="266"/>
        <v>-626.63599999999985</v>
      </c>
      <c r="CL79" s="258">
        <f t="shared" si="266"/>
        <v>-3160.694</v>
      </c>
      <c r="CM79" s="194">
        <f t="shared" si="251"/>
        <v>-3160.694</v>
      </c>
      <c r="CN79" s="235">
        <f t="shared" si="266"/>
        <v>-364.00000000000006</v>
      </c>
      <c r="CO79" s="236">
        <f t="shared" ref="CO79:CV79" si="267">SUM(CO74:CO78)</f>
        <v>-853.49999999999989</v>
      </c>
      <c r="CP79" s="236">
        <f t="shared" si="267"/>
        <v>-1030.3999999999999</v>
      </c>
      <c r="CQ79" s="258">
        <f>SUM(CQ74:CQ78)</f>
        <v>-1370.6000000000001</v>
      </c>
      <c r="CR79" s="355">
        <f t="shared" si="252"/>
        <v>-1370.5999999999997</v>
      </c>
      <c r="CS79" s="236">
        <f t="shared" si="267"/>
        <v>-228.40000000000009</v>
      </c>
      <c r="CT79" s="236">
        <f>SUM(CT74:CT78)</f>
        <v>-260.3</v>
      </c>
      <c r="CU79" s="236">
        <f t="shared" si="267"/>
        <v>-872.70000000000027</v>
      </c>
      <c r="CV79" s="237">
        <f t="shared" si="267"/>
        <v>-963</v>
      </c>
      <c r="CW79" s="355">
        <f t="shared" si="253"/>
        <v>-963</v>
      </c>
      <c r="CX79" s="236">
        <f>SUM(CX74:CX78)</f>
        <v>91</v>
      </c>
      <c r="CY79" s="236">
        <f>SUM(CY74:CY78)</f>
        <v>-298</v>
      </c>
      <c r="CZ79" s="236">
        <f t="shared" ref="CZ79:DF79" si="268">SUM(CZ74:CZ78)</f>
        <v>-422</v>
      </c>
      <c r="DA79" s="236">
        <f t="shared" si="268"/>
        <v>-582</v>
      </c>
      <c r="DB79" s="355">
        <f t="shared" si="254"/>
        <v>-582</v>
      </c>
      <c r="DC79" s="236">
        <f t="shared" si="268"/>
        <v>-166.946</v>
      </c>
      <c r="DD79" s="236">
        <f t="shared" si="268"/>
        <v>-336.09127999999998</v>
      </c>
      <c r="DE79" s="236">
        <f t="shared" si="268"/>
        <v>-529.23869999999999</v>
      </c>
      <c r="DF79" s="236">
        <f t="shared" si="268"/>
        <v>-738.45219999999995</v>
      </c>
      <c r="DG79" s="355">
        <f t="shared" si="255"/>
        <v>-738.45219999999995</v>
      </c>
      <c r="DH79" s="236">
        <f>SUM(DH74:DH78)</f>
        <v>-171.863562</v>
      </c>
      <c r="DI79" s="236">
        <f>SUM(DI74:DI78)</f>
        <v>-346.12631160000001</v>
      </c>
      <c r="DJ79" s="236">
        <f>SUM(DJ74:DJ78)</f>
        <v>-546.31661667499998</v>
      </c>
      <c r="DK79" s="236">
        <f>SUM(DK74:DK78)</f>
        <v>-763.73585167500005</v>
      </c>
      <c r="DL79" s="355">
        <f t="shared" si="256"/>
        <v>-763.73585167500005</v>
      </c>
      <c r="DM79" s="236">
        <f>SUM(DM74:DM78)</f>
        <v>-177.24091605000001</v>
      </c>
      <c r="DN79" s="236">
        <f>SUM(DN74:DN78)</f>
        <v>-356.90297137800002</v>
      </c>
      <c r="DO79" s="236">
        <f>SUM(DO74:DO78)</f>
        <v>-564.66339429437505</v>
      </c>
      <c r="DP79" s="236">
        <f>SUM(DP74:DP78)</f>
        <v>-790.88897389437511</v>
      </c>
      <c r="DQ79" s="355">
        <f t="shared" si="257"/>
        <v>-790.88897389437511</v>
      </c>
      <c r="DR79" s="40"/>
      <c r="DS79" s="269"/>
      <c r="DT79"/>
      <c r="DU79"/>
      <c r="DV79"/>
      <c r="DW79"/>
      <c r="DX79"/>
      <c r="DY79"/>
    </row>
    <row r="80" spans="1:129" s="155" customFormat="1" hidden="1" outlineLevel="1">
      <c r="A80" s="192"/>
      <c r="B80" s="136"/>
      <c r="C80" s="135"/>
      <c r="D80" s="135"/>
      <c r="E80" s="135"/>
      <c r="F80" s="135"/>
      <c r="G80" s="232"/>
      <c r="H80" s="233"/>
      <c r="I80" s="233"/>
      <c r="J80" s="234"/>
      <c r="K80" s="14"/>
      <c r="L80" s="232"/>
      <c r="M80" s="233"/>
      <c r="N80" s="233"/>
      <c r="O80" s="233"/>
      <c r="P80" s="15"/>
      <c r="Q80" s="253"/>
      <c r="R80" s="254"/>
      <c r="S80" s="254"/>
      <c r="T80" s="255"/>
      <c r="U80" s="15"/>
      <c r="V80" s="254"/>
      <c r="W80" s="254"/>
      <c r="X80" s="254"/>
      <c r="Y80" s="255"/>
      <c r="Z80" s="15"/>
      <c r="AA80" s="254"/>
      <c r="AB80" s="254"/>
      <c r="AC80" s="254"/>
      <c r="AD80" s="254"/>
      <c r="AE80" s="15"/>
      <c r="AF80" s="253"/>
      <c r="AG80" s="254"/>
      <c r="AH80" s="254"/>
      <c r="AI80" s="254"/>
      <c r="AJ80" s="15"/>
      <c r="AK80" s="253"/>
      <c r="AL80" s="254"/>
      <c r="AM80" s="254"/>
      <c r="AN80" s="255"/>
      <c r="AO80" s="15"/>
      <c r="AP80" s="254"/>
      <c r="AQ80" s="254"/>
      <c r="AR80" s="254"/>
      <c r="AS80" s="255"/>
      <c r="AT80" s="15"/>
      <c r="AU80" s="254"/>
      <c r="AV80" s="254"/>
      <c r="AW80" s="254"/>
      <c r="AX80" s="254"/>
      <c r="AY80" s="15"/>
      <c r="AZ80" s="253"/>
      <c r="BA80" s="254"/>
      <c r="BB80" s="254"/>
      <c r="BC80" s="254"/>
      <c r="BD80" s="15"/>
      <c r="BE80" s="253"/>
      <c r="BF80" s="254"/>
      <c r="BG80" s="254"/>
      <c r="BH80" s="255"/>
      <c r="BI80" s="15"/>
      <c r="BJ80" s="233"/>
      <c r="BK80" s="233"/>
      <c r="BL80" s="233"/>
      <c r="BM80" s="234"/>
      <c r="BN80" s="15"/>
      <c r="BO80" s="233"/>
      <c r="BP80" s="233"/>
      <c r="BQ80" s="233"/>
      <c r="BR80" s="233"/>
      <c r="BS80" s="15"/>
      <c r="BT80" s="232"/>
      <c r="BU80" s="233"/>
      <c r="BV80" s="233"/>
      <c r="BW80" s="233"/>
      <c r="BX80" s="15"/>
      <c r="BY80" s="232"/>
      <c r="BZ80" s="233"/>
      <c r="CA80" s="233"/>
      <c r="CB80" s="240"/>
      <c r="CC80" s="15"/>
      <c r="CD80" s="239"/>
      <c r="CE80" s="239"/>
      <c r="CF80" s="239"/>
      <c r="CG80" s="318"/>
      <c r="CH80" s="15"/>
      <c r="CI80" s="239"/>
      <c r="CJ80" s="239"/>
      <c r="CK80" s="239"/>
      <c r="CL80" s="318"/>
      <c r="CM80" s="15"/>
      <c r="CN80" s="239"/>
      <c r="CO80" s="239"/>
      <c r="CP80" s="239"/>
      <c r="CQ80" s="318"/>
      <c r="CR80" s="352"/>
      <c r="CS80" s="239"/>
      <c r="CT80" s="239"/>
      <c r="CU80" s="239"/>
      <c r="CV80" s="240"/>
      <c r="CW80" s="352"/>
      <c r="CX80" s="239"/>
      <c r="CY80" s="239"/>
      <c r="CZ80" s="239"/>
      <c r="DA80" s="239"/>
      <c r="DB80" s="352"/>
      <c r="DC80" s="239"/>
      <c r="DD80" s="239"/>
      <c r="DE80" s="239"/>
      <c r="DF80" s="239"/>
      <c r="DG80" s="352"/>
      <c r="DH80" s="239"/>
      <c r="DI80" s="239"/>
      <c r="DJ80" s="239"/>
      <c r="DK80" s="239"/>
      <c r="DL80" s="352"/>
      <c r="DM80" s="239"/>
      <c r="DN80" s="239"/>
      <c r="DO80" s="239"/>
      <c r="DP80" s="239"/>
      <c r="DQ80" s="352"/>
      <c r="DR80" s="61"/>
      <c r="DS80" s="153"/>
      <c r="DT80"/>
      <c r="DU80"/>
      <c r="DV80"/>
      <c r="DW80"/>
      <c r="DX80"/>
      <c r="DY80"/>
    </row>
    <row r="81" spans="1:129" s="155" customFormat="1" hidden="1" outlineLevel="1">
      <c r="A81" s="192"/>
      <c r="B81" s="169" t="s">
        <v>96</v>
      </c>
      <c r="C81" s="191"/>
      <c r="D81" s="191"/>
      <c r="E81" s="191"/>
      <c r="F81" s="191"/>
      <c r="G81" s="232"/>
      <c r="H81" s="233"/>
      <c r="I81" s="233"/>
      <c r="J81" s="234"/>
      <c r="K81" s="14">
        <f>K35</f>
        <v>0</v>
      </c>
      <c r="L81" s="232"/>
      <c r="M81" s="233"/>
      <c r="N81" s="233"/>
      <c r="O81" s="287"/>
      <c r="P81" s="15">
        <f>P35</f>
        <v>0</v>
      </c>
      <c r="Q81" s="253"/>
      <c r="R81" s="254"/>
      <c r="S81" s="254"/>
      <c r="T81" s="255"/>
      <c r="U81" s="15">
        <f>U35</f>
        <v>0</v>
      </c>
      <c r="V81" s="254"/>
      <c r="W81" s="254"/>
      <c r="X81" s="254"/>
      <c r="Y81" s="255"/>
      <c r="Z81" s="15">
        <f>Z35</f>
        <v>0</v>
      </c>
      <c r="AA81" s="254"/>
      <c r="AB81" s="254"/>
      <c r="AC81" s="254"/>
      <c r="AD81" s="254"/>
      <c r="AE81" s="15">
        <f>AE35</f>
        <v>0</v>
      </c>
      <c r="AF81" s="253"/>
      <c r="AG81" s="254"/>
      <c r="AH81" s="254"/>
      <c r="AI81" s="254"/>
      <c r="AJ81" s="15">
        <f>AJ35</f>
        <v>0</v>
      </c>
      <c r="AK81" s="253"/>
      <c r="AL81" s="254"/>
      <c r="AM81" s="254"/>
      <c r="AN81" s="255"/>
      <c r="AO81" s="15">
        <f>AO35</f>
        <v>0</v>
      </c>
      <c r="AP81" s="254"/>
      <c r="AQ81" s="254"/>
      <c r="AR81" s="254"/>
      <c r="AS81" s="255"/>
      <c r="AT81" s="15">
        <f>AT35</f>
        <v>0</v>
      </c>
      <c r="AU81" s="254"/>
      <c r="AV81" s="254"/>
      <c r="AW81" s="254"/>
      <c r="AX81" s="254"/>
      <c r="AY81" s="15">
        <f>AY35</f>
        <v>0</v>
      </c>
      <c r="AZ81" s="253"/>
      <c r="BA81" s="254"/>
      <c r="BB81" s="254"/>
      <c r="BC81" s="254"/>
      <c r="BD81" s="15">
        <f>BD35</f>
        <v>0</v>
      </c>
      <c r="BE81" s="253"/>
      <c r="BF81" s="254"/>
      <c r="BG81" s="254"/>
      <c r="BH81" s="255"/>
      <c r="BI81" s="15">
        <f>BI35</f>
        <v>0</v>
      </c>
      <c r="BJ81" s="233"/>
      <c r="BK81" s="233"/>
      <c r="BL81" s="233"/>
      <c r="BM81" s="234"/>
      <c r="BN81" s="15">
        <f>BN35</f>
        <v>0</v>
      </c>
      <c r="BO81" s="233"/>
      <c r="BP81" s="233"/>
      <c r="BQ81" s="233"/>
      <c r="BR81" s="233"/>
      <c r="BS81" s="15">
        <f>BS35</f>
        <v>0</v>
      </c>
      <c r="BT81" s="232"/>
      <c r="BU81" s="233"/>
      <c r="BV81" s="233"/>
      <c r="BW81" s="233"/>
      <c r="BX81" s="15">
        <f>BX35</f>
        <v>0</v>
      </c>
      <c r="BY81" s="232"/>
      <c r="BZ81" s="233"/>
      <c r="CA81" s="233"/>
      <c r="CB81" s="240"/>
      <c r="CC81" s="15">
        <f>CC35</f>
        <v>0</v>
      </c>
      <c r="CD81" s="239"/>
      <c r="CE81" s="239"/>
      <c r="CF81" s="319"/>
      <c r="CG81" s="318"/>
      <c r="CH81" s="15">
        <f>CH35</f>
        <v>0</v>
      </c>
      <c r="CI81" s="239"/>
      <c r="CJ81" s="239"/>
      <c r="CK81" s="239"/>
      <c r="CL81" s="318"/>
      <c r="CM81" s="15">
        <f t="shared" ref="CM81:CM89" si="269">CM35</f>
        <v>0</v>
      </c>
      <c r="CN81" s="239"/>
      <c r="CO81" s="239"/>
      <c r="CP81" s="239"/>
      <c r="CQ81" s="318"/>
      <c r="CR81" s="352">
        <f t="shared" ref="CR81:CR89" si="270">CR35</f>
        <v>0</v>
      </c>
      <c r="CS81" s="239"/>
      <c r="CT81" s="239"/>
      <c r="CU81" s="239"/>
      <c r="CV81" s="240"/>
      <c r="CW81" s="352"/>
      <c r="CX81" s="239"/>
      <c r="CY81" s="239"/>
      <c r="CZ81" s="239"/>
      <c r="DA81" s="1108"/>
      <c r="DB81" s="352">
        <f t="shared" ref="DB81:DB89" si="271">DB35</f>
        <v>0</v>
      </c>
      <c r="DC81" s="239"/>
      <c r="DD81" s="239"/>
      <c r="DE81" s="239"/>
      <c r="DF81" s="239"/>
      <c r="DG81" s="352">
        <f t="shared" ref="DG81:DG89" si="272">DG35</f>
        <v>0</v>
      </c>
      <c r="DH81" s="239"/>
      <c r="DI81" s="239"/>
      <c r="DJ81" s="239"/>
      <c r="DK81" s="239"/>
      <c r="DL81" s="352">
        <f>DL35</f>
        <v>0</v>
      </c>
      <c r="DM81" s="239"/>
      <c r="DN81" s="239"/>
      <c r="DO81" s="239"/>
      <c r="DP81" s="239"/>
      <c r="DQ81" s="352">
        <f>DQ35</f>
        <v>0</v>
      </c>
      <c r="DR81" s="61"/>
      <c r="DS81" s="153"/>
      <c r="DT81"/>
      <c r="DU81"/>
      <c r="DV81"/>
      <c r="DW81"/>
      <c r="DX81"/>
      <c r="DY81"/>
    </row>
    <row r="82" spans="1:129" s="155" customFormat="1" hidden="1" outlineLevel="1">
      <c r="A82" s="192"/>
      <c r="B82" s="136"/>
      <c r="C82" s="135" t="s">
        <v>104</v>
      </c>
      <c r="D82" s="135"/>
      <c r="E82" s="135"/>
      <c r="F82" s="135"/>
      <c r="G82" s="62">
        <v>-5.8000000000000003E-2</v>
      </c>
      <c r="H82" s="233">
        <v>22.532</v>
      </c>
      <c r="I82" s="233">
        <v>22.545999999999999</v>
      </c>
      <c r="J82" s="234">
        <v>23.25</v>
      </c>
      <c r="K82" s="14">
        <f>K36</f>
        <v>23.25</v>
      </c>
      <c r="L82" s="232">
        <v>0</v>
      </c>
      <c r="M82" s="233">
        <v>0</v>
      </c>
      <c r="N82" s="233">
        <v>0</v>
      </c>
      <c r="O82" s="233">
        <v>0</v>
      </c>
      <c r="P82" s="15">
        <f>P36</f>
        <v>0</v>
      </c>
      <c r="Q82" s="253">
        <v>0</v>
      </c>
      <c r="R82" s="254">
        <v>0</v>
      </c>
      <c r="S82" s="254">
        <v>0</v>
      </c>
      <c r="T82" s="255">
        <v>0</v>
      </c>
      <c r="U82" s="15">
        <f>U36</f>
        <v>0</v>
      </c>
      <c r="V82" s="254">
        <v>0</v>
      </c>
      <c r="W82" s="254">
        <v>0</v>
      </c>
      <c r="X82" s="254">
        <v>0</v>
      </c>
      <c r="Y82" s="255">
        <v>0</v>
      </c>
      <c r="Z82" s="15">
        <f>Z36</f>
        <v>0</v>
      </c>
      <c r="AA82" s="254">
        <v>0</v>
      </c>
      <c r="AB82" s="254">
        <v>0</v>
      </c>
      <c r="AC82" s="254">
        <v>0</v>
      </c>
      <c r="AD82" s="254">
        <v>0</v>
      </c>
      <c r="AE82" s="15">
        <f>AE36</f>
        <v>0</v>
      </c>
      <c r="AF82" s="253">
        <v>0</v>
      </c>
      <c r="AG82" s="254">
        <v>0</v>
      </c>
      <c r="AH82" s="254">
        <v>0</v>
      </c>
      <c r="AI82" s="254">
        <v>0</v>
      </c>
      <c r="AJ82" s="15">
        <f>AJ36</f>
        <v>0</v>
      </c>
      <c r="AK82" s="253">
        <v>0</v>
      </c>
      <c r="AL82" s="254">
        <v>0</v>
      </c>
      <c r="AM82" s="254">
        <v>0</v>
      </c>
      <c r="AN82" s="255">
        <v>0</v>
      </c>
      <c r="AO82" s="15">
        <f>AO36</f>
        <v>0</v>
      </c>
      <c r="AP82" s="254">
        <v>0</v>
      </c>
      <c r="AQ82" s="254">
        <v>0</v>
      </c>
      <c r="AR82" s="254">
        <v>0</v>
      </c>
      <c r="AS82" s="255">
        <v>0</v>
      </c>
      <c r="AT82" s="15">
        <f>AT36</f>
        <v>0</v>
      </c>
      <c r="AU82" s="254">
        <v>0</v>
      </c>
      <c r="AV82" s="254">
        <v>0</v>
      </c>
      <c r="AW82" s="254">
        <v>0</v>
      </c>
      <c r="AX82" s="254">
        <v>0</v>
      </c>
      <c r="AY82" s="15">
        <f>AY36</f>
        <v>0</v>
      </c>
      <c r="AZ82" s="253">
        <v>0</v>
      </c>
      <c r="BA82" s="254">
        <v>0</v>
      </c>
      <c r="BB82" s="254">
        <v>0</v>
      </c>
      <c r="BC82" s="254">
        <v>0</v>
      </c>
      <c r="BD82" s="15">
        <f>BD36</f>
        <v>0</v>
      </c>
      <c r="BE82" s="253">
        <v>0</v>
      </c>
      <c r="BF82" s="254">
        <v>0</v>
      </c>
      <c r="BG82" s="254">
        <v>0</v>
      </c>
      <c r="BH82" s="255">
        <v>0</v>
      </c>
      <c r="BI82" s="15">
        <f>BI36</f>
        <v>0</v>
      </c>
      <c r="BJ82" s="233">
        <v>0</v>
      </c>
      <c r="BK82" s="233">
        <v>0</v>
      </c>
      <c r="BL82" s="233">
        <v>0</v>
      </c>
      <c r="BM82" s="234">
        <v>0</v>
      </c>
      <c r="BN82" s="15">
        <f>BN36</f>
        <v>0</v>
      </c>
      <c r="BO82" s="233">
        <v>0</v>
      </c>
      <c r="BP82" s="233">
        <v>0</v>
      </c>
      <c r="BQ82" s="233">
        <v>0</v>
      </c>
      <c r="BR82" s="233">
        <v>0</v>
      </c>
      <c r="BS82" s="15">
        <f>BS36</f>
        <v>0</v>
      </c>
      <c r="BT82" s="232">
        <v>0</v>
      </c>
      <c r="BU82" s="233">
        <v>0</v>
      </c>
      <c r="BV82" s="233">
        <v>0</v>
      </c>
      <c r="BW82" s="233">
        <v>0</v>
      </c>
      <c r="BX82" s="15">
        <f>BX36</f>
        <v>0</v>
      </c>
      <c r="BY82" s="232">
        <v>0</v>
      </c>
      <c r="BZ82" s="233">
        <v>0</v>
      </c>
      <c r="CA82" s="233">
        <v>0</v>
      </c>
      <c r="CB82" s="231">
        <v>0</v>
      </c>
      <c r="CC82" s="15">
        <f>CC36</f>
        <v>0</v>
      </c>
      <c r="CD82" s="230">
        <v>0</v>
      </c>
      <c r="CE82" s="245">
        <v>0</v>
      </c>
      <c r="CF82" s="248">
        <v>0</v>
      </c>
      <c r="CG82" s="450">
        <v>0</v>
      </c>
      <c r="CH82" s="15">
        <f>CH36</f>
        <v>0</v>
      </c>
      <c r="CI82" s="459">
        <v>0</v>
      </c>
      <c r="CJ82" s="245">
        <v>0</v>
      </c>
      <c r="CK82" s="245">
        <f>CJ82+CK36</f>
        <v>0</v>
      </c>
      <c r="CL82" s="450">
        <f>CK82+CL36</f>
        <v>0</v>
      </c>
      <c r="CM82" s="15">
        <f t="shared" si="269"/>
        <v>0</v>
      </c>
      <c r="CN82" s="459">
        <v>0</v>
      </c>
      <c r="CO82" s="245">
        <v>0</v>
      </c>
      <c r="CP82" s="245">
        <v>0</v>
      </c>
      <c r="CQ82" s="450">
        <v>0</v>
      </c>
      <c r="CR82" s="352">
        <f t="shared" si="270"/>
        <v>0</v>
      </c>
      <c r="CS82" s="459">
        <v>0</v>
      </c>
      <c r="CT82" s="245">
        <v>0</v>
      </c>
      <c r="CU82" s="245">
        <v>0</v>
      </c>
      <c r="CV82" s="246">
        <v>0</v>
      </c>
      <c r="CW82" s="352">
        <f t="shared" ref="CW82:CW89" si="273">CW36</f>
        <v>0</v>
      </c>
      <c r="CX82" s="1076">
        <v>0</v>
      </c>
      <c r="CY82" s="1040">
        <v>0</v>
      </c>
      <c r="CZ82" s="1040">
        <v>0</v>
      </c>
      <c r="DA82" s="1113">
        <v>0</v>
      </c>
      <c r="DB82" s="1038">
        <f t="shared" si="271"/>
        <v>0</v>
      </c>
      <c r="DC82" s="1037">
        <f t="shared" ref="DC82:DC88" si="274">+DC36</f>
        <v>0</v>
      </c>
      <c r="DD82" s="1037">
        <f t="shared" ref="DD82:DF88" si="275">DC82+DD36</f>
        <v>0</v>
      </c>
      <c r="DE82" s="1037">
        <f t="shared" si="275"/>
        <v>0</v>
      </c>
      <c r="DF82" s="1037">
        <f t="shared" si="275"/>
        <v>0</v>
      </c>
      <c r="DG82" s="1038">
        <f t="shared" si="272"/>
        <v>0</v>
      </c>
      <c r="DH82" s="1037">
        <f t="shared" ref="DH82:DH88" si="276">+DH36</f>
        <v>0</v>
      </c>
      <c r="DI82" s="1037">
        <f t="shared" ref="DI82:DK88" si="277">DH82+DI36</f>
        <v>0</v>
      </c>
      <c r="DJ82" s="1037">
        <f t="shared" si="277"/>
        <v>0</v>
      </c>
      <c r="DK82" s="1037">
        <f t="shared" si="277"/>
        <v>0</v>
      </c>
      <c r="DL82" s="1038">
        <f>DL36</f>
        <v>0</v>
      </c>
      <c r="DM82" s="1037">
        <f t="shared" ref="DM82:DM88" si="278">+DM36</f>
        <v>0</v>
      </c>
      <c r="DN82" s="1037">
        <f t="shared" ref="DN82:DN88" si="279">DM82+DN36</f>
        <v>0</v>
      </c>
      <c r="DO82" s="1037">
        <f t="shared" ref="DO82:DO88" si="280">DN82+DO36</f>
        <v>0</v>
      </c>
      <c r="DP82" s="1037">
        <f t="shared" ref="DP82:DP88" si="281">DO82+DP36</f>
        <v>0</v>
      </c>
      <c r="DQ82" s="1038">
        <f>DQ36</f>
        <v>0</v>
      </c>
      <c r="DR82" s="61"/>
      <c r="DS82" s="153"/>
      <c r="DT82"/>
      <c r="DU82"/>
      <c r="DV82"/>
      <c r="DW82"/>
      <c r="DX82"/>
      <c r="DY82"/>
    </row>
    <row r="83" spans="1:129" s="155" customFormat="1" hidden="1" outlineLevel="1">
      <c r="A83" s="192"/>
      <c r="B83" s="136"/>
      <c r="C83" s="185" t="s">
        <v>279</v>
      </c>
      <c r="D83" s="135"/>
      <c r="E83" s="135"/>
      <c r="F83" s="135"/>
      <c r="G83" s="62"/>
      <c r="H83" s="233"/>
      <c r="I83" s="233"/>
      <c r="J83" s="234"/>
      <c r="K83" s="14"/>
      <c r="L83" s="232"/>
      <c r="M83" s="233"/>
      <c r="N83" s="233"/>
      <c r="O83" s="233"/>
      <c r="P83" s="15"/>
      <c r="Q83" s="253"/>
      <c r="R83" s="254"/>
      <c r="S83" s="254"/>
      <c r="T83" s="255"/>
      <c r="U83" s="15"/>
      <c r="V83" s="254"/>
      <c r="W83" s="254"/>
      <c r="X83" s="254"/>
      <c r="Y83" s="255"/>
      <c r="Z83" s="15"/>
      <c r="AA83" s="254"/>
      <c r="AB83" s="254"/>
      <c r="AC83" s="254"/>
      <c r="AD83" s="254"/>
      <c r="AE83" s="15"/>
      <c r="AF83" s="253"/>
      <c r="AG83" s="254"/>
      <c r="AH83" s="254"/>
      <c r="AI83" s="254"/>
      <c r="AJ83" s="15"/>
      <c r="AK83" s="253"/>
      <c r="AL83" s="254"/>
      <c r="AM83" s="254"/>
      <c r="AN83" s="255"/>
      <c r="AO83" s="15"/>
      <c r="AP83" s="254"/>
      <c r="AQ83" s="254"/>
      <c r="AR83" s="254"/>
      <c r="AS83" s="255"/>
      <c r="AT83" s="15"/>
      <c r="AU83" s="254"/>
      <c r="AV83" s="254"/>
      <c r="AW83" s="254"/>
      <c r="AX83" s="254"/>
      <c r="AY83" s="15"/>
      <c r="AZ83" s="253"/>
      <c r="BA83" s="254"/>
      <c r="BB83" s="254"/>
      <c r="BC83" s="254"/>
      <c r="BD83" s="15"/>
      <c r="BE83" s="253"/>
      <c r="BF83" s="254"/>
      <c r="BG83" s="254"/>
      <c r="BH83" s="255"/>
      <c r="BI83" s="15"/>
      <c r="BJ83" s="233"/>
      <c r="BK83" s="233"/>
      <c r="BL83" s="233"/>
      <c r="BM83" s="234"/>
      <c r="BN83" s="15"/>
      <c r="BO83" s="233"/>
      <c r="BP83" s="233"/>
      <c r="BQ83" s="233"/>
      <c r="BR83" s="233"/>
      <c r="BS83" s="15"/>
      <c r="BT83" s="232"/>
      <c r="BU83" s="233"/>
      <c r="BV83" s="233"/>
      <c r="BW83" s="233"/>
      <c r="BX83" s="15"/>
      <c r="BY83" s="232"/>
      <c r="BZ83" s="233"/>
      <c r="CA83" s="233"/>
      <c r="CB83" s="231"/>
      <c r="CC83" s="15"/>
      <c r="CD83" s="230"/>
      <c r="CE83" s="245"/>
      <c r="CF83" s="248"/>
      <c r="CG83" s="450"/>
      <c r="CH83" s="15"/>
      <c r="CI83" s="459"/>
      <c r="CJ83" s="245"/>
      <c r="CK83" s="245"/>
      <c r="CL83" s="450"/>
      <c r="CM83" s="15">
        <f t="shared" si="269"/>
        <v>0</v>
      </c>
      <c r="CN83" s="459"/>
      <c r="CO83" s="245"/>
      <c r="CP83" s="245"/>
      <c r="CQ83" s="450">
        <v>0</v>
      </c>
      <c r="CR83" s="352">
        <f t="shared" si="270"/>
        <v>0</v>
      </c>
      <c r="CS83" s="459">
        <v>0</v>
      </c>
      <c r="CT83" s="245">
        <v>0</v>
      </c>
      <c r="CU83" s="245">
        <v>0</v>
      </c>
      <c r="CV83" s="246">
        <v>0</v>
      </c>
      <c r="CW83" s="352">
        <f t="shared" si="273"/>
        <v>0</v>
      </c>
      <c r="CX83" s="1076">
        <v>0</v>
      </c>
      <c r="CY83" s="1040">
        <v>0</v>
      </c>
      <c r="CZ83" s="1040">
        <v>0</v>
      </c>
      <c r="DA83" s="1113">
        <v>0</v>
      </c>
      <c r="DB83" s="1038">
        <f t="shared" si="271"/>
        <v>0</v>
      </c>
      <c r="DC83" s="1037">
        <f t="shared" si="274"/>
        <v>0</v>
      </c>
      <c r="DD83" s="1037">
        <f t="shared" si="275"/>
        <v>-25</v>
      </c>
      <c r="DE83" s="1037">
        <f t="shared" si="275"/>
        <v>-25</v>
      </c>
      <c r="DF83" s="1037">
        <f t="shared" si="275"/>
        <v>-50</v>
      </c>
      <c r="DG83" s="1038">
        <f t="shared" si="272"/>
        <v>-50</v>
      </c>
      <c r="DH83" s="1037">
        <f t="shared" si="276"/>
        <v>0</v>
      </c>
      <c r="DI83" s="1037">
        <f t="shared" si="277"/>
        <v>-25</v>
      </c>
      <c r="DJ83" s="1037">
        <f t="shared" si="277"/>
        <v>-25</v>
      </c>
      <c r="DK83" s="1037">
        <f t="shared" si="277"/>
        <v>-50</v>
      </c>
      <c r="DL83" s="1038">
        <f t="shared" ref="DL83:DL89" si="282">DL37</f>
        <v>-50</v>
      </c>
      <c r="DM83" s="1037">
        <f t="shared" si="278"/>
        <v>0</v>
      </c>
      <c r="DN83" s="1037">
        <f t="shared" si="279"/>
        <v>-25</v>
      </c>
      <c r="DO83" s="1037">
        <f t="shared" si="280"/>
        <v>-25</v>
      </c>
      <c r="DP83" s="1037">
        <f t="shared" si="281"/>
        <v>-50</v>
      </c>
      <c r="DQ83" s="1038">
        <f t="shared" ref="DQ83:DQ89" si="283">DQ37</f>
        <v>-50</v>
      </c>
      <c r="DR83" s="61"/>
      <c r="DS83" s="153"/>
      <c r="DT83"/>
      <c r="DU83"/>
      <c r="DV83"/>
      <c r="DW83"/>
      <c r="DX83"/>
      <c r="DY83"/>
    </row>
    <row r="84" spans="1:129" s="155" customFormat="1" hidden="1" outlineLevel="1">
      <c r="A84" s="192"/>
      <c r="B84" s="136"/>
      <c r="C84" s="135" t="s">
        <v>97</v>
      </c>
      <c r="D84" s="135"/>
      <c r="E84" s="135"/>
      <c r="F84" s="135"/>
      <c r="G84" s="232">
        <v>0</v>
      </c>
      <c r="H84" s="233">
        <v>0</v>
      </c>
      <c r="I84" s="233">
        <v>0</v>
      </c>
      <c r="J84" s="234">
        <v>0.32700000000000001</v>
      </c>
      <c r="K84" s="14">
        <f>K38</f>
        <v>0.32700000000000001</v>
      </c>
      <c r="L84" s="232">
        <v>9.6000000000000002E-2</v>
      </c>
      <c r="M84" s="233">
        <v>0.223</v>
      </c>
      <c r="N84" s="233">
        <v>0.25700000000000001</v>
      </c>
      <c r="O84" s="233">
        <v>0.55100000000000005</v>
      </c>
      <c r="P84" s="15">
        <f>P38</f>
        <v>0.55100000000000005</v>
      </c>
      <c r="Q84" s="253">
        <v>0.35099999999999998</v>
      </c>
      <c r="R84" s="254">
        <v>0.91700000000000004</v>
      </c>
      <c r="S84" s="254">
        <v>1.357</v>
      </c>
      <c r="T84" s="255">
        <v>1.72</v>
      </c>
      <c r="U84" s="15">
        <f>U38</f>
        <v>1.72</v>
      </c>
      <c r="V84" s="254">
        <v>0.75600000000000001</v>
      </c>
      <c r="W84" s="254">
        <v>3.113</v>
      </c>
      <c r="X84" s="254">
        <v>4.8179999999999996</v>
      </c>
      <c r="Y84" s="255">
        <v>5.9909999999999997</v>
      </c>
      <c r="Z84" s="15">
        <f>Z38</f>
        <v>5.9909999999999997</v>
      </c>
      <c r="AA84" s="254">
        <v>0.67400000000000004</v>
      </c>
      <c r="AB84" s="254">
        <v>5.9790000000000001</v>
      </c>
      <c r="AC84" s="254">
        <v>12.96</v>
      </c>
      <c r="AD84" s="254">
        <v>20.042999999999999</v>
      </c>
      <c r="AE84" s="15">
        <f>AE38</f>
        <v>20.042999999999999</v>
      </c>
      <c r="AF84" s="253">
        <v>2.823</v>
      </c>
      <c r="AG84" s="254">
        <v>8.8789999999999996</v>
      </c>
      <c r="AH84" s="254">
        <v>18.196999999999999</v>
      </c>
      <c r="AI84" s="254">
        <f>24.74-0.488</f>
        <v>24.251999999999999</v>
      </c>
      <c r="AJ84" s="15">
        <f>AJ38</f>
        <v>24.251999999999999</v>
      </c>
      <c r="AK84" s="253">
        <v>4.5430000000000001</v>
      </c>
      <c r="AL84" s="254">
        <v>12.895</v>
      </c>
      <c r="AM84" s="254">
        <v>23.699000000000002</v>
      </c>
      <c r="AN84" s="255">
        <v>36.768000000000001</v>
      </c>
      <c r="AO84" s="15">
        <f>AO38</f>
        <v>36.768000000000001</v>
      </c>
      <c r="AP84" s="254">
        <v>11.182</v>
      </c>
      <c r="AQ84" s="254">
        <v>23.010999999999999</v>
      </c>
      <c r="AR84" s="254">
        <v>34.487000000000002</v>
      </c>
      <c r="AS84" s="255">
        <v>47.451000000000001</v>
      </c>
      <c r="AT84" s="15">
        <f>AT38</f>
        <v>47.451000000000001</v>
      </c>
      <c r="AU84" s="254">
        <v>13.587</v>
      </c>
      <c r="AV84" s="254">
        <v>22.872</v>
      </c>
      <c r="AW84" s="254">
        <v>37.436</v>
      </c>
      <c r="AX84" s="254">
        <v>51.4</v>
      </c>
      <c r="AY84" s="15">
        <f>AY38</f>
        <v>51.4</v>
      </c>
      <c r="AZ84" s="253">
        <v>20.106000000000002</v>
      </c>
      <c r="BA84" s="254">
        <v>35.988</v>
      </c>
      <c r="BB84" s="254">
        <v>47.822000000000003</v>
      </c>
      <c r="BC84" s="254">
        <v>67.102999999999994</v>
      </c>
      <c r="BD84" s="15">
        <f>BD38</f>
        <v>67.102999999999994</v>
      </c>
      <c r="BE84" s="253">
        <v>12.834</v>
      </c>
      <c r="BF84" s="254">
        <v>40.292000000000002</v>
      </c>
      <c r="BG84" s="254">
        <v>48.813000000000002</v>
      </c>
      <c r="BH84" s="255">
        <v>54.875999999999998</v>
      </c>
      <c r="BI84" s="15">
        <f>BI38</f>
        <v>54.875999999999998</v>
      </c>
      <c r="BJ84" s="233">
        <v>8.7639999999999993</v>
      </c>
      <c r="BK84" s="233">
        <v>18.446999999999999</v>
      </c>
      <c r="BL84" s="233">
        <v>33.76</v>
      </c>
      <c r="BM84" s="234">
        <v>61.651000000000003</v>
      </c>
      <c r="BN84" s="15">
        <f>BN38</f>
        <v>61.65100000000001</v>
      </c>
      <c r="BO84" s="233">
        <v>30.103000000000002</v>
      </c>
      <c r="BP84" s="233">
        <v>49.935000000000002</v>
      </c>
      <c r="BQ84" s="233">
        <v>87.07</v>
      </c>
      <c r="BR84" s="233">
        <v>107.084</v>
      </c>
      <c r="BS84" s="15">
        <f>BS38</f>
        <v>107.084</v>
      </c>
      <c r="BT84" s="232">
        <v>23.43</v>
      </c>
      <c r="BU84" s="233">
        <v>40.281999999999996</v>
      </c>
      <c r="BV84" s="233">
        <v>57.277000000000001</v>
      </c>
      <c r="BW84" s="233">
        <v>79.551000000000002</v>
      </c>
      <c r="BX84" s="15">
        <f>BX38</f>
        <v>79.551000000000002</v>
      </c>
      <c r="BY84" s="232">
        <v>43.353000000000002</v>
      </c>
      <c r="BZ84" s="233">
        <v>61.527000000000001</v>
      </c>
      <c r="CA84" s="233">
        <v>91.882999999999996</v>
      </c>
      <c r="CB84" s="231">
        <v>129.48400000000001</v>
      </c>
      <c r="CC84" s="15">
        <f>CC38</f>
        <v>129.48400000000001</v>
      </c>
      <c r="CD84" s="230">
        <v>31.995999999999999</v>
      </c>
      <c r="CE84" s="245">
        <v>48.545999999999999</v>
      </c>
      <c r="CF84" s="248">
        <v>76.837000000000003</v>
      </c>
      <c r="CG84" s="450">
        <v>117.556</v>
      </c>
      <c r="CH84" s="15">
        <f>CH38</f>
        <v>117.556</v>
      </c>
      <c r="CI84" s="459">
        <v>22.3</v>
      </c>
      <c r="CJ84" s="245">
        <v>49.838999999999999</v>
      </c>
      <c r="CK84" s="245">
        <v>49.853000000000002</v>
      </c>
      <c r="CL84" s="450">
        <v>101.455</v>
      </c>
      <c r="CM84" s="15">
        <f t="shared" si="269"/>
        <v>101.45500000000001</v>
      </c>
      <c r="CN84" s="459">
        <v>36.700000000000003</v>
      </c>
      <c r="CO84" s="245">
        <v>68.5</v>
      </c>
      <c r="CP84" s="245">
        <v>98.9</v>
      </c>
      <c r="CQ84" s="450">
        <v>131.6</v>
      </c>
      <c r="CR84" s="352">
        <f t="shared" si="270"/>
        <v>131.6</v>
      </c>
      <c r="CS84" s="459">
        <v>49.4</v>
      </c>
      <c r="CT84" s="245">
        <v>90.3</v>
      </c>
      <c r="CU84" s="245">
        <v>134.6</v>
      </c>
      <c r="CV84" s="246">
        <v>176</v>
      </c>
      <c r="CW84" s="352">
        <f t="shared" si="273"/>
        <v>176</v>
      </c>
      <c r="CX84" s="1076">
        <v>61</v>
      </c>
      <c r="CY84" s="1040">
        <v>104</v>
      </c>
      <c r="CZ84" s="1040">
        <v>146</v>
      </c>
      <c r="DA84" s="1113">
        <v>189</v>
      </c>
      <c r="DB84" s="1038">
        <f t="shared" si="271"/>
        <v>189</v>
      </c>
      <c r="DC84" s="1037">
        <f t="shared" si="274"/>
        <v>20</v>
      </c>
      <c r="DD84" s="1037">
        <f t="shared" si="275"/>
        <v>40</v>
      </c>
      <c r="DE84" s="1037">
        <f t="shared" si="275"/>
        <v>60</v>
      </c>
      <c r="DF84" s="1037">
        <f t="shared" si="275"/>
        <v>80</v>
      </c>
      <c r="DG84" s="1038">
        <f t="shared" si="272"/>
        <v>80</v>
      </c>
      <c r="DH84" s="1037">
        <f t="shared" si="276"/>
        <v>20</v>
      </c>
      <c r="DI84" s="1037">
        <f t="shared" si="277"/>
        <v>40</v>
      </c>
      <c r="DJ84" s="1037">
        <f t="shared" si="277"/>
        <v>60</v>
      </c>
      <c r="DK84" s="1037">
        <f t="shared" si="277"/>
        <v>80</v>
      </c>
      <c r="DL84" s="1038">
        <f t="shared" si="282"/>
        <v>80</v>
      </c>
      <c r="DM84" s="1037">
        <f t="shared" si="278"/>
        <v>20</v>
      </c>
      <c r="DN84" s="1037">
        <f t="shared" si="279"/>
        <v>40</v>
      </c>
      <c r="DO84" s="1037">
        <f t="shared" si="280"/>
        <v>60</v>
      </c>
      <c r="DP84" s="1037">
        <f t="shared" si="281"/>
        <v>80</v>
      </c>
      <c r="DQ84" s="1038">
        <f t="shared" si="283"/>
        <v>80</v>
      </c>
      <c r="DR84" s="61"/>
      <c r="DS84" s="153"/>
      <c r="DT84"/>
      <c r="DU84"/>
      <c r="DV84"/>
      <c r="DW84"/>
      <c r="DX84"/>
      <c r="DY84"/>
    </row>
    <row r="85" spans="1:129" s="155" customFormat="1" hidden="1" outlineLevel="1">
      <c r="A85" s="192"/>
      <c r="B85" s="136"/>
      <c r="C85" s="135" t="s">
        <v>80</v>
      </c>
      <c r="D85" s="135"/>
      <c r="E85" s="135"/>
      <c r="F85" s="135"/>
      <c r="G85" s="62">
        <v>0</v>
      </c>
      <c r="H85" s="61">
        <v>0</v>
      </c>
      <c r="I85" s="61">
        <v>0</v>
      </c>
      <c r="J85" s="63">
        <v>0</v>
      </c>
      <c r="K85" s="14">
        <f>K39</f>
        <v>0</v>
      </c>
      <c r="L85" s="62">
        <v>0</v>
      </c>
      <c r="M85" s="61">
        <v>0</v>
      </c>
      <c r="N85" s="61">
        <v>0</v>
      </c>
      <c r="O85" s="61">
        <v>0</v>
      </c>
      <c r="P85" s="15">
        <f>P39</f>
        <v>0</v>
      </c>
      <c r="Q85" s="250">
        <v>0</v>
      </c>
      <c r="R85" s="251">
        <v>0</v>
      </c>
      <c r="S85" s="251">
        <v>0</v>
      </c>
      <c r="T85" s="252">
        <v>0</v>
      </c>
      <c r="U85" s="15">
        <f>U39</f>
        <v>0</v>
      </c>
      <c r="V85" s="251">
        <v>0</v>
      </c>
      <c r="W85" s="251">
        <v>0</v>
      </c>
      <c r="X85" s="251">
        <v>0</v>
      </c>
      <c r="Y85" s="252">
        <v>0</v>
      </c>
      <c r="Z85" s="15">
        <f>Z39</f>
        <v>0</v>
      </c>
      <c r="AA85" s="251">
        <v>0</v>
      </c>
      <c r="AB85" s="251">
        <v>0</v>
      </c>
      <c r="AC85" s="251">
        <v>0</v>
      </c>
      <c r="AD85" s="251">
        <v>0</v>
      </c>
      <c r="AE85" s="15">
        <f>AE39</f>
        <v>0</v>
      </c>
      <c r="AF85" s="250">
        <v>0</v>
      </c>
      <c r="AG85" s="251">
        <v>0</v>
      </c>
      <c r="AH85" s="251">
        <v>0</v>
      </c>
      <c r="AI85" s="251">
        <v>0</v>
      </c>
      <c r="AJ85" s="15">
        <f>AJ39</f>
        <v>0</v>
      </c>
      <c r="AK85" s="250">
        <v>0</v>
      </c>
      <c r="AL85" s="251">
        <v>0</v>
      </c>
      <c r="AM85" s="251">
        <v>0</v>
      </c>
      <c r="AN85" s="252">
        <v>0</v>
      </c>
      <c r="AO85" s="15">
        <f>AO39</f>
        <v>0</v>
      </c>
      <c r="AP85" s="251">
        <v>0</v>
      </c>
      <c r="AQ85" s="251">
        <v>0</v>
      </c>
      <c r="AR85" s="251">
        <v>0</v>
      </c>
      <c r="AS85" s="252">
        <v>0</v>
      </c>
      <c r="AT85" s="15">
        <f>AT39</f>
        <v>0</v>
      </c>
      <c r="AU85" s="251">
        <v>9.08</v>
      </c>
      <c r="AV85" s="251">
        <v>14.563000000000001</v>
      </c>
      <c r="AW85" s="251">
        <v>22.684000000000001</v>
      </c>
      <c r="AX85" s="251">
        <v>33.249000000000002</v>
      </c>
      <c r="AY85" s="15">
        <f>AY39</f>
        <v>33.249000000000002</v>
      </c>
      <c r="AZ85" s="250">
        <v>20.494</v>
      </c>
      <c r="BA85" s="251">
        <v>30.401</v>
      </c>
      <c r="BB85" s="251">
        <v>36.503</v>
      </c>
      <c r="BC85" s="251">
        <v>42.265000000000001</v>
      </c>
      <c r="BD85" s="15">
        <f>BD39</f>
        <v>42.265000000000001</v>
      </c>
      <c r="BE85" s="250">
        <v>4.0419999999999998</v>
      </c>
      <c r="BF85" s="251">
        <v>15.157</v>
      </c>
      <c r="BG85" s="251">
        <v>16.259</v>
      </c>
      <c r="BH85" s="252">
        <v>16.992999999999999</v>
      </c>
      <c r="BI85" s="15">
        <f>BI39</f>
        <v>16.992999999999999</v>
      </c>
      <c r="BJ85" s="61">
        <v>1.819</v>
      </c>
      <c r="BK85" s="61">
        <v>5.1509999999999998</v>
      </c>
      <c r="BL85" s="61">
        <v>12.401</v>
      </c>
      <c r="BM85" s="63">
        <v>31.556000000000001</v>
      </c>
      <c r="BN85" s="15">
        <f>BN39</f>
        <v>31.556000000000001</v>
      </c>
      <c r="BO85" s="61">
        <v>15.753</v>
      </c>
      <c r="BP85" s="61">
        <v>28.411000000000001</v>
      </c>
      <c r="BQ85" s="61">
        <v>59.497</v>
      </c>
      <c r="BR85" s="61">
        <v>71.918999999999997</v>
      </c>
      <c r="BS85" s="15">
        <f>BS39</f>
        <v>71.918999999999997</v>
      </c>
      <c r="BT85" s="62">
        <v>15.792</v>
      </c>
      <c r="BU85" s="61">
        <v>22.041</v>
      </c>
      <c r="BV85" s="61">
        <v>30.966000000000001</v>
      </c>
      <c r="BW85" s="61">
        <v>39.140999999999998</v>
      </c>
      <c r="BX85" s="15">
        <f>BX39</f>
        <v>39.140999999999998</v>
      </c>
      <c r="BY85" s="62">
        <v>12.746</v>
      </c>
      <c r="BZ85" s="61">
        <v>15.853</v>
      </c>
      <c r="CA85" s="61">
        <v>24.96</v>
      </c>
      <c r="CB85" s="88">
        <v>48.372999999999998</v>
      </c>
      <c r="CC85" s="15">
        <f>CC39</f>
        <v>48.372999999999998</v>
      </c>
      <c r="CD85" s="86">
        <v>7.49</v>
      </c>
      <c r="CE85" s="248">
        <v>9.4819999999999993</v>
      </c>
      <c r="CF85" s="248">
        <v>16.45</v>
      </c>
      <c r="CG85" s="440">
        <v>30.581</v>
      </c>
      <c r="CH85" s="15">
        <f>CH39</f>
        <v>30.581000000000003</v>
      </c>
      <c r="CI85" s="442">
        <v>0</v>
      </c>
      <c r="CJ85" s="248">
        <v>12.034000000000001</v>
      </c>
      <c r="CK85" s="248">
        <v>14.547000000000001</v>
      </c>
      <c r="CL85" s="440">
        <v>23.548999999999999</v>
      </c>
      <c r="CM85" s="15">
        <f t="shared" si="269"/>
        <v>23.548999999999999</v>
      </c>
      <c r="CN85" s="442">
        <v>7.5</v>
      </c>
      <c r="CO85" s="248">
        <v>15.3</v>
      </c>
      <c r="CP85" s="248">
        <v>19</v>
      </c>
      <c r="CQ85" s="440">
        <v>33.700000000000003</v>
      </c>
      <c r="CR85" s="352">
        <f t="shared" si="270"/>
        <v>33.700000000000003</v>
      </c>
      <c r="CS85" s="442">
        <v>3.2</v>
      </c>
      <c r="CT85" s="248">
        <v>10.199999999999999</v>
      </c>
      <c r="CU85" s="248">
        <v>19</v>
      </c>
      <c r="CV85" s="249">
        <v>24</v>
      </c>
      <c r="CW85" s="352">
        <f t="shared" si="273"/>
        <v>24</v>
      </c>
      <c r="CX85" s="1076">
        <v>0</v>
      </c>
      <c r="CY85" s="1077">
        <v>0</v>
      </c>
      <c r="CZ85" s="1077">
        <v>0</v>
      </c>
      <c r="DA85" s="1113">
        <v>0</v>
      </c>
      <c r="DB85" s="1038">
        <f t="shared" si="271"/>
        <v>0</v>
      </c>
      <c r="DC85" s="1037">
        <f t="shared" si="274"/>
        <v>0</v>
      </c>
      <c r="DD85" s="1037">
        <f t="shared" si="275"/>
        <v>0</v>
      </c>
      <c r="DE85" s="1037">
        <f t="shared" si="275"/>
        <v>0</v>
      </c>
      <c r="DF85" s="1037">
        <f t="shared" si="275"/>
        <v>0</v>
      </c>
      <c r="DG85" s="1038">
        <f t="shared" si="272"/>
        <v>0</v>
      </c>
      <c r="DH85" s="1037">
        <f t="shared" si="276"/>
        <v>0</v>
      </c>
      <c r="DI85" s="1037">
        <f t="shared" si="277"/>
        <v>0</v>
      </c>
      <c r="DJ85" s="1037">
        <f t="shared" si="277"/>
        <v>0</v>
      </c>
      <c r="DK85" s="1037">
        <f t="shared" si="277"/>
        <v>0</v>
      </c>
      <c r="DL85" s="1038">
        <f t="shared" si="282"/>
        <v>0</v>
      </c>
      <c r="DM85" s="1037">
        <f t="shared" si="278"/>
        <v>0</v>
      </c>
      <c r="DN85" s="1037">
        <f t="shared" si="279"/>
        <v>0</v>
      </c>
      <c r="DO85" s="1037">
        <f t="shared" si="280"/>
        <v>0</v>
      </c>
      <c r="DP85" s="1037">
        <f t="shared" si="281"/>
        <v>0</v>
      </c>
      <c r="DQ85" s="1038">
        <f t="shared" si="283"/>
        <v>0</v>
      </c>
      <c r="DR85" s="61"/>
      <c r="DS85" s="153"/>
      <c r="DT85"/>
      <c r="DU85"/>
      <c r="DV85"/>
      <c r="DW85"/>
      <c r="DX85"/>
      <c r="DY85"/>
    </row>
    <row r="86" spans="1:129" s="155" customFormat="1" hidden="1" outlineLevel="1">
      <c r="A86" s="192"/>
      <c r="B86" s="136"/>
      <c r="C86" s="135" t="s">
        <v>98</v>
      </c>
      <c r="D86" s="135"/>
      <c r="E86" s="135"/>
      <c r="F86" s="135"/>
      <c r="G86" s="62">
        <v>0</v>
      </c>
      <c r="H86" s="61">
        <v>0</v>
      </c>
      <c r="I86" s="61">
        <v>0</v>
      </c>
      <c r="J86" s="63">
        <v>0</v>
      </c>
      <c r="K86" s="14">
        <f>K40</f>
        <v>0</v>
      </c>
      <c r="L86" s="62">
        <v>0</v>
      </c>
      <c r="M86" s="61">
        <v>0</v>
      </c>
      <c r="N86" s="61">
        <v>0</v>
      </c>
      <c r="O86" s="61">
        <v>0</v>
      </c>
      <c r="P86" s="15">
        <f>P40</f>
        <v>0</v>
      </c>
      <c r="Q86" s="250">
        <v>0</v>
      </c>
      <c r="R86" s="251">
        <v>0</v>
      </c>
      <c r="S86" s="251">
        <v>0</v>
      </c>
      <c r="T86" s="252">
        <v>0</v>
      </c>
      <c r="U86" s="15">
        <f>U40</f>
        <v>0</v>
      </c>
      <c r="V86" s="251">
        <v>0</v>
      </c>
      <c r="W86" s="251">
        <v>0</v>
      </c>
      <c r="X86" s="251">
        <v>0</v>
      </c>
      <c r="Y86" s="252">
        <v>0</v>
      </c>
      <c r="Z86" s="15">
        <f>Z40</f>
        <v>0</v>
      </c>
      <c r="AA86" s="251">
        <v>0</v>
      </c>
      <c r="AB86" s="251">
        <v>0</v>
      </c>
      <c r="AC86" s="251">
        <v>0</v>
      </c>
      <c r="AD86" s="252">
        <v>0</v>
      </c>
      <c r="AE86" s="15">
        <f>AE40</f>
        <v>0</v>
      </c>
      <c r="AF86" s="251">
        <v>0</v>
      </c>
      <c r="AG86" s="251">
        <v>0</v>
      </c>
      <c r="AH86" s="251">
        <v>0</v>
      </c>
      <c r="AI86" s="252">
        <v>0</v>
      </c>
      <c r="AJ86" s="15">
        <f>AJ40</f>
        <v>0</v>
      </c>
      <c r="AK86" s="251">
        <v>0</v>
      </c>
      <c r="AL86" s="251">
        <v>0</v>
      </c>
      <c r="AM86" s="251">
        <v>0</v>
      </c>
      <c r="AN86" s="252">
        <v>0</v>
      </c>
      <c r="AO86" s="15">
        <f>AO40</f>
        <v>0</v>
      </c>
      <c r="AP86" s="251">
        <v>0</v>
      </c>
      <c r="AQ86" s="251">
        <v>0</v>
      </c>
      <c r="AR86" s="251">
        <v>0</v>
      </c>
      <c r="AS86" s="252">
        <v>0</v>
      </c>
      <c r="AT86" s="15">
        <f>AT40</f>
        <v>0</v>
      </c>
      <c r="AU86" s="251">
        <v>0</v>
      </c>
      <c r="AV86" s="251">
        <v>0</v>
      </c>
      <c r="AW86" s="251">
        <v>0</v>
      </c>
      <c r="AX86" s="251">
        <v>0</v>
      </c>
      <c r="AY86" s="15">
        <f>AY40</f>
        <v>0</v>
      </c>
      <c r="AZ86" s="250">
        <v>0</v>
      </c>
      <c r="BA86" s="251">
        <v>0</v>
      </c>
      <c r="BB86" s="251">
        <v>0</v>
      </c>
      <c r="BC86" s="251">
        <v>-105.36</v>
      </c>
      <c r="BD86" s="15">
        <f>BD40</f>
        <v>-105.36</v>
      </c>
      <c r="BE86" s="250">
        <v>0</v>
      </c>
      <c r="BF86" s="251">
        <v>0</v>
      </c>
      <c r="BG86" s="251">
        <v>-27.835000000000001</v>
      </c>
      <c r="BH86" s="252">
        <v>-27.835000000000001</v>
      </c>
      <c r="BI86" s="15">
        <f>BI40</f>
        <v>-27.835000000000001</v>
      </c>
      <c r="BJ86" s="61">
        <v>-12.882</v>
      </c>
      <c r="BK86" s="61">
        <v>-13.465</v>
      </c>
      <c r="BL86" s="61">
        <v>-14.564</v>
      </c>
      <c r="BM86" s="63">
        <v>-16.259</v>
      </c>
      <c r="BN86" s="15">
        <f>BN40</f>
        <v>-16.259</v>
      </c>
      <c r="BO86" s="61">
        <v>-2.3149999999999999</v>
      </c>
      <c r="BP86" s="61">
        <v>-4.9009999999999998</v>
      </c>
      <c r="BQ86" s="61">
        <v>-12.096</v>
      </c>
      <c r="BR86" s="61">
        <v>-59</v>
      </c>
      <c r="BS86" s="15">
        <f>BS40</f>
        <v>-59</v>
      </c>
      <c r="BT86" s="62">
        <v>-88.266000000000005</v>
      </c>
      <c r="BU86" s="61">
        <v>-192.13</v>
      </c>
      <c r="BV86" s="61">
        <v>-364.97399999999999</v>
      </c>
      <c r="BW86" s="61">
        <v>-374.14699999999999</v>
      </c>
      <c r="BX86" s="15">
        <f>BX40</f>
        <v>-374.14699999999999</v>
      </c>
      <c r="BY86" s="62">
        <v>-48.981999999999999</v>
      </c>
      <c r="BZ86" s="61">
        <v>-418.78300000000002</v>
      </c>
      <c r="CA86" s="61">
        <v>-483.89499999999998</v>
      </c>
      <c r="CB86" s="88">
        <v>-520.84500000000003</v>
      </c>
      <c r="CC86" s="15">
        <f>CC40</f>
        <v>-520.84500000000003</v>
      </c>
      <c r="CD86" s="86">
        <v>-22.553999999999998</v>
      </c>
      <c r="CE86" s="248">
        <v>-147.40899999999999</v>
      </c>
      <c r="CF86" s="248">
        <v>-154.33600000000001</v>
      </c>
      <c r="CG86" s="440">
        <v>-179.00399999999999</v>
      </c>
      <c r="CH86" s="15">
        <f>CH40</f>
        <v>-179.00399999999999</v>
      </c>
      <c r="CI86" s="442">
        <v>-29.3</v>
      </c>
      <c r="CJ86" s="248">
        <v>-161.86099999999999</v>
      </c>
      <c r="CK86" s="248">
        <v>-171.28800000000001</v>
      </c>
      <c r="CL86" s="440">
        <v>-248.31700000000001</v>
      </c>
      <c r="CM86" s="15">
        <f t="shared" si="269"/>
        <v>-248.31700000000001</v>
      </c>
      <c r="CN86" s="442">
        <v>-38.4</v>
      </c>
      <c r="CO86" s="248">
        <v>-214</v>
      </c>
      <c r="CP86" s="248">
        <v>-383.2</v>
      </c>
      <c r="CQ86" s="440">
        <v>-460</v>
      </c>
      <c r="CR86" s="352">
        <f t="shared" si="270"/>
        <v>-460</v>
      </c>
      <c r="CS86" s="442">
        <v>-257.39999999999998</v>
      </c>
      <c r="CT86" s="248">
        <v>-335.1</v>
      </c>
      <c r="CU86" s="248">
        <v>-492.2</v>
      </c>
      <c r="CV86" s="249">
        <v>-512</v>
      </c>
      <c r="CW86" s="352">
        <f t="shared" si="273"/>
        <v>-512</v>
      </c>
      <c r="CX86" s="1078">
        <v>-1514</v>
      </c>
      <c r="CY86" s="1077">
        <v>-1544</v>
      </c>
      <c r="CZ86" s="1077">
        <v>-1557</v>
      </c>
      <c r="DA86" s="1113">
        <v>-1889</v>
      </c>
      <c r="DB86" s="1038">
        <f t="shared" si="271"/>
        <v>-1889</v>
      </c>
      <c r="DC86" s="1037">
        <f t="shared" si="274"/>
        <v>-225</v>
      </c>
      <c r="DD86" s="1037">
        <f t="shared" si="275"/>
        <v>-450</v>
      </c>
      <c r="DE86" s="1037">
        <f t="shared" si="275"/>
        <v>-675</v>
      </c>
      <c r="DF86" s="1037">
        <f t="shared" si="275"/>
        <v>-900</v>
      </c>
      <c r="DG86" s="1038">
        <f t="shared" si="272"/>
        <v>-900</v>
      </c>
      <c r="DH86" s="1037">
        <f t="shared" si="276"/>
        <v>-300</v>
      </c>
      <c r="DI86" s="1037">
        <f t="shared" si="277"/>
        <v>-600</v>
      </c>
      <c r="DJ86" s="1037">
        <f t="shared" si="277"/>
        <v>-900</v>
      </c>
      <c r="DK86" s="1037">
        <f t="shared" si="277"/>
        <v>-1200</v>
      </c>
      <c r="DL86" s="1038">
        <f t="shared" si="282"/>
        <v>-1200</v>
      </c>
      <c r="DM86" s="1037">
        <f t="shared" si="278"/>
        <v>-300</v>
      </c>
      <c r="DN86" s="1037">
        <f t="shared" si="279"/>
        <v>-600</v>
      </c>
      <c r="DO86" s="1037">
        <f t="shared" si="280"/>
        <v>-900</v>
      </c>
      <c r="DP86" s="1037">
        <f t="shared" si="281"/>
        <v>-1200</v>
      </c>
      <c r="DQ86" s="1038">
        <f t="shared" si="283"/>
        <v>-1200</v>
      </c>
      <c r="DR86" s="61"/>
      <c r="DS86" s="153"/>
      <c r="DT86"/>
      <c r="DU86"/>
      <c r="DV86"/>
      <c r="DW86"/>
      <c r="DX86"/>
      <c r="DY86"/>
    </row>
    <row r="87" spans="1:129" s="155" customFormat="1" hidden="1" outlineLevel="1">
      <c r="A87" s="192"/>
      <c r="B87" s="136"/>
      <c r="C87" s="185" t="s">
        <v>281</v>
      </c>
      <c r="D87" s="135"/>
      <c r="E87" s="135"/>
      <c r="F87" s="135"/>
      <c r="G87" s="62"/>
      <c r="H87" s="61"/>
      <c r="I87" s="61"/>
      <c r="J87" s="63"/>
      <c r="K87" s="14"/>
      <c r="L87" s="62"/>
      <c r="M87" s="61"/>
      <c r="N87" s="61"/>
      <c r="O87" s="61"/>
      <c r="P87" s="15"/>
      <c r="Q87" s="250"/>
      <c r="R87" s="251"/>
      <c r="S87" s="251"/>
      <c r="T87" s="252"/>
      <c r="U87" s="15"/>
      <c r="V87" s="251"/>
      <c r="W87" s="251"/>
      <c r="X87" s="251"/>
      <c r="Y87" s="252"/>
      <c r="Z87" s="15"/>
      <c r="AA87" s="251"/>
      <c r="AB87" s="251"/>
      <c r="AC87" s="251"/>
      <c r="AD87" s="252"/>
      <c r="AE87" s="15"/>
      <c r="AF87" s="251"/>
      <c r="AG87" s="251"/>
      <c r="AH87" s="251"/>
      <c r="AI87" s="252"/>
      <c r="AJ87" s="15"/>
      <c r="AK87" s="251"/>
      <c r="AL87" s="251"/>
      <c r="AM87" s="251"/>
      <c r="AN87" s="252"/>
      <c r="AO87" s="15"/>
      <c r="AP87" s="251"/>
      <c r="AQ87" s="251"/>
      <c r="AR87" s="251"/>
      <c r="AS87" s="252"/>
      <c r="AT87" s="15"/>
      <c r="AU87" s="251"/>
      <c r="AV87" s="251"/>
      <c r="AW87" s="251"/>
      <c r="AX87" s="251"/>
      <c r="AY87" s="15"/>
      <c r="AZ87" s="250"/>
      <c r="BA87" s="251"/>
      <c r="BB87" s="251"/>
      <c r="BC87" s="251"/>
      <c r="BD87" s="15"/>
      <c r="BE87" s="250"/>
      <c r="BF87" s="251"/>
      <c r="BG87" s="251"/>
      <c r="BH87" s="251"/>
      <c r="BI87" s="15"/>
      <c r="BJ87" s="61"/>
      <c r="BK87" s="61"/>
      <c r="BL87" s="61"/>
      <c r="BM87" s="61"/>
      <c r="BN87" s="15"/>
      <c r="BO87" s="61"/>
      <c r="BP87" s="61"/>
      <c r="BQ87" s="61"/>
      <c r="BR87" s="61"/>
      <c r="BS87" s="15"/>
      <c r="BT87" s="62"/>
      <c r="BU87" s="61"/>
      <c r="BV87" s="61"/>
      <c r="BW87" s="61"/>
      <c r="BX87" s="15"/>
      <c r="BY87" s="62"/>
      <c r="BZ87" s="61"/>
      <c r="CA87" s="61"/>
      <c r="CB87" s="88"/>
      <c r="CC87" s="15"/>
      <c r="CD87" s="86"/>
      <c r="CE87" s="248"/>
      <c r="CF87" s="248"/>
      <c r="CG87" s="440"/>
      <c r="CH87" s="15"/>
      <c r="CI87" s="442"/>
      <c r="CJ87" s="248"/>
      <c r="CK87" s="248"/>
      <c r="CL87" s="440">
        <f>1650-14.184</f>
        <v>1635.816</v>
      </c>
      <c r="CM87" s="15">
        <f t="shared" si="269"/>
        <v>1635.816</v>
      </c>
      <c r="CN87" s="442">
        <v>-563.1</v>
      </c>
      <c r="CO87" s="248">
        <f>-26.2-550</f>
        <v>-576.20000000000005</v>
      </c>
      <c r="CP87" s="248">
        <f>-39.6-650</f>
        <v>-689.6</v>
      </c>
      <c r="CQ87" s="440">
        <f>-53.4-300</f>
        <v>-353.4</v>
      </c>
      <c r="CR87" s="352">
        <f t="shared" si="270"/>
        <v>-353.4</v>
      </c>
      <c r="CS87" s="442">
        <f>-250-13</f>
        <v>-263</v>
      </c>
      <c r="CT87" s="248">
        <f>-26.5-350</f>
        <v>-376.5</v>
      </c>
      <c r="CU87" s="248">
        <f>-41-350</f>
        <v>-391</v>
      </c>
      <c r="CV87" s="249">
        <f>-350-57</f>
        <v>-407</v>
      </c>
      <c r="CW87" s="352">
        <f t="shared" si="273"/>
        <v>-407</v>
      </c>
      <c r="CX87" s="1078">
        <f>-21+350</f>
        <v>329</v>
      </c>
      <c r="CY87" s="1077">
        <f>-42+150</f>
        <v>108</v>
      </c>
      <c r="CZ87" s="1077">
        <v>-62</v>
      </c>
      <c r="DA87" s="1113">
        <v>-20</v>
      </c>
      <c r="DB87" s="1038">
        <f t="shared" si="271"/>
        <v>-20</v>
      </c>
      <c r="DC87" s="1037">
        <f t="shared" si="274"/>
        <v>0</v>
      </c>
      <c r="DD87" s="1037">
        <f t="shared" si="275"/>
        <v>0</v>
      </c>
      <c r="DE87" s="1037">
        <f t="shared" si="275"/>
        <v>0</v>
      </c>
      <c r="DF87" s="1037">
        <f t="shared" si="275"/>
        <v>0</v>
      </c>
      <c r="DG87" s="1038">
        <f t="shared" si="272"/>
        <v>0</v>
      </c>
      <c r="DH87" s="1037">
        <f t="shared" si="276"/>
        <v>0</v>
      </c>
      <c r="DI87" s="1037">
        <f t="shared" si="277"/>
        <v>0</v>
      </c>
      <c r="DJ87" s="1037">
        <f t="shared" si="277"/>
        <v>0</v>
      </c>
      <c r="DK87" s="1037">
        <f t="shared" si="277"/>
        <v>0</v>
      </c>
      <c r="DL87" s="1038">
        <f t="shared" si="282"/>
        <v>0</v>
      </c>
      <c r="DM87" s="1037">
        <f t="shared" si="278"/>
        <v>0</v>
      </c>
      <c r="DN87" s="1037">
        <f t="shared" si="279"/>
        <v>0</v>
      </c>
      <c r="DO87" s="1037">
        <f t="shared" si="280"/>
        <v>0</v>
      </c>
      <c r="DP87" s="1037">
        <f t="shared" si="281"/>
        <v>0</v>
      </c>
      <c r="DQ87" s="1038">
        <f t="shared" si="283"/>
        <v>0</v>
      </c>
      <c r="DR87" s="61"/>
      <c r="DS87" s="153"/>
      <c r="DT87"/>
      <c r="DU87"/>
      <c r="DV87"/>
      <c r="DW87"/>
      <c r="DX87"/>
      <c r="DY87"/>
    </row>
    <row r="88" spans="1:129" s="155" customFormat="1" hidden="1" outlineLevel="1">
      <c r="A88" s="192"/>
      <c r="B88" s="136"/>
      <c r="C88" s="135" t="s">
        <v>7</v>
      </c>
      <c r="D88" s="135"/>
      <c r="E88" s="135"/>
      <c r="F88" s="135"/>
      <c r="G88" s="62">
        <v>-0.17199999999999999</v>
      </c>
      <c r="H88" s="61">
        <v>-6.6230000000000002</v>
      </c>
      <c r="I88" s="61">
        <v>-6.6459999999999999</v>
      </c>
      <c r="J88" s="63">
        <f>-6.637-0.843</f>
        <v>-7.4799999999999995</v>
      </c>
      <c r="K88" s="14">
        <f>K42</f>
        <v>-7.4799999999999995</v>
      </c>
      <c r="L88" s="62">
        <v>-2.1000000000000001E-2</v>
      </c>
      <c r="M88" s="61">
        <v>-7.0000000000000001E-3</v>
      </c>
      <c r="N88" s="61">
        <v>-8.9999999999999993E-3</v>
      </c>
      <c r="O88" s="61">
        <f>0.172-0.024</f>
        <v>0.14799999999999999</v>
      </c>
      <c r="P88" s="15">
        <f>P42</f>
        <v>0.14799999999999996</v>
      </c>
      <c r="Q88" s="250">
        <v>8.0000000000000002E-3</v>
      </c>
      <c r="R88" s="251">
        <v>0</v>
      </c>
      <c r="S88" s="251">
        <v>0</v>
      </c>
      <c r="T88" s="252">
        <f>0.008+0.035</f>
        <v>4.3000000000000003E-2</v>
      </c>
      <c r="U88" s="15">
        <f>U42</f>
        <v>4.3000000000000003E-2</v>
      </c>
      <c r="V88" s="251">
        <v>0</v>
      </c>
      <c r="W88" s="251">
        <v>2.1999999999999999E-2</v>
      </c>
      <c r="X88" s="251">
        <v>8.0000000000000002E-3</v>
      </c>
      <c r="Y88" s="252">
        <v>-8.0000000000000002E-3</v>
      </c>
      <c r="Z88" s="15">
        <f>Z42</f>
        <v>-8.0000000000000002E-3</v>
      </c>
      <c r="AA88" s="251">
        <v>0</v>
      </c>
      <c r="AB88" s="251">
        <v>0</v>
      </c>
      <c r="AC88" s="251">
        <v>0</v>
      </c>
      <c r="AD88" s="252">
        <v>0</v>
      </c>
      <c r="AE88" s="15">
        <f>AE42</f>
        <v>0</v>
      </c>
      <c r="AF88" s="251">
        <v>-3.05</v>
      </c>
      <c r="AG88" s="251">
        <v>-2.9630000000000001</v>
      </c>
      <c r="AH88" s="251">
        <v>-2.9630000000000001</v>
      </c>
      <c r="AI88" s="252">
        <f>-2.963+0.488</f>
        <v>-2.4750000000000001</v>
      </c>
      <c r="AJ88" s="15">
        <f>AJ42</f>
        <v>-2.4750000000000001</v>
      </c>
      <c r="AK88" s="251">
        <v>0</v>
      </c>
      <c r="AL88" s="251">
        <v>0</v>
      </c>
      <c r="AM88" s="251">
        <v>0</v>
      </c>
      <c r="AN88" s="252">
        <v>0</v>
      </c>
      <c r="AO88" s="15">
        <f>AO42</f>
        <v>0</v>
      </c>
      <c r="AP88" s="251">
        <v>0</v>
      </c>
      <c r="AQ88" s="251">
        <v>0</v>
      </c>
      <c r="AR88" s="251">
        <v>0</v>
      </c>
      <c r="AS88" s="252">
        <v>0</v>
      </c>
      <c r="AT88" s="15">
        <f>AT42</f>
        <v>0</v>
      </c>
      <c r="AU88" s="251">
        <v>0</v>
      </c>
      <c r="AV88" s="251">
        <v>0</v>
      </c>
      <c r="AW88" s="251">
        <v>-1.7250000000000001</v>
      </c>
      <c r="AX88" s="251">
        <v>-1.754</v>
      </c>
      <c r="AY88" s="15">
        <f>AY42</f>
        <v>-1.754</v>
      </c>
      <c r="AZ88" s="62">
        <v>0</v>
      </c>
      <c r="BA88" s="61">
        <v>0</v>
      </c>
      <c r="BB88" s="61">
        <v>0</v>
      </c>
      <c r="BC88" s="61">
        <v>0</v>
      </c>
      <c r="BD88" s="15">
        <f>BD42</f>
        <v>0</v>
      </c>
      <c r="BE88" s="62">
        <v>0</v>
      </c>
      <c r="BF88" s="61">
        <v>0</v>
      </c>
      <c r="BG88" s="61">
        <v>0</v>
      </c>
      <c r="BH88" s="61">
        <v>0</v>
      </c>
      <c r="BI88" s="15">
        <f>BI42</f>
        <v>0</v>
      </c>
      <c r="BJ88" s="62">
        <v>0</v>
      </c>
      <c r="BK88" s="61">
        <v>0</v>
      </c>
      <c r="BL88" s="61">
        <v>0</v>
      </c>
      <c r="BM88" s="61">
        <v>0</v>
      </c>
      <c r="BN88" s="15">
        <f>BN42</f>
        <v>0</v>
      </c>
      <c r="BO88" s="62">
        <v>0</v>
      </c>
      <c r="BP88" s="61">
        <v>0</v>
      </c>
      <c r="BQ88" s="61">
        <v>0</v>
      </c>
      <c r="BR88" s="61">
        <v>0</v>
      </c>
      <c r="BS88" s="15">
        <f>BS42</f>
        <v>0</v>
      </c>
      <c r="BT88" s="62">
        <v>0</v>
      </c>
      <c r="BU88" s="61">
        <v>0</v>
      </c>
      <c r="BV88" s="61">
        <v>0</v>
      </c>
      <c r="BW88" s="61">
        <v>0</v>
      </c>
      <c r="BX88" s="15">
        <f>BX42</f>
        <v>0</v>
      </c>
      <c r="BY88" s="62">
        <v>0</v>
      </c>
      <c r="BZ88" s="61">
        <v>0</v>
      </c>
      <c r="CA88" s="61">
        <v>0</v>
      </c>
      <c r="CB88" s="88">
        <v>0</v>
      </c>
      <c r="CC88" s="15">
        <f>CC42</f>
        <v>0</v>
      </c>
      <c r="CD88" s="86">
        <v>0</v>
      </c>
      <c r="CE88" s="248">
        <v>0</v>
      </c>
      <c r="CF88" s="248">
        <v>0</v>
      </c>
      <c r="CG88" s="440">
        <v>0</v>
      </c>
      <c r="CH88" s="15">
        <f>CH42</f>
        <v>0</v>
      </c>
      <c r="CI88" s="442">
        <v>0</v>
      </c>
      <c r="CJ88" s="248">
        <v>0</v>
      </c>
      <c r="CK88" s="248">
        <v>-1.5</v>
      </c>
      <c r="CL88" s="440">
        <v>-9.093</v>
      </c>
      <c r="CM88" s="15">
        <f t="shared" si="269"/>
        <v>-9.093</v>
      </c>
      <c r="CN88" s="442">
        <v>-4.9000000000432919E-2</v>
      </c>
      <c r="CO88" s="248">
        <v>-4.9000000000432919E-2</v>
      </c>
      <c r="CP88" s="248">
        <v>-4.9000000000432919E-2</v>
      </c>
      <c r="CQ88" s="440">
        <v>-4.89999999999782E-2</v>
      </c>
      <c r="CR88" s="352">
        <f t="shared" si="270"/>
        <v>-4.89999999999782E-2</v>
      </c>
      <c r="CS88" s="442">
        <v>0</v>
      </c>
      <c r="CT88" s="248">
        <v>0</v>
      </c>
      <c r="CU88" s="248">
        <v>0</v>
      </c>
      <c r="CV88" s="249">
        <v>0</v>
      </c>
      <c r="CW88" s="352">
        <f t="shared" si="273"/>
        <v>0</v>
      </c>
      <c r="CX88" s="1078">
        <v>0</v>
      </c>
      <c r="CY88" s="1077">
        <v>-89</v>
      </c>
      <c r="CZ88" s="1077">
        <v>-179</v>
      </c>
      <c r="DA88" s="1113">
        <v>-265</v>
      </c>
      <c r="DB88" s="1038">
        <f t="shared" si="271"/>
        <v>-265</v>
      </c>
      <c r="DC88" s="1037">
        <f t="shared" si="274"/>
        <v>-117.47026510101298</v>
      </c>
      <c r="DD88" s="1037">
        <f t="shared" si="275"/>
        <v>-234.62263235699507</v>
      </c>
      <c r="DE88" s="1037">
        <f t="shared" si="275"/>
        <v>-351.46870672280522</v>
      </c>
      <c r="DF88" s="1037">
        <f t="shared" si="275"/>
        <v>-468.01986560516792</v>
      </c>
      <c r="DG88" s="1038">
        <f t="shared" si="272"/>
        <v>-468.01986560516792</v>
      </c>
      <c r="DH88" s="1037">
        <f t="shared" si="276"/>
        <v>-116.08149238059828</v>
      </c>
      <c r="DI88" s="1037">
        <f t="shared" si="277"/>
        <v>-231.70789907030547</v>
      </c>
      <c r="DJ88" s="1037">
        <f t="shared" si="277"/>
        <v>-346.89351498174256</v>
      </c>
      <c r="DK88" s="1037">
        <f t="shared" si="277"/>
        <v>-461.6523547351261</v>
      </c>
      <c r="DL88" s="1038">
        <f t="shared" si="282"/>
        <v>-461.6523547351261</v>
      </c>
      <c r="DM88" s="1037">
        <f t="shared" si="278"/>
        <v>-114.34580341907173</v>
      </c>
      <c r="DN88" s="1037">
        <f t="shared" si="279"/>
        <v>-228.29204091926474</v>
      </c>
      <c r="DO88" s="1037">
        <f t="shared" si="280"/>
        <v>-341.85191879021932</v>
      </c>
      <c r="DP88" s="1037">
        <f t="shared" si="281"/>
        <v>-455.03838437472007</v>
      </c>
      <c r="DQ88" s="1038">
        <f t="shared" si="283"/>
        <v>-455.03838437472007</v>
      </c>
      <c r="DR88" s="61"/>
      <c r="DS88" s="153"/>
      <c r="DT88"/>
      <c r="DU88"/>
      <c r="DV88"/>
      <c r="DW88"/>
      <c r="DX88"/>
      <c r="DY88"/>
    </row>
    <row r="89" spans="1:129" s="202" customFormat="1" hidden="1" outlineLevel="1">
      <c r="A89" s="200"/>
      <c r="B89" s="169" t="s">
        <v>99</v>
      </c>
      <c r="C89" s="191"/>
      <c r="D89" s="191"/>
      <c r="E89" s="191"/>
      <c r="F89" s="191"/>
      <c r="G89" s="39">
        <f t="shared" ref="G89:AS89" si="284">SUM(G82:G88)</f>
        <v>-0.22999999999999998</v>
      </c>
      <c r="H89" s="40">
        <f t="shared" si="284"/>
        <v>15.908999999999999</v>
      </c>
      <c r="I89" s="40">
        <f t="shared" si="284"/>
        <v>15.899999999999999</v>
      </c>
      <c r="J89" s="41">
        <f t="shared" si="284"/>
        <v>16.097000000000001</v>
      </c>
      <c r="K89" s="195">
        <f>K43</f>
        <v>16.097000000000001</v>
      </c>
      <c r="L89" s="39">
        <f t="shared" si="284"/>
        <v>7.4999999999999997E-2</v>
      </c>
      <c r="M89" s="40">
        <f t="shared" si="284"/>
        <v>0.216</v>
      </c>
      <c r="N89" s="40">
        <f t="shared" si="284"/>
        <v>0.248</v>
      </c>
      <c r="O89" s="40">
        <f t="shared" si="284"/>
        <v>0.69900000000000007</v>
      </c>
      <c r="P89" s="194">
        <f>P43</f>
        <v>0.69900000000000007</v>
      </c>
      <c r="Q89" s="78">
        <f t="shared" si="284"/>
        <v>0.35899999999999999</v>
      </c>
      <c r="R89" s="77">
        <f t="shared" si="284"/>
        <v>0.91700000000000004</v>
      </c>
      <c r="S89" s="77">
        <f t="shared" si="284"/>
        <v>1.357</v>
      </c>
      <c r="T89" s="79">
        <f t="shared" si="284"/>
        <v>1.7629999999999999</v>
      </c>
      <c r="U89" s="194">
        <f>U43</f>
        <v>1.7629999999999999</v>
      </c>
      <c r="V89" s="77">
        <f t="shared" si="284"/>
        <v>0.75600000000000001</v>
      </c>
      <c r="W89" s="77">
        <f t="shared" si="284"/>
        <v>3.1349999999999998</v>
      </c>
      <c r="X89" s="77">
        <f t="shared" si="284"/>
        <v>4.8259999999999996</v>
      </c>
      <c r="Y89" s="79">
        <f t="shared" si="284"/>
        <v>5.9829999999999997</v>
      </c>
      <c r="Z89" s="194">
        <f>Z43</f>
        <v>5.9829999999999988</v>
      </c>
      <c r="AA89" s="77">
        <f t="shared" si="284"/>
        <v>0.67400000000000004</v>
      </c>
      <c r="AB89" s="77">
        <f t="shared" si="284"/>
        <v>5.9790000000000001</v>
      </c>
      <c r="AC89" s="77">
        <f t="shared" si="284"/>
        <v>12.96</v>
      </c>
      <c r="AD89" s="79">
        <f t="shared" si="284"/>
        <v>20.042999999999999</v>
      </c>
      <c r="AE89" s="194">
        <f>AE43</f>
        <v>20.042999999999999</v>
      </c>
      <c r="AF89" s="77">
        <f t="shared" si="284"/>
        <v>-0.22699999999999987</v>
      </c>
      <c r="AG89" s="77">
        <f t="shared" si="284"/>
        <v>5.9159999999999995</v>
      </c>
      <c r="AH89" s="77">
        <f t="shared" si="284"/>
        <v>15.233999999999998</v>
      </c>
      <c r="AI89" s="79">
        <f t="shared" si="284"/>
        <v>21.776999999999997</v>
      </c>
      <c r="AJ89" s="194">
        <f>AJ43</f>
        <v>21.776999999999997</v>
      </c>
      <c r="AK89" s="77">
        <f t="shared" si="284"/>
        <v>4.5430000000000001</v>
      </c>
      <c r="AL89" s="77">
        <f t="shared" si="284"/>
        <v>12.895</v>
      </c>
      <c r="AM89" s="77">
        <f t="shared" si="284"/>
        <v>23.699000000000002</v>
      </c>
      <c r="AN89" s="79">
        <f t="shared" si="284"/>
        <v>36.768000000000001</v>
      </c>
      <c r="AO89" s="194">
        <f>AO43</f>
        <v>36.768000000000001</v>
      </c>
      <c r="AP89" s="77">
        <f t="shared" si="284"/>
        <v>11.182</v>
      </c>
      <c r="AQ89" s="77">
        <f t="shared" si="284"/>
        <v>23.010999999999999</v>
      </c>
      <c r="AR89" s="77">
        <f t="shared" si="284"/>
        <v>34.487000000000002</v>
      </c>
      <c r="AS89" s="79">
        <f t="shared" si="284"/>
        <v>47.451000000000001</v>
      </c>
      <c r="AT89" s="194">
        <f>AT43</f>
        <v>47.451000000000001</v>
      </c>
      <c r="AU89" s="77">
        <f t="shared" ref="AU89:CG89" si="285">SUM(AU82:AU88)</f>
        <v>22.667000000000002</v>
      </c>
      <c r="AV89" s="77">
        <f t="shared" si="285"/>
        <v>37.435000000000002</v>
      </c>
      <c r="AW89" s="77">
        <f t="shared" si="285"/>
        <v>58.395000000000003</v>
      </c>
      <c r="AX89" s="77">
        <f t="shared" si="285"/>
        <v>82.894999999999996</v>
      </c>
      <c r="AY89" s="194">
        <f>AY43</f>
        <v>82.894999999999996</v>
      </c>
      <c r="AZ89" s="78">
        <f t="shared" si="285"/>
        <v>40.6</v>
      </c>
      <c r="BA89" s="77">
        <f t="shared" si="285"/>
        <v>66.388999999999996</v>
      </c>
      <c r="BB89" s="77">
        <f t="shared" si="285"/>
        <v>84.325000000000003</v>
      </c>
      <c r="BC89" s="77">
        <f t="shared" si="285"/>
        <v>4.0079999999999956</v>
      </c>
      <c r="BD89" s="194">
        <f>BD43</f>
        <v>4.0079999999999956</v>
      </c>
      <c r="BE89" s="78">
        <f t="shared" si="285"/>
        <v>16.875999999999998</v>
      </c>
      <c r="BF89" s="77">
        <f t="shared" si="285"/>
        <v>55.448999999999998</v>
      </c>
      <c r="BG89" s="77">
        <f t="shared" si="285"/>
        <v>37.237000000000002</v>
      </c>
      <c r="BH89" s="79">
        <f t="shared" si="285"/>
        <v>44.033999999999999</v>
      </c>
      <c r="BI89" s="194">
        <f>BI43</f>
        <v>44.033999999999992</v>
      </c>
      <c r="BJ89" s="40">
        <f t="shared" si="285"/>
        <v>-2.2990000000000013</v>
      </c>
      <c r="BK89" s="40">
        <f t="shared" si="285"/>
        <v>10.132999999999999</v>
      </c>
      <c r="BL89" s="40">
        <f t="shared" si="285"/>
        <v>31.597000000000001</v>
      </c>
      <c r="BM89" s="41">
        <f t="shared" si="285"/>
        <v>76.948000000000008</v>
      </c>
      <c r="BN89" s="194">
        <f>BN43</f>
        <v>76.948000000000008</v>
      </c>
      <c r="BO89" s="40">
        <f t="shared" si="285"/>
        <v>43.541000000000004</v>
      </c>
      <c r="BP89" s="40">
        <f t="shared" si="285"/>
        <v>73.445000000000007</v>
      </c>
      <c r="BQ89" s="40">
        <f t="shared" si="285"/>
        <v>134.471</v>
      </c>
      <c r="BR89" s="40">
        <f t="shared" si="285"/>
        <v>120.00299999999999</v>
      </c>
      <c r="BS89" s="194">
        <f>BS43</f>
        <v>120.00300000000001</v>
      </c>
      <c r="BT89" s="39">
        <f t="shared" si="285"/>
        <v>-49.044000000000004</v>
      </c>
      <c r="BU89" s="40">
        <f t="shared" si="285"/>
        <v>-129.80700000000002</v>
      </c>
      <c r="BV89" s="40">
        <f t="shared" si="285"/>
        <v>-276.73099999999999</v>
      </c>
      <c r="BW89" s="40">
        <f t="shared" si="285"/>
        <v>-255.45499999999998</v>
      </c>
      <c r="BX89" s="194">
        <f>BX43</f>
        <v>-255.45499999999998</v>
      </c>
      <c r="BY89" s="39">
        <f t="shared" si="285"/>
        <v>7.1170000000000044</v>
      </c>
      <c r="BZ89" s="40">
        <f t="shared" si="285"/>
        <v>-341.40300000000002</v>
      </c>
      <c r="CA89" s="40">
        <f t="shared" si="285"/>
        <v>-367.05200000000002</v>
      </c>
      <c r="CB89" s="41">
        <f t="shared" si="285"/>
        <v>-342.98800000000006</v>
      </c>
      <c r="CC89" s="194">
        <f>CC43</f>
        <v>-342.988</v>
      </c>
      <c r="CD89" s="39">
        <f t="shared" si="285"/>
        <v>16.931999999999999</v>
      </c>
      <c r="CE89" s="40">
        <f t="shared" si="285"/>
        <v>-89.381</v>
      </c>
      <c r="CF89" s="40">
        <f t="shared" si="285"/>
        <v>-61.049000000000007</v>
      </c>
      <c r="CG89" s="79">
        <f t="shared" si="285"/>
        <v>-30.86699999999999</v>
      </c>
      <c r="CH89" s="194">
        <f>CH43</f>
        <v>-30.866999999999994</v>
      </c>
      <c r="CI89" s="195">
        <f t="shared" ref="CI89:DK89" si="286">SUM(CI82:CI88)</f>
        <v>-7</v>
      </c>
      <c r="CJ89" s="40">
        <f t="shared" si="286"/>
        <v>-99.988</v>
      </c>
      <c r="CK89" s="40">
        <f t="shared" si="286"/>
        <v>-108.38800000000001</v>
      </c>
      <c r="CL89" s="79">
        <f t="shared" si="286"/>
        <v>1503.4099999999999</v>
      </c>
      <c r="CM89" s="194">
        <f t="shared" si="269"/>
        <v>1503.41</v>
      </c>
      <c r="CN89" s="195">
        <f t="shared" si="286"/>
        <v>-557.3490000000005</v>
      </c>
      <c r="CO89" s="40">
        <f t="shared" si="286"/>
        <v>-706.44900000000052</v>
      </c>
      <c r="CP89" s="40">
        <f t="shared" si="286"/>
        <v>-954.94900000000041</v>
      </c>
      <c r="CQ89" s="79">
        <f t="shared" si="286"/>
        <v>-648.14899999999989</v>
      </c>
      <c r="CR89" s="355">
        <f t="shared" si="270"/>
        <v>-648.14900000000011</v>
      </c>
      <c r="CS89" s="194">
        <f t="shared" si="286"/>
        <v>-467.79999999999995</v>
      </c>
      <c r="CT89" s="40">
        <f t="shared" si="286"/>
        <v>-611.1</v>
      </c>
      <c r="CU89" s="40">
        <f t="shared" si="286"/>
        <v>-729.6</v>
      </c>
      <c r="CV89" s="41">
        <f t="shared" si="286"/>
        <v>-719</v>
      </c>
      <c r="CW89" s="355">
        <f t="shared" si="273"/>
        <v>-719</v>
      </c>
      <c r="CX89" s="40">
        <f t="shared" si="286"/>
        <v>-1124</v>
      </c>
      <c r="CY89" s="40">
        <f>SUM(CY82:CY88)</f>
        <v>-1421</v>
      </c>
      <c r="CZ89" s="40">
        <f t="shared" si="286"/>
        <v>-1652</v>
      </c>
      <c r="DA89" s="40">
        <f t="shared" si="286"/>
        <v>-1985</v>
      </c>
      <c r="DB89" s="355">
        <f t="shared" si="271"/>
        <v>-1985</v>
      </c>
      <c r="DC89" s="40">
        <f t="shared" si="286"/>
        <v>-322.47026510101296</v>
      </c>
      <c r="DD89" s="40">
        <f t="shared" si="286"/>
        <v>-669.62263235699504</v>
      </c>
      <c r="DE89" s="40">
        <f t="shared" si="286"/>
        <v>-991.46870672280522</v>
      </c>
      <c r="DF89" s="40">
        <f t="shared" si="286"/>
        <v>-1338.019865605168</v>
      </c>
      <c r="DG89" s="355">
        <f t="shared" si="272"/>
        <v>-1338.019865605168</v>
      </c>
      <c r="DH89" s="40">
        <f t="shared" si="286"/>
        <v>-396.08149238059826</v>
      </c>
      <c r="DI89" s="40">
        <f t="shared" si="286"/>
        <v>-816.70789907030553</v>
      </c>
      <c r="DJ89" s="40">
        <f t="shared" si="286"/>
        <v>-1211.8935149817426</v>
      </c>
      <c r="DK89" s="40">
        <f t="shared" si="286"/>
        <v>-1631.6523547351262</v>
      </c>
      <c r="DL89" s="355">
        <f t="shared" si="282"/>
        <v>-1631.6523547351262</v>
      </c>
      <c r="DM89" s="40">
        <f t="shared" ref="DM89:DP89" si="287">SUM(DM82:DM88)</f>
        <v>-394.34580341907173</v>
      </c>
      <c r="DN89" s="40">
        <f t="shared" si="287"/>
        <v>-813.29204091926476</v>
      </c>
      <c r="DO89" s="40">
        <f t="shared" si="287"/>
        <v>-1206.8519187902193</v>
      </c>
      <c r="DP89" s="40">
        <f t="shared" si="287"/>
        <v>-1625.03838437472</v>
      </c>
      <c r="DQ89" s="355">
        <f t="shared" si="283"/>
        <v>-1625.03838437472</v>
      </c>
      <c r="DR89" s="40"/>
      <c r="DS89" s="269"/>
      <c r="DT89"/>
      <c r="DU89"/>
      <c r="DV89"/>
      <c r="DW89"/>
      <c r="DX89"/>
      <c r="DY89"/>
    </row>
    <row r="90" spans="1:129" s="155" customFormat="1" hidden="1" outlineLevel="1">
      <c r="A90" s="192"/>
      <c r="B90" s="136"/>
      <c r="C90" s="135"/>
      <c r="D90" s="135"/>
      <c r="E90" s="135"/>
      <c r="F90" s="135"/>
      <c r="G90" s="62"/>
      <c r="H90" s="61"/>
      <c r="I90" s="61"/>
      <c r="J90" s="63"/>
      <c r="K90" s="14"/>
      <c r="L90" s="62"/>
      <c r="M90" s="61"/>
      <c r="N90" s="61"/>
      <c r="O90" s="61"/>
      <c r="P90" s="15"/>
      <c r="Q90" s="250"/>
      <c r="R90" s="251"/>
      <c r="S90" s="251"/>
      <c r="T90" s="252"/>
      <c r="U90" s="15"/>
      <c r="V90" s="251"/>
      <c r="W90" s="251"/>
      <c r="X90" s="251"/>
      <c r="Y90" s="252"/>
      <c r="Z90" s="15"/>
      <c r="AA90" s="251"/>
      <c r="AB90" s="251"/>
      <c r="AC90" s="251"/>
      <c r="AD90" s="252"/>
      <c r="AE90" s="15"/>
      <c r="AF90" s="251"/>
      <c r="AG90" s="251"/>
      <c r="AH90" s="251"/>
      <c r="AI90" s="252"/>
      <c r="AJ90" s="15"/>
      <c r="AK90" s="251"/>
      <c r="AL90" s="251"/>
      <c r="AM90" s="251"/>
      <c r="AN90" s="252"/>
      <c r="AO90" s="15"/>
      <c r="AP90" s="251"/>
      <c r="AQ90" s="251"/>
      <c r="AR90" s="251"/>
      <c r="AS90" s="252"/>
      <c r="AT90" s="15"/>
      <c r="AU90" s="251"/>
      <c r="AV90" s="251"/>
      <c r="AW90" s="251"/>
      <c r="AX90" s="251"/>
      <c r="AY90" s="15"/>
      <c r="AZ90" s="250"/>
      <c r="BA90" s="251"/>
      <c r="BB90" s="251"/>
      <c r="BC90" s="251"/>
      <c r="BD90" s="15"/>
      <c r="BE90" s="250"/>
      <c r="BF90" s="251"/>
      <c r="BG90" s="251"/>
      <c r="BH90" s="252"/>
      <c r="BI90" s="15"/>
      <c r="BJ90" s="61"/>
      <c r="BK90" s="61"/>
      <c r="BL90" s="61"/>
      <c r="BM90" s="63"/>
      <c r="BN90" s="15"/>
      <c r="BO90" s="61"/>
      <c r="BP90" s="61"/>
      <c r="BQ90" s="61"/>
      <c r="BR90" s="61"/>
      <c r="BS90" s="15"/>
      <c r="BT90" s="62"/>
      <c r="BU90" s="61"/>
      <c r="BV90" s="61"/>
      <c r="BW90" s="61"/>
      <c r="BX90" s="15"/>
      <c r="BY90" s="62"/>
      <c r="BZ90" s="61"/>
      <c r="CA90" s="61"/>
      <c r="CB90" s="16"/>
      <c r="CC90" s="15"/>
      <c r="CD90" s="15"/>
      <c r="CE90" s="407"/>
      <c r="CF90" s="15"/>
      <c r="CG90" s="261"/>
      <c r="CH90" s="15"/>
      <c r="CI90" s="15"/>
      <c r="CJ90" s="407"/>
      <c r="CK90" s="407"/>
      <c r="CL90" s="261"/>
      <c r="CM90" s="15"/>
      <c r="CN90" s="15"/>
      <c r="CO90" s="407"/>
      <c r="CP90" s="407"/>
      <c r="CQ90" s="261"/>
      <c r="CR90" s="352"/>
      <c r="CS90" s="15"/>
      <c r="CT90" s="407"/>
      <c r="CU90" s="407"/>
      <c r="CV90" s="16"/>
      <c r="CW90" s="352"/>
      <c r="CX90" s="15"/>
      <c r="CY90" s="15"/>
      <c r="CZ90" s="15"/>
      <c r="DA90" s="15"/>
      <c r="DB90" s="352"/>
      <c r="DC90" s="15"/>
      <c r="DD90" s="15"/>
      <c r="DE90" s="15"/>
      <c r="DF90" s="15"/>
      <c r="DG90" s="352"/>
      <c r="DH90" s="15"/>
      <c r="DI90" s="15"/>
      <c r="DJ90" s="15"/>
      <c r="DK90" s="15"/>
      <c r="DL90" s="352"/>
      <c r="DM90" s="15"/>
      <c r="DN90" s="15"/>
      <c r="DO90" s="15"/>
      <c r="DP90" s="15"/>
      <c r="DQ90" s="352"/>
      <c r="DR90" s="61"/>
      <c r="DS90" s="153"/>
      <c r="DT90"/>
      <c r="DU90"/>
      <c r="DV90"/>
      <c r="DW90"/>
      <c r="DX90"/>
      <c r="DY90"/>
    </row>
    <row r="91" spans="1:129" s="155" customFormat="1" hidden="1" outlineLevel="1">
      <c r="A91" s="192"/>
      <c r="B91" s="136" t="s">
        <v>100</v>
      </c>
      <c r="C91" s="135"/>
      <c r="D91" s="135"/>
      <c r="E91" s="135"/>
      <c r="F91" s="135"/>
      <c r="G91" s="62">
        <v>0</v>
      </c>
      <c r="H91" s="61">
        <v>0</v>
      </c>
      <c r="I91" s="61">
        <v>0</v>
      </c>
      <c r="J91" s="63">
        <v>-8.9999999999999993E-3</v>
      </c>
      <c r="K91" s="14">
        <f>K45</f>
        <v>-8.9999999999999993E-3</v>
      </c>
      <c r="L91" s="62">
        <v>-5.0000000000000001E-3</v>
      </c>
      <c r="M91" s="61">
        <v>-1.2999999999999999E-2</v>
      </c>
      <c r="N91" s="61">
        <v>1.4999999999999999E-2</v>
      </c>
      <c r="O91" s="61">
        <v>2E-3</v>
      </c>
      <c r="P91" s="15">
        <f>P45</f>
        <v>1.9999999999999983E-3</v>
      </c>
      <c r="Q91" s="250">
        <v>4.0000000000000001E-3</v>
      </c>
      <c r="R91" s="251">
        <v>-2.5000000000000001E-2</v>
      </c>
      <c r="S91" s="251">
        <v>-4.4999999999999998E-2</v>
      </c>
      <c r="T91" s="252">
        <v>-4.1000000000000002E-2</v>
      </c>
      <c r="U91" s="15">
        <f>U45</f>
        <v>-4.1000000000000002E-2</v>
      </c>
      <c r="V91" s="251">
        <v>-0.11600000000000001</v>
      </c>
      <c r="W91" s="251">
        <v>-0.109</v>
      </c>
      <c r="X91" s="251">
        <v>-5.8999999999999997E-2</v>
      </c>
      <c r="Y91" s="252">
        <v>-0.108</v>
      </c>
      <c r="Z91" s="15">
        <f>Z45</f>
        <v>-0.108</v>
      </c>
      <c r="AA91" s="251">
        <v>-4.5999999999999999E-2</v>
      </c>
      <c r="AB91" s="251">
        <v>9.6000000000000002E-2</v>
      </c>
      <c r="AC91" s="251">
        <v>-9.8000000000000004E-2</v>
      </c>
      <c r="AD91" s="252">
        <v>-2.7E-2</v>
      </c>
      <c r="AE91" s="15">
        <f>AE45</f>
        <v>-2.6999999999999996E-2</v>
      </c>
      <c r="AF91" s="251">
        <v>-0.01</v>
      </c>
      <c r="AG91" s="251">
        <v>0.13</v>
      </c>
      <c r="AH91" s="251">
        <v>0.42199999999999999</v>
      </c>
      <c r="AI91" s="252">
        <v>4.1849999999999996</v>
      </c>
      <c r="AJ91" s="15">
        <f>AJ45</f>
        <v>4.1849999999999996</v>
      </c>
      <c r="AK91" s="251">
        <v>1.522</v>
      </c>
      <c r="AL91" s="251">
        <v>1.0329999999999999</v>
      </c>
      <c r="AM91" s="251">
        <v>0.51800000000000002</v>
      </c>
      <c r="AN91" s="252">
        <v>3.5179999999999998</v>
      </c>
      <c r="AO91" s="15">
        <f>AO45</f>
        <v>3.5179999999999989</v>
      </c>
      <c r="AP91" s="251">
        <v>-0.56999999999999995</v>
      </c>
      <c r="AQ91" s="251">
        <v>-2.536</v>
      </c>
      <c r="AR91" s="251">
        <v>-3.5609999999999999</v>
      </c>
      <c r="AS91" s="252">
        <v>-5.0229999999999997</v>
      </c>
      <c r="AT91" s="15">
        <f>AT45</f>
        <v>-5.0229999999999997</v>
      </c>
      <c r="AU91" s="251">
        <v>0.39300000000000002</v>
      </c>
      <c r="AV91" s="251">
        <v>4.0810000000000004</v>
      </c>
      <c r="AW91" s="251">
        <v>4.1849999999999996</v>
      </c>
      <c r="AX91" s="251">
        <v>5.5659999999999998</v>
      </c>
      <c r="AY91" s="15">
        <f>AY45</f>
        <v>5.5659999999999998</v>
      </c>
      <c r="AZ91" s="250">
        <v>0.36299999999999999</v>
      </c>
      <c r="BA91" s="251">
        <v>1.032</v>
      </c>
      <c r="BB91" s="251">
        <v>3.008</v>
      </c>
      <c r="BC91" s="251">
        <v>2.919</v>
      </c>
      <c r="BD91" s="15">
        <f>BD45</f>
        <v>2.919</v>
      </c>
      <c r="BE91" s="250">
        <v>4.601</v>
      </c>
      <c r="BF91" s="251">
        <v>3.1829999999999998</v>
      </c>
      <c r="BG91" s="251">
        <v>-11.159000000000001</v>
      </c>
      <c r="BH91" s="252">
        <v>-23.512</v>
      </c>
      <c r="BI91" s="15">
        <f>BI45</f>
        <v>-23.512</v>
      </c>
      <c r="BJ91" s="61">
        <v>-5.7439999999999998</v>
      </c>
      <c r="BK91" s="61">
        <v>9.2639999999999993</v>
      </c>
      <c r="BL91" s="61">
        <v>11.138999999999999</v>
      </c>
      <c r="BM91" s="63">
        <v>11.355</v>
      </c>
      <c r="BN91" s="15">
        <f>BN45</f>
        <v>11.355</v>
      </c>
      <c r="BO91" s="61">
        <v>-8.7159999999999993</v>
      </c>
      <c r="BP91" s="61">
        <v>-14.326000000000001</v>
      </c>
      <c r="BQ91" s="61">
        <v>1.901</v>
      </c>
      <c r="BR91" s="61">
        <v>2.2719999999999998</v>
      </c>
      <c r="BS91" s="15">
        <f>BS45</f>
        <v>2.2720000000000002</v>
      </c>
      <c r="BT91" s="62">
        <v>8.6020000000000003</v>
      </c>
      <c r="BU91" s="61">
        <v>17.539000000000001</v>
      </c>
      <c r="BV91" s="61">
        <v>3.944</v>
      </c>
      <c r="BW91" s="61">
        <v>0.52100000000000002</v>
      </c>
      <c r="BX91" s="15">
        <f>BX45</f>
        <v>0.5210000000000008</v>
      </c>
      <c r="BY91" s="62">
        <v>4.2359999999999998</v>
      </c>
      <c r="BZ91" s="61">
        <v>-2.3180000000000001</v>
      </c>
      <c r="CA91" s="61">
        <v>-0.504</v>
      </c>
      <c r="CB91" s="88">
        <v>-0.378</v>
      </c>
      <c r="CC91" s="15">
        <f>CC45</f>
        <v>-0.37800000000000011</v>
      </c>
      <c r="CD91" s="86">
        <v>0.25700000000000001</v>
      </c>
      <c r="CE91" s="248">
        <v>-15.742000000000001</v>
      </c>
      <c r="CF91" s="248">
        <v>-17.436</v>
      </c>
      <c r="CG91" s="440">
        <v>-19.216999999999999</v>
      </c>
      <c r="CH91" s="15">
        <f>CH45</f>
        <v>-19.216999999999999</v>
      </c>
      <c r="CI91" s="86">
        <v>0</v>
      </c>
      <c r="CJ91" s="248">
        <v>4.9790000000000001</v>
      </c>
      <c r="CK91" s="248">
        <v>-9.1769999999999996</v>
      </c>
      <c r="CL91" s="440">
        <v>-18.582999999999998</v>
      </c>
      <c r="CM91" s="15">
        <f>CM45</f>
        <v>-18.582999999999998</v>
      </c>
      <c r="CN91" s="86">
        <v>-6.7</v>
      </c>
      <c r="CO91" s="248">
        <v>-6.3</v>
      </c>
      <c r="CP91" s="248">
        <v>-11.4</v>
      </c>
      <c r="CQ91" s="440">
        <v>-19.5</v>
      </c>
      <c r="CR91" s="352">
        <f>CR45</f>
        <v>-19.5</v>
      </c>
      <c r="CS91" s="86">
        <v>26</v>
      </c>
      <c r="CT91" s="248">
        <v>2.2999999999999998</v>
      </c>
      <c r="CU91" s="248">
        <v>5</v>
      </c>
      <c r="CV91" s="249">
        <v>-30</v>
      </c>
      <c r="CW91" s="352">
        <f>CW45</f>
        <v>-30</v>
      </c>
      <c r="CX91" s="248">
        <v>30</v>
      </c>
      <c r="CY91" s="248">
        <v>44</v>
      </c>
      <c r="CZ91" s="248">
        <v>46</v>
      </c>
      <c r="DA91" s="15">
        <v>51</v>
      </c>
      <c r="DB91" s="352">
        <f>DB45</f>
        <v>51</v>
      </c>
      <c r="DC91" s="239">
        <f>+DC45</f>
        <v>0</v>
      </c>
      <c r="DD91" s="15">
        <f>DC91+DD45</f>
        <v>0</v>
      </c>
      <c r="DE91" s="15">
        <f>DD91+DE45</f>
        <v>0</v>
      </c>
      <c r="DF91" s="15">
        <f>DE91+DF45</f>
        <v>0</v>
      </c>
      <c r="DG91" s="352">
        <f>DG45</f>
        <v>0</v>
      </c>
      <c r="DH91" s="239">
        <f>+DH45</f>
        <v>0</v>
      </c>
      <c r="DI91" s="15">
        <f>DH91+DI45</f>
        <v>0</v>
      </c>
      <c r="DJ91" s="15">
        <f>DI91+DJ45</f>
        <v>0</v>
      </c>
      <c r="DK91" s="15">
        <f>DJ91+DK45</f>
        <v>0</v>
      </c>
      <c r="DL91" s="352">
        <f>DL45</f>
        <v>0</v>
      </c>
      <c r="DM91" s="239">
        <f>+DM45</f>
        <v>0</v>
      </c>
      <c r="DN91" s="15">
        <f>DM91+DN45</f>
        <v>0</v>
      </c>
      <c r="DO91" s="15">
        <f>DN91+DO45</f>
        <v>0</v>
      </c>
      <c r="DP91" s="15">
        <f>DO91+DP45</f>
        <v>0</v>
      </c>
      <c r="DQ91" s="352">
        <f>DQ45</f>
        <v>0</v>
      </c>
      <c r="DR91" s="61"/>
      <c r="DS91" s="153"/>
      <c r="DT91"/>
      <c r="DU91"/>
      <c r="DV91"/>
      <c r="DW91"/>
      <c r="DX91"/>
      <c r="DY91"/>
    </row>
    <row r="92" spans="1:129" s="144" customFormat="1" hidden="1" outlineLevel="1">
      <c r="A92" s="156"/>
      <c r="B92" s="136"/>
      <c r="C92" s="135"/>
      <c r="D92" s="135"/>
      <c r="E92" s="135"/>
      <c r="F92" s="135"/>
      <c r="G92" s="14"/>
      <c r="H92" s="15"/>
      <c r="I92" s="15"/>
      <c r="J92" s="16"/>
      <c r="K92" s="14"/>
      <c r="L92" s="14"/>
      <c r="M92" s="15"/>
      <c r="N92" s="15"/>
      <c r="O92" s="15"/>
      <c r="P92" s="15"/>
      <c r="Q92" s="259"/>
      <c r="R92" s="260"/>
      <c r="S92" s="260"/>
      <c r="T92" s="261"/>
      <c r="U92" s="15"/>
      <c r="V92" s="260"/>
      <c r="W92" s="260"/>
      <c r="X92" s="260"/>
      <c r="Y92" s="261"/>
      <c r="Z92" s="15"/>
      <c r="AA92" s="260"/>
      <c r="AB92" s="260"/>
      <c r="AC92" s="260"/>
      <c r="AD92" s="261"/>
      <c r="AE92" s="15"/>
      <c r="AF92" s="260"/>
      <c r="AG92" s="260"/>
      <c r="AH92" s="260"/>
      <c r="AI92" s="261"/>
      <c r="AJ92" s="15"/>
      <c r="AK92" s="260"/>
      <c r="AL92" s="260"/>
      <c r="AM92" s="260"/>
      <c r="AN92" s="261"/>
      <c r="AO92" s="15"/>
      <c r="AP92" s="260"/>
      <c r="AQ92" s="260"/>
      <c r="AR92" s="260"/>
      <c r="AS92" s="261"/>
      <c r="AT92" s="15"/>
      <c r="AU92" s="260"/>
      <c r="AV92" s="260"/>
      <c r="AW92" s="260"/>
      <c r="AX92" s="260"/>
      <c r="AY92" s="15"/>
      <c r="AZ92" s="259"/>
      <c r="BA92" s="260"/>
      <c r="BB92" s="260"/>
      <c r="BC92" s="260"/>
      <c r="BD92" s="15"/>
      <c r="BE92" s="259"/>
      <c r="BF92" s="260"/>
      <c r="BG92" s="260"/>
      <c r="BH92" s="261"/>
      <c r="BI92" s="15"/>
      <c r="BJ92" s="15"/>
      <c r="BK92" s="15"/>
      <c r="BL92" s="15"/>
      <c r="BM92" s="16"/>
      <c r="BN92" s="15"/>
      <c r="BO92" s="15"/>
      <c r="BP92" s="15"/>
      <c r="BQ92" s="15"/>
      <c r="BR92" s="15"/>
      <c r="BS92" s="15"/>
      <c r="BT92" s="14"/>
      <c r="BU92" s="15"/>
      <c r="BV92" s="15"/>
      <c r="BW92" s="15"/>
      <c r="BX92" s="15"/>
      <c r="BY92" s="14"/>
      <c r="BZ92" s="15"/>
      <c r="CA92" s="15"/>
      <c r="CB92" s="16"/>
      <c r="CC92" s="15"/>
      <c r="CD92" s="15"/>
      <c r="CE92" s="15"/>
      <c r="CF92" s="15"/>
      <c r="CG92" s="261"/>
      <c r="CH92" s="15"/>
      <c r="CI92" s="15"/>
      <c r="CJ92" s="15"/>
      <c r="CK92" s="15"/>
      <c r="CL92" s="261"/>
      <c r="CM92" s="15"/>
      <c r="CN92" s="15"/>
      <c r="CO92" s="15"/>
      <c r="CP92" s="15"/>
      <c r="CQ92" s="261"/>
      <c r="CR92" s="352"/>
      <c r="CS92" s="15"/>
      <c r="CT92" s="15"/>
      <c r="CU92" s="15"/>
      <c r="CV92" s="16"/>
      <c r="CW92" s="352"/>
      <c r="CX92" s="15"/>
      <c r="CY92" s="15"/>
      <c r="CZ92" s="15"/>
      <c r="DA92" s="15"/>
      <c r="DB92" s="352"/>
      <c r="DC92" s="15"/>
      <c r="DD92" s="15"/>
      <c r="DE92" s="15"/>
      <c r="DF92" s="15"/>
      <c r="DG92" s="352"/>
      <c r="DH92" s="15"/>
      <c r="DI92" s="15"/>
      <c r="DJ92" s="15"/>
      <c r="DK92" s="15"/>
      <c r="DL92" s="352"/>
      <c r="DM92" s="15"/>
      <c r="DN92" s="15"/>
      <c r="DO92" s="15"/>
      <c r="DP92" s="15"/>
      <c r="DQ92" s="352"/>
      <c r="DR92" s="15"/>
      <c r="DS92" s="139"/>
      <c r="DT92"/>
      <c r="DU92"/>
      <c r="DV92"/>
      <c r="DW92"/>
      <c r="DX92"/>
      <c r="DY92"/>
    </row>
    <row r="93" spans="1:129" s="202" customFormat="1" hidden="1" outlineLevel="1">
      <c r="A93" s="200"/>
      <c r="B93" s="169" t="s">
        <v>101</v>
      </c>
      <c r="C93" s="191"/>
      <c r="D93" s="191"/>
      <c r="E93" s="191"/>
      <c r="F93" s="191"/>
      <c r="G93" s="78">
        <f t="shared" ref="G93:AS93" si="288">G71+G79+G89+G91</f>
        <v>-0.51800000000000013</v>
      </c>
      <c r="H93" s="77">
        <f t="shared" si="288"/>
        <v>18.799999999999997</v>
      </c>
      <c r="I93" s="40">
        <f t="shared" si="288"/>
        <v>23.337999999999997</v>
      </c>
      <c r="J93" s="41">
        <f t="shared" si="288"/>
        <v>25.703000000000003</v>
      </c>
      <c r="K93" s="195">
        <f>K47</f>
        <v>25.702999999999999</v>
      </c>
      <c r="L93" s="39">
        <f t="shared" si="288"/>
        <v>-3.3159999999999998</v>
      </c>
      <c r="M93" s="40">
        <f t="shared" si="288"/>
        <v>0.94100000000000039</v>
      </c>
      <c r="N93" s="40">
        <f t="shared" si="288"/>
        <v>5.2670000000000003</v>
      </c>
      <c r="O93" s="40">
        <f t="shared" si="288"/>
        <v>14.223000000000003</v>
      </c>
      <c r="P93" s="194">
        <f>P47</f>
        <v>14.223000000000003</v>
      </c>
      <c r="Q93" s="78">
        <f t="shared" si="288"/>
        <v>-2.2810000000000015</v>
      </c>
      <c r="R93" s="77">
        <f t="shared" si="288"/>
        <v>2.5680000000000009</v>
      </c>
      <c r="S93" s="77">
        <f t="shared" si="288"/>
        <v>10.195</v>
      </c>
      <c r="T93" s="79">
        <f t="shared" si="288"/>
        <v>19.334999999999997</v>
      </c>
      <c r="U93" s="194">
        <f>U47</f>
        <v>19.335000000000004</v>
      </c>
      <c r="V93" s="77">
        <f t="shared" si="288"/>
        <v>-1.01</v>
      </c>
      <c r="W93" s="77">
        <f t="shared" si="288"/>
        <v>5.6829999999999989</v>
      </c>
      <c r="X93" s="77">
        <f t="shared" si="288"/>
        <v>17.791</v>
      </c>
      <c r="Y93" s="79">
        <f t="shared" si="288"/>
        <v>23.000999999999987</v>
      </c>
      <c r="Z93" s="194">
        <f>Z47</f>
        <v>23.000999999999998</v>
      </c>
      <c r="AA93" s="77">
        <f t="shared" si="288"/>
        <v>6.2089999999999987</v>
      </c>
      <c r="AB93" s="77">
        <f t="shared" si="288"/>
        <v>18.865999999999996</v>
      </c>
      <c r="AC93" s="77">
        <f t="shared" si="288"/>
        <v>38.10499999999999</v>
      </c>
      <c r="AD93" s="79">
        <f t="shared" si="288"/>
        <v>41.233999999999995</v>
      </c>
      <c r="AE93" s="194">
        <f>AE47</f>
        <v>41.234000000000002</v>
      </c>
      <c r="AF93" s="77">
        <f t="shared" si="288"/>
        <v>0.43600000000000105</v>
      </c>
      <c r="AG93" s="77">
        <f t="shared" si="288"/>
        <v>11.527999999999997</v>
      </c>
      <c r="AH93" s="77">
        <f t="shared" si="288"/>
        <v>33.537999999999997</v>
      </c>
      <c r="AI93" s="79">
        <f t="shared" si="288"/>
        <v>68.010000000000005</v>
      </c>
      <c r="AJ93" s="194">
        <f>AJ47</f>
        <v>68.009999999999991</v>
      </c>
      <c r="AK93" s="77">
        <f t="shared" si="288"/>
        <v>-55.286000000000001</v>
      </c>
      <c r="AL93" s="77">
        <f t="shared" si="288"/>
        <v>-21.368999999999996</v>
      </c>
      <c r="AM93" s="77">
        <f t="shared" si="288"/>
        <v>31.774000000000004</v>
      </c>
      <c r="AN93" s="79">
        <f t="shared" si="288"/>
        <v>54.925000000000011</v>
      </c>
      <c r="AO93" s="194">
        <f>AO47</f>
        <v>54.924999999999969</v>
      </c>
      <c r="AP93" s="77">
        <f t="shared" si="288"/>
        <v>-24.308</v>
      </c>
      <c r="AQ93" s="77">
        <f t="shared" si="288"/>
        <v>-19.172999999999998</v>
      </c>
      <c r="AR93" s="77">
        <f t="shared" si="288"/>
        <v>15.613000000000014</v>
      </c>
      <c r="AS93" s="79">
        <f t="shared" si="288"/>
        <v>-2.358000000000029</v>
      </c>
      <c r="AT93" s="194">
        <f>AT47</f>
        <v>-2.3580000000000609</v>
      </c>
      <c r="AU93" s="77">
        <f t="shared" ref="AU93:CG93" si="289">AU71+AU79+AU89+AU91</f>
        <v>-31.575999999999979</v>
      </c>
      <c r="AV93" s="77">
        <f t="shared" si="289"/>
        <v>6.1670000000000131</v>
      </c>
      <c r="AW93" s="77">
        <f t="shared" si="289"/>
        <v>0.76200000000001911</v>
      </c>
      <c r="AX93" s="77">
        <f t="shared" si="289"/>
        <v>68.998999999999953</v>
      </c>
      <c r="AY93" s="194">
        <f>AY47</f>
        <v>68.998999999999995</v>
      </c>
      <c r="AZ93" s="78">
        <f t="shared" si="289"/>
        <v>7.1010000000000204</v>
      </c>
      <c r="BA93" s="77">
        <f t="shared" si="289"/>
        <v>3.0480000000000054</v>
      </c>
      <c r="BB93" s="77">
        <f t="shared" si="289"/>
        <v>30.550999999999991</v>
      </c>
      <c r="BC93" s="77">
        <f t="shared" si="289"/>
        <v>73.90799999999993</v>
      </c>
      <c r="BD93" s="194">
        <f>BD47</f>
        <v>73.907999999999973</v>
      </c>
      <c r="BE93" s="78">
        <f t="shared" si="289"/>
        <v>109.89399999999998</v>
      </c>
      <c r="BF93" s="77">
        <f t="shared" si="289"/>
        <v>181.34799999999998</v>
      </c>
      <c r="BG93" s="77">
        <f t="shared" si="289"/>
        <v>229.417</v>
      </c>
      <c r="BH93" s="79">
        <f t="shared" si="289"/>
        <v>395.22099999999989</v>
      </c>
      <c r="BI93" s="194">
        <f>BI47</f>
        <v>395.221</v>
      </c>
      <c r="BJ93" s="40">
        <f t="shared" si="289"/>
        <v>23.501999999999946</v>
      </c>
      <c r="BK93" s="40">
        <f t="shared" si="289"/>
        <v>125.31099999999989</v>
      </c>
      <c r="BL93" s="40">
        <f t="shared" si="289"/>
        <v>257.8599999999999</v>
      </c>
      <c r="BM93" s="41">
        <f t="shared" si="289"/>
        <v>365.86399999999981</v>
      </c>
      <c r="BN93" s="194">
        <f>BN47</f>
        <v>365.86399999999992</v>
      </c>
      <c r="BO93" s="40">
        <f t="shared" si="289"/>
        <v>-19.988000000000035</v>
      </c>
      <c r="BP93" s="40">
        <f t="shared" si="289"/>
        <v>-61.243999999999964</v>
      </c>
      <c r="BQ93" s="40">
        <f t="shared" si="289"/>
        <v>216.14700000000005</v>
      </c>
      <c r="BR93" s="40">
        <f t="shared" si="289"/>
        <v>440.03900000000027</v>
      </c>
      <c r="BS93" s="194">
        <f>BS47</f>
        <v>440.03899999999987</v>
      </c>
      <c r="BT93" s="39">
        <f t="shared" si="289"/>
        <v>-247.47000000000006</v>
      </c>
      <c r="BU93" s="40">
        <f t="shared" si="289"/>
        <v>-347.92900000000031</v>
      </c>
      <c r="BV93" s="40">
        <f t="shared" si="289"/>
        <v>-359.75000000000006</v>
      </c>
      <c r="BW93" s="40">
        <f t="shared" si="289"/>
        <v>-230.06299999999979</v>
      </c>
      <c r="BX93" s="194">
        <f>BX47</f>
        <v>-230.06299999999982</v>
      </c>
      <c r="BY93" s="39">
        <f t="shared" si="289"/>
        <v>17.629000000000072</v>
      </c>
      <c r="BZ93" s="40">
        <f t="shared" si="289"/>
        <v>-260.66099999999994</v>
      </c>
      <c r="CA93" s="40">
        <f t="shared" si="289"/>
        <v>13.833000000000046</v>
      </c>
      <c r="CB93" s="41">
        <f t="shared" si="289"/>
        <v>259.17099999999999</v>
      </c>
      <c r="CC93" s="194">
        <f>CC47</f>
        <v>259.17100000000005</v>
      </c>
      <c r="CD93" s="39">
        <f t="shared" si="289"/>
        <v>-95.217000000000056</v>
      </c>
      <c r="CE93" s="40">
        <f t="shared" si="289"/>
        <v>108.1279999999998</v>
      </c>
      <c r="CF93" s="40">
        <f t="shared" si="289"/>
        <v>461.04199999999986</v>
      </c>
      <c r="CG93" s="79">
        <f t="shared" si="289"/>
        <v>642.92899999999997</v>
      </c>
      <c r="CH93" s="194">
        <f>CH47</f>
        <v>642.92900000000009</v>
      </c>
      <c r="CI93" s="39">
        <f t="shared" ref="CI93:DK93" si="290">CI71+CI79+CI89+CI91</f>
        <v>-277.01499999999947</v>
      </c>
      <c r="CJ93" s="40">
        <f t="shared" si="290"/>
        <v>-220.56399999999994</v>
      </c>
      <c r="CK93" s="40">
        <f t="shared" si="290"/>
        <v>404.61300000000062</v>
      </c>
      <c r="CL93" s="79">
        <f t="shared" si="290"/>
        <v>-202.85699999999989</v>
      </c>
      <c r="CM93" s="194">
        <f>CM47</f>
        <v>-202.8569999999998</v>
      </c>
      <c r="CN93" s="39">
        <f t="shared" si="290"/>
        <v>-738.74900000000059</v>
      </c>
      <c r="CO93" s="40">
        <f t="shared" si="290"/>
        <v>-920.84900000000005</v>
      </c>
      <c r="CP93" s="40">
        <f t="shared" si="290"/>
        <v>-533.44899999999984</v>
      </c>
      <c r="CQ93" s="79">
        <f t="shared" si="290"/>
        <v>115.05100000000016</v>
      </c>
      <c r="CR93" s="355">
        <f>CR47</f>
        <v>115.05099999999993</v>
      </c>
      <c r="CS93" s="40">
        <f t="shared" si="290"/>
        <v>-601.40000000000009</v>
      </c>
      <c r="CT93" s="40">
        <f t="shared" si="290"/>
        <v>-440.7</v>
      </c>
      <c r="CU93" s="40">
        <f t="shared" si="290"/>
        <v>-574.90000000000009</v>
      </c>
      <c r="CV93" s="41">
        <f t="shared" si="290"/>
        <v>-91</v>
      </c>
      <c r="CW93" s="355">
        <f>CW47</f>
        <v>-91.000000000000568</v>
      </c>
      <c r="CX93" s="40">
        <f>CX71+CX79+CX89+CX91</f>
        <v>-726</v>
      </c>
      <c r="CY93" s="40">
        <f>CY71+CY79+CY89+CY91</f>
        <v>-877</v>
      </c>
      <c r="CZ93" s="40">
        <f t="shared" si="290"/>
        <v>-457</v>
      </c>
      <c r="DA93" s="40">
        <f t="shared" si="290"/>
        <v>-109</v>
      </c>
      <c r="DB93" s="355">
        <f>DB47</f>
        <v>-109</v>
      </c>
      <c r="DC93" s="40">
        <f t="shared" si="290"/>
        <v>-64.595373231827807</v>
      </c>
      <c r="DD93" s="40">
        <f t="shared" si="290"/>
        <v>-192.11998119577788</v>
      </c>
      <c r="DE93" s="40">
        <f t="shared" si="290"/>
        <v>74.743383509603859</v>
      </c>
      <c r="DF93" s="40">
        <f t="shared" si="290"/>
        <v>392.90784210933339</v>
      </c>
      <c r="DG93" s="355">
        <f>DG47</f>
        <v>392.90784210933339</v>
      </c>
      <c r="DH93" s="40">
        <f t="shared" si="290"/>
        <v>100.60702279455489</v>
      </c>
      <c r="DI93" s="40">
        <f t="shared" si="290"/>
        <v>-31.449286637433715</v>
      </c>
      <c r="DJ93" s="40">
        <f t="shared" si="290"/>
        <v>185.02797340940424</v>
      </c>
      <c r="DK93" s="40">
        <f t="shared" si="290"/>
        <v>512.3646921598247</v>
      </c>
      <c r="DL93" s="355">
        <f>DL47</f>
        <v>512.36469215982481</v>
      </c>
      <c r="DM93" s="40">
        <f t="shared" ref="DM93:DP93" si="291">DM71+DM79+DM89+DM91</f>
        <v>261.97379897136426</v>
      </c>
      <c r="DN93" s="40">
        <f t="shared" si="291"/>
        <v>161.26084110792635</v>
      </c>
      <c r="DO93" s="40">
        <f t="shared" si="291"/>
        <v>386.8685300539496</v>
      </c>
      <c r="DP93" s="40">
        <f t="shared" si="291"/>
        <v>780.47345617699784</v>
      </c>
      <c r="DQ93" s="355">
        <f>DQ47</f>
        <v>780.47345617699807</v>
      </c>
      <c r="DR93" s="40"/>
      <c r="DS93" s="269"/>
      <c r="DT93"/>
      <c r="DU93"/>
      <c r="DV93"/>
      <c r="DW93"/>
      <c r="DX93"/>
      <c r="DY93"/>
    </row>
    <row r="94" spans="1:129" s="154" customFormat="1" hidden="1" outlineLevel="1">
      <c r="A94" s="137"/>
      <c r="B94" s="136" t="s">
        <v>124</v>
      </c>
      <c r="C94" s="135"/>
      <c r="D94" s="135"/>
      <c r="E94" s="135"/>
      <c r="F94" s="135"/>
      <c r="G94" s="250">
        <v>0</v>
      </c>
      <c r="H94" s="251">
        <v>0</v>
      </c>
      <c r="I94" s="61">
        <v>0</v>
      </c>
      <c r="J94" s="63">
        <v>0</v>
      </c>
      <c r="K94" s="14">
        <f>K48</f>
        <v>0</v>
      </c>
      <c r="L94" s="62">
        <v>0</v>
      </c>
      <c r="M94" s="61">
        <v>0</v>
      </c>
      <c r="N94" s="61">
        <v>0</v>
      </c>
      <c r="O94" s="61">
        <v>0</v>
      </c>
      <c r="P94" s="15">
        <f>P48</f>
        <v>0</v>
      </c>
      <c r="Q94" s="250">
        <v>0</v>
      </c>
      <c r="R94" s="251">
        <v>0</v>
      </c>
      <c r="S94" s="251">
        <v>0</v>
      </c>
      <c r="T94" s="252">
        <v>0</v>
      </c>
      <c r="U94" s="15">
        <f>U48</f>
        <v>0</v>
      </c>
      <c r="V94" s="251">
        <v>0</v>
      </c>
      <c r="W94" s="251">
        <v>0</v>
      </c>
      <c r="X94" s="251">
        <v>0</v>
      </c>
      <c r="Y94" s="252">
        <v>0</v>
      </c>
      <c r="Z94" s="15">
        <f>Z48</f>
        <v>0</v>
      </c>
      <c r="AA94" s="251">
        <v>0</v>
      </c>
      <c r="AB94" s="251">
        <v>0</v>
      </c>
      <c r="AC94" s="251">
        <v>0</v>
      </c>
      <c r="AD94" s="252">
        <v>0</v>
      </c>
      <c r="AE94" s="15">
        <f>AE48</f>
        <v>0</v>
      </c>
      <c r="AF94" s="251">
        <v>0</v>
      </c>
      <c r="AG94" s="251">
        <v>0</v>
      </c>
      <c r="AH94" s="251">
        <v>0</v>
      </c>
      <c r="AI94" s="252">
        <v>0</v>
      </c>
      <c r="AJ94" s="15">
        <f>AJ48</f>
        <v>0</v>
      </c>
      <c r="AK94" s="251">
        <f>+(64.11-41.06)</f>
        <v>23.049999999999997</v>
      </c>
      <c r="AL94" s="251">
        <f>+(68.861-44.686)</f>
        <v>24.175000000000004</v>
      </c>
      <c r="AM94" s="251">
        <f>+(67.979-43.604)</f>
        <v>24.375</v>
      </c>
      <c r="AN94" s="252">
        <f>+(112.694-68.394)</f>
        <v>44.3</v>
      </c>
      <c r="AO94" s="15">
        <f>AO48</f>
        <v>44.3</v>
      </c>
      <c r="AP94" s="251">
        <f>199.296-293.446</f>
        <v>-94.150000000000034</v>
      </c>
      <c r="AQ94" s="251">
        <f>199.296-293.446</f>
        <v>-94.150000000000034</v>
      </c>
      <c r="AR94" s="251">
        <f>199.296-293.446</f>
        <v>-94.150000000000034</v>
      </c>
      <c r="AS94" s="252">
        <f>199.296-293.446</f>
        <v>-94.150000000000034</v>
      </c>
      <c r="AT94" s="15">
        <f>AT48</f>
        <v>-94.150000000000034</v>
      </c>
      <c r="AU94" s="251">
        <v>0</v>
      </c>
      <c r="AV94" s="251">
        <v>0</v>
      </c>
      <c r="AW94" s="251">
        <v>0</v>
      </c>
      <c r="AX94" s="252">
        <v>0</v>
      </c>
      <c r="AY94" s="15">
        <f>AY48</f>
        <v>0</v>
      </c>
      <c r="AZ94" s="250">
        <v>0</v>
      </c>
      <c r="BA94" s="251">
        <v>0</v>
      </c>
      <c r="BB94" s="251">
        <v>0</v>
      </c>
      <c r="BC94" s="252">
        <v>0</v>
      </c>
      <c r="BD94" s="15">
        <f>BD48</f>
        <v>0</v>
      </c>
      <c r="BE94" s="250">
        <v>0</v>
      </c>
      <c r="BF94" s="251">
        <v>0</v>
      </c>
      <c r="BG94" s="251">
        <v>0</v>
      </c>
      <c r="BH94" s="252">
        <v>0</v>
      </c>
      <c r="BI94" s="15">
        <f>BI48</f>
        <v>0</v>
      </c>
      <c r="BJ94" s="61">
        <v>0</v>
      </c>
      <c r="BK94" s="61">
        <v>0</v>
      </c>
      <c r="BL94" s="61">
        <v>0</v>
      </c>
      <c r="BM94" s="63">
        <v>0</v>
      </c>
      <c r="BN94" s="15">
        <f>BN48</f>
        <v>0</v>
      </c>
      <c r="BO94" s="61">
        <v>0</v>
      </c>
      <c r="BP94" s="61">
        <v>0</v>
      </c>
      <c r="BQ94" s="61">
        <v>0</v>
      </c>
      <c r="BR94" s="63">
        <v>0</v>
      </c>
      <c r="BS94" s="15">
        <f>BS48</f>
        <v>0</v>
      </c>
      <c r="BT94" s="62">
        <v>0</v>
      </c>
      <c r="BU94" s="61">
        <v>0</v>
      </c>
      <c r="BV94" s="61">
        <v>0</v>
      </c>
      <c r="BW94" s="63">
        <v>0</v>
      </c>
      <c r="BX94" s="15">
        <f>BX48</f>
        <v>0</v>
      </c>
      <c r="BY94" s="62">
        <v>0</v>
      </c>
      <c r="BZ94" s="61">
        <v>0</v>
      </c>
      <c r="CA94" s="61">
        <v>0</v>
      </c>
      <c r="CB94" s="88">
        <v>0</v>
      </c>
      <c r="CC94" s="15">
        <f>CC48</f>
        <v>0</v>
      </c>
      <c r="CD94" s="62">
        <v>0</v>
      </c>
      <c r="CE94" s="248">
        <v>0</v>
      </c>
      <c r="CF94" s="248">
        <v>0</v>
      </c>
      <c r="CG94" s="440">
        <v>0</v>
      </c>
      <c r="CH94" s="15">
        <f>CH48</f>
        <v>0</v>
      </c>
      <c r="CI94" s="442">
        <v>0</v>
      </c>
      <c r="CJ94" s="248">
        <v>0</v>
      </c>
      <c r="CK94" s="248">
        <f>CJ94+CK48</f>
        <v>0</v>
      </c>
      <c r="CL94" s="440">
        <f>CK94+CL48</f>
        <v>0</v>
      </c>
      <c r="CM94" s="15">
        <f>CM48</f>
        <v>0</v>
      </c>
      <c r="CN94" s="543">
        <f>-(2010.1-2010.1)</f>
        <v>0</v>
      </c>
      <c r="CO94" s="248">
        <f>CN94</f>
        <v>0</v>
      </c>
      <c r="CP94" s="248">
        <f>CO94</f>
        <v>0</v>
      </c>
      <c r="CQ94" s="440">
        <f>CP94</f>
        <v>0</v>
      </c>
      <c r="CR94" s="352">
        <f>CR48</f>
        <v>0</v>
      </c>
      <c r="CS94" s="543">
        <v>0</v>
      </c>
      <c r="CT94" s="248">
        <v>0</v>
      </c>
      <c r="CU94" s="248">
        <v>0</v>
      </c>
      <c r="CV94" s="249">
        <f>2125-2125.2</f>
        <v>-0.1999999999998181</v>
      </c>
      <c r="CW94" s="352">
        <f>CW48</f>
        <v>-0.1999999999998181</v>
      </c>
      <c r="CX94" s="248">
        <v>0</v>
      </c>
      <c r="CY94" s="248">
        <v>0</v>
      </c>
      <c r="CZ94" s="15">
        <f t="shared" ref="CZ94:DK94" si="292">CY94+CZ48</f>
        <v>0</v>
      </c>
      <c r="DA94" s="15">
        <f t="shared" si="292"/>
        <v>0</v>
      </c>
      <c r="DB94" s="352">
        <f>DB48</f>
        <v>0</v>
      </c>
      <c r="DC94" s="15">
        <f>DA94+DC48</f>
        <v>0</v>
      </c>
      <c r="DD94" s="15">
        <f t="shared" si="292"/>
        <v>0</v>
      </c>
      <c r="DE94" s="15">
        <f t="shared" si="292"/>
        <v>0</v>
      </c>
      <c r="DF94" s="15">
        <f t="shared" si="292"/>
        <v>0</v>
      </c>
      <c r="DG94" s="352">
        <f>DG48</f>
        <v>0</v>
      </c>
      <c r="DH94" s="15">
        <f>DF94+DH48</f>
        <v>0</v>
      </c>
      <c r="DI94" s="15">
        <f t="shared" si="292"/>
        <v>0</v>
      </c>
      <c r="DJ94" s="15">
        <f t="shared" si="292"/>
        <v>0</v>
      </c>
      <c r="DK94" s="15">
        <f t="shared" si="292"/>
        <v>0</v>
      </c>
      <c r="DL94" s="352">
        <f>DL48</f>
        <v>0</v>
      </c>
      <c r="DM94" s="15">
        <f>DK94+DM48</f>
        <v>0</v>
      </c>
      <c r="DN94" s="15">
        <f t="shared" ref="DN94" si="293">DM94+DN48</f>
        <v>0</v>
      </c>
      <c r="DO94" s="15">
        <f t="shared" ref="DO94" si="294">DN94+DO48</f>
        <v>0</v>
      </c>
      <c r="DP94" s="15">
        <f t="shared" ref="DP94" si="295">DO94+DP48</f>
        <v>0</v>
      </c>
      <c r="DQ94" s="352">
        <f>DQ48</f>
        <v>0</v>
      </c>
      <c r="DR94" s="36"/>
      <c r="DS94" s="145"/>
      <c r="DT94"/>
      <c r="DU94"/>
      <c r="DV94"/>
      <c r="DW94"/>
      <c r="DX94"/>
      <c r="DY94"/>
    </row>
    <row r="95" spans="1:129" s="202" customFormat="1" hidden="1" outlineLevel="1">
      <c r="A95" s="200"/>
      <c r="B95" s="169" t="s">
        <v>102</v>
      </c>
      <c r="C95" s="191"/>
      <c r="D95" s="191"/>
      <c r="E95" s="191"/>
      <c r="F95" s="191"/>
      <c r="G95" s="81">
        <v>2.7149999999999999</v>
      </c>
      <c r="H95" s="77">
        <f>G95</f>
        <v>2.7149999999999999</v>
      </c>
      <c r="I95" s="40">
        <f>G95</f>
        <v>2.7149999999999999</v>
      </c>
      <c r="J95" s="41">
        <f>G95</f>
        <v>2.7149999999999999</v>
      </c>
      <c r="K95" s="195">
        <f>K49</f>
        <v>2.7149999999999999</v>
      </c>
      <c r="L95" s="39">
        <f>J96</f>
        <v>28.418000000000003</v>
      </c>
      <c r="M95" s="40">
        <f>L95</f>
        <v>28.418000000000003</v>
      </c>
      <c r="N95" s="40">
        <f>L95</f>
        <v>28.418000000000003</v>
      </c>
      <c r="O95" s="40">
        <f>L95</f>
        <v>28.418000000000003</v>
      </c>
      <c r="P95" s="194">
        <f>P49</f>
        <v>28.417999999999999</v>
      </c>
      <c r="Q95" s="78">
        <f>O96</f>
        <v>42.641000000000005</v>
      </c>
      <c r="R95" s="77">
        <f>Q95</f>
        <v>42.641000000000005</v>
      </c>
      <c r="S95" s="77">
        <f>Q95</f>
        <v>42.641000000000005</v>
      </c>
      <c r="T95" s="77">
        <f>Q95</f>
        <v>42.641000000000005</v>
      </c>
      <c r="U95" s="194">
        <f>U49</f>
        <v>42.641000000000005</v>
      </c>
      <c r="V95" s="78">
        <f>T96</f>
        <v>61.975999999999999</v>
      </c>
      <c r="W95" s="77">
        <f>V95</f>
        <v>61.975999999999999</v>
      </c>
      <c r="X95" s="77">
        <f>V95</f>
        <v>61.975999999999999</v>
      </c>
      <c r="Y95" s="77">
        <f>V95</f>
        <v>61.975999999999999</v>
      </c>
      <c r="Z95" s="194">
        <f>Z49</f>
        <v>61.976000000000013</v>
      </c>
      <c r="AA95" s="78">
        <f>Y96</f>
        <v>84.97699999999999</v>
      </c>
      <c r="AB95" s="77">
        <f>AA95</f>
        <v>84.97699999999999</v>
      </c>
      <c r="AC95" s="77">
        <f>AA95</f>
        <v>84.97699999999999</v>
      </c>
      <c r="AD95" s="77">
        <f>AA95</f>
        <v>84.97699999999999</v>
      </c>
      <c r="AE95" s="194">
        <f>AE49</f>
        <v>84.977000000000004</v>
      </c>
      <c r="AF95" s="78">
        <f>AD96</f>
        <v>126.21099999999998</v>
      </c>
      <c r="AG95" s="77">
        <f>AF95</f>
        <v>126.21099999999998</v>
      </c>
      <c r="AH95" s="77">
        <f>AF95</f>
        <v>126.21099999999998</v>
      </c>
      <c r="AI95" s="77">
        <f>AF95</f>
        <v>126.21099999999998</v>
      </c>
      <c r="AJ95" s="194">
        <f>AJ49</f>
        <v>126.21100000000001</v>
      </c>
      <c r="AK95" s="78">
        <f>AI96</f>
        <v>194.221</v>
      </c>
      <c r="AL95" s="77">
        <f>AK95</f>
        <v>194.221</v>
      </c>
      <c r="AM95" s="77">
        <f>AK95</f>
        <v>194.221</v>
      </c>
      <c r="AN95" s="77">
        <f>AK95</f>
        <v>194.221</v>
      </c>
      <c r="AO95" s="194">
        <f>AO49</f>
        <v>194.221</v>
      </c>
      <c r="AP95" s="78">
        <f>AN96</f>
        <v>293.44600000000003</v>
      </c>
      <c r="AQ95" s="77">
        <f>AP95</f>
        <v>293.44600000000003</v>
      </c>
      <c r="AR95" s="77">
        <f>AP95</f>
        <v>293.44600000000003</v>
      </c>
      <c r="AS95" s="77">
        <f>AP95</f>
        <v>293.44600000000003</v>
      </c>
      <c r="AT95" s="194">
        <f>AT49</f>
        <v>293.44599999999997</v>
      </c>
      <c r="AU95" s="78">
        <f>AS96</f>
        <v>196.93799999999996</v>
      </c>
      <c r="AV95" s="77">
        <f>AU95</f>
        <v>196.93799999999996</v>
      </c>
      <c r="AW95" s="77">
        <f>AU95</f>
        <v>196.93799999999996</v>
      </c>
      <c r="AX95" s="77">
        <f>AU95</f>
        <v>196.93799999999996</v>
      </c>
      <c r="AY95" s="194">
        <f>AY49</f>
        <v>196.93799999999987</v>
      </c>
      <c r="AZ95" s="78">
        <f>AX96</f>
        <v>265.9369999999999</v>
      </c>
      <c r="BA95" s="77">
        <f>AZ95</f>
        <v>265.9369999999999</v>
      </c>
      <c r="BB95" s="77">
        <f>AZ95</f>
        <v>265.9369999999999</v>
      </c>
      <c r="BC95" s="77">
        <f>AZ95</f>
        <v>265.9369999999999</v>
      </c>
      <c r="BD95" s="194">
        <f>BD49</f>
        <v>265.9369999999999</v>
      </c>
      <c r="BE95" s="78">
        <f>BC96</f>
        <v>339.8449999999998</v>
      </c>
      <c r="BF95" s="77">
        <f>BE95</f>
        <v>339.8449999999998</v>
      </c>
      <c r="BG95" s="77">
        <f>BE95</f>
        <v>339.8449999999998</v>
      </c>
      <c r="BH95" s="77">
        <f>BE95</f>
        <v>339.8449999999998</v>
      </c>
      <c r="BI95" s="194">
        <f>BI49</f>
        <v>339.84499999999986</v>
      </c>
      <c r="BJ95" s="39">
        <f>BH96</f>
        <v>735.06599999999969</v>
      </c>
      <c r="BK95" s="40">
        <f>BJ95</f>
        <v>735.06599999999969</v>
      </c>
      <c r="BL95" s="40">
        <f>BJ95</f>
        <v>735.06599999999969</v>
      </c>
      <c r="BM95" s="40">
        <f>BJ95</f>
        <v>735.06599999999969</v>
      </c>
      <c r="BN95" s="194">
        <f>BN49</f>
        <v>735.0659999999998</v>
      </c>
      <c r="BO95" s="39">
        <f>BM96</f>
        <v>1100.9299999999994</v>
      </c>
      <c r="BP95" s="40">
        <f>BO95</f>
        <v>1100.9299999999994</v>
      </c>
      <c r="BQ95" s="40">
        <f>BO95</f>
        <v>1100.9299999999994</v>
      </c>
      <c r="BR95" s="40">
        <f>BO95</f>
        <v>1100.9299999999994</v>
      </c>
      <c r="BS95" s="194">
        <f>BS49</f>
        <v>1100.9299999999998</v>
      </c>
      <c r="BT95" s="39">
        <f>BR96</f>
        <v>1540.9689999999996</v>
      </c>
      <c r="BU95" s="40">
        <f>BT95</f>
        <v>1540.9689999999996</v>
      </c>
      <c r="BV95" s="40">
        <f>BT95</f>
        <v>1540.9689999999996</v>
      </c>
      <c r="BW95" s="40">
        <f>BT95</f>
        <v>1540.9689999999996</v>
      </c>
      <c r="BX95" s="194">
        <f>BX49</f>
        <v>1540.9689999999996</v>
      </c>
      <c r="BY95" s="39">
        <f>BW96</f>
        <v>1310.9059999999997</v>
      </c>
      <c r="BZ95" s="40">
        <f>BY95</f>
        <v>1310.9059999999997</v>
      </c>
      <c r="CA95" s="40">
        <f>BY95</f>
        <v>1310.9059999999997</v>
      </c>
      <c r="CB95" s="204">
        <f>BY95</f>
        <v>1310.9059999999997</v>
      </c>
      <c r="CC95" s="194">
        <f>CC49</f>
        <v>1310.9059999999997</v>
      </c>
      <c r="CD95" s="39">
        <f>CB96</f>
        <v>1570.0769999999998</v>
      </c>
      <c r="CE95" s="40">
        <f>CD95</f>
        <v>1570.0769999999998</v>
      </c>
      <c r="CF95" s="40">
        <f>CD95</f>
        <v>1570.0769999999998</v>
      </c>
      <c r="CG95" s="451">
        <f>CD95</f>
        <v>1570.0769999999998</v>
      </c>
      <c r="CH95" s="194">
        <f>CH49</f>
        <v>1570.0769999999998</v>
      </c>
      <c r="CI95" s="39">
        <f>CG96</f>
        <v>2213.0059999999999</v>
      </c>
      <c r="CJ95" s="40">
        <f>CI95</f>
        <v>2213.0059999999999</v>
      </c>
      <c r="CK95" s="40">
        <f>CI95</f>
        <v>2213.0059999999999</v>
      </c>
      <c r="CL95" s="451">
        <f>CI95</f>
        <v>2213.0059999999999</v>
      </c>
      <c r="CM95" s="194">
        <f>CM49</f>
        <v>2213.0059999999999</v>
      </c>
      <c r="CN95" s="39">
        <f>+CL96</f>
        <v>2010.1489999999999</v>
      </c>
      <c r="CO95" s="40">
        <f>CN95</f>
        <v>2010.1489999999999</v>
      </c>
      <c r="CP95" s="40">
        <f>CN95</f>
        <v>2010.1489999999999</v>
      </c>
      <c r="CQ95" s="451">
        <f>CN95</f>
        <v>2010.1489999999999</v>
      </c>
      <c r="CR95" s="355">
        <f>CR49</f>
        <v>2010.1490000000001</v>
      </c>
      <c r="CS95" s="40">
        <f>+CQ96</f>
        <v>2125.1999999999998</v>
      </c>
      <c r="CT95" s="40">
        <f>CS95</f>
        <v>2125.1999999999998</v>
      </c>
      <c r="CU95" s="40">
        <f>CS95</f>
        <v>2125.1999999999998</v>
      </c>
      <c r="CV95" s="451">
        <f>CS95</f>
        <v>2125.1999999999998</v>
      </c>
      <c r="CW95" s="355">
        <f>CW49</f>
        <v>2125.1999999999998</v>
      </c>
      <c r="CX95" s="194">
        <f>+CV96</f>
        <v>2034</v>
      </c>
      <c r="CY95" s="40">
        <f>CX95</f>
        <v>2034</v>
      </c>
      <c r="CZ95" s="40">
        <f>CX95</f>
        <v>2034</v>
      </c>
      <c r="DA95" s="356">
        <f>CX95</f>
        <v>2034</v>
      </c>
      <c r="DB95" s="355">
        <f>DB49</f>
        <v>2033.9999999999995</v>
      </c>
      <c r="DC95" s="194">
        <f>+DA96</f>
        <v>1925</v>
      </c>
      <c r="DD95" s="40">
        <f>DC95</f>
        <v>1925</v>
      </c>
      <c r="DE95" s="40">
        <f>DC95</f>
        <v>1925</v>
      </c>
      <c r="DF95" s="356">
        <f>DC95</f>
        <v>1925</v>
      </c>
      <c r="DG95" s="355">
        <f>DG49</f>
        <v>1924.9999999999995</v>
      </c>
      <c r="DH95" s="194">
        <f>+DF96</f>
        <v>2317.9078421093336</v>
      </c>
      <c r="DI95" s="40">
        <f>DH95</f>
        <v>2317.9078421093336</v>
      </c>
      <c r="DJ95" s="40">
        <f>DH95</f>
        <v>2317.9078421093336</v>
      </c>
      <c r="DK95" s="356">
        <f>DH95</f>
        <v>2317.9078421093336</v>
      </c>
      <c r="DL95" s="355">
        <f>DL49</f>
        <v>2317.9078421093327</v>
      </c>
      <c r="DM95" s="194">
        <f>+DK96</f>
        <v>2830.2725342691583</v>
      </c>
      <c r="DN95" s="40">
        <f>DM95</f>
        <v>2830.2725342691583</v>
      </c>
      <c r="DO95" s="40">
        <f>DM95</f>
        <v>2830.2725342691583</v>
      </c>
      <c r="DP95" s="356">
        <f>DM95</f>
        <v>2830.2725342691583</v>
      </c>
      <c r="DQ95" s="355">
        <f>DQ49</f>
        <v>2830.2725342691574</v>
      </c>
      <c r="DR95" s="40"/>
      <c r="DS95" s="269"/>
      <c r="DT95"/>
      <c r="DU95"/>
      <c r="DV95"/>
      <c r="DW95"/>
      <c r="DX95"/>
      <c r="DY95"/>
    </row>
    <row r="96" spans="1:129" s="202" customFormat="1" hidden="1" outlineLevel="1">
      <c r="A96" s="200"/>
      <c r="B96" s="169" t="s">
        <v>103</v>
      </c>
      <c r="C96" s="191"/>
      <c r="D96" s="191"/>
      <c r="E96" s="191"/>
      <c r="F96" s="191"/>
      <c r="G96" s="78">
        <f t="shared" ref="G96:AS96" si="296">SUM(G93:G95)</f>
        <v>2.1969999999999996</v>
      </c>
      <c r="H96" s="77">
        <f t="shared" si="296"/>
        <v>21.514999999999997</v>
      </c>
      <c r="I96" s="40">
        <f t="shared" si="296"/>
        <v>26.052999999999997</v>
      </c>
      <c r="J96" s="41">
        <f t="shared" si="296"/>
        <v>28.418000000000003</v>
      </c>
      <c r="K96" s="195">
        <f>K50</f>
        <v>28.417999999999999</v>
      </c>
      <c r="L96" s="39">
        <f t="shared" si="296"/>
        <v>25.102000000000004</v>
      </c>
      <c r="M96" s="40">
        <f t="shared" si="296"/>
        <v>29.359000000000002</v>
      </c>
      <c r="N96" s="40">
        <f t="shared" si="296"/>
        <v>33.685000000000002</v>
      </c>
      <c r="O96" s="40">
        <f t="shared" si="296"/>
        <v>42.641000000000005</v>
      </c>
      <c r="P96" s="194">
        <f>P50</f>
        <v>42.641000000000005</v>
      </c>
      <c r="Q96" s="78">
        <f t="shared" si="296"/>
        <v>40.360000000000007</v>
      </c>
      <c r="R96" s="77">
        <f t="shared" si="296"/>
        <v>45.209000000000003</v>
      </c>
      <c r="S96" s="77">
        <f t="shared" si="296"/>
        <v>52.836000000000006</v>
      </c>
      <c r="T96" s="79">
        <f t="shared" si="296"/>
        <v>61.975999999999999</v>
      </c>
      <c r="U96" s="194">
        <f>U50</f>
        <v>61.976000000000013</v>
      </c>
      <c r="V96" s="77">
        <f t="shared" si="296"/>
        <v>60.966000000000001</v>
      </c>
      <c r="W96" s="77">
        <f t="shared" si="296"/>
        <v>67.658999999999992</v>
      </c>
      <c r="X96" s="77">
        <f t="shared" si="296"/>
        <v>79.766999999999996</v>
      </c>
      <c r="Y96" s="79">
        <f t="shared" si="296"/>
        <v>84.97699999999999</v>
      </c>
      <c r="Z96" s="194">
        <f>Z50</f>
        <v>84.977000000000004</v>
      </c>
      <c r="AA96" s="77">
        <f t="shared" si="296"/>
        <v>91.185999999999993</v>
      </c>
      <c r="AB96" s="77">
        <f t="shared" si="296"/>
        <v>103.84299999999999</v>
      </c>
      <c r="AC96" s="77">
        <f t="shared" si="296"/>
        <v>123.08199999999998</v>
      </c>
      <c r="AD96" s="79">
        <f t="shared" si="296"/>
        <v>126.21099999999998</v>
      </c>
      <c r="AE96" s="194">
        <f>AE50</f>
        <v>126.21100000000001</v>
      </c>
      <c r="AF96" s="77">
        <f t="shared" si="296"/>
        <v>126.64699999999999</v>
      </c>
      <c r="AG96" s="77">
        <f t="shared" si="296"/>
        <v>137.73899999999998</v>
      </c>
      <c r="AH96" s="77">
        <f t="shared" si="296"/>
        <v>159.74899999999997</v>
      </c>
      <c r="AI96" s="79">
        <f t="shared" si="296"/>
        <v>194.221</v>
      </c>
      <c r="AJ96" s="194">
        <f>AJ50</f>
        <v>194.221</v>
      </c>
      <c r="AK96" s="77">
        <f t="shared" si="296"/>
        <v>161.98500000000001</v>
      </c>
      <c r="AL96" s="77">
        <f t="shared" si="296"/>
        <v>197.02700000000002</v>
      </c>
      <c r="AM96" s="77">
        <f t="shared" si="296"/>
        <v>250.37</v>
      </c>
      <c r="AN96" s="79">
        <f t="shared" si="296"/>
        <v>293.44600000000003</v>
      </c>
      <c r="AO96" s="194">
        <f>AO50</f>
        <v>293.44599999999997</v>
      </c>
      <c r="AP96" s="77">
        <f t="shared" si="296"/>
        <v>174.988</v>
      </c>
      <c r="AQ96" s="77">
        <f t="shared" si="296"/>
        <v>180.12299999999999</v>
      </c>
      <c r="AR96" s="77">
        <f t="shared" si="296"/>
        <v>214.90899999999999</v>
      </c>
      <c r="AS96" s="79">
        <f t="shared" si="296"/>
        <v>196.93799999999996</v>
      </c>
      <c r="AT96" s="194">
        <f>AT50</f>
        <v>196.93799999999987</v>
      </c>
      <c r="AU96" s="77">
        <f t="shared" ref="AU96:CD96" si="297">SUM(AU93:AU95)</f>
        <v>165.36199999999997</v>
      </c>
      <c r="AV96" s="77">
        <f t="shared" si="297"/>
        <v>203.10499999999996</v>
      </c>
      <c r="AW96" s="77">
        <f t="shared" si="297"/>
        <v>197.7</v>
      </c>
      <c r="AX96" s="77">
        <f t="shared" si="297"/>
        <v>265.9369999999999</v>
      </c>
      <c r="AY96" s="194">
        <f>AY50</f>
        <v>265.9369999999999</v>
      </c>
      <c r="AZ96" s="78">
        <f t="shared" si="297"/>
        <v>273.0379999999999</v>
      </c>
      <c r="BA96" s="77">
        <f t="shared" si="297"/>
        <v>268.9849999999999</v>
      </c>
      <c r="BB96" s="77">
        <f t="shared" si="297"/>
        <v>296.48799999999989</v>
      </c>
      <c r="BC96" s="77">
        <f t="shared" si="297"/>
        <v>339.8449999999998</v>
      </c>
      <c r="BD96" s="194">
        <f>BD50</f>
        <v>339.84499999999986</v>
      </c>
      <c r="BE96" s="78">
        <f t="shared" si="297"/>
        <v>449.73899999999981</v>
      </c>
      <c r="BF96" s="77">
        <f t="shared" si="297"/>
        <v>521.19299999999976</v>
      </c>
      <c r="BG96" s="77">
        <f t="shared" si="297"/>
        <v>569.26199999999983</v>
      </c>
      <c r="BH96" s="79">
        <f t="shared" si="297"/>
        <v>735.06599999999969</v>
      </c>
      <c r="BI96" s="194">
        <f>BI50</f>
        <v>735.0659999999998</v>
      </c>
      <c r="BJ96" s="40">
        <f t="shared" si="297"/>
        <v>758.56799999999964</v>
      </c>
      <c r="BK96" s="40">
        <f t="shared" si="297"/>
        <v>860.37699999999961</v>
      </c>
      <c r="BL96" s="40">
        <f t="shared" si="297"/>
        <v>992.92599999999959</v>
      </c>
      <c r="BM96" s="41">
        <f t="shared" si="297"/>
        <v>1100.9299999999994</v>
      </c>
      <c r="BN96" s="194">
        <f>BN50</f>
        <v>1100.9299999999998</v>
      </c>
      <c r="BO96" s="40">
        <f t="shared" si="297"/>
        <v>1080.9419999999993</v>
      </c>
      <c r="BP96" s="40">
        <f t="shared" si="297"/>
        <v>1039.6859999999995</v>
      </c>
      <c r="BQ96" s="40">
        <f t="shared" si="297"/>
        <v>1317.0769999999993</v>
      </c>
      <c r="BR96" s="40">
        <f t="shared" si="297"/>
        <v>1540.9689999999996</v>
      </c>
      <c r="BS96" s="194">
        <f>BS50</f>
        <v>1540.9689999999996</v>
      </c>
      <c r="BT96" s="39">
        <f t="shared" si="297"/>
        <v>1293.4989999999996</v>
      </c>
      <c r="BU96" s="40">
        <f t="shared" si="297"/>
        <v>1193.0399999999993</v>
      </c>
      <c r="BV96" s="40">
        <f t="shared" si="297"/>
        <v>1181.2189999999996</v>
      </c>
      <c r="BW96" s="40">
        <f t="shared" si="297"/>
        <v>1310.9059999999997</v>
      </c>
      <c r="BX96" s="194">
        <f>BX50</f>
        <v>1310.9059999999997</v>
      </c>
      <c r="BY96" s="39">
        <f t="shared" si="297"/>
        <v>1328.5349999999999</v>
      </c>
      <c r="BZ96" s="40">
        <f t="shared" si="297"/>
        <v>1050.2449999999999</v>
      </c>
      <c r="CA96" s="40">
        <f t="shared" si="297"/>
        <v>1324.7389999999998</v>
      </c>
      <c r="CB96" s="204">
        <f t="shared" si="297"/>
        <v>1570.0769999999998</v>
      </c>
      <c r="CC96" s="194">
        <f>CC50</f>
        <v>1570.0769999999998</v>
      </c>
      <c r="CD96" s="39">
        <f t="shared" si="297"/>
        <v>1474.8599999999997</v>
      </c>
      <c r="CE96" s="40">
        <f t="shared" ref="CE96:CO96" si="298">SUM(CE93:CE95)</f>
        <v>1678.2049999999995</v>
      </c>
      <c r="CF96" s="40">
        <f t="shared" si="298"/>
        <v>2031.1189999999997</v>
      </c>
      <c r="CG96" s="204">
        <f t="shared" si="298"/>
        <v>2213.0059999999999</v>
      </c>
      <c r="CH96" s="194">
        <f>CH50</f>
        <v>2213.0059999999999</v>
      </c>
      <c r="CI96" s="39">
        <f t="shared" si="298"/>
        <v>1935.9910000000004</v>
      </c>
      <c r="CJ96" s="40">
        <f t="shared" si="298"/>
        <v>1992.442</v>
      </c>
      <c r="CK96" s="40">
        <f t="shared" si="298"/>
        <v>2617.6190000000006</v>
      </c>
      <c r="CL96" s="204">
        <f t="shared" si="298"/>
        <v>2010.1489999999999</v>
      </c>
      <c r="CM96" s="194">
        <f>CM50</f>
        <v>2010.1490000000001</v>
      </c>
      <c r="CN96" s="39">
        <f t="shared" si="298"/>
        <v>1271.3999999999992</v>
      </c>
      <c r="CO96" s="40">
        <f t="shared" si="298"/>
        <v>1089.2999999999997</v>
      </c>
      <c r="CP96" s="40">
        <f t="shared" ref="CP96:CV96" si="299">SUM(CP93:CP95)</f>
        <v>1476.7</v>
      </c>
      <c r="CQ96" s="204">
        <f>SUM(CQ93:CQ95)</f>
        <v>2125.1999999999998</v>
      </c>
      <c r="CR96" s="355">
        <f>CR50</f>
        <v>2125.1999999999998</v>
      </c>
      <c r="CS96" s="40">
        <f t="shared" si="299"/>
        <v>1523.7999999999997</v>
      </c>
      <c r="CT96" s="40">
        <f t="shared" si="299"/>
        <v>1684.4999999999998</v>
      </c>
      <c r="CU96" s="40">
        <f t="shared" si="299"/>
        <v>1550.2999999999997</v>
      </c>
      <c r="CV96" s="204">
        <f t="shared" si="299"/>
        <v>2034</v>
      </c>
      <c r="CW96" s="355">
        <f>CW50</f>
        <v>2033.9999999999995</v>
      </c>
      <c r="CX96" s="194">
        <f t="shared" ref="CX96:DF96" si="300">SUM(CX93:CX95)</f>
        <v>1308</v>
      </c>
      <c r="CY96" s="40">
        <f t="shared" si="300"/>
        <v>1157</v>
      </c>
      <c r="CZ96" s="194">
        <f t="shared" si="300"/>
        <v>1577</v>
      </c>
      <c r="DA96" s="194">
        <f t="shared" si="300"/>
        <v>1925</v>
      </c>
      <c r="DB96" s="355">
        <f>DB50</f>
        <v>1924.9999999999995</v>
      </c>
      <c r="DC96" s="194">
        <f t="shared" si="300"/>
        <v>1860.4046267681722</v>
      </c>
      <c r="DD96" s="194">
        <f t="shared" si="300"/>
        <v>1732.8800188042221</v>
      </c>
      <c r="DE96" s="194">
        <f t="shared" si="300"/>
        <v>1999.743383509604</v>
      </c>
      <c r="DF96" s="194">
        <f t="shared" si="300"/>
        <v>2317.9078421093336</v>
      </c>
      <c r="DG96" s="355">
        <f>DG50</f>
        <v>2317.9078421093327</v>
      </c>
      <c r="DH96" s="194">
        <f>SUM(DH93:DH95)</f>
        <v>2418.5148649038883</v>
      </c>
      <c r="DI96" s="194">
        <f>SUM(DI93:DI95)</f>
        <v>2286.4585554718997</v>
      </c>
      <c r="DJ96" s="194">
        <f>SUM(DJ93:DJ95)</f>
        <v>2502.9358155187379</v>
      </c>
      <c r="DK96" s="194">
        <f>SUM(DK93:DK95)</f>
        <v>2830.2725342691583</v>
      </c>
      <c r="DL96" s="355">
        <f>DL50</f>
        <v>2830.2725342691574</v>
      </c>
      <c r="DM96" s="194">
        <f>SUM(DM93:DM95)</f>
        <v>3092.2463332405227</v>
      </c>
      <c r="DN96" s="194">
        <f>SUM(DN93:DN95)</f>
        <v>2991.5333753770847</v>
      </c>
      <c r="DO96" s="194">
        <f>SUM(DO93:DO95)</f>
        <v>3217.1410643231079</v>
      </c>
      <c r="DP96" s="194">
        <f>SUM(DP93:DP95)</f>
        <v>3610.7459904461562</v>
      </c>
      <c r="DQ96" s="355">
        <f>DQ50</f>
        <v>3610.7459904461557</v>
      </c>
      <c r="DR96" s="40"/>
      <c r="DS96" s="269"/>
      <c r="DT96"/>
      <c r="DU96"/>
      <c r="DV96"/>
      <c r="DW96"/>
      <c r="DX96"/>
      <c r="DY96"/>
    </row>
    <row r="97" spans="1:129" s="144" customFormat="1" hidden="1" outlineLevel="1">
      <c r="A97" s="156"/>
      <c r="B97" s="198"/>
      <c r="C97" s="199"/>
      <c r="D97" s="199"/>
      <c r="E97" s="199"/>
      <c r="F97" s="199"/>
      <c r="G97" s="157"/>
      <c r="H97" s="158"/>
      <c r="I97" s="158"/>
      <c r="J97" s="159"/>
      <c r="K97" s="157"/>
      <c r="L97" s="157"/>
      <c r="M97" s="158"/>
      <c r="N97" s="158"/>
      <c r="O97" s="158"/>
      <c r="P97" s="158"/>
      <c r="Q97" s="157"/>
      <c r="R97" s="158"/>
      <c r="S97" s="158"/>
      <c r="T97" s="159"/>
      <c r="U97" s="158"/>
      <c r="V97" s="158"/>
      <c r="W97" s="158"/>
      <c r="X97" s="158"/>
      <c r="Y97" s="159"/>
      <c r="Z97" s="158"/>
      <c r="AA97" s="158"/>
      <c r="AB97" s="158"/>
      <c r="AC97" s="158"/>
      <c r="AD97" s="158"/>
      <c r="AE97" s="158"/>
      <c r="AF97" s="157"/>
      <c r="AG97" s="158"/>
      <c r="AH97" s="158"/>
      <c r="AI97" s="158"/>
      <c r="AJ97" s="158"/>
      <c r="AK97" s="157"/>
      <c r="AL97" s="158"/>
      <c r="AM97" s="158"/>
      <c r="AN97" s="159"/>
      <c r="AO97" s="158"/>
      <c r="AP97" s="158"/>
      <c r="AQ97" s="158"/>
      <c r="AR97" s="158"/>
      <c r="AS97" s="159"/>
      <c r="AT97" s="158"/>
      <c r="AU97" s="158"/>
      <c r="AV97" s="158"/>
      <c r="AW97" s="158"/>
      <c r="AX97" s="158"/>
      <c r="AY97" s="158"/>
      <c r="AZ97" s="157"/>
      <c r="BA97" s="158"/>
      <c r="BB97" s="158"/>
      <c r="BC97" s="158"/>
      <c r="BD97" s="158"/>
      <c r="BE97" s="157"/>
      <c r="BF97" s="158"/>
      <c r="BG97" s="158"/>
      <c r="BH97" s="159"/>
      <c r="BI97" s="158"/>
      <c r="BJ97" s="158"/>
      <c r="BK97" s="158"/>
      <c r="BL97" s="158"/>
      <c r="BM97" s="159"/>
      <c r="BN97" s="158"/>
      <c r="BO97" s="158"/>
      <c r="BP97" s="158"/>
      <c r="BQ97" s="158"/>
      <c r="BR97" s="158"/>
      <c r="BS97" s="158"/>
      <c r="BT97" s="157"/>
      <c r="BU97" s="158"/>
      <c r="BV97" s="158"/>
      <c r="BW97" s="158"/>
      <c r="BX97" s="158"/>
      <c r="BY97" s="157"/>
      <c r="BZ97" s="158"/>
      <c r="CA97" s="158"/>
      <c r="CB97" s="159"/>
      <c r="CC97" s="158"/>
      <c r="CD97" s="158"/>
      <c r="CE97" s="158"/>
      <c r="CF97" s="158"/>
      <c r="CG97" s="159"/>
      <c r="CH97" s="158"/>
      <c r="CI97" s="158"/>
      <c r="CJ97" s="158"/>
      <c r="CK97" s="158"/>
      <c r="CL97" s="159"/>
      <c r="CM97" s="158"/>
      <c r="CN97" s="158"/>
      <c r="CO97" s="158"/>
      <c r="CP97" s="158"/>
      <c r="CQ97" s="159"/>
      <c r="CR97" s="756"/>
      <c r="CS97" s="158"/>
      <c r="CT97" s="158"/>
      <c r="CU97" s="158"/>
      <c r="CV97" s="159"/>
      <c r="CW97" s="756"/>
      <c r="CX97" s="158"/>
      <c r="CY97" s="158"/>
      <c r="CZ97" s="158"/>
      <c r="DA97" s="158"/>
      <c r="DB97" s="756"/>
      <c r="DC97" s="158"/>
      <c r="DD97" s="158"/>
      <c r="DE97" s="158"/>
      <c r="DF97" s="158"/>
      <c r="DG97" s="756"/>
      <c r="DH97" s="158"/>
      <c r="DI97" s="158"/>
      <c r="DJ97" s="158"/>
      <c r="DK97" s="158"/>
      <c r="DL97" s="756"/>
      <c r="DM97" s="158"/>
      <c r="DN97" s="158"/>
      <c r="DO97" s="158"/>
      <c r="DP97" s="158"/>
      <c r="DQ97" s="756"/>
      <c r="DR97" s="185"/>
      <c r="DS97" s="139"/>
      <c r="DT97"/>
      <c r="DU97"/>
      <c r="DV97"/>
      <c r="DW97"/>
      <c r="DX97"/>
      <c r="DY97"/>
    </row>
    <row r="98" spans="1:129" collapsed="1">
      <c r="K98" s="4"/>
      <c r="P98" s="4"/>
      <c r="U98" s="4"/>
      <c r="Z98" s="4"/>
      <c r="DB98" s="330"/>
      <c r="DG98" s="330"/>
      <c r="DL98" s="330"/>
      <c r="DM98" s="114"/>
      <c r="DN98" s="114"/>
      <c r="DO98" s="114"/>
      <c r="DP98" s="114"/>
      <c r="DQ98" s="330"/>
      <c r="DR98" s="4"/>
    </row>
    <row r="99" spans="1:129">
      <c r="B99" s="55" t="s">
        <v>250</v>
      </c>
      <c r="C99" s="50"/>
      <c r="D99" s="50"/>
      <c r="E99" s="50"/>
      <c r="F99" s="50"/>
      <c r="G99" s="52"/>
      <c r="H99" s="50"/>
      <c r="I99" s="50"/>
      <c r="J99" s="51"/>
      <c r="K99" s="46"/>
      <c r="L99" s="52"/>
      <c r="M99" s="50"/>
      <c r="N99" s="50"/>
      <c r="O99" s="50"/>
      <c r="P99" s="47"/>
      <c r="Q99" s="52"/>
      <c r="R99" s="50"/>
      <c r="S99" s="50"/>
      <c r="T99" s="51"/>
      <c r="U99" s="47"/>
      <c r="V99" s="50"/>
      <c r="W99" s="50"/>
      <c r="X99" s="50"/>
      <c r="Y99" s="51"/>
      <c r="Z99" s="47"/>
      <c r="AA99" s="50"/>
      <c r="AB99" s="50"/>
      <c r="AC99" s="50"/>
      <c r="AD99" s="50"/>
      <c r="AE99" s="47"/>
      <c r="AF99" s="52"/>
      <c r="AG99" s="50"/>
      <c r="AH99" s="50"/>
      <c r="AI99" s="50"/>
      <c r="AJ99" s="47"/>
      <c r="AK99" s="52"/>
      <c r="AL99" s="50"/>
      <c r="AM99" s="50"/>
      <c r="AN99" s="51"/>
      <c r="AO99" s="47"/>
      <c r="AP99" s="50"/>
      <c r="AQ99" s="50"/>
      <c r="AR99" s="50"/>
      <c r="AS99" s="51"/>
      <c r="AT99" s="47"/>
      <c r="AU99" s="50"/>
      <c r="AV99" s="50"/>
      <c r="AW99" s="50"/>
      <c r="AX99" s="50"/>
      <c r="AY99" s="47"/>
      <c r="AZ99" s="52"/>
      <c r="BA99" s="50"/>
      <c r="BB99" s="50"/>
      <c r="BC99" s="50"/>
      <c r="BD99" s="47"/>
      <c r="BE99" s="52"/>
      <c r="BF99" s="50"/>
      <c r="BG99" s="50"/>
      <c r="BH99" s="50"/>
      <c r="BI99" s="47"/>
      <c r="BJ99" s="52"/>
      <c r="BK99" s="50"/>
      <c r="BL99" s="50"/>
      <c r="BM99" s="50"/>
      <c r="BN99" s="47"/>
      <c r="BO99" s="52"/>
      <c r="BP99" s="50"/>
      <c r="BQ99" s="50"/>
      <c r="BR99" s="50"/>
      <c r="BS99" s="47"/>
      <c r="BT99" s="52"/>
      <c r="BU99" s="50"/>
      <c r="BV99" s="50"/>
      <c r="BW99" s="50"/>
      <c r="BX99" s="47"/>
      <c r="BY99" s="52"/>
      <c r="BZ99" s="50"/>
      <c r="CA99" s="50"/>
      <c r="CB99" s="51"/>
      <c r="CC99" s="47"/>
      <c r="CD99" s="50"/>
      <c r="CE99" s="50"/>
      <c r="CF99" s="50"/>
      <c r="CG99" s="51"/>
      <c r="CH99" s="47"/>
      <c r="CI99" s="50"/>
      <c r="CJ99" s="50"/>
      <c r="CK99" s="50"/>
      <c r="CL99" s="51"/>
      <c r="CM99" s="604"/>
      <c r="CN99" s="50"/>
      <c r="CO99" s="50"/>
      <c r="CP99" s="50"/>
      <c r="CQ99" s="51"/>
      <c r="CR99" s="604"/>
      <c r="CS99" s="50"/>
      <c r="CT99" s="50"/>
      <c r="CU99" s="50"/>
      <c r="CV99" s="51"/>
      <c r="CW99" s="604"/>
      <c r="CX99" s="50"/>
      <c r="CY99" s="50"/>
      <c r="CZ99" s="50"/>
      <c r="DA99" s="50"/>
      <c r="DB99" s="604"/>
      <c r="DC99" s="50"/>
      <c r="DD99" s="50"/>
      <c r="DE99" s="50"/>
      <c r="DF99" s="50"/>
      <c r="DG99" s="604"/>
      <c r="DH99" s="50"/>
      <c r="DI99" s="50"/>
      <c r="DJ99" s="50"/>
      <c r="DK99" s="50"/>
      <c r="DL99" s="604"/>
      <c r="DM99" s="50"/>
      <c r="DN99" s="50"/>
      <c r="DO99" s="50"/>
      <c r="DP99" s="50"/>
      <c r="DQ99" s="604"/>
      <c r="DR99" s="4"/>
      <c r="DS99" s="112"/>
    </row>
    <row r="100" spans="1:129" s="132" customFormat="1">
      <c r="A100" s="38"/>
      <c r="B100" s="56"/>
      <c r="C100" s="57" t="s">
        <v>254</v>
      </c>
      <c r="D100" s="57"/>
      <c r="E100" s="57"/>
      <c r="F100" s="57"/>
      <c r="G100" s="129">
        <f t="shared" ref="G100:AS100" si="301">G25</f>
        <v>0.61799999999999988</v>
      </c>
      <c r="H100" s="130">
        <f t="shared" si="301"/>
        <v>4.1029999999999998</v>
      </c>
      <c r="I100" s="130">
        <f t="shared" si="301"/>
        <v>5.1169999999999991</v>
      </c>
      <c r="J100" s="131">
        <f t="shared" si="301"/>
        <v>3.5200000000000005</v>
      </c>
      <c r="K100" s="130">
        <f>K25</f>
        <v>13.358000000000001</v>
      </c>
      <c r="L100" s="129">
        <f t="shared" si="301"/>
        <v>-2.1669999999999998</v>
      </c>
      <c r="M100" s="130">
        <f t="shared" si="301"/>
        <v>6.1519999999999992</v>
      </c>
      <c r="N100" s="130">
        <f t="shared" si="301"/>
        <v>5.9220000000000006</v>
      </c>
      <c r="O100" s="130">
        <f t="shared" si="301"/>
        <v>9.5390000000000015</v>
      </c>
      <c r="P100" s="130">
        <f>P25</f>
        <v>19.446000000000002</v>
      </c>
      <c r="Q100" s="129">
        <f t="shared" si="301"/>
        <v>-1.8510000000000013</v>
      </c>
      <c r="R100" s="130">
        <f t="shared" si="301"/>
        <v>8.3560000000000016</v>
      </c>
      <c r="S100" s="130">
        <f t="shared" si="301"/>
        <v>10.687999999999999</v>
      </c>
      <c r="T100" s="131">
        <f t="shared" si="301"/>
        <v>13.027000000000001</v>
      </c>
      <c r="U100" s="130">
        <f>U25</f>
        <v>30.22</v>
      </c>
      <c r="V100" s="130">
        <f t="shared" si="301"/>
        <v>1.4580000000000002</v>
      </c>
      <c r="W100" s="130">
        <f t="shared" si="301"/>
        <v>6.4850000000000003</v>
      </c>
      <c r="X100" s="130">
        <f t="shared" si="301"/>
        <v>15.771999999999998</v>
      </c>
      <c r="Y100" s="131">
        <f t="shared" si="301"/>
        <v>8.3640000000000008</v>
      </c>
      <c r="Z100" s="130">
        <f>Z25</f>
        <v>32.079000000000001</v>
      </c>
      <c r="AA100" s="130">
        <f t="shared" si="301"/>
        <v>7.5249999999999986</v>
      </c>
      <c r="AB100" s="130">
        <f t="shared" si="301"/>
        <v>12.850999999999999</v>
      </c>
      <c r="AC100" s="130">
        <f t="shared" si="301"/>
        <v>15.21</v>
      </c>
      <c r="AD100" s="130">
        <f t="shared" si="301"/>
        <v>21.096000000000004</v>
      </c>
      <c r="AE100" s="130">
        <f>AE25</f>
        <v>56.682000000000002</v>
      </c>
      <c r="AF100" s="129">
        <f t="shared" si="301"/>
        <v>6.7270000000000012</v>
      </c>
      <c r="AG100" s="130">
        <f t="shared" si="301"/>
        <v>16.271000000000001</v>
      </c>
      <c r="AH100" s="130">
        <f t="shared" si="301"/>
        <v>18.961999999999996</v>
      </c>
      <c r="AI100" s="130">
        <f t="shared" si="301"/>
        <v>37.902000000000001</v>
      </c>
      <c r="AJ100" s="130">
        <f>AJ25</f>
        <v>79.861999999999995</v>
      </c>
      <c r="AK100" s="129">
        <f t="shared" si="301"/>
        <v>2.7589999999999968</v>
      </c>
      <c r="AL100" s="130">
        <f t="shared" si="301"/>
        <v>30.805000000000003</v>
      </c>
      <c r="AM100" s="130">
        <f t="shared" si="301"/>
        <v>41.972000000000001</v>
      </c>
      <c r="AN100" s="131">
        <f t="shared" si="301"/>
        <v>51.796999999999983</v>
      </c>
      <c r="AO100" s="130">
        <f>AO25</f>
        <v>127.33299999999998</v>
      </c>
      <c r="AP100" s="130">
        <f t="shared" si="301"/>
        <v>-0.3940000000000019</v>
      </c>
      <c r="AQ100" s="130">
        <f t="shared" si="301"/>
        <v>31.054999999999996</v>
      </c>
      <c r="AR100" s="130">
        <f t="shared" si="301"/>
        <v>62.899000000000001</v>
      </c>
      <c r="AS100" s="131">
        <f t="shared" si="301"/>
        <v>66.19999999999996</v>
      </c>
      <c r="AT100" s="130">
        <f>AT25</f>
        <v>159.75999999999996</v>
      </c>
      <c r="AU100" s="130">
        <f t="shared" ref="AU100:CG100" si="302">AU25</f>
        <v>-3.9270000000000067</v>
      </c>
      <c r="AV100" s="130">
        <f t="shared" si="302"/>
        <v>51.599000000000004</v>
      </c>
      <c r="AW100" s="130">
        <f t="shared" si="302"/>
        <v>86.746000000000009</v>
      </c>
      <c r="AX100" s="130">
        <f t="shared" si="302"/>
        <v>118.458</v>
      </c>
      <c r="AY100" s="130">
        <f>AY25</f>
        <v>252.876</v>
      </c>
      <c r="AZ100" s="129">
        <f t="shared" si="302"/>
        <v>12.483000000000001</v>
      </c>
      <c r="BA100" s="130">
        <f t="shared" si="302"/>
        <v>52.038000000000025</v>
      </c>
      <c r="BB100" s="130">
        <f t="shared" si="302"/>
        <v>129.90300000000002</v>
      </c>
      <c r="BC100" s="130">
        <f t="shared" si="302"/>
        <v>149.89599999999996</v>
      </c>
      <c r="BD100" s="130">
        <f>BD25</f>
        <v>344.32</v>
      </c>
      <c r="BE100" s="129">
        <f t="shared" si="302"/>
        <v>22.260999999999996</v>
      </c>
      <c r="BF100" s="130">
        <f t="shared" si="302"/>
        <v>74.765000000000015</v>
      </c>
      <c r="BG100" s="130">
        <f t="shared" si="302"/>
        <v>139.76599999999999</v>
      </c>
      <c r="BH100" s="130">
        <f t="shared" si="302"/>
        <v>192.91300000000001</v>
      </c>
      <c r="BI100" s="130">
        <f>BI25</f>
        <v>429.70500000000004</v>
      </c>
      <c r="BJ100" s="129">
        <f t="shared" si="302"/>
        <v>75.089999999999947</v>
      </c>
      <c r="BK100" s="130">
        <f t="shared" si="302"/>
        <v>151.25799999999998</v>
      </c>
      <c r="BL100" s="130">
        <f t="shared" si="302"/>
        <v>208.45499999999998</v>
      </c>
      <c r="BM100" s="130">
        <f t="shared" si="302"/>
        <v>237.52200000000005</v>
      </c>
      <c r="BN100" s="130">
        <f>BN25</f>
        <v>672.32499999999993</v>
      </c>
      <c r="BO100" s="129">
        <f t="shared" si="302"/>
        <v>2.3279999999999603</v>
      </c>
      <c r="BP100" s="130">
        <f t="shared" si="302"/>
        <v>135.29400000000004</v>
      </c>
      <c r="BQ100" s="130">
        <f t="shared" si="302"/>
        <v>234.738</v>
      </c>
      <c r="BR100" s="130">
        <f t="shared" si="302"/>
        <v>392.29399999999993</v>
      </c>
      <c r="BS100" s="130">
        <f>BS25</f>
        <v>764.654</v>
      </c>
      <c r="BT100" s="129">
        <f t="shared" si="302"/>
        <v>45.628999999999934</v>
      </c>
      <c r="BU100" s="130">
        <f t="shared" si="302"/>
        <v>215.11299999999994</v>
      </c>
      <c r="BV100" s="130">
        <f t="shared" si="302"/>
        <v>329.34400000000011</v>
      </c>
      <c r="BW100" s="130">
        <f t="shared" si="302"/>
        <v>285.06600000000014</v>
      </c>
      <c r="BX100" s="130">
        <f>BX25</f>
        <v>875.15200000000016</v>
      </c>
      <c r="BY100" s="129">
        <f t="shared" si="302"/>
        <v>101.76300000000006</v>
      </c>
      <c r="BZ100" s="130">
        <f t="shared" si="302"/>
        <v>324.10000000000014</v>
      </c>
      <c r="CA100" s="130">
        <f t="shared" si="302"/>
        <v>384.86</v>
      </c>
      <c r="CB100" s="131">
        <f t="shared" si="302"/>
        <v>361.85999999999979</v>
      </c>
      <c r="CC100" s="130">
        <f>CC25</f>
        <v>1172.5830000000001</v>
      </c>
      <c r="CD100" s="130">
        <f t="shared" si="302"/>
        <v>73.467999999999961</v>
      </c>
      <c r="CE100" s="130">
        <f t="shared" si="302"/>
        <v>365.5569999999999</v>
      </c>
      <c r="CF100" s="130">
        <f t="shared" si="302"/>
        <v>478.87800000000016</v>
      </c>
      <c r="CG100" s="131">
        <f t="shared" si="302"/>
        <v>505.87299999999982</v>
      </c>
      <c r="CH100" s="130">
        <f>CH25</f>
        <v>1423.7759999999998</v>
      </c>
      <c r="CI100" s="130">
        <f t="shared" ref="CI100:DK100" si="303">CI25</f>
        <v>157.02663210187836</v>
      </c>
      <c r="CJ100" s="130">
        <f t="shared" si="303"/>
        <v>408.60636789812156</v>
      </c>
      <c r="CK100" s="130">
        <f t="shared" si="303"/>
        <v>583.18100000000015</v>
      </c>
      <c r="CL100" s="131">
        <f t="shared" si="303"/>
        <v>324.19600000000008</v>
      </c>
      <c r="CM100" s="364">
        <f>CM25</f>
        <v>1473.0100000000002</v>
      </c>
      <c r="CN100" s="130">
        <f t="shared" si="303"/>
        <v>189.3</v>
      </c>
      <c r="CO100" s="260">
        <f t="shared" si="303"/>
        <v>456.1</v>
      </c>
      <c r="CP100" s="130">
        <f t="shared" si="303"/>
        <v>817.9</v>
      </c>
      <c r="CQ100" s="131">
        <f t="shared" si="303"/>
        <v>689.99999999999989</v>
      </c>
      <c r="CR100" s="364">
        <f>CR25</f>
        <v>2153.3000000000002</v>
      </c>
      <c r="CS100" s="130">
        <f t="shared" si="303"/>
        <v>68.799999999999898</v>
      </c>
      <c r="CT100" s="260">
        <f t="shared" si="303"/>
        <v>359.6</v>
      </c>
      <c r="CU100" s="130">
        <f t="shared" si="303"/>
        <v>594</v>
      </c>
      <c r="CV100" s="131">
        <f>CV25</f>
        <v>598.59999999999991</v>
      </c>
      <c r="CW100" s="364">
        <f>CW25</f>
        <v>1621.8999999999996</v>
      </c>
      <c r="CX100" s="130">
        <f>CX25</f>
        <v>277</v>
      </c>
      <c r="CY100" s="260">
        <f>CY25</f>
        <v>521</v>
      </c>
      <c r="CZ100" s="130">
        <f t="shared" si="303"/>
        <v>773</v>
      </c>
      <c r="DA100" s="130">
        <f t="shared" si="303"/>
        <v>836</v>
      </c>
      <c r="DB100" s="364">
        <f>DB25</f>
        <v>2407</v>
      </c>
      <c r="DC100" s="130">
        <f t="shared" si="303"/>
        <v>424.82089186918517</v>
      </c>
      <c r="DD100" s="130">
        <f t="shared" si="303"/>
        <v>388.77303929203185</v>
      </c>
      <c r="DE100" s="130">
        <f t="shared" si="303"/>
        <v>781.85685907119205</v>
      </c>
      <c r="DF100" s="130">
        <f t="shared" si="303"/>
        <v>873.92911748209235</v>
      </c>
      <c r="DG100" s="364">
        <f>DG25</f>
        <v>2469.3799077145013</v>
      </c>
      <c r="DH100" s="130">
        <f t="shared" si="303"/>
        <v>668.55207717515316</v>
      </c>
      <c r="DI100" s="130">
        <f t="shared" si="303"/>
        <v>462.83284685771889</v>
      </c>
      <c r="DJ100" s="130">
        <f t="shared" si="303"/>
        <v>811.85318103327495</v>
      </c>
      <c r="DK100" s="130">
        <f t="shared" si="303"/>
        <v>964.51479350380384</v>
      </c>
      <c r="DL100" s="364">
        <f>DL25</f>
        <v>2907.752898569951</v>
      </c>
      <c r="DM100" s="130">
        <f t="shared" ref="DM100:DP100" si="304">DM25</f>
        <v>833.560518440436</v>
      </c>
      <c r="DN100" s="130">
        <f t="shared" si="304"/>
        <v>497.89533496475519</v>
      </c>
      <c r="DO100" s="130">
        <f t="shared" si="304"/>
        <v>826.92798973335209</v>
      </c>
      <c r="DP100" s="130">
        <f t="shared" si="304"/>
        <v>1038.0169713075497</v>
      </c>
      <c r="DQ100" s="364">
        <f>DQ25</f>
        <v>3196.4008144460931</v>
      </c>
      <c r="DR100" s="33"/>
      <c r="DS100" s="57"/>
      <c r="DT100"/>
      <c r="DU100"/>
      <c r="DV100"/>
      <c r="DW100"/>
      <c r="DX100"/>
      <c r="DY100"/>
    </row>
    <row r="101" spans="1:129" s="132" customFormat="1">
      <c r="A101" s="38"/>
      <c r="B101" s="32"/>
      <c r="C101" s="33" t="s">
        <v>251</v>
      </c>
      <c r="D101" s="33"/>
      <c r="E101" s="33"/>
      <c r="F101" s="33"/>
      <c r="G101" s="35">
        <f t="shared" ref="G101:AS101" si="305">G28</f>
        <v>-0.90600000000000003</v>
      </c>
      <c r="H101" s="36">
        <f t="shared" si="305"/>
        <v>-0.92400000000000004</v>
      </c>
      <c r="I101" s="36">
        <f t="shared" si="305"/>
        <v>-0.56999999999999995</v>
      </c>
      <c r="J101" s="37">
        <f t="shared" si="305"/>
        <v>-1.343</v>
      </c>
      <c r="K101" s="130">
        <f>K28</f>
        <v>-3.7429999999999999</v>
      </c>
      <c r="L101" s="35">
        <f t="shared" si="305"/>
        <v>-1.2190000000000001</v>
      </c>
      <c r="M101" s="36">
        <f t="shared" si="305"/>
        <v>-2.0279999999999996</v>
      </c>
      <c r="N101" s="36">
        <f t="shared" si="305"/>
        <v>-1.6559999999999999</v>
      </c>
      <c r="O101" s="36">
        <f t="shared" si="305"/>
        <v>-1.021000000000001</v>
      </c>
      <c r="P101" s="130">
        <f>P28</f>
        <v>-5.9240000000000004</v>
      </c>
      <c r="Q101" s="35">
        <f t="shared" si="305"/>
        <v>-0.79300000000000004</v>
      </c>
      <c r="R101" s="36">
        <f t="shared" si="305"/>
        <v>-2.081</v>
      </c>
      <c r="S101" s="36">
        <f t="shared" si="305"/>
        <v>-3.4810000000000008</v>
      </c>
      <c r="T101" s="36">
        <f t="shared" si="305"/>
        <v>-4.2969999999999979</v>
      </c>
      <c r="U101" s="130">
        <f>U28</f>
        <v>-10.651999999999997</v>
      </c>
      <c r="V101" s="35">
        <f t="shared" si="305"/>
        <v>-3.1080000000000001</v>
      </c>
      <c r="W101" s="36">
        <f t="shared" si="305"/>
        <v>-2.1779999999999995</v>
      </c>
      <c r="X101" s="36">
        <f t="shared" si="305"/>
        <v>-5.4050000000000011</v>
      </c>
      <c r="Y101" s="36">
        <f t="shared" si="305"/>
        <v>-4.2619999999999987</v>
      </c>
      <c r="Z101" s="130">
        <f>Z28</f>
        <v>-14.952999999999999</v>
      </c>
      <c r="AA101" s="35">
        <f t="shared" si="305"/>
        <v>-1.944</v>
      </c>
      <c r="AB101" s="36">
        <f t="shared" si="305"/>
        <v>-2.8970000000000002</v>
      </c>
      <c r="AC101" s="36">
        <f t="shared" si="305"/>
        <v>-2.758</v>
      </c>
      <c r="AD101" s="36">
        <f t="shared" si="305"/>
        <v>-14.669</v>
      </c>
      <c r="AE101" s="130">
        <f>AE28</f>
        <v>-22.268000000000001</v>
      </c>
      <c r="AF101" s="35">
        <f t="shared" si="305"/>
        <v>-6.0540000000000003</v>
      </c>
      <c r="AG101" s="36">
        <f t="shared" si="305"/>
        <v>-7.645999999999999</v>
      </c>
      <c r="AH101" s="36">
        <f t="shared" si="305"/>
        <v>-6.5620000000000012</v>
      </c>
      <c r="AI101" s="36">
        <f t="shared" si="305"/>
        <v>-9.7289999999999992</v>
      </c>
      <c r="AJ101" s="130">
        <f>AJ28</f>
        <v>-29.991</v>
      </c>
      <c r="AK101" s="35">
        <f t="shared" si="305"/>
        <v>-2.6909999999999998</v>
      </c>
      <c r="AL101" s="36">
        <f t="shared" si="305"/>
        <v>-3.6260000000000003</v>
      </c>
      <c r="AM101" s="36">
        <f t="shared" si="305"/>
        <v>-15.474</v>
      </c>
      <c r="AN101" s="36">
        <f t="shared" si="305"/>
        <v>-24.790000000000003</v>
      </c>
      <c r="AO101" s="130">
        <f>AO28</f>
        <v>-46.581000000000003</v>
      </c>
      <c r="AP101" s="35">
        <f t="shared" si="305"/>
        <v>-8.64</v>
      </c>
      <c r="AQ101" s="36">
        <f t="shared" si="305"/>
        <v>-13.712</v>
      </c>
      <c r="AR101" s="36">
        <f t="shared" si="305"/>
        <v>-27.221000000000004</v>
      </c>
      <c r="AS101" s="36">
        <f t="shared" si="305"/>
        <v>-22.196999999999992</v>
      </c>
      <c r="AT101" s="130">
        <f>AT28</f>
        <v>-71.77</v>
      </c>
      <c r="AU101" s="35">
        <f t="shared" ref="AU101:CG101" si="306">AU28</f>
        <v>-20.587</v>
      </c>
      <c r="AV101" s="36">
        <f t="shared" si="306"/>
        <v>-24.401999999999997</v>
      </c>
      <c r="AW101" s="36">
        <f t="shared" si="306"/>
        <v>-26.223000000000003</v>
      </c>
      <c r="AX101" s="36">
        <f t="shared" si="306"/>
        <v>-33.521999999999991</v>
      </c>
      <c r="AY101" s="130">
        <f>AY28</f>
        <v>-104.73399999999999</v>
      </c>
      <c r="AZ101" s="35">
        <f t="shared" si="306"/>
        <v>-28.675000000000001</v>
      </c>
      <c r="BA101" s="36">
        <f t="shared" si="306"/>
        <v>-42.195999999999998</v>
      </c>
      <c r="BB101" s="36">
        <f t="shared" si="306"/>
        <v>-39.562000000000012</v>
      </c>
      <c r="BC101" s="36">
        <f t="shared" si="306"/>
        <v>-72.034000000000006</v>
      </c>
      <c r="BD101" s="130">
        <f>BD28</f>
        <v>-182.46700000000001</v>
      </c>
      <c r="BE101" s="35">
        <f t="shared" si="306"/>
        <v>-53.423000000000002</v>
      </c>
      <c r="BF101" s="36">
        <f t="shared" si="306"/>
        <v>-31.786999999999992</v>
      </c>
      <c r="BG101" s="36">
        <f t="shared" si="306"/>
        <v>-61.114999999999995</v>
      </c>
      <c r="BH101" s="36">
        <f t="shared" si="306"/>
        <v>-23.085000000000008</v>
      </c>
      <c r="BI101" s="130">
        <f>BI28</f>
        <v>-169.41</v>
      </c>
      <c r="BJ101" s="35">
        <f t="shared" si="306"/>
        <v>-20.472000000000001</v>
      </c>
      <c r="BK101" s="36">
        <f t="shared" si="306"/>
        <v>-9.5529999999999973</v>
      </c>
      <c r="BL101" s="36">
        <f t="shared" si="306"/>
        <v>-31.988</v>
      </c>
      <c r="BM101" s="36">
        <f t="shared" si="306"/>
        <v>-14.625999999999998</v>
      </c>
      <c r="BN101" s="130">
        <f>BN28</f>
        <v>-76.638999999999996</v>
      </c>
      <c r="BO101" s="35">
        <f t="shared" si="306"/>
        <v>-24.219000000000001</v>
      </c>
      <c r="BP101" s="36">
        <f t="shared" si="306"/>
        <v>-41.946000000000005</v>
      </c>
      <c r="BQ101" s="36">
        <f t="shared" si="306"/>
        <v>-44.795999999999985</v>
      </c>
      <c r="BR101" s="36">
        <f t="shared" si="306"/>
        <v>-74.551000000000016</v>
      </c>
      <c r="BS101" s="130">
        <f>BS28</f>
        <v>-185.512</v>
      </c>
      <c r="BT101" s="35">
        <f t="shared" si="306"/>
        <v>-55.814999999999998</v>
      </c>
      <c r="BU101" s="36">
        <f t="shared" si="306"/>
        <v>-33.734999999999999</v>
      </c>
      <c r="BV101" s="36">
        <f t="shared" si="306"/>
        <v>-74.110000000000014</v>
      </c>
      <c r="BW101" s="36">
        <f t="shared" si="306"/>
        <v>-124.56099999999998</v>
      </c>
      <c r="BX101" s="130">
        <f>BX28</f>
        <v>-288.221</v>
      </c>
      <c r="BY101" s="129">
        <f t="shared" si="306"/>
        <v>-60.451000000000001</v>
      </c>
      <c r="BZ101" s="130">
        <f t="shared" si="306"/>
        <v>-78.320999999999998</v>
      </c>
      <c r="CA101" s="130">
        <f t="shared" si="306"/>
        <v>-69.944000000000017</v>
      </c>
      <c r="CB101" s="131">
        <f t="shared" si="306"/>
        <v>-125.74899999999997</v>
      </c>
      <c r="CC101" s="130">
        <f>CC28</f>
        <v>-334.46499999999997</v>
      </c>
      <c r="CD101" s="130">
        <f t="shared" si="306"/>
        <v>-72.185000000000002</v>
      </c>
      <c r="CE101" s="130">
        <f t="shared" si="306"/>
        <v>-50.325000000000003</v>
      </c>
      <c r="CF101" s="130">
        <f t="shared" si="306"/>
        <v>-31.835999999999999</v>
      </c>
      <c r="CG101" s="131">
        <f t="shared" si="306"/>
        <v>-107.27999999999997</v>
      </c>
      <c r="CH101" s="130">
        <f>CH28</f>
        <v>-261.62599999999998</v>
      </c>
      <c r="CI101" s="130">
        <f t="shared" ref="CI101:DK101" si="307">CI28</f>
        <v>-43</v>
      </c>
      <c r="CJ101" s="130">
        <f t="shared" si="307"/>
        <v>-38.956999999999994</v>
      </c>
      <c r="CK101" s="130">
        <f t="shared" si="307"/>
        <v>-55.59</v>
      </c>
      <c r="CL101" s="131">
        <f t="shared" si="307"/>
        <v>-74.656000000000006</v>
      </c>
      <c r="CM101" s="364">
        <f>CM28</f>
        <v>-212.203</v>
      </c>
      <c r="CN101" s="130">
        <f t="shared" si="307"/>
        <v>-58</v>
      </c>
      <c r="CO101" s="260">
        <f t="shared" si="307"/>
        <v>-75.599999999999994</v>
      </c>
      <c r="CP101" s="130">
        <f t="shared" si="307"/>
        <v>-65.099999999999994</v>
      </c>
      <c r="CQ101" s="131">
        <f t="shared" si="307"/>
        <v>-74.100000000000023</v>
      </c>
      <c r="CR101" s="364">
        <f>CR28</f>
        <v>-272.8</v>
      </c>
      <c r="CS101" s="130">
        <f t="shared" si="307"/>
        <v>-63.7</v>
      </c>
      <c r="CT101" s="260">
        <f t="shared" si="307"/>
        <v>-74.899999999999991</v>
      </c>
      <c r="CU101" s="130">
        <f t="shared" si="307"/>
        <v>-74.200000000000031</v>
      </c>
      <c r="CV101" s="131">
        <f>CV28</f>
        <v>-87.199999999999974</v>
      </c>
      <c r="CW101" s="364">
        <f>CW28</f>
        <v>-300</v>
      </c>
      <c r="CX101" s="130">
        <f>CX28</f>
        <v>-66</v>
      </c>
      <c r="CY101" s="260">
        <f>CY28</f>
        <v>-60</v>
      </c>
      <c r="CZ101" s="130">
        <f t="shared" si="307"/>
        <v>-78</v>
      </c>
      <c r="DA101" s="130">
        <f t="shared" si="307"/>
        <v>-80</v>
      </c>
      <c r="DB101" s="364">
        <f>DB28</f>
        <v>-284</v>
      </c>
      <c r="DC101" s="130">
        <f t="shared" si="307"/>
        <v>-61.945999999999998</v>
      </c>
      <c r="DD101" s="130">
        <f t="shared" si="307"/>
        <v>-64.14528</v>
      </c>
      <c r="DE101" s="130">
        <f t="shared" si="307"/>
        <v>-88.147419999999997</v>
      </c>
      <c r="DF101" s="130">
        <f t="shared" si="307"/>
        <v>-104.21350000000001</v>
      </c>
      <c r="DG101" s="364">
        <f>DG28</f>
        <v>-318.4522</v>
      </c>
      <c r="DH101" s="130">
        <f t="shared" si="307"/>
        <v>-66.863562000000002</v>
      </c>
      <c r="DI101" s="130">
        <f t="shared" si="307"/>
        <v>-69.262749599999992</v>
      </c>
      <c r="DJ101" s="130">
        <f t="shared" si="307"/>
        <v>-95.190305075000012</v>
      </c>
      <c r="DK101" s="130">
        <f t="shared" si="307"/>
        <v>-112.41923500000003</v>
      </c>
      <c r="DL101" s="364">
        <f>DL28</f>
        <v>-343.73585167500005</v>
      </c>
      <c r="DM101" s="130">
        <f t="shared" ref="DM101:DP101" si="308">DM28</f>
        <v>-72.240916049999996</v>
      </c>
      <c r="DN101" s="130">
        <f t="shared" si="308"/>
        <v>-74.662055328000022</v>
      </c>
      <c r="DO101" s="130">
        <f t="shared" si="308"/>
        <v>-102.76042291637501</v>
      </c>
      <c r="DP101" s="130">
        <f t="shared" si="308"/>
        <v>-121.22557960000002</v>
      </c>
      <c r="DQ101" s="364">
        <f>DQ28</f>
        <v>-370.88897389437506</v>
      </c>
      <c r="DR101" s="33"/>
      <c r="DS101" s="57"/>
      <c r="DT101"/>
      <c r="DU101"/>
      <c r="DV101"/>
      <c r="DW101"/>
      <c r="DX101"/>
      <c r="DY101"/>
    </row>
    <row r="102" spans="1:129" s="181" customFormat="1">
      <c r="A102" s="115"/>
      <c r="B102" s="39"/>
      <c r="C102" s="40" t="s">
        <v>250</v>
      </c>
      <c r="D102" s="40"/>
      <c r="E102" s="40"/>
      <c r="F102" s="40"/>
      <c r="G102" s="39">
        <f t="shared" ref="G102:AS102" si="309">SUM(G100:G101)</f>
        <v>-0.28800000000000014</v>
      </c>
      <c r="H102" s="40">
        <f t="shared" si="309"/>
        <v>3.1789999999999998</v>
      </c>
      <c r="I102" s="40">
        <f t="shared" si="309"/>
        <v>4.5469999999999988</v>
      </c>
      <c r="J102" s="41">
        <f t="shared" si="309"/>
        <v>2.1770000000000005</v>
      </c>
      <c r="K102" s="77">
        <f>SUM(K100:K101)</f>
        <v>9.6150000000000002</v>
      </c>
      <c r="L102" s="39">
        <f t="shared" si="309"/>
        <v>-3.3860000000000001</v>
      </c>
      <c r="M102" s="40">
        <f t="shared" si="309"/>
        <v>4.1239999999999997</v>
      </c>
      <c r="N102" s="40">
        <f t="shared" si="309"/>
        <v>4.2660000000000009</v>
      </c>
      <c r="O102" s="40">
        <f t="shared" si="309"/>
        <v>8.5180000000000007</v>
      </c>
      <c r="P102" s="77">
        <f>SUM(P100:P101)</f>
        <v>13.522000000000002</v>
      </c>
      <c r="Q102" s="39">
        <f t="shared" si="309"/>
        <v>-2.6440000000000015</v>
      </c>
      <c r="R102" s="40">
        <f t="shared" si="309"/>
        <v>6.2750000000000021</v>
      </c>
      <c r="S102" s="40">
        <f t="shared" si="309"/>
        <v>7.2069999999999981</v>
      </c>
      <c r="T102" s="40">
        <f t="shared" si="309"/>
        <v>8.730000000000004</v>
      </c>
      <c r="U102" s="77">
        <f>SUM(U100:U101)</f>
        <v>19.568000000000001</v>
      </c>
      <c r="V102" s="39">
        <f t="shared" si="309"/>
        <v>-1.65</v>
      </c>
      <c r="W102" s="40">
        <f t="shared" si="309"/>
        <v>4.3070000000000004</v>
      </c>
      <c r="X102" s="40">
        <f t="shared" si="309"/>
        <v>10.366999999999997</v>
      </c>
      <c r="Y102" s="40">
        <f t="shared" si="309"/>
        <v>4.1020000000000021</v>
      </c>
      <c r="Z102" s="77">
        <f>SUM(Z100:Z101)</f>
        <v>17.126000000000001</v>
      </c>
      <c r="AA102" s="39">
        <f t="shared" si="309"/>
        <v>5.5809999999999986</v>
      </c>
      <c r="AB102" s="40">
        <f t="shared" si="309"/>
        <v>9.9539999999999988</v>
      </c>
      <c r="AC102" s="40">
        <f t="shared" si="309"/>
        <v>12.452000000000002</v>
      </c>
      <c r="AD102" s="40">
        <f t="shared" si="309"/>
        <v>6.4270000000000032</v>
      </c>
      <c r="AE102" s="77">
        <f>SUM(AE100:AE101)</f>
        <v>34.414000000000001</v>
      </c>
      <c r="AF102" s="39">
        <f t="shared" si="309"/>
        <v>0.67300000000000093</v>
      </c>
      <c r="AG102" s="40">
        <f t="shared" si="309"/>
        <v>8.6250000000000018</v>
      </c>
      <c r="AH102" s="40">
        <f t="shared" si="309"/>
        <v>12.399999999999995</v>
      </c>
      <c r="AI102" s="40">
        <f t="shared" si="309"/>
        <v>28.173000000000002</v>
      </c>
      <c r="AJ102" s="77">
        <f>SUM(AJ100:AJ101)</f>
        <v>49.870999999999995</v>
      </c>
      <c r="AK102" s="39">
        <f t="shared" si="309"/>
        <v>6.7999999999996952E-2</v>
      </c>
      <c r="AL102" s="40">
        <f t="shared" si="309"/>
        <v>27.179000000000002</v>
      </c>
      <c r="AM102" s="40">
        <f t="shared" si="309"/>
        <v>26.498000000000001</v>
      </c>
      <c r="AN102" s="40">
        <f t="shared" si="309"/>
        <v>27.00699999999998</v>
      </c>
      <c r="AO102" s="77">
        <f>SUM(AO100:AO101)</f>
        <v>80.751999999999981</v>
      </c>
      <c r="AP102" s="39">
        <f t="shared" si="309"/>
        <v>-9.0340000000000025</v>
      </c>
      <c r="AQ102" s="40">
        <f t="shared" si="309"/>
        <v>17.342999999999996</v>
      </c>
      <c r="AR102" s="40">
        <f t="shared" si="309"/>
        <v>35.677999999999997</v>
      </c>
      <c r="AS102" s="40">
        <f t="shared" si="309"/>
        <v>44.002999999999972</v>
      </c>
      <c r="AT102" s="77">
        <f>SUM(AT100:AT101)</f>
        <v>87.989999999999966</v>
      </c>
      <c r="AU102" s="39">
        <f t="shared" ref="AU102:CG102" si="310">SUM(AU100:AU101)</f>
        <v>-24.514000000000006</v>
      </c>
      <c r="AV102" s="40">
        <f t="shared" si="310"/>
        <v>27.197000000000006</v>
      </c>
      <c r="AW102" s="40">
        <f t="shared" si="310"/>
        <v>60.52300000000001</v>
      </c>
      <c r="AX102" s="40">
        <f t="shared" si="310"/>
        <v>84.936000000000007</v>
      </c>
      <c r="AY102" s="77">
        <f>SUM(AY100:AY101)</f>
        <v>148.142</v>
      </c>
      <c r="AZ102" s="39">
        <f t="shared" si="310"/>
        <v>-16.192</v>
      </c>
      <c r="BA102" s="40">
        <f t="shared" si="310"/>
        <v>9.8420000000000272</v>
      </c>
      <c r="BB102" s="40">
        <f t="shared" si="310"/>
        <v>90.341000000000008</v>
      </c>
      <c r="BC102" s="40">
        <f t="shared" si="310"/>
        <v>77.861999999999952</v>
      </c>
      <c r="BD102" s="77">
        <f>SUM(BD100:BD101)</f>
        <v>161.85299999999998</v>
      </c>
      <c r="BE102" s="39">
        <f t="shared" si="310"/>
        <v>-31.162000000000006</v>
      </c>
      <c r="BF102" s="40">
        <f t="shared" si="310"/>
        <v>42.978000000000023</v>
      </c>
      <c r="BG102" s="40">
        <f t="shared" si="310"/>
        <v>78.650999999999996</v>
      </c>
      <c r="BH102" s="40">
        <f t="shared" si="310"/>
        <v>169.828</v>
      </c>
      <c r="BI102" s="77">
        <f>SUM(BI100:BI101)</f>
        <v>260.29500000000007</v>
      </c>
      <c r="BJ102" s="39">
        <f t="shared" si="310"/>
        <v>54.617999999999945</v>
      </c>
      <c r="BK102" s="40">
        <f t="shared" si="310"/>
        <v>141.70499999999998</v>
      </c>
      <c r="BL102" s="40">
        <f t="shared" si="310"/>
        <v>176.46699999999998</v>
      </c>
      <c r="BM102" s="40">
        <f t="shared" si="310"/>
        <v>222.89600000000004</v>
      </c>
      <c r="BN102" s="77">
        <f>SUM(BN100:BN101)</f>
        <v>595.68599999999992</v>
      </c>
      <c r="BO102" s="39">
        <f t="shared" si="310"/>
        <v>-21.891000000000041</v>
      </c>
      <c r="BP102" s="40">
        <f t="shared" si="310"/>
        <v>93.348000000000042</v>
      </c>
      <c r="BQ102" s="40">
        <f t="shared" si="310"/>
        <v>189.94200000000001</v>
      </c>
      <c r="BR102" s="40">
        <f t="shared" si="310"/>
        <v>317.74299999999994</v>
      </c>
      <c r="BS102" s="77">
        <f>SUM(BS100:BS101)</f>
        <v>579.14200000000005</v>
      </c>
      <c r="BT102" s="39">
        <f t="shared" si="310"/>
        <v>-10.186000000000064</v>
      </c>
      <c r="BU102" s="40">
        <f t="shared" si="310"/>
        <v>181.37799999999993</v>
      </c>
      <c r="BV102" s="40">
        <f t="shared" si="310"/>
        <v>255.23400000000009</v>
      </c>
      <c r="BW102" s="40">
        <f t="shared" si="310"/>
        <v>160.50500000000017</v>
      </c>
      <c r="BX102" s="77">
        <f>SUM(BX100:BX101)</f>
        <v>586.93100000000015</v>
      </c>
      <c r="BY102" s="78">
        <f t="shared" si="310"/>
        <v>41.312000000000062</v>
      </c>
      <c r="BZ102" s="77">
        <f t="shared" si="310"/>
        <v>245.77900000000014</v>
      </c>
      <c r="CA102" s="77">
        <f t="shared" si="310"/>
        <v>314.916</v>
      </c>
      <c r="CB102" s="79">
        <f t="shared" si="310"/>
        <v>236.11099999999982</v>
      </c>
      <c r="CC102" s="77">
        <f>SUM(CC100:CC101)</f>
        <v>838.11800000000017</v>
      </c>
      <c r="CD102" s="77">
        <f t="shared" si="310"/>
        <v>1.2829999999999586</v>
      </c>
      <c r="CE102" s="77">
        <f t="shared" si="310"/>
        <v>315.23199999999991</v>
      </c>
      <c r="CF102" s="77">
        <f t="shared" si="310"/>
        <v>447.04200000000014</v>
      </c>
      <c r="CG102" s="79">
        <f t="shared" si="310"/>
        <v>398.59299999999985</v>
      </c>
      <c r="CH102" s="77">
        <f>SUM(CH100:CH101)</f>
        <v>1162.1499999999999</v>
      </c>
      <c r="CI102" s="77">
        <f t="shared" ref="CI102:CQ102" si="311">SUM(CI100:CI101)</f>
        <v>114.02663210187836</v>
      </c>
      <c r="CJ102" s="77">
        <f t="shared" si="311"/>
        <v>369.64936789812157</v>
      </c>
      <c r="CK102" s="77">
        <f t="shared" si="311"/>
        <v>527.59100000000012</v>
      </c>
      <c r="CL102" s="79">
        <f t="shared" si="311"/>
        <v>249.54000000000008</v>
      </c>
      <c r="CM102" s="819">
        <f>SUM(CM100:CM101)</f>
        <v>1260.8070000000002</v>
      </c>
      <c r="CN102" s="77">
        <f t="shared" si="311"/>
        <v>131.30000000000001</v>
      </c>
      <c r="CO102" s="356">
        <f t="shared" si="311"/>
        <v>380.5</v>
      </c>
      <c r="CP102" s="77">
        <f t="shared" si="311"/>
        <v>752.8</v>
      </c>
      <c r="CQ102" s="79">
        <f t="shared" si="311"/>
        <v>615.89999999999986</v>
      </c>
      <c r="CR102" s="819">
        <f>SUM(CR100:CR101)</f>
        <v>1880.5000000000002</v>
      </c>
      <c r="CS102" s="77">
        <f t="shared" ref="CS102:DF102" si="312">SUM(CS100:CS101)</f>
        <v>5.0999999999998948</v>
      </c>
      <c r="CT102" s="356">
        <f t="shared" si="312"/>
        <v>284.70000000000005</v>
      </c>
      <c r="CU102" s="77">
        <f t="shared" si="312"/>
        <v>519.79999999999995</v>
      </c>
      <c r="CV102" s="79">
        <f>SUM(CV100:CV101)</f>
        <v>511.39999999999992</v>
      </c>
      <c r="CW102" s="819">
        <f>SUM(CW100:CW101)</f>
        <v>1321.8999999999996</v>
      </c>
      <c r="CX102" s="77">
        <f>SUM(CX100:CX101)</f>
        <v>211</v>
      </c>
      <c r="CY102" s="356">
        <f>SUM(CY100:CY101)</f>
        <v>461</v>
      </c>
      <c r="CZ102" s="77">
        <f t="shared" si="312"/>
        <v>695</v>
      </c>
      <c r="DA102" s="77">
        <f t="shared" si="312"/>
        <v>756</v>
      </c>
      <c r="DB102" s="819">
        <f>SUM(DB100:DB101)</f>
        <v>2123</v>
      </c>
      <c r="DC102" s="77">
        <f t="shared" si="312"/>
        <v>362.87489186918515</v>
      </c>
      <c r="DD102" s="77">
        <f t="shared" si="312"/>
        <v>324.62775929203184</v>
      </c>
      <c r="DE102" s="77">
        <f t="shared" si="312"/>
        <v>693.70943907119204</v>
      </c>
      <c r="DF102" s="77">
        <f t="shared" si="312"/>
        <v>769.71561748209228</v>
      </c>
      <c r="DG102" s="819">
        <f t="shared" ref="DG102:DL102" si="313">SUM(DG100:DG101)</f>
        <v>2150.9277077145011</v>
      </c>
      <c r="DH102" s="77">
        <f t="shared" si="313"/>
        <v>601.68851517515316</v>
      </c>
      <c r="DI102" s="77">
        <f t="shared" si="313"/>
        <v>393.57009725771888</v>
      </c>
      <c r="DJ102" s="77">
        <f t="shared" si="313"/>
        <v>716.66287595827498</v>
      </c>
      <c r="DK102" s="77">
        <f t="shared" si="313"/>
        <v>852.09555850380377</v>
      </c>
      <c r="DL102" s="819">
        <f t="shared" si="313"/>
        <v>2564.0170468949509</v>
      </c>
      <c r="DM102" s="77">
        <f t="shared" ref="DM102:DQ102" si="314">SUM(DM100:DM101)</f>
        <v>761.31960239043599</v>
      </c>
      <c r="DN102" s="77">
        <f t="shared" si="314"/>
        <v>423.23327963675519</v>
      </c>
      <c r="DO102" s="77">
        <f t="shared" si="314"/>
        <v>724.16756681697711</v>
      </c>
      <c r="DP102" s="77">
        <f t="shared" si="314"/>
        <v>916.79139170754968</v>
      </c>
      <c r="DQ102" s="819">
        <f t="shared" si="314"/>
        <v>2825.5118405517183</v>
      </c>
      <c r="DR102" s="40"/>
      <c r="DS102" s="77"/>
      <c r="DT102"/>
      <c r="DU102"/>
      <c r="DV102"/>
      <c r="DW102"/>
      <c r="DX102"/>
      <c r="DY102"/>
    </row>
    <row r="103" spans="1:129" s="132" customFormat="1">
      <c r="A103" s="38"/>
      <c r="B103" s="32"/>
      <c r="C103" s="33"/>
      <c r="D103" s="33"/>
      <c r="E103" s="33"/>
      <c r="F103" s="33"/>
      <c r="G103" s="32"/>
      <c r="H103" s="33"/>
      <c r="I103" s="33"/>
      <c r="J103" s="34"/>
      <c r="K103" s="32"/>
      <c r="L103" s="67"/>
      <c r="M103" s="64"/>
      <c r="N103" s="64"/>
      <c r="O103" s="64"/>
      <c r="P103" s="33"/>
      <c r="Q103" s="67"/>
      <c r="R103" s="64"/>
      <c r="S103" s="64"/>
      <c r="T103" s="64"/>
      <c r="U103" s="33"/>
      <c r="V103" s="67"/>
      <c r="W103" s="64"/>
      <c r="X103" s="64"/>
      <c r="Y103" s="64"/>
      <c r="Z103" s="33"/>
      <c r="AA103" s="67"/>
      <c r="AB103" s="64"/>
      <c r="AC103" s="64"/>
      <c r="AD103" s="64"/>
      <c r="AE103" s="33"/>
      <c r="AF103" s="67"/>
      <c r="AG103" s="64"/>
      <c r="AH103" s="64"/>
      <c r="AI103" s="64"/>
      <c r="AJ103" s="33"/>
      <c r="AK103" s="67"/>
      <c r="AL103" s="64"/>
      <c r="AM103" s="64"/>
      <c r="AN103" s="64"/>
      <c r="AO103" s="33"/>
      <c r="AP103" s="67"/>
      <c r="AQ103" s="64"/>
      <c r="AR103" s="64"/>
      <c r="AS103" s="64"/>
      <c r="AT103" s="33"/>
      <c r="AU103" s="67"/>
      <c r="AV103" s="64"/>
      <c r="AW103" s="64"/>
      <c r="AX103" s="64"/>
      <c r="AY103" s="33"/>
      <c r="AZ103" s="67"/>
      <c r="BA103" s="64"/>
      <c r="BB103" s="64"/>
      <c r="BC103" s="64"/>
      <c r="BD103" s="33"/>
      <c r="BE103" s="67"/>
      <c r="BF103" s="64"/>
      <c r="BG103" s="64"/>
      <c r="BH103" s="64"/>
      <c r="BI103" s="33"/>
      <c r="BJ103" s="67"/>
      <c r="BK103" s="64"/>
      <c r="BL103" s="64"/>
      <c r="BM103" s="64"/>
      <c r="BN103" s="33"/>
      <c r="BO103" s="67"/>
      <c r="BP103" s="64"/>
      <c r="BQ103" s="64"/>
      <c r="BR103" s="64"/>
      <c r="BS103" s="33"/>
      <c r="BT103" s="67"/>
      <c r="BU103" s="64"/>
      <c r="BV103" s="64"/>
      <c r="BW103" s="64"/>
      <c r="BX103" s="33"/>
      <c r="BY103" s="67"/>
      <c r="BZ103" s="64"/>
      <c r="CA103" s="64"/>
      <c r="CB103" s="76"/>
      <c r="CC103" s="33"/>
      <c r="CD103" s="64"/>
      <c r="CE103" s="64"/>
      <c r="CF103" s="64"/>
      <c r="CG103" s="76"/>
      <c r="CH103" s="33"/>
      <c r="CI103" s="64"/>
      <c r="CJ103" s="64"/>
      <c r="CK103" s="64"/>
      <c r="CL103" s="76"/>
      <c r="CM103" s="332"/>
      <c r="CN103" s="64"/>
      <c r="CO103" s="122"/>
      <c r="CP103" s="64"/>
      <c r="CQ103" s="76"/>
      <c r="CR103" s="332"/>
      <c r="CS103" s="64"/>
      <c r="CT103" s="64"/>
      <c r="CU103" s="64"/>
      <c r="CV103" s="76"/>
      <c r="CW103" s="925"/>
      <c r="CX103" s="64"/>
      <c r="CY103" s="64"/>
      <c r="CZ103" s="64"/>
      <c r="DA103" s="64"/>
      <c r="DB103" s="668">
        <f>DB102/CW102-1</f>
        <v>0.60602163552462418</v>
      </c>
      <c r="DC103" s="640"/>
      <c r="DD103" s="640"/>
      <c r="DE103" s="640"/>
      <c r="DF103" s="640"/>
      <c r="DG103" s="668">
        <f>DG102/DB102-1</f>
        <v>1.3154831707254511E-2</v>
      </c>
      <c r="DH103" s="640"/>
      <c r="DI103" s="640"/>
      <c r="DJ103" s="640"/>
      <c r="DK103" s="640"/>
      <c r="DL103" s="668">
        <f>DL102/DG102-1</f>
        <v>0.1920517075952235</v>
      </c>
      <c r="DM103" s="640"/>
      <c r="DN103" s="640"/>
      <c r="DO103" s="640"/>
      <c r="DP103" s="640"/>
      <c r="DQ103" s="668">
        <f>DQ102/DL102-1</f>
        <v>0.10198637094610574</v>
      </c>
      <c r="DR103" s="33"/>
      <c r="DS103" s="57"/>
      <c r="DT103"/>
      <c r="DU103"/>
      <c r="DV103"/>
      <c r="DW103"/>
      <c r="DX103"/>
      <c r="DY103"/>
    </row>
    <row r="104" spans="1:129" s="132" customFormat="1">
      <c r="A104" s="38"/>
      <c r="B104" s="32"/>
      <c r="C104" s="4" t="s">
        <v>360</v>
      </c>
      <c r="D104" s="33"/>
      <c r="E104" s="33"/>
      <c r="F104" s="33"/>
      <c r="G104" s="32"/>
      <c r="H104" s="33"/>
      <c r="I104" s="33"/>
      <c r="J104" s="34"/>
      <c r="K104" s="33"/>
      <c r="L104" s="67"/>
      <c r="M104" s="64"/>
      <c r="N104" s="64"/>
      <c r="O104" s="64"/>
      <c r="P104" s="33"/>
      <c r="Q104" s="67"/>
      <c r="R104" s="64"/>
      <c r="S104" s="64"/>
      <c r="T104" s="64"/>
      <c r="U104" s="33"/>
      <c r="V104" s="67"/>
      <c r="W104" s="64"/>
      <c r="X104" s="64"/>
      <c r="Y104" s="64"/>
      <c r="Z104" s="33"/>
      <c r="AA104" s="67"/>
      <c r="AB104" s="64"/>
      <c r="AC104" s="64"/>
      <c r="AD104" s="64"/>
      <c r="AE104" s="33"/>
      <c r="AF104" s="67"/>
      <c r="AG104" s="64"/>
      <c r="AH104" s="64"/>
      <c r="AI104" s="64"/>
      <c r="AJ104" s="33"/>
      <c r="AK104" s="67"/>
      <c r="AL104" s="64"/>
      <c r="AM104" s="64"/>
      <c r="AN104" s="64"/>
      <c r="AO104" s="33"/>
      <c r="AP104" s="67"/>
      <c r="AQ104" s="64"/>
      <c r="AR104" s="64"/>
      <c r="AS104" s="64"/>
      <c r="AT104" s="33"/>
      <c r="AU104" s="67"/>
      <c r="AV104" s="64"/>
      <c r="AW104" s="64"/>
      <c r="AX104" s="64"/>
      <c r="AY104" s="33"/>
      <c r="AZ104" s="67"/>
      <c r="BA104" s="64"/>
      <c r="BB104" s="64"/>
      <c r="BC104" s="64"/>
      <c r="BD104" s="33"/>
      <c r="BE104" s="67"/>
      <c r="BF104" s="64"/>
      <c r="BG104" s="64"/>
      <c r="BH104" s="64"/>
      <c r="BI104" s="33"/>
      <c r="BJ104" s="67"/>
      <c r="BK104" s="64"/>
      <c r="BL104" s="64"/>
      <c r="BM104" s="64"/>
      <c r="BN104" s="33"/>
      <c r="BO104" s="67"/>
      <c r="BP104" s="64"/>
      <c r="BQ104" s="64"/>
      <c r="BR104" s="64"/>
      <c r="BS104" s="33"/>
      <c r="BT104" s="67"/>
      <c r="BU104" s="64"/>
      <c r="BV104" s="64"/>
      <c r="BW104" s="64"/>
      <c r="BX104" s="33"/>
      <c r="BY104" s="67"/>
      <c r="BZ104" s="64"/>
      <c r="CA104" s="64"/>
      <c r="CB104" s="76"/>
      <c r="CC104" s="33"/>
      <c r="CD104" s="64"/>
      <c r="CE104" s="64"/>
      <c r="CF104" s="64"/>
      <c r="CG104" s="76"/>
      <c r="CH104" s="33"/>
      <c r="CI104" s="64"/>
      <c r="CJ104" s="64"/>
      <c r="CK104" s="64"/>
      <c r="CL104" s="76"/>
      <c r="CM104" s="332"/>
      <c r="CN104" s="64"/>
      <c r="CO104" s="122"/>
      <c r="CP104" s="64"/>
      <c r="CQ104" s="76"/>
      <c r="CR104" s="668">
        <f>CR102/IS!CR75</f>
        <v>0.99716255419966904</v>
      </c>
      <c r="CS104" s="64"/>
      <c r="CT104" s="64"/>
      <c r="CU104" s="64"/>
      <c r="CV104" s="76"/>
      <c r="CW104" s="668">
        <f>CW102/IS!CW75</f>
        <v>0.63875332205846824</v>
      </c>
      <c r="CX104" s="64"/>
      <c r="CY104" s="64"/>
      <c r="CZ104" s="64"/>
      <c r="DA104" s="64"/>
      <c r="DB104" s="668">
        <f>DB102/IS!DB75</f>
        <v>0.94523597506678536</v>
      </c>
      <c r="DC104" s="640"/>
      <c r="DD104" s="640"/>
      <c r="DE104" s="640"/>
      <c r="DF104" s="640"/>
      <c r="DG104" s="668">
        <f>DG102/IS!DG75</f>
        <v>0.81045589638314564</v>
      </c>
      <c r="DH104" s="640"/>
      <c r="DI104" s="640"/>
      <c r="DJ104" s="640"/>
      <c r="DK104" s="640"/>
      <c r="DL104" s="668">
        <f>DL102/IS!DL75</f>
        <v>0.85991505282971037</v>
      </c>
      <c r="DM104" s="640"/>
      <c r="DN104" s="640"/>
      <c r="DO104" s="640"/>
      <c r="DP104" s="640"/>
      <c r="DQ104" s="668">
        <f>DQ102/IS!DQ75</f>
        <v>0.87802415672708911</v>
      </c>
      <c r="DR104" s="33"/>
      <c r="DS104" s="57"/>
      <c r="DT104"/>
      <c r="DU104"/>
      <c r="DV104"/>
      <c r="DW104"/>
      <c r="DX104"/>
      <c r="DY104"/>
    </row>
    <row r="105" spans="1:129" s="132" customFormat="1">
      <c r="A105" s="38"/>
      <c r="B105" s="32"/>
      <c r="C105" s="33" t="s">
        <v>255</v>
      </c>
      <c r="D105" s="33"/>
      <c r="E105" s="33"/>
      <c r="F105" s="33"/>
      <c r="G105" s="280">
        <f>G102/IS!G86</f>
        <v>-8.8002346729246152E-4</v>
      </c>
      <c r="H105" s="281">
        <f>H102/IS!H86</f>
        <v>9.2331195687531953E-3</v>
      </c>
      <c r="I105" s="281">
        <f>I102/IS!I86</f>
        <v>1.0059378429082154E-2</v>
      </c>
      <c r="J105" s="282">
        <f>J102/IS!J86</f>
        <v>4.7501221896383197E-3</v>
      </c>
      <c r="K105" s="403">
        <f>K102/IS!K86</f>
        <v>2.4224513242230013E-2</v>
      </c>
      <c r="L105" s="280">
        <f>L102/IS!L86</f>
        <v>-7.3412078953758635E-3</v>
      </c>
      <c r="M105" s="281">
        <f>M102/IS!M86</f>
        <v>8.9824011151768586E-3</v>
      </c>
      <c r="N105" s="281">
        <f>N102/IS!N86</f>
        <v>9.2693992490613299E-3</v>
      </c>
      <c r="O105" s="281">
        <f>O102/IS!O86</f>
        <v>1.7829632606584281E-2</v>
      </c>
      <c r="P105" s="281">
        <f>P102/IS!P86</f>
        <v>2.9018163713775583E-2</v>
      </c>
      <c r="Q105" s="280">
        <f>Q102/IS!Q86</f>
        <v>-5.457307508132299E-3</v>
      </c>
      <c r="R105" s="281">
        <f>R102/IS!R86</f>
        <v>1.2959520859149117E-2</v>
      </c>
      <c r="S105" s="281">
        <f>S102/IS!S86</f>
        <v>1.4933197407462656E-2</v>
      </c>
      <c r="T105" s="281">
        <f>T102/IS!T86</f>
        <v>1.7698146256021025E-2</v>
      </c>
      <c r="U105" s="281">
        <f>U102/IS!U86</f>
        <v>4.0251448130595051E-2</v>
      </c>
      <c r="V105" s="280">
        <f>V102/IS!V86</f>
        <v>-3.3980822459470147E-3</v>
      </c>
      <c r="W105" s="281">
        <f>W102/IS!W86</f>
        <v>8.7694650768829832E-3</v>
      </c>
      <c r="X105" s="281">
        <f>X102/IS!X86</f>
        <v>2.1055731578519775E-2</v>
      </c>
      <c r="Y105" s="281">
        <f>Y102/IS!Y86</f>
        <v>8.4261815552488049E-3</v>
      </c>
      <c r="Z105" s="281">
        <f>Z102/IS!Z86</f>
        <v>3.5029371819416497E-2</v>
      </c>
      <c r="AA105" s="280">
        <f>AA102/IS!AA86</f>
        <v>1.1306542843714037E-2</v>
      </c>
      <c r="AB105" s="281">
        <f>AB102/IS!AB86</f>
        <v>1.9698408928995485E-2</v>
      </c>
      <c r="AC105" s="281">
        <f>AC102/IS!AC86</f>
        <v>2.4186906593321213E-2</v>
      </c>
      <c r="AD105" s="281">
        <f>AD102/IS!AD86</f>
        <v>1.2230163804652302E-2</v>
      </c>
      <c r="AE105" s="281">
        <f>AE102/IS!AE86</f>
        <v>6.7538819022498559E-2</v>
      </c>
      <c r="AF105" s="280">
        <f>AF102/IS!AF86</f>
        <v>1.2746212121212139E-3</v>
      </c>
      <c r="AG105" s="281">
        <f>AG102/IS!AG86</f>
        <v>1.6276287383565576E-2</v>
      </c>
      <c r="AH105" s="281">
        <f>AH102/IS!AH86</f>
        <v>2.2437103731796987E-2</v>
      </c>
      <c r="AI105" s="281">
        <f>AI102/IS!AI86</f>
        <v>5.007927930490181E-2</v>
      </c>
      <c r="AJ105" s="281">
        <f>AJ102/IS!AJ86</f>
        <v>9.180018260267718E-2</v>
      </c>
      <c r="AK105" s="280">
        <f>AK102/IS!AK86</f>
        <v>1.2001242481574026E-4</v>
      </c>
      <c r="AL105" s="281">
        <f>AL102/IS!AL86</f>
        <v>4.8133730979569869E-2</v>
      </c>
      <c r="AM105" s="281">
        <f>AM102/IS!AM86</f>
        <v>4.6415734194687537E-2</v>
      </c>
      <c r="AN105" s="281">
        <f>AN102/IS!AN86</f>
        <v>4.6663556569216912E-2</v>
      </c>
      <c r="AO105" s="281">
        <f>AO102/IS!AO86</f>
        <v>0.14161452341535954</v>
      </c>
      <c r="AP105" s="280">
        <f>AP102/IS!AP86</f>
        <v>-1.5488166999266228E-2</v>
      </c>
      <c r="AQ105" s="281">
        <f>AQ102/IS!AQ86</f>
        <v>2.9584658214719482E-2</v>
      </c>
      <c r="AR105" s="281">
        <f>AR102/IS!AR86</f>
        <v>6.0561104283648255E-2</v>
      </c>
      <c r="AS105" s="281">
        <f>AS102/IS!AS86</f>
        <v>7.4367580649522674E-2</v>
      </c>
      <c r="AT105" s="281">
        <f>AT102/IS!AT86</f>
        <v>0.14974982130092918</v>
      </c>
      <c r="AU105" s="280">
        <f>AU102/IS!AU86</f>
        <v>-4.103338377278145E-2</v>
      </c>
      <c r="AV105" s="281">
        <f>AV102/IS!AV86</f>
        <v>4.51798422517991E-2</v>
      </c>
      <c r="AW105" s="281">
        <f>AW102/IS!AW86</f>
        <v>0.10031292368175929</v>
      </c>
      <c r="AX105" s="281">
        <f>AX102/IS!AX86</f>
        <v>0.14009738331815844</v>
      </c>
      <c r="AY105" s="281">
        <f>AY102/IS!AY86</f>
        <v>0.24598172181559755</v>
      </c>
      <c r="AZ105" s="280">
        <f>AZ102/IS!AZ86</f>
        <v>-2.6674046837728487E-2</v>
      </c>
      <c r="BA105" s="281">
        <f>BA102/IS!BA86</f>
        <v>1.6182336557085449E-2</v>
      </c>
      <c r="BB105" s="281">
        <f>BB102/IS!BB86</f>
        <v>0.14831201323859683</v>
      </c>
      <c r="BC105" s="281">
        <f>BC102/IS!BC86</f>
        <v>0.12882698645911916</v>
      </c>
      <c r="BD105" s="281">
        <f>BD102/IS!BD86</f>
        <v>0.26656247014917994</v>
      </c>
      <c r="BE105" s="280">
        <f>BE102/IS!BE86</f>
        <v>-5.2101306796142485E-2</v>
      </c>
      <c r="BF105" s="281">
        <f>BF102/IS!BF86</f>
        <v>7.1789852070610602E-2</v>
      </c>
      <c r="BG105" s="281">
        <f>BG102/IS!BG86</f>
        <v>0.13117026066943513</v>
      </c>
      <c r="BH105" s="281">
        <f>BH102/IS!BH86</f>
        <v>0.28535806700944316</v>
      </c>
      <c r="BI105" s="281">
        <f>BI102/IS!BI86</f>
        <v>0.43536328360206072</v>
      </c>
      <c r="BJ105" s="280">
        <f>BJ102/IS!BJ86</f>
        <v>9.1643092287402639E-2</v>
      </c>
      <c r="BK105" s="281">
        <f>BK102/IS!BK86</f>
        <v>0.23674951214948273</v>
      </c>
      <c r="BL105" s="281">
        <f>BL102/IS!BL86</f>
        <v>0.29160194591879224</v>
      </c>
      <c r="BM105" s="281">
        <f>BM102/IS!BM86</f>
        <v>0.36586510841554098</v>
      </c>
      <c r="BN105" s="281">
        <f>BN102/IS!BN86</f>
        <v>0.98913371967520702</v>
      </c>
      <c r="BO105" s="280">
        <f>BO102/IS!BO86</f>
        <v>-3.5692158192680006E-2</v>
      </c>
      <c r="BP105" s="281">
        <f>BP102/IS!BP86</f>
        <v>0.15129973062073934</v>
      </c>
      <c r="BQ105" s="281">
        <f>BQ102/IS!BQ86</f>
        <v>0.30673505178945737</v>
      </c>
      <c r="BR105" s="281">
        <f>BR102/IS!BR86</f>
        <v>0.50956937031715066</v>
      </c>
      <c r="BS105" s="281">
        <f>BS102/IS!BS86</f>
        <v>0.93670767329695259</v>
      </c>
      <c r="BT105" s="280">
        <f>BT102/IS!BT86</f>
        <v>-1.6334031423687494E-2</v>
      </c>
      <c r="BU105" s="281">
        <f>BU102/IS!BU86</f>
        <v>0.29115793461475475</v>
      </c>
      <c r="BV105" s="281">
        <f>BV102/IS!BV86</f>
        <v>0.41260342001377331</v>
      </c>
      <c r="BW105" s="281">
        <f>BW102/IS!BW86</f>
        <v>0.25986231773776286</v>
      </c>
      <c r="BX105" s="281">
        <f>BX102/IS!BX86</f>
        <v>0.9455922487763857</v>
      </c>
      <c r="BY105" s="416">
        <f>BY102/IS!BY86</f>
        <v>6.6802928772864964E-2</v>
      </c>
      <c r="BZ105" s="403">
        <f>BZ102/IS!BZ86</f>
        <v>0.39986691656416984</v>
      </c>
      <c r="CA105" s="403">
        <f>CA102/IS!CA86</f>
        <v>0.5194370769169866</v>
      </c>
      <c r="CB105" s="417">
        <f>CB102/IS!CB86</f>
        <v>0.38862553781227649</v>
      </c>
      <c r="CC105" s="281">
        <f>CC102/IS!CC86</f>
        <v>1.3700962201784475</v>
      </c>
      <c r="CD105" s="403">
        <f>CD102/IS!CD86</f>
        <v>2.1020656932392435E-3</v>
      </c>
      <c r="CE105" s="403">
        <f>CE102/IS!CE86</f>
        <v>0.51771414306642205</v>
      </c>
      <c r="CF105" s="403">
        <f>CF102/IS!CF86</f>
        <v>0.7346019226029088</v>
      </c>
      <c r="CG105" s="417">
        <f>CG102/IS!CG86</f>
        <v>0.65251548646489488</v>
      </c>
      <c r="CH105" s="281">
        <f>CH102/IS!CH86</f>
        <v>1.9062201678963093</v>
      </c>
      <c r="CI105" s="403">
        <f>CI102/IS!CI86</f>
        <v>0.18604534220575131</v>
      </c>
      <c r="CJ105" s="403">
        <f>CJ102/IS!CJ86</f>
        <v>0.60384239449381294</v>
      </c>
      <c r="CK105" s="403">
        <f>CK102/IS!CK86</f>
        <v>0.86190357166778586</v>
      </c>
      <c r="CL105" s="417">
        <f>CL102/IS!CL86</f>
        <v>0.40723140091257443</v>
      </c>
      <c r="CM105" s="743">
        <f>CM102/IS!CM86</f>
        <v>2.0584973770957524</v>
      </c>
      <c r="CN105" s="403">
        <f>CN102/IS!CN86</f>
        <v>0.21387848183743283</v>
      </c>
      <c r="CO105" s="403">
        <f>CO102/IS!CO86</f>
        <v>0.61980778628441113</v>
      </c>
      <c r="CP105" s="403">
        <f>CP102/IS!CP86</f>
        <v>1.228660029378162</v>
      </c>
      <c r="CQ105" s="417">
        <f>CQ102/IS!CQ86</f>
        <v>1.0053868756121447</v>
      </c>
      <c r="CR105" s="743">
        <f>CR102/IS!CR86</f>
        <v>3.0661992499592374</v>
      </c>
      <c r="CS105" s="403">
        <f>CS102/IS!CS86</f>
        <v>8.3360575351420323E-3</v>
      </c>
      <c r="CT105" s="403">
        <f>CT102/IS!CT86</f>
        <v>0.46764126149802904</v>
      </c>
      <c r="CU105" s="403">
        <f>CU102/IS!CU86</f>
        <v>0.85423171733771563</v>
      </c>
      <c r="CV105" s="417">
        <f>CV102/IS!CV86</f>
        <v>0.83973727422003275</v>
      </c>
      <c r="CW105" s="743">
        <f>CW102/IS!CW86</f>
        <v>2.1670491803278682</v>
      </c>
      <c r="CX105" s="403">
        <f>CX102/IS!CX86</f>
        <v>0.34761120263591433</v>
      </c>
      <c r="CY105" s="403">
        <f>CY102/IS!CY86</f>
        <v>0.78003384094754658</v>
      </c>
      <c r="CZ105" s="403">
        <f>CZ102/IS!CZ86</f>
        <v>1.1739864864864864</v>
      </c>
      <c r="DA105" s="403">
        <f>DA102/IS!DA86</f>
        <v>1.2835314091680814</v>
      </c>
      <c r="DB105" s="890">
        <f>DB102/IS!DB86</f>
        <v>3.5680672268907565</v>
      </c>
      <c r="DC105" s="889">
        <f>DC102/IS!DC86</f>
        <v>0.61781573670093981</v>
      </c>
      <c r="DD105" s="889">
        <f>DD102/IS!DD86</f>
        <v>0.55419752395221966</v>
      </c>
      <c r="DE105" s="889">
        <f>DE102/IS!DE86</f>
        <v>1.1873902359772823</v>
      </c>
      <c r="DF105" s="889">
        <f>DF102/IS!DF86</f>
        <v>1.3208201872260763</v>
      </c>
      <c r="DG105" s="890">
        <f>DG102/IS!DG86</f>
        <v>3.6766434346683434</v>
      </c>
      <c r="DH105" s="889">
        <f>DH102/IS!DH86</f>
        <v>1.0366657127432291</v>
      </c>
      <c r="DI105" s="889">
        <f>DI102/IS!DI86</f>
        <v>0.6807616158372819</v>
      </c>
      <c r="DJ105" s="889">
        <f>DJ102/IS!DJ86</f>
        <v>1.2443617552200208</v>
      </c>
      <c r="DK105" s="889">
        <f>DK102/IS!DK86</f>
        <v>1.4850194727220232</v>
      </c>
      <c r="DL105" s="890">
        <f>DL102/IS!DL86</f>
        <v>4.4431997724626546</v>
      </c>
      <c r="DM105" s="889">
        <f>DM102/IS!DM86</f>
        <v>1.3316091708241138</v>
      </c>
      <c r="DN105" s="889">
        <f>DN102/IS!DN86</f>
        <v>0.74286486139753116</v>
      </c>
      <c r="DO105" s="889">
        <f>DO102/IS!DO86</f>
        <v>1.2753933526414947</v>
      </c>
      <c r="DP105" s="889">
        <f>DP102/IS!DP86</f>
        <v>1.619966463257231</v>
      </c>
      <c r="DQ105" s="890">
        <f>DQ102/IS!DQ86</f>
        <v>4.9675138407223853</v>
      </c>
      <c r="DR105" s="33"/>
      <c r="DS105" s="57"/>
      <c r="DT105"/>
      <c r="DU105"/>
      <c r="DV105"/>
      <c r="DW105"/>
      <c r="DX105"/>
      <c r="DY105"/>
    </row>
    <row r="106" spans="1:129" s="132" customFormat="1">
      <c r="A106" s="38"/>
      <c r="B106" s="32"/>
      <c r="C106" s="33"/>
      <c r="D106" s="33"/>
      <c r="E106" s="33"/>
      <c r="F106" s="33"/>
      <c r="G106" s="32"/>
      <c r="H106" s="33"/>
      <c r="I106" s="33"/>
      <c r="J106" s="34"/>
      <c r="K106" s="32"/>
      <c r="L106" s="32"/>
      <c r="M106" s="33"/>
      <c r="N106" s="33"/>
      <c r="O106" s="33"/>
      <c r="P106" s="33"/>
      <c r="Q106" s="32"/>
      <c r="R106" s="33"/>
      <c r="S106" s="33"/>
      <c r="T106" s="33"/>
      <c r="U106" s="33"/>
      <c r="V106" s="32"/>
      <c r="W106" s="33"/>
      <c r="X106" s="33"/>
      <c r="Y106" s="33"/>
      <c r="Z106" s="33"/>
      <c r="AA106" s="32"/>
      <c r="AB106" s="33"/>
      <c r="AC106" s="33"/>
      <c r="AD106" s="33"/>
      <c r="AE106" s="33"/>
      <c r="AF106" s="32"/>
      <c r="AG106" s="33"/>
      <c r="AH106" s="33"/>
      <c r="AI106" s="33"/>
      <c r="AJ106" s="33"/>
      <c r="AK106" s="32"/>
      <c r="AL106" s="33"/>
      <c r="AM106" s="33"/>
      <c r="AN106" s="33"/>
      <c r="AO106" s="33"/>
      <c r="AP106" s="32"/>
      <c r="AQ106" s="33"/>
      <c r="AR106" s="33"/>
      <c r="AS106" s="33"/>
      <c r="AT106" s="33"/>
      <c r="AU106" s="32"/>
      <c r="AV106" s="33"/>
      <c r="AW106" s="33"/>
      <c r="AX106" s="33"/>
      <c r="AY106" s="33"/>
      <c r="AZ106" s="32"/>
      <c r="BA106" s="33"/>
      <c r="BB106" s="33"/>
      <c r="BC106" s="33"/>
      <c r="BD106" s="33"/>
      <c r="BE106" s="32"/>
      <c r="BF106" s="33"/>
      <c r="BG106" s="33"/>
      <c r="BH106" s="33"/>
      <c r="BI106" s="33"/>
      <c r="BJ106" s="32"/>
      <c r="BK106" s="33"/>
      <c r="BL106" s="33"/>
      <c r="BM106" s="33"/>
      <c r="BN106" s="33"/>
      <c r="BO106" s="32"/>
      <c r="BP106" s="33"/>
      <c r="BQ106" s="33"/>
      <c r="BR106" s="33"/>
      <c r="BS106" s="33"/>
      <c r="BT106" s="32"/>
      <c r="BU106" s="33"/>
      <c r="BV106" s="33"/>
      <c r="BW106" s="33"/>
      <c r="BX106" s="33"/>
      <c r="BY106" s="56"/>
      <c r="BZ106" s="57"/>
      <c r="CA106" s="57"/>
      <c r="CB106" s="58"/>
      <c r="CC106" s="33"/>
      <c r="CD106" s="57"/>
      <c r="CE106" s="57"/>
      <c r="CF106" s="57"/>
      <c r="CG106" s="58"/>
      <c r="CH106" s="33"/>
      <c r="CI106" s="57"/>
      <c r="CJ106" s="57"/>
      <c r="CK106" s="57"/>
      <c r="CL106" s="58"/>
      <c r="CM106" s="332"/>
      <c r="CN106" s="57"/>
      <c r="CO106" s="112"/>
      <c r="CP106" s="57"/>
      <c r="CQ106" s="58"/>
      <c r="CR106" s="332"/>
      <c r="CS106" s="57"/>
      <c r="CT106" s="57"/>
      <c r="CU106" s="57"/>
      <c r="CV106" s="58"/>
      <c r="CW106" s="332"/>
      <c r="CX106" s="57"/>
      <c r="CY106" s="57"/>
      <c r="CZ106" s="57"/>
      <c r="DA106" s="57"/>
      <c r="DB106" s="923"/>
      <c r="DC106" s="654"/>
      <c r="DD106" s="654"/>
      <c r="DE106" s="654"/>
      <c r="DF106" s="654"/>
      <c r="DG106" s="923"/>
      <c r="DH106" s="654"/>
      <c r="DI106" s="654"/>
      <c r="DJ106" s="654"/>
      <c r="DK106" s="654"/>
      <c r="DL106" s="923"/>
      <c r="DM106" s="654"/>
      <c r="DN106" s="654"/>
      <c r="DO106" s="654"/>
      <c r="DP106" s="654"/>
      <c r="DQ106" s="923"/>
      <c r="DR106" s="33"/>
      <c r="DS106" s="57"/>
      <c r="DT106"/>
      <c r="DU106"/>
      <c r="DV106"/>
      <c r="DW106"/>
      <c r="DX106"/>
      <c r="DY106"/>
    </row>
    <row r="107" spans="1:129" s="132" customFormat="1">
      <c r="A107" s="38"/>
      <c r="B107" s="32"/>
      <c r="C107" s="33"/>
      <c r="D107" s="33"/>
      <c r="E107" s="33"/>
      <c r="F107" s="33"/>
      <c r="G107" s="32"/>
      <c r="H107" s="68"/>
      <c r="I107" s="68"/>
      <c r="J107" s="69"/>
      <c r="K107" s="64"/>
      <c r="L107" s="66"/>
      <c r="M107" s="68"/>
      <c r="N107" s="68"/>
      <c r="O107" s="68"/>
      <c r="P107" s="33"/>
      <c r="Q107" s="66"/>
      <c r="R107" s="68"/>
      <c r="S107" s="68"/>
      <c r="T107" s="68"/>
      <c r="U107" s="33"/>
      <c r="V107" s="66"/>
      <c r="W107" s="68"/>
      <c r="X107" s="68"/>
      <c r="Y107" s="68"/>
      <c r="Z107" s="33"/>
      <c r="AA107" s="66"/>
      <c r="AB107" s="68"/>
      <c r="AC107" s="68"/>
      <c r="AD107" s="68"/>
      <c r="AE107" s="33"/>
      <c r="AF107" s="66"/>
      <c r="AG107" s="68"/>
      <c r="AH107" s="68"/>
      <c r="AI107" s="68"/>
      <c r="AJ107" s="33"/>
      <c r="AK107" s="66"/>
      <c r="AL107" s="68"/>
      <c r="AM107" s="68"/>
      <c r="AN107" s="68"/>
      <c r="AO107" s="33"/>
      <c r="AP107" s="66"/>
      <c r="AQ107" s="68"/>
      <c r="AR107" s="68"/>
      <c r="AS107" s="68"/>
      <c r="AT107" s="33"/>
      <c r="AU107" s="66"/>
      <c r="AV107" s="68"/>
      <c r="AW107" s="68"/>
      <c r="AX107" s="68"/>
      <c r="AY107" s="33"/>
      <c r="AZ107" s="66"/>
      <c r="BA107" s="68"/>
      <c r="BB107" s="68"/>
      <c r="BC107" s="68"/>
      <c r="BD107" s="33"/>
      <c r="BE107" s="66"/>
      <c r="BF107" s="68"/>
      <c r="BG107" s="68"/>
      <c r="BH107" s="68"/>
      <c r="BI107" s="33"/>
      <c r="BJ107" s="66"/>
      <c r="BK107" s="68"/>
      <c r="BL107" s="68"/>
      <c r="BM107" s="68"/>
      <c r="BN107" s="33"/>
      <c r="BO107" s="66"/>
      <c r="BP107" s="68"/>
      <c r="BQ107" s="68"/>
      <c r="BR107" s="68"/>
      <c r="BS107" s="33"/>
      <c r="BT107" s="66"/>
      <c r="BU107" s="68"/>
      <c r="BV107" s="68"/>
      <c r="BW107" s="68"/>
      <c r="BX107" s="33"/>
      <c r="BY107" s="67"/>
      <c r="BZ107" s="64"/>
      <c r="CA107" s="64"/>
      <c r="CB107" s="76"/>
      <c r="CC107" s="33"/>
      <c r="CD107" s="64"/>
      <c r="CE107" s="64"/>
      <c r="CF107" s="64"/>
      <c r="CG107" s="76"/>
      <c r="CH107" s="33"/>
      <c r="CI107" s="64"/>
      <c r="CJ107" s="64"/>
      <c r="CK107" s="64"/>
      <c r="CL107" s="76"/>
      <c r="CM107" s="332"/>
      <c r="CN107" s="64"/>
      <c r="CO107" s="122"/>
      <c r="CP107" s="64"/>
      <c r="CQ107" s="76"/>
      <c r="CR107" s="332"/>
      <c r="CS107" s="64"/>
      <c r="CT107" s="64"/>
      <c r="CU107" s="64"/>
      <c r="CV107" s="76"/>
      <c r="CW107" s="332"/>
      <c r="CX107" s="64"/>
      <c r="CY107" s="64"/>
      <c r="CZ107" s="64"/>
      <c r="DA107" s="64"/>
      <c r="DB107" s="923"/>
      <c r="DC107" s="640"/>
      <c r="DD107" s="640"/>
      <c r="DE107" s="640"/>
      <c r="DF107" s="640"/>
      <c r="DG107" s="923"/>
      <c r="DH107" s="640"/>
      <c r="DI107" s="640"/>
      <c r="DJ107" s="640"/>
      <c r="DK107" s="640"/>
      <c r="DL107" s="923"/>
      <c r="DM107" s="640"/>
      <c r="DN107" s="640"/>
      <c r="DO107" s="640"/>
      <c r="DP107" s="640"/>
      <c r="DQ107" s="923"/>
      <c r="DR107" s="33"/>
      <c r="DS107" s="57"/>
      <c r="DT107"/>
      <c r="DU107"/>
      <c r="DV107"/>
      <c r="DW107"/>
      <c r="DX107"/>
      <c r="DY107"/>
    </row>
    <row r="108" spans="1:129" s="177" customFormat="1">
      <c r="A108" s="19"/>
      <c r="B108" s="31" t="s">
        <v>252</v>
      </c>
      <c r="C108" s="27"/>
      <c r="D108" s="27"/>
      <c r="E108" s="27"/>
      <c r="F108" s="27"/>
      <c r="G108" s="31"/>
      <c r="H108" s="27"/>
      <c r="I108" s="27"/>
      <c r="J108" s="30"/>
      <c r="K108" s="54"/>
      <c r="L108" s="31"/>
      <c r="M108" s="27"/>
      <c r="N108" s="27"/>
      <c r="O108" s="27"/>
      <c r="P108" s="27"/>
      <c r="Q108" s="31"/>
      <c r="R108" s="27"/>
      <c r="S108" s="27"/>
      <c r="T108" s="27"/>
      <c r="U108" s="27"/>
      <c r="V108" s="31"/>
      <c r="W108" s="27"/>
      <c r="X108" s="27"/>
      <c r="Y108" s="27"/>
      <c r="Z108" s="27"/>
      <c r="AA108" s="31"/>
      <c r="AB108" s="27"/>
      <c r="AC108" s="27"/>
      <c r="AD108" s="27"/>
      <c r="AE108" s="27"/>
      <c r="AF108" s="31"/>
      <c r="AG108" s="27"/>
      <c r="AH108" s="27"/>
      <c r="AI108" s="27"/>
      <c r="AJ108" s="27"/>
      <c r="AK108" s="31"/>
      <c r="AL108" s="27"/>
      <c r="AM108" s="27"/>
      <c r="AN108" s="27"/>
      <c r="AO108" s="27"/>
      <c r="AP108" s="31"/>
      <c r="AQ108" s="27"/>
      <c r="AR108" s="27"/>
      <c r="AS108" s="27"/>
      <c r="AT108" s="27"/>
      <c r="AU108" s="31"/>
      <c r="AV108" s="27"/>
      <c r="AW108" s="27"/>
      <c r="AX108" s="27"/>
      <c r="AY108" s="27"/>
      <c r="AZ108" s="31"/>
      <c r="BA108" s="27"/>
      <c r="BB108" s="27"/>
      <c r="BC108" s="27"/>
      <c r="BD108" s="27"/>
      <c r="BE108" s="31"/>
      <c r="BF108" s="27"/>
      <c r="BG108" s="27"/>
      <c r="BH108" s="27"/>
      <c r="BI108" s="27"/>
      <c r="BJ108" s="31"/>
      <c r="BK108" s="27"/>
      <c r="BL108" s="27"/>
      <c r="BM108" s="27"/>
      <c r="BN108" s="27"/>
      <c r="BO108" s="31"/>
      <c r="BP108" s="27"/>
      <c r="BQ108" s="27"/>
      <c r="BR108" s="27"/>
      <c r="BS108" s="27"/>
      <c r="BT108" s="31"/>
      <c r="BU108" s="27"/>
      <c r="BV108" s="27"/>
      <c r="BW108" s="27"/>
      <c r="BX108" s="27"/>
      <c r="BY108" s="53"/>
      <c r="BZ108" s="54"/>
      <c r="CA108" s="54"/>
      <c r="CB108" s="409"/>
      <c r="CC108" s="27"/>
      <c r="CD108" s="54"/>
      <c r="CE108" s="54"/>
      <c r="CF108" s="54"/>
      <c r="CG108" s="409"/>
      <c r="CH108" s="27"/>
      <c r="CI108" s="54"/>
      <c r="CJ108" s="54"/>
      <c r="CK108" s="54"/>
      <c r="CL108" s="409"/>
      <c r="CM108" s="329"/>
      <c r="CN108" s="54"/>
      <c r="CO108" s="128"/>
      <c r="CP108" s="54"/>
      <c r="CQ108" s="409"/>
      <c r="CR108" s="329"/>
      <c r="CS108" s="54"/>
      <c r="CT108" s="54"/>
      <c r="CU108" s="54"/>
      <c r="CV108" s="409"/>
      <c r="CW108" s="329"/>
      <c r="CX108" s="54"/>
      <c r="CY108" s="54"/>
      <c r="CZ108" s="54"/>
      <c r="DA108" s="54"/>
      <c r="DB108" s="633"/>
      <c r="DC108" s="628"/>
      <c r="DD108" s="628"/>
      <c r="DE108" s="628"/>
      <c r="DF108" s="628"/>
      <c r="DG108" s="633"/>
      <c r="DH108" s="628"/>
      <c r="DI108" s="628"/>
      <c r="DJ108" s="628"/>
      <c r="DK108" s="628"/>
      <c r="DL108" s="633"/>
      <c r="DM108" s="628"/>
      <c r="DN108" s="628"/>
      <c r="DO108" s="628"/>
      <c r="DP108" s="628"/>
      <c r="DQ108" s="633"/>
      <c r="DR108" s="27"/>
      <c r="DS108" s="54"/>
      <c r="DT108"/>
      <c r="DU108"/>
      <c r="DV108"/>
      <c r="DW108"/>
      <c r="DX108"/>
      <c r="DY108"/>
    </row>
    <row r="109" spans="1:129" s="182" customFormat="1">
      <c r="A109" s="60"/>
      <c r="B109" s="35"/>
      <c r="C109" s="36" t="s">
        <v>253</v>
      </c>
      <c r="D109" s="36"/>
      <c r="E109" s="36"/>
      <c r="F109" s="36"/>
      <c r="G109" s="35">
        <v>1.1239999999999992</v>
      </c>
      <c r="H109" s="36">
        <v>1.5819999999999994</v>
      </c>
      <c r="I109" s="36">
        <v>2.4349999999999987</v>
      </c>
      <c r="J109" s="37">
        <v>3.7769999999999992</v>
      </c>
      <c r="K109" s="130">
        <v>8.9179999999999957</v>
      </c>
      <c r="L109" s="35">
        <v>4.0699999999999976</v>
      </c>
      <c r="M109" s="36">
        <v>3.8630000000000022</v>
      </c>
      <c r="N109" s="36">
        <v>4.1760000000000019</v>
      </c>
      <c r="O109" s="36">
        <v>4.535999999999996</v>
      </c>
      <c r="P109" s="36">
        <v>16.644999999999996</v>
      </c>
      <c r="Q109" s="35">
        <v>5.1230000000000011</v>
      </c>
      <c r="R109" s="36">
        <v>6.0409999999999968</v>
      </c>
      <c r="S109" s="36">
        <v>7.0790000000000006</v>
      </c>
      <c r="T109" s="36">
        <v>7.8849999999999909</v>
      </c>
      <c r="U109" s="36">
        <v>26.127999999999989</v>
      </c>
      <c r="V109" s="35">
        <v>8.3890000000000029</v>
      </c>
      <c r="W109" s="36">
        <v>8.8740000000000006</v>
      </c>
      <c r="X109" s="36">
        <v>9.3230000000000004</v>
      </c>
      <c r="Y109" s="36">
        <v>9.0339999999999989</v>
      </c>
      <c r="Z109" s="36">
        <v>35.620000000000005</v>
      </c>
      <c r="AA109" s="35">
        <v>9.1460000000000026</v>
      </c>
      <c r="AB109" s="36">
        <v>10.701999999999998</v>
      </c>
      <c r="AC109" s="36">
        <v>12.108000000000001</v>
      </c>
      <c r="AD109" s="36">
        <v>13.241999999999992</v>
      </c>
      <c r="AE109" s="36">
        <v>45.197999999999993</v>
      </c>
      <c r="AF109" s="35">
        <v>14.524000000000003</v>
      </c>
      <c r="AG109" s="36">
        <v>17.128</v>
      </c>
      <c r="AH109" s="36">
        <v>19.274000000000001</v>
      </c>
      <c r="AI109" s="36">
        <v>21.385999999999999</v>
      </c>
      <c r="AJ109" s="36">
        <v>72.311999999999998</v>
      </c>
      <c r="AK109" s="35">
        <v>23.686999999999994</v>
      </c>
      <c r="AL109" s="36">
        <v>27.789999999999985</v>
      </c>
      <c r="AM109" s="36">
        <v>30.872000000000007</v>
      </c>
      <c r="AN109" s="36">
        <v>35.271000000000008</v>
      </c>
      <c r="AO109" s="36">
        <v>117.62</v>
      </c>
      <c r="AP109" s="35">
        <v>37.187000000000019</v>
      </c>
      <c r="AQ109" s="36">
        <v>42.367999999999988</v>
      </c>
      <c r="AR109" s="36">
        <v>47.020999999999987</v>
      </c>
      <c r="AS109" s="36">
        <v>51.040000000000035</v>
      </c>
      <c r="AT109" s="36">
        <v>177.61600000000004</v>
      </c>
      <c r="AU109" s="35">
        <v>53.155999999999992</v>
      </c>
      <c r="AV109" s="36">
        <v>60.671000000000028</v>
      </c>
      <c r="AW109" s="36">
        <v>68.764000000000053</v>
      </c>
      <c r="AX109" s="36">
        <v>76.352000000000004</v>
      </c>
      <c r="AY109" s="36">
        <v>258.9430000000001</v>
      </c>
      <c r="AZ109" s="35">
        <v>83.602000000000046</v>
      </c>
      <c r="BA109" s="36">
        <v>90.670999999999992</v>
      </c>
      <c r="BB109" s="36">
        <v>101.13</v>
      </c>
      <c r="BC109" s="36">
        <v>106.11899999999991</v>
      </c>
      <c r="BD109" s="36">
        <v>381.52199999999993</v>
      </c>
      <c r="BE109" s="35">
        <v>111.69500000000001</v>
      </c>
      <c r="BF109" s="36">
        <v>119.67800000000003</v>
      </c>
      <c r="BG109" s="36">
        <v>142.63100000000003</v>
      </c>
      <c r="BH109" s="36">
        <v>142.66599999999997</v>
      </c>
      <c r="BI109" s="36">
        <v>516.67000000000007</v>
      </c>
      <c r="BJ109" s="35">
        <v>138.13000000000002</v>
      </c>
      <c r="BK109" s="36">
        <v>151.67000000000002</v>
      </c>
      <c r="BL109" s="36">
        <v>161.78200000000018</v>
      </c>
      <c r="BM109" s="36">
        <v>166.90799999999973</v>
      </c>
      <c r="BN109" s="36">
        <v>618.49</v>
      </c>
      <c r="BO109" s="35">
        <v>183.01700000000002</v>
      </c>
      <c r="BP109" s="36">
        <v>205.91499999999999</v>
      </c>
      <c r="BQ109" s="36">
        <v>228.29899999999995</v>
      </c>
      <c r="BR109" s="36">
        <v>244.62099999999987</v>
      </c>
      <c r="BS109" s="36">
        <v>861.85199999999986</v>
      </c>
      <c r="BT109" s="35">
        <v>265.3649999999999</v>
      </c>
      <c r="BU109" s="36">
        <v>269.95799999999997</v>
      </c>
      <c r="BV109" s="36">
        <v>293.00199999999995</v>
      </c>
      <c r="BW109" s="36">
        <v>308.14299999999992</v>
      </c>
      <c r="BX109" s="36">
        <v>1136.4679999999998</v>
      </c>
      <c r="BY109" s="129">
        <v>317.89900000000017</v>
      </c>
      <c r="BZ109" s="130">
        <v>331.95800000000014</v>
      </c>
      <c r="CA109" s="130">
        <v>355.38600000000019</v>
      </c>
      <c r="CB109" s="131">
        <v>356.25300000000021</v>
      </c>
      <c r="CC109" s="36">
        <v>1361.4960000000008</v>
      </c>
      <c r="CD109" s="130">
        <v>365.90700000000015</v>
      </c>
      <c r="CE109" s="130">
        <v>426.80299999999983</v>
      </c>
      <c r="CF109" s="130">
        <v>437.35899999999998</v>
      </c>
      <c r="CG109" s="131">
        <v>447.84099999999989</v>
      </c>
      <c r="CH109" s="36">
        <v>1677.9099999999999</v>
      </c>
      <c r="CI109" s="130">
        <v>460.036</v>
      </c>
      <c r="CJ109" s="130">
        <v>487.92099999999959</v>
      </c>
      <c r="CK109" s="130">
        <v>457.51299999999958</v>
      </c>
      <c r="CL109" s="131">
        <v>479.40800000000007</v>
      </c>
      <c r="CM109" s="333">
        <v>1884.8779999999995</v>
      </c>
      <c r="CN109" s="130">
        <v>500.30000000000035</v>
      </c>
      <c r="CO109" s="130">
        <v>545.5</v>
      </c>
      <c r="CP109" s="130">
        <v>542.79999999999973</v>
      </c>
      <c r="CQ109" s="131">
        <v>553.40000000000009</v>
      </c>
      <c r="CR109" s="333">
        <v>2142</v>
      </c>
      <c r="CS109" s="130">
        <v>553.99999999999966</v>
      </c>
      <c r="CT109" s="130">
        <v>590.9</v>
      </c>
      <c r="CU109" s="130">
        <v>583.39999999999986</v>
      </c>
      <c r="CV109" s="131">
        <v>561</v>
      </c>
      <c r="CW109" s="333">
        <v>2289.2999999999993</v>
      </c>
      <c r="CX109" s="130">
        <v>581</v>
      </c>
      <c r="CY109" s="130">
        <v>645</v>
      </c>
      <c r="CZ109" s="130">
        <v>677.2928400000003</v>
      </c>
      <c r="DA109" s="130">
        <v>692.57395750000001</v>
      </c>
      <c r="DB109" s="847">
        <v>2595.8667975000003</v>
      </c>
      <c r="DC109" s="580">
        <v>715.70133000000021</v>
      </c>
      <c r="DD109" s="580">
        <v>761.03579000000025</v>
      </c>
      <c r="DE109" s="580">
        <v>796.58987886000034</v>
      </c>
      <c r="DF109" s="580">
        <v>824.22641962500006</v>
      </c>
      <c r="DG109" s="847">
        <v>3097.5534184850012</v>
      </c>
      <c r="DH109" s="580">
        <v>866.6244312499997</v>
      </c>
      <c r="DI109" s="580">
        <v>900.7848107999996</v>
      </c>
      <c r="DJ109" s="580">
        <v>927.68118306299982</v>
      </c>
      <c r="DK109" s="580">
        <v>931.52533364324984</v>
      </c>
      <c r="DL109" s="847">
        <v>3626.6157587562489</v>
      </c>
      <c r="DM109" s="580">
        <v>866.6244312499997</v>
      </c>
      <c r="DN109" s="580">
        <v>900.7848107999996</v>
      </c>
      <c r="DO109" s="580">
        <v>927.68118306299982</v>
      </c>
      <c r="DP109" s="580">
        <v>931.52533364324984</v>
      </c>
      <c r="DQ109" s="847">
        <v>3626.6157587562489</v>
      </c>
      <c r="DR109" s="36"/>
      <c r="DS109" s="130"/>
      <c r="DT109"/>
      <c r="DU109"/>
      <c r="DV109"/>
      <c r="DW109"/>
      <c r="DX109"/>
      <c r="DY109"/>
    </row>
    <row r="110" spans="1:129" s="182" customFormat="1">
      <c r="A110" s="60"/>
      <c r="B110" s="35"/>
      <c r="C110" s="36" t="s">
        <v>11</v>
      </c>
      <c r="D110" s="36"/>
      <c r="E110" s="36"/>
      <c r="F110" s="36"/>
      <c r="G110" s="35">
        <f t="shared" ref="G110:AL110" si="315">G13</f>
        <v>0.48</v>
      </c>
      <c r="H110" s="36">
        <f t="shared" si="315"/>
        <v>0.53499999999999992</v>
      </c>
      <c r="I110" s="36">
        <f t="shared" si="315"/>
        <v>0.58700000000000041</v>
      </c>
      <c r="J110" s="37">
        <f t="shared" si="315"/>
        <v>0.62000000000000011</v>
      </c>
      <c r="K110" s="130">
        <f t="shared" si="315"/>
        <v>2.2220000000000004</v>
      </c>
      <c r="L110" s="35">
        <f t="shared" si="315"/>
        <v>0.63100000000000001</v>
      </c>
      <c r="M110" s="36">
        <f t="shared" si="315"/>
        <v>0.71</v>
      </c>
      <c r="N110" s="36">
        <f t="shared" si="315"/>
        <v>0.80899999999999994</v>
      </c>
      <c r="O110" s="36">
        <f t="shared" si="315"/>
        <v>0.88699999999999979</v>
      </c>
      <c r="P110" s="36">
        <f t="shared" si="315"/>
        <v>3.0369999999999999</v>
      </c>
      <c r="Q110" s="35">
        <f t="shared" si="315"/>
        <v>0.97099999999999997</v>
      </c>
      <c r="R110" s="36">
        <f t="shared" si="315"/>
        <v>1.0259999999999998</v>
      </c>
      <c r="S110" s="36">
        <f t="shared" si="315"/>
        <v>1.2450000000000001</v>
      </c>
      <c r="T110" s="36">
        <f t="shared" si="315"/>
        <v>1.2649999999999997</v>
      </c>
      <c r="U110" s="36">
        <f t="shared" si="315"/>
        <v>4.5069999999999997</v>
      </c>
      <c r="V110" s="35">
        <f t="shared" si="315"/>
        <v>1.4379999999999999</v>
      </c>
      <c r="W110" s="36">
        <f t="shared" si="315"/>
        <v>1.4990000000000003</v>
      </c>
      <c r="X110" s="36">
        <f t="shared" si="315"/>
        <v>1.6290000000000002</v>
      </c>
      <c r="Y110" s="36">
        <f t="shared" si="315"/>
        <v>1.800999999999999</v>
      </c>
      <c r="Z110" s="36">
        <f t="shared" si="315"/>
        <v>6.367</v>
      </c>
      <c r="AA110" s="35">
        <f t="shared" si="315"/>
        <v>1.927</v>
      </c>
      <c r="AB110" s="36">
        <f t="shared" si="315"/>
        <v>1.7470000000000003</v>
      </c>
      <c r="AC110" s="36">
        <f t="shared" si="315"/>
        <v>2.0049999999999999</v>
      </c>
      <c r="AD110" s="36">
        <f t="shared" si="315"/>
        <v>2.1629999999999998</v>
      </c>
      <c r="AE110" s="36">
        <f t="shared" si="315"/>
        <v>7.8420000000000005</v>
      </c>
      <c r="AF110" s="35">
        <f t="shared" si="315"/>
        <v>2.6219999999999999</v>
      </c>
      <c r="AG110" s="36">
        <f t="shared" si="315"/>
        <v>2.7669999999999995</v>
      </c>
      <c r="AH110" s="36">
        <f t="shared" si="315"/>
        <v>3.0079999999999991</v>
      </c>
      <c r="AI110" s="36">
        <f t="shared" si="315"/>
        <v>3.5389999999999997</v>
      </c>
      <c r="AJ110" s="36">
        <f t="shared" si="315"/>
        <v>11.935999999999998</v>
      </c>
      <c r="AK110" s="35">
        <f t="shared" si="315"/>
        <v>3.8650000000000002</v>
      </c>
      <c r="AL110" s="36">
        <f t="shared" si="315"/>
        <v>3.8279999999999994</v>
      </c>
      <c r="AM110" s="36">
        <f t="shared" ref="AM110:BR110" si="316">AM13</f>
        <v>4.0830000000000002</v>
      </c>
      <c r="AN110" s="36">
        <f t="shared" si="316"/>
        <v>4.6709999999999994</v>
      </c>
      <c r="AO110" s="36">
        <f t="shared" si="316"/>
        <v>16.446999999999999</v>
      </c>
      <c r="AP110" s="35">
        <f t="shared" si="316"/>
        <v>5.09</v>
      </c>
      <c r="AQ110" s="36">
        <f t="shared" si="316"/>
        <v>5.4489999999999998</v>
      </c>
      <c r="AR110" s="36">
        <f t="shared" si="316"/>
        <v>5.5810000000000013</v>
      </c>
      <c r="AS110" s="36">
        <f t="shared" si="316"/>
        <v>5.2799999999999976</v>
      </c>
      <c r="AT110" s="36">
        <f t="shared" si="316"/>
        <v>21.4</v>
      </c>
      <c r="AU110" s="35">
        <f t="shared" si="316"/>
        <v>7.03</v>
      </c>
      <c r="AV110" s="36">
        <f t="shared" si="316"/>
        <v>7.8009999999999993</v>
      </c>
      <c r="AW110" s="36">
        <f t="shared" si="316"/>
        <v>8.8610000000000007</v>
      </c>
      <c r="AX110" s="36">
        <f t="shared" si="316"/>
        <v>10.470999999999997</v>
      </c>
      <c r="AY110" s="36">
        <f t="shared" si="316"/>
        <v>34.162999999999997</v>
      </c>
      <c r="AZ110" s="35">
        <f t="shared" si="316"/>
        <v>12.26</v>
      </c>
      <c r="BA110" s="36">
        <f t="shared" si="316"/>
        <v>13.053000000000003</v>
      </c>
      <c r="BB110" s="36">
        <f t="shared" si="316"/>
        <v>13.869999999999996</v>
      </c>
      <c r="BC110" s="36">
        <f t="shared" si="316"/>
        <v>14.734999999999998</v>
      </c>
      <c r="BD110" s="36">
        <f t="shared" si="316"/>
        <v>53.917999999999999</v>
      </c>
      <c r="BE110" s="35">
        <f t="shared" si="316"/>
        <v>16.292999999999999</v>
      </c>
      <c r="BF110" s="36">
        <f t="shared" si="316"/>
        <v>17.777000000000001</v>
      </c>
      <c r="BG110" s="36">
        <f t="shared" si="316"/>
        <v>19.473999999999997</v>
      </c>
      <c r="BH110" s="36">
        <f t="shared" si="316"/>
        <v>21.253</v>
      </c>
      <c r="BI110" s="36">
        <f t="shared" si="316"/>
        <v>74.796999999999997</v>
      </c>
      <c r="BJ110" s="35">
        <f t="shared" si="316"/>
        <v>21.152000000000001</v>
      </c>
      <c r="BK110" s="36">
        <f t="shared" si="316"/>
        <v>21.579000000000001</v>
      </c>
      <c r="BL110" s="36">
        <f t="shared" si="316"/>
        <v>22.300999999999995</v>
      </c>
      <c r="BM110" s="36">
        <f t="shared" si="316"/>
        <v>24.338999999999992</v>
      </c>
      <c r="BN110" s="36">
        <f t="shared" si="316"/>
        <v>89.370999999999981</v>
      </c>
      <c r="BO110" s="35">
        <f t="shared" si="316"/>
        <v>27.381</v>
      </c>
      <c r="BP110" s="36">
        <f t="shared" si="316"/>
        <v>25.247999999999998</v>
      </c>
      <c r="BQ110" s="36">
        <f t="shared" si="316"/>
        <v>27.929000000000009</v>
      </c>
      <c r="BR110" s="36">
        <f t="shared" si="316"/>
        <v>29.613999999999997</v>
      </c>
      <c r="BS110" s="36">
        <f t="shared" ref="BS110:CW110" si="317">BS13</f>
        <v>110.172</v>
      </c>
      <c r="BT110" s="35">
        <f t="shared" si="317"/>
        <v>28.963999999999999</v>
      </c>
      <c r="BU110" s="36">
        <f t="shared" si="317"/>
        <v>29.273000000000003</v>
      </c>
      <c r="BV110" s="36">
        <f t="shared" si="317"/>
        <v>31.639000000000003</v>
      </c>
      <c r="BW110" s="36">
        <f t="shared" si="317"/>
        <v>34.298999999999999</v>
      </c>
      <c r="BX110" s="36">
        <f t="shared" si="317"/>
        <v>124.17500000000001</v>
      </c>
      <c r="BY110" s="129">
        <f t="shared" si="317"/>
        <v>36.625</v>
      </c>
      <c r="BZ110" s="130">
        <f t="shared" si="317"/>
        <v>37.433000000000007</v>
      </c>
      <c r="CA110" s="130">
        <f t="shared" si="317"/>
        <v>41.366</v>
      </c>
      <c r="CB110" s="131">
        <f t="shared" si="317"/>
        <v>41.163999999999987</v>
      </c>
      <c r="CC110" s="36">
        <f t="shared" si="317"/>
        <v>156.58799999999999</v>
      </c>
      <c r="CD110" s="130">
        <f t="shared" si="317"/>
        <v>43.600999999999999</v>
      </c>
      <c r="CE110" s="130">
        <f t="shared" si="317"/>
        <v>43.834000000000003</v>
      </c>
      <c r="CF110" s="130">
        <f t="shared" si="317"/>
        <v>44.578000000000003</v>
      </c>
      <c r="CG110" s="131">
        <f t="shared" si="317"/>
        <v>47.917000000000002</v>
      </c>
      <c r="CH110" s="36">
        <f t="shared" si="317"/>
        <v>179.93</v>
      </c>
      <c r="CI110" s="130">
        <f t="shared" si="317"/>
        <v>46.197632101878291</v>
      </c>
      <c r="CJ110" s="130">
        <f t="shared" si="317"/>
        <v>49.276367898121713</v>
      </c>
      <c r="CK110" s="130">
        <f t="shared" si="317"/>
        <v>49.716999999999992</v>
      </c>
      <c r="CL110" s="131">
        <f t="shared" si="317"/>
        <v>62.876000000000012</v>
      </c>
      <c r="CM110" s="333">
        <f t="shared" si="317"/>
        <v>208.06700000000001</v>
      </c>
      <c r="CN110" s="130">
        <f t="shared" si="317"/>
        <v>75.599999999999994</v>
      </c>
      <c r="CO110" s="260">
        <f t="shared" si="317"/>
        <v>84</v>
      </c>
      <c r="CP110" s="130">
        <f t="shared" si="317"/>
        <v>82.4</v>
      </c>
      <c r="CQ110" s="131">
        <f t="shared" si="317"/>
        <v>88</v>
      </c>
      <c r="CR110" s="333">
        <f t="shared" si="317"/>
        <v>330</v>
      </c>
      <c r="CS110" s="130">
        <f t="shared" si="317"/>
        <v>87.7</v>
      </c>
      <c r="CT110" s="130">
        <f t="shared" si="317"/>
        <v>92.899999999999991</v>
      </c>
      <c r="CU110" s="130">
        <f t="shared" si="317"/>
        <v>97.8</v>
      </c>
      <c r="CV110" s="131">
        <f t="shared" si="317"/>
        <v>100.60000000000001</v>
      </c>
      <c r="CW110" s="333">
        <f t="shared" si="317"/>
        <v>379</v>
      </c>
      <c r="CX110" s="130">
        <f>CX13</f>
        <v>104</v>
      </c>
      <c r="CY110" s="130">
        <f>CY13</f>
        <v>103</v>
      </c>
      <c r="CZ110" s="130">
        <f t="shared" ref="CZ110:DL110" si="318">CZ13</f>
        <v>114</v>
      </c>
      <c r="DA110" s="130">
        <f t="shared" si="318"/>
        <v>86.000000000000128</v>
      </c>
      <c r="DB110" s="847">
        <f t="shared" si="318"/>
        <v>407.00000000000011</v>
      </c>
      <c r="DC110" s="580">
        <f t="shared" si="318"/>
        <v>95.81684288757927</v>
      </c>
      <c r="DD110" s="580">
        <f t="shared" si="318"/>
        <v>96.107938113125883</v>
      </c>
      <c r="DE110" s="580">
        <f t="shared" si="318"/>
        <v>96.964764638680549</v>
      </c>
      <c r="DF110" s="580">
        <f t="shared" si="318"/>
        <v>98.666182669666256</v>
      </c>
      <c r="DG110" s="847">
        <f t="shared" si="318"/>
        <v>387.55572830905191</v>
      </c>
      <c r="DH110" s="580">
        <f t="shared" si="318"/>
        <v>99.834459947413947</v>
      </c>
      <c r="DI110" s="580">
        <f t="shared" si="318"/>
        <v>100.19370569508385</v>
      </c>
      <c r="DJ110" s="580">
        <f t="shared" si="318"/>
        <v>101.16222078403324</v>
      </c>
      <c r="DK110" s="580">
        <f t="shared" si="318"/>
        <v>103.03804725879526</v>
      </c>
      <c r="DL110" s="847">
        <f t="shared" si="318"/>
        <v>404.22843368532631</v>
      </c>
      <c r="DM110" s="580">
        <f t="shared" ref="DM110:DQ110" si="319">DM13</f>
        <v>104.33681789425067</v>
      </c>
      <c r="DN110" s="580">
        <f t="shared" si="319"/>
        <v>104.75958542141721</v>
      </c>
      <c r="DO110" s="580">
        <f t="shared" si="319"/>
        <v>105.83683390517001</v>
      </c>
      <c r="DP110" s="580">
        <f t="shared" si="319"/>
        <v>107.89121045805472</v>
      </c>
      <c r="DQ110" s="847">
        <f t="shared" si="319"/>
        <v>422.82444767889262</v>
      </c>
      <c r="DR110" s="36"/>
      <c r="DS110" s="130"/>
      <c r="DT110"/>
      <c r="DU110"/>
      <c r="DV110"/>
      <c r="DW110"/>
      <c r="DX110"/>
      <c r="DY110"/>
    </row>
    <row r="111" spans="1:129" s="182" customFormat="1">
      <c r="A111" s="60"/>
      <c r="B111" s="35"/>
      <c r="C111" s="36" t="s">
        <v>252</v>
      </c>
      <c r="D111" s="36"/>
      <c r="E111" s="36"/>
      <c r="F111" s="36"/>
      <c r="G111" s="35">
        <f t="shared" ref="G111:AS111" si="320">SUM(G109:G110)</f>
        <v>1.6039999999999992</v>
      </c>
      <c r="H111" s="36">
        <f t="shared" si="320"/>
        <v>2.1169999999999991</v>
      </c>
      <c r="I111" s="36">
        <f t="shared" si="320"/>
        <v>3.0219999999999994</v>
      </c>
      <c r="J111" s="37">
        <f t="shared" si="320"/>
        <v>4.3969999999999994</v>
      </c>
      <c r="K111" s="130">
        <f>SUM(K109:K110)</f>
        <v>11.139999999999997</v>
      </c>
      <c r="L111" s="35">
        <f t="shared" si="320"/>
        <v>4.7009999999999978</v>
      </c>
      <c r="M111" s="36">
        <f t="shared" si="320"/>
        <v>4.5730000000000022</v>
      </c>
      <c r="N111" s="36">
        <f t="shared" si="320"/>
        <v>4.9850000000000021</v>
      </c>
      <c r="O111" s="36">
        <f t="shared" si="320"/>
        <v>5.4229999999999956</v>
      </c>
      <c r="P111" s="36">
        <f>SUM(P109:P110)</f>
        <v>19.681999999999995</v>
      </c>
      <c r="Q111" s="35">
        <f t="shared" si="320"/>
        <v>6.0940000000000012</v>
      </c>
      <c r="R111" s="36">
        <f t="shared" si="320"/>
        <v>7.0669999999999966</v>
      </c>
      <c r="S111" s="36">
        <f t="shared" si="320"/>
        <v>8.3240000000000016</v>
      </c>
      <c r="T111" s="36">
        <f t="shared" si="320"/>
        <v>9.1499999999999915</v>
      </c>
      <c r="U111" s="36">
        <f>SUM(U109:U110)</f>
        <v>30.634999999999991</v>
      </c>
      <c r="V111" s="35">
        <f t="shared" si="320"/>
        <v>9.8270000000000035</v>
      </c>
      <c r="W111" s="36">
        <f t="shared" si="320"/>
        <v>10.373000000000001</v>
      </c>
      <c r="X111" s="36">
        <f t="shared" si="320"/>
        <v>10.952</v>
      </c>
      <c r="Y111" s="36">
        <f t="shared" si="320"/>
        <v>10.834999999999997</v>
      </c>
      <c r="Z111" s="36">
        <f>SUM(Z109:Z110)</f>
        <v>41.987000000000002</v>
      </c>
      <c r="AA111" s="35">
        <f t="shared" si="320"/>
        <v>11.073000000000002</v>
      </c>
      <c r="AB111" s="36">
        <f t="shared" si="320"/>
        <v>12.448999999999998</v>
      </c>
      <c r="AC111" s="36">
        <f t="shared" si="320"/>
        <v>14.113</v>
      </c>
      <c r="AD111" s="36">
        <f t="shared" si="320"/>
        <v>15.404999999999992</v>
      </c>
      <c r="AE111" s="36">
        <f>SUM(AE109:AE110)</f>
        <v>53.039999999999992</v>
      </c>
      <c r="AF111" s="35">
        <f t="shared" si="320"/>
        <v>17.146000000000001</v>
      </c>
      <c r="AG111" s="36">
        <f t="shared" si="320"/>
        <v>19.895</v>
      </c>
      <c r="AH111" s="36">
        <f t="shared" si="320"/>
        <v>22.282</v>
      </c>
      <c r="AI111" s="36">
        <f t="shared" si="320"/>
        <v>24.924999999999997</v>
      </c>
      <c r="AJ111" s="36">
        <f>SUM(AJ109:AJ110)</f>
        <v>84.24799999999999</v>
      </c>
      <c r="AK111" s="35">
        <f t="shared" si="320"/>
        <v>27.551999999999992</v>
      </c>
      <c r="AL111" s="36">
        <f t="shared" si="320"/>
        <v>31.617999999999984</v>
      </c>
      <c r="AM111" s="36">
        <f t="shared" si="320"/>
        <v>34.955000000000005</v>
      </c>
      <c r="AN111" s="36">
        <f t="shared" si="320"/>
        <v>39.942000000000007</v>
      </c>
      <c r="AO111" s="36">
        <f>SUM(AO109:AO110)</f>
        <v>134.06700000000001</v>
      </c>
      <c r="AP111" s="35">
        <f t="shared" si="320"/>
        <v>42.277000000000015</v>
      </c>
      <c r="AQ111" s="36">
        <f t="shared" si="320"/>
        <v>47.816999999999986</v>
      </c>
      <c r="AR111" s="36">
        <f t="shared" si="320"/>
        <v>52.60199999999999</v>
      </c>
      <c r="AS111" s="36">
        <f t="shared" si="320"/>
        <v>56.320000000000036</v>
      </c>
      <c r="AT111" s="36">
        <f>SUM(AT109:AT110)</f>
        <v>199.01600000000005</v>
      </c>
      <c r="AU111" s="35">
        <f t="shared" ref="AU111:CG111" si="321">SUM(AU109:AU110)</f>
        <v>60.185999999999993</v>
      </c>
      <c r="AV111" s="36">
        <f t="shared" si="321"/>
        <v>68.472000000000023</v>
      </c>
      <c r="AW111" s="36">
        <f t="shared" si="321"/>
        <v>77.625000000000057</v>
      </c>
      <c r="AX111" s="36">
        <f t="shared" si="321"/>
        <v>86.823000000000008</v>
      </c>
      <c r="AY111" s="36">
        <f>SUM(AY109:AY110)</f>
        <v>293.10600000000011</v>
      </c>
      <c r="AZ111" s="35">
        <f t="shared" si="321"/>
        <v>95.862000000000052</v>
      </c>
      <c r="BA111" s="36">
        <f t="shared" si="321"/>
        <v>103.72399999999999</v>
      </c>
      <c r="BB111" s="36">
        <f t="shared" si="321"/>
        <v>114.99999999999999</v>
      </c>
      <c r="BC111" s="36">
        <f t="shared" si="321"/>
        <v>120.85399999999991</v>
      </c>
      <c r="BD111" s="36">
        <f>SUM(BD109:BD110)</f>
        <v>435.43999999999994</v>
      </c>
      <c r="BE111" s="35">
        <f t="shared" si="321"/>
        <v>127.988</v>
      </c>
      <c r="BF111" s="36">
        <f t="shared" si="321"/>
        <v>137.45500000000004</v>
      </c>
      <c r="BG111" s="36">
        <f t="shared" si="321"/>
        <v>162.10500000000002</v>
      </c>
      <c r="BH111" s="36">
        <f t="shared" si="321"/>
        <v>163.91899999999998</v>
      </c>
      <c r="BI111" s="36">
        <f>SUM(BI109:BI110)</f>
        <v>591.4670000000001</v>
      </c>
      <c r="BJ111" s="35">
        <f t="shared" si="321"/>
        <v>159.28200000000004</v>
      </c>
      <c r="BK111" s="36">
        <f t="shared" si="321"/>
        <v>173.24900000000002</v>
      </c>
      <c r="BL111" s="36">
        <f t="shared" si="321"/>
        <v>184.08300000000017</v>
      </c>
      <c r="BM111" s="36">
        <f t="shared" si="321"/>
        <v>191.24699999999973</v>
      </c>
      <c r="BN111" s="36">
        <f>SUM(BN109:BN110)</f>
        <v>707.86099999999999</v>
      </c>
      <c r="BO111" s="35">
        <f t="shared" si="321"/>
        <v>210.39800000000002</v>
      </c>
      <c r="BP111" s="36">
        <f t="shared" si="321"/>
        <v>231.16299999999998</v>
      </c>
      <c r="BQ111" s="36">
        <f t="shared" si="321"/>
        <v>256.22799999999995</v>
      </c>
      <c r="BR111" s="36">
        <f t="shared" si="321"/>
        <v>274.23499999999984</v>
      </c>
      <c r="BS111" s="36">
        <f>SUM(BS109:BS110)</f>
        <v>972.02399999999989</v>
      </c>
      <c r="BT111" s="35">
        <f t="shared" si="321"/>
        <v>294.32899999999989</v>
      </c>
      <c r="BU111" s="36">
        <f t="shared" si="321"/>
        <v>299.23099999999999</v>
      </c>
      <c r="BV111" s="36">
        <f t="shared" si="321"/>
        <v>324.64099999999996</v>
      </c>
      <c r="BW111" s="36">
        <f t="shared" si="321"/>
        <v>342.44199999999989</v>
      </c>
      <c r="BX111" s="36">
        <f>SUM(BX109:BX110)</f>
        <v>1260.6429999999998</v>
      </c>
      <c r="BY111" s="129">
        <f t="shared" si="321"/>
        <v>354.52400000000017</v>
      </c>
      <c r="BZ111" s="130">
        <f t="shared" si="321"/>
        <v>369.39100000000013</v>
      </c>
      <c r="CA111" s="130">
        <f t="shared" si="321"/>
        <v>396.75200000000018</v>
      </c>
      <c r="CB111" s="131">
        <f t="shared" si="321"/>
        <v>397.4170000000002</v>
      </c>
      <c r="CC111" s="36">
        <f>SUM(CC109:CC110)</f>
        <v>1518.0840000000007</v>
      </c>
      <c r="CD111" s="130">
        <f t="shared" si="321"/>
        <v>409.50800000000015</v>
      </c>
      <c r="CE111" s="130">
        <f t="shared" si="321"/>
        <v>470.63699999999983</v>
      </c>
      <c r="CF111" s="130">
        <f t="shared" si="321"/>
        <v>481.93700000000001</v>
      </c>
      <c r="CG111" s="131">
        <f t="shared" si="321"/>
        <v>495.75799999999992</v>
      </c>
      <c r="CH111" s="36">
        <f>SUM(CH109:CH110)</f>
        <v>1857.84</v>
      </c>
      <c r="CI111" s="130">
        <f t="shared" ref="CI111:CQ111" si="322">SUM(CI109:CI110)</f>
        <v>506.2336321018783</v>
      </c>
      <c r="CJ111" s="130">
        <f t="shared" si="322"/>
        <v>537.19736789812134</v>
      </c>
      <c r="CK111" s="130">
        <f t="shared" si="322"/>
        <v>507.22999999999956</v>
      </c>
      <c r="CL111" s="131">
        <f t="shared" si="322"/>
        <v>542.28400000000011</v>
      </c>
      <c r="CM111" s="333">
        <f>SUM(CM109:CM110)</f>
        <v>2092.9449999999997</v>
      </c>
      <c r="CN111" s="130">
        <f t="shared" si="322"/>
        <v>575.90000000000032</v>
      </c>
      <c r="CO111" s="260">
        <f t="shared" si="322"/>
        <v>629.5</v>
      </c>
      <c r="CP111" s="130">
        <f t="shared" si="322"/>
        <v>625.1999999999997</v>
      </c>
      <c r="CQ111" s="131">
        <f t="shared" si="322"/>
        <v>641.40000000000009</v>
      </c>
      <c r="CR111" s="333">
        <f>SUM(CR109:CR110)</f>
        <v>2472</v>
      </c>
      <c r="CS111" s="130">
        <f>SUM(CS109:CS110)</f>
        <v>641.6999999999997</v>
      </c>
      <c r="CT111" s="130">
        <f t="shared" ref="CT111:DA111" si="323">SUM(CT109:CT110)</f>
        <v>683.8</v>
      </c>
      <c r="CU111" s="130">
        <f t="shared" si="323"/>
        <v>681.19999999999982</v>
      </c>
      <c r="CV111" s="131">
        <f>SUM(CV109:CV110)</f>
        <v>661.6</v>
      </c>
      <c r="CW111" s="333">
        <f>SUM(CW109:CW110)</f>
        <v>2668.2999999999993</v>
      </c>
      <c r="CX111" s="130">
        <f>SUM(CX109:CX110)</f>
        <v>685</v>
      </c>
      <c r="CY111" s="130">
        <f>SUM(CY109:CY110)</f>
        <v>748</v>
      </c>
      <c r="CZ111" s="130">
        <f t="shared" si="323"/>
        <v>791.2928400000003</v>
      </c>
      <c r="DA111" s="130">
        <f t="shared" si="323"/>
        <v>778.57395750000012</v>
      </c>
      <c r="DB111" s="847">
        <f>SUM(DB109:DB110)</f>
        <v>3002.8667975000003</v>
      </c>
      <c r="DC111" s="580">
        <f t="shared" ref="DC111:DK111" si="324">SUM(DC109:DC110)</f>
        <v>811.51817288757945</v>
      </c>
      <c r="DD111" s="580">
        <f t="shared" si="324"/>
        <v>857.14372811312614</v>
      </c>
      <c r="DE111" s="580">
        <f t="shared" si="324"/>
        <v>893.55464349868089</v>
      </c>
      <c r="DF111" s="580">
        <f t="shared" si="324"/>
        <v>922.89260229466629</v>
      </c>
      <c r="DG111" s="847">
        <f>SUM(DG109:DG110)</f>
        <v>3485.1091467940532</v>
      </c>
      <c r="DH111" s="580">
        <f t="shared" si="324"/>
        <v>966.45889119741366</v>
      </c>
      <c r="DI111" s="580">
        <f t="shared" si="324"/>
        <v>1000.9785164950835</v>
      </c>
      <c r="DJ111" s="580">
        <f t="shared" si="324"/>
        <v>1028.843403847033</v>
      </c>
      <c r="DK111" s="580">
        <f t="shared" si="324"/>
        <v>1034.5633809020451</v>
      </c>
      <c r="DL111" s="847">
        <f>SUM(DL109:DL110)</f>
        <v>4030.8441924415752</v>
      </c>
      <c r="DM111" s="580">
        <f t="shared" ref="DM111:DP111" si="325">SUM(DM109:DM110)</f>
        <v>970.96124914425036</v>
      </c>
      <c r="DN111" s="580">
        <f t="shared" si="325"/>
        <v>1005.5443962214168</v>
      </c>
      <c r="DO111" s="580">
        <f t="shared" si="325"/>
        <v>1033.5180169681698</v>
      </c>
      <c r="DP111" s="580">
        <f t="shared" si="325"/>
        <v>1039.4165441013045</v>
      </c>
      <c r="DQ111" s="847">
        <f>SUM(DQ109:DQ110)</f>
        <v>4049.4402064351416</v>
      </c>
      <c r="DR111" s="36"/>
      <c r="DS111" s="130"/>
      <c r="DT111"/>
      <c r="DU111"/>
      <c r="DV111"/>
      <c r="DW111"/>
      <c r="DX111"/>
      <c r="DY111"/>
    </row>
    <row r="112" spans="1:129" s="132" customFormat="1">
      <c r="A112" s="38"/>
      <c r="B112" s="32"/>
      <c r="C112" s="33" t="s">
        <v>256</v>
      </c>
      <c r="D112" s="33"/>
      <c r="E112" s="33"/>
      <c r="F112" s="33"/>
      <c r="G112" s="280">
        <f>G111/IS!G86</f>
        <v>4.9012418108927321E-3</v>
      </c>
      <c r="H112" s="281">
        <f>H111/IS!H86</f>
        <v>6.1486360890375923E-3</v>
      </c>
      <c r="I112" s="281">
        <f>I111/IS!I86</f>
        <v>6.6856040494141789E-3</v>
      </c>
      <c r="J112" s="282">
        <f>J111/IS!J86</f>
        <v>9.5940685658427588E-3</v>
      </c>
      <c r="K112" s="403">
        <f>K111/IS!K86</f>
        <v>2.8066674728907153E-2</v>
      </c>
      <c r="L112" s="280">
        <f>L111/IS!L86</f>
        <v>1.019226766573004E-2</v>
      </c>
      <c r="M112" s="281">
        <f>M111/IS!M86</f>
        <v>9.9603589475518433E-3</v>
      </c>
      <c r="N112" s="281">
        <f>N111/IS!N86</f>
        <v>1.0831681963565574E-2</v>
      </c>
      <c r="O112" s="281">
        <f>O111/IS!O86</f>
        <v>1.1351267624501817E-2</v>
      </c>
      <c r="P112" s="281">
        <f>P111/IS!P86</f>
        <v>4.2237501716797132E-2</v>
      </c>
      <c r="Q112" s="280">
        <f>Q111/IS!Q86</f>
        <v>1.2578226911708857E-2</v>
      </c>
      <c r="R112" s="281">
        <f>R111/IS!R86</f>
        <v>1.4595208591491113E-2</v>
      </c>
      <c r="S112" s="281">
        <f>S111/IS!S86</f>
        <v>1.7247666882158903E-2</v>
      </c>
      <c r="T112" s="282">
        <f>T111/IS!T86</f>
        <v>1.8549603464214449E-2</v>
      </c>
      <c r="U112" s="281">
        <f>U111/IS!U86</f>
        <v>6.301630792522378E-2</v>
      </c>
      <c r="V112" s="281">
        <f>V111/IS!V86</f>
        <v>2.0238154079346257E-2</v>
      </c>
      <c r="W112" s="281">
        <f>W111/IS!W86</f>
        <v>2.112042285639823E-2</v>
      </c>
      <c r="X112" s="281">
        <f>X111/IS!X86</f>
        <v>2.2243886587050125E-2</v>
      </c>
      <c r="Y112" s="282">
        <f>Y111/IS!Y86</f>
        <v>2.2256869125090378E-2</v>
      </c>
      <c r="Z112" s="281">
        <f>Z111/IS!Z86</f>
        <v>8.5879845532047194E-2</v>
      </c>
      <c r="AA112" s="281">
        <f>AA111/IS!AA86</f>
        <v>2.2432780668060488E-2</v>
      </c>
      <c r="AB112" s="281">
        <f>AB111/IS!AB86</f>
        <v>2.4635874297474863E-2</v>
      </c>
      <c r="AC112" s="281">
        <f>AC111/IS!AC86</f>
        <v>2.7413251907447977E-2</v>
      </c>
      <c r="AD112" s="281">
        <f>AD111/IS!AD86</f>
        <v>2.9314715016441343E-2</v>
      </c>
      <c r="AE112" s="281">
        <f>AE111/IS!AE86</f>
        <v>0.10409307145212189</v>
      </c>
      <c r="AF112" s="280">
        <f>AF111/IS!AF86</f>
        <v>3.2473484848484849E-2</v>
      </c>
      <c r="AG112" s="281">
        <f>AG111/IS!AG86</f>
        <v>3.7543969564757917E-2</v>
      </c>
      <c r="AH112" s="281">
        <f>AH111/IS!AH86</f>
        <v>4.0318027850959733E-2</v>
      </c>
      <c r="AI112" s="281">
        <f>AI111/IS!AI86</f>
        <v>4.4305755037613227E-2</v>
      </c>
      <c r="AJ112" s="281">
        <f>AJ111/IS!AJ86</f>
        <v>0.15507974141104744</v>
      </c>
      <c r="AK112" s="280">
        <f>AK111/IS!AK86</f>
        <v>4.8626210713579747E-2</v>
      </c>
      <c r="AL112" s="281">
        <f>AL111/IS!AL86</f>
        <v>5.5995154571987171E-2</v>
      </c>
      <c r="AM112" s="281">
        <f>AM111/IS!AM86</f>
        <v>6.122960181052544E-2</v>
      </c>
      <c r="AN112" s="282">
        <f>AN111/IS!AN86</f>
        <v>6.9013062409288839E-2</v>
      </c>
      <c r="AO112" s="281">
        <f>AO111/IS!AO86</f>
        <v>0.23511286792558714</v>
      </c>
      <c r="AP112" s="281">
        <f>AP111/IS!AP86</f>
        <v>7.2480986963468941E-2</v>
      </c>
      <c r="AQ112" s="281">
        <f>AQ111/IS!AQ86</f>
        <v>8.1568909753401447E-2</v>
      </c>
      <c r="AR112" s="281">
        <f>AR111/IS!AR86</f>
        <v>8.928850292977368E-2</v>
      </c>
      <c r="AS112" s="282">
        <f>AS111/IS!AS86</f>
        <v>9.5184013412292851E-2</v>
      </c>
      <c r="AT112" s="281">
        <f>AT111/IS!AT86</f>
        <v>0.33870451683175062</v>
      </c>
      <c r="AU112" s="281">
        <f>AU111/IS!AU86</f>
        <v>0.10074387026795396</v>
      </c>
      <c r="AV112" s="281">
        <f>AV111/IS!AV86</f>
        <v>0.11374615430618039</v>
      </c>
      <c r="AW112" s="281">
        <f>AW111/IS!AW86</f>
        <v>0.12865837286315235</v>
      </c>
      <c r="AX112" s="281">
        <f>AX111/IS!AX86</f>
        <v>0.1432098887613317</v>
      </c>
      <c r="AY112" s="281">
        <f>AY111/IS!AY86</f>
        <v>0.48668654773448827</v>
      </c>
      <c r="AZ112" s="280">
        <f>AZ111/IS!AZ86</f>
        <v>0.15791918712687311</v>
      </c>
      <c r="BA112" s="281">
        <f>BA111/IS!BA86</f>
        <v>0.17054426712529225</v>
      </c>
      <c r="BB112" s="281">
        <f>BB111/IS!BB86</f>
        <v>0.18879447341117134</v>
      </c>
      <c r="BC112" s="281">
        <f>BC111/IS!BC86</f>
        <v>0.19995962885015006</v>
      </c>
      <c r="BD112" s="281">
        <f>BD111/IS!BD86</f>
        <v>0.71714433468492345</v>
      </c>
      <c r="BE112" s="280">
        <f>BE111/IS!BE86</f>
        <v>0.21398954028062009</v>
      </c>
      <c r="BF112" s="281">
        <f>BF111/IS!BF86</f>
        <v>0.22960291582590575</v>
      </c>
      <c r="BG112" s="281">
        <f>BG111/IS!BG86</f>
        <v>0.2703507279731826</v>
      </c>
      <c r="BH112" s="282">
        <f>BH111/IS!BH86</f>
        <v>0.27542931075041166</v>
      </c>
      <c r="BI112" s="281">
        <f>BI111/IS!BI86</f>
        <v>0.98927376731116634</v>
      </c>
      <c r="BJ112" s="281">
        <f>BJ111/IS!BJ86</f>
        <v>0.26725795572379224</v>
      </c>
      <c r="BK112" s="281">
        <f>BK111/IS!BK86</f>
        <v>0.28945073378064107</v>
      </c>
      <c r="BL112" s="281">
        <f>BL111/IS!BL86</f>
        <v>0.3041869641948301</v>
      </c>
      <c r="BM112" s="282">
        <f>BM111/IS!BM86</f>
        <v>0.31391592666152313</v>
      </c>
      <c r="BN112" s="281">
        <f>BN111/IS!BN86</f>
        <v>1.1753997642096872</v>
      </c>
      <c r="BO112" s="281">
        <f>BO111/IS!BO86</f>
        <v>0.3430432003756555</v>
      </c>
      <c r="BP112" s="281">
        <f>BP111/IS!BP86</f>
        <v>0.37467219040024369</v>
      </c>
      <c r="BQ112" s="281">
        <f>BQ111/IS!BQ86</f>
        <v>0.41377951611496699</v>
      </c>
      <c r="BR112" s="281">
        <f>BR111/IS!BR86</f>
        <v>0.43979491686338884</v>
      </c>
      <c r="BS112" s="281">
        <f>BS111/IS!BS86</f>
        <v>1.5721573283042791</v>
      </c>
      <c r="BT112" s="280">
        <f>BT111/IS!BT86</f>
        <v>0.47197910218952333</v>
      </c>
      <c r="BU112" s="281">
        <f>BU111/IS!BU86</f>
        <v>0.4803420477274406</v>
      </c>
      <c r="BV112" s="281">
        <f>BV111/IS!BV86</f>
        <v>0.52480463761368512</v>
      </c>
      <c r="BW112" s="281">
        <f>BW111/IS!BW86</f>
        <v>0.5544236740958528</v>
      </c>
      <c r="BX112" s="281">
        <f>BX111/IS!BX86</f>
        <v>2.0309955501996124</v>
      </c>
      <c r="BY112" s="416">
        <f>BY111/IS!BY86</f>
        <v>0.57327753486326383</v>
      </c>
      <c r="BZ112" s="403">
        <f>BZ111/IS!BZ86</f>
        <v>0.60097583673363153</v>
      </c>
      <c r="CA112" s="403">
        <f>CA111/IS!CA86</f>
        <v>0.65442117625324969</v>
      </c>
      <c r="CB112" s="417">
        <f>CB111/IS!CB86</f>
        <v>0.65412621758724365</v>
      </c>
      <c r="CC112" s="281">
        <f>CC111/IS!CC86</f>
        <v>2.4816567002658081</v>
      </c>
      <c r="CD112" s="403">
        <f>CD111/IS!CD86</f>
        <v>0.67093742627205311</v>
      </c>
      <c r="CE112" s="403">
        <f>CE111/IS!CE86</f>
        <v>0.77294002877357526</v>
      </c>
      <c r="CF112" s="403">
        <f>CF111/IS!CF86</f>
        <v>0.79194314353791806</v>
      </c>
      <c r="CG112" s="417">
        <f>CG111/IS!CG86</f>
        <v>0.81157916104613836</v>
      </c>
      <c r="CH112" s="281">
        <f>CH111/IS!CH86</f>
        <v>3.0473278636359158</v>
      </c>
      <c r="CI112" s="403">
        <f>CI111/IS!CI86</f>
        <v>0.82596852668862508</v>
      </c>
      <c r="CJ112" s="403">
        <f>CJ111/IS!CJ86</f>
        <v>0.87754118664360303</v>
      </c>
      <c r="CK112" s="403">
        <f>CK111/IS!CK86</f>
        <v>0.82864064901988577</v>
      </c>
      <c r="CL112" s="417">
        <f>CL111/IS!CL86</f>
        <v>0.88496863433707817</v>
      </c>
      <c r="CM112" s="743">
        <f>CM111/IS!CM86</f>
        <v>3.4171144298101672</v>
      </c>
      <c r="CN112" s="403">
        <f>CN111/IS!CN86</f>
        <v>0.93810066786121571</v>
      </c>
      <c r="CO112" s="403">
        <f>CO111/IS!CO86</f>
        <v>1.0254113047727644</v>
      </c>
      <c r="CP112" s="403">
        <f>CP111/IS!CP86</f>
        <v>1.0204015015505135</v>
      </c>
      <c r="CQ112" s="417">
        <f>CQ111/IS!CQ86</f>
        <v>1.0470127326150833</v>
      </c>
      <c r="CR112" s="743">
        <f>CR111/IS!CR86</f>
        <v>4.0306538398826026</v>
      </c>
      <c r="CS112" s="403">
        <f>CS111/IS!CS86</f>
        <v>1.0488721804511274</v>
      </c>
      <c r="CT112" s="403">
        <f>CT111/IS!CT86</f>
        <v>1.1231931668856767</v>
      </c>
      <c r="CU112" s="403">
        <f>CU111/IS!CU86</f>
        <v>1.1194741166803612</v>
      </c>
      <c r="CV112" s="417">
        <f>CV111/IS!CV86</f>
        <v>1.0863711001642036</v>
      </c>
      <c r="CW112" s="743">
        <f>CW111/IS!CW86</f>
        <v>4.3742622950819658</v>
      </c>
      <c r="CX112" s="403">
        <f>CX111/IS!CX86</f>
        <v>1.128500823723229</v>
      </c>
      <c r="CY112" s="403">
        <f>CY111/IS!CY86</f>
        <v>1.2656514382402708</v>
      </c>
      <c r="CZ112" s="403">
        <f>CZ111/IS!CZ86</f>
        <v>1.3366433108108113</v>
      </c>
      <c r="DA112" s="403">
        <f>DA111/IS!DA86</f>
        <v>1.3218573132427847</v>
      </c>
      <c r="DB112" s="890">
        <f>DB111/IS!DB86</f>
        <v>5.0468349537815129</v>
      </c>
      <c r="DC112" s="889">
        <f>DC111/IS!DC86</f>
        <v>1.3816571745875486</v>
      </c>
      <c r="DD112" s="889">
        <f>DD111/IS!DD86</f>
        <v>1.46329732499598</v>
      </c>
      <c r="DE112" s="889">
        <f>DE111/IS!DE86</f>
        <v>1.5294559930207465</v>
      </c>
      <c r="DF112" s="889">
        <f>DF111/IS!DF86</f>
        <v>1.5836695424472946</v>
      </c>
      <c r="DG112" s="890">
        <f>DG111/IS!DG86</f>
        <v>5.9571986625613365</v>
      </c>
      <c r="DH112" s="889">
        <f>DH111/IS!DH86</f>
        <v>1.6651386390324294</v>
      </c>
      <c r="DI112" s="889">
        <f>DI111/IS!DI86</f>
        <v>1.7314012346354237</v>
      </c>
      <c r="DJ112" s="889">
        <f>DJ111/IS!DJ86</f>
        <v>1.7864095194630574</v>
      </c>
      <c r="DK112" s="889">
        <f>DK111/IS!DK86</f>
        <v>1.8030216811625481</v>
      </c>
      <c r="DL112" s="890">
        <f>DL111/IS!DL86</f>
        <v>6.9850729036212194</v>
      </c>
      <c r="DM112" s="889">
        <f>DM111/IS!DM86</f>
        <v>1.698289259616683</v>
      </c>
      <c r="DN112" s="889">
        <f>DN111/IS!DN86</f>
        <v>1.7649453255878038</v>
      </c>
      <c r="DO112" s="889">
        <f>DO111/IS!DO86</f>
        <v>1.8202168518402655</v>
      </c>
      <c r="DP112" s="889">
        <f>DP111/IS!DP86</f>
        <v>1.8366445824307773</v>
      </c>
      <c r="DQ112" s="890">
        <f>DQ111/IS!DQ86</f>
        <v>7.1192942757997555</v>
      </c>
      <c r="DR112" s="33"/>
      <c r="DS112" s="57"/>
      <c r="DT112"/>
      <c r="DU112"/>
      <c r="DV112"/>
      <c r="DW112"/>
      <c r="DX112"/>
      <c r="DY112"/>
    </row>
    <row r="113" spans="1:129" s="132" customFormat="1">
      <c r="A113" s="38"/>
      <c r="B113" s="102"/>
      <c r="C113" s="103"/>
      <c r="D113" s="103"/>
      <c r="E113" s="103"/>
      <c r="F113" s="103"/>
      <c r="G113" s="102"/>
      <c r="H113" s="103"/>
      <c r="I113" s="103"/>
      <c r="J113" s="108"/>
      <c r="K113" s="102"/>
      <c r="L113" s="102"/>
      <c r="M113" s="103"/>
      <c r="N113" s="103"/>
      <c r="O113" s="103"/>
      <c r="P113" s="103"/>
      <c r="Q113" s="102"/>
      <c r="R113" s="103"/>
      <c r="S113" s="103"/>
      <c r="T113" s="108"/>
      <c r="U113" s="103"/>
      <c r="V113" s="103"/>
      <c r="W113" s="103"/>
      <c r="X113" s="103"/>
      <c r="Y113" s="108"/>
      <c r="Z113" s="103"/>
      <c r="AA113" s="103"/>
      <c r="AB113" s="103"/>
      <c r="AC113" s="103"/>
      <c r="AD113" s="103"/>
      <c r="AE113" s="103"/>
      <c r="AF113" s="102"/>
      <c r="AG113" s="103"/>
      <c r="AH113" s="103"/>
      <c r="AI113" s="103"/>
      <c r="AJ113" s="103"/>
      <c r="AK113" s="102"/>
      <c r="AL113" s="103"/>
      <c r="AM113" s="103"/>
      <c r="AN113" s="108"/>
      <c r="AO113" s="103"/>
      <c r="AP113" s="103"/>
      <c r="AQ113" s="103"/>
      <c r="AR113" s="103"/>
      <c r="AS113" s="108"/>
      <c r="AT113" s="103"/>
      <c r="AU113" s="103"/>
      <c r="AV113" s="103"/>
      <c r="AW113" s="103"/>
      <c r="AX113" s="103"/>
      <c r="AY113" s="103"/>
      <c r="AZ113" s="102"/>
      <c r="BA113" s="103"/>
      <c r="BB113" s="103"/>
      <c r="BC113" s="103"/>
      <c r="BD113" s="103"/>
      <c r="BE113" s="102"/>
      <c r="BF113" s="103"/>
      <c r="BG113" s="103"/>
      <c r="BH113" s="108"/>
      <c r="BI113" s="103"/>
      <c r="BJ113" s="103"/>
      <c r="BK113" s="103"/>
      <c r="BL113" s="103"/>
      <c r="BM113" s="108"/>
      <c r="BN113" s="103"/>
      <c r="BO113" s="103"/>
      <c r="BP113" s="103"/>
      <c r="BQ113" s="103"/>
      <c r="BR113" s="103"/>
      <c r="BS113" s="103"/>
      <c r="BT113" s="102"/>
      <c r="BU113" s="103"/>
      <c r="BV113" s="103"/>
      <c r="BW113" s="103"/>
      <c r="BX113" s="103"/>
      <c r="BY113" s="413"/>
      <c r="BZ113" s="414"/>
      <c r="CA113" s="414"/>
      <c r="CB113" s="415"/>
      <c r="CC113" s="103"/>
      <c r="CD113" s="414"/>
      <c r="CE113" s="414"/>
      <c r="CF113" s="414"/>
      <c r="CG113" s="415"/>
      <c r="CH113" s="103"/>
      <c r="CI113" s="414"/>
      <c r="CJ113" s="414"/>
      <c r="CK113" s="414"/>
      <c r="CL113" s="415"/>
      <c r="CM113" s="808"/>
      <c r="CN113" s="414"/>
      <c r="CO113" s="532"/>
      <c r="CP113" s="414"/>
      <c r="CQ113" s="415"/>
      <c r="CR113" s="808"/>
      <c r="CS113" s="414"/>
      <c r="CT113" s="414"/>
      <c r="CU113" s="414"/>
      <c r="CV113" s="415"/>
      <c r="CW113" s="808"/>
      <c r="CX113" s="414"/>
      <c r="CY113" s="414"/>
      <c r="CZ113" s="414"/>
      <c r="DA113" s="414"/>
      <c r="DB113" s="924"/>
      <c r="DC113" s="693"/>
      <c r="DD113" s="693"/>
      <c r="DE113" s="693"/>
      <c r="DF113" s="693"/>
      <c r="DG113" s="924"/>
      <c r="DH113" s="693"/>
      <c r="DI113" s="693"/>
      <c r="DJ113" s="693"/>
      <c r="DK113" s="693"/>
      <c r="DL113" s="924"/>
      <c r="DM113" s="693"/>
      <c r="DN113" s="693"/>
      <c r="DO113" s="693"/>
      <c r="DP113" s="693"/>
      <c r="DQ113" s="924"/>
      <c r="DR113" s="33"/>
      <c r="DS113" s="57"/>
      <c r="DT113"/>
      <c r="DU113"/>
      <c r="DV113"/>
      <c r="DW113"/>
      <c r="DX113"/>
      <c r="DY113"/>
    </row>
    <row r="114" spans="1:129">
      <c r="K114" s="4"/>
      <c r="P114" s="4"/>
      <c r="U114" s="4"/>
      <c r="Z114" s="4"/>
      <c r="DM114" s="114"/>
      <c r="DN114" s="114"/>
      <c r="DO114" s="114"/>
      <c r="DP114" s="114"/>
      <c r="DR114" s="4"/>
    </row>
    <row r="115" spans="1:129">
      <c r="DM115" s="114"/>
      <c r="DN115" s="114"/>
      <c r="DO115" s="114"/>
      <c r="DP115" s="114"/>
    </row>
    <row r="116" spans="1:129">
      <c r="DM116" s="114"/>
      <c r="DN116" s="114"/>
      <c r="DO116" s="114"/>
      <c r="DP116" s="114"/>
    </row>
    <row r="117" spans="1:129">
      <c r="DM117" s="114"/>
      <c r="DN117" s="114"/>
      <c r="DO117" s="114"/>
      <c r="DP117" s="114"/>
    </row>
    <row r="118" spans="1:129">
      <c r="DM118" s="114"/>
      <c r="DN118" s="114"/>
      <c r="DO118" s="114"/>
      <c r="DP118" s="114"/>
    </row>
    <row r="119" spans="1:129">
      <c r="DM119" s="114"/>
      <c r="DN119" s="114"/>
      <c r="DO119" s="114"/>
      <c r="DP119" s="114"/>
    </row>
    <row r="120" spans="1:129">
      <c r="DM120" s="114"/>
      <c r="DN120" s="114"/>
      <c r="DO120" s="114"/>
      <c r="DP120" s="114"/>
    </row>
    <row r="121" spans="1:129">
      <c r="DM121" s="114"/>
      <c r="DN121" s="114"/>
      <c r="DO121" s="114"/>
      <c r="DP121" s="114"/>
    </row>
    <row r="122" spans="1:129">
      <c r="DM122" s="114"/>
      <c r="DN122" s="114"/>
      <c r="DO122" s="114"/>
      <c r="DP122" s="114"/>
    </row>
    <row r="123" spans="1:129">
      <c r="DM123" s="114"/>
      <c r="DN123" s="114"/>
      <c r="DO123" s="114"/>
      <c r="DP123" s="114"/>
    </row>
    <row r="124" spans="1:129">
      <c r="DM124" s="114"/>
      <c r="DN124" s="114"/>
      <c r="DO124" s="114"/>
      <c r="DP124" s="114"/>
    </row>
    <row r="125" spans="1:129">
      <c r="DM125" s="114"/>
      <c r="DN125" s="114"/>
      <c r="DO125" s="114"/>
      <c r="DP125" s="114"/>
    </row>
    <row r="126" spans="1:129">
      <c r="DM126" s="114"/>
      <c r="DN126" s="114"/>
      <c r="DO126" s="114"/>
      <c r="DP126" s="114"/>
    </row>
    <row r="127" spans="1:129">
      <c r="DM127" s="114"/>
      <c r="DN127" s="114"/>
      <c r="DO127" s="114"/>
      <c r="DP127" s="114"/>
    </row>
    <row r="128" spans="1:129">
      <c r="DM128" s="114"/>
      <c r="DN128" s="114"/>
      <c r="DO128" s="114"/>
      <c r="DP128" s="114"/>
    </row>
    <row r="129" spans="117:120">
      <c r="DM129" s="114"/>
      <c r="DN129" s="114"/>
      <c r="DO129" s="114"/>
      <c r="DP129" s="114"/>
    </row>
    <row r="130" spans="117:120">
      <c r="DM130" s="114"/>
      <c r="DN130" s="114"/>
      <c r="DO130" s="114"/>
      <c r="DP130" s="114"/>
    </row>
    <row r="131" spans="117:120">
      <c r="DM131" s="114"/>
      <c r="DN131" s="114"/>
      <c r="DO131" s="114"/>
      <c r="DP131" s="114"/>
    </row>
    <row r="132" spans="117:120">
      <c r="DM132" s="114"/>
      <c r="DN132" s="114"/>
      <c r="DO132" s="114"/>
      <c r="DP132" s="114"/>
    </row>
    <row r="133" spans="117:120">
      <c r="DM133" s="114"/>
      <c r="DN133" s="114"/>
      <c r="DO133" s="114"/>
      <c r="DP133" s="114"/>
    </row>
    <row r="134" spans="117:120">
      <c r="DM134" s="114"/>
      <c r="DN134" s="114"/>
      <c r="DO134" s="114"/>
      <c r="DP134" s="114"/>
    </row>
    <row r="135" spans="117:120">
      <c r="DM135" s="114"/>
      <c r="DN135" s="114"/>
      <c r="DO135" s="114"/>
      <c r="DP135" s="114"/>
    </row>
    <row r="136" spans="117:120">
      <c r="DM136" s="114"/>
      <c r="DN136" s="114"/>
      <c r="DO136" s="114"/>
      <c r="DP136" s="114"/>
    </row>
    <row r="137" spans="117:120">
      <c r="DM137" s="114"/>
      <c r="DN137" s="114"/>
      <c r="DO137" s="114"/>
      <c r="DP137" s="114"/>
    </row>
    <row r="138" spans="117:120">
      <c r="DM138" s="114"/>
      <c r="DN138" s="114"/>
      <c r="DO138" s="114"/>
      <c r="DP138" s="114"/>
    </row>
    <row r="139" spans="117:120">
      <c r="DM139" s="114"/>
      <c r="DN139" s="114"/>
      <c r="DO139" s="114"/>
      <c r="DP139" s="114"/>
    </row>
    <row r="140" spans="117:120">
      <c r="DM140" s="114"/>
      <c r="DN140" s="114"/>
      <c r="DO140" s="114"/>
      <c r="DP140" s="114"/>
    </row>
    <row r="141" spans="117:120">
      <c r="DM141" s="114"/>
      <c r="DN141" s="114"/>
      <c r="DO141" s="114"/>
      <c r="DP141" s="114"/>
    </row>
    <row r="142" spans="117:120">
      <c r="DM142" s="114"/>
      <c r="DN142" s="114"/>
      <c r="DO142" s="114"/>
      <c r="DP142" s="114"/>
    </row>
    <row r="143" spans="117:120">
      <c r="DM143" s="114"/>
      <c r="DN143" s="114"/>
      <c r="DO143" s="114"/>
      <c r="DP143" s="114"/>
    </row>
    <row r="144" spans="117:120">
      <c r="DM144" s="114"/>
      <c r="DN144" s="114"/>
      <c r="DO144" s="114"/>
      <c r="DP144" s="114"/>
    </row>
    <row r="145" spans="117:120">
      <c r="DM145" s="114"/>
      <c r="DN145" s="114"/>
      <c r="DO145" s="114"/>
      <c r="DP145" s="114"/>
    </row>
    <row r="146" spans="117:120">
      <c r="DM146" s="114"/>
      <c r="DN146" s="114"/>
      <c r="DO146" s="114"/>
      <c r="DP146" s="114"/>
    </row>
    <row r="147" spans="117:120">
      <c r="DM147" s="114"/>
      <c r="DN147" s="114"/>
      <c r="DO147" s="114"/>
      <c r="DP147" s="114"/>
    </row>
    <row r="148" spans="117:120">
      <c r="DM148" s="114"/>
      <c r="DN148" s="114"/>
      <c r="DO148" s="114"/>
      <c r="DP148" s="114"/>
    </row>
    <row r="149" spans="117:120">
      <c r="DM149" s="114"/>
      <c r="DN149" s="114"/>
      <c r="DO149" s="114"/>
      <c r="DP149" s="114"/>
    </row>
    <row r="689" spans="84:84">
      <c r="CF689" s="114">
        <v>0</v>
      </c>
    </row>
  </sheetData>
  <phoneticPr fontId="2" type="noConversion"/>
  <conditionalFormatting sqref="B90:F90 DZ44:IW44 DZ54:IW54 A44:CF44 CH44 CM44 A54:CM54 CR44 CR54 CW44 CW54 DR44:DS44 DR54:DS54">
    <cfRule type="cellIs" dxfId="32" priority="55" stopIfTrue="1" operator="equal">
      <formula>FALSE</formula>
    </cfRule>
  </conditionalFormatting>
  <conditionalFormatting sqref="CG44">
    <cfRule type="cellIs" dxfId="31" priority="54" stopIfTrue="1" operator="equal">
      <formula>FALSE</formula>
    </cfRule>
  </conditionalFormatting>
  <conditionalFormatting sqref="CI44">
    <cfRule type="cellIs" dxfId="30" priority="53" stopIfTrue="1" operator="equal">
      <formula>FALSE</formula>
    </cfRule>
  </conditionalFormatting>
  <conditionalFormatting sqref="CJ44">
    <cfRule type="cellIs" dxfId="29" priority="52" stopIfTrue="1" operator="equal">
      <formula>FALSE</formula>
    </cfRule>
  </conditionalFormatting>
  <conditionalFormatting sqref="CK44">
    <cfRule type="cellIs" dxfId="28" priority="50" stopIfTrue="1" operator="equal">
      <formula>FALSE</formula>
    </cfRule>
  </conditionalFormatting>
  <conditionalFormatting sqref="CN54 CP54">
    <cfRule type="cellIs" dxfId="27" priority="49" stopIfTrue="1" operator="equal">
      <formula>FALSE</formula>
    </cfRule>
  </conditionalFormatting>
  <conditionalFormatting sqref="CV44">
    <cfRule type="cellIs" dxfId="26" priority="39" stopIfTrue="1" operator="equal">
      <formula>FALSE</formula>
    </cfRule>
  </conditionalFormatting>
  <conditionalFormatting sqref="CY44:DA44">
    <cfRule type="cellIs" dxfId="25" priority="38" stopIfTrue="1" operator="equal">
      <formula>FALSE</formula>
    </cfRule>
  </conditionalFormatting>
  <conditionalFormatting sqref="CS54:CV54 CX54:DA54">
    <cfRule type="cellIs" dxfId="24" priority="37" stopIfTrue="1" operator="equal">
      <formula>FALSE</formula>
    </cfRule>
  </conditionalFormatting>
  <conditionalFormatting sqref="CL44">
    <cfRule type="cellIs" dxfId="23" priority="36" stopIfTrue="1" operator="equal">
      <formula>FALSE</formula>
    </cfRule>
  </conditionalFormatting>
  <conditionalFormatting sqref="CO54">
    <cfRule type="cellIs" dxfId="22" priority="32" stopIfTrue="1" operator="equal">
      <formula>FALSE</formula>
    </cfRule>
  </conditionalFormatting>
  <conditionalFormatting sqref="DB44 DB54">
    <cfRule type="cellIs" dxfId="21" priority="26" stopIfTrue="1" operator="equal">
      <formula>FALSE</formula>
    </cfRule>
  </conditionalFormatting>
  <conditionalFormatting sqref="DG44">
    <cfRule type="cellIs" dxfId="20" priority="27" stopIfTrue="1" operator="equal">
      <formula>FALSE</formula>
    </cfRule>
  </conditionalFormatting>
  <conditionalFormatting sqref="CO44">
    <cfRule type="cellIs" dxfId="19" priority="19" stopIfTrue="1" operator="equal">
      <formula>FALSE</formula>
    </cfRule>
  </conditionalFormatting>
  <conditionalFormatting sqref="CP44">
    <cfRule type="cellIs" dxfId="18" priority="18" stopIfTrue="1" operator="equal">
      <formula>FALSE</formula>
    </cfRule>
  </conditionalFormatting>
  <conditionalFormatting sqref="DC44:DF44">
    <cfRule type="cellIs" dxfId="17" priority="23" stopIfTrue="1" operator="equal">
      <formula>FALSE</formula>
    </cfRule>
  </conditionalFormatting>
  <conditionalFormatting sqref="DC54:DF54">
    <cfRule type="cellIs" dxfId="16" priority="22" stopIfTrue="1" operator="equal">
      <formula>FALSE</formula>
    </cfRule>
  </conditionalFormatting>
  <conditionalFormatting sqref="DG54">
    <cfRule type="cellIs" dxfId="15" priority="21" stopIfTrue="1" operator="equal">
      <formula>FALSE</formula>
    </cfRule>
  </conditionalFormatting>
  <conditionalFormatting sqref="CN44">
    <cfRule type="cellIs" dxfId="14" priority="20" stopIfTrue="1" operator="equal">
      <formula>FALSE</formula>
    </cfRule>
  </conditionalFormatting>
  <conditionalFormatting sqref="CQ44">
    <cfRule type="cellIs" dxfId="13" priority="14" stopIfTrue="1" operator="equal">
      <formula>FALSE</formula>
    </cfRule>
  </conditionalFormatting>
  <conditionalFormatting sqref="CQ54">
    <cfRule type="cellIs" dxfId="12" priority="13" stopIfTrue="1" operator="equal">
      <formula>FALSE</formula>
    </cfRule>
  </conditionalFormatting>
  <conditionalFormatting sqref="CS44">
    <cfRule type="cellIs" dxfId="11" priority="12" stopIfTrue="1" operator="equal">
      <formula>FALSE</formula>
    </cfRule>
  </conditionalFormatting>
  <conditionalFormatting sqref="CT44">
    <cfRule type="cellIs" dxfId="10" priority="11" stopIfTrue="1" operator="equal">
      <formula>FALSE</formula>
    </cfRule>
  </conditionalFormatting>
  <conditionalFormatting sqref="CU44">
    <cfRule type="cellIs" dxfId="9" priority="10" stopIfTrue="1" operator="equal">
      <formula>FALSE</formula>
    </cfRule>
  </conditionalFormatting>
  <conditionalFormatting sqref="DH44:DK44">
    <cfRule type="cellIs" dxfId="8" priority="9" stopIfTrue="1" operator="equal">
      <formula>FALSE</formula>
    </cfRule>
  </conditionalFormatting>
  <conditionalFormatting sqref="DH54:DK54">
    <cfRule type="cellIs" dxfId="7" priority="8" stopIfTrue="1" operator="equal">
      <formula>FALSE</formula>
    </cfRule>
  </conditionalFormatting>
  <conditionalFormatting sqref="DL44">
    <cfRule type="cellIs" dxfId="6" priority="7" stopIfTrue="1" operator="equal">
      <formula>FALSE</formula>
    </cfRule>
  </conditionalFormatting>
  <conditionalFormatting sqref="DL54">
    <cfRule type="cellIs" dxfId="5" priority="6" stopIfTrue="1" operator="equal">
      <formula>FALSE</formula>
    </cfRule>
  </conditionalFormatting>
  <conditionalFormatting sqref="CX44">
    <cfRule type="cellIs" dxfId="4" priority="5" stopIfTrue="1" operator="equal">
      <formula>FALSE</formula>
    </cfRule>
  </conditionalFormatting>
  <conditionalFormatting sqref="DM44:DP44">
    <cfRule type="cellIs" dxfId="3" priority="4" stopIfTrue="1" operator="equal">
      <formula>FALSE</formula>
    </cfRule>
  </conditionalFormatting>
  <conditionalFormatting sqref="DM54:DP54">
    <cfRule type="cellIs" dxfId="2" priority="3" stopIfTrue="1" operator="equal">
      <formula>FALSE</formula>
    </cfRule>
  </conditionalFormatting>
  <conditionalFormatting sqref="DQ44">
    <cfRule type="cellIs" dxfId="1" priority="2" stopIfTrue="1" operator="equal">
      <formula>FALSE</formula>
    </cfRule>
  </conditionalFormatting>
  <conditionalFormatting sqref="DQ54">
    <cfRule type="cellIs" dxfId="0" priority="1" stopIfTrue="1" operator="equal">
      <formula>FALSE</formula>
    </cfRule>
  </conditionalFormatting>
  <pageMargins left="0" right="0" top="0" bottom="0" header="0" footer="0"/>
  <pageSetup paperSize="5" orientation="landscape" r:id="rId1"/>
  <headerFooter alignWithMargins="0"/>
  <ignoredErrors>
    <ignoredError sqref="CB95 CD92 CD65 CD71:CD73 CD89:CD90 CE89 CI80:CL81 CK75 CF89:CG90 CK82 CI92:CL93 CI95:CL96 CK94:CL94 CI71:CL73 CJ79:CL79 CJ89:CL90 CJ65:CL65 CF73:CG73 CE95:CG96 CE92:CG93 CD79:CG81 CE71:CG71"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K46"/>
  <sheetViews>
    <sheetView showGridLines="0" zoomScale="90" zoomScaleNormal="90" workbookViewId="0">
      <selection activeCell="J2" sqref="J2"/>
    </sheetView>
  </sheetViews>
  <sheetFormatPr defaultRowHeight="12.75" outlineLevelRow="1" outlineLevelCol="2"/>
  <cols>
    <col min="1" max="1" width="4.5703125" style="490" customWidth="1"/>
    <col min="2" max="2" width="29" style="490" customWidth="1"/>
    <col min="3" max="3" width="9.140625" style="490"/>
    <col min="4" max="4" width="12.140625" style="490" hidden="1" customWidth="1" outlineLevel="2"/>
    <col min="5" max="5" width="10.28515625" style="490" hidden="1" customWidth="1" outlineLevel="1"/>
    <col min="6" max="6" width="11" style="490" hidden="1" customWidth="1" outlineLevel="1"/>
    <col min="7" max="7" width="9.7109375" style="490" customWidth="1" collapsed="1"/>
    <col min="8" max="10" width="9.7109375" style="490" customWidth="1"/>
    <col min="11" max="16384" width="9.140625" style="490"/>
  </cols>
  <sheetData>
    <row r="1" spans="1:11" ht="13.5" thickBot="1">
      <c r="A1" s="2" t="s">
        <v>0</v>
      </c>
      <c r="B1" s="488"/>
      <c r="C1" s="488"/>
      <c r="D1" s="488"/>
      <c r="E1" s="488"/>
      <c r="F1" s="489"/>
      <c r="G1" s="488"/>
      <c r="H1" s="488"/>
      <c r="I1" s="488"/>
    </row>
    <row r="2" spans="1:11" ht="21" thickBot="1">
      <c r="A2" s="491" t="s">
        <v>282</v>
      </c>
      <c r="B2" s="492"/>
      <c r="C2" s="492"/>
      <c r="D2" s="492"/>
      <c r="E2" s="492"/>
      <c r="G2" s="492"/>
      <c r="H2" s="492"/>
      <c r="J2" s="1084" t="s">
        <v>359</v>
      </c>
    </row>
    <row r="3" spans="1:11">
      <c r="A3" s="493" t="s">
        <v>283</v>
      </c>
      <c r="B3" s="494"/>
      <c r="C3" s="494"/>
      <c r="D3" s="494"/>
      <c r="G3" s="494"/>
      <c r="H3" s="494"/>
      <c r="I3" s="494"/>
    </row>
    <row r="4" spans="1:11">
      <c r="A4" s="493"/>
      <c r="B4" s="494"/>
      <c r="C4" s="494"/>
      <c r="D4" s="494"/>
      <c r="G4" s="494"/>
      <c r="H4" s="494"/>
      <c r="I4" s="494"/>
    </row>
    <row r="5" spans="1:11">
      <c r="A5" s="495"/>
      <c r="D5" s="494">
        <v>2013</v>
      </c>
      <c r="E5" s="494">
        <v>2014</v>
      </c>
      <c r="F5" s="494">
        <v>2015</v>
      </c>
      <c r="G5" s="494">
        <v>2016</v>
      </c>
      <c r="H5" s="494" t="s">
        <v>291</v>
      </c>
      <c r="I5" s="494" t="s">
        <v>316</v>
      </c>
      <c r="J5" s="494" t="s">
        <v>361</v>
      </c>
    </row>
    <row r="7" spans="1:11">
      <c r="A7" s="515" t="s">
        <v>9</v>
      </c>
      <c r="B7" s="515"/>
      <c r="C7" s="515"/>
      <c r="D7" s="1079">
        <f>+IS!CH22</f>
        <v>8843.1890000000003</v>
      </c>
      <c r="E7" s="1079">
        <f>+IS!CM22</f>
        <v>10262.680999999999</v>
      </c>
      <c r="F7" s="1079">
        <f>+IS!CR22</f>
        <v>12416</v>
      </c>
      <c r="G7" s="1080">
        <f>+IS!CW22</f>
        <v>13487.1</v>
      </c>
      <c r="H7" s="1080">
        <f>G7*(1+H8)</f>
        <v>14810</v>
      </c>
      <c r="I7" s="1080">
        <f>H7*(1+I8)</f>
        <v>16149.125</v>
      </c>
      <c r="J7" s="1080">
        <f>I7*(1+J8)</f>
        <v>17432.119925000003</v>
      </c>
      <c r="K7" s="1083">
        <f>+J7-IS!DL22</f>
        <v>0</v>
      </c>
    </row>
    <row r="8" spans="1:11">
      <c r="B8" s="498" t="s">
        <v>215</v>
      </c>
      <c r="E8" s="499">
        <f>+E7/D7-1</f>
        <v>0.16051811173548347</v>
      </c>
      <c r="F8" s="499">
        <f>+F7/E7-1</f>
        <v>0.20982031888158681</v>
      </c>
      <c r="G8" s="499">
        <f>+G7/F7-1</f>
        <v>8.6267719072165017E-2</v>
      </c>
      <c r="H8" s="499">
        <f>IF($J$2="Bull",H9,IF($J$2="bear",H11,H10))</f>
        <v>9.8086319520134024E-2</v>
      </c>
      <c r="I8" s="499">
        <f>IF($J$2="Bull",I9,IF($J$2="bear",I11,I10))</f>
        <v>9.0420324105334293E-2</v>
      </c>
      <c r="J8" s="499">
        <f>IF($J$2="Bull",J9,IF($J$2="bear",J11,J10))</f>
        <v>7.9446714605280633E-2</v>
      </c>
    </row>
    <row r="9" spans="1:11" outlineLevel="1">
      <c r="A9" s="500" t="s">
        <v>286</v>
      </c>
      <c r="B9" s="500"/>
      <c r="C9" s="500"/>
      <c r="D9" s="500"/>
      <c r="E9" s="501"/>
      <c r="F9" s="501"/>
      <c r="G9" s="501"/>
      <c r="H9" s="502">
        <f>+H10+0.025</f>
        <v>0.12308631952013402</v>
      </c>
      <c r="I9" s="502">
        <v>0.09</v>
      </c>
      <c r="J9" s="502">
        <v>0.09</v>
      </c>
    </row>
    <row r="10" spans="1:11" outlineLevel="1">
      <c r="A10" s="490" t="s">
        <v>284</v>
      </c>
      <c r="E10" s="499"/>
      <c r="F10" s="499"/>
      <c r="G10" s="499"/>
      <c r="H10" s="499">
        <f>+IS!DB23</f>
        <v>9.8086319520134024E-2</v>
      </c>
      <c r="I10" s="499">
        <f>+IS!DG23</f>
        <v>9.0420324105334293E-2</v>
      </c>
      <c r="J10" s="499">
        <f>+IS!DL23</f>
        <v>7.9446714605280633E-2</v>
      </c>
    </row>
    <row r="11" spans="1:11" outlineLevel="1">
      <c r="A11" s="503" t="s">
        <v>285</v>
      </c>
      <c r="B11" s="503"/>
      <c r="C11" s="503"/>
      <c r="D11" s="503"/>
      <c r="E11" s="504"/>
      <c r="F11" s="504"/>
      <c r="G11" s="504"/>
      <c r="H11" s="504">
        <f>H10-0.02</f>
        <v>7.808631952013402E-2</v>
      </c>
      <c r="I11" s="504">
        <v>0.06</v>
      </c>
      <c r="J11" s="504">
        <v>0.06</v>
      </c>
    </row>
    <row r="13" spans="1:11">
      <c r="A13" s="495"/>
      <c r="F13" s="506"/>
      <c r="G13" s="506"/>
      <c r="H13" s="506"/>
      <c r="I13" s="506"/>
      <c r="J13" s="506"/>
    </row>
    <row r="14" spans="1:11">
      <c r="A14" s="515" t="s">
        <v>292</v>
      </c>
      <c r="B14" s="496"/>
      <c r="C14" s="496"/>
      <c r="D14" s="496">
        <f>+IS!CH53</f>
        <v>1820.7119999999998</v>
      </c>
      <c r="E14" s="496">
        <f>+IS!CM53</f>
        <v>2068.0779999999991</v>
      </c>
      <c r="F14" s="496">
        <f>+IS!CR53</f>
        <v>2449.9</v>
      </c>
      <c r="G14" s="496">
        <f>+IS!CW53</f>
        <v>2636.1999999999994</v>
      </c>
      <c r="H14" s="497">
        <f>H15*H7</f>
        <v>2912</v>
      </c>
      <c r="I14" s="497">
        <f>I15*I7</f>
        <v>3385.2734375000005</v>
      </c>
      <c r="J14" s="497">
        <f>J15*J7</f>
        <v>3857.2437562500013</v>
      </c>
      <c r="K14" s="506">
        <f>+J14-IS!DL53</f>
        <v>0</v>
      </c>
    </row>
    <row r="15" spans="1:11">
      <c r="A15" s="498"/>
      <c r="B15" s="498" t="s">
        <v>287</v>
      </c>
      <c r="H15" s="499">
        <f>IF($J$2="Bull",H16,IF($J$2="bear",H18,H17))</f>
        <v>0.19662390276839972</v>
      </c>
      <c r="I15" s="499">
        <f>IF($J$2="Bull",I16,IF($J$2="bear",I18,I17))</f>
        <v>0.20962581176998757</v>
      </c>
      <c r="J15" s="499">
        <f>IF($J$2="Bull",J16,IF($J$2="bear",J18,J17))</f>
        <v>0.22127221318149581</v>
      </c>
    </row>
    <row r="16" spans="1:11" outlineLevel="1">
      <c r="A16" s="500" t="s">
        <v>286</v>
      </c>
      <c r="B16" s="500"/>
      <c r="C16" s="500"/>
      <c r="D16" s="500"/>
      <c r="E16" s="500"/>
      <c r="F16" s="500"/>
      <c r="G16" s="500"/>
      <c r="H16" s="502">
        <f>+H17+0.005</f>
        <v>0.20162390276839973</v>
      </c>
      <c r="I16" s="502">
        <f>+I17+0.005</f>
        <v>0.21462581176998757</v>
      </c>
      <c r="J16" s="502">
        <v>0.22600000000000001</v>
      </c>
    </row>
    <row r="17" spans="1:11" outlineLevel="1">
      <c r="A17" s="490" t="s">
        <v>284</v>
      </c>
      <c r="D17" s="514">
        <f>+D14/D7</f>
        <v>0.205888622305822</v>
      </c>
      <c r="E17" s="514">
        <f>+E14/E7</f>
        <v>0.20151439959987058</v>
      </c>
      <c r="F17" s="514">
        <f>+F14/F7</f>
        <v>0.19731797680412372</v>
      </c>
      <c r="G17" s="514">
        <f>+G14/G7</f>
        <v>0.19546084777305717</v>
      </c>
      <c r="H17" s="499">
        <f>+IS!DB54</f>
        <v>0.19662390276839972</v>
      </c>
      <c r="I17" s="499">
        <f>+IS!DG54</f>
        <v>0.20962581176998757</v>
      </c>
      <c r="J17" s="499">
        <f>+IS!DL54</f>
        <v>0.22127221318149581</v>
      </c>
    </row>
    <row r="18" spans="1:11" outlineLevel="1">
      <c r="A18" s="503" t="s">
        <v>285</v>
      </c>
      <c r="B18" s="503"/>
      <c r="C18" s="503"/>
      <c r="D18" s="503"/>
      <c r="E18" s="503"/>
      <c r="F18" s="503"/>
      <c r="G18" s="503"/>
      <c r="H18" s="504">
        <f>+H17-0.003</f>
        <v>0.19362390276839972</v>
      </c>
      <c r="I18" s="504">
        <f>+I17-0.003</f>
        <v>0.20662581176998757</v>
      </c>
      <c r="J18" s="504">
        <f>+I18+0.003</f>
        <v>0.20962581176998757</v>
      </c>
    </row>
    <row r="21" spans="1:11">
      <c r="A21" s="1081" t="s">
        <v>293</v>
      </c>
      <c r="B21" s="1081"/>
      <c r="C21" s="1081"/>
      <c r="D21" s="1082">
        <f>+IS!CH64</f>
        <v>-29.001000000000005</v>
      </c>
      <c r="E21" s="1082">
        <f>+IS!CM64</f>
        <v>41.941000000000003</v>
      </c>
      <c r="F21" s="1082">
        <f>+IS!CR64</f>
        <v>64.59999999999998</v>
      </c>
      <c r="G21" s="1082">
        <f>+IS!CW64</f>
        <v>98.100000000000009</v>
      </c>
      <c r="H21" s="1082">
        <f>+IS!DB64</f>
        <v>109</v>
      </c>
      <c r="I21" s="1082">
        <f>+IS!DG64</f>
        <v>106.79571653633221</v>
      </c>
      <c r="J21" s="1082">
        <f>+IS!DL64</f>
        <v>118.36916575909893</v>
      </c>
    </row>
    <row r="22" spans="1:11" hidden="1" outlineLevel="1"/>
    <row r="23" spans="1:11" hidden="1" outlineLevel="1">
      <c r="A23" s="1081" t="s">
        <v>294</v>
      </c>
      <c r="B23" s="1081"/>
      <c r="C23" s="1081"/>
      <c r="D23" s="1086">
        <f t="shared" ref="D23:I23" si="0">+D21+D14</f>
        <v>1791.7109999999998</v>
      </c>
      <c r="E23" s="1086">
        <f t="shared" si="0"/>
        <v>2110.0189999999989</v>
      </c>
      <c r="F23" s="1086">
        <f t="shared" si="0"/>
        <v>2514.5</v>
      </c>
      <c r="G23" s="1086">
        <f t="shared" si="0"/>
        <v>2734.2999999999993</v>
      </c>
      <c r="H23" s="1086">
        <f t="shared" si="0"/>
        <v>3021</v>
      </c>
      <c r="I23" s="1086">
        <f t="shared" si="0"/>
        <v>3492.0691540363327</v>
      </c>
      <c r="J23" s="1086">
        <f t="shared" ref="J23" si="1">+J21+J14</f>
        <v>3975.6129220091002</v>
      </c>
    </row>
    <row r="24" spans="1:11" hidden="1" outlineLevel="1"/>
    <row r="25" spans="1:11" hidden="1" outlineLevel="1">
      <c r="A25" s="498" t="s">
        <v>289</v>
      </c>
      <c r="D25" s="514">
        <f>+IS!CH72</f>
        <v>0.22761738918832328</v>
      </c>
      <c r="E25" s="514">
        <f>+IS!CM72</f>
        <v>0.24238526762081258</v>
      </c>
      <c r="F25" s="514">
        <f>+IS!CR72</f>
        <v>0.25000954464108172</v>
      </c>
      <c r="G25" s="514">
        <f>+IS!CW72</f>
        <v>0.24313352594814039</v>
      </c>
      <c r="H25" s="514">
        <f>+IS!DB72</f>
        <v>0.25653757034094671</v>
      </c>
      <c r="I25" s="514">
        <f>+IS!DG72</f>
        <v>0.23999999999999996</v>
      </c>
      <c r="J25" s="514">
        <f>+IS!DL72</f>
        <v>0.25</v>
      </c>
    </row>
    <row r="26" spans="1:11" hidden="1" outlineLevel="1">
      <c r="A26" s="498" t="s">
        <v>288</v>
      </c>
      <c r="F26" s="517">
        <f>-F23*F25</f>
        <v>-628.649</v>
      </c>
      <c r="G26" s="517">
        <f>-G23*G25</f>
        <v>-664.80000000000007</v>
      </c>
      <c r="H26" s="517">
        <f>-H23*H25</f>
        <v>-775</v>
      </c>
      <c r="I26" s="517">
        <f>-I23*I25</f>
        <v>-838.09659696871972</v>
      </c>
      <c r="J26" s="517">
        <f>-J23*J25</f>
        <v>-993.90323050227505</v>
      </c>
    </row>
    <row r="27" spans="1:11" hidden="1" outlineLevel="1">
      <c r="A27" s="498"/>
      <c r="F27" s="507"/>
      <c r="G27" s="507"/>
      <c r="H27" s="507"/>
      <c r="I27" s="507"/>
      <c r="J27" s="507"/>
    </row>
    <row r="28" spans="1:11" hidden="1" outlineLevel="1">
      <c r="A28" s="495" t="s">
        <v>108</v>
      </c>
      <c r="D28" s="518">
        <f t="shared" ref="D28:I28" si="2">+D23*(1-D25)</f>
        <v>1383.8864199999998</v>
      </c>
      <c r="E28" s="518">
        <f t="shared" si="2"/>
        <v>1598.5814799999998</v>
      </c>
      <c r="F28" s="518">
        <f t="shared" si="2"/>
        <v>1885.8510000000001</v>
      </c>
      <c r="G28" s="518">
        <f t="shared" si="2"/>
        <v>2069.4999999999991</v>
      </c>
      <c r="H28" s="518">
        <f t="shared" si="2"/>
        <v>2246</v>
      </c>
      <c r="I28" s="518">
        <f t="shared" si="2"/>
        <v>2653.9725570676128</v>
      </c>
      <c r="J28" s="518">
        <f t="shared" ref="J28" si="3">+J23*(1-J25)</f>
        <v>2981.709691506825</v>
      </c>
    </row>
    <row r="29" spans="1:11" collapsed="1"/>
    <row r="30" spans="1:11">
      <c r="A30" s="505" t="s">
        <v>271</v>
      </c>
      <c r="B30" s="505"/>
      <c r="C30" s="505"/>
      <c r="D30" s="516">
        <f t="shared" ref="D30:I30" si="4">+D28/D31</f>
        <v>2.2699240234753022</v>
      </c>
      <c r="E30" s="516">
        <f t="shared" si="4"/>
        <v>2.6099758199739092</v>
      </c>
      <c r="F30" s="516">
        <f t="shared" si="4"/>
        <v>3.0749241806619927</v>
      </c>
      <c r="G30" s="1085">
        <f t="shared" si="4"/>
        <v>3.3926229508196708</v>
      </c>
      <c r="H30" s="1085">
        <f t="shared" si="4"/>
        <v>3.7747899159663865</v>
      </c>
      <c r="I30" s="1085">
        <f t="shared" si="4"/>
        <v>4.5365126604374764</v>
      </c>
      <c r="J30" s="1085">
        <f t="shared" ref="J30" si="5">+J28/J31</f>
        <v>5.1670217399282405</v>
      </c>
      <c r="K30" s="506">
        <f>+J30-IS!DL81</f>
        <v>0</v>
      </c>
    </row>
    <row r="31" spans="1:11">
      <c r="A31" s="498" t="s">
        <v>290</v>
      </c>
      <c r="D31" s="517">
        <f>+IS!CH86</f>
        <v>609.66200000000003</v>
      </c>
      <c r="E31" s="517">
        <f>+IS!CM86</f>
        <v>612.48900000000003</v>
      </c>
      <c r="F31" s="517">
        <f>+IS!CR86</f>
        <v>613.29999999999995</v>
      </c>
      <c r="G31" s="517">
        <f>+IS!CW86</f>
        <v>610</v>
      </c>
      <c r="H31" s="517">
        <f>+IS!DB86</f>
        <v>595</v>
      </c>
      <c r="I31" s="517">
        <f>+IS!DG86</f>
        <v>585.02483200645986</v>
      </c>
      <c r="J31" s="517">
        <f>+IS!DL86</f>
        <v>577.06544341890753</v>
      </c>
    </row>
    <row r="32" spans="1:11">
      <c r="A32" s="495"/>
    </row>
    <row r="33" spans="1:10">
      <c r="A33" s="495" t="s">
        <v>295</v>
      </c>
      <c r="F33" s="510"/>
      <c r="G33" s="510"/>
      <c r="H33" s="510"/>
      <c r="I33" s="510">
        <f>IF($J$2="Bull",I34,IF($J$2="bear",I36,I35))</f>
        <v>17.5</v>
      </c>
      <c r="J33" s="510">
        <f>IF($J$2="Bull",J34,IF($J$2="bear",J36,J35))</f>
        <v>17</v>
      </c>
    </row>
    <row r="34" spans="1:10" outlineLevel="1">
      <c r="A34" s="508" t="s">
        <v>113</v>
      </c>
      <c r="B34" s="500"/>
      <c r="C34" s="500"/>
      <c r="D34" s="500"/>
      <c r="E34" s="500"/>
      <c r="F34" s="511"/>
      <c r="G34" s="511"/>
      <c r="H34" s="511"/>
      <c r="I34" s="511">
        <v>19</v>
      </c>
      <c r="J34" s="511">
        <v>19</v>
      </c>
    </row>
    <row r="35" spans="1:10" outlineLevel="1">
      <c r="A35" s="498" t="s">
        <v>114</v>
      </c>
      <c r="F35" s="510"/>
      <c r="G35" s="510"/>
      <c r="H35" s="510"/>
      <c r="I35" s="510">
        <v>17.5</v>
      </c>
      <c r="J35" s="510">
        <v>17</v>
      </c>
    </row>
    <row r="36" spans="1:10" outlineLevel="1">
      <c r="A36" s="509" t="s">
        <v>115</v>
      </c>
      <c r="B36" s="503"/>
      <c r="C36" s="503"/>
      <c r="D36" s="503"/>
      <c r="E36" s="503"/>
      <c r="F36" s="512"/>
      <c r="G36" s="512"/>
      <c r="H36" s="512"/>
      <c r="I36" s="512">
        <v>14.5</v>
      </c>
      <c r="J36" s="512">
        <v>14.5</v>
      </c>
    </row>
    <row r="37" spans="1:10" ht="13.5" thickBot="1">
      <c r="A37" s="498"/>
      <c r="F37" s="513"/>
      <c r="G37" s="513"/>
      <c r="H37" s="477"/>
      <c r="I37" s="477"/>
      <c r="J37" s="477"/>
    </row>
    <row r="38" spans="1:10" ht="13.5" thickBot="1">
      <c r="B38" s="495" t="s">
        <v>245</v>
      </c>
      <c r="D38" s="495"/>
      <c r="G38" s="513"/>
      <c r="H38" s="477"/>
      <c r="I38" s="477"/>
      <c r="J38" s="541">
        <f>J30*J33</f>
        <v>87.839369578780094</v>
      </c>
    </row>
    <row r="39" spans="1:10">
      <c r="F39" s="477"/>
      <c r="G39" s="513"/>
      <c r="H39" s="477"/>
    </row>
    <row r="40" spans="1:10">
      <c r="H40" s="544"/>
      <c r="I40" s="544"/>
    </row>
    <row r="41" spans="1:10">
      <c r="G41" s="555"/>
    </row>
    <row r="46" spans="1:10">
      <c r="G46" s="5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cols>
    <col min="1" max="1" width="29.5703125" style="1075" bestFit="1" customWidth="1"/>
    <col min="2" max="2" width="19.85546875" style="1159" customWidth="1"/>
    <col min="3" max="3" width="12" style="1075" bestFit="1" customWidth="1"/>
    <col min="4" max="256" width="9.140625" style="1075"/>
    <col min="257" max="257" width="29.5703125" style="1075" bestFit="1" customWidth="1"/>
    <col min="258" max="258" width="19.85546875" style="1075" customWidth="1"/>
    <col min="259" max="259" width="12" style="1075" bestFit="1" customWidth="1"/>
    <col min="260" max="512" width="9.140625" style="1075"/>
    <col min="513" max="513" width="29.5703125" style="1075" bestFit="1" customWidth="1"/>
    <col min="514" max="514" width="19.85546875" style="1075" customWidth="1"/>
    <col min="515" max="515" width="12" style="1075" bestFit="1" customWidth="1"/>
    <col min="516" max="768" width="9.140625" style="1075"/>
    <col min="769" max="769" width="29.5703125" style="1075" bestFit="1" customWidth="1"/>
    <col min="770" max="770" width="19.85546875" style="1075" customWidth="1"/>
    <col min="771" max="771" width="12" style="1075" bestFit="1" customWidth="1"/>
    <col min="772" max="1024" width="9.140625" style="1075"/>
    <col min="1025" max="1025" width="29.5703125" style="1075" bestFit="1" customWidth="1"/>
    <col min="1026" max="1026" width="19.85546875" style="1075" customWidth="1"/>
    <col min="1027" max="1027" width="12" style="1075" bestFit="1" customWidth="1"/>
    <col min="1028" max="1280" width="9.140625" style="1075"/>
    <col min="1281" max="1281" width="29.5703125" style="1075" bestFit="1" customWidth="1"/>
    <col min="1282" max="1282" width="19.85546875" style="1075" customWidth="1"/>
    <col min="1283" max="1283" width="12" style="1075" bestFit="1" customWidth="1"/>
    <col min="1284" max="1536" width="9.140625" style="1075"/>
    <col min="1537" max="1537" width="29.5703125" style="1075" bestFit="1" customWidth="1"/>
    <col min="1538" max="1538" width="19.85546875" style="1075" customWidth="1"/>
    <col min="1539" max="1539" width="12" style="1075" bestFit="1" customWidth="1"/>
    <col min="1540" max="1792" width="9.140625" style="1075"/>
    <col min="1793" max="1793" width="29.5703125" style="1075" bestFit="1" customWidth="1"/>
    <col min="1794" max="1794" width="19.85546875" style="1075" customWidth="1"/>
    <col min="1795" max="1795" width="12" style="1075" bestFit="1" customWidth="1"/>
    <col min="1796" max="2048" width="9.140625" style="1075"/>
    <col min="2049" max="2049" width="29.5703125" style="1075" bestFit="1" customWidth="1"/>
    <col min="2050" max="2050" width="19.85546875" style="1075" customWidth="1"/>
    <col min="2051" max="2051" width="12" style="1075" bestFit="1" customWidth="1"/>
    <col min="2052" max="2304" width="9.140625" style="1075"/>
    <col min="2305" max="2305" width="29.5703125" style="1075" bestFit="1" customWidth="1"/>
    <col min="2306" max="2306" width="19.85546875" style="1075" customWidth="1"/>
    <col min="2307" max="2307" width="12" style="1075" bestFit="1" customWidth="1"/>
    <col min="2308" max="2560" width="9.140625" style="1075"/>
    <col min="2561" max="2561" width="29.5703125" style="1075" bestFit="1" customWidth="1"/>
    <col min="2562" max="2562" width="19.85546875" style="1075" customWidth="1"/>
    <col min="2563" max="2563" width="12" style="1075" bestFit="1" customWidth="1"/>
    <col min="2564" max="2816" width="9.140625" style="1075"/>
    <col min="2817" max="2817" width="29.5703125" style="1075" bestFit="1" customWidth="1"/>
    <col min="2818" max="2818" width="19.85546875" style="1075" customWidth="1"/>
    <col min="2819" max="2819" width="12" style="1075" bestFit="1" customWidth="1"/>
    <col min="2820" max="3072" width="9.140625" style="1075"/>
    <col min="3073" max="3073" width="29.5703125" style="1075" bestFit="1" customWidth="1"/>
    <col min="3074" max="3074" width="19.85546875" style="1075" customWidth="1"/>
    <col min="3075" max="3075" width="12" style="1075" bestFit="1" customWidth="1"/>
    <col min="3076" max="3328" width="9.140625" style="1075"/>
    <col min="3329" max="3329" width="29.5703125" style="1075" bestFit="1" customWidth="1"/>
    <col min="3330" max="3330" width="19.85546875" style="1075" customWidth="1"/>
    <col min="3331" max="3331" width="12" style="1075" bestFit="1" customWidth="1"/>
    <col min="3332" max="3584" width="9.140625" style="1075"/>
    <col min="3585" max="3585" width="29.5703125" style="1075" bestFit="1" customWidth="1"/>
    <col min="3586" max="3586" width="19.85546875" style="1075" customWidth="1"/>
    <col min="3587" max="3587" width="12" style="1075" bestFit="1" customWidth="1"/>
    <col min="3588" max="3840" width="9.140625" style="1075"/>
    <col min="3841" max="3841" width="29.5703125" style="1075" bestFit="1" customWidth="1"/>
    <col min="3842" max="3842" width="19.85546875" style="1075" customWidth="1"/>
    <col min="3843" max="3843" width="12" style="1075" bestFit="1" customWidth="1"/>
    <col min="3844" max="4096" width="9.140625" style="1075"/>
    <col min="4097" max="4097" width="29.5703125" style="1075" bestFit="1" customWidth="1"/>
    <col min="4098" max="4098" width="19.85546875" style="1075" customWidth="1"/>
    <col min="4099" max="4099" width="12" style="1075" bestFit="1" customWidth="1"/>
    <col min="4100" max="4352" width="9.140625" style="1075"/>
    <col min="4353" max="4353" width="29.5703125" style="1075" bestFit="1" customWidth="1"/>
    <col min="4354" max="4354" width="19.85546875" style="1075" customWidth="1"/>
    <col min="4355" max="4355" width="12" style="1075" bestFit="1" customWidth="1"/>
    <col min="4356" max="4608" width="9.140625" style="1075"/>
    <col min="4609" max="4609" width="29.5703125" style="1075" bestFit="1" customWidth="1"/>
    <col min="4610" max="4610" width="19.85546875" style="1075" customWidth="1"/>
    <col min="4611" max="4611" width="12" style="1075" bestFit="1" customWidth="1"/>
    <col min="4612" max="4864" width="9.140625" style="1075"/>
    <col min="4865" max="4865" width="29.5703125" style="1075" bestFit="1" customWidth="1"/>
    <col min="4866" max="4866" width="19.85546875" style="1075" customWidth="1"/>
    <col min="4867" max="4867" width="12" style="1075" bestFit="1" customWidth="1"/>
    <col min="4868" max="5120" width="9.140625" style="1075"/>
    <col min="5121" max="5121" width="29.5703125" style="1075" bestFit="1" customWidth="1"/>
    <col min="5122" max="5122" width="19.85546875" style="1075" customWidth="1"/>
    <col min="5123" max="5123" width="12" style="1075" bestFit="1" customWidth="1"/>
    <col min="5124" max="5376" width="9.140625" style="1075"/>
    <col min="5377" max="5377" width="29.5703125" style="1075" bestFit="1" customWidth="1"/>
    <col min="5378" max="5378" width="19.85546875" style="1075" customWidth="1"/>
    <col min="5379" max="5379" width="12" style="1075" bestFit="1" customWidth="1"/>
    <col min="5380" max="5632" width="9.140625" style="1075"/>
    <col min="5633" max="5633" width="29.5703125" style="1075" bestFit="1" customWidth="1"/>
    <col min="5634" max="5634" width="19.85546875" style="1075" customWidth="1"/>
    <col min="5635" max="5635" width="12" style="1075" bestFit="1" customWidth="1"/>
    <col min="5636" max="5888" width="9.140625" style="1075"/>
    <col min="5889" max="5889" width="29.5703125" style="1075" bestFit="1" customWidth="1"/>
    <col min="5890" max="5890" width="19.85546875" style="1075" customWidth="1"/>
    <col min="5891" max="5891" width="12" style="1075" bestFit="1" customWidth="1"/>
    <col min="5892" max="6144" width="9.140625" style="1075"/>
    <col min="6145" max="6145" width="29.5703125" style="1075" bestFit="1" customWidth="1"/>
    <col min="6146" max="6146" width="19.85546875" style="1075" customWidth="1"/>
    <col min="6147" max="6147" width="12" style="1075" bestFit="1" customWidth="1"/>
    <col min="6148" max="6400" width="9.140625" style="1075"/>
    <col min="6401" max="6401" width="29.5703125" style="1075" bestFit="1" customWidth="1"/>
    <col min="6402" max="6402" width="19.85546875" style="1075" customWidth="1"/>
    <col min="6403" max="6403" width="12" style="1075" bestFit="1" customWidth="1"/>
    <col min="6404" max="6656" width="9.140625" style="1075"/>
    <col min="6657" max="6657" width="29.5703125" style="1075" bestFit="1" customWidth="1"/>
    <col min="6658" max="6658" width="19.85546875" style="1075" customWidth="1"/>
    <col min="6659" max="6659" width="12" style="1075" bestFit="1" customWidth="1"/>
    <col min="6660" max="6912" width="9.140625" style="1075"/>
    <col min="6913" max="6913" width="29.5703125" style="1075" bestFit="1" customWidth="1"/>
    <col min="6914" max="6914" width="19.85546875" style="1075" customWidth="1"/>
    <col min="6915" max="6915" width="12" style="1075" bestFit="1" customWidth="1"/>
    <col min="6916" max="7168" width="9.140625" style="1075"/>
    <col min="7169" max="7169" width="29.5703125" style="1075" bestFit="1" customWidth="1"/>
    <col min="7170" max="7170" width="19.85546875" style="1075" customWidth="1"/>
    <col min="7171" max="7171" width="12" style="1075" bestFit="1" customWidth="1"/>
    <col min="7172" max="7424" width="9.140625" style="1075"/>
    <col min="7425" max="7425" width="29.5703125" style="1075" bestFit="1" customWidth="1"/>
    <col min="7426" max="7426" width="19.85546875" style="1075" customWidth="1"/>
    <col min="7427" max="7427" width="12" style="1075" bestFit="1" customWidth="1"/>
    <col min="7428" max="7680" width="9.140625" style="1075"/>
    <col min="7681" max="7681" width="29.5703125" style="1075" bestFit="1" customWidth="1"/>
    <col min="7682" max="7682" width="19.85546875" style="1075" customWidth="1"/>
    <col min="7683" max="7683" width="12" style="1075" bestFit="1" customWidth="1"/>
    <col min="7684" max="7936" width="9.140625" style="1075"/>
    <col min="7937" max="7937" width="29.5703125" style="1075" bestFit="1" customWidth="1"/>
    <col min="7938" max="7938" width="19.85546875" style="1075" customWidth="1"/>
    <col min="7939" max="7939" width="12" style="1075" bestFit="1" customWidth="1"/>
    <col min="7940" max="8192" width="9.140625" style="1075"/>
    <col min="8193" max="8193" width="29.5703125" style="1075" bestFit="1" customWidth="1"/>
    <col min="8194" max="8194" width="19.85546875" style="1075" customWidth="1"/>
    <col min="8195" max="8195" width="12" style="1075" bestFit="1" customWidth="1"/>
    <col min="8196" max="8448" width="9.140625" style="1075"/>
    <col min="8449" max="8449" width="29.5703125" style="1075" bestFit="1" customWidth="1"/>
    <col min="8450" max="8450" width="19.85546875" style="1075" customWidth="1"/>
    <col min="8451" max="8451" width="12" style="1075" bestFit="1" customWidth="1"/>
    <col min="8452" max="8704" width="9.140625" style="1075"/>
    <col min="8705" max="8705" width="29.5703125" style="1075" bestFit="1" customWidth="1"/>
    <col min="8706" max="8706" width="19.85546875" style="1075" customWidth="1"/>
    <col min="8707" max="8707" width="12" style="1075" bestFit="1" customWidth="1"/>
    <col min="8708" max="8960" width="9.140625" style="1075"/>
    <col min="8961" max="8961" width="29.5703125" style="1075" bestFit="1" customWidth="1"/>
    <col min="8962" max="8962" width="19.85546875" style="1075" customWidth="1"/>
    <col min="8963" max="8963" width="12" style="1075" bestFit="1" customWidth="1"/>
    <col min="8964" max="9216" width="9.140625" style="1075"/>
    <col min="9217" max="9217" width="29.5703125" style="1075" bestFit="1" customWidth="1"/>
    <col min="9218" max="9218" width="19.85546875" style="1075" customWidth="1"/>
    <col min="9219" max="9219" width="12" style="1075" bestFit="1" customWidth="1"/>
    <col min="9220" max="9472" width="9.140625" style="1075"/>
    <col min="9473" max="9473" width="29.5703125" style="1075" bestFit="1" customWidth="1"/>
    <col min="9474" max="9474" width="19.85546875" style="1075" customWidth="1"/>
    <col min="9475" max="9475" width="12" style="1075" bestFit="1" customWidth="1"/>
    <col min="9476" max="9728" width="9.140625" style="1075"/>
    <col min="9729" max="9729" width="29.5703125" style="1075" bestFit="1" customWidth="1"/>
    <col min="9730" max="9730" width="19.85546875" style="1075" customWidth="1"/>
    <col min="9731" max="9731" width="12" style="1075" bestFit="1" customWidth="1"/>
    <col min="9732" max="9984" width="9.140625" style="1075"/>
    <col min="9985" max="9985" width="29.5703125" style="1075" bestFit="1" customWidth="1"/>
    <col min="9986" max="9986" width="19.85546875" style="1075" customWidth="1"/>
    <col min="9987" max="9987" width="12" style="1075" bestFit="1" customWidth="1"/>
    <col min="9988" max="10240" width="9.140625" style="1075"/>
    <col min="10241" max="10241" width="29.5703125" style="1075" bestFit="1" customWidth="1"/>
    <col min="10242" max="10242" width="19.85546875" style="1075" customWidth="1"/>
    <col min="10243" max="10243" width="12" style="1075" bestFit="1" customWidth="1"/>
    <col min="10244" max="10496" width="9.140625" style="1075"/>
    <col min="10497" max="10497" width="29.5703125" style="1075" bestFit="1" customWidth="1"/>
    <col min="10498" max="10498" width="19.85546875" style="1075" customWidth="1"/>
    <col min="10499" max="10499" width="12" style="1075" bestFit="1" customWidth="1"/>
    <col min="10500" max="10752" width="9.140625" style="1075"/>
    <col min="10753" max="10753" width="29.5703125" style="1075" bestFit="1" customWidth="1"/>
    <col min="10754" max="10754" width="19.85546875" style="1075" customWidth="1"/>
    <col min="10755" max="10755" width="12" style="1075" bestFit="1" customWidth="1"/>
    <col min="10756" max="11008" width="9.140625" style="1075"/>
    <col min="11009" max="11009" width="29.5703125" style="1075" bestFit="1" customWidth="1"/>
    <col min="11010" max="11010" width="19.85546875" style="1075" customWidth="1"/>
    <col min="11011" max="11011" width="12" style="1075" bestFit="1" customWidth="1"/>
    <col min="11012" max="11264" width="9.140625" style="1075"/>
    <col min="11265" max="11265" width="29.5703125" style="1075" bestFit="1" customWidth="1"/>
    <col min="11266" max="11266" width="19.85546875" style="1075" customWidth="1"/>
    <col min="11267" max="11267" width="12" style="1075" bestFit="1" customWidth="1"/>
    <col min="11268" max="11520" width="9.140625" style="1075"/>
    <col min="11521" max="11521" width="29.5703125" style="1075" bestFit="1" customWidth="1"/>
    <col min="11522" max="11522" width="19.85546875" style="1075" customWidth="1"/>
    <col min="11523" max="11523" width="12" style="1075" bestFit="1" customWidth="1"/>
    <col min="11524" max="11776" width="9.140625" style="1075"/>
    <col min="11777" max="11777" width="29.5703125" style="1075" bestFit="1" customWidth="1"/>
    <col min="11778" max="11778" width="19.85546875" style="1075" customWidth="1"/>
    <col min="11779" max="11779" width="12" style="1075" bestFit="1" customWidth="1"/>
    <col min="11780" max="12032" width="9.140625" style="1075"/>
    <col min="12033" max="12033" width="29.5703125" style="1075" bestFit="1" customWidth="1"/>
    <col min="12034" max="12034" width="19.85546875" style="1075" customWidth="1"/>
    <col min="12035" max="12035" width="12" style="1075" bestFit="1" customWidth="1"/>
    <col min="12036" max="12288" width="9.140625" style="1075"/>
    <col min="12289" max="12289" width="29.5703125" style="1075" bestFit="1" customWidth="1"/>
    <col min="12290" max="12290" width="19.85546875" style="1075" customWidth="1"/>
    <col min="12291" max="12291" width="12" style="1075" bestFit="1" customWidth="1"/>
    <col min="12292" max="12544" width="9.140625" style="1075"/>
    <col min="12545" max="12545" width="29.5703125" style="1075" bestFit="1" customWidth="1"/>
    <col min="12546" max="12546" width="19.85546875" style="1075" customWidth="1"/>
    <col min="12547" max="12547" width="12" style="1075" bestFit="1" customWidth="1"/>
    <col min="12548" max="12800" width="9.140625" style="1075"/>
    <col min="12801" max="12801" width="29.5703125" style="1075" bestFit="1" customWidth="1"/>
    <col min="12802" max="12802" width="19.85546875" style="1075" customWidth="1"/>
    <col min="12803" max="12803" width="12" style="1075" bestFit="1" customWidth="1"/>
    <col min="12804" max="13056" width="9.140625" style="1075"/>
    <col min="13057" max="13057" width="29.5703125" style="1075" bestFit="1" customWidth="1"/>
    <col min="13058" max="13058" width="19.85546875" style="1075" customWidth="1"/>
    <col min="13059" max="13059" width="12" style="1075" bestFit="1" customWidth="1"/>
    <col min="13060" max="13312" width="9.140625" style="1075"/>
    <col min="13313" max="13313" width="29.5703125" style="1075" bestFit="1" customWidth="1"/>
    <col min="13314" max="13314" width="19.85546875" style="1075" customWidth="1"/>
    <col min="13315" max="13315" width="12" style="1075" bestFit="1" customWidth="1"/>
    <col min="13316" max="13568" width="9.140625" style="1075"/>
    <col min="13569" max="13569" width="29.5703125" style="1075" bestFit="1" customWidth="1"/>
    <col min="13570" max="13570" width="19.85546875" style="1075" customWidth="1"/>
    <col min="13571" max="13571" width="12" style="1075" bestFit="1" customWidth="1"/>
    <col min="13572" max="13824" width="9.140625" style="1075"/>
    <col min="13825" max="13825" width="29.5703125" style="1075" bestFit="1" customWidth="1"/>
    <col min="13826" max="13826" width="19.85546875" style="1075" customWidth="1"/>
    <col min="13827" max="13827" width="12" style="1075" bestFit="1" customWidth="1"/>
    <col min="13828" max="14080" width="9.140625" style="1075"/>
    <col min="14081" max="14081" width="29.5703125" style="1075" bestFit="1" customWidth="1"/>
    <col min="14082" max="14082" width="19.85546875" style="1075" customWidth="1"/>
    <col min="14083" max="14083" width="12" style="1075" bestFit="1" customWidth="1"/>
    <col min="14084" max="14336" width="9.140625" style="1075"/>
    <col min="14337" max="14337" width="29.5703125" style="1075" bestFit="1" customWidth="1"/>
    <col min="14338" max="14338" width="19.85546875" style="1075" customWidth="1"/>
    <col min="14339" max="14339" width="12" style="1075" bestFit="1" customWidth="1"/>
    <col min="14340" max="14592" width="9.140625" style="1075"/>
    <col min="14593" max="14593" width="29.5703125" style="1075" bestFit="1" customWidth="1"/>
    <col min="14594" max="14594" width="19.85546875" style="1075" customWidth="1"/>
    <col min="14595" max="14595" width="12" style="1075" bestFit="1" customWidth="1"/>
    <col min="14596" max="14848" width="9.140625" style="1075"/>
    <col min="14849" max="14849" width="29.5703125" style="1075" bestFit="1" customWidth="1"/>
    <col min="14850" max="14850" width="19.85546875" style="1075" customWidth="1"/>
    <col min="14851" max="14851" width="12" style="1075" bestFit="1" customWidth="1"/>
    <col min="14852" max="15104" width="9.140625" style="1075"/>
    <col min="15105" max="15105" width="29.5703125" style="1075" bestFit="1" customWidth="1"/>
    <col min="15106" max="15106" width="19.85546875" style="1075" customWidth="1"/>
    <col min="15107" max="15107" width="12" style="1075" bestFit="1" customWidth="1"/>
    <col min="15108" max="15360" width="9.140625" style="1075"/>
    <col min="15361" max="15361" width="29.5703125" style="1075" bestFit="1" customWidth="1"/>
    <col min="15362" max="15362" width="19.85546875" style="1075" customWidth="1"/>
    <col min="15363" max="15363" width="12" style="1075" bestFit="1" customWidth="1"/>
    <col min="15364" max="15616" width="9.140625" style="1075"/>
    <col min="15617" max="15617" width="29.5703125" style="1075" bestFit="1" customWidth="1"/>
    <col min="15618" max="15618" width="19.85546875" style="1075" customWidth="1"/>
    <col min="15619" max="15619" width="12" style="1075" bestFit="1" customWidth="1"/>
    <col min="15620" max="15872" width="9.140625" style="1075"/>
    <col min="15873" max="15873" width="29.5703125" style="1075" bestFit="1" customWidth="1"/>
    <col min="15874" max="15874" width="19.85546875" style="1075" customWidth="1"/>
    <col min="15875" max="15875" width="12" style="1075" bestFit="1" customWidth="1"/>
    <col min="15876" max="16128" width="9.140625" style="1075"/>
    <col min="16129" max="16129" width="29.5703125" style="1075" bestFit="1" customWidth="1"/>
    <col min="16130" max="16130" width="19.85546875" style="1075" customWidth="1"/>
    <col min="16131" max="16131" width="12" style="1075" bestFit="1" customWidth="1"/>
    <col min="16132" max="16384" width="9.140625" style="1075"/>
  </cols>
  <sheetData>
    <row r="1" spans="1:2">
      <c r="A1" s="1075" t="s">
        <v>660</v>
      </c>
      <c r="B1" s="1158">
        <v>6.1</v>
      </c>
    </row>
    <row r="2" spans="1:2">
      <c r="A2" s="1075" t="s">
        <v>661</v>
      </c>
      <c r="B2" s="1162">
        <v>43142.486527777779</v>
      </c>
    </row>
    <row r="3" spans="1:2">
      <c r="A3" s="1075" t="s">
        <v>662</v>
      </c>
      <c r="B3" s="1159" t="s">
        <v>365</v>
      </c>
    </row>
    <row r="4" spans="1:2">
      <c r="A4" s="1075" t="s">
        <v>663</v>
      </c>
      <c r="B4" s="1159" t="s">
        <v>664</v>
      </c>
    </row>
    <row r="5" spans="1:2">
      <c r="A5" s="1075" t="s">
        <v>665</v>
      </c>
      <c r="B5" s="1159" t="s">
        <v>666</v>
      </c>
    </row>
    <row r="6" spans="1:2">
      <c r="A6" s="1075" t="s">
        <v>667</v>
      </c>
    </row>
    <row r="7" spans="1:2">
      <c r="A7" s="1075" t="s">
        <v>668</v>
      </c>
      <c r="B7" s="1159" t="s">
        <v>0</v>
      </c>
    </row>
    <row r="8" spans="1:2">
      <c r="A8" s="1075" t="s">
        <v>669</v>
      </c>
      <c r="B8" s="1159" t="s">
        <v>670</v>
      </c>
    </row>
    <row r="9" spans="1:2">
      <c r="A9" s="1075" t="s">
        <v>671</v>
      </c>
      <c r="B9" s="1159" t="s">
        <v>709</v>
      </c>
    </row>
    <row r="10" spans="1:2">
      <c r="A10" s="1075" t="s">
        <v>672</v>
      </c>
    </row>
    <row r="11" spans="1:2">
      <c r="A11" s="1075" t="s">
        <v>673</v>
      </c>
    </row>
    <row r="12" spans="1:2">
      <c r="A12" s="1075" t="s">
        <v>674</v>
      </c>
    </row>
    <row r="13" spans="1:2">
      <c r="A13" s="1075" t="s">
        <v>675</v>
      </c>
    </row>
    <row r="14" spans="1:2">
      <c r="A14" s="1075" t="s">
        <v>676</v>
      </c>
    </row>
    <row r="15" spans="1:2">
      <c r="A15" s="1075" t="s">
        <v>677</v>
      </c>
    </row>
    <row r="16" spans="1:2">
      <c r="A16" s="1075" t="s">
        <v>678</v>
      </c>
    </row>
    <row r="17" spans="1:4">
      <c r="A17" s="1075" t="s">
        <v>679</v>
      </c>
      <c r="B17" s="1159" t="s">
        <v>710</v>
      </c>
    </row>
    <row r="18" spans="1:4">
      <c r="A18" s="1075" t="s">
        <v>680</v>
      </c>
      <c r="B18" s="1159" t="s">
        <v>366</v>
      </c>
    </row>
    <row r="19" spans="1:4">
      <c r="A19" s="1075" t="s">
        <v>681</v>
      </c>
      <c r="B19" s="1159" t="s">
        <v>73</v>
      </c>
    </row>
    <row r="20" spans="1:4">
      <c r="A20" s="1075" t="s">
        <v>682</v>
      </c>
      <c r="B20" s="1160">
        <v>192446102</v>
      </c>
    </row>
    <row r="21" spans="1:4">
      <c r="A21" s="1075" t="s">
        <v>683</v>
      </c>
      <c r="B21" s="1159" t="s">
        <v>73</v>
      </c>
    </row>
    <row r="22" spans="1:4">
      <c r="A22" s="1075" t="s">
        <v>684</v>
      </c>
      <c r="B22" s="1160">
        <v>2257019</v>
      </c>
    </row>
    <row r="23" spans="1:4">
      <c r="A23" s="1075" t="s">
        <v>117</v>
      </c>
      <c r="B23" s="1158">
        <v>76.290000000000006</v>
      </c>
    </row>
    <row r="24" spans="1:4">
      <c r="A24" s="1075" t="s">
        <v>116</v>
      </c>
      <c r="B24" s="1159" t="s">
        <v>72</v>
      </c>
      <c r="D24" s="1075" t="s">
        <v>685</v>
      </c>
    </row>
    <row r="25" spans="1:4">
      <c r="A25" s="1075" t="s">
        <v>686</v>
      </c>
      <c r="B25" s="1159" t="s">
        <v>713</v>
      </c>
    </row>
    <row r="26" spans="1:4">
      <c r="A26" s="1075" t="s">
        <v>687</v>
      </c>
      <c r="B26" s="1159">
        <v>0</v>
      </c>
    </row>
    <row r="27" spans="1:4">
      <c r="A27" s="1075" t="s">
        <v>688</v>
      </c>
      <c r="B27" s="1159" t="s">
        <v>689</v>
      </c>
    </row>
    <row r="28" spans="1:4">
      <c r="A28" s="1075" t="s">
        <v>690</v>
      </c>
      <c r="B28" s="1159" t="s">
        <v>691</v>
      </c>
    </row>
    <row r="29" spans="1:4">
      <c r="A29" s="1075" t="s">
        <v>692</v>
      </c>
    </row>
    <row r="30" spans="1:4">
      <c r="A30" s="1075" t="s">
        <v>693</v>
      </c>
    </row>
    <row r="31" spans="1:4">
      <c r="A31" s="1075" t="s">
        <v>694</v>
      </c>
    </row>
    <row r="32" spans="1:4">
      <c r="A32" s="1075" t="s">
        <v>695</v>
      </c>
      <c r="B32" s="1158"/>
    </row>
    <row r="33" spans="1:2">
      <c r="A33" s="1075" t="s">
        <v>696</v>
      </c>
      <c r="B33" s="1158"/>
    </row>
    <row r="34" spans="1:2">
      <c r="A34" s="1075" t="s">
        <v>697</v>
      </c>
      <c r="B34" s="1158"/>
    </row>
    <row r="35" spans="1:2">
      <c r="A35" s="1075" t="s">
        <v>698</v>
      </c>
      <c r="B35" s="1159">
        <v>1000000</v>
      </c>
    </row>
    <row r="36" spans="1:2">
      <c r="A36" s="1075" t="s">
        <v>699</v>
      </c>
      <c r="B36" s="1159" t="s">
        <v>711</v>
      </c>
    </row>
    <row r="37" spans="1:2">
      <c r="A37" s="1075" t="s">
        <v>700</v>
      </c>
      <c r="B37" s="1159" t="s">
        <v>701</v>
      </c>
    </row>
    <row r="38" spans="1:2">
      <c r="A38" s="1075" t="s">
        <v>702</v>
      </c>
      <c r="B38" s="1159" t="s">
        <v>703</v>
      </c>
    </row>
    <row r="39" spans="1:2">
      <c r="A39" s="1075" t="s">
        <v>704</v>
      </c>
      <c r="B39" s="1159" t="s">
        <v>712</v>
      </c>
    </row>
    <row r="40" spans="1:2">
      <c r="A40" s="1075" t="s">
        <v>705</v>
      </c>
      <c r="B40" s="1159">
        <v>1500005589</v>
      </c>
    </row>
    <row r="41" spans="1:2">
      <c r="A41" s="1075" t="s">
        <v>706</v>
      </c>
      <c r="B41" s="1159">
        <v>1</v>
      </c>
    </row>
    <row r="42" spans="1:2">
      <c r="A42" s="1161" t="s">
        <v>707</v>
      </c>
    </row>
    <row r="43" spans="1:2">
      <c r="A43" s="1075" t="s">
        <v>708</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1075" bestFit="1" customWidth="1"/>
    <col min="2" max="256" width="9.140625" style="1075"/>
    <col min="257" max="257" width="28.5703125" style="1075" bestFit="1" customWidth="1"/>
    <col min="258" max="512" width="9.140625" style="1075"/>
    <col min="513" max="513" width="28.5703125" style="1075" bestFit="1" customWidth="1"/>
    <col min="514" max="768" width="9.140625" style="1075"/>
    <col min="769" max="769" width="28.5703125" style="1075" bestFit="1" customWidth="1"/>
    <col min="770" max="1024" width="9.140625" style="1075"/>
    <col min="1025" max="1025" width="28.5703125" style="1075" bestFit="1" customWidth="1"/>
    <col min="1026" max="1280" width="9.140625" style="1075"/>
    <col min="1281" max="1281" width="28.5703125" style="1075" bestFit="1" customWidth="1"/>
    <col min="1282" max="1536" width="9.140625" style="1075"/>
    <col min="1537" max="1537" width="28.5703125" style="1075" bestFit="1" customWidth="1"/>
    <col min="1538" max="1792" width="9.140625" style="1075"/>
    <col min="1793" max="1793" width="28.5703125" style="1075" bestFit="1" customWidth="1"/>
    <col min="1794" max="2048" width="9.140625" style="1075"/>
    <col min="2049" max="2049" width="28.5703125" style="1075" bestFit="1" customWidth="1"/>
    <col min="2050" max="2304" width="9.140625" style="1075"/>
    <col min="2305" max="2305" width="28.5703125" style="1075" bestFit="1" customWidth="1"/>
    <col min="2306" max="2560" width="9.140625" style="1075"/>
    <col min="2561" max="2561" width="28.5703125" style="1075" bestFit="1" customWidth="1"/>
    <col min="2562" max="2816" width="9.140625" style="1075"/>
    <col min="2817" max="2817" width="28.5703125" style="1075" bestFit="1" customWidth="1"/>
    <col min="2818" max="3072" width="9.140625" style="1075"/>
    <col min="3073" max="3073" width="28.5703125" style="1075" bestFit="1" customWidth="1"/>
    <col min="3074" max="3328" width="9.140625" style="1075"/>
    <col min="3329" max="3329" width="28.5703125" style="1075" bestFit="1" customWidth="1"/>
    <col min="3330" max="3584" width="9.140625" style="1075"/>
    <col min="3585" max="3585" width="28.5703125" style="1075" bestFit="1" customWidth="1"/>
    <col min="3586" max="3840" width="9.140625" style="1075"/>
    <col min="3841" max="3841" width="28.5703125" style="1075" bestFit="1" customWidth="1"/>
    <col min="3842" max="4096" width="9.140625" style="1075"/>
    <col min="4097" max="4097" width="28.5703125" style="1075" bestFit="1" customWidth="1"/>
    <col min="4098" max="4352" width="9.140625" style="1075"/>
    <col min="4353" max="4353" width="28.5703125" style="1075" bestFit="1" customWidth="1"/>
    <col min="4354" max="4608" width="9.140625" style="1075"/>
    <col min="4609" max="4609" width="28.5703125" style="1075" bestFit="1" customWidth="1"/>
    <col min="4610" max="4864" width="9.140625" style="1075"/>
    <col min="4865" max="4865" width="28.5703125" style="1075" bestFit="1" customWidth="1"/>
    <col min="4866" max="5120" width="9.140625" style="1075"/>
    <col min="5121" max="5121" width="28.5703125" style="1075" bestFit="1" customWidth="1"/>
    <col min="5122" max="5376" width="9.140625" style="1075"/>
    <col min="5377" max="5377" width="28.5703125" style="1075" bestFit="1" customWidth="1"/>
    <col min="5378" max="5632" width="9.140625" style="1075"/>
    <col min="5633" max="5633" width="28.5703125" style="1075" bestFit="1" customWidth="1"/>
    <col min="5634" max="5888" width="9.140625" style="1075"/>
    <col min="5889" max="5889" width="28.5703125" style="1075" bestFit="1" customWidth="1"/>
    <col min="5890" max="6144" width="9.140625" style="1075"/>
    <col min="6145" max="6145" width="28.5703125" style="1075" bestFit="1" customWidth="1"/>
    <col min="6146" max="6400" width="9.140625" style="1075"/>
    <col min="6401" max="6401" width="28.5703125" style="1075" bestFit="1" customWidth="1"/>
    <col min="6402" max="6656" width="9.140625" style="1075"/>
    <col min="6657" max="6657" width="28.5703125" style="1075" bestFit="1" customWidth="1"/>
    <col min="6658" max="6912" width="9.140625" style="1075"/>
    <col min="6913" max="6913" width="28.5703125" style="1075" bestFit="1" customWidth="1"/>
    <col min="6914" max="7168" width="9.140625" style="1075"/>
    <col min="7169" max="7169" width="28.5703125" style="1075" bestFit="1" customWidth="1"/>
    <col min="7170" max="7424" width="9.140625" style="1075"/>
    <col min="7425" max="7425" width="28.5703125" style="1075" bestFit="1" customWidth="1"/>
    <col min="7426" max="7680" width="9.140625" style="1075"/>
    <col min="7681" max="7681" width="28.5703125" style="1075" bestFit="1" customWidth="1"/>
    <col min="7682" max="7936" width="9.140625" style="1075"/>
    <col min="7937" max="7937" width="28.5703125" style="1075" bestFit="1" customWidth="1"/>
    <col min="7938" max="8192" width="9.140625" style="1075"/>
    <col min="8193" max="8193" width="28.5703125" style="1075" bestFit="1" customWidth="1"/>
    <col min="8194" max="8448" width="9.140625" style="1075"/>
    <col min="8449" max="8449" width="28.5703125" style="1075" bestFit="1" customWidth="1"/>
    <col min="8450" max="8704" width="9.140625" style="1075"/>
    <col min="8705" max="8705" width="28.5703125" style="1075" bestFit="1" customWidth="1"/>
    <col min="8706" max="8960" width="9.140625" style="1075"/>
    <col min="8961" max="8961" width="28.5703125" style="1075" bestFit="1" customWidth="1"/>
    <col min="8962" max="9216" width="9.140625" style="1075"/>
    <col min="9217" max="9217" width="28.5703125" style="1075" bestFit="1" customWidth="1"/>
    <col min="9218" max="9472" width="9.140625" style="1075"/>
    <col min="9473" max="9473" width="28.5703125" style="1075" bestFit="1" customWidth="1"/>
    <col min="9474" max="9728" width="9.140625" style="1075"/>
    <col min="9729" max="9729" width="28.5703125" style="1075" bestFit="1" customWidth="1"/>
    <col min="9730" max="9984" width="9.140625" style="1075"/>
    <col min="9985" max="9985" width="28.5703125" style="1075" bestFit="1" customWidth="1"/>
    <col min="9986" max="10240" width="9.140625" style="1075"/>
    <col min="10241" max="10241" width="28.5703125" style="1075" bestFit="1" customWidth="1"/>
    <col min="10242" max="10496" width="9.140625" style="1075"/>
    <col min="10497" max="10497" width="28.5703125" style="1075" bestFit="1" customWidth="1"/>
    <col min="10498" max="10752" width="9.140625" style="1075"/>
    <col min="10753" max="10753" width="28.5703125" style="1075" bestFit="1" customWidth="1"/>
    <col min="10754" max="11008" width="9.140625" style="1075"/>
    <col min="11009" max="11009" width="28.5703125" style="1075" bestFit="1" customWidth="1"/>
    <col min="11010" max="11264" width="9.140625" style="1075"/>
    <col min="11265" max="11265" width="28.5703125" style="1075" bestFit="1" customWidth="1"/>
    <col min="11266" max="11520" width="9.140625" style="1075"/>
    <col min="11521" max="11521" width="28.5703125" style="1075" bestFit="1" customWidth="1"/>
    <col min="11522" max="11776" width="9.140625" style="1075"/>
    <col min="11777" max="11777" width="28.5703125" style="1075" bestFit="1" customWidth="1"/>
    <col min="11778" max="12032" width="9.140625" style="1075"/>
    <col min="12033" max="12033" width="28.5703125" style="1075" bestFit="1" customWidth="1"/>
    <col min="12034" max="12288" width="9.140625" style="1075"/>
    <col min="12289" max="12289" width="28.5703125" style="1075" bestFit="1" customWidth="1"/>
    <col min="12290" max="12544" width="9.140625" style="1075"/>
    <col min="12545" max="12545" width="28.5703125" style="1075" bestFit="1" customWidth="1"/>
    <col min="12546" max="12800" width="9.140625" style="1075"/>
    <col min="12801" max="12801" width="28.5703125" style="1075" bestFit="1" customWidth="1"/>
    <col min="12802" max="13056" width="9.140625" style="1075"/>
    <col min="13057" max="13057" width="28.5703125" style="1075" bestFit="1" customWidth="1"/>
    <col min="13058" max="13312" width="9.140625" style="1075"/>
    <col min="13313" max="13313" width="28.5703125" style="1075" bestFit="1" customWidth="1"/>
    <col min="13314" max="13568" width="9.140625" style="1075"/>
    <col min="13569" max="13569" width="28.5703125" style="1075" bestFit="1" customWidth="1"/>
    <col min="13570" max="13824" width="9.140625" style="1075"/>
    <col min="13825" max="13825" width="28.5703125" style="1075" bestFit="1" customWidth="1"/>
    <col min="13826" max="14080" width="9.140625" style="1075"/>
    <col min="14081" max="14081" width="28.5703125" style="1075" bestFit="1" customWidth="1"/>
    <col min="14082" max="14336" width="9.140625" style="1075"/>
    <col min="14337" max="14337" width="28.5703125" style="1075" bestFit="1" customWidth="1"/>
    <col min="14338" max="14592" width="9.140625" style="1075"/>
    <col min="14593" max="14593" width="28.5703125" style="1075" bestFit="1" customWidth="1"/>
    <col min="14594" max="14848" width="9.140625" style="1075"/>
    <col min="14849" max="14849" width="28.5703125" style="1075" bestFit="1" customWidth="1"/>
    <col min="14850" max="15104" width="9.140625" style="1075"/>
    <col min="15105" max="15105" width="28.5703125" style="1075" bestFit="1" customWidth="1"/>
    <col min="15106" max="15360" width="9.140625" style="1075"/>
    <col min="15361" max="15361" width="28.5703125" style="1075" bestFit="1" customWidth="1"/>
    <col min="15362" max="15616" width="9.140625" style="1075"/>
    <col min="15617" max="15617" width="28.5703125" style="1075" bestFit="1" customWidth="1"/>
    <col min="15618" max="15872" width="9.140625" style="1075"/>
    <col min="15873" max="15873" width="28.5703125" style="1075" bestFit="1" customWidth="1"/>
    <col min="15874" max="16128" width="9.140625" style="1075"/>
    <col min="16129" max="16129" width="28.5703125" style="1075" bestFit="1" customWidth="1"/>
    <col min="16130" max="16384" width="9.140625" style="1075"/>
  </cols>
  <sheetData>
    <row r="1" spans="1:1">
      <c r="A1" s="1163" t="s">
        <v>714</v>
      </c>
    </row>
    <row r="2" spans="1:1">
      <c r="A2" s="1163" t="s">
        <v>719</v>
      </c>
    </row>
    <row r="3" spans="1:1">
      <c r="A3" s="1163" t="s">
        <v>720</v>
      </c>
    </row>
    <row r="4" spans="1:1">
      <c r="A4" s="1163" t="s">
        <v>721</v>
      </c>
    </row>
    <row r="5" spans="1:1">
      <c r="A5" s="1163" t="s">
        <v>722</v>
      </c>
    </row>
    <row r="6" spans="1:1">
      <c r="A6" s="1163" t="s">
        <v>715</v>
      </c>
    </row>
    <row r="7" spans="1:1">
      <c r="A7" s="1163" t="s">
        <v>723</v>
      </c>
    </row>
    <row r="8" spans="1:1">
      <c r="A8" s="1163" t="s">
        <v>724</v>
      </c>
    </row>
    <row r="9" spans="1:1">
      <c r="A9" s="1163" t="s">
        <v>725</v>
      </c>
    </row>
    <row r="10" spans="1:1">
      <c r="A10" s="1163" t="s">
        <v>716</v>
      </c>
    </row>
    <row r="11" spans="1:1">
      <c r="A11" s="1163" t="s">
        <v>726</v>
      </c>
    </row>
    <row r="12" spans="1:1">
      <c r="A12" s="1163" t="s">
        <v>717</v>
      </c>
    </row>
    <row r="13" spans="1:1">
      <c r="A13" s="1163" t="s">
        <v>718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9a32f0bb-75ce-4f7b-a9d6-bf4ee912bfc0</GUID>
    <SOURCE_ALTADDRESS>$B$9:$AV$80</SOURCE_ALTADDRESS>
    <SOURCETYPE>Table</SOURCETYPE>
    <SOURCE_OBJECTNAME>Linking_Range_47</SOURCE_OBJECTNAME>
    <OBJECTTYPE>Native</OBJECTTYPE>
    <SOURCE_SHEETCODE>Sheet11</SOURCE_SHEETCODE>
    <SOURCE_SHEETNAME>Variance</SOURCE_SHEETNAME>
    <SOURCEAPPLICATION>EXCEL_SOURCE</SOURCEAPPLICATION>
    <UPDATEDAT>5/4/2015 1:39:14 PM</UPDATEDAT>
    <SOURCE_ISOUTOFDATE>False</SOURCE_ISOUTOFDATE>
    <SOURCE_WORKBOOKNAME>CTSH_MS_Model_FY17_post.xls</SOURCE_WORKBOOKNAME>
    <SOURCE_WORKBOOKPATH>\\msad\root\na\ny\lib\er\er43\ITServices\1. Coverage\CTSH</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/MSResearch/Content/ExternalAssets/2015-05/Images/NuUmpPMPYkS918ASiP7iDQ--.png</TARGET_BINARYFULLNAME>
    <TARGET_STORYFULLNAME>/MSResearch/Content/ExternalAssets/2015-05/Sections/20150504_013913_Linking_Range_47.xml</TARGET_STORYFULLNAME>
    <TARGET_UUID>7a7e801a-f284-11e4-96ae-7c07ebc02301</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C4FD035C-81BF-41DE-92ED-649B61B15E35}">
  <ds:schemaRefs>
    <ds:schemaRef ds:uri="thomsonreuters.linking.metadata"/>
  </ds:schemaRefs>
</ds:datastoreItem>
</file>

<file path=customXml/itemProps2.xml><?xml version="1.0" encoding="utf-8"?>
<ds:datastoreItem xmlns:ds="http://schemas.openxmlformats.org/officeDocument/2006/customXml" ds:itemID="{45EE6948-EB84-448A-9607-19265A0473EC}">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106</vt:i4>
      </vt:variant>
    </vt:vector>
  </HeadingPairs>
  <TitlesOfParts>
    <vt:vector size="113" baseType="lpstr">
      <vt:lpstr>ImportantDisclosures</vt:lpstr>
      <vt:lpstr>IS</vt:lpstr>
      <vt:lpstr>BS</vt:lpstr>
      <vt:lpstr>CF</vt:lpstr>
      <vt:lpstr>Scenarios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Linking_2</vt:lpstr>
      <vt:lpstr>Linking_3</vt:lpstr>
      <vt:lpstr>Linking_4</vt:lpstr>
      <vt:lpstr>Linking_5</vt:lpstr>
      <vt:lpstr>Linking_6</vt:lpstr>
      <vt:lpstr>Linking_7</vt:lpstr>
      <vt:lpstr>Linking_8</vt:lpstr>
      <vt:lpstr>Linking_9</vt:lpstr>
      <vt:lpstr>Linking_Range_19</vt:lpstr>
      <vt:lpstr>Linking_Range_20</vt:lpstr>
      <vt:lpstr>Linking_Range_21</vt:lpstr>
      <vt:lpstr>Linking_Range_22</vt:lpstr>
      <vt:lpstr>Linking_Range_23</vt:lpstr>
      <vt:lpstr>Linking_Range_25</vt:lpstr>
      <vt:lpstr>Linking_Range_27</vt:lpstr>
      <vt:lpstr>Linking_Range_28</vt:lpstr>
      <vt:lpstr>Linking_Range_29</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Linking_Range_40</vt:lpstr>
      <vt:lpstr>Linking_Range_41</vt:lpstr>
      <vt:lpstr>Linking_Range_44</vt:lpstr>
      <vt:lpstr>Linking_Range_45</vt:lpstr>
      <vt:lpstr>Linking_Range_46</vt:lpstr>
      <vt:lpstr>Linking_Range_49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2013-01-28T22:46:25Z</dcterms:created>
  <dc:creator>kogay</dc:creator>
  <cp:lastModifiedBy>Robb, Thomas (Research)</cp:lastModifiedBy>
  <cp:lastPrinted>2018-02-08T01:15:52Z</cp:lastPrinted>
  <dcterms:modified xsi:type="dcterms:W3CDTF">2018-02-11T16:40:38Z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47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750067</vt:lpwstr>
  </property>
  <property fmtid="{D5CDD505-2E9C-101B-9397-08002B2CF9AE}" name="ERModPubCompanyName" pid="6">
    <vt:lpwstr>Cognizant Technology Solutions Corp</vt:lpwstr>
  </property>
  <property fmtid="{D5CDD505-2E9C-101B-9397-08002B2CF9AE}" name="MSDH34TAG" pid="7">
    <vt:lpwstr>.TEZUF76X5TAHATHESADREYAK-00-INB160+*94600-06=50baf3cc/-0f4a/-11e8/-b486/-4f602178b9fa,MD=20180211161313/-0500,ZZ=000Z-459a.</vt:lpwstr>
  </property>
</Properties>
</file>