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20" yWindow="75" windowWidth="28590" windowHeight="13095"/>
  </bookViews>
  <sheets>
    <sheet name="ImportantDisclosures" sheetId="27" r:id="rId1"/>
    <sheet name="Model" sheetId="2" r:id="rId2"/>
    <sheet name="IndexInformation" sheetId="28" r:id="rId3"/>
    <sheet name="ModPubIndex" sheetId="29" r:id="rId4"/>
    <sheet name="MW-Cache" sheetId="20" state="veryHidden" r:id="rId5"/>
  </sheets>
  <definedNames>
    <definedName name="__FDS_HYPERLINK_TOGGLE_STATE__" hidden="1">"ON"</definedName>
    <definedName name="_xlnm._FilterDatabase" localSheetId="1" hidden="1">Model!$N$1:$N$536</definedName>
    <definedName name="_Order1">255</definedName>
    <definedName name="AdditionalInstructions">IndexInformation!$B$42</definedName>
    <definedName name="Address" localSheetId="0">ImportantDisclosures!$A$2:$A$2</definedName>
    <definedName name="ANA" localSheetId="3">ModPubIndex!$A$7</definedName>
    <definedName name="Authors" localSheetId="0">ImportantDisclosures!$A$7</definedName>
    <definedName name="Authors" localSheetId="2">IndexInformation!$B$18</definedName>
    <definedName name="BRO" localSheetId="3">ModPubIndex!$A$1</definedName>
    <definedName name="CopyrightStamp">ImportantDisclosures!$A$27</definedName>
    <definedName name="COU" localSheetId="3">ModPubIndex!$A$5</definedName>
    <definedName name="CQEnd" localSheetId="2">IndexInformation!$B$31</definedName>
    <definedName name="Currency" localSheetId="2">IndexInformation!$B$24</definedName>
    <definedName name="CurrentStockPrice" localSheetId="2">IndexInformation!$B$23</definedName>
    <definedName name="CurrQtrEPS" localSheetId="2">IndexInformation!$B$29</definedName>
    <definedName name="CurrYearEPS" localSheetId="2">IndexInformation!$B$11</definedName>
    <definedName name="CurrYearTotalRevenue" localSheetId="2">IndexInformation!$B$10</definedName>
    <definedName name="CurrYearTotalRevenueActual" localSheetId="2">IndexInformation!$B$32</definedName>
    <definedName name="CUSIP" localSheetId="2">IndexInformation!$B$20</definedName>
    <definedName name="CYEnd" localSheetId="2">IndexInformation!$B$30</definedName>
    <definedName name="Date" localSheetId="0">ImportantDisclosures!$A$8</definedName>
    <definedName name="Deleted" localSheetId="2">IndexInformation!$B$27</definedName>
    <definedName name="Description" localSheetId="2">IndexInformation!$B$7</definedName>
    <definedName name="Discipline" localSheetId="2">IndexInformation!$B$3</definedName>
    <definedName name="DISCIPLINE" localSheetId="3">ModPubIndex!$A$12</definedName>
    <definedName name="DisclosuresText">ImportantDisclosures!$A$22</definedName>
    <definedName name="Distribution" localSheetId="2">IndexInformation!$B$26</definedName>
    <definedName name="DistTable" localSheetId="0">ImportantDisclosures!#REF!</definedName>
    <definedName name="DistTablePreamble" localSheetId="0">ImportantDisclosures!#REF!</definedName>
    <definedName name="DOCDAT" localSheetId="3">ModPubIndex!$A$2</definedName>
    <definedName name="DOCTIME" localSheetId="3">ModPubIndex!$A$3</definedName>
    <definedName name="DocType" localSheetId="2">IndexInformation!$B$5</definedName>
    <definedName name="EMAIL_ALERT" localSheetId="3">ModPubIndex!$A$10</definedName>
    <definedName name="EmailAlert" localSheetId="2">IndexInformation!$B$28</definedName>
    <definedName name="ev.Calculation">-4105</definedName>
    <definedName name="ev.Initialized">FALSE</definedName>
    <definedName name="FiveYearGrowthRate" localSheetId="2">IndexInformation!$B$16</definedName>
    <definedName name="FollowingYearEPS" localSheetId="2">IndexInformation!$B$15</definedName>
    <definedName name="FollowingYearTotalRevenue" localSheetId="2">IndexInformation!$B$14</definedName>
    <definedName name="FollowingYearTotalRevenueActual" localSheetId="2">IndexInformation!$B$34</definedName>
    <definedName name="HL" localSheetId="3">ModPubIndex!$A$8</definedName>
    <definedName name="hn.ExtDb">FALSE</definedName>
    <definedName name="hn.ModelType">"DEAL"</definedName>
    <definedName name="hn.ModelVersion">1</definedName>
    <definedName name="hn.NoUpload">0</definedName>
    <definedName name="IND" localSheetId="3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sColHidden">FALSE</definedName>
    <definedName name="IsLTMColHidden">FALSE</definedName>
    <definedName name="KeepVersions" localSheetId="2">IndexInformation!$B$8</definedName>
    <definedName name="LanguageCode">IndexInformation!$B$38</definedName>
    <definedName name="LastCell" localSheetId="0">ImportantDisclosures!$A$22</definedName>
    <definedName name="Linking_1">Model!$B$192:$H$238</definedName>
    <definedName name="Linking_12">Model!$B$9:$K$72</definedName>
    <definedName name="Linking_13">Model!$B$167:$K$189</definedName>
    <definedName name="Linking_14">Model!$B$192:$K$238</definedName>
    <definedName name="Linking_2">Model!$B$9:$J$60</definedName>
    <definedName name="Linking_3">Model!$B$167:$J$189</definedName>
    <definedName name="Linking_4">Model!$B$192:$J$238</definedName>
    <definedName name="Linking_5">Model!$B$9:$J$72</definedName>
    <definedName name="Linking_7">Model!$B$167:$J$189</definedName>
    <definedName name="Linking_8">Model!$B$192:$J$238</definedName>
    <definedName name="Linking_Range_10">Model!$B$191:$F$276</definedName>
    <definedName name="Linking_Range_18">Model!$B$166:$F$189</definedName>
    <definedName name="Linking_Range_2">Model!$C$7:$F$190</definedName>
    <definedName name="Linking_Range_28">Model!$B$8:$G$50</definedName>
    <definedName name="Linking_Range_29">Model!$B$166:$G$189</definedName>
    <definedName name="Linking_Range_3">Model!$C$7:$F$50</definedName>
    <definedName name="Linking_Range_30">Model!$B$191:$G$276</definedName>
    <definedName name="Linking_Range_32">Model!$B$9:$G$50</definedName>
    <definedName name="Linking_Range_33">Model!$B$167:$G$189</definedName>
    <definedName name="Linking_Range_34">Model!$B$192:$G$220</definedName>
    <definedName name="Linking_Range_35">Model!$B$192:$G$343</definedName>
    <definedName name="Linking_Range_36">Model!$B$9:$H$60</definedName>
    <definedName name="Linking_Range_37">Model!$B$167:$H$189</definedName>
    <definedName name="Linking_Range_38">Model!$B$192:$H$276</definedName>
    <definedName name="Linking_Range_8">Model!$B$8:$F$157</definedName>
    <definedName name="Linking_Range_9">Model!$B$166:$F$190</definedName>
    <definedName name="MacroVersion" localSheetId="2">IndexInformation!$B$1</definedName>
    <definedName name="model">Model!$B$7:$BF$486</definedName>
    <definedName name="ModelPrice" localSheetId="0">ImportantDisclosures!$A$14</definedName>
    <definedName name="Multiplier" localSheetId="2">IndexInformation!$B$35</definedName>
    <definedName name="NextYearEPS" localSheetId="2">IndexInformation!$B$13</definedName>
    <definedName name="NextYearTotalRevenue" localSheetId="2">IndexInformation!$B$12</definedName>
    <definedName name="NextYearTotalRevenueActual" localSheetId="2">IndexInformation!$B$33</definedName>
    <definedName name="NM">"NM"</definedName>
    <definedName name="ObjectType">IndexInformation!$B$37</definedName>
    <definedName name="PANA" localSheetId="3">ModPubIndex!$A$11</definedName>
    <definedName name="PathName" localSheetId="2">IndexInformation!$B$25</definedName>
    <definedName name="_xlnm.Print_Area" localSheetId="1">Model!$B$8:$J$60,Model!$Z$8:$AK$60,Model!$B$166:$J$189,Model!$Z$166:$AK$189,Model!$B$191:$J$238,Model!$Z$191:$AK$238</definedName>
    <definedName name="_xlnm.Print_Titles" localSheetId="1">Model!$B:$B</definedName>
    <definedName name="PRODUCT" localSheetId="3">ModPubIndex!$A$6</definedName>
    <definedName name="ProjectName">{"Cereva Networks, Inc"}</definedName>
    <definedName name="PSYM" localSheetId="3">ModPubIndex!$A$4</definedName>
    <definedName name="PublishDate" localSheetId="2">IndexInformation!$B$2</definedName>
    <definedName name="Rating" localSheetId="2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2">IndexInformation!$B$4</definedName>
    <definedName name="RIC" localSheetId="2">IndexInformation!$B$21</definedName>
    <definedName name="SECSettlement" localSheetId="0">ImportantDisclosures!#REF!</definedName>
    <definedName name="SEDOL" localSheetId="2">IndexInformation!$B$22</definedName>
    <definedName name="SourceDefined" localSheetId="0">ImportantDisclosures!$A$19</definedName>
    <definedName name="StockRating" localSheetId="0">ImportantDisclosures!$A$11</definedName>
    <definedName name="SubjectCode" localSheetId="2">IndexInformation!$B$6</definedName>
    <definedName name="SubmitterUserId">IndexInformation!$B$39</definedName>
    <definedName name="SUPPRESSED" localSheetId="3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2">IndexInformation!$B$19</definedName>
    <definedName name="UpdateReason" localSheetId="2">IndexInformation!$B$17</definedName>
    <definedName name="USRegDisclosures" localSheetId="0">ImportantDisclosures!#REF!</definedName>
  </definedNames>
  <calcPr calcId="145621" calcMode="manual"/>
</workbook>
</file>

<file path=xl/calcChain.xml><?xml version="1.0" encoding="utf-8"?>
<calcChain xmlns="http://schemas.openxmlformats.org/spreadsheetml/2006/main">
  <c r="BF9" i="2" l="1"/>
  <c r="BF10" i="2" s="1"/>
  <c r="BF11" i="2" s="1"/>
  <c r="P462" i="2"/>
  <c r="Q462" i="2" s="1"/>
  <c r="R462" i="2" s="1"/>
  <c r="S462" i="2" s="1"/>
  <c r="T462" i="2" s="1"/>
  <c r="U462" i="2" s="1"/>
  <c r="V462" i="2" s="1"/>
  <c r="W462" i="2" s="1"/>
  <c r="X462" i="2" s="1"/>
  <c r="Y462" i="2" s="1"/>
  <c r="Z462" i="2" s="1"/>
  <c r="AA462" i="2" s="1"/>
  <c r="AB462" i="2" s="1"/>
  <c r="AC462" i="2" s="1"/>
  <c r="AD462" i="2" s="1"/>
  <c r="AE462" i="2" s="1"/>
  <c r="AF462" i="2" s="1"/>
  <c r="AG462" i="2" s="1"/>
  <c r="AH462" i="2" s="1"/>
  <c r="AI462" i="2" s="1"/>
  <c r="AJ462" i="2" s="1"/>
  <c r="AK462" i="2" s="1"/>
  <c r="AK461" i="2"/>
  <c r="AJ461" i="2"/>
  <c r="AI461" i="2"/>
  <c r="AH461" i="2"/>
  <c r="AF461" i="2"/>
  <c r="AD461" i="2"/>
  <c r="Z461" i="2"/>
  <c r="V461" i="2"/>
  <c r="U461" i="2"/>
  <c r="T461" i="2"/>
  <c r="S461" i="2"/>
  <c r="R461" i="2"/>
  <c r="Q461" i="2"/>
  <c r="P461" i="2"/>
  <c r="O461" i="2"/>
  <c r="N461" i="2"/>
  <c r="T455" i="2"/>
  <c r="S455" i="2"/>
  <c r="R455" i="2"/>
  <c r="T452" i="2"/>
  <c r="S452" i="2"/>
  <c r="R452" i="2"/>
  <c r="T450" i="2"/>
  <c r="S450" i="2"/>
  <c r="R450" i="2"/>
  <c r="T449" i="2"/>
  <c r="S449" i="2"/>
  <c r="AK445" i="2"/>
  <c r="AK441" i="2"/>
  <c r="AK439" i="2"/>
  <c r="AK450" i="2" s="1"/>
  <c r="AK438" i="2"/>
  <c r="AK455" i="2" s="1"/>
  <c r="AG445" i="2"/>
  <c r="AG441" i="2"/>
  <c r="AG439" i="2"/>
  <c r="AG438" i="2"/>
  <c r="AG455" i="2" s="1"/>
  <c r="AC445" i="2"/>
  <c r="AC443" i="2"/>
  <c r="AC441" i="2"/>
  <c r="AC439" i="2"/>
  <c r="Y445" i="2"/>
  <c r="Y443" i="2"/>
  <c r="Y441" i="2"/>
  <c r="Y439" i="2"/>
  <c r="Y438" i="2"/>
  <c r="U445" i="2"/>
  <c r="U443" i="2"/>
  <c r="U441" i="2"/>
  <c r="U439" i="2"/>
  <c r="U438" i="2"/>
  <c r="U449" i="2" s="1"/>
  <c r="Q445" i="2"/>
  <c r="Q443" i="2"/>
  <c r="Q441" i="2"/>
  <c r="Q439" i="2"/>
  <c r="Q438" i="2"/>
  <c r="R449" i="2" s="1"/>
  <c r="AJ441" i="2"/>
  <c r="AI441" i="2"/>
  <c r="AH441" i="2"/>
  <c r="T440" i="2"/>
  <c r="T442" i="2" s="1"/>
  <c r="S440" i="2"/>
  <c r="S451" i="2" s="1"/>
  <c r="R440" i="2"/>
  <c r="R451" i="2" s="1"/>
  <c r="AJ438" i="2"/>
  <c r="AI438" i="2"/>
  <c r="AH438" i="2"/>
  <c r="AF438" i="2"/>
  <c r="AE438" i="2"/>
  <c r="AD438" i="2"/>
  <c r="AB438" i="2"/>
  <c r="AA438" i="2"/>
  <c r="Z438" i="2"/>
  <c r="Z440" i="2" s="1"/>
  <c r="Z442" i="2" s="1"/>
  <c r="X438" i="2"/>
  <c r="W438" i="2"/>
  <c r="V438" i="2"/>
  <c r="P438" i="2"/>
  <c r="O438" i="2"/>
  <c r="O440" i="2" s="1"/>
  <c r="N438" i="2"/>
  <c r="F438" i="2"/>
  <c r="AG419" i="2"/>
  <c r="AG417" i="2"/>
  <c r="AG416" i="2"/>
  <c r="AE423" i="2"/>
  <c r="AG423" i="2" s="1"/>
  <c r="AB423" i="2"/>
  <c r="AC423" i="2" s="1"/>
  <c r="AA423" i="2"/>
  <c r="Q423" i="2"/>
  <c r="Q421" i="2"/>
  <c r="Q419" i="2"/>
  <c r="Q417" i="2"/>
  <c r="Q416" i="2"/>
  <c r="AC421" i="2"/>
  <c r="AC419" i="2"/>
  <c r="AC417" i="2"/>
  <c r="AC428" i="2" s="1"/>
  <c r="AC416" i="2"/>
  <c r="AC433" i="2" s="1"/>
  <c r="Y421" i="2"/>
  <c r="Y419" i="2"/>
  <c r="Y417" i="2"/>
  <c r="Y428" i="2" s="1"/>
  <c r="Y416" i="2"/>
  <c r="U421" i="2"/>
  <c r="U419" i="2"/>
  <c r="U430" i="2" s="1"/>
  <c r="U417" i="2"/>
  <c r="U428" i="2" s="1"/>
  <c r="U416" i="2"/>
  <c r="AK419" i="2"/>
  <c r="AJ419" i="2"/>
  <c r="AI419" i="2"/>
  <c r="AH419" i="2"/>
  <c r="AK417" i="2"/>
  <c r="AK416" i="2"/>
  <c r="AJ416" i="2"/>
  <c r="AJ418" i="2" s="1"/>
  <c r="AJ429" i="2" s="1"/>
  <c r="AI416" i="2"/>
  <c r="AH416" i="2"/>
  <c r="AB416" i="2"/>
  <c r="AB430" i="2" s="1"/>
  <c r="AA416" i="2"/>
  <c r="Z416" i="2"/>
  <c r="X416" i="2"/>
  <c r="X433" i="2" s="1"/>
  <c r="W416" i="2"/>
  <c r="W418" i="2" s="1"/>
  <c r="V416" i="2"/>
  <c r="T416" i="2"/>
  <c r="T430" i="2" s="1"/>
  <c r="S416" i="2"/>
  <c r="S418" i="2" s="1"/>
  <c r="S429" i="2" s="1"/>
  <c r="R416" i="2"/>
  <c r="P416" i="2"/>
  <c r="O416" i="2"/>
  <c r="N416" i="2"/>
  <c r="N428" i="2" s="1"/>
  <c r="AM408" i="2"/>
  <c r="AL408" i="2"/>
  <c r="AK408" i="2"/>
  <c r="AK412" i="2" s="1"/>
  <c r="AJ408" i="2"/>
  <c r="AJ412" i="2" s="1"/>
  <c r="AI408" i="2"/>
  <c r="AH408" i="2"/>
  <c r="AG408" i="2"/>
  <c r="AW407" i="2"/>
  <c r="AV407" i="2"/>
  <c r="AU407" i="2"/>
  <c r="AT407" i="2"/>
  <c r="AS407" i="2"/>
  <c r="AR407" i="2"/>
  <c r="AQ407" i="2"/>
  <c r="AP407" i="2"/>
  <c r="AO407" i="2"/>
  <c r="AN407" i="2"/>
  <c r="AM407" i="2"/>
  <c r="AL407" i="2"/>
  <c r="AK407" i="2"/>
  <c r="AJ407" i="2"/>
  <c r="AI407" i="2"/>
  <c r="AH407" i="2"/>
  <c r="AG407" i="2"/>
  <c r="AF407" i="2"/>
  <c r="AE407" i="2"/>
  <c r="Z407" i="2"/>
  <c r="Y407" i="2"/>
  <c r="X407" i="2"/>
  <c r="W407" i="2"/>
  <c r="V407" i="2"/>
  <c r="U407" i="2"/>
  <c r="T407" i="2"/>
  <c r="S407" i="2"/>
  <c r="R407" i="2"/>
  <c r="Q407" i="2"/>
  <c r="P407" i="2"/>
  <c r="O407" i="2"/>
  <c r="N407" i="2"/>
  <c r="AJ404" i="2"/>
  <c r="AI404" i="2"/>
  <c r="AH404" i="2"/>
  <c r="AG404" i="2"/>
  <c r="AM398" i="2"/>
  <c r="AL398" i="2"/>
  <c r="AK398" i="2"/>
  <c r="AJ398" i="2"/>
  <c r="AI398" i="2"/>
  <c r="AH398" i="2"/>
  <c r="AG398" i="2"/>
  <c r="AW397" i="2"/>
  <c r="AV397" i="2"/>
  <c r="AU397" i="2"/>
  <c r="AU398" i="2" s="1"/>
  <c r="AT397" i="2"/>
  <c r="AT408" i="2" s="1"/>
  <c r="AS397" i="2"/>
  <c r="AR397" i="2"/>
  <c r="AR408" i="2" s="1"/>
  <c r="AQ397" i="2"/>
  <c r="AP397" i="2"/>
  <c r="AP408" i="2" s="1"/>
  <c r="AO397" i="2"/>
  <c r="AO408" i="2" s="1"/>
  <c r="AN397" i="2"/>
  <c r="AN408" i="2" s="1"/>
  <c r="AF397" i="2"/>
  <c r="AF408" i="2" s="1"/>
  <c r="AE397" i="2"/>
  <c r="AE398" i="2" s="1"/>
  <c r="Z397" i="2"/>
  <c r="Z408" i="2" s="1"/>
  <c r="Y397" i="2"/>
  <c r="X397" i="2"/>
  <c r="W397" i="2"/>
  <c r="W398" i="2" s="1"/>
  <c r="V397" i="2"/>
  <c r="V408" i="2" s="1"/>
  <c r="U397" i="2"/>
  <c r="T397" i="2"/>
  <c r="T408" i="2" s="1"/>
  <c r="S397" i="2"/>
  <c r="S404" i="2" s="1"/>
  <c r="R397" i="2"/>
  <c r="R404" i="2" s="1"/>
  <c r="Q397" i="2"/>
  <c r="P397" i="2"/>
  <c r="O397" i="2"/>
  <c r="O408" i="2" s="1"/>
  <c r="N397" i="2"/>
  <c r="N404" i="2" s="1"/>
  <c r="AA396" i="2"/>
  <c r="AB396" i="2" s="1"/>
  <c r="AB407" i="2" s="1"/>
  <c r="AP391" i="2"/>
  <c r="AO391" i="2"/>
  <c r="AN391" i="2"/>
  <c r="AM391" i="2"/>
  <c r="AL391" i="2"/>
  <c r="AK389" i="2"/>
  <c r="AG376" i="2"/>
  <c r="AG372" i="2"/>
  <c r="AG370" i="2"/>
  <c r="AG369" i="2"/>
  <c r="AG409" i="2" s="1"/>
  <c r="AC376" i="2"/>
  <c r="AC374" i="2"/>
  <c r="AC19" i="2" s="1"/>
  <c r="AC372" i="2"/>
  <c r="AC370" i="2"/>
  <c r="AC381" i="2" s="1"/>
  <c r="AC369" i="2"/>
  <c r="AC386" i="2" s="1"/>
  <c r="Q376" i="2"/>
  <c r="Q374" i="2"/>
  <c r="Q372" i="2"/>
  <c r="Q370" i="2"/>
  <c r="Q369" i="2"/>
  <c r="Y374" i="2"/>
  <c r="Y372" i="2"/>
  <c r="Y370" i="2"/>
  <c r="Y369" i="2"/>
  <c r="U374" i="2"/>
  <c r="U372" i="2"/>
  <c r="U370" i="2"/>
  <c r="U369" i="2"/>
  <c r="AK372" i="2"/>
  <c r="AJ372" i="2"/>
  <c r="AI372" i="2"/>
  <c r="AH372" i="2"/>
  <c r="AK370" i="2"/>
  <c r="AK369" i="2"/>
  <c r="AJ369" i="2"/>
  <c r="AI369" i="2"/>
  <c r="AI409" i="2" s="1"/>
  <c r="AH369" i="2"/>
  <c r="AF369" i="2"/>
  <c r="AF386" i="2" s="1"/>
  <c r="AE369" i="2"/>
  <c r="AE371" i="2" s="1"/>
  <c r="AD369" i="2"/>
  <c r="AD383" i="2" s="1"/>
  <c r="AB369" i="2"/>
  <c r="AA369" i="2"/>
  <c r="AA383" i="2" s="1"/>
  <c r="Z369" i="2"/>
  <c r="X369" i="2"/>
  <c r="X386" i="2" s="1"/>
  <c r="W369" i="2"/>
  <c r="W371" i="2" s="1"/>
  <c r="V369" i="2"/>
  <c r="V383" i="2" s="1"/>
  <c r="T369" i="2"/>
  <c r="T371" i="2" s="1"/>
  <c r="S369" i="2"/>
  <c r="S381" i="2" s="1"/>
  <c r="R369" i="2"/>
  <c r="R381" i="2" s="1"/>
  <c r="P369" i="2"/>
  <c r="P383" i="2" s="1"/>
  <c r="O369" i="2"/>
  <c r="N369" i="2"/>
  <c r="AG354" i="2"/>
  <c r="AG350" i="2"/>
  <c r="AG348" i="2"/>
  <c r="AG347" i="2"/>
  <c r="AB354" i="2"/>
  <c r="AC354" i="2" s="1"/>
  <c r="Q354" i="2"/>
  <c r="Q352" i="2"/>
  <c r="Q350" i="2"/>
  <c r="Q348" i="2"/>
  <c r="Q347" i="2"/>
  <c r="Q364" i="2" s="1"/>
  <c r="AC352" i="2"/>
  <c r="AC350" i="2"/>
  <c r="AC348" i="2"/>
  <c r="AC347" i="2"/>
  <c r="Y352" i="2"/>
  <c r="Y350" i="2"/>
  <c r="Y348" i="2"/>
  <c r="Y347" i="2"/>
  <c r="Y364" i="2" s="1"/>
  <c r="U352" i="2"/>
  <c r="U350" i="2"/>
  <c r="U348" i="2"/>
  <c r="U347" i="2"/>
  <c r="AK350" i="2"/>
  <c r="AJ350" i="2"/>
  <c r="AI350" i="2"/>
  <c r="AH350" i="2"/>
  <c r="AK348" i="2"/>
  <c r="AK347" i="2"/>
  <c r="AK364" i="2" s="1"/>
  <c r="AJ347" i="2"/>
  <c r="AJ364" i="2" s="1"/>
  <c r="AI347" i="2"/>
  <c r="AH347" i="2"/>
  <c r="AF347" i="2"/>
  <c r="AF364" i="2" s="1"/>
  <c r="AE347" i="2"/>
  <c r="AE349" i="2" s="1"/>
  <c r="AD347" i="2"/>
  <c r="AB347" i="2"/>
  <c r="AB361" i="2" s="1"/>
  <c r="AA347" i="2"/>
  <c r="Z347" i="2"/>
  <c r="Z364" i="2" s="1"/>
  <c r="X347" i="2"/>
  <c r="W347" i="2"/>
  <c r="V347" i="2"/>
  <c r="V358" i="2" s="1"/>
  <c r="T347" i="2"/>
  <c r="T364" i="2" s="1"/>
  <c r="S347" i="2"/>
  <c r="R347" i="2"/>
  <c r="P347" i="2"/>
  <c r="O347" i="2"/>
  <c r="O361" i="2" s="1"/>
  <c r="N347" i="2"/>
  <c r="AI342" i="2"/>
  <c r="AH342" i="2"/>
  <c r="Z342" i="2"/>
  <c r="Y342" i="2"/>
  <c r="X342" i="2"/>
  <c r="W342" i="2"/>
  <c r="V342" i="2"/>
  <c r="T342" i="2"/>
  <c r="S342" i="2"/>
  <c r="R342" i="2"/>
  <c r="Q342" i="2"/>
  <c r="P342" i="2"/>
  <c r="AK340" i="2"/>
  <c r="AI340" i="2"/>
  <c r="AH340" i="2"/>
  <c r="AG340" i="2"/>
  <c r="AF340" i="2"/>
  <c r="AE340" i="2"/>
  <c r="AD340" i="2"/>
  <c r="AC340" i="2"/>
  <c r="AB340" i="2"/>
  <c r="AA340" i="2"/>
  <c r="Z340" i="2"/>
  <c r="Y340" i="2"/>
  <c r="X340" i="2"/>
  <c r="W340" i="2"/>
  <c r="V340" i="2"/>
  <c r="U340" i="2"/>
  <c r="T340" i="2"/>
  <c r="S340" i="2"/>
  <c r="R340" i="2"/>
  <c r="Q340" i="2"/>
  <c r="P340" i="2"/>
  <c r="O340" i="2"/>
  <c r="N340" i="2"/>
  <c r="AH339" i="2"/>
  <c r="AD339" i="2"/>
  <c r="Z339" i="2"/>
  <c r="V339" i="2"/>
  <c r="R339" i="2"/>
  <c r="N339" i="2"/>
  <c r="AK327" i="2"/>
  <c r="AJ327" i="2"/>
  <c r="AI327" i="2"/>
  <c r="AH327" i="2"/>
  <c r="AG327" i="2"/>
  <c r="AF327" i="2"/>
  <c r="AE327" i="2"/>
  <c r="AD327" i="2"/>
  <c r="AC327" i="2"/>
  <c r="AB327" i="2"/>
  <c r="AA327" i="2"/>
  <c r="Z327" i="2"/>
  <c r="Y327" i="2"/>
  <c r="X327" i="2"/>
  <c r="W327" i="2"/>
  <c r="V327" i="2"/>
  <c r="U327" i="2"/>
  <c r="T327" i="2"/>
  <c r="S327" i="2"/>
  <c r="R327" i="2"/>
  <c r="Q327" i="2"/>
  <c r="P327" i="2"/>
  <c r="O327" i="2"/>
  <c r="AK325" i="2"/>
  <c r="AJ325" i="2"/>
  <c r="AI325" i="2"/>
  <c r="AH325" i="2"/>
  <c r="AG325" i="2"/>
  <c r="AF325" i="2"/>
  <c r="AE325" i="2"/>
  <c r="AD325" i="2"/>
  <c r="AC325" i="2"/>
  <c r="AB325" i="2"/>
  <c r="AA325" i="2"/>
  <c r="Z325" i="2"/>
  <c r="Y325" i="2"/>
  <c r="X325" i="2"/>
  <c r="W325" i="2"/>
  <c r="V325" i="2"/>
  <c r="U325" i="2"/>
  <c r="T325" i="2"/>
  <c r="S325" i="2"/>
  <c r="R325" i="2"/>
  <c r="Q325" i="2"/>
  <c r="P325" i="2"/>
  <c r="O325" i="2"/>
  <c r="AK324" i="2"/>
  <c r="AJ324" i="2"/>
  <c r="AI324" i="2"/>
  <c r="AH324" i="2"/>
  <c r="AG324" i="2"/>
  <c r="AB324" i="2"/>
  <c r="AA324" i="2"/>
  <c r="Z324" i="2"/>
  <c r="Y324" i="2"/>
  <c r="X324" i="2"/>
  <c r="W324" i="2"/>
  <c r="V324" i="2"/>
  <c r="U324" i="2"/>
  <c r="T324" i="2"/>
  <c r="S324" i="2"/>
  <c r="R324" i="2"/>
  <c r="Q324" i="2"/>
  <c r="P324" i="2"/>
  <c r="O324" i="2"/>
  <c r="AK323" i="2"/>
  <c r="AJ323" i="2"/>
  <c r="AI323" i="2"/>
  <c r="AH323" i="2"/>
  <c r="AG323" i="2"/>
  <c r="AF323" i="2"/>
  <c r="AE323" i="2"/>
  <c r="AD323" i="2"/>
  <c r="AC323" i="2"/>
  <c r="AB323" i="2"/>
  <c r="AA323" i="2"/>
  <c r="Z323" i="2"/>
  <c r="Y323" i="2"/>
  <c r="X323" i="2"/>
  <c r="W323" i="2"/>
  <c r="V323" i="2"/>
  <c r="U323" i="2"/>
  <c r="T323" i="2"/>
  <c r="S323" i="2"/>
  <c r="R323" i="2"/>
  <c r="Q323" i="2"/>
  <c r="P323" i="2"/>
  <c r="O323" i="2"/>
  <c r="AK322" i="2"/>
  <c r="AJ322" i="2"/>
  <c r="AI322" i="2"/>
  <c r="AH322" i="2"/>
  <c r="AG322" i="2"/>
  <c r="AF322" i="2"/>
  <c r="AE322" i="2"/>
  <c r="AD322" i="2"/>
  <c r="AC322" i="2"/>
  <c r="AB322" i="2"/>
  <c r="AA322" i="2"/>
  <c r="Z322" i="2"/>
  <c r="Y322" i="2"/>
  <c r="X322" i="2"/>
  <c r="W322" i="2"/>
  <c r="V322" i="2"/>
  <c r="U322" i="2"/>
  <c r="T322" i="2"/>
  <c r="S322" i="2"/>
  <c r="R322" i="2"/>
  <c r="Q322" i="2"/>
  <c r="P322" i="2"/>
  <c r="O322" i="2"/>
  <c r="AH317" i="2"/>
  <c r="AH318" i="2" s="1"/>
  <c r="AH319" i="2" s="1"/>
  <c r="AF317" i="2"/>
  <c r="AF318" i="2" s="1"/>
  <c r="AF319" i="2" s="1"/>
  <c r="AE317" i="2"/>
  <c r="AE318" i="2" s="1"/>
  <c r="AE319" i="2" s="1"/>
  <c r="AD317" i="2"/>
  <c r="AD318" i="2" s="1"/>
  <c r="AD319" i="2" s="1"/>
  <c r="AC317" i="2"/>
  <c r="AC318" i="2" s="1"/>
  <c r="AC319" i="2" s="1"/>
  <c r="AB317" i="2"/>
  <c r="AB318" i="2" s="1"/>
  <c r="AB319" i="2" s="1"/>
  <c r="AA317" i="2"/>
  <c r="AA318" i="2" s="1"/>
  <c r="AA319" i="2" s="1"/>
  <c r="Z317" i="2"/>
  <c r="Z318" i="2" s="1"/>
  <c r="Z319" i="2" s="1"/>
  <c r="Y317" i="2"/>
  <c r="Y318" i="2" s="1"/>
  <c r="Y319" i="2" s="1"/>
  <c r="X317" i="2"/>
  <c r="X318" i="2" s="1"/>
  <c r="X319" i="2" s="1"/>
  <c r="W317" i="2"/>
  <c r="W318" i="2" s="1"/>
  <c r="W319" i="2" s="1"/>
  <c r="V317" i="2"/>
  <c r="V318" i="2" s="1"/>
  <c r="V319" i="2" s="1"/>
  <c r="U317" i="2"/>
  <c r="U318" i="2" s="1"/>
  <c r="U319" i="2" s="1"/>
  <c r="T317" i="2"/>
  <c r="T318" i="2" s="1"/>
  <c r="T319" i="2" s="1"/>
  <c r="S317" i="2"/>
  <c r="S318" i="2" s="1"/>
  <c r="S319" i="2" s="1"/>
  <c r="R317" i="2"/>
  <c r="R318" i="2" s="1"/>
  <c r="R319" i="2" s="1"/>
  <c r="Q317" i="2"/>
  <c r="Q318" i="2" s="1"/>
  <c r="Q319" i="2" s="1"/>
  <c r="P317" i="2"/>
  <c r="P318" i="2" s="1"/>
  <c r="P319" i="2" s="1"/>
  <c r="O317" i="2"/>
  <c r="O318" i="2" s="1"/>
  <c r="O319" i="2" s="1"/>
  <c r="N317" i="2"/>
  <c r="N318" i="2" s="1"/>
  <c r="N319" i="2" s="1"/>
  <c r="AL316" i="2"/>
  <c r="AM316" i="2" s="1"/>
  <c r="AN316" i="2" s="1"/>
  <c r="AO316" i="2" s="1"/>
  <c r="AP316" i="2" s="1"/>
  <c r="AQ316" i="2" s="1"/>
  <c r="AR316" i="2" s="1"/>
  <c r="AS316" i="2" s="1"/>
  <c r="AT316" i="2" s="1"/>
  <c r="AU316" i="2" s="1"/>
  <c r="AV316" i="2" s="1"/>
  <c r="AW316" i="2" s="1"/>
  <c r="AI315" i="2"/>
  <c r="AI317" i="2" s="1"/>
  <c r="AI318" i="2" s="1"/>
  <c r="AI319" i="2" s="1"/>
  <c r="AG315" i="2"/>
  <c r="AG317" i="2" s="1"/>
  <c r="AG318" i="2" s="1"/>
  <c r="AG319" i="2" s="1"/>
  <c r="AK313" i="2"/>
  <c r="AJ313" i="2"/>
  <c r="AI313" i="2"/>
  <c r="AH313" i="2"/>
  <c r="AG313" i="2"/>
  <c r="AF313" i="2"/>
  <c r="AE313" i="2"/>
  <c r="AD313" i="2"/>
  <c r="AC313" i="2"/>
  <c r="AB313" i="2"/>
  <c r="AA313" i="2"/>
  <c r="Z313" i="2"/>
  <c r="Y313" i="2"/>
  <c r="X313" i="2"/>
  <c r="W313" i="2"/>
  <c r="V313" i="2"/>
  <c r="U313" i="2"/>
  <c r="S313" i="2"/>
  <c r="R313" i="2"/>
  <c r="Q313" i="2"/>
  <c r="O313" i="2"/>
  <c r="N313" i="2"/>
  <c r="AW312" i="2"/>
  <c r="AK312" i="2"/>
  <c r="AJ312" i="2"/>
  <c r="AI312" i="2"/>
  <c r="AH312" i="2"/>
  <c r="AG312" i="2"/>
  <c r="AF312" i="2"/>
  <c r="AE312" i="2"/>
  <c r="AD312" i="2"/>
  <c r="AC312" i="2"/>
  <c r="AB312" i="2"/>
  <c r="AA312" i="2"/>
  <c r="Z312" i="2"/>
  <c r="Y312" i="2"/>
  <c r="X312" i="2"/>
  <c r="W312" i="2"/>
  <c r="V312" i="2"/>
  <c r="U312" i="2"/>
  <c r="T312" i="2"/>
  <c r="S312" i="2"/>
  <c r="R312" i="2"/>
  <c r="Q312" i="2"/>
  <c r="P312" i="2"/>
  <c r="O312" i="2"/>
  <c r="N312" i="2"/>
  <c r="AK308" i="2"/>
  <c r="AK310" i="2" s="1"/>
  <c r="AJ308" i="2"/>
  <c r="AJ310" i="2" s="1"/>
  <c r="AI308" i="2"/>
  <c r="AH308" i="2"/>
  <c r="AH310" i="2" s="1"/>
  <c r="AG308" i="2"/>
  <c r="AG310" i="2" s="1"/>
  <c r="AF308" i="2"/>
  <c r="AF310" i="2" s="1"/>
  <c r="AC308" i="2"/>
  <c r="AC310" i="2" s="1"/>
  <c r="AB308" i="2"/>
  <c r="AB310" i="2" s="1"/>
  <c r="AA308" i="2"/>
  <c r="AA299" i="2" s="1"/>
  <c r="Z308" i="2"/>
  <c r="Z310" i="2" s="1"/>
  <c r="Y308" i="2"/>
  <c r="Y310" i="2" s="1"/>
  <c r="X308" i="2"/>
  <c r="W308" i="2"/>
  <c r="W299" i="2" s="1"/>
  <c r="V308" i="2"/>
  <c r="U308" i="2"/>
  <c r="U310" i="2" s="1"/>
  <c r="T308" i="2"/>
  <c r="S308" i="2"/>
  <c r="S299" i="2" s="1"/>
  <c r="R308" i="2"/>
  <c r="Q308" i="2"/>
  <c r="Q310" i="2" s="1"/>
  <c r="P308" i="2"/>
  <c r="O308" i="2"/>
  <c r="O299" i="2" s="1"/>
  <c r="N308" i="2"/>
  <c r="AE306" i="2"/>
  <c r="AF324" i="2" s="1"/>
  <c r="AD306" i="2"/>
  <c r="AC306" i="2"/>
  <c r="AC324" i="2" s="1"/>
  <c r="AL307" i="2"/>
  <c r="AL325" i="2" s="1"/>
  <c r="AL306" i="2"/>
  <c r="AL305" i="2"/>
  <c r="AL323" i="2" s="1"/>
  <c r="AL304" i="2"/>
  <c r="AL322" i="2" s="1"/>
  <c r="AK299" i="2"/>
  <c r="AI299" i="2"/>
  <c r="AH299" i="2"/>
  <c r="AG299" i="2"/>
  <c r="AC299" i="2"/>
  <c r="Y299" i="2"/>
  <c r="U299" i="2"/>
  <c r="Q299" i="2"/>
  <c r="Z297" i="2"/>
  <c r="AK293" i="2"/>
  <c r="AJ293" i="2"/>
  <c r="AI293" i="2"/>
  <c r="AH293" i="2"/>
  <c r="AG293" i="2"/>
  <c r="AF293" i="2"/>
  <c r="AE293" i="2"/>
  <c r="AD293" i="2"/>
  <c r="AC293" i="2"/>
  <c r="AB293" i="2"/>
  <c r="AA293" i="2"/>
  <c r="Z293" i="2"/>
  <c r="Y293" i="2"/>
  <c r="X293" i="2"/>
  <c r="W293" i="2"/>
  <c r="V293" i="2"/>
  <c r="U293" i="2"/>
  <c r="T293" i="2"/>
  <c r="S293" i="2"/>
  <c r="R293" i="2"/>
  <c r="Q293" i="2"/>
  <c r="P293" i="2"/>
  <c r="O293" i="2"/>
  <c r="N293" i="2"/>
  <c r="Z280" i="2"/>
  <c r="Z275" i="2"/>
  <c r="P270" i="2"/>
  <c r="S269" i="2"/>
  <c r="S268" i="2"/>
  <c r="S267" i="2"/>
  <c r="Q269" i="2"/>
  <c r="Q267" i="2"/>
  <c r="Q268" i="2" s="1"/>
  <c r="Q270" i="2" s="1"/>
  <c r="AK268" i="2"/>
  <c r="AK270" i="2" s="1"/>
  <c r="AJ268" i="2"/>
  <c r="AJ270" i="2" s="1"/>
  <c r="AI268" i="2"/>
  <c r="AI270" i="2" s="1"/>
  <c r="AH268" i="2"/>
  <c r="AH270" i="2" s="1"/>
  <c r="AG268" i="2"/>
  <c r="AG270" i="2" s="1"/>
  <c r="AF268" i="2"/>
  <c r="AF270" i="2" s="1"/>
  <c r="AE268" i="2"/>
  <c r="AE270" i="2" s="1"/>
  <c r="AD268" i="2"/>
  <c r="AD270" i="2" s="1"/>
  <c r="AC268" i="2"/>
  <c r="AC270" i="2" s="1"/>
  <c r="AB268" i="2"/>
  <c r="AB270" i="2" s="1"/>
  <c r="AA268" i="2"/>
  <c r="AA270" i="2" s="1"/>
  <c r="Z268" i="2"/>
  <c r="Z270" i="2" s="1"/>
  <c r="Y268" i="2"/>
  <c r="Y270" i="2" s="1"/>
  <c r="X268" i="2"/>
  <c r="X270" i="2" s="1"/>
  <c r="W268" i="2"/>
  <c r="W270" i="2" s="1"/>
  <c r="V268" i="2"/>
  <c r="V270" i="2" s="1"/>
  <c r="U268" i="2"/>
  <c r="U270" i="2" s="1"/>
  <c r="T268" i="2"/>
  <c r="T270" i="2" s="1"/>
  <c r="R268" i="2"/>
  <c r="R270" i="2" s="1"/>
  <c r="O268" i="2"/>
  <c r="O270" i="2" s="1"/>
  <c r="N268" i="2"/>
  <c r="N270" i="2" s="1"/>
  <c r="AL269" i="2"/>
  <c r="AM269" i="2" s="1"/>
  <c r="AN269" i="2" s="1"/>
  <c r="AL267" i="2"/>
  <c r="AK264" i="2"/>
  <c r="AL264" i="2" s="1"/>
  <c r="AM264" i="2" s="1"/>
  <c r="AN264" i="2" s="1"/>
  <c r="AO264" i="2" s="1"/>
  <c r="AP264" i="2" s="1"/>
  <c r="AQ264" i="2" s="1"/>
  <c r="AR264" i="2" s="1"/>
  <c r="AS264" i="2" s="1"/>
  <c r="AT264" i="2" s="1"/>
  <c r="AU264" i="2" s="1"/>
  <c r="AV264" i="2" s="1"/>
  <c r="AW264" i="2" s="1"/>
  <c r="AJ264" i="2"/>
  <c r="AI264" i="2"/>
  <c r="AH264" i="2"/>
  <c r="AG264" i="2"/>
  <c r="AF264" i="2"/>
  <c r="AE264" i="2"/>
  <c r="AD264" i="2"/>
  <c r="AC264" i="2"/>
  <c r="AB264" i="2"/>
  <c r="AA264" i="2"/>
  <c r="Z264" i="2"/>
  <c r="Y264" i="2"/>
  <c r="X264" i="2"/>
  <c r="W264" i="2"/>
  <c r="V264" i="2"/>
  <c r="U264" i="2"/>
  <c r="T264" i="2"/>
  <c r="S264" i="2"/>
  <c r="R264" i="2"/>
  <c r="Q264" i="2"/>
  <c r="P264" i="2"/>
  <c r="O264" i="2"/>
  <c r="N264" i="2"/>
  <c r="AH245" i="2"/>
  <c r="AD245" i="2"/>
  <c r="Z245" i="2"/>
  <c r="V245" i="2"/>
  <c r="R245" i="2"/>
  <c r="N245" i="2"/>
  <c r="Z241" i="2"/>
  <c r="N241" i="2"/>
  <c r="N244" i="2" s="1"/>
  <c r="AH238" i="2"/>
  <c r="AD238" i="2"/>
  <c r="Z238" i="2"/>
  <c r="V238" i="2"/>
  <c r="R238" i="2"/>
  <c r="N238" i="2"/>
  <c r="AK226" i="2"/>
  <c r="AJ226" i="2"/>
  <c r="AI226" i="2"/>
  <c r="AH226" i="2"/>
  <c r="AG226" i="2"/>
  <c r="AG227" i="2" s="1"/>
  <c r="AF226" i="2"/>
  <c r="AE226" i="2"/>
  <c r="AD226" i="2"/>
  <c r="AC226" i="2"/>
  <c r="AB226" i="2"/>
  <c r="AA226" i="2"/>
  <c r="Z226" i="2"/>
  <c r="Z225" i="2" s="1"/>
  <c r="Y226" i="2"/>
  <c r="X226" i="2"/>
  <c r="W226" i="2"/>
  <c r="V226" i="2"/>
  <c r="U226" i="2"/>
  <c r="S226" i="2"/>
  <c r="R226" i="2"/>
  <c r="Q226" i="2"/>
  <c r="Q227" i="2" s="1"/>
  <c r="O226" i="2"/>
  <c r="N226" i="2"/>
  <c r="AW223" i="2"/>
  <c r="AV223" i="2"/>
  <c r="AU223" i="2"/>
  <c r="AT223" i="2"/>
  <c r="AS223" i="2"/>
  <c r="AR223" i="2"/>
  <c r="AQ223" i="2"/>
  <c r="AP223" i="2"/>
  <c r="AO223" i="2"/>
  <c r="AN223" i="2"/>
  <c r="AM223" i="2"/>
  <c r="AL223" i="2"/>
  <c r="AK223" i="2"/>
  <c r="AJ223" i="2"/>
  <c r="AI223" i="2"/>
  <c r="AH223" i="2"/>
  <c r="AG223" i="2"/>
  <c r="AF223" i="2"/>
  <c r="AE223" i="2"/>
  <c r="AD223" i="2"/>
  <c r="AC223" i="2"/>
  <c r="AB223" i="2"/>
  <c r="AA223" i="2"/>
  <c r="Z223" i="2"/>
  <c r="Y223" i="2"/>
  <c r="X223" i="2"/>
  <c r="W223" i="2"/>
  <c r="V223" i="2"/>
  <c r="U223" i="2"/>
  <c r="T223" i="2"/>
  <c r="S223" i="2"/>
  <c r="R223" i="2"/>
  <c r="Q223" i="2"/>
  <c r="P223" i="2"/>
  <c r="O223" i="2"/>
  <c r="N223" i="2"/>
  <c r="K223" i="2"/>
  <c r="J223" i="2"/>
  <c r="I223" i="2"/>
  <c r="H223" i="2"/>
  <c r="G223" i="2"/>
  <c r="F223" i="2"/>
  <c r="E223" i="2"/>
  <c r="D223" i="2"/>
  <c r="C223" i="2"/>
  <c r="Z220" i="2"/>
  <c r="AD219" i="2"/>
  <c r="U219" i="2"/>
  <c r="S218" i="2"/>
  <c r="S219" i="2" s="1"/>
  <c r="R218" i="2"/>
  <c r="R219" i="2" s="1"/>
  <c r="Q218" i="2"/>
  <c r="Q219" i="2" s="1"/>
  <c r="P218" i="2"/>
  <c r="P219" i="2" s="1"/>
  <c r="O218" i="2"/>
  <c r="O219" i="2" s="1"/>
  <c r="N216" i="2"/>
  <c r="N219" i="2" s="1"/>
  <c r="N215" i="2"/>
  <c r="AK216" i="2"/>
  <c r="AJ216" i="2"/>
  <c r="AJ219" i="2" s="1"/>
  <c r="AH216" i="2"/>
  <c r="AG216" i="2"/>
  <c r="AF216" i="2"/>
  <c r="AE216" i="2"/>
  <c r="AD216" i="2"/>
  <c r="AC216" i="2"/>
  <c r="AB216" i="2"/>
  <c r="AA216" i="2"/>
  <c r="Z216" i="2"/>
  <c r="Y216" i="2"/>
  <c r="X216" i="2"/>
  <c r="W216" i="2"/>
  <c r="W219" i="2" s="1"/>
  <c r="V216" i="2"/>
  <c r="U216" i="2"/>
  <c r="T216" i="2"/>
  <c r="AK215" i="2"/>
  <c r="AJ215" i="2"/>
  <c r="AI215" i="2"/>
  <c r="AH215" i="2"/>
  <c r="AG215" i="2"/>
  <c r="AF215" i="2"/>
  <c r="AE215" i="2"/>
  <c r="AD215" i="2"/>
  <c r="AC215" i="2"/>
  <c r="AB215" i="2"/>
  <c r="AA215" i="2"/>
  <c r="Z215" i="2"/>
  <c r="Y215" i="2"/>
  <c r="X215" i="2"/>
  <c r="W215" i="2"/>
  <c r="V215" i="2"/>
  <c r="U215" i="2"/>
  <c r="T215" i="2"/>
  <c r="S215" i="2"/>
  <c r="R215" i="2"/>
  <c r="Q215" i="2"/>
  <c r="P215" i="2"/>
  <c r="O215" i="2"/>
  <c r="AJ213" i="2"/>
  <c r="AK213" i="2" s="1"/>
  <c r="T212" i="2"/>
  <c r="T211" i="2"/>
  <c r="T210" i="2"/>
  <c r="P212" i="2"/>
  <c r="P210" i="2"/>
  <c r="U210" i="2"/>
  <c r="U211" i="2" s="1"/>
  <c r="AK210" i="2"/>
  <c r="AJ210" i="2"/>
  <c r="AI210" i="2"/>
  <c r="AH210" i="2"/>
  <c r="AG210" i="2"/>
  <c r="AF210" i="2"/>
  <c r="AE210" i="2"/>
  <c r="AD210" i="2"/>
  <c r="AC210" i="2"/>
  <c r="AB210" i="2"/>
  <c r="AA210" i="2"/>
  <c r="Z210" i="2"/>
  <c r="Y210" i="2"/>
  <c r="X210" i="2"/>
  <c r="W210" i="2"/>
  <c r="V210" i="2"/>
  <c r="R211" i="2"/>
  <c r="S210" i="2"/>
  <c r="S211" i="2" s="1"/>
  <c r="R210" i="2"/>
  <c r="Q210" i="2"/>
  <c r="O210" i="2"/>
  <c r="O211" i="2" s="1"/>
  <c r="N210" i="2"/>
  <c r="AL218" i="2"/>
  <c r="AM218" i="2" s="1"/>
  <c r="AN218" i="2" s="1"/>
  <c r="AO218" i="2" s="1"/>
  <c r="AP218" i="2" s="1"/>
  <c r="AQ218" i="2" s="1"/>
  <c r="AR218" i="2" s="1"/>
  <c r="AS218" i="2" s="1"/>
  <c r="AT218" i="2" s="1"/>
  <c r="AU218" i="2" s="1"/>
  <c r="AV218" i="2" s="1"/>
  <c r="AW218" i="2" s="1"/>
  <c r="AL216" i="2"/>
  <c r="AL215" i="2"/>
  <c r="AM215" i="2" s="1"/>
  <c r="AN215" i="2" s="1"/>
  <c r="AO215" i="2" s="1"/>
  <c r="AP215" i="2" s="1"/>
  <c r="AQ215" i="2" s="1"/>
  <c r="AR215" i="2" s="1"/>
  <c r="AS215" i="2" s="1"/>
  <c r="AT215" i="2" s="1"/>
  <c r="AU215" i="2" s="1"/>
  <c r="AV215" i="2" s="1"/>
  <c r="AW215" i="2" s="1"/>
  <c r="AL213" i="2"/>
  <c r="AM213" i="2" s="1"/>
  <c r="AN213" i="2" s="1"/>
  <c r="AO213" i="2" s="1"/>
  <c r="AP213" i="2" s="1"/>
  <c r="AQ213" i="2" s="1"/>
  <c r="AR213" i="2" s="1"/>
  <c r="AS213" i="2" s="1"/>
  <c r="AT213" i="2" s="1"/>
  <c r="AU213" i="2" s="1"/>
  <c r="AV213" i="2" s="1"/>
  <c r="AW213" i="2" s="1"/>
  <c r="AL210" i="2"/>
  <c r="AM210" i="2" s="1"/>
  <c r="AN210" i="2" s="1"/>
  <c r="AO210" i="2" s="1"/>
  <c r="AP210" i="2" s="1"/>
  <c r="AQ210" i="2" s="1"/>
  <c r="AR210" i="2" s="1"/>
  <c r="AS210" i="2" s="1"/>
  <c r="AT210" i="2" s="1"/>
  <c r="AU210" i="2" s="1"/>
  <c r="AV210" i="2" s="1"/>
  <c r="AW210" i="2" s="1"/>
  <c r="AW209" i="2"/>
  <c r="R208" i="2"/>
  <c r="W204" i="2"/>
  <c r="V204" i="2"/>
  <c r="U204" i="2"/>
  <c r="T204" i="2"/>
  <c r="S204" i="2"/>
  <c r="R204" i="2"/>
  <c r="Q204" i="2"/>
  <c r="P204" i="2"/>
  <c r="O204" i="2"/>
  <c r="N204" i="2"/>
  <c r="AK203" i="2"/>
  <c r="AJ203" i="2"/>
  <c r="AI203" i="2"/>
  <c r="AH203" i="2"/>
  <c r="AG203" i="2"/>
  <c r="AF203" i="2"/>
  <c r="AE203" i="2"/>
  <c r="AD203" i="2"/>
  <c r="AC203" i="2"/>
  <c r="AB203" i="2"/>
  <c r="AA203" i="2"/>
  <c r="Z203" i="2"/>
  <c r="Z276" i="2" s="1"/>
  <c r="Y203" i="2"/>
  <c r="X203" i="2"/>
  <c r="U203" i="2"/>
  <c r="R203" i="2"/>
  <c r="R279" i="2" s="1"/>
  <c r="R292" i="2" s="1"/>
  <c r="R294" i="2" s="1"/>
  <c r="P203" i="2"/>
  <c r="R201" i="2"/>
  <c r="R200" i="2"/>
  <c r="R199" i="2"/>
  <c r="R252" i="2" s="1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AK199" i="2"/>
  <c r="AK205" i="2" s="1"/>
  <c r="AI199" i="2"/>
  <c r="AG199" i="2"/>
  <c r="AE199" i="2"/>
  <c r="AC199" i="2"/>
  <c r="AA199" i="2"/>
  <c r="Y199" i="2"/>
  <c r="W199" i="2"/>
  <c r="U199" i="2"/>
  <c r="U205" i="2" s="1"/>
  <c r="S199" i="2"/>
  <c r="Q200" i="2"/>
  <c r="P200" i="2"/>
  <c r="O200" i="2"/>
  <c r="N200" i="2"/>
  <c r="N247" i="2" s="1"/>
  <c r="P199" i="2"/>
  <c r="AK198" i="2"/>
  <c r="AJ198" i="2"/>
  <c r="AI198" i="2"/>
  <c r="AH198" i="2"/>
  <c r="AH199" i="2" s="1"/>
  <c r="AG198" i="2"/>
  <c r="AF198" i="2"/>
  <c r="AE198" i="2"/>
  <c r="AD198" i="2"/>
  <c r="AD199" i="2" s="1"/>
  <c r="AC198" i="2"/>
  <c r="AB198" i="2"/>
  <c r="AA198" i="2"/>
  <c r="Z198" i="2"/>
  <c r="Z199" i="2" s="1"/>
  <c r="Z253" i="2" s="1"/>
  <c r="Y198" i="2"/>
  <c r="X198" i="2"/>
  <c r="W198" i="2"/>
  <c r="V198" i="2"/>
  <c r="V199" i="2" s="1"/>
  <c r="V252" i="2" s="1"/>
  <c r="U198" i="2"/>
  <c r="T198" i="2"/>
  <c r="P198" i="2"/>
  <c r="N198" i="2"/>
  <c r="O197" i="2"/>
  <c r="O199" i="2" s="1"/>
  <c r="Q196" i="2"/>
  <c r="AT204" i="2"/>
  <c r="AU204" i="2" s="1"/>
  <c r="AV204" i="2" s="1"/>
  <c r="AW204" i="2" s="1"/>
  <c r="AL204" i="2"/>
  <c r="AM204" i="2" s="1"/>
  <c r="AN204" i="2" s="1"/>
  <c r="AO204" i="2" s="1"/>
  <c r="AP204" i="2" s="1"/>
  <c r="AQ204" i="2" s="1"/>
  <c r="AR204" i="2" s="1"/>
  <c r="AS204" i="2" s="1"/>
  <c r="AL203" i="2"/>
  <c r="AM203" i="2" s="1"/>
  <c r="AN203" i="2" s="1"/>
  <c r="AO203" i="2" s="1"/>
  <c r="AP203" i="2" s="1"/>
  <c r="AQ203" i="2" s="1"/>
  <c r="AR203" i="2" s="1"/>
  <c r="AS203" i="2" s="1"/>
  <c r="AT203" i="2" s="1"/>
  <c r="AU203" i="2" s="1"/>
  <c r="AV203" i="2" s="1"/>
  <c r="AW203" i="2" s="1"/>
  <c r="AL198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K192" i="2"/>
  <c r="J192" i="2"/>
  <c r="I192" i="2"/>
  <c r="H192" i="2"/>
  <c r="G192" i="2"/>
  <c r="F192" i="2"/>
  <c r="E192" i="2"/>
  <c r="D192" i="2"/>
  <c r="C192" i="2"/>
  <c r="AI188" i="2"/>
  <c r="AH188" i="2"/>
  <c r="AE188" i="2"/>
  <c r="AF188" i="2" s="1"/>
  <c r="AG188" i="2" s="1"/>
  <c r="AD188" i="2"/>
  <c r="AA188" i="2"/>
  <c r="AB188" i="2" s="1"/>
  <c r="AC188" i="2" s="1"/>
  <c r="Z188" i="2"/>
  <c r="W188" i="2"/>
  <c r="X188" i="2" s="1"/>
  <c r="Y188" i="2" s="1"/>
  <c r="V188" i="2"/>
  <c r="S188" i="2"/>
  <c r="T188" i="2" s="1"/>
  <c r="U188" i="2" s="1"/>
  <c r="R188" i="2"/>
  <c r="U187" i="2"/>
  <c r="R186" i="2"/>
  <c r="S186" i="2" s="1"/>
  <c r="T186" i="2" s="1"/>
  <c r="U186" i="2" s="1"/>
  <c r="N186" i="2"/>
  <c r="AE185" i="2"/>
  <c r="AE461" i="2" s="1"/>
  <c r="AE184" i="2"/>
  <c r="AA186" i="2"/>
  <c r="AB186" i="2" s="1"/>
  <c r="AC186" i="2" s="1"/>
  <c r="AA185" i="2"/>
  <c r="AA461" i="2" s="1"/>
  <c r="W187" i="2"/>
  <c r="X187" i="2" s="1"/>
  <c r="Y187" i="2" s="1"/>
  <c r="W186" i="2"/>
  <c r="X186" i="2" s="1"/>
  <c r="Y186" i="2" s="1"/>
  <c r="W185" i="2"/>
  <c r="W461" i="2" s="1"/>
  <c r="AK184" i="2"/>
  <c r="AK183" i="2"/>
  <c r="AD184" i="2"/>
  <c r="AA184" i="2"/>
  <c r="AB184" i="2" s="1"/>
  <c r="AC184" i="2" s="1"/>
  <c r="Z184" i="2"/>
  <c r="W184" i="2"/>
  <c r="X184" i="2" s="1"/>
  <c r="Y184" i="2" s="1"/>
  <c r="V184" i="2"/>
  <c r="S184" i="2"/>
  <c r="T184" i="2" s="1"/>
  <c r="U184" i="2" s="1"/>
  <c r="N184" i="2"/>
  <c r="AA183" i="2"/>
  <c r="AB183" i="2" s="1"/>
  <c r="AC183" i="2" s="1"/>
  <c r="W183" i="2"/>
  <c r="Y183" i="2" s="1"/>
  <c r="W182" i="2"/>
  <c r="W180" i="2"/>
  <c r="W238" i="2" s="1"/>
  <c r="W179" i="2"/>
  <c r="W178" i="2"/>
  <c r="W177" i="2"/>
  <c r="X177" i="2" s="1"/>
  <c r="Y177" i="2" s="1"/>
  <c r="W176" i="2"/>
  <c r="W175" i="2"/>
  <c r="X175" i="2" s="1"/>
  <c r="Y175" i="2" s="1"/>
  <c r="AA182" i="2"/>
  <c r="AB182" i="2" s="1"/>
  <c r="X176" i="2"/>
  <c r="Y176" i="2" s="1"/>
  <c r="T183" i="2"/>
  <c r="U183" i="2" s="1"/>
  <c r="S182" i="2"/>
  <c r="S180" i="2"/>
  <c r="T180" i="2" s="1"/>
  <c r="S177" i="2"/>
  <c r="T177" i="2" s="1"/>
  <c r="U177" i="2" s="1"/>
  <c r="S176" i="2"/>
  <c r="T176" i="2" s="1"/>
  <c r="U176" i="2" s="1"/>
  <c r="S175" i="2"/>
  <c r="T175" i="2" s="1"/>
  <c r="U175" i="2" s="1"/>
  <c r="O183" i="2"/>
  <c r="O182" i="2"/>
  <c r="P182" i="2" s="1"/>
  <c r="AH181" i="2"/>
  <c r="AH189" i="2" s="1"/>
  <c r="AH190" i="2" s="1"/>
  <c r="AD181" i="2"/>
  <c r="AD189" i="2" s="1"/>
  <c r="AD190" i="2" s="1"/>
  <c r="V181" i="2"/>
  <c r="V189" i="2" s="1"/>
  <c r="V190" i="2" s="1"/>
  <c r="AE180" i="2"/>
  <c r="AE238" i="2" s="1"/>
  <c r="O180" i="2"/>
  <c r="P180" i="2" s="1"/>
  <c r="AG179" i="2"/>
  <c r="AA180" i="2"/>
  <c r="AB180" i="2" s="1"/>
  <c r="Z178" i="2"/>
  <c r="AA178" i="2" s="1"/>
  <c r="AB178" i="2" s="1"/>
  <c r="AC178" i="2" s="1"/>
  <c r="AH178" i="2"/>
  <c r="AD178" i="2"/>
  <c r="AE178" i="2" s="1"/>
  <c r="AF178" i="2" s="1"/>
  <c r="AG178" i="2" s="1"/>
  <c r="V178" i="2"/>
  <c r="R178" i="2"/>
  <c r="S178" i="2" s="1"/>
  <c r="T178" i="2" s="1"/>
  <c r="U178" i="2" s="1"/>
  <c r="N178" i="2"/>
  <c r="AI180" i="2"/>
  <c r="AJ180" i="2" s="1"/>
  <c r="AI179" i="2"/>
  <c r="AI178" i="2"/>
  <c r="AJ178" i="2" s="1"/>
  <c r="AK178" i="2" s="1"/>
  <c r="AI177" i="2"/>
  <c r="AJ177" i="2" s="1"/>
  <c r="AK177" i="2" s="1"/>
  <c r="AI176" i="2"/>
  <c r="AJ176" i="2" s="1"/>
  <c r="AK176" i="2" s="1"/>
  <c r="AI175" i="2"/>
  <c r="AJ175" i="2" s="1"/>
  <c r="AK175" i="2" s="1"/>
  <c r="AE177" i="2"/>
  <c r="AF177" i="2" s="1"/>
  <c r="AE176" i="2"/>
  <c r="AF176" i="2" s="1"/>
  <c r="AG176" i="2" s="1"/>
  <c r="AE175" i="2"/>
  <c r="AF175" i="2" s="1"/>
  <c r="AG175" i="2" s="1"/>
  <c r="AA177" i="2"/>
  <c r="AB177" i="2" s="1"/>
  <c r="AC177" i="2" s="1"/>
  <c r="AA176" i="2"/>
  <c r="AB176" i="2" s="1"/>
  <c r="AC176" i="2" s="1"/>
  <c r="AA175" i="2"/>
  <c r="AB175" i="2" s="1"/>
  <c r="AC175" i="2" s="1"/>
  <c r="O177" i="2"/>
  <c r="O176" i="2"/>
  <c r="P176" i="2" s="1"/>
  <c r="Q176" i="2" s="1"/>
  <c r="O175" i="2"/>
  <c r="Z173" i="2"/>
  <c r="R173" i="2"/>
  <c r="S173" i="2" s="1"/>
  <c r="N173" i="2"/>
  <c r="AI172" i="2"/>
  <c r="AJ172" i="2" s="1"/>
  <c r="AK172" i="2" s="1"/>
  <c r="S172" i="2"/>
  <c r="T172" i="2" s="1"/>
  <c r="U172" i="2" s="1"/>
  <c r="R172" i="2"/>
  <c r="O172" i="2"/>
  <c r="AE172" i="2"/>
  <c r="AF172" i="2" s="1"/>
  <c r="AG172" i="2" s="1"/>
  <c r="AE171" i="2"/>
  <c r="AF171" i="2" s="1"/>
  <c r="AG171" i="2" s="1"/>
  <c r="AA172" i="2"/>
  <c r="AB172" i="2" s="1"/>
  <c r="AC172" i="2" s="1"/>
  <c r="AA171" i="2"/>
  <c r="AB171" i="2" s="1"/>
  <c r="AC171" i="2" s="1"/>
  <c r="S171" i="2"/>
  <c r="T171" i="2" s="1"/>
  <c r="U171" i="2" s="1"/>
  <c r="O171" i="2"/>
  <c r="W172" i="2"/>
  <c r="X172" i="2" s="1"/>
  <c r="Y172" i="2" s="1"/>
  <c r="W171" i="2"/>
  <c r="X171" i="2" s="1"/>
  <c r="Y171" i="2" s="1"/>
  <c r="W170" i="2"/>
  <c r="W241" i="2" s="1"/>
  <c r="W248" i="2" s="1"/>
  <c r="V170" i="2"/>
  <c r="T170" i="2"/>
  <c r="T241" i="2" s="1"/>
  <c r="S170" i="2"/>
  <c r="S241" i="2" s="1"/>
  <c r="R170" i="2"/>
  <c r="R241" i="2" s="1"/>
  <c r="Q170" i="2"/>
  <c r="Q241" i="2" s="1"/>
  <c r="P170" i="2"/>
  <c r="P241" i="2" s="1"/>
  <c r="O170" i="2"/>
  <c r="O241" i="2" s="1"/>
  <c r="O249" i="2" s="1"/>
  <c r="AM172" i="2"/>
  <c r="AN172" i="2" s="1"/>
  <c r="AO172" i="2" s="1"/>
  <c r="AP172" i="2" s="1"/>
  <c r="AQ172" i="2" s="1"/>
  <c r="AR172" i="2" s="1"/>
  <c r="AS172" i="2" s="1"/>
  <c r="AT172" i="2" s="1"/>
  <c r="AU172" i="2" s="1"/>
  <c r="AV172" i="2" s="1"/>
  <c r="AW172" i="2" s="1"/>
  <c r="AI171" i="2"/>
  <c r="AJ171" i="2" s="1"/>
  <c r="AK171" i="2" s="1"/>
  <c r="AK170" i="2"/>
  <c r="AK241" i="2" s="1"/>
  <c r="AJ170" i="2"/>
  <c r="AJ241" i="2" s="1"/>
  <c r="AI170" i="2"/>
  <c r="AI241" i="2" s="1"/>
  <c r="AH170" i="2"/>
  <c r="AH241" i="2" s="1"/>
  <c r="AG170" i="2"/>
  <c r="AG241" i="2" s="1"/>
  <c r="AF170" i="2"/>
  <c r="AF241" i="2" s="1"/>
  <c r="AE170" i="2"/>
  <c r="AE241" i="2" s="1"/>
  <c r="AE249" i="2" s="1"/>
  <c r="AD170" i="2"/>
  <c r="AD241" i="2" s="1"/>
  <c r="AA170" i="2"/>
  <c r="AA241" i="2" s="1"/>
  <c r="AA247" i="2" s="1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K167" i="2"/>
  <c r="J167" i="2"/>
  <c r="I167" i="2"/>
  <c r="H167" i="2"/>
  <c r="G167" i="2"/>
  <c r="F167" i="2"/>
  <c r="E167" i="2"/>
  <c r="D167" i="2"/>
  <c r="C167" i="2"/>
  <c r="C139" i="2"/>
  <c r="N138" i="2"/>
  <c r="AT161" i="2"/>
  <c r="AL161" i="2"/>
  <c r="AD161" i="2"/>
  <c r="AV161" i="2"/>
  <c r="AR161" i="2"/>
  <c r="AN163" i="2"/>
  <c r="AN161" i="2"/>
  <c r="AJ161" i="2"/>
  <c r="AH161" i="2"/>
  <c r="AF161" i="2"/>
  <c r="AB161" i="2"/>
  <c r="P139" i="2"/>
  <c r="O139" i="2"/>
  <c r="P138" i="2"/>
  <c r="P137" i="2"/>
  <c r="O137" i="2"/>
  <c r="I159" i="2"/>
  <c r="I155" i="2"/>
  <c r="C137" i="2"/>
  <c r="AF147" i="2"/>
  <c r="AF146" i="2"/>
  <c r="AD147" i="2"/>
  <c r="AD146" i="2"/>
  <c r="AB147" i="2"/>
  <c r="AB146" i="2"/>
  <c r="Q146" i="2"/>
  <c r="N147" i="2"/>
  <c r="Q147" i="2" s="1"/>
  <c r="N146" i="2"/>
  <c r="AE146" i="2"/>
  <c r="AC146" i="2"/>
  <c r="AM147" i="2"/>
  <c r="AN147" i="2" s="1"/>
  <c r="AK146" i="2"/>
  <c r="AJ146" i="2"/>
  <c r="AI146" i="2"/>
  <c r="AH146" i="2"/>
  <c r="AG146" i="2"/>
  <c r="AA146" i="2"/>
  <c r="Z146" i="2"/>
  <c r="Y146" i="2"/>
  <c r="X146" i="2"/>
  <c r="W146" i="2"/>
  <c r="V146" i="2"/>
  <c r="T146" i="2"/>
  <c r="S146" i="2"/>
  <c r="R146" i="2"/>
  <c r="P146" i="2"/>
  <c r="O146" i="2"/>
  <c r="N139" i="2"/>
  <c r="Q138" i="2"/>
  <c r="N137" i="2"/>
  <c r="C138" i="2"/>
  <c r="Q135" i="2"/>
  <c r="P135" i="2"/>
  <c r="O135" i="2"/>
  <c r="N135" i="2"/>
  <c r="Q134" i="2"/>
  <c r="P134" i="2"/>
  <c r="O134" i="2"/>
  <c r="N134" i="2"/>
  <c r="Q133" i="2"/>
  <c r="P133" i="2"/>
  <c r="O133" i="2"/>
  <c r="N133" i="2"/>
  <c r="Q131" i="2"/>
  <c r="P131" i="2"/>
  <c r="O131" i="2"/>
  <c r="Q130" i="2"/>
  <c r="P130" i="2"/>
  <c r="O130" i="2"/>
  <c r="Q129" i="2"/>
  <c r="P129" i="2"/>
  <c r="O129" i="2"/>
  <c r="AK127" i="2"/>
  <c r="AJ127" i="2"/>
  <c r="AI127" i="2"/>
  <c r="AH127" i="2"/>
  <c r="AG127" i="2"/>
  <c r="AF127" i="2"/>
  <c r="AE127" i="2"/>
  <c r="AD127" i="2"/>
  <c r="AC127" i="2"/>
  <c r="AB127" i="2"/>
  <c r="AB131" i="2" s="1"/>
  <c r="AA127" i="2"/>
  <c r="Z127" i="2"/>
  <c r="Y127" i="2"/>
  <c r="X127" i="2"/>
  <c r="W127" i="2"/>
  <c r="V127" i="2"/>
  <c r="U127" i="2"/>
  <c r="T127" i="2"/>
  <c r="S127" i="2"/>
  <c r="R127" i="2"/>
  <c r="AK126" i="2"/>
  <c r="AJ126" i="2"/>
  <c r="AJ140" i="2" s="1"/>
  <c r="AI126" i="2"/>
  <c r="AH126" i="2"/>
  <c r="AH138" i="2" s="1"/>
  <c r="AG126" i="2"/>
  <c r="AF126" i="2"/>
  <c r="AF140" i="2" s="1"/>
  <c r="AE126" i="2"/>
  <c r="AD126" i="2"/>
  <c r="AD140" i="2" s="1"/>
  <c r="AB126" i="2"/>
  <c r="AB138" i="2" s="1"/>
  <c r="AA126" i="2"/>
  <c r="Z126" i="2"/>
  <c r="Y126" i="2"/>
  <c r="X126" i="2"/>
  <c r="W126" i="2"/>
  <c r="W130" i="2" s="1"/>
  <c r="V126" i="2"/>
  <c r="U126" i="2"/>
  <c r="T126" i="2"/>
  <c r="S126" i="2"/>
  <c r="S130" i="2" s="1"/>
  <c r="R126" i="2"/>
  <c r="AK125" i="2"/>
  <c r="AJ125" i="2"/>
  <c r="AI125" i="2"/>
  <c r="AH125" i="2"/>
  <c r="AG125" i="2"/>
  <c r="AF125" i="2"/>
  <c r="AE125" i="2"/>
  <c r="AD125" i="2"/>
  <c r="AC125" i="2"/>
  <c r="AB125" i="2"/>
  <c r="AA125" i="2"/>
  <c r="Z125" i="2"/>
  <c r="Y125" i="2"/>
  <c r="X125" i="2"/>
  <c r="X137" i="2" s="1"/>
  <c r="W125" i="2"/>
  <c r="V125" i="2"/>
  <c r="V137" i="2" s="1"/>
  <c r="U125" i="2"/>
  <c r="T125" i="2"/>
  <c r="T137" i="2" s="1"/>
  <c r="S125" i="2"/>
  <c r="R125" i="2"/>
  <c r="R129" i="2" s="1"/>
  <c r="C124" i="2"/>
  <c r="C135" i="2" s="1"/>
  <c r="AK122" i="2"/>
  <c r="AJ122" i="2"/>
  <c r="AI122" i="2"/>
  <c r="AH122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AK121" i="2"/>
  <c r="AJ121" i="2"/>
  <c r="AI121" i="2"/>
  <c r="AH121" i="2"/>
  <c r="AG121" i="2"/>
  <c r="AF121" i="2"/>
  <c r="AE121" i="2"/>
  <c r="AD121" i="2"/>
  <c r="AB121" i="2"/>
  <c r="AA121" i="2"/>
  <c r="Z121" i="2"/>
  <c r="Y121" i="2"/>
  <c r="X121" i="2"/>
  <c r="W121" i="2"/>
  <c r="V121" i="2"/>
  <c r="U121" i="2"/>
  <c r="T121" i="2"/>
  <c r="S121" i="2"/>
  <c r="R121" i="2"/>
  <c r="AK120" i="2"/>
  <c r="AJ120" i="2"/>
  <c r="AI120" i="2"/>
  <c r="AH120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AK118" i="2"/>
  <c r="AJ118" i="2"/>
  <c r="AI118" i="2"/>
  <c r="AH118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AK117" i="2"/>
  <c r="AJ117" i="2"/>
  <c r="AI117" i="2"/>
  <c r="AH117" i="2"/>
  <c r="AG117" i="2"/>
  <c r="AF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AK116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AK114" i="2"/>
  <c r="AJ114" i="2"/>
  <c r="AI11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AK112" i="2"/>
  <c r="AJ112" i="2"/>
  <c r="AI112" i="2"/>
  <c r="AH112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O112" i="2"/>
  <c r="AK111" i="2"/>
  <c r="AJ111" i="2"/>
  <c r="AI111" i="2"/>
  <c r="AH111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O111" i="2"/>
  <c r="AK110" i="2"/>
  <c r="AJ110" i="2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AC105" i="2"/>
  <c r="AC121" i="2" s="1"/>
  <c r="AK103" i="2"/>
  <c r="AJ103" i="2"/>
  <c r="AJ119" i="2" s="1"/>
  <c r="AI103" i="2"/>
  <c r="AH103" i="2"/>
  <c r="AG103" i="2"/>
  <c r="AF103" i="2"/>
  <c r="AF119" i="2" s="1"/>
  <c r="AE103" i="2"/>
  <c r="AD103" i="2"/>
  <c r="AC103" i="2"/>
  <c r="AB103" i="2"/>
  <c r="AB119" i="2" s="1"/>
  <c r="AA103" i="2"/>
  <c r="Z103" i="2"/>
  <c r="Y103" i="2"/>
  <c r="X103" i="2"/>
  <c r="W103" i="2"/>
  <c r="V103" i="2"/>
  <c r="U103" i="2"/>
  <c r="T103" i="2"/>
  <c r="T119" i="2" s="1"/>
  <c r="S103" i="2"/>
  <c r="R103" i="2"/>
  <c r="Q103" i="2"/>
  <c r="P103" i="2"/>
  <c r="O103" i="2"/>
  <c r="N103" i="2"/>
  <c r="AK99" i="2"/>
  <c r="AJ99" i="2"/>
  <c r="AJ115" i="2" s="1"/>
  <c r="AI99" i="2"/>
  <c r="AH99" i="2"/>
  <c r="AG99" i="2"/>
  <c r="AF99" i="2"/>
  <c r="AF115" i="2" s="1"/>
  <c r="AE99" i="2"/>
  <c r="AD99" i="2"/>
  <c r="AC99" i="2"/>
  <c r="AB99" i="2"/>
  <c r="AB115" i="2" s="1"/>
  <c r="AA99" i="2"/>
  <c r="Z99" i="2"/>
  <c r="Y99" i="2"/>
  <c r="X99" i="2"/>
  <c r="W99" i="2"/>
  <c r="V99" i="2"/>
  <c r="U99" i="2"/>
  <c r="T99" i="2"/>
  <c r="T115" i="2" s="1"/>
  <c r="S99" i="2"/>
  <c r="R99" i="2"/>
  <c r="Q99" i="2"/>
  <c r="P99" i="2"/>
  <c r="O99" i="2"/>
  <c r="N99" i="2"/>
  <c r="AK97" i="2"/>
  <c r="AJ97" i="2"/>
  <c r="AJ113" i="2" s="1"/>
  <c r="AI97" i="2"/>
  <c r="AH97" i="2"/>
  <c r="AG97" i="2"/>
  <c r="AF97" i="2"/>
  <c r="AF113" i="2" s="1"/>
  <c r="AE97" i="2"/>
  <c r="AD97" i="2"/>
  <c r="AC97" i="2"/>
  <c r="AB97" i="2"/>
  <c r="AB113" i="2" s="1"/>
  <c r="AA97" i="2"/>
  <c r="Z97" i="2"/>
  <c r="Y97" i="2"/>
  <c r="X97" i="2"/>
  <c r="W97" i="2"/>
  <c r="V97" i="2"/>
  <c r="U97" i="2"/>
  <c r="T97" i="2"/>
  <c r="T113" i="2" s="1"/>
  <c r="S97" i="2"/>
  <c r="R97" i="2"/>
  <c r="Q97" i="2"/>
  <c r="P97" i="2"/>
  <c r="O97" i="2"/>
  <c r="N97" i="2"/>
  <c r="AL106" i="2"/>
  <c r="AM106" i="2" s="1"/>
  <c r="AN106" i="2" s="1"/>
  <c r="AO106" i="2" s="1"/>
  <c r="AP106" i="2" s="1"/>
  <c r="AQ106" i="2" s="1"/>
  <c r="AR106" i="2" s="1"/>
  <c r="AS106" i="2" s="1"/>
  <c r="AT106" i="2" s="1"/>
  <c r="AU106" i="2" s="1"/>
  <c r="AV106" i="2" s="1"/>
  <c r="AW106" i="2" s="1"/>
  <c r="AL105" i="2"/>
  <c r="AM105" i="2" s="1"/>
  <c r="AL104" i="2"/>
  <c r="AM104" i="2" s="1"/>
  <c r="AN104" i="2" s="1"/>
  <c r="AL102" i="2"/>
  <c r="AM102" i="2" s="1"/>
  <c r="AN102" i="2" s="1"/>
  <c r="AO102" i="2" s="1"/>
  <c r="AP102" i="2" s="1"/>
  <c r="AQ102" i="2" s="1"/>
  <c r="AR102" i="2" s="1"/>
  <c r="AS102" i="2" s="1"/>
  <c r="AT102" i="2" s="1"/>
  <c r="AU102" i="2" s="1"/>
  <c r="AV102" i="2" s="1"/>
  <c r="AW102" i="2" s="1"/>
  <c r="AL101" i="2"/>
  <c r="AM101" i="2" s="1"/>
  <c r="AN101" i="2" s="1"/>
  <c r="AO101" i="2" s="1"/>
  <c r="AP101" i="2" s="1"/>
  <c r="AQ101" i="2" s="1"/>
  <c r="AR101" i="2" s="1"/>
  <c r="AS101" i="2" s="1"/>
  <c r="AT101" i="2" s="1"/>
  <c r="AU101" i="2" s="1"/>
  <c r="AV101" i="2" s="1"/>
  <c r="AW101" i="2" s="1"/>
  <c r="AL100" i="2"/>
  <c r="AM100" i="2" s="1"/>
  <c r="AL98" i="2"/>
  <c r="AM98" i="2" s="1"/>
  <c r="AL96" i="2"/>
  <c r="AM95" i="2"/>
  <c r="AN95" i="2" s="1"/>
  <c r="AL95" i="2"/>
  <c r="AL94" i="2"/>
  <c r="AK93" i="2"/>
  <c r="AJ93" i="2"/>
  <c r="AJ124" i="2" s="1"/>
  <c r="AI93" i="2"/>
  <c r="AH93" i="2"/>
  <c r="AG93" i="2"/>
  <c r="AF93" i="2"/>
  <c r="AF124" i="2" s="1"/>
  <c r="AE93" i="2"/>
  <c r="AD93" i="2"/>
  <c r="AC93" i="2"/>
  <c r="AB93" i="2"/>
  <c r="AB124" i="2" s="1"/>
  <c r="AA93" i="2"/>
  <c r="Z93" i="2"/>
  <c r="Y93" i="2"/>
  <c r="X93" i="2"/>
  <c r="X124" i="2" s="1"/>
  <c r="W93" i="2"/>
  <c r="V93" i="2"/>
  <c r="U93" i="2"/>
  <c r="T93" i="2"/>
  <c r="T124" i="2" s="1"/>
  <c r="S93" i="2"/>
  <c r="R93" i="2"/>
  <c r="Q93" i="2"/>
  <c r="P93" i="2"/>
  <c r="P109" i="2" s="1"/>
  <c r="O93" i="2"/>
  <c r="N93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T82" i="2"/>
  <c r="S82" i="2"/>
  <c r="R82" i="2"/>
  <c r="Q82" i="2"/>
  <c r="P82" i="2"/>
  <c r="O82" i="2"/>
  <c r="AL81" i="2"/>
  <c r="AL201" i="2" s="1"/>
  <c r="U81" i="2"/>
  <c r="AG79" i="2"/>
  <c r="AG443" i="2" s="1"/>
  <c r="AG21" i="2" s="1"/>
  <c r="AG78" i="2"/>
  <c r="AG421" i="2" s="1"/>
  <c r="AG20" i="2" s="1"/>
  <c r="AG77" i="2"/>
  <c r="AG374" i="2" s="1"/>
  <c r="AG76" i="2"/>
  <c r="AG352" i="2" s="1"/>
  <c r="AM82" i="2"/>
  <c r="AN82" i="2" s="1"/>
  <c r="AK80" i="2"/>
  <c r="AL80" i="2" s="1"/>
  <c r="AJ80" i="2"/>
  <c r="AI80" i="2"/>
  <c r="AH80" i="2"/>
  <c r="AK79" i="2"/>
  <c r="AK443" i="2" s="1"/>
  <c r="AJ79" i="2"/>
  <c r="AJ443" i="2" s="1"/>
  <c r="AI79" i="2"/>
  <c r="AI443" i="2" s="1"/>
  <c r="AH79" i="2"/>
  <c r="AH443" i="2" s="1"/>
  <c r="AK78" i="2"/>
  <c r="AJ78" i="2"/>
  <c r="AJ421" i="2" s="1"/>
  <c r="AI78" i="2"/>
  <c r="AI421" i="2" s="1"/>
  <c r="AH78" i="2"/>
  <c r="AH421" i="2" s="1"/>
  <c r="AK77" i="2"/>
  <c r="AK374" i="2" s="1"/>
  <c r="AJ77" i="2"/>
  <c r="AJ374" i="2" s="1"/>
  <c r="AI77" i="2"/>
  <c r="AI374" i="2" s="1"/>
  <c r="AH77" i="2"/>
  <c r="AH374" i="2" s="1"/>
  <c r="AK76" i="2"/>
  <c r="AJ76" i="2"/>
  <c r="AJ352" i="2" s="1"/>
  <c r="AI76" i="2"/>
  <c r="AI352" i="2" s="1"/>
  <c r="AH76" i="2"/>
  <c r="AH352" i="2" s="1"/>
  <c r="AM72" i="2"/>
  <c r="AN72" i="2" s="1"/>
  <c r="AK71" i="2"/>
  <c r="AJ71" i="2"/>
  <c r="AI71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S71" i="2"/>
  <c r="R71" i="2"/>
  <c r="O71" i="2"/>
  <c r="N71" i="2"/>
  <c r="AK70" i="2"/>
  <c r="AJ70" i="2"/>
  <c r="AI70" i="2"/>
  <c r="AH70" i="2"/>
  <c r="AG70" i="2"/>
  <c r="AF70" i="2"/>
  <c r="AE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AK69" i="2"/>
  <c r="AJ69" i="2"/>
  <c r="AI69" i="2"/>
  <c r="AH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AK68" i="2"/>
  <c r="AJ68" i="2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AK67" i="2"/>
  <c r="AJ67" i="2"/>
  <c r="AI67" i="2"/>
  <c r="AH67" i="2"/>
  <c r="AF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AK65" i="2"/>
  <c r="AJ65" i="2"/>
  <c r="AI65" i="2"/>
  <c r="AK64" i="2"/>
  <c r="AJ64" i="2"/>
  <c r="AI64" i="2"/>
  <c r="AK63" i="2"/>
  <c r="AJ63" i="2"/>
  <c r="AI63" i="2"/>
  <c r="AK62" i="2"/>
  <c r="AJ62" i="2"/>
  <c r="AI62" i="2"/>
  <c r="AK60" i="2"/>
  <c r="AJ60" i="2"/>
  <c r="AI60" i="2"/>
  <c r="AH60" i="2"/>
  <c r="AG60" i="2"/>
  <c r="AF60" i="2"/>
  <c r="AE60" i="2"/>
  <c r="AD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AK59" i="2"/>
  <c r="AJ59" i="2"/>
  <c r="AI59" i="2"/>
  <c r="AH59" i="2"/>
  <c r="AG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AK58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AK57" i="2"/>
  <c r="AJ57" i="2"/>
  <c r="AI57" i="2"/>
  <c r="AH57" i="2"/>
  <c r="AG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AN54" i="2"/>
  <c r="AO54" i="2" s="1"/>
  <c r="AP54" i="2" s="1"/>
  <c r="AQ54" i="2" s="1"/>
  <c r="AR54" i="2" s="1"/>
  <c r="AS54" i="2" s="1"/>
  <c r="AT54" i="2" s="1"/>
  <c r="AU54" i="2" s="1"/>
  <c r="AV54" i="2" s="1"/>
  <c r="AW54" i="2" s="1"/>
  <c r="AP52" i="2"/>
  <c r="AQ52" i="2" s="1"/>
  <c r="AR52" i="2" s="1"/>
  <c r="AS52" i="2" s="1"/>
  <c r="AT52" i="2" s="1"/>
  <c r="AU52" i="2" s="1"/>
  <c r="AV52" i="2" s="1"/>
  <c r="AW52" i="2" s="1"/>
  <c r="AP45" i="2"/>
  <c r="AK55" i="2"/>
  <c r="AJ55" i="2"/>
  <c r="AI55" i="2"/>
  <c r="AH55" i="2"/>
  <c r="AK54" i="2"/>
  <c r="AJ54" i="2"/>
  <c r="AI54" i="2"/>
  <c r="AH54" i="2"/>
  <c r="AK53" i="2"/>
  <c r="AK391" i="2" s="1"/>
  <c r="AJ53" i="2"/>
  <c r="AJ391" i="2" s="1"/>
  <c r="AI53" i="2"/>
  <c r="AI391" i="2" s="1"/>
  <c r="AH53" i="2"/>
  <c r="AH391" i="2" s="1"/>
  <c r="AK52" i="2"/>
  <c r="AJ52" i="2"/>
  <c r="AI52" i="2"/>
  <c r="AH52" i="2"/>
  <c r="AQ53" i="2"/>
  <c r="AQ391" i="2" s="1"/>
  <c r="AW45" i="2"/>
  <c r="AV45" i="2"/>
  <c r="AU45" i="2"/>
  <c r="AT45" i="2"/>
  <c r="AS45" i="2"/>
  <c r="AR45" i="2"/>
  <c r="AQ45" i="2"/>
  <c r="AK50" i="2"/>
  <c r="AJ50" i="2"/>
  <c r="AI50" i="2"/>
  <c r="AH50" i="2"/>
  <c r="AG50" i="2"/>
  <c r="AF50" i="2"/>
  <c r="AE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AK49" i="2"/>
  <c r="AJ49" i="2"/>
  <c r="AI49" i="2"/>
  <c r="AH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AO45" i="2"/>
  <c r="AN45" i="2"/>
  <c r="AM45" i="2"/>
  <c r="AL45" i="2"/>
  <c r="AK45" i="2"/>
  <c r="AJ45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K45" i="2"/>
  <c r="J45" i="2"/>
  <c r="I45" i="2"/>
  <c r="H45" i="2"/>
  <c r="G45" i="2"/>
  <c r="F45" i="2"/>
  <c r="E45" i="2"/>
  <c r="D45" i="2"/>
  <c r="C45" i="2"/>
  <c r="AK37" i="2"/>
  <c r="AJ37" i="2"/>
  <c r="AG37" i="2"/>
  <c r="AF37" i="2"/>
  <c r="AE37" i="2"/>
  <c r="AD37" i="2"/>
  <c r="AC37" i="2"/>
  <c r="AB37" i="2"/>
  <c r="AA37" i="2"/>
  <c r="P37" i="2"/>
  <c r="O37" i="2"/>
  <c r="N37" i="2"/>
  <c r="AG35" i="2"/>
  <c r="AF35" i="2"/>
  <c r="AF342" i="2" s="1"/>
  <c r="AE35" i="2"/>
  <c r="AE342" i="2" s="1"/>
  <c r="AD35" i="2"/>
  <c r="AD342" i="2" s="1"/>
  <c r="AC35" i="2"/>
  <c r="AB35" i="2"/>
  <c r="AB342" i="2" s="1"/>
  <c r="AA35" i="2"/>
  <c r="AA342" i="2" s="1"/>
  <c r="U35" i="2"/>
  <c r="U342" i="2" s="1"/>
  <c r="U33" i="2"/>
  <c r="O35" i="2"/>
  <c r="O342" i="2" s="1"/>
  <c r="N35" i="2"/>
  <c r="N342" i="2" s="1"/>
  <c r="AK35" i="2"/>
  <c r="AJ35" i="2"/>
  <c r="AJ342" i="2" s="1"/>
  <c r="AK33" i="2"/>
  <c r="AF33" i="2"/>
  <c r="AE33" i="2"/>
  <c r="AC33" i="2"/>
  <c r="AB33" i="2"/>
  <c r="AA33" i="2"/>
  <c r="S33" i="2"/>
  <c r="N33" i="2"/>
  <c r="AJ32" i="2"/>
  <c r="AJ340" i="2" s="1"/>
  <c r="AJ31" i="2"/>
  <c r="AK31" i="2"/>
  <c r="AK34" i="2" s="1"/>
  <c r="AK36" i="2" s="1"/>
  <c r="AK38" i="2" s="1"/>
  <c r="AI31" i="2"/>
  <c r="AI34" i="2" s="1"/>
  <c r="AH31" i="2"/>
  <c r="AG31" i="2"/>
  <c r="AB31" i="2"/>
  <c r="AB23" i="2" s="1"/>
  <c r="AA31" i="2"/>
  <c r="Z31" i="2"/>
  <c r="Z23" i="2" s="1"/>
  <c r="Y31" i="2"/>
  <c r="X31" i="2"/>
  <c r="X23" i="2" s="1"/>
  <c r="W31" i="2"/>
  <c r="W34" i="2" s="1"/>
  <c r="V31" i="2"/>
  <c r="U31" i="2"/>
  <c r="U34" i="2" s="1"/>
  <c r="U36" i="2" s="1"/>
  <c r="T31" i="2"/>
  <c r="T34" i="2" s="1"/>
  <c r="S31" i="2"/>
  <c r="R31" i="2"/>
  <c r="R34" i="2" s="1"/>
  <c r="Q31" i="2"/>
  <c r="P31" i="2"/>
  <c r="P23" i="2" s="1"/>
  <c r="O31" i="2"/>
  <c r="N31" i="2"/>
  <c r="N23" i="2" s="1"/>
  <c r="AC29" i="2"/>
  <c r="AE28" i="2"/>
  <c r="AE31" i="2" s="1"/>
  <c r="AE34" i="2" s="1"/>
  <c r="AE36" i="2" s="1"/>
  <c r="AL32" i="2"/>
  <c r="AL340" i="2" s="1"/>
  <c r="AF26" i="2"/>
  <c r="AE26" i="2"/>
  <c r="AE57" i="2" s="1"/>
  <c r="AD26" i="2"/>
  <c r="AK23" i="2"/>
  <c r="AJ23" i="2"/>
  <c r="AI23" i="2"/>
  <c r="AH23" i="2"/>
  <c r="V23" i="2"/>
  <c r="AP22" i="2"/>
  <c r="AQ22" i="2" s="1"/>
  <c r="AR22" i="2" s="1"/>
  <c r="AF21" i="2"/>
  <c r="AE21" i="2"/>
  <c r="AD21" i="2"/>
  <c r="AC21" i="2"/>
  <c r="AB21" i="2"/>
  <c r="AA21" i="2"/>
  <c r="Z21" i="2"/>
  <c r="Y21" i="2"/>
  <c r="X21" i="2"/>
  <c r="X55" i="2" s="1"/>
  <c r="W21" i="2"/>
  <c r="V21" i="2"/>
  <c r="U21" i="2"/>
  <c r="T21" i="2"/>
  <c r="S21" i="2"/>
  <c r="R21" i="2"/>
  <c r="Q21" i="2"/>
  <c r="P21" i="2"/>
  <c r="O21" i="2"/>
  <c r="N21" i="2"/>
  <c r="N65" i="2" s="1"/>
  <c r="AC20" i="2"/>
  <c r="AB20" i="2"/>
  <c r="AA20" i="2"/>
  <c r="Z20" i="2"/>
  <c r="Y20" i="2"/>
  <c r="X20" i="2"/>
  <c r="X54" i="2" s="1"/>
  <c r="W20" i="2"/>
  <c r="V20" i="2"/>
  <c r="U20" i="2"/>
  <c r="T20" i="2"/>
  <c r="T54" i="2" s="1"/>
  <c r="S20" i="2"/>
  <c r="R20" i="2"/>
  <c r="Q20" i="2"/>
  <c r="P20" i="2"/>
  <c r="O20" i="2"/>
  <c r="N20" i="2"/>
  <c r="N64" i="2" s="1"/>
  <c r="AG19" i="2"/>
  <c r="AF19" i="2"/>
  <c r="AE19" i="2"/>
  <c r="AD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AG18" i="2"/>
  <c r="AF18" i="2"/>
  <c r="AF52" i="2" s="1"/>
  <c r="AE18" i="2"/>
  <c r="AC18" i="2"/>
  <c r="AB18" i="2"/>
  <c r="AB52" i="2" s="1"/>
  <c r="AA18" i="2"/>
  <c r="Z18" i="2"/>
  <c r="Y18" i="2"/>
  <c r="X18" i="2"/>
  <c r="X52" i="2" s="1"/>
  <c r="W18" i="2"/>
  <c r="V18" i="2"/>
  <c r="U18" i="2"/>
  <c r="T18" i="2"/>
  <c r="T52" i="2" s="1"/>
  <c r="S18" i="2"/>
  <c r="R18" i="2"/>
  <c r="Q18" i="2"/>
  <c r="P18" i="2"/>
  <c r="O18" i="2"/>
  <c r="N18" i="2"/>
  <c r="N62" i="2" s="1"/>
  <c r="AK15" i="2"/>
  <c r="AJ15" i="2"/>
  <c r="AI15" i="2"/>
  <c r="AH15" i="2"/>
  <c r="AG15" i="2"/>
  <c r="AB15" i="2"/>
  <c r="AB144" i="2" s="1"/>
  <c r="AA15" i="2"/>
  <c r="Z15" i="2"/>
  <c r="Y15" i="2"/>
  <c r="X15" i="2"/>
  <c r="W15" i="2"/>
  <c r="V15" i="2"/>
  <c r="U15" i="2"/>
  <c r="T15" i="2"/>
  <c r="S15" i="2"/>
  <c r="R15" i="2"/>
  <c r="R243" i="2" s="1"/>
  <c r="Q15" i="2"/>
  <c r="P15" i="2"/>
  <c r="O15" i="2"/>
  <c r="O144" i="2" s="1"/>
  <c r="N15" i="2"/>
  <c r="AC14" i="2"/>
  <c r="AC50" i="2" s="1"/>
  <c r="AF13" i="2"/>
  <c r="AE13" i="2"/>
  <c r="AE15" i="2" s="1"/>
  <c r="AD13" i="2"/>
  <c r="AD416" i="2" s="1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K9" i="2"/>
  <c r="J9" i="2"/>
  <c r="I9" i="2"/>
  <c r="H9" i="2"/>
  <c r="G9" i="2"/>
  <c r="F9" i="2"/>
  <c r="E9" i="2"/>
  <c r="D9" i="2"/>
  <c r="C9" i="2"/>
  <c r="O5" i="2"/>
  <c r="U4" i="2"/>
  <c r="Y4" i="2" s="1"/>
  <c r="AC4" i="2" s="1"/>
  <c r="AG4" i="2" s="1"/>
  <c r="AK4" i="2" s="1"/>
  <c r="AO4" i="2" s="1"/>
  <c r="AS4" i="2" s="1"/>
  <c r="AW4" i="2" s="1"/>
  <c r="T4" i="2"/>
  <c r="X4" i="2" s="1"/>
  <c r="AB4" i="2" s="1"/>
  <c r="AF4" i="2" s="1"/>
  <c r="AJ4" i="2" s="1"/>
  <c r="AN4" i="2" s="1"/>
  <c r="AR4" i="2" s="1"/>
  <c r="AV4" i="2" s="1"/>
  <c r="S4" i="2"/>
  <c r="W4" i="2" s="1"/>
  <c r="AA4" i="2" s="1"/>
  <c r="AE4" i="2" s="1"/>
  <c r="AI4" i="2" s="1"/>
  <c r="AM4" i="2" s="1"/>
  <c r="AQ4" i="2" s="1"/>
  <c r="AU4" i="2" s="1"/>
  <c r="R4" i="2"/>
  <c r="D5" i="2"/>
  <c r="D4" i="2"/>
  <c r="AK2" i="2"/>
  <c r="AJ2" i="2"/>
  <c r="AI2" i="2"/>
  <c r="AH2" i="2"/>
  <c r="AG2" i="2"/>
  <c r="AF2" i="2"/>
  <c r="AE2" i="2"/>
  <c r="AD2" i="2"/>
  <c r="Z299" i="2" l="1"/>
  <c r="T23" i="2"/>
  <c r="Y452" i="2"/>
  <c r="AK109" i="2"/>
  <c r="U359" i="2"/>
  <c r="Y359" i="2"/>
  <c r="AI380" i="2"/>
  <c r="AK381" i="2"/>
  <c r="R124" i="2"/>
  <c r="AM267" i="2"/>
  <c r="X65" i="2"/>
  <c r="AD129" i="2"/>
  <c r="AK371" i="2"/>
  <c r="AG450" i="2"/>
  <c r="AF49" i="2"/>
  <c r="T66" i="2"/>
  <c r="AE20" i="2"/>
  <c r="X131" i="2"/>
  <c r="AA358" i="2"/>
  <c r="U361" i="2"/>
  <c r="Y361" i="2"/>
  <c r="AG383" i="2"/>
  <c r="Z129" i="2"/>
  <c r="AE130" i="2"/>
  <c r="AH140" i="2"/>
  <c r="V139" i="2"/>
  <c r="AD141" i="2"/>
  <c r="AH141" i="2"/>
  <c r="AL170" i="2"/>
  <c r="AL241" i="2" s="1"/>
  <c r="Z252" i="2"/>
  <c r="AJ315" i="2"/>
  <c r="AJ316" i="2" s="1"/>
  <c r="AC359" i="2"/>
  <c r="Q359" i="2"/>
  <c r="AA371" i="2"/>
  <c r="AA373" i="2" s="1"/>
  <c r="AD381" i="2"/>
  <c r="AK386" i="2"/>
  <c r="AF398" i="2"/>
  <c r="AN398" i="2"/>
  <c r="AA407" i="2"/>
  <c r="N408" i="2"/>
  <c r="AU408" i="2"/>
  <c r="AJ430" i="2"/>
  <c r="Y418" i="2"/>
  <c r="Q455" i="2"/>
  <c r="U455" i="2"/>
  <c r="AF141" i="2"/>
  <c r="AJ141" i="2"/>
  <c r="V138" i="2"/>
  <c r="Z137" i="2"/>
  <c r="X180" i="2"/>
  <c r="R220" i="2"/>
  <c r="T349" i="2"/>
  <c r="T351" i="2" s="1"/>
  <c r="AC361" i="2"/>
  <c r="Q361" i="2"/>
  <c r="AE359" i="2"/>
  <c r="X383" i="2"/>
  <c r="AK428" i="2"/>
  <c r="Y430" i="2"/>
  <c r="AG430" i="2"/>
  <c r="AG440" i="2"/>
  <c r="N56" i="2"/>
  <c r="T63" i="2"/>
  <c r="R23" i="2"/>
  <c r="R236" i="2" s="1"/>
  <c r="AA56" i="2"/>
  <c r="R109" i="2"/>
  <c r="V109" i="2"/>
  <c r="AD109" i="2"/>
  <c r="R113" i="2"/>
  <c r="V113" i="2"/>
  <c r="Z113" i="2"/>
  <c r="AD113" i="2"/>
  <c r="AH113" i="2"/>
  <c r="R115" i="2"/>
  <c r="V115" i="2"/>
  <c r="Z115" i="2"/>
  <c r="AD115" i="2"/>
  <c r="AH115" i="2"/>
  <c r="R119" i="2"/>
  <c r="V119" i="2"/>
  <c r="Z119" i="2"/>
  <c r="AD119" i="2"/>
  <c r="AH119" i="2"/>
  <c r="AB163" i="2"/>
  <c r="AR163" i="2"/>
  <c r="AG185" i="2"/>
  <c r="AG461" i="2" s="1"/>
  <c r="AJ349" i="2"/>
  <c r="AJ360" i="2" s="1"/>
  <c r="AK361" i="2"/>
  <c r="AE361" i="2"/>
  <c r="AI383" i="2"/>
  <c r="S390" i="2"/>
  <c r="S400" i="2" s="1"/>
  <c r="AA397" i="2"/>
  <c r="AA398" i="2" s="1"/>
  <c r="T404" i="2"/>
  <c r="U440" i="2"/>
  <c r="AF63" i="2"/>
  <c r="P64" i="2"/>
  <c r="AB64" i="2"/>
  <c r="AB170" i="2"/>
  <c r="AB241" i="2" s="1"/>
  <c r="AM304" i="2"/>
  <c r="AM322" i="2" s="1"/>
  <c r="AM307" i="2"/>
  <c r="AI326" i="2"/>
  <c r="AE364" i="2"/>
  <c r="AD380" i="2"/>
  <c r="AA386" i="2"/>
  <c r="V398" i="2"/>
  <c r="S430" i="2"/>
  <c r="U452" i="2"/>
  <c r="H157" i="2"/>
  <c r="R139" i="2"/>
  <c r="E159" i="2"/>
  <c r="R138" i="2"/>
  <c r="E155" i="2"/>
  <c r="R155" i="2"/>
  <c r="V155" i="2"/>
  <c r="AW155" i="2"/>
  <c r="AP157" i="2"/>
  <c r="AE159" i="2"/>
  <c r="AI159" i="2"/>
  <c r="AM159" i="2"/>
  <c r="AQ159" i="2"/>
  <c r="D157" i="2"/>
  <c r="AB137" i="2"/>
  <c r="AF137" i="2"/>
  <c r="AJ137" i="2"/>
  <c r="AA155" i="2"/>
  <c r="AD159" i="2"/>
  <c r="AH159" i="2"/>
  <c r="AL159" i="2"/>
  <c r="AP159" i="2"/>
  <c r="AT159" i="2"/>
  <c r="T138" i="2"/>
  <c r="X138" i="2"/>
  <c r="AD155" i="2"/>
  <c r="AH155" i="2"/>
  <c r="AL155" i="2"/>
  <c r="AP155" i="2"/>
  <c r="AT155" i="2"/>
  <c r="AA159" i="2"/>
  <c r="AH137" i="2"/>
  <c r="E157" i="2"/>
  <c r="V159" i="2"/>
  <c r="AQ155" i="2"/>
  <c r="AU155" i="2"/>
  <c r="AB139" i="2"/>
  <c r="H155" i="2"/>
  <c r="I157" i="2"/>
  <c r="H159" i="2"/>
  <c r="K159" i="2"/>
  <c r="T36" i="2"/>
  <c r="T72" i="2"/>
  <c r="S248" i="2"/>
  <c r="S249" i="2"/>
  <c r="Y390" i="2"/>
  <c r="Y400" i="2" s="1"/>
  <c r="Y386" i="2"/>
  <c r="Y380" i="2"/>
  <c r="AJ61" i="2"/>
  <c r="AJ56" i="2"/>
  <c r="W109" i="2"/>
  <c r="AE109" i="2"/>
  <c r="U109" i="2"/>
  <c r="R131" i="2"/>
  <c r="N310" i="2"/>
  <c r="N299" i="2"/>
  <c r="R310" i="2"/>
  <c r="R299" i="2"/>
  <c r="V310" i="2"/>
  <c r="V299" i="2"/>
  <c r="V455" i="2"/>
  <c r="V452" i="2"/>
  <c r="V450" i="2"/>
  <c r="V449" i="2"/>
  <c r="AA452" i="2"/>
  <c r="AA440" i="2"/>
  <c r="AA455" i="2"/>
  <c r="AF450" i="2"/>
  <c r="AF440" i="2"/>
  <c r="V440" i="2"/>
  <c r="V442" i="2" s="1"/>
  <c r="Y455" i="2"/>
  <c r="Y440" i="2"/>
  <c r="Y451" i="2" s="1"/>
  <c r="AG449" i="2"/>
  <c r="AB66" i="2"/>
  <c r="T362" i="2"/>
  <c r="T353" i="2"/>
  <c r="T363" i="2" s="1"/>
  <c r="Y46" i="2"/>
  <c r="AF15" i="2"/>
  <c r="AG46" i="2" s="1"/>
  <c r="P62" i="2"/>
  <c r="P34" i="2"/>
  <c r="AA34" i="2"/>
  <c r="AA36" i="2" s="1"/>
  <c r="AR53" i="2"/>
  <c r="AR391" i="2" s="1"/>
  <c r="Y124" i="2"/>
  <c r="AG124" i="2"/>
  <c r="AG134" i="2" s="1"/>
  <c r="AL127" i="2"/>
  <c r="AC109" i="2"/>
  <c r="W124" i="2"/>
  <c r="R135" i="2"/>
  <c r="Z139" i="2"/>
  <c r="AD139" i="2"/>
  <c r="AI248" i="2"/>
  <c r="AI249" i="2"/>
  <c r="AS398" i="2"/>
  <c r="AS408" i="2"/>
  <c r="AW398" i="2"/>
  <c r="AW408" i="2"/>
  <c r="AH411" i="2"/>
  <c r="AH412" i="2"/>
  <c r="O418" i="2"/>
  <c r="O428" i="2"/>
  <c r="O430" i="2"/>
  <c r="O427" i="2"/>
  <c r="Z428" i="2"/>
  <c r="Z427" i="2"/>
  <c r="Z418" i="2"/>
  <c r="AI418" i="2"/>
  <c r="AI429" i="2" s="1"/>
  <c r="AI428" i="2"/>
  <c r="T418" i="2"/>
  <c r="T420" i="2" s="1"/>
  <c r="AI430" i="2"/>
  <c r="Y109" i="2"/>
  <c r="AE163" i="2"/>
  <c r="AL324" i="2"/>
  <c r="AM306" i="2"/>
  <c r="AM324" i="2" s="1"/>
  <c r="AG349" i="2"/>
  <c r="AG351" i="2" s="1"/>
  <c r="AG362" i="2" s="1"/>
  <c r="AG364" i="2"/>
  <c r="Q390" i="2"/>
  <c r="Q380" i="2"/>
  <c r="R64" i="2"/>
  <c r="V64" i="2"/>
  <c r="Z64" i="2"/>
  <c r="P65" i="2"/>
  <c r="T65" i="2"/>
  <c r="AB65" i="2"/>
  <c r="AF65" i="2"/>
  <c r="AI61" i="2"/>
  <c r="AI235" i="2"/>
  <c r="AD49" i="2"/>
  <c r="P52" i="2"/>
  <c r="AL79" i="2"/>
  <c r="AL443" i="2" s="1"/>
  <c r="V124" i="2"/>
  <c r="V135" i="2" s="1"/>
  <c r="Z124" i="2"/>
  <c r="Z135" i="2" s="1"/>
  <c r="AD124" i="2"/>
  <c r="AD135" i="2" s="1"/>
  <c r="AH124" i="2"/>
  <c r="AH135" i="2" s="1"/>
  <c r="AL93" i="2"/>
  <c r="AM96" i="2"/>
  <c r="S113" i="2"/>
  <c r="W113" i="2"/>
  <c r="AA113" i="2"/>
  <c r="AE113" i="2"/>
  <c r="AI113" i="2"/>
  <c r="S115" i="2"/>
  <c r="W115" i="2"/>
  <c r="AA115" i="2"/>
  <c r="AE115" i="2"/>
  <c r="AI115" i="2"/>
  <c r="S119" i="2"/>
  <c r="W119" i="2"/>
  <c r="AA119" i="2"/>
  <c r="AE119" i="2"/>
  <c r="AI119" i="2"/>
  <c r="Q109" i="2"/>
  <c r="AG109" i="2"/>
  <c r="R133" i="2"/>
  <c r="V133" i="2"/>
  <c r="Z133" i="2"/>
  <c r="AD133" i="2"/>
  <c r="AH133" i="2"/>
  <c r="R134" i="2"/>
  <c r="AI130" i="2"/>
  <c r="AH129" i="2"/>
  <c r="AF131" i="2"/>
  <c r="AD137" i="2"/>
  <c r="AH139" i="2"/>
  <c r="AD138" i="2"/>
  <c r="AJ163" i="2"/>
  <c r="AN267" i="2"/>
  <c r="P364" i="2"/>
  <c r="P349" i="2"/>
  <c r="T427" i="2"/>
  <c r="AI433" i="2"/>
  <c r="BF12" i="2"/>
  <c r="X185" i="2"/>
  <c r="X461" i="2" s="1"/>
  <c r="P247" i="2"/>
  <c r="S247" i="2"/>
  <c r="W247" i="2"/>
  <c r="AE247" i="2"/>
  <c r="AI247" i="2"/>
  <c r="AJ361" i="2"/>
  <c r="AG361" i="2"/>
  <c r="T359" i="2"/>
  <c r="T361" i="2"/>
  <c r="N409" i="2"/>
  <c r="P371" i="2"/>
  <c r="P373" i="2" s="1"/>
  <c r="AC383" i="2"/>
  <c r="AF383" i="2"/>
  <c r="AI386" i="2"/>
  <c r="AI390" i="2"/>
  <c r="AI400" i="2" s="1"/>
  <c r="T398" i="2"/>
  <c r="AT398" i="2"/>
  <c r="S428" i="2"/>
  <c r="S442" i="2"/>
  <c r="S453" i="2" s="1"/>
  <c r="Q452" i="2"/>
  <c r="U450" i="2"/>
  <c r="T451" i="2"/>
  <c r="AD205" i="2"/>
  <c r="AH205" i="2"/>
  <c r="V205" i="2"/>
  <c r="V253" i="2"/>
  <c r="O326" i="2"/>
  <c r="S326" i="2"/>
  <c r="W326" i="2"/>
  <c r="AA326" i="2"/>
  <c r="W358" i="2"/>
  <c r="AK359" i="2"/>
  <c r="W349" i="2"/>
  <c r="AC349" i="2"/>
  <c r="AC360" i="2" s="1"/>
  <c r="AG359" i="2"/>
  <c r="Z358" i="2"/>
  <c r="AJ359" i="2"/>
  <c r="O364" i="2"/>
  <c r="AF371" i="2"/>
  <c r="AG380" i="2"/>
  <c r="AF381" i="2"/>
  <c r="S386" i="2"/>
  <c r="N381" i="2"/>
  <c r="X390" i="2"/>
  <c r="X400" i="2" s="1"/>
  <c r="N398" i="2"/>
  <c r="Z398" i="2"/>
  <c r="AP398" i="2"/>
  <c r="V404" i="2"/>
  <c r="R408" i="2"/>
  <c r="S433" i="2"/>
  <c r="Y450" i="2"/>
  <c r="AG452" i="2"/>
  <c r="O247" i="2"/>
  <c r="AD247" i="2"/>
  <c r="AH247" i="2"/>
  <c r="R247" i="2"/>
  <c r="AA205" i="2"/>
  <c r="AE205" i="2"/>
  <c r="AI205" i="2"/>
  <c r="O205" i="2"/>
  <c r="W205" i="2"/>
  <c r="Z228" i="2"/>
  <c r="S270" i="2"/>
  <c r="AM305" i="2"/>
  <c r="O349" i="2"/>
  <c r="O351" i="2" s="1"/>
  <c r="O353" i="2" s="1"/>
  <c r="Z349" i="2"/>
  <c r="O359" i="2"/>
  <c r="AK383" i="2"/>
  <c r="Y383" i="2"/>
  <c r="Q383" i="2"/>
  <c r="X381" i="2"/>
  <c r="S383" i="2"/>
  <c r="R398" i="2"/>
  <c r="AR398" i="2"/>
  <c r="Z404" i="2"/>
  <c r="Y427" i="2"/>
  <c r="AJ427" i="2"/>
  <c r="X430" i="2"/>
  <c r="Y433" i="2"/>
  <c r="N430" i="2"/>
  <c r="T139" i="2"/>
  <c r="X139" i="2"/>
  <c r="R137" i="2"/>
  <c r="J157" i="2"/>
  <c r="U155" i="2"/>
  <c r="Y155" i="2"/>
  <c r="P159" i="2"/>
  <c r="T159" i="2"/>
  <c r="X159" i="2"/>
  <c r="AR155" i="2"/>
  <c r="AO157" i="2"/>
  <c r="AW157" i="2"/>
  <c r="J155" i="2"/>
  <c r="F159" i="2"/>
  <c r="P155" i="2"/>
  <c r="T155" i="2"/>
  <c r="X155" i="2"/>
  <c r="R159" i="2"/>
  <c r="U159" i="2"/>
  <c r="Y159" i="2"/>
  <c r="AB157" i="2"/>
  <c r="AF157" i="2"/>
  <c r="AJ157" i="2"/>
  <c r="AN157" i="2"/>
  <c r="AR157" i="2"/>
  <c r="AV157" i="2"/>
  <c r="AN159" i="2"/>
  <c r="AL103" i="2"/>
  <c r="AL119" i="2" s="1"/>
  <c r="AL50" i="2" s="1"/>
  <c r="AL14" i="2" s="1"/>
  <c r="AN105" i="2"/>
  <c r="AO105" i="2" s="1"/>
  <c r="AP105" i="2" s="1"/>
  <c r="AQ105" i="2" s="1"/>
  <c r="AR105" i="2" s="1"/>
  <c r="AS105" i="2" s="1"/>
  <c r="AT105" i="2" s="1"/>
  <c r="AU105" i="2" s="1"/>
  <c r="AV105" i="2" s="1"/>
  <c r="AW105" i="2" s="1"/>
  <c r="AM126" i="2"/>
  <c r="AM103" i="2"/>
  <c r="AL126" i="2"/>
  <c r="AL130" i="2" s="1"/>
  <c r="AM94" i="2"/>
  <c r="AN94" i="2" s="1"/>
  <c r="AL125" i="2"/>
  <c r="AL129" i="2" s="1"/>
  <c r="AN100" i="2"/>
  <c r="AO100" i="2" s="1"/>
  <c r="AM99" i="2"/>
  <c r="AL99" i="2"/>
  <c r="AL115" i="2" s="1"/>
  <c r="AL49" i="2" s="1"/>
  <c r="AL13" i="2" s="1"/>
  <c r="AN98" i="2"/>
  <c r="AO98" i="2" s="1"/>
  <c r="AM97" i="2"/>
  <c r="AL97" i="2"/>
  <c r="AL113" i="2" s="1"/>
  <c r="AL48" i="2" s="1"/>
  <c r="AL12" i="2" s="1"/>
  <c r="AL109" i="2"/>
  <c r="AL47" i="2" s="1"/>
  <c r="AL11" i="2" s="1"/>
  <c r="AU163" i="2"/>
  <c r="AF163" i="2"/>
  <c r="AV163" i="2"/>
  <c r="K155" i="2"/>
  <c r="K157" i="2"/>
  <c r="AU159" i="2"/>
  <c r="F155" i="2"/>
  <c r="F157" i="2"/>
  <c r="J159" i="2"/>
  <c r="R157" i="2"/>
  <c r="V157" i="2"/>
  <c r="Y157" i="2"/>
  <c r="AB155" i="2"/>
  <c r="AE155" i="2"/>
  <c r="AI155" i="2"/>
  <c r="AM155" i="2"/>
  <c r="AJ155" i="2"/>
  <c r="AW159" i="2"/>
  <c r="G155" i="2"/>
  <c r="G157" i="2"/>
  <c r="G159" i="2"/>
  <c r="P157" i="2"/>
  <c r="S157" i="2"/>
  <c r="W157" i="2"/>
  <c r="AI72" i="2"/>
  <c r="AI36" i="2"/>
  <c r="AE263" i="2"/>
  <c r="AE254" i="2"/>
  <c r="AE255" i="2" s="1"/>
  <c r="AE144" i="2"/>
  <c r="AE56" i="2"/>
  <c r="AK272" i="2"/>
  <c r="AK169" i="2"/>
  <c r="AK41" i="2"/>
  <c r="AS22" i="2"/>
  <c r="P5" i="2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G5" i="2" s="1"/>
  <c r="AH5" i="2" s="1"/>
  <c r="AI5" i="2" s="1"/>
  <c r="AJ5" i="2" s="1"/>
  <c r="AK5" i="2" s="1"/>
  <c r="AL5" i="2" s="1"/>
  <c r="AM5" i="2" s="1"/>
  <c r="AN5" i="2" s="1"/>
  <c r="AO5" i="2" s="1"/>
  <c r="AP5" i="2" s="1"/>
  <c r="AQ5" i="2" s="1"/>
  <c r="AR5" i="2" s="1"/>
  <c r="AS5" i="2" s="1"/>
  <c r="AT5" i="2" s="1"/>
  <c r="AU5" i="2" s="1"/>
  <c r="AV5" i="2" s="1"/>
  <c r="AW5" i="2" s="1"/>
  <c r="Q263" i="2"/>
  <c r="Q261" i="2"/>
  <c r="Q254" i="2"/>
  <c r="Q255" i="2" s="1"/>
  <c r="Q144" i="2"/>
  <c r="Q150" i="2" s="1"/>
  <c r="AC15" i="2"/>
  <c r="S62" i="2"/>
  <c r="S52" i="2"/>
  <c r="U65" i="2"/>
  <c r="U55" i="2"/>
  <c r="AH65" i="2"/>
  <c r="AG65" i="2"/>
  <c r="AG55" i="2"/>
  <c r="P236" i="2"/>
  <c r="P235" i="2"/>
  <c r="AE273" i="2"/>
  <c r="AE40" i="2"/>
  <c r="AE1" i="2" s="1"/>
  <c r="AE38" i="2"/>
  <c r="U273" i="2"/>
  <c r="AL347" i="2"/>
  <c r="AL18" i="2"/>
  <c r="P51" i="2"/>
  <c r="T64" i="2"/>
  <c r="O150" i="2"/>
  <c r="P177" i="2"/>
  <c r="Q177" i="2" s="1"/>
  <c r="AG177" i="2"/>
  <c r="T339" i="2"/>
  <c r="T245" i="2"/>
  <c r="T244" i="2"/>
  <c r="T243" i="2"/>
  <c r="T238" i="2"/>
  <c r="U180" i="2"/>
  <c r="Y253" i="2"/>
  <c r="Y252" i="2"/>
  <c r="Y205" i="2"/>
  <c r="AG253" i="2"/>
  <c r="AG252" i="2"/>
  <c r="AG205" i="2"/>
  <c r="P205" i="2"/>
  <c r="Z249" i="2"/>
  <c r="Z248" i="2"/>
  <c r="Z242" i="2"/>
  <c r="Z244" i="2"/>
  <c r="D309" i="2"/>
  <c r="D216" i="2"/>
  <c r="E5" i="2"/>
  <c r="AI263" i="2"/>
  <c r="AI254" i="2"/>
  <c r="AI255" i="2" s="1"/>
  <c r="AI144" i="2"/>
  <c r="AI46" i="2"/>
  <c r="AH62" i="2"/>
  <c r="AG62" i="2"/>
  <c r="AG52" i="2"/>
  <c r="Q63" i="2"/>
  <c r="Q53" i="2"/>
  <c r="Q391" i="2" s="1"/>
  <c r="U63" i="2"/>
  <c r="U53" i="2"/>
  <c r="U391" i="2" s="1"/>
  <c r="Y63" i="2"/>
  <c r="Y53" i="2"/>
  <c r="Y391" i="2" s="1"/>
  <c r="AC63" i="2"/>
  <c r="AC53" i="2"/>
  <c r="AC391" i="2" s="1"/>
  <c r="AG412" i="2"/>
  <c r="AG411" i="2"/>
  <c r="AH63" i="2"/>
  <c r="AG63" i="2"/>
  <c r="AG53" i="2"/>
  <c r="AG391" i="2" s="1"/>
  <c r="Q64" i="2"/>
  <c r="Q54" i="2"/>
  <c r="U64" i="2"/>
  <c r="U54" i="2"/>
  <c r="Y64" i="2"/>
  <c r="Y54" i="2"/>
  <c r="AC64" i="2"/>
  <c r="AC54" i="2"/>
  <c r="R65" i="2"/>
  <c r="V65" i="2"/>
  <c r="Z65" i="2"/>
  <c r="AD65" i="2"/>
  <c r="R51" i="2"/>
  <c r="Z338" i="2"/>
  <c r="Z334" i="2" s="1"/>
  <c r="Z236" i="2"/>
  <c r="Z235" i="2"/>
  <c r="Z51" i="2"/>
  <c r="AH338" i="2"/>
  <c r="AH334" i="2" s="1"/>
  <c r="AH236" i="2"/>
  <c r="AH235" i="2"/>
  <c r="AH51" i="2"/>
  <c r="AF57" i="2"/>
  <c r="AG67" i="2"/>
  <c r="AF28" i="2"/>
  <c r="AF31" i="2" s="1"/>
  <c r="AG66" i="2" s="1"/>
  <c r="AE59" i="2"/>
  <c r="O281" i="2"/>
  <c r="O282" i="2" s="1"/>
  <c r="O145" i="2"/>
  <c r="O149" i="2" s="1"/>
  <c r="O237" i="2"/>
  <c r="O56" i="2"/>
  <c r="O34" i="2"/>
  <c r="O36" i="2" s="1"/>
  <c r="O23" i="2"/>
  <c r="O66" i="2"/>
  <c r="S281" i="2"/>
  <c r="S282" i="2" s="1"/>
  <c r="S237" i="2"/>
  <c r="S145" i="2"/>
  <c r="S34" i="2"/>
  <c r="S23" i="2"/>
  <c r="S66" i="2"/>
  <c r="W281" i="2"/>
  <c r="W282" i="2" s="1"/>
  <c r="W145" i="2"/>
  <c r="W237" i="2"/>
  <c r="W23" i="2"/>
  <c r="X61" i="2" s="1"/>
  <c r="W66" i="2"/>
  <c r="AA281" i="2"/>
  <c r="AA282" i="2" s="1"/>
  <c r="AA145" i="2"/>
  <c r="AA23" i="2"/>
  <c r="AB61" i="2" s="1"/>
  <c r="AA66" i="2"/>
  <c r="T273" i="2"/>
  <c r="T40" i="2"/>
  <c r="T1" i="2" s="1"/>
  <c r="T38" i="2"/>
  <c r="T460" i="2" s="1"/>
  <c r="U38" i="2"/>
  <c r="T51" i="2"/>
  <c r="AJ51" i="2"/>
  <c r="T53" i="2"/>
  <c r="T391" i="2" s="1"/>
  <c r="P54" i="2"/>
  <c r="AB55" i="2"/>
  <c r="AF62" i="2"/>
  <c r="X64" i="2"/>
  <c r="P66" i="2"/>
  <c r="AO82" i="2"/>
  <c r="U146" i="2"/>
  <c r="U170" i="2"/>
  <c r="U241" i="2" s="1"/>
  <c r="U247" i="2" s="1"/>
  <c r="U82" i="2"/>
  <c r="O109" i="2"/>
  <c r="S124" i="2"/>
  <c r="S135" i="2" s="1"/>
  <c r="S109" i="2"/>
  <c r="AA124" i="2"/>
  <c r="AA133" i="2" s="1"/>
  <c r="AA109" i="2"/>
  <c r="AI124" i="2"/>
  <c r="AI133" i="2" s="1"/>
  <c r="AI109" i="2"/>
  <c r="AO95" i="2"/>
  <c r="AM127" i="2"/>
  <c r="AN96" i="2"/>
  <c r="AN99" i="2"/>
  <c r="AN115" i="2" s="1"/>
  <c r="AN49" i="2" s="1"/>
  <c r="AO104" i="2"/>
  <c r="X113" i="2"/>
  <c r="X115" i="2"/>
  <c r="X119" i="2"/>
  <c r="AE124" i="2"/>
  <c r="AE135" i="2" s="1"/>
  <c r="Y135" i="2"/>
  <c r="AC157" i="2"/>
  <c r="AD157" i="2"/>
  <c r="AG157" i="2"/>
  <c r="AH157" i="2"/>
  <c r="AK157" i="2"/>
  <c r="AL157" i="2"/>
  <c r="AS157" i="2"/>
  <c r="AT157" i="2"/>
  <c r="Z157" i="2"/>
  <c r="Z138" i="2"/>
  <c r="AM198" i="2"/>
  <c r="AM178" i="2" s="1"/>
  <c r="AL178" i="2"/>
  <c r="AC438" i="2"/>
  <c r="AD50" i="2"/>
  <c r="U263" i="2"/>
  <c r="U254" i="2"/>
  <c r="U255" i="2" s="1"/>
  <c r="U144" i="2"/>
  <c r="O62" i="2"/>
  <c r="O52" i="2"/>
  <c r="AA62" i="2"/>
  <c r="AA52" i="2"/>
  <c r="AH64" i="2"/>
  <c r="AG54" i="2"/>
  <c r="Y65" i="2"/>
  <c r="Y55" i="2"/>
  <c r="AK273" i="2"/>
  <c r="P53" i="2"/>
  <c r="P391" i="2" s="1"/>
  <c r="AB54" i="2"/>
  <c r="P63" i="2"/>
  <c r="AE416" i="2"/>
  <c r="AE49" i="2"/>
  <c r="O261" i="2"/>
  <c r="O254" i="2"/>
  <c r="O255" i="2" s="1"/>
  <c r="O46" i="2"/>
  <c r="S263" i="2"/>
  <c r="S261" i="2"/>
  <c r="S254" i="2"/>
  <c r="S255" i="2" s="1"/>
  <c r="S144" i="2"/>
  <c r="S46" i="2"/>
  <c r="W263" i="2"/>
  <c r="W254" i="2"/>
  <c r="W255" i="2" s="1"/>
  <c r="W144" i="2"/>
  <c r="W46" i="2"/>
  <c r="AA263" i="2"/>
  <c r="AA254" i="2"/>
  <c r="AA255" i="2" s="1"/>
  <c r="AA144" i="2"/>
  <c r="AA46" i="2"/>
  <c r="AF254" i="2"/>
  <c r="AF255" i="2" s="1"/>
  <c r="AF263" i="2"/>
  <c r="AF144" i="2"/>
  <c r="AF46" i="2"/>
  <c r="AJ263" i="2"/>
  <c r="AJ254" i="2"/>
  <c r="AJ255" i="2" s="1"/>
  <c r="AJ144" i="2"/>
  <c r="AJ46" i="2"/>
  <c r="Q62" i="2"/>
  <c r="Q52" i="2"/>
  <c r="U62" i="2"/>
  <c r="U52" i="2"/>
  <c r="Y62" i="2"/>
  <c r="Y52" i="2"/>
  <c r="AC62" i="2"/>
  <c r="AC52" i="2"/>
  <c r="AE54" i="2"/>
  <c r="O65" i="2"/>
  <c r="O55" i="2"/>
  <c r="S65" i="2"/>
  <c r="S55" i="2"/>
  <c r="W65" i="2"/>
  <c r="W55" i="2"/>
  <c r="AA65" i="2"/>
  <c r="AA55" i="2"/>
  <c r="AE65" i="2"/>
  <c r="AE55" i="2"/>
  <c r="T338" i="2"/>
  <c r="T334" i="2" s="1"/>
  <c r="T236" i="2"/>
  <c r="T235" i="2"/>
  <c r="AB338" i="2"/>
  <c r="AB236" i="2"/>
  <c r="AB235" i="2"/>
  <c r="AD70" i="2"/>
  <c r="AC70" i="2"/>
  <c r="AC60" i="2"/>
  <c r="AC31" i="2"/>
  <c r="AI281" i="2"/>
  <c r="AI282" i="2" s="1"/>
  <c r="AI237" i="2"/>
  <c r="AI145" i="2"/>
  <c r="AI66" i="2"/>
  <c r="N34" i="2"/>
  <c r="N36" i="2" s="1"/>
  <c r="W36" i="2"/>
  <c r="W72" i="2"/>
  <c r="AC342" i="2"/>
  <c r="AG342" i="2"/>
  <c r="Q46" i="2"/>
  <c r="X51" i="2"/>
  <c r="X53" i="2"/>
  <c r="X391" i="2" s="1"/>
  <c r="P55" i="2"/>
  <c r="AF55" i="2"/>
  <c r="S56" i="2"/>
  <c r="AI56" i="2"/>
  <c r="T62" i="2"/>
  <c r="X63" i="2"/>
  <c r="AJ66" i="2"/>
  <c r="AI181" i="2"/>
  <c r="AI189" i="2" s="1"/>
  <c r="AI190" i="2" s="1"/>
  <c r="AJ179" i="2"/>
  <c r="Q262" i="2"/>
  <c r="Q211" i="2"/>
  <c r="Q220" i="2" s="1"/>
  <c r="AB311" i="2"/>
  <c r="Y263" i="2"/>
  <c r="Y254" i="2"/>
  <c r="Y255" i="2" s="1"/>
  <c r="Y144" i="2"/>
  <c r="W62" i="2"/>
  <c r="W52" i="2"/>
  <c r="T412" i="2"/>
  <c r="T411" i="2"/>
  <c r="AF412" i="2"/>
  <c r="AF411" i="2"/>
  <c r="Q65" i="2"/>
  <c r="Q55" i="2"/>
  <c r="AC65" i="2"/>
  <c r="AC55" i="2"/>
  <c r="X338" i="2"/>
  <c r="X236" i="2"/>
  <c r="X235" i="2"/>
  <c r="R72" i="2"/>
  <c r="R36" i="2"/>
  <c r="AF53" i="2"/>
  <c r="AF391" i="2" s="1"/>
  <c r="AB62" i="2"/>
  <c r="AM140" i="2"/>
  <c r="AM138" i="2"/>
  <c r="AB150" i="2"/>
  <c r="E4" i="2"/>
  <c r="V4" i="2"/>
  <c r="AF416" i="2"/>
  <c r="AG49" i="2"/>
  <c r="P254" i="2"/>
  <c r="P255" i="2" s="1"/>
  <c r="P263" i="2"/>
  <c r="P144" i="2"/>
  <c r="P46" i="2"/>
  <c r="T263" i="2"/>
  <c r="T144" i="2"/>
  <c r="T46" i="2"/>
  <c r="X263" i="2"/>
  <c r="X254" i="2"/>
  <c r="X255" i="2" s="1"/>
  <c r="X46" i="2"/>
  <c r="AB263" i="2"/>
  <c r="AB254" i="2"/>
  <c r="AB255" i="2" s="1"/>
  <c r="AB46" i="2"/>
  <c r="AG263" i="2"/>
  <c r="AG254" i="2"/>
  <c r="AG255" i="2" s="1"/>
  <c r="AG144" i="2"/>
  <c r="AK263" i="2"/>
  <c r="AL263" i="2" s="1"/>
  <c r="AM263" i="2" s="1"/>
  <c r="AN263" i="2" s="1"/>
  <c r="AO263" i="2" s="1"/>
  <c r="AP263" i="2" s="1"/>
  <c r="AQ263" i="2" s="1"/>
  <c r="AR263" i="2" s="1"/>
  <c r="AS263" i="2" s="1"/>
  <c r="AT263" i="2" s="1"/>
  <c r="AU263" i="2" s="1"/>
  <c r="AV263" i="2" s="1"/>
  <c r="AW263" i="2" s="1"/>
  <c r="AK254" i="2"/>
  <c r="AK255" i="2" s="1"/>
  <c r="AK144" i="2"/>
  <c r="R62" i="2"/>
  <c r="V62" i="2"/>
  <c r="Z62" i="2"/>
  <c r="AE52" i="2"/>
  <c r="O412" i="2"/>
  <c r="O411" i="2"/>
  <c r="O63" i="2"/>
  <c r="O53" i="2"/>
  <c r="O391" i="2" s="1"/>
  <c r="S63" i="2"/>
  <c r="S53" i="2"/>
  <c r="S391" i="2" s="1"/>
  <c r="S392" i="2" s="1"/>
  <c r="S401" i="2" s="1"/>
  <c r="W63" i="2"/>
  <c r="W53" i="2"/>
  <c r="W391" i="2" s="1"/>
  <c r="AA63" i="2"/>
  <c r="AA53" i="2"/>
  <c r="AA391" i="2" s="1"/>
  <c r="AE63" i="2"/>
  <c r="AE53" i="2"/>
  <c r="AE391" i="2" s="1"/>
  <c r="O64" i="2"/>
  <c r="O54" i="2"/>
  <c r="S64" i="2"/>
  <c r="S54" i="2"/>
  <c r="W64" i="2"/>
  <c r="W54" i="2"/>
  <c r="AA64" i="2"/>
  <c r="AA54" i="2"/>
  <c r="N338" i="2"/>
  <c r="N334" i="2" s="1"/>
  <c r="N236" i="2"/>
  <c r="N235" i="2"/>
  <c r="N61" i="2"/>
  <c r="N51" i="2"/>
  <c r="V338" i="2"/>
  <c r="V334" i="2" s="1"/>
  <c r="V236" i="2"/>
  <c r="V235" i="2"/>
  <c r="V51" i="2"/>
  <c r="AJ338" i="2"/>
  <c r="AJ236" i="2"/>
  <c r="AJ235" i="2"/>
  <c r="AD67" i="2"/>
  <c r="AD28" i="2"/>
  <c r="AD18" i="2"/>
  <c r="Y66" i="2"/>
  <c r="AE281" i="2"/>
  <c r="AE282" i="2" s="1"/>
  <c r="AE145" i="2"/>
  <c r="AE237" i="2"/>
  <c r="AE23" i="2"/>
  <c r="AA273" i="2"/>
  <c r="AA40" i="2"/>
  <c r="AA1" i="2" s="1"/>
  <c r="AA38" i="2"/>
  <c r="AA460" i="2" s="1"/>
  <c r="AK342" i="2"/>
  <c r="AK72" i="2"/>
  <c r="U40" i="2"/>
  <c r="U1" i="2" s="1"/>
  <c r="AK40" i="2"/>
  <c r="AK1" i="2" s="1"/>
  <c r="U46" i="2"/>
  <c r="AK46" i="2"/>
  <c r="AB51" i="2"/>
  <c r="AB53" i="2"/>
  <c r="AB391" i="2" s="1"/>
  <c r="T55" i="2"/>
  <c r="W56" i="2"/>
  <c r="AD57" i="2"/>
  <c r="X62" i="2"/>
  <c r="AB63" i="2"/>
  <c r="X66" i="2"/>
  <c r="AO72" i="2"/>
  <c r="AK352" i="2"/>
  <c r="AL76" i="2"/>
  <c r="AK421" i="2"/>
  <c r="AL78" i="2"/>
  <c r="AL30" i="2"/>
  <c r="AL248" i="2"/>
  <c r="Y133" i="2"/>
  <c r="X144" i="2"/>
  <c r="AA237" i="2"/>
  <c r="T254" i="2"/>
  <c r="T255" i="2" s="1"/>
  <c r="Q281" i="2"/>
  <c r="Q282" i="2" s="1"/>
  <c r="Q237" i="2"/>
  <c r="Q145" i="2"/>
  <c r="U281" i="2"/>
  <c r="U282" i="2" s="1"/>
  <c r="U237" i="2"/>
  <c r="U145" i="2"/>
  <c r="AG281" i="2"/>
  <c r="AG282" i="2" s="1"/>
  <c r="AG237" i="2"/>
  <c r="AG145" i="2"/>
  <c r="Y34" i="2"/>
  <c r="AG34" i="2"/>
  <c r="AG36" i="2" s="1"/>
  <c r="AD430" i="2"/>
  <c r="AD418" i="2"/>
  <c r="AD433" i="2"/>
  <c r="AD427" i="2"/>
  <c r="AD428" i="2"/>
  <c r="N263" i="2"/>
  <c r="N254" i="2"/>
  <c r="N255" i="2" s="1"/>
  <c r="N242" i="2"/>
  <c r="N243" i="2"/>
  <c r="R263" i="2"/>
  <c r="R261" i="2"/>
  <c r="R254" i="2"/>
  <c r="R255" i="2" s="1"/>
  <c r="R144" i="2"/>
  <c r="V263" i="2"/>
  <c r="V254" i="2"/>
  <c r="V255" i="2" s="1"/>
  <c r="V144" i="2"/>
  <c r="V243" i="2"/>
  <c r="Z263" i="2"/>
  <c r="Z254" i="2"/>
  <c r="Z255" i="2" s="1"/>
  <c r="Z243" i="2"/>
  <c r="Z144" i="2"/>
  <c r="AD15" i="2"/>
  <c r="AD242" i="2" s="1"/>
  <c r="AH263" i="2"/>
  <c r="AH254" i="2"/>
  <c r="AH255" i="2" s="1"/>
  <c r="AH144" i="2"/>
  <c r="N412" i="2"/>
  <c r="N411" i="2"/>
  <c r="R411" i="2"/>
  <c r="R412" i="2"/>
  <c r="V412" i="2"/>
  <c r="V411" i="2"/>
  <c r="Z412" i="2"/>
  <c r="Z411" i="2"/>
  <c r="Q23" i="2"/>
  <c r="U23" i="2"/>
  <c r="Y23" i="2"/>
  <c r="AG23" i="2"/>
  <c r="AH61" i="2" s="1"/>
  <c r="AK338" i="2"/>
  <c r="AK235" i="2"/>
  <c r="N281" i="2"/>
  <c r="N282" i="2" s="1"/>
  <c r="N237" i="2"/>
  <c r="N145" i="2"/>
  <c r="R281" i="2"/>
  <c r="R282" i="2" s="1"/>
  <c r="R237" i="2"/>
  <c r="V281" i="2"/>
  <c r="V282" i="2" s="1"/>
  <c r="V237" i="2"/>
  <c r="Z281" i="2"/>
  <c r="Z282" i="2" s="1"/>
  <c r="Z237" i="2"/>
  <c r="AH281" i="2"/>
  <c r="AH282" i="2" s="1"/>
  <c r="AH237" i="2"/>
  <c r="AH145" i="2"/>
  <c r="Q34" i="2"/>
  <c r="V34" i="2"/>
  <c r="Z34" i="2"/>
  <c r="AH34" i="2"/>
  <c r="AS53" i="2"/>
  <c r="AI51" i="2"/>
  <c r="R56" i="2"/>
  <c r="V56" i="2"/>
  <c r="Z56" i="2"/>
  <c r="AH56" i="2"/>
  <c r="AE67" i="2"/>
  <c r="AA72" i="2"/>
  <c r="AE72" i="2"/>
  <c r="AL131" i="2"/>
  <c r="T109" i="2"/>
  <c r="X109" i="2"/>
  <c r="AB109" i="2"/>
  <c r="AF109" i="2"/>
  <c r="AJ109" i="2"/>
  <c r="U124" i="2"/>
  <c r="AC124" i="2"/>
  <c r="AK124" i="2"/>
  <c r="S133" i="2"/>
  <c r="T129" i="2"/>
  <c r="S137" i="2"/>
  <c r="S129" i="2"/>
  <c r="W133" i="2"/>
  <c r="X129" i="2"/>
  <c r="W137" i="2"/>
  <c r="W129" i="2"/>
  <c r="AB129" i="2"/>
  <c r="AA137" i="2"/>
  <c r="AA129" i="2"/>
  <c r="AE133" i="2"/>
  <c r="AF129" i="2"/>
  <c r="AE137" i="2"/>
  <c r="AE129" i="2"/>
  <c r="AJ129" i="2"/>
  <c r="AI137" i="2"/>
  <c r="AI129" i="2"/>
  <c r="U130" i="2"/>
  <c r="U138" i="2"/>
  <c r="Y130" i="2"/>
  <c r="Y138" i="2"/>
  <c r="AC126" i="2"/>
  <c r="AG130" i="2"/>
  <c r="AG140" i="2"/>
  <c r="AG138" i="2"/>
  <c r="AK130" i="2"/>
  <c r="AK140" i="2"/>
  <c r="AK138" i="2"/>
  <c r="S139" i="2"/>
  <c r="S131" i="2"/>
  <c r="W135" i="2"/>
  <c r="W139" i="2"/>
  <c r="W131" i="2"/>
  <c r="AA135" i="2"/>
  <c r="AA139" i="2"/>
  <c r="AA131" i="2"/>
  <c r="AE141" i="2"/>
  <c r="AE139" i="2"/>
  <c r="AE131" i="2"/>
  <c r="AI141" i="2"/>
  <c r="AI139" i="2"/>
  <c r="AI131" i="2"/>
  <c r="T131" i="2"/>
  <c r="AJ131" i="2"/>
  <c r="Y134" i="2"/>
  <c r="AL137" i="2"/>
  <c r="AL141" i="2"/>
  <c r="Z145" i="2"/>
  <c r="N144" i="2"/>
  <c r="D159" i="2"/>
  <c r="Q155" i="2"/>
  <c r="Q137" i="2"/>
  <c r="X157" i="2"/>
  <c r="AN155" i="2"/>
  <c r="AJ159" i="2"/>
  <c r="AA163" i="2"/>
  <c r="AQ163" i="2"/>
  <c r="Z155" i="2"/>
  <c r="AD249" i="2"/>
  <c r="AD248" i="2"/>
  <c r="AH249" i="2"/>
  <c r="AH248" i="2"/>
  <c r="AH244" i="2"/>
  <c r="AH242" i="2"/>
  <c r="R249" i="2"/>
  <c r="R244" i="2"/>
  <c r="R242" i="2"/>
  <c r="AB339" i="2"/>
  <c r="AB245" i="2"/>
  <c r="AB244" i="2"/>
  <c r="AB243" i="2"/>
  <c r="AB238" i="2"/>
  <c r="AC180" i="2"/>
  <c r="P339" i="2"/>
  <c r="P245" i="2"/>
  <c r="P244" i="2"/>
  <c r="P243" i="2"/>
  <c r="P238" i="2"/>
  <c r="X178" i="2"/>
  <c r="Y178" i="2" s="1"/>
  <c r="AD253" i="2"/>
  <c r="AD252" i="2"/>
  <c r="AH252" i="2"/>
  <c r="AH253" i="2"/>
  <c r="U460" i="2"/>
  <c r="Y219" i="2"/>
  <c r="Y225" i="2" s="1"/>
  <c r="Y228" i="2" s="1"/>
  <c r="AC219" i="2"/>
  <c r="Q280" i="2"/>
  <c r="Q297" i="2"/>
  <c r="Q276" i="2"/>
  <c r="Q275" i="2"/>
  <c r="Q225" i="2"/>
  <c r="Q228" i="2" s="1"/>
  <c r="AD280" i="2"/>
  <c r="AD297" i="2"/>
  <c r="AD276" i="2"/>
  <c r="AD275" i="2"/>
  <c r="AD225" i="2"/>
  <c r="AD228" i="2" s="1"/>
  <c r="AD220" i="2"/>
  <c r="AD221" i="2" s="1"/>
  <c r="AD244" i="2"/>
  <c r="AI338" i="2"/>
  <c r="AI236" i="2"/>
  <c r="P281" i="2"/>
  <c r="P282" i="2" s="1"/>
  <c r="P237" i="2"/>
  <c r="P145" i="2"/>
  <c r="T281" i="2"/>
  <c r="T282" i="2" s="1"/>
  <c r="T237" i="2"/>
  <c r="T145" i="2"/>
  <c r="X281" i="2"/>
  <c r="X282" i="2" s="1"/>
  <c r="X237" i="2"/>
  <c r="X145" i="2"/>
  <c r="AB281" i="2"/>
  <c r="AB282" i="2" s="1"/>
  <c r="AB237" i="2"/>
  <c r="AB145" i="2"/>
  <c r="AB149" i="2" s="1"/>
  <c r="AK281" i="2"/>
  <c r="AK282" i="2" s="1"/>
  <c r="AK237" i="2"/>
  <c r="AK145" i="2"/>
  <c r="X34" i="2"/>
  <c r="AB34" i="2"/>
  <c r="AJ34" i="2"/>
  <c r="R46" i="2"/>
  <c r="V46" i="2"/>
  <c r="Z46" i="2"/>
  <c r="AH46" i="2"/>
  <c r="AK51" i="2"/>
  <c r="T56" i="2"/>
  <c r="X56" i="2"/>
  <c r="AB56" i="2"/>
  <c r="AK61" i="2"/>
  <c r="Q66" i="2"/>
  <c r="U66" i="2"/>
  <c r="AK66" i="2"/>
  <c r="U72" i="2"/>
  <c r="Z109" i="2"/>
  <c r="AH109" i="2"/>
  <c r="U113" i="2"/>
  <c r="Y113" i="2"/>
  <c r="AC113" i="2"/>
  <c r="AG113" i="2"/>
  <c r="AK113" i="2"/>
  <c r="U115" i="2"/>
  <c r="Y115" i="2"/>
  <c r="AC115" i="2"/>
  <c r="AG115" i="2"/>
  <c r="AK115" i="2"/>
  <c r="U119" i="2"/>
  <c r="Y119" i="2"/>
  <c r="AC119" i="2"/>
  <c r="AG119" i="2"/>
  <c r="AK119" i="2"/>
  <c r="C133" i="2"/>
  <c r="C134" i="2"/>
  <c r="U137" i="2"/>
  <c r="U129" i="2"/>
  <c r="Y137" i="2"/>
  <c r="Y129" i="2"/>
  <c r="AC137" i="2"/>
  <c r="AC129" i="2"/>
  <c r="AG137" i="2"/>
  <c r="AG129" i="2"/>
  <c r="AK137" i="2"/>
  <c r="AK129" i="2"/>
  <c r="S138" i="2"/>
  <c r="W134" i="2"/>
  <c r="W138" i="2"/>
  <c r="AA134" i="2"/>
  <c r="AA138" i="2"/>
  <c r="AE134" i="2"/>
  <c r="AE140" i="2"/>
  <c r="AE138" i="2"/>
  <c r="AI140" i="2"/>
  <c r="AI138" i="2"/>
  <c r="V131" i="2"/>
  <c r="U131" i="2"/>
  <c r="U139" i="2"/>
  <c r="Z131" i="2"/>
  <c r="Y131" i="2"/>
  <c r="Y139" i="2"/>
  <c r="AD131" i="2"/>
  <c r="AC131" i="2"/>
  <c r="AC139" i="2"/>
  <c r="AH131" i="2"/>
  <c r="AG131" i="2"/>
  <c r="AG139" i="2"/>
  <c r="AK131" i="2"/>
  <c r="AK139" i="2"/>
  <c r="V129" i="2"/>
  <c r="AA130" i="2"/>
  <c r="AG133" i="2"/>
  <c r="AL139" i="2"/>
  <c r="R145" i="2"/>
  <c r="D155" i="2"/>
  <c r="AF155" i="2"/>
  <c r="AV155" i="2"/>
  <c r="AB159" i="2"/>
  <c r="AR159" i="2"/>
  <c r="AC163" i="2"/>
  <c r="AC161" i="2"/>
  <c r="AG163" i="2"/>
  <c r="AG161" i="2"/>
  <c r="AK163" i="2"/>
  <c r="AK161" i="2"/>
  <c r="AO163" i="2"/>
  <c r="AO161" i="2"/>
  <c r="AS163" i="2"/>
  <c r="AS161" i="2"/>
  <c r="AW163" i="2"/>
  <c r="AW161" i="2"/>
  <c r="AP161" i="2"/>
  <c r="AI163" i="2"/>
  <c r="Z159" i="2"/>
  <c r="AJ339" i="2"/>
  <c r="AJ245" i="2"/>
  <c r="AJ244" i="2"/>
  <c r="AJ243" i="2"/>
  <c r="AJ238" i="2"/>
  <c r="AK180" i="2"/>
  <c r="AK236" i="2" s="1"/>
  <c r="X339" i="2"/>
  <c r="X245" i="2"/>
  <c r="X243" i="2"/>
  <c r="X238" i="2"/>
  <c r="Y180" i="2"/>
  <c r="O186" i="2"/>
  <c r="P186" i="2" s="1"/>
  <c r="Q279" i="2"/>
  <c r="Q292" i="2" s="1"/>
  <c r="Q294" i="2" s="1"/>
  <c r="Q199" i="2"/>
  <c r="T279" i="2"/>
  <c r="T292" i="2" s="1"/>
  <c r="T294" i="2" s="1"/>
  <c r="T261" i="2"/>
  <c r="T199" i="2"/>
  <c r="X279" i="2"/>
  <c r="X292" i="2" s="1"/>
  <c r="X294" i="2" s="1"/>
  <c r="X261" i="2"/>
  <c r="X199" i="2"/>
  <c r="AB279" i="2"/>
  <c r="AB292" i="2" s="1"/>
  <c r="AB294" i="2" s="1"/>
  <c r="AB261" i="2"/>
  <c r="AB199" i="2"/>
  <c r="AB205" i="2" s="1"/>
  <c r="AF279" i="2"/>
  <c r="AF292" i="2" s="1"/>
  <c r="AF294" i="2" s="1"/>
  <c r="AF261" i="2"/>
  <c r="AF199" i="2"/>
  <c r="AJ279" i="2"/>
  <c r="AJ292" i="2" s="1"/>
  <c r="AJ294" i="2" s="1"/>
  <c r="AJ261" i="2"/>
  <c r="AJ199" i="2"/>
  <c r="AJ205" i="2" s="1"/>
  <c r="AM216" i="2"/>
  <c r="P262" i="2"/>
  <c r="P211" i="2"/>
  <c r="P252" i="2" s="1"/>
  <c r="W297" i="2"/>
  <c r="W276" i="2"/>
  <c r="W275" i="2"/>
  <c r="W280" i="2"/>
  <c r="W225" i="2"/>
  <c r="W228" i="2" s="1"/>
  <c r="W220" i="2"/>
  <c r="W221" i="2" s="1"/>
  <c r="AJ297" i="2"/>
  <c r="AJ280" i="2"/>
  <c r="AJ276" i="2"/>
  <c r="AJ275" i="2"/>
  <c r="AJ225" i="2"/>
  <c r="AJ220" i="2"/>
  <c r="O297" i="2"/>
  <c r="O276" i="2"/>
  <c r="O275" i="2"/>
  <c r="O280" i="2"/>
  <c r="O225" i="2"/>
  <c r="O220" i="2"/>
  <c r="O221" i="2" s="1"/>
  <c r="S297" i="2"/>
  <c r="S276" i="2"/>
  <c r="S275" i="2"/>
  <c r="S280" i="2"/>
  <c r="S225" i="2"/>
  <c r="S220" i="2"/>
  <c r="O228" i="2"/>
  <c r="U228" i="2"/>
  <c r="U225" i="2"/>
  <c r="U227" i="2"/>
  <c r="Y227" i="2"/>
  <c r="AC225" i="2"/>
  <c r="AC228" i="2" s="1"/>
  <c r="AC227" i="2"/>
  <c r="AK227" i="2"/>
  <c r="AH243" i="2"/>
  <c r="Y281" i="2"/>
  <c r="Y282" i="2" s="1"/>
  <c r="Y237" i="2"/>
  <c r="Y145" i="2"/>
  <c r="AJ281" i="2"/>
  <c r="AJ282" i="2" s="1"/>
  <c r="AJ237" i="2"/>
  <c r="AJ145" i="2"/>
  <c r="N52" i="2"/>
  <c r="R52" i="2"/>
  <c r="V52" i="2"/>
  <c r="Z52" i="2"/>
  <c r="N53" i="2"/>
  <c r="N391" i="2" s="1"/>
  <c r="R53" i="2"/>
  <c r="R391" i="2" s="1"/>
  <c r="V53" i="2"/>
  <c r="V391" i="2" s="1"/>
  <c r="Z53" i="2"/>
  <c r="Z391" i="2" s="1"/>
  <c r="AD53" i="2"/>
  <c r="AD391" i="2" s="1"/>
  <c r="N54" i="2"/>
  <c r="R54" i="2"/>
  <c r="V54" i="2"/>
  <c r="Z54" i="2"/>
  <c r="N55" i="2"/>
  <c r="R55" i="2"/>
  <c r="V55" i="2"/>
  <c r="Z55" i="2"/>
  <c r="AD55" i="2"/>
  <c r="P56" i="2"/>
  <c r="Q56" i="2"/>
  <c r="U56" i="2"/>
  <c r="Y56" i="2"/>
  <c r="AG56" i="2"/>
  <c r="AK56" i="2"/>
  <c r="N63" i="2"/>
  <c r="R63" i="2"/>
  <c r="V63" i="2"/>
  <c r="Z63" i="2"/>
  <c r="AD63" i="2"/>
  <c r="N66" i="2"/>
  <c r="R66" i="2"/>
  <c r="V66" i="2"/>
  <c r="Z66" i="2"/>
  <c r="AH66" i="2"/>
  <c r="N72" i="2"/>
  <c r="AL180" i="2"/>
  <c r="AL146" i="2"/>
  <c r="V145" i="2"/>
  <c r="AO147" i="2"/>
  <c r="O138" i="2"/>
  <c r="O157" i="2"/>
  <c r="T157" i="2"/>
  <c r="Q159" i="2"/>
  <c r="Q139" i="2"/>
  <c r="AF159" i="2"/>
  <c r="AV159" i="2"/>
  <c r="AD163" i="2"/>
  <c r="AM163" i="2"/>
  <c r="X170" i="2"/>
  <c r="V241" i="2"/>
  <c r="V247" i="2" s="1"/>
  <c r="P172" i="2"/>
  <c r="P338" i="2" s="1"/>
  <c r="P334" i="2" s="1"/>
  <c r="P183" i="2"/>
  <c r="Q183" i="2" s="1"/>
  <c r="S339" i="2"/>
  <c r="S245" i="2"/>
  <c r="S244" i="2"/>
  <c r="S243" i="2"/>
  <c r="S238" i="2"/>
  <c r="X182" i="2"/>
  <c r="AF184" i="2"/>
  <c r="U253" i="2"/>
  <c r="U252" i="2"/>
  <c r="AC253" i="2"/>
  <c r="AC252" i="2"/>
  <c r="AK253" i="2"/>
  <c r="AK252" i="2"/>
  <c r="Z247" i="2"/>
  <c r="S279" i="2"/>
  <c r="S292" i="2" s="1"/>
  <c r="S294" i="2" s="1"/>
  <c r="S205" i="2"/>
  <c r="AC205" i="2"/>
  <c r="N262" i="2"/>
  <c r="N211" i="2"/>
  <c r="N220" i="2" s="1"/>
  <c r="X262" i="2"/>
  <c r="AB262" i="2"/>
  <c r="AF262" i="2"/>
  <c r="AJ262" i="2"/>
  <c r="U280" i="2"/>
  <c r="U297" i="2"/>
  <c r="D297" i="2" s="1"/>
  <c r="U276" i="2"/>
  <c r="U275" i="2"/>
  <c r="U220" i="2"/>
  <c r="U221" i="2" s="1"/>
  <c r="Q233" i="2"/>
  <c r="Q232" i="2"/>
  <c r="Q229" i="2"/>
  <c r="Q230" i="2"/>
  <c r="R130" i="2"/>
  <c r="V130" i="2"/>
  <c r="Z130" i="2"/>
  <c r="AD130" i="2"/>
  <c r="AH130" i="2"/>
  <c r="T133" i="2"/>
  <c r="X133" i="2"/>
  <c r="AB133" i="2"/>
  <c r="AF133" i="2"/>
  <c r="AJ133" i="2"/>
  <c r="T134" i="2"/>
  <c r="X134" i="2"/>
  <c r="AB134" i="2"/>
  <c r="AF134" i="2"/>
  <c r="AJ134" i="2"/>
  <c r="T135" i="2"/>
  <c r="X135" i="2"/>
  <c r="AB135" i="2"/>
  <c r="AF135" i="2"/>
  <c r="AJ135" i="2"/>
  <c r="AC170" i="2"/>
  <c r="AC241" i="2" s="1"/>
  <c r="AC247" i="2" s="1"/>
  <c r="AG249" i="2"/>
  <c r="AG248" i="2"/>
  <c r="AG242" i="2"/>
  <c r="AK249" i="2"/>
  <c r="AK248" i="2"/>
  <c r="AK247" i="2"/>
  <c r="AK242" i="2"/>
  <c r="Q249" i="2"/>
  <c r="Q248" i="2"/>
  <c r="Q242" i="2"/>
  <c r="P171" i="2"/>
  <c r="Q171" i="2" s="1"/>
  <c r="O173" i="2"/>
  <c r="P173" i="2" s="1"/>
  <c r="P175" i="2"/>
  <c r="Q175" i="2" s="1"/>
  <c r="AI339" i="2"/>
  <c r="AI245" i="2"/>
  <c r="AI244" i="2"/>
  <c r="AI243" i="2"/>
  <c r="O178" i="2"/>
  <c r="AA339" i="2"/>
  <c r="AA245" i="2"/>
  <c r="AA244" i="2"/>
  <c r="AA243" i="2"/>
  <c r="O339" i="2"/>
  <c r="O245" i="2"/>
  <c r="O244" i="2"/>
  <c r="O243" i="2"/>
  <c r="AF180" i="2"/>
  <c r="Q182" i="2"/>
  <c r="T182" i="2"/>
  <c r="W181" i="2"/>
  <c r="W189" i="2" s="1"/>
  <c r="W190" i="2" s="1"/>
  <c r="O184" i="2"/>
  <c r="P184" i="2" s="1"/>
  <c r="Y185" i="2"/>
  <c r="Y461" i="2" s="1"/>
  <c r="AB185" i="2"/>
  <c r="AJ188" i="2"/>
  <c r="P279" i="2"/>
  <c r="P292" i="2" s="1"/>
  <c r="P294" i="2" s="1"/>
  <c r="P261" i="2"/>
  <c r="W279" i="2"/>
  <c r="W292" i="2" s="1"/>
  <c r="W294" i="2" s="1"/>
  <c r="W261" i="2"/>
  <c r="AA279" i="2"/>
  <c r="AA292" i="2" s="1"/>
  <c r="AA294" i="2" s="1"/>
  <c r="AA261" i="2"/>
  <c r="AE279" i="2"/>
  <c r="AE292" i="2" s="1"/>
  <c r="AE294" i="2" s="1"/>
  <c r="AE261" i="2"/>
  <c r="AI279" i="2"/>
  <c r="AI292" i="2" s="1"/>
  <c r="AI294" i="2" s="1"/>
  <c r="AI261" i="2"/>
  <c r="O253" i="2"/>
  <c r="O252" i="2"/>
  <c r="AG247" i="2"/>
  <c r="W262" i="2"/>
  <c r="AA262" i="2"/>
  <c r="AE262" i="2"/>
  <c r="AI262" i="2"/>
  <c r="T262" i="2"/>
  <c r="T219" i="2"/>
  <c r="X219" i="2"/>
  <c r="R280" i="2"/>
  <c r="R297" i="2"/>
  <c r="R298" i="2" s="1"/>
  <c r="R300" i="2" s="1"/>
  <c r="R276" i="2"/>
  <c r="R275" i="2"/>
  <c r="R225" i="2"/>
  <c r="AB219" i="2"/>
  <c r="S228" i="2"/>
  <c r="AJ228" i="2"/>
  <c r="O238" i="2"/>
  <c r="R253" i="2"/>
  <c r="T130" i="2"/>
  <c r="X130" i="2"/>
  <c r="AB130" i="2"/>
  <c r="AF130" i="2"/>
  <c r="AJ130" i="2"/>
  <c r="O155" i="2"/>
  <c r="S155" i="2"/>
  <c r="W155" i="2"/>
  <c r="Q157" i="2"/>
  <c r="U157" i="2"/>
  <c r="O159" i="2"/>
  <c r="S159" i="2"/>
  <c r="W159" i="2"/>
  <c r="AC155" i="2"/>
  <c r="AG155" i="2"/>
  <c r="AK155" i="2"/>
  <c r="AO155" i="2"/>
  <c r="AS155" i="2"/>
  <c r="AA157" i="2"/>
  <c r="AE157" i="2"/>
  <c r="AI157" i="2"/>
  <c r="AM157" i="2"/>
  <c r="AQ157" i="2"/>
  <c r="AU157" i="2"/>
  <c r="AC159" i="2"/>
  <c r="AG159" i="2"/>
  <c r="AK159" i="2"/>
  <c r="AO159" i="2"/>
  <c r="AS159" i="2"/>
  <c r="AA161" i="2"/>
  <c r="AE161" i="2"/>
  <c r="AI161" i="2"/>
  <c r="AM161" i="2"/>
  <c r="AQ161" i="2"/>
  <c r="AU161" i="2"/>
  <c r="AA242" i="2"/>
  <c r="AE242" i="2"/>
  <c r="AI242" i="2"/>
  <c r="O242" i="2"/>
  <c r="S242" i="2"/>
  <c r="W242" i="2"/>
  <c r="Q180" i="2"/>
  <c r="Q184" i="2"/>
  <c r="O279" i="2"/>
  <c r="O292" i="2" s="1"/>
  <c r="O294" i="2" s="1"/>
  <c r="O263" i="2"/>
  <c r="U279" i="2"/>
  <c r="U292" i="2" s="1"/>
  <c r="U294" i="2" s="1"/>
  <c r="U261" i="2"/>
  <c r="Y279" i="2"/>
  <c r="Y292" i="2" s="1"/>
  <c r="Y294" i="2" s="1"/>
  <c r="Y261" i="2"/>
  <c r="AC279" i="2"/>
  <c r="AC292" i="2" s="1"/>
  <c r="AC294" i="2" s="1"/>
  <c r="AC261" i="2"/>
  <c r="AG279" i="2"/>
  <c r="AG292" i="2" s="1"/>
  <c r="AG294" i="2" s="1"/>
  <c r="AG261" i="2"/>
  <c r="AK279" i="2"/>
  <c r="AK292" i="2" s="1"/>
  <c r="AK294" i="2" s="1"/>
  <c r="AK261" i="2"/>
  <c r="AL261" i="2" s="1"/>
  <c r="AM261" i="2" s="1"/>
  <c r="AN261" i="2" s="1"/>
  <c r="AO261" i="2" s="1"/>
  <c r="AP261" i="2" s="1"/>
  <c r="AQ261" i="2" s="1"/>
  <c r="AR261" i="2" s="1"/>
  <c r="AS261" i="2" s="1"/>
  <c r="AT261" i="2" s="1"/>
  <c r="AU261" i="2" s="1"/>
  <c r="AV261" i="2" s="1"/>
  <c r="AW261" i="2" s="1"/>
  <c r="Q247" i="2"/>
  <c r="R248" i="2"/>
  <c r="R205" i="2"/>
  <c r="R221" i="2" s="1"/>
  <c r="Z205" i="2"/>
  <c r="Z221" i="2" s="1"/>
  <c r="O262" i="2"/>
  <c r="R262" i="2"/>
  <c r="Y262" i="2"/>
  <c r="AC262" i="2"/>
  <c r="AG262" i="2"/>
  <c r="AK262" i="2"/>
  <c r="AL262" i="2" s="1"/>
  <c r="AM262" i="2" s="1"/>
  <c r="AN262" i="2" s="1"/>
  <c r="AO262" i="2" s="1"/>
  <c r="AP262" i="2" s="1"/>
  <c r="AQ262" i="2" s="1"/>
  <c r="AR262" i="2" s="1"/>
  <c r="AS262" i="2" s="1"/>
  <c r="AT262" i="2" s="1"/>
  <c r="AU262" i="2" s="1"/>
  <c r="AV262" i="2" s="1"/>
  <c r="AW262" i="2" s="1"/>
  <c r="T313" i="2"/>
  <c r="T226" i="2"/>
  <c r="V219" i="2"/>
  <c r="AI216" i="2"/>
  <c r="N280" i="2"/>
  <c r="N297" i="2"/>
  <c r="N276" i="2"/>
  <c r="N275" i="2"/>
  <c r="N225" i="2"/>
  <c r="N228" i="2" s="1"/>
  <c r="P297" i="2"/>
  <c r="P276" i="2"/>
  <c r="P275" i="2"/>
  <c r="AF219" i="2"/>
  <c r="AA238" i="2"/>
  <c r="AI238" i="2"/>
  <c r="N249" i="2"/>
  <c r="N248" i="2"/>
  <c r="AA248" i="2"/>
  <c r="W249" i="2"/>
  <c r="AF138" i="2"/>
  <c r="AJ138" i="2"/>
  <c r="AF139" i="2"/>
  <c r="AJ139" i="2"/>
  <c r="AB242" i="2"/>
  <c r="AB249" i="2"/>
  <c r="AB248" i="2"/>
  <c r="AF242" i="2"/>
  <c r="AF249" i="2"/>
  <c r="AF248" i="2"/>
  <c r="AJ242" i="2"/>
  <c r="AJ249" i="2"/>
  <c r="AJ248" i="2"/>
  <c r="P242" i="2"/>
  <c r="P249" i="2"/>
  <c r="P248" i="2"/>
  <c r="T242" i="2"/>
  <c r="T249" i="2"/>
  <c r="T248" i="2"/>
  <c r="AE339" i="2"/>
  <c r="AE245" i="2"/>
  <c r="AE244" i="2"/>
  <c r="AE243" i="2"/>
  <c r="AE181" i="2"/>
  <c r="AE189" i="2" s="1"/>
  <c r="AE190" i="2" s="1"/>
  <c r="W339" i="2"/>
  <c r="W245" i="2"/>
  <c r="W244" i="2"/>
  <c r="W243" i="2"/>
  <c r="N279" i="2"/>
  <c r="N292" i="2" s="1"/>
  <c r="N294" i="2" s="1"/>
  <c r="N261" i="2"/>
  <c r="V279" i="2"/>
  <c r="V292" i="2" s="1"/>
  <c r="V294" i="2" s="1"/>
  <c r="V261" i="2"/>
  <c r="Z279" i="2"/>
  <c r="Z292" i="2" s="1"/>
  <c r="Z294" i="2" s="1"/>
  <c r="Z298" i="2" s="1"/>
  <c r="Z300" i="2" s="1"/>
  <c r="Z261" i="2"/>
  <c r="AD279" i="2"/>
  <c r="AD292" i="2" s="1"/>
  <c r="AD294" i="2" s="1"/>
  <c r="AD298" i="2" s="1"/>
  <c r="AH279" i="2"/>
  <c r="AH292" i="2" s="1"/>
  <c r="AH294" i="2" s="1"/>
  <c r="AH261" i="2"/>
  <c r="N199" i="2"/>
  <c r="N205" i="2" s="1"/>
  <c r="S253" i="2"/>
  <c r="S252" i="2"/>
  <c r="W253" i="2"/>
  <c r="W252" i="2"/>
  <c r="AA253" i="2"/>
  <c r="AA252" i="2"/>
  <c r="AE253" i="2"/>
  <c r="AE252" i="2"/>
  <c r="AI253" i="2"/>
  <c r="AI252" i="2"/>
  <c r="T247" i="2"/>
  <c r="AB247" i="2"/>
  <c r="AF247" i="2"/>
  <c r="AJ247" i="2"/>
  <c r="S262" i="2"/>
  <c r="V262" i="2"/>
  <c r="Z262" i="2"/>
  <c r="AD262" i="2"/>
  <c r="AH262" i="2"/>
  <c r="U262" i="2"/>
  <c r="P313" i="2"/>
  <c r="P280" i="2"/>
  <c r="P226" i="2"/>
  <c r="AA219" i="2"/>
  <c r="AE460" i="2"/>
  <c r="AE219" i="2"/>
  <c r="AE287" i="2" s="1"/>
  <c r="R228" i="2"/>
  <c r="O248" i="2"/>
  <c r="AE248" i="2"/>
  <c r="AA249" i="2"/>
  <c r="AK460" i="2"/>
  <c r="X227" i="2"/>
  <c r="AB227" i="2"/>
  <c r="AF227" i="2"/>
  <c r="AJ227" i="2"/>
  <c r="AG219" i="2"/>
  <c r="AG229" i="2" s="1"/>
  <c r="AK219" i="2"/>
  <c r="AK225" i="2" s="1"/>
  <c r="AK228" i="2" s="1"/>
  <c r="N227" i="2"/>
  <c r="R227" i="2"/>
  <c r="V227" i="2"/>
  <c r="Z227" i="2"/>
  <c r="AD227" i="2"/>
  <c r="AH227" i="2"/>
  <c r="O227" i="2"/>
  <c r="S227" i="2"/>
  <c r="W227" i="2"/>
  <c r="AA227" i="2"/>
  <c r="AE227" i="2"/>
  <c r="AI227" i="2"/>
  <c r="AO269" i="2"/>
  <c r="AO267" i="2" s="1"/>
  <c r="AJ311" i="2"/>
  <c r="AN304" i="2"/>
  <c r="AG328" i="2"/>
  <c r="AG311" i="2"/>
  <c r="AK328" i="2"/>
  <c r="AK311" i="2"/>
  <c r="AD308" i="2"/>
  <c r="AD324" i="2"/>
  <c r="P299" i="2"/>
  <c r="P326" i="2"/>
  <c r="T299" i="2"/>
  <c r="T326" i="2"/>
  <c r="X299" i="2"/>
  <c r="X326" i="2"/>
  <c r="AB299" i="2"/>
  <c r="AB326" i="2"/>
  <c r="AH311" i="2"/>
  <c r="AH328" i="2"/>
  <c r="P310" i="2"/>
  <c r="AF311" i="2"/>
  <c r="AN306" i="2"/>
  <c r="AM308" i="2"/>
  <c r="Q328" i="2"/>
  <c r="Q311" i="2"/>
  <c r="U311" i="2"/>
  <c r="Y311" i="2"/>
  <c r="AC328" i="2"/>
  <c r="AC311" i="2"/>
  <c r="T310" i="2"/>
  <c r="U328" i="2" s="1"/>
  <c r="N311" i="2"/>
  <c r="R311" i="2"/>
  <c r="R328" i="2"/>
  <c r="V311" i="2"/>
  <c r="V328" i="2"/>
  <c r="Z311" i="2"/>
  <c r="Z328" i="2"/>
  <c r="AF299" i="2"/>
  <c r="AJ299" i="2"/>
  <c r="AJ326" i="2"/>
  <c r="X310" i="2"/>
  <c r="AL308" i="2"/>
  <c r="AE308" i="2"/>
  <c r="AF326" i="2" s="1"/>
  <c r="O310" i="2"/>
  <c r="S310" i="2"/>
  <c r="W310" i="2"/>
  <c r="AA310" i="2"/>
  <c r="AB328" i="2" s="1"/>
  <c r="AI310" i="2"/>
  <c r="AJ328" i="2" s="1"/>
  <c r="AK315" i="2"/>
  <c r="AJ317" i="2"/>
  <c r="AJ318" i="2" s="1"/>
  <c r="AE324" i="2"/>
  <c r="Q326" i="2"/>
  <c r="U326" i="2"/>
  <c r="Y326" i="2"/>
  <c r="AC326" i="2"/>
  <c r="AG326" i="2"/>
  <c r="AK326" i="2"/>
  <c r="AK341" i="2" s="1"/>
  <c r="W351" i="2"/>
  <c r="W360" i="2"/>
  <c r="AK349" i="2"/>
  <c r="W403" i="2"/>
  <c r="W382" i="2"/>
  <c r="W373" i="2"/>
  <c r="R326" i="2"/>
  <c r="V326" i="2"/>
  <c r="Z326" i="2"/>
  <c r="AH326" i="2"/>
  <c r="R364" i="2"/>
  <c r="R361" i="2"/>
  <c r="R359" i="2"/>
  <c r="R349" i="2"/>
  <c r="R358" i="2"/>
  <c r="O363" i="2"/>
  <c r="O355" i="2"/>
  <c r="O365" i="2"/>
  <c r="AJ351" i="2"/>
  <c r="N364" i="2"/>
  <c r="N361" i="2"/>
  <c r="N359" i="2"/>
  <c r="N349" i="2"/>
  <c r="S358" i="2"/>
  <c r="S349" i="2"/>
  <c r="S359" i="2"/>
  <c r="T358" i="2"/>
  <c r="S364" i="2"/>
  <c r="S361" i="2"/>
  <c r="X349" i="2"/>
  <c r="X359" i="2"/>
  <c r="Y358" i="2"/>
  <c r="X364" i="2"/>
  <c r="X358" i="2"/>
  <c r="X361" i="2"/>
  <c r="AD364" i="2"/>
  <c r="AD361" i="2"/>
  <c r="AD359" i="2"/>
  <c r="AD349" i="2"/>
  <c r="AD358" i="2"/>
  <c r="AI358" i="2"/>
  <c r="AI349" i="2"/>
  <c r="AI359" i="2"/>
  <c r="AJ358" i="2"/>
  <c r="AI364" i="2"/>
  <c r="AI361" i="2"/>
  <c r="P360" i="2"/>
  <c r="P351" i="2"/>
  <c r="AE351" i="2"/>
  <c r="AE360" i="2"/>
  <c r="T410" i="2"/>
  <c r="T373" i="2"/>
  <c r="T403" i="2"/>
  <c r="T382" i="2"/>
  <c r="AE373" i="2"/>
  <c r="AE403" i="2"/>
  <c r="AE382" i="2"/>
  <c r="AA384" i="2"/>
  <c r="AA375" i="2"/>
  <c r="AH364" i="2"/>
  <c r="AH359" i="2"/>
  <c r="V349" i="2"/>
  <c r="AB349" i="2"/>
  <c r="AC351" i="2"/>
  <c r="AG353" i="2"/>
  <c r="Q358" i="2"/>
  <c r="AB358" i="2"/>
  <c r="AG358" i="2"/>
  <c r="P359" i="2"/>
  <c r="AA359" i="2"/>
  <c r="AF359" i="2"/>
  <c r="O362" i="2"/>
  <c r="W364" i="2"/>
  <c r="AB364" i="2"/>
  <c r="U371" i="2"/>
  <c r="U380" i="2"/>
  <c r="U390" i="2"/>
  <c r="AC380" i="2"/>
  <c r="S380" i="2"/>
  <c r="U386" i="2"/>
  <c r="AC358" i="2"/>
  <c r="AH358" i="2"/>
  <c r="W359" i="2"/>
  <c r="AB359" i="2"/>
  <c r="AC364" i="2"/>
  <c r="O409" i="2"/>
  <c r="O390" i="2"/>
  <c r="O380" i="2"/>
  <c r="O383" i="2"/>
  <c r="O381" i="2"/>
  <c r="O371" i="2"/>
  <c r="T409" i="2"/>
  <c r="T380" i="2"/>
  <c r="T390" i="2"/>
  <c r="T386" i="2"/>
  <c r="T381" i="2"/>
  <c r="T383" i="2"/>
  <c r="Z409" i="2"/>
  <c r="Z390" i="2"/>
  <c r="Z386" i="2"/>
  <c r="Z380" i="2"/>
  <c r="Z383" i="2"/>
  <c r="AE381" i="2"/>
  <c r="AE390" i="2"/>
  <c r="AE386" i="2"/>
  <c r="AE380" i="2"/>
  <c r="AE383" i="2"/>
  <c r="AJ409" i="2"/>
  <c r="AJ380" i="2"/>
  <c r="AJ390" i="2"/>
  <c r="AJ386" i="2"/>
  <c r="AJ381" i="2"/>
  <c r="AK380" i="2"/>
  <c r="AJ371" i="2"/>
  <c r="AF410" i="2"/>
  <c r="AF403" i="2"/>
  <c r="AF373" i="2"/>
  <c r="AF382" i="2"/>
  <c r="AJ383" i="2"/>
  <c r="Y381" i="2"/>
  <c r="Y371" i="2"/>
  <c r="V380" i="2"/>
  <c r="U381" i="2"/>
  <c r="O358" i="2"/>
  <c r="AE358" i="2"/>
  <c r="Z360" i="2"/>
  <c r="Z351" i="2"/>
  <c r="AF349" i="2"/>
  <c r="Y349" i="2"/>
  <c r="T355" i="2"/>
  <c r="O360" i="2"/>
  <c r="T360" i="2"/>
  <c r="P361" i="2"/>
  <c r="AA361" i="2"/>
  <c r="AF361" i="2"/>
  <c r="P403" i="2"/>
  <c r="P382" i="2"/>
  <c r="Z371" i="2"/>
  <c r="AH371" i="2"/>
  <c r="U383" i="2"/>
  <c r="V364" i="2"/>
  <c r="V361" i="2"/>
  <c r="V359" i="2"/>
  <c r="AA349" i="2"/>
  <c r="AH349" i="2"/>
  <c r="AH361" i="2"/>
  <c r="AL350" i="2"/>
  <c r="U349" i="2"/>
  <c r="Q349" i="2"/>
  <c r="P358" i="2"/>
  <c r="U358" i="2"/>
  <c r="AF358" i="2"/>
  <c r="AK358" i="2"/>
  <c r="W361" i="2"/>
  <c r="U364" i="2"/>
  <c r="AA364" i="2"/>
  <c r="R390" i="2"/>
  <c r="R386" i="2"/>
  <c r="R409" i="2"/>
  <c r="R383" i="2"/>
  <c r="R380" i="2"/>
  <c r="W381" i="2"/>
  <c r="W383" i="2"/>
  <c r="W390" i="2"/>
  <c r="W386" i="2"/>
  <c r="W380" i="2"/>
  <c r="AB380" i="2"/>
  <c r="AB383" i="2"/>
  <c r="AB390" i="2"/>
  <c r="AB386" i="2"/>
  <c r="AB381" i="2"/>
  <c r="AB371" i="2"/>
  <c r="AH409" i="2"/>
  <c r="AH390" i="2"/>
  <c r="AH386" i="2"/>
  <c r="AH380" i="2"/>
  <c r="R371" i="2"/>
  <c r="AA403" i="2"/>
  <c r="AA382" i="2"/>
  <c r="AK403" i="2"/>
  <c r="AK410" i="2"/>
  <c r="AK373" i="2"/>
  <c r="AK382" i="2"/>
  <c r="AH383" i="2"/>
  <c r="AL372" i="2"/>
  <c r="P375" i="2"/>
  <c r="P384" i="2"/>
  <c r="Q400" i="2"/>
  <c r="Q392" i="2"/>
  <c r="Q401" i="2" s="1"/>
  <c r="AA380" i="2"/>
  <c r="Z381" i="2"/>
  <c r="AH381" i="2"/>
  <c r="Z359" i="2"/>
  <c r="Z361" i="2"/>
  <c r="P381" i="2"/>
  <c r="P380" i="2"/>
  <c r="V409" i="2"/>
  <c r="V390" i="2"/>
  <c r="V386" i="2"/>
  <c r="AA381" i="2"/>
  <c r="AF409" i="2"/>
  <c r="AF380" i="2"/>
  <c r="AK409" i="2"/>
  <c r="V371" i="2"/>
  <c r="Q371" i="2"/>
  <c r="AC371" i="2"/>
  <c r="AG371" i="2"/>
  <c r="Q381" i="2"/>
  <c r="V381" i="2"/>
  <c r="AG381" i="2"/>
  <c r="Q386" i="2"/>
  <c r="AG386" i="2"/>
  <c r="P390" i="2"/>
  <c r="AA390" i="2"/>
  <c r="AF390" i="2"/>
  <c r="AK390" i="2"/>
  <c r="AC396" i="2"/>
  <c r="P408" i="2"/>
  <c r="P411" i="2" s="1"/>
  <c r="P404" i="2"/>
  <c r="X408" i="2"/>
  <c r="X412" i="2" s="1"/>
  <c r="X398" i="2"/>
  <c r="AB397" i="2"/>
  <c r="AV408" i="2"/>
  <c r="AV398" i="2"/>
  <c r="P398" i="2"/>
  <c r="X404" i="2"/>
  <c r="AK404" i="2"/>
  <c r="AK411" i="2"/>
  <c r="AL389" i="2"/>
  <c r="AM389" i="2" s="1"/>
  <c r="AN389" i="2" s="1"/>
  <c r="AO389" i="2" s="1"/>
  <c r="AP389" i="2" s="1"/>
  <c r="AQ389" i="2" s="1"/>
  <c r="AR389" i="2" s="1"/>
  <c r="AS389" i="2" s="1"/>
  <c r="AT389" i="2" s="1"/>
  <c r="AU389" i="2" s="1"/>
  <c r="AV389" i="2" s="1"/>
  <c r="AW389" i="2" s="1"/>
  <c r="AG390" i="2"/>
  <c r="Q404" i="2"/>
  <c r="Q398" i="2"/>
  <c r="Q408" i="2"/>
  <c r="Q412" i="2" s="1"/>
  <c r="U408" i="2"/>
  <c r="U411" i="2" s="1"/>
  <c r="U404" i="2"/>
  <c r="U398" i="2"/>
  <c r="Y404" i="2"/>
  <c r="Y398" i="2"/>
  <c r="Y408" i="2"/>
  <c r="Y409" i="2" s="1"/>
  <c r="W429" i="2"/>
  <c r="W420" i="2"/>
  <c r="AC390" i="2"/>
  <c r="AI392" i="2"/>
  <c r="AI412" i="2"/>
  <c r="AI411" i="2"/>
  <c r="Y392" i="2"/>
  <c r="Y401" i="2" s="1"/>
  <c r="S408" i="2"/>
  <c r="S409" i="2" s="1"/>
  <c r="S398" i="2"/>
  <c r="W408" i="2"/>
  <c r="W412" i="2" s="1"/>
  <c r="W404" i="2"/>
  <c r="AA404" i="2"/>
  <c r="AA408" i="2"/>
  <c r="AA412" i="2" s="1"/>
  <c r="AQ408" i="2"/>
  <c r="AQ398" i="2"/>
  <c r="O398" i="2"/>
  <c r="O404" i="2"/>
  <c r="AF404" i="2"/>
  <c r="N371" i="2"/>
  <c r="S371" i="2"/>
  <c r="X371" i="2"/>
  <c r="AD371" i="2"/>
  <c r="AI371" i="2"/>
  <c r="X380" i="2"/>
  <c r="AI381" i="2"/>
  <c r="AD386" i="2"/>
  <c r="N383" i="2"/>
  <c r="N390" i="2"/>
  <c r="AD390" i="2"/>
  <c r="AE404" i="2"/>
  <c r="AE408" i="2"/>
  <c r="AE410" i="2" s="1"/>
  <c r="O429" i="2"/>
  <c r="O420" i="2"/>
  <c r="AI420" i="2"/>
  <c r="AK418" i="2"/>
  <c r="AC427" i="2"/>
  <c r="AC418" i="2"/>
  <c r="AC430" i="2"/>
  <c r="AG428" i="2"/>
  <c r="P430" i="2"/>
  <c r="P428" i="2"/>
  <c r="V430" i="2"/>
  <c r="V428" i="2"/>
  <c r="V418" i="2"/>
  <c r="AA428" i="2"/>
  <c r="AA418" i="2"/>
  <c r="AA433" i="2"/>
  <c r="AA430" i="2"/>
  <c r="P418" i="2"/>
  <c r="Z420" i="2"/>
  <c r="Z429" i="2"/>
  <c r="AL419" i="2"/>
  <c r="AK430" i="2"/>
  <c r="Y420" i="2"/>
  <c r="Y429" i="2"/>
  <c r="P427" i="2"/>
  <c r="AA427" i="2"/>
  <c r="R430" i="2"/>
  <c r="R433" i="2"/>
  <c r="R427" i="2"/>
  <c r="R428" i="2"/>
  <c r="S427" i="2"/>
  <c r="W427" i="2"/>
  <c r="W433" i="2"/>
  <c r="W428" i="2"/>
  <c r="X427" i="2"/>
  <c r="AB433" i="2"/>
  <c r="AB428" i="2"/>
  <c r="AB427" i="2"/>
  <c r="AB418" i="2"/>
  <c r="R418" i="2"/>
  <c r="AJ420" i="2"/>
  <c r="Q427" i="2"/>
  <c r="Q433" i="2"/>
  <c r="Q418" i="2"/>
  <c r="W430" i="2"/>
  <c r="T453" i="2"/>
  <c r="T444" i="2"/>
  <c r="AH427" i="2"/>
  <c r="AH418" i="2"/>
  <c r="AH433" i="2"/>
  <c r="AH428" i="2"/>
  <c r="AI427" i="2"/>
  <c r="Q428" i="2"/>
  <c r="AG427" i="2"/>
  <c r="AG418" i="2"/>
  <c r="AG433" i="2"/>
  <c r="V427" i="2"/>
  <c r="Q430" i="2"/>
  <c r="V433" i="2"/>
  <c r="AO398" i="2"/>
  <c r="T433" i="2"/>
  <c r="T428" i="2"/>
  <c r="Z433" i="2"/>
  <c r="Z430" i="2"/>
  <c r="AK433" i="2"/>
  <c r="AK427" i="2"/>
  <c r="AC452" i="2"/>
  <c r="Z451" i="2"/>
  <c r="N440" i="2"/>
  <c r="N452" i="2"/>
  <c r="W455" i="2"/>
  <c r="W452" i="2"/>
  <c r="W450" i="2"/>
  <c r="W449" i="2"/>
  <c r="W440" i="2"/>
  <c r="AB455" i="2"/>
  <c r="AB449" i="2"/>
  <c r="AB452" i="2"/>
  <c r="AB440" i="2"/>
  <c r="AH455" i="2"/>
  <c r="AH450" i="2"/>
  <c r="O451" i="2"/>
  <c r="O442" i="2"/>
  <c r="AH440" i="2"/>
  <c r="U442" i="2"/>
  <c r="U444" i="2" s="1"/>
  <c r="U451" i="2"/>
  <c r="N450" i="2"/>
  <c r="T429" i="2"/>
  <c r="O452" i="2"/>
  <c r="O450" i="2"/>
  <c r="O449" i="2"/>
  <c r="X455" i="2"/>
  <c r="X440" i="2"/>
  <c r="X452" i="2"/>
  <c r="X450" i="2"/>
  <c r="Y449" i="2"/>
  <c r="AD440" i="2"/>
  <c r="AD450" i="2"/>
  <c r="AD455" i="2"/>
  <c r="AD449" i="2"/>
  <c r="AI450" i="2"/>
  <c r="AI449" i="2"/>
  <c r="AI440" i="2"/>
  <c r="Z444" i="2"/>
  <c r="Z453" i="2"/>
  <c r="AH452" i="2"/>
  <c r="Q450" i="2"/>
  <c r="Q440" i="2"/>
  <c r="AG442" i="2"/>
  <c r="AG451" i="2"/>
  <c r="AH449" i="2"/>
  <c r="AB450" i="2"/>
  <c r="AI455" i="2"/>
  <c r="AJ433" i="2"/>
  <c r="AJ428" i="2"/>
  <c r="AH430" i="2"/>
  <c r="S420" i="2"/>
  <c r="U433" i="2"/>
  <c r="U427" i="2"/>
  <c r="U418" i="2"/>
  <c r="P452" i="2"/>
  <c r="Q449" i="2"/>
  <c r="P450" i="2"/>
  <c r="P449" i="2"/>
  <c r="P440" i="2"/>
  <c r="Z455" i="2"/>
  <c r="Z450" i="2"/>
  <c r="Z449" i="2"/>
  <c r="Z452" i="2"/>
  <c r="AE452" i="2"/>
  <c r="AE450" i="2"/>
  <c r="AE449" i="2"/>
  <c r="AE455" i="2"/>
  <c r="AF449" i="2"/>
  <c r="AE440" i="2"/>
  <c r="AJ455" i="2"/>
  <c r="AJ450" i="2"/>
  <c r="AK449" i="2"/>
  <c r="AJ449" i="2"/>
  <c r="AJ440" i="2"/>
  <c r="AA451" i="2"/>
  <c r="AA442" i="2"/>
  <c r="AI452" i="2"/>
  <c r="AC450" i="2"/>
  <c r="AK452" i="2"/>
  <c r="AL441" i="2"/>
  <c r="X449" i="2"/>
  <c r="AD452" i="2"/>
  <c r="AJ411" i="2"/>
  <c r="N418" i="2"/>
  <c r="X418" i="2"/>
  <c r="X428" i="2"/>
  <c r="V451" i="2"/>
  <c r="R442" i="2"/>
  <c r="S444" i="2"/>
  <c r="AK440" i="2"/>
  <c r="AF455" i="2"/>
  <c r="AF452" i="2"/>
  <c r="AJ452" i="2"/>
  <c r="AA449" i="2"/>
  <c r="AA450" i="2"/>
  <c r="AM125" i="2" l="1"/>
  <c r="D204" i="2"/>
  <c r="V134" i="2"/>
  <c r="AD261" i="2"/>
  <c r="D294" i="2"/>
  <c r="D197" i="2"/>
  <c r="R338" i="2"/>
  <c r="R334" i="2" s="1"/>
  <c r="D218" i="2"/>
  <c r="D203" i="2"/>
  <c r="D318" i="2"/>
  <c r="AI134" i="2"/>
  <c r="AI135" i="2"/>
  <c r="R235" i="2"/>
  <c r="D217" i="2"/>
  <c r="D308" i="2"/>
  <c r="D447" i="2"/>
  <c r="S134" i="2"/>
  <c r="D210" i="2"/>
  <c r="D201" i="2"/>
  <c r="D198" i="2"/>
  <c r="D312" i="2"/>
  <c r="AM93" i="2"/>
  <c r="AM109" i="2" s="1"/>
  <c r="AM47" i="2" s="1"/>
  <c r="AM11" i="2" s="1"/>
  <c r="AM119" i="2"/>
  <c r="AM50" i="2" s="1"/>
  <c r="AD134" i="2"/>
  <c r="S221" i="2"/>
  <c r="X409" i="2"/>
  <c r="D200" i="2"/>
  <c r="D194" i="2"/>
  <c r="D208" i="2"/>
  <c r="D306" i="2"/>
  <c r="D305" i="2"/>
  <c r="D425" i="2"/>
  <c r="Z134" i="2"/>
  <c r="W409" i="2"/>
  <c r="AT163" i="2"/>
  <c r="Q186" i="2"/>
  <c r="N285" i="2"/>
  <c r="D214" i="2"/>
  <c r="D209" i="2"/>
  <c r="D195" i="2"/>
  <c r="D299" i="2"/>
  <c r="D313" i="2"/>
  <c r="D316" i="2"/>
  <c r="AM325" i="2"/>
  <c r="AN307" i="2"/>
  <c r="BF13" i="2"/>
  <c r="P36" i="2"/>
  <c r="P72" i="2"/>
  <c r="Y442" i="2"/>
  <c r="Y444" i="2" s="1"/>
  <c r="W298" i="2"/>
  <c r="W300" i="2" s="1"/>
  <c r="N221" i="2"/>
  <c r="AG135" i="2"/>
  <c r="AM323" i="2"/>
  <c r="AN305" i="2"/>
  <c r="AH134" i="2"/>
  <c r="AF442" i="2"/>
  <c r="AF451" i="2"/>
  <c r="T365" i="2"/>
  <c r="AG360" i="2"/>
  <c r="Q172" i="2"/>
  <c r="Q338" i="2" s="1"/>
  <c r="Q298" i="2"/>
  <c r="Q300" i="2" s="1"/>
  <c r="T285" i="2"/>
  <c r="AN97" i="2"/>
  <c r="AN113" i="2" s="1"/>
  <c r="AN48" i="2" s="1"/>
  <c r="X392" i="2"/>
  <c r="X401" i="2" s="1"/>
  <c r="U409" i="2"/>
  <c r="W410" i="2"/>
  <c r="O298" i="2"/>
  <c r="O300" i="2" s="1"/>
  <c r="AH163" i="2"/>
  <c r="Q173" i="2"/>
  <c r="O72" i="2"/>
  <c r="D293" i="2"/>
  <c r="D310" i="2"/>
  <c r="D315" i="2"/>
  <c r="D378" i="2"/>
  <c r="T431" i="2"/>
  <c r="T422" i="2"/>
  <c r="V453" i="2"/>
  <c r="V444" i="2"/>
  <c r="AN103" i="2"/>
  <c r="AN119" i="2" s="1"/>
  <c r="AN50" i="2" s="1"/>
  <c r="AN126" i="2"/>
  <c r="AM14" i="2"/>
  <c r="AL21" i="2"/>
  <c r="AL65" i="2" s="1"/>
  <c r="AM130" i="2"/>
  <c r="AL438" i="2"/>
  <c r="AL449" i="2" s="1"/>
  <c r="AL140" i="2"/>
  <c r="AL138" i="2"/>
  <c r="AM124" i="2"/>
  <c r="AM134" i="2" s="1"/>
  <c r="AL124" i="2"/>
  <c r="AL134" i="2" s="1"/>
  <c r="AL20" i="2"/>
  <c r="AL416" i="2"/>
  <c r="AL433" i="2" s="1"/>
  <c r="AM115" i="2"/>
  <c r="AM49" i="2" s="1"/>
  <c r="AM13" i="2" s="1"/>
  <c r="AL15" i="2"/>
  <c r="AL242" i="2" s="1"/>
  <c r="AL369" i="2"/>
  <c r="AL383" i="2" s="1"/>
  <c r="AL19" i="2"/>
  <c r="AL411" i="2" s="1"/>
  <c r="AM113" i="2"/>
  <c r="O256" i="2"/>
  <c r="O257" i="2" s="1"/>
  <c r="O258" i="2"/>
  <c r="O259" i="2" s="1"/>
  <c r="O151" i="2"/>
  <c r="AB258" i="2"/>
  <c r="AB259" i="2" s="1"/>
  <c r="AB151" i="2"/>
  <c r="AB256" i="2"/>
  <c r="AB257" i="2" s="1"/>
  <c r="O453" i="2"/>
  <c r="O444" i="2"/>
  <c r="AK429" i="2"/>
  <c r="AK420" i="2"/>
  <c r="N392" i="2"/>
  <c r="N400" i="2"/>
  <c r="S410" i="2"/>
  <c r="S403" i="2"/>
  <c r="S382" i="2"/>
  <c r="S373" i="2"/>
  <c r="W422" i="2"/>
  <c r="W431" i="2"/>
  <c r="AC382" i="2"/>
  <c r="AC373" i="2"/>
  <c r="AB392" i="2"/>
  <c r="AB400" i="2"/>
  <c r="AF360" i="2"/>
  <c r="AF351" i="2"/>
  <c r="AJ353" i="2"/>
  <c r="AJ362" i="2"/>
  <c r="X328" i="2"/>
  <c r="X311" i="2"/>
  <c r="AE230" i="2"/>
  <c r="AE229" i="2"/>
  <c r="T227" i="2"/>
  <c r="T225" i="2"/>
  <c r="T228" i="2" s="1"/>
  <c r="U71" i="2"/>
  <c r="T71" i="2"/>
  <c r="X451" i="2"/>
  <c r="X442" i="2"/>
  <c r="AC407" i="2"/>
  <c r="AC397" i="2"/>
  <c r="AD396" i="2"/>
  <c r="V392" i="2"/>
  <c r="V400" i="2"/>
  <c r="AB403" i="2"/>
  <c r="AB373" i="2"/>
  <c r="AB382" i="2"/>
  <c r="AC362" i="2"/>
  <c r="AC353" i="2"/>
  <c r="AE353" i="2"/>
  <c r="AE362" i="2"/>
  <c r="Z446" i="2"/>
  <c r="Z456" i="2"/>
  <c r="Z454" i="2"/>
  <c r="U456" i="2"/>
  <c r="U446" i="2"/>
  <c r="P429" i="2"/>
  <c r="P420" i="2"/>
  <c r="AD382" i="2"/>
  <c r="AD373" i="2"/>
  <c r="AI401" i="2"/>
  <c r="AI393" i="2"/>
  <c r="AI394" i="2" s="1"/>
  <c r="AK375" i="2"/>
  <c r="AK384" i="2"/>
  <c r="W400" i="2"/>
  <c r="W392" i="2"/>
  <c r="AJ392" i="2"/>
  <c r="AJ400" i="2"/>
  <c r="Z400" i="2"/>
  <c r="Z392" i="2"/>
  <c r="O410" i="2"/>
  <c r="O373" i="2"/>
  <c r="O382" i="2"/>
  <c r="O403" i="2"/>
  <c r="AA385" i="2"/>
  <c r="AA377" i="2"/>
  <c r="AA387" i="2"/>
  <c r="P353" i="2"/>
  <c r="P362" i="2"/>
  <c r="Y328" i="2"/>
  <c r="AO304" i="2"/>
  <c r="AN308" i="2"/>
  <c r="AN322" i="2"/>
  <c r="W230" i="2"/>
  <c r="W229" i="2"/>
  <c r="W232" i="2"/>
  <c r="W233" i="2"/>
  <c r="AD230" i="2"/>
  <c r="AD229" i="2"/>
  <c r="AJ233" i="2"/>
  <c r="AJ232" i="2"/>
  <c r="AJ230" i="2"/>
  <c r="AJ229" i="2"/>
  <c r="AA297" i="2"/>
  <c r="AA298" i="2" s="1"/>
  <c r="AA300" i="2" s="1"/>
  <c r="AA276" i="2"/>
  <c r="AA275" i="2"/>
  <c r="AA280" i="2"/>
  <c r="AA225" i="2"/>
  <c r="AA228" i="2" s="1"/>
  <c r="AA220" i="2"/>
  <c r="AA221" i="2" s="1"/>
  <c r="V280" i="2"/>
  <c r="V297" i="2"/>
  <c r="V276" i="2"/>
  <c r="V275" i="2"/>
  <c r="V225" i="2"/>
  <c r="V228" i="2" s="1"/>
  <c r="V220" i="2"/>
  <c r="V221" i="2" s="1"/>
  <c r="Q339" i="2"/>
  <c r="Q238" i="2"/>
  <c r="Q245" i="2"/>
  <c r="Q244" i="2"/>
  <c r="Q243" i="2"/>
  <c r="T297" i="2"/>
  <c r="T276" i="2"/>
  <c r="T275" i="2"/>
  <c r="T220" i="2"/>
  <c r="X420" i="2"/>
  <c r="X429" i="2"/>
  <c r="AA444" i="2"/>
  <c r="AA453" i="2"/>
  <c r="AI451" i="2"/>
  <c r="AI442" i="2"/>
  <c r="AH451" i="2"/>
  <c r="AH442" i="2"/>
  <c r="AM419" i="2"/>
  <c r="V429" i="2"/>
  <c r="V420" i="2"/>
  <c r="O431" i="2"/>
  <c r="O422" i="2"/>
  <c r="AD392" i="2"/>
  <c r="X410" i="2"/>
  <c r="X382" i="2"/>
  <c r="X373" i="2"/>
  <c r="X403" i="2"/>
  <c r="Q409" i="2"/>
  <c r="AG400" i="2"/>
  <c r="AG392" i="2"/>
  <c r="AF400" i="2"/>
  <c r="AF392" i="2"/>
  <c r="AG410" i="2"/>
  <c r="AG403" i="2"/>
  <c r="AG373" i="2"/>
  <c r="AG382" i="2"/>
  <c r="AA409" i="2"/>
  <c r="AM372" i="2"/>
  <c r="AA410" i="2"/>
  <c r="AH392" i="2"/>
  <c r="AH400" i="2"/>
  <c r="U360" i="2"/>
  <c r="U351" i="2"/>
  <c r="AA360" i="2"/>
  <c r="AA351" i="2"/>
  <c r="Y351" i="2"/>
  <c r="Y360" i="2"/>
  <c r="Y403" i="2"/>
  <c r="Y373" i="2"/>
  <c r="Y410" i="2"/>
  <c r="Y382" i="2"/>
  <c r="AF384" i="2"/>
  <c r="AF375" i="2"/>
  <c r="T392" i="2"/>
  <c r="T400" i="2"/>
  <c r="U403" i="2"/>
  <c r="U410" i="2"/>
  <c r="U373" i="2"/>
  <c r="U382" i="2"/>
  <c r="V360" i="2"/>
  <c r="V351" i="2"/>
  <c r="AE375" i="2"/>
  <c r="AE384" i="2"/>
  <c r="AD360" i="2"/>
  <c r="AD351" i="2"/>
  <c r="W353" i="2"/>
  <c r="W362" i="2"/>
  <c r="AJ319" i="2"/>
  <c r="AJ330" i="2"/>
  <c r="AJ332" i="2" s="1"/>
  <c r="W328" i="2"/>
  <c r="W311" i="2"/>
  <c r="AL326" i="2"/>
  <c r="AL341" i="2" s="1"/>
  <c r="AL299" i="2"/>
  <c r="AM326" i="2"/>
  <c r="AM299" i="2"/>
  <c r="P328" i="2"/>
  <c r="P311" i="2"/>
  <c r="AD310" i="2"/>
  <c r="AD326" i="2"/>
  <c r="AD299" i="2"/>
  <c r="AI233" i="2"/>
  <c r="S230" i="2"/>
  <c r="S229" i="2"/>
  <c r="S233" i="2"/>
  <c r="S232" i="2"/>
  <c r="Z230" i="2"/>
  <c r="Z229" i="2"/>
  <c r="Z233" i="2"/>
  <c r="Z232" i="2"/>
  <c r="AK280" i="2"/>
  <c r="AK276" i="2"/>
  <c r="AK275" i="2"/>
  <c r="AK297" i="2"/>
  <c r="AK220" i="2"/>
  <c r="AK221" i="2" s="1"/>
  <c r="AF230" i="2"/>
  <c r="AF229" i="2"/>
  <c r="N298" i="2"/>
  <c r="N300" i="2" s="1"/>
  <c r="AB461" i="2"/>
  <c r="AC185" i="2"/>
  <c r="U182" i="2"/>
  <c r="S298" i="2"/>
  <c r="S300" i="2" s="1"/>
  <c r="X241" i="2"/>
  <c r="Y170" i="2"/>
  <c r="Y241" i="2" s="1"/>
  <c r="AL163" i="2"/>
  <c r="Y286" i="2"/>
  <c r="Y283" i="2"/>
  <c r="AK233" i="2"/>
  <c r="AK232" i="2"/>
  <c r="AK229" i="2"/>
  <c r="AK230" i="2"/>
  <c r="AC233" i="2"/>
  <c r="AC230" i="2"/>
  <c r="AC229" i="2"/>
  <c r="Y233" i="2"/>
  <c r="Y232" i="2"/>
  <c r="Y230" i="2"/>
  <c r="Y229" i="2"/>
  <c r="AJ298" i="2"/>
  <c r="AJ300" i="2" s="1"/>
  <c r="AB253" i="2"/>
  <c r="AB252" i="2"/>
  <c r="T298" i="2"/>
  <c r="T300" i="2" s="1"/>
  <c r="AK141" i="2"/>
  <c r="X36" i="2"/>
  <c r="X72" i="2"/>
  <c r="T286" i="2"/>
  <c r="T283" i="2"/>
  <c r="Y280" i="2"/>
  <c r="Y297" i="2"/>
  <c r="E297" i="2" s="1"/>
  <c r="Y276" i="2"/>
  <c r="Y275" i="2"/>
  <c r="Y220" i="2"/>
  <c r="Y221" i="2" s="1"/>
  <c r="AC130" i="2"/>
  <c r="AC138" i="2"/>
  <c r="AC134" i="2"/>
  <c r="AH72" i="2"/>
  <c r="AH36" i="2"/>
  <c r="Z286" i="2"/>
  <c r="Z283" i="2"/>
  <c r="R286" i="2"/>
  <c r="R283" i="2"/>
  <c r="AG338" i="2"/>
  <c r="AG235" i="2"/>
  <c r="AG51" i="2"/>
  <c r="Z150" i="2"/>
  <c r="Z149" i="2"/>
  <c r="Z285" i="2"/>
  <c r="U286" i="2"/>
  <c r="U283" i="2"/>
  <c r="AL442" i="2"/>
  <c r="AL29" i="2"/>
  <c r="AL421" i="2"/>
  <c r="AP72" i="2"/>
  <c r="AD62" i="2"/>
  <c r="AD52" i="2"/>
  <c r="AJ334" i="2"/>
  <c r="AE412" i="2"/>
  <c r="W411" i="2"/>
  <c r="S411" i="2"/>
  <c r="AE62" i="2"/>
  <c r="AK150" i="2"/>
  <c r="AK149" i="2"/>
  <c r="AG150" i="2"/>
  <c r="AG149" i="2"/>
  <c r="P285" i="2"/>
  <c r="F4" i="2"/>
  <c r="Y150" i="2"/>
  <c r="Y149" i="2"/>
  <c r="AK179" i="2"/>
  <c r="AJ181" i="2"/>
  <c r="W273" i="2"/>
  <c r="W287" i="2"/>
  <c r="W40" i="2"/>
  <c r="W1" i="2" s="1"/>
  <c r="W38" i="2"/>
  <c r="AC281" i="2"/>
  <c r="AC282" i="2" s="1"/>
  <c r="AC237" i="2"/>
  <c r="AC145" i="2"/>
  <c r="AC56" i="2"/>
  <c r="AC66" i="2"/>
  <c r="AC23" i="2"/>
  <c r="AC232" i="2" s="1"/>
  <c r="AC34" i="2"/>
  <c r="AJ285" i="2"/>
  <c r="W150" i="2"/>
  <c r="W149" i="2"/>
  <c r="X411" i="2"/>
  <c r="P412" i="2"/>
  <c r="AN198" i="2"/>
  <c r="AN178" i="2" s="1"/>
  <c r="AN127" i="2"/>
  <c r="AO96" i="2"/>
  <c r="AN125" i="2"/>
  <c r="AO94" i="2"/>
  <c r="AN93" i="2"/>
  <c r="U249" i="2"/>
  <c r="U248" i="2"/>
  <c r="U242" i="2"/>
  <c r="AA338" i="2"/>
  <c r="AA334" i="2" s="1"/>
  <c r="AA235" i="2"/>
  <c r="AA236" i="2"/>
  <c r="AA61" i="2"/>
  <c r="AA51" i="2"/>
  <c r="W338" i="2"/>
  <c r="W334" i="2" s="1"/>
  <c r="W236" i="2"/>
  <c r="W235" i="2"/>
  <c r="W61" i="2"/>
  <c r="W51" i="2"/>
  <c r="O273" i="2"/>
  <c r="O287" i="2"/>
  <c r="O40" i="2"/>
  <c r="O1" i="2" s="1"/>
  <c r="O38" i="2"/>
  <c r="O286" i="2"/>
  <c r="O283" i="2"/>
  <c r="AG69" i="2"/>
  <c r="AF20" i="2"/>
  <c r="AF69" i="2"/>
  <c r="AF59" i="2"/>
  <c r="U412" i="2"/>
  <c r="Q411" i="2"/>
  <c r="AI285" i="2"/>
  <c r="E447" i="2"/>
  <c r="E425" i="2"/>
  <c r="E378" i="2"/>
  <c r="E356" i="2"/>
  <c r="E319" i="2"/>
  <c r="E315" i="2"/>
  <c r="E308" i="2"/>
  <c r="E326" i="2" s="1"/>
  <c r="E304" i="2"/>
  <c r="E318" i="2"/>
  <c r="E313" i="2"/>
  <c r="E317" i="2"/>
  <c r="E312" i="2"/>
  <c r="E316" i="2"/>
  <c r="E309" i="2"/>
  <c r="E327" i="2" s="1"/>
  <c r="E305" i="2"/>
  <c r="E323" i="2" s="1"/>
  <c r="E294" i="2"/>
  <c r="E269" i="2"/>
  <c r="E310" i="2"/>
  <c r="E328" i="2" s="1"/>
  <c r="E299" i="2"/>
  <c r="E293" i="2"/>
  <c r="E307" i="2"/>
  <c r="E292" i="2"/>
  <c r="E306" i="2"/>
  <c r="E324" i="2" s="1"/>
  <c r="E215" i="2"/>
  <c r="E198" i="2"/>
  <c r="E194" i="2"/>
  <c r="E218" i="2"/>
  <c r="E214" i="2"/>
  <c r="E210" i="2"/>
  <c r="E201" i="2"/>
  <c r="E197" i="2"/>
  <c r="E216" i="2"/>
  <c r="E212" i="2"/>
  <c r="E208" i="2"/>
  <c r="E203" i="2"/>
  <c r="E195" i="2"/>
  <c r="E209" i="2"/>
  <c r="E196" i="2"/>
  <c r="E213" i="2"/>
  <c r="E200" i="2"/>
  <c r="E217" i="2"/>
  <c r="F5" i="2"/>
  <c r="E204" i="2"/>
  <c r="D196" i="2"/>
  <c r="D199" i="2" s="1"/>
  <c r="D213" i="2"/>
  <c r="D215" i="2"/>
  <c r="D212" i="2"/>
  <c r="D226" i="2" s="1"/>
  <c r="D307" i="2"/>
  <c r="D269" i="2"/>
  <c r="D304" i="2"/>
  <c r="D317" i="2"/>
  <c r="D319" i="2"/>
  <c r="D356" i="2"/>
  <c r="AG230" i="2"/>
  <c r="P253" i="2"/>
  <c r="Q149" i="2"/>
  <c r="Q285" i="2"/>
  <c r="C198" i="2"/>
  <c r="C214" i="2"/>
  <c r="C208" i="2"/>
  <c r="C200" i="2"/>
  <c r="C217" i="2"/>
  <c r="C308" i="2"/>
  <c r="C297" i="2"/>
  <c r="C305" i="2"/>
  <c r="D323" i="2" s="1"/>
  <c r="C356" i="2"/>
  <c r="C306" i="2"/>
  <c r="D324" i="2" s="1"/>
  <c r="C378" i="2"/>
  <c r="AK288" i="2"/>
  <c r="AE150" i="2"/>
  <c r="AE149" i="2"/>
  <c r="AJ431" i="2"/>
  <c r="AJ422" i="2"/>
  <c r="V230" i="2"/>
  <c r="V229" i="2"/>
  <c r="V233" i="2"/>
  <c r="V232" i="2"/>
  <c r="Y298" i="2"/>
  <c r="Y300" i="2" s="1"/>
  <c r="E300" i="2" s="1"/>
  <c r="AJ286" i="2"/>
  <c r="AJ283" i="2"/>
  <c r="U233" i="2"/>
  <c r="U232" i="2"/>
  <c r="U229" i="2"/>
  <c r="U230" i="2"/>
  <c r="AJ221" i="2"/>
  <c r="AF253" i="2"/>
  <c r="AF252" i="2"/>
  <c r="Q253" i="2"/>
  <c r="Q252" i="2"/>
  <c r="Q205" i="2"/>
  <c r="X286" i="2"/>
  <c r="X283" i="2"/>
  <c r="AI334" i="2"/>
  <c r="AF205" i="2"/>
  <c r="AK135" i="2"/>
  <c r="AK134" i="2"/>
  <c r="AK133" i="2"/>
  <c r="Z72" i="2"/>
  <c r="Z36" i="2"/>
  <c r="Y338" i="2"/>
  <c r="Y236" i="2"/>
  <c r="Y235" i="2"/>
  <c r="Y61" i="2"/>
  <c r="Y51" i="2"/>
  <c r="V285" i="2"/>
  <c r="AG287" i="2"/>
  <c r="AG273" i="2"/>
  <c r="AG38" i="2"/>
  <c r="AG40" i="2"/>
  <c r="AG1" i="2" s="1"/>
  <c r="AG286" i="2"/>
  <c r="AG283" i="2"/>
  <c r="AL455" i="2"/>
  <c r="AL409" i="2"/>
  <c r="AL390" i="2"/>
  <c r="AL386" i="2"/>
  <c r="AL380" i="2"/>
  <c r="AA272" i="2"/>
  <c r="AA288" i="2"/>
  <c r="AA169" i="2"/>
  <c r="AA41" i="2"/>
  <c r="AE286" i="2"/>
  <c r="AE283" i="2"/>
  <c r="AD69" i="2"/>
  <c r="AD59" i="2"/>
  <c r="AD20" i="2"/>
  <c r="S412" i="2"/>
  <c r="AL255" i="2"/>
  <c r="T150" i="2"/>
  <c r="T149" i="2"/>
  <c r="P150" i="2"/>
  <c r="P149" i="2"/>
  <c r="N287" i="2"/>
  <c r="N273" i="2"/>
  <c r="N40" i="2"/>
  <c r="N1" i="2" s="1"/>
  <c r="N38" i="2"/>
  <c r="AJ150" i="2"/>
  <c r="AJ149" i="2"/>
  <c r="AF285" i="2"/>
  <c r="S150" i="2"/>
  <c r="S149" i="2"/>
  <c r="S285" i="2"/>
  <c r="O285" i="2"/>
  <c r="AK287" i="2"/>
  <c r="U285" i="2"/>
  <c r="AO99" i="2"/>
  <c r="AO115" i="2" s="1"/>
  <c r="AO49" i="2" s="1"/>
  <c r="AP100" i="2"/>
  <c r="AM135" i="2"/>
  <c r="AM141" i="2"/>
  <c r="AM139" i="2"/>
  <c r="AM131" i="2"/>
  <c r="AM133" i="2"/>
  <c r="AM137" i="2"/>
  <c r="AM129" i="2"/>
  <c r="U288" i="2"/>
  <c r="U272" i="2"/>
  <c r="U169" i="2"/>
  <c r="U41" i="2"/>
  <c r="S338" i="2"/>
  <c r="S334" i="2" s="1"/>
  <c r="S236" i="2"/>
  <c r="S235" i="2"/>
  <c r="S61" i="2"/>
  <c r="S51" i="2"/>
  <c r="S286" i="2"/>
  <c r="S283" i="2"/>
  <c r="AF281" i="2"/>
  <c r="AF282" i="2" s="1"/>
  <c r="AF237" i="2"/>
  <c r="AF145" i="2"/>
  <c r="AF56" i="2"/>
  <c r="AF34" i="2"/>
  <c r="AF66" i="2"/>
  <c r="AF23" i="2"/>
  <c r="Y393" i="2"/>
  <c r="Y394" i="2" s="1"/>
  <c r="AI150" i="2"/>
  <c r="AI149" i="2"/>
  <c r="D202" i="2"/>
  <c r="D264" i="2" s="1"/>
  <c r="D219" i="2"/>
  <c r="U339" i="2"/>
  <c r="U238" i="2"/>
  <c r="U245" i="2"/>
  <c r="U244" i="2"/>
  <c r="U243" i="2"/>
  <c r="U287" i="2"/>
  <c r="C197" i="2"/>
  <c r="C218" i="2"/>
  <c r="C212" i="2"/>
  <c r="C204" i="2"/>
  <c r="C269" i="2"/>
  <c r="C294" i="2"/>
  <c r="C304" i="2"/>
  <c r="C307" i="2"/>
  <c r="C315" i="2"/>
  <c r="C310" i="2"/>
  <c r="D328" i="2" s="1"/>
  <c r="C425" i="2"/>
  <c r="AI273" i="2"/>
  <c r="AI40" i="2"/>
  <c r="AI1" i="2" s="1"/>
  <c r="AI38" i="2"/>
  <c r="N429" i="2"/>
  <c r="N420" i="2"/>
  <c r="P442" i="2"/>
  <c r="P451" i="2"/>
  <c r="S422" i="2"/>
  <c r="S431" i="2"/>
  <c r="AB451" i="2"/>
  <c r="AB442" i="2"/>
  <c r="AH420" i="2"/>
  <c r="AH429" i="2"/>
  <c r="AB408" i="2"/>
  <c r="AB410" i="2" s="1"/>
  <c r="AB404" i="2"/>
  <c r="AB398" i="2"/>
  <c r="R382" i="2"/>
  <c r="R373" i="2"/>
  <c r="R403" i="2"/>
  <c r="R410" i="2"/>
  <c r="AH410" i="2"/>
  <c r="AH382" i="2"/>
  <c r="AH403" i="2"/>
  <c r="AH373" i="2"/>
  <c r="AE400" i="2"/>
  <c r="AE392" i="2"/>
  <c r="AG365" i="2"/>
  <c r="AG363" i="2"/>
  <c r="AG355" i="2"/>
  <c r="AI351" i="2"/>
  <c r="AI360" i="2"/>
  <c r="S328" i="2"/>
  <c r="S311" i="2"/>
  <c r="AO306" i="2"/>
  <c r="AN324" i="2"/>
  <c r="O230" i="2"/>
  <c r="O229" i="2"/>
  <c r="O233" i="2"/>
  <c r="O232" i="2"/>
  <c r="AG280" i="2"/>
  <c r="AG297" i="2"/>
  <c r="AG276" i="2"/>
  <c r="AG275" i="2"/>
  <c r="AG220" i="2"/>
  <c r="AG221" i="2" s="1"/>
  <c r="AE297" i="2"/>
  <c r="AE298" i="2" s="1"/>
  <c r="AE276" i="2"/>
  <c r="AE275" i="2"/>
  <c r="AE280" i="2"/>
  <c r="AE225" i="2"/>
  <c r="AE228" i="2" s="1"/>
  <c r="AE220" i="2"/>
  <c r="AE221" i="2" s="1"/>
  <c r="AB280" i="2"/>
  <c r="AB297" i="2"/>
  <c r="AB298" i="2" s="1"/>
  <c r="AB300" i="2" s="1"/>
  <c r="AB276" i="2"/>
  <c r="AB275" i="2"/>
  <c r="AB225" i="2"/>
  <c r="AB228" i="2" s="1"/>
  <c r="AB220" i="2"/>
  <c r="AB221" i="2" s="1"/>
  <c r="X280" i="2"/>
  <c r="X297" i="2"/>
  <c r="X298" i="2" s="1"/>
  <c r="X300" i="2" s="1"/>
  <c r="X276" i="2"/>
  <c r="X275" i="2"/>
  <c r="X225" i="2"/>
  <c r="X228" i="2" s="1"/>
  <c r="X220" i="2"/>
  <c r="Y182" i="2"/>
  <c r="AJ451" i="2"/>
  <c r="AJ442" i="2"/>
  <c r="Q442" i="2"/>
  <c r="Q451" i="2"/>
  <c r="Y431" i="2"/>
  <c r="Y422" i="2"/>
  <c r="Q410" i="2"/>
  <c r="Q403" i="2"/>
  <c r="Q373" i="2"/>
  <c r="Q382" i="2"/>
  <c r="S351" i="2"/>
  <c r="S360" i="2"/>
  <c r="R360" i="2"/>
  <c r="R351" i="2"/>
  <c r="W375" i="2"/>
  <c r="W384" i="2"/>
  <c r="AK360" i="2"/>
  <c r="AK351" i="2"/>
  <c r="AI328" i="2"/>
  <c r="AI311" i="2"/>
  <c r="O328" i="2"/>
  <c r="O311" i="2"/>
  <c r="AA230" i="2"/>
  <c r="AA229" i="2"/>
  <c r="AA232" i="2"/>
  <c r="AA233" i="2"/>
  <c r="AH233" i="2"/>
  <c r="AH232" i="2"/>
  <c r="R230" i="2"/>
  <c r="R229" i="2"/>
  <c r="R233" i="2"/>
  <c r="R232" i="2"/>
  <c r="X233" i="2"/>
  <c r="X232" i="2"/>
  <c r="X230" i="2"/>
  <c r="X229" i="2"/>
  <c r="P227" i="2"/>
  <c r="P225" i="2"/>
  <c r="P228" i="2" s="1"/>
  <c r="Q71" i="2"/>
  <c r="P71" i="2"/>
  <c r="N253" i="2"/>
  <c r="N252" i="2"/>
  <c r="AD300" i="2"/>
  <c r="V298" i="2"/>
  <c r="V300" i="2" s="1"/>
  <c r="AF280" i="2"/>
  <c r="AF297" i="2"/>
  <c r="AF276" i="2"/>
  <c r="AF275" i="2"/>
  <c r="AF225" i="2"/>
  <c r="AF228" i="2" s="1"/>
  <c r="AF220" i="2"/>
  <c r="AF221" i="2" s="1"/>
  <c r="T280" i="2"/>
  <c r="P298" i="2"/>
  <c r="P300" i="2" s="1"/>
  <c r="AF339" i="2"/>
  <c r="AF245" i="2"/>
  <c r="AF244" i="2"/>
  <c r="AF243" i="2"/>
  <c r="AF238" i="2"/>
  <c r="AF181" i="2"/>
  <c r="AF189" i="2" s="1"/>
  <c r="AF190" i="2" s="1"/>
  <c r="AG180" i="2"/>
  <c r="AC249" i="2"/>
  <c r="AC248" i="2"/>
  <c r="AC242" i="2"/>
  <c r="AG184" i="2"/>
  <c r="AP147" i="2"/>
  <c r="AL339" i="2"/>
  <c r="AL244" i="2"/>
  <c r="AL245" i="2"/>
  <c r="AL200" i="2"/>
  <c r="AJ253" i="2"/>
  <c r="AJ252" i="2"/>
  <c r="T253" i="2"/>
  <c r="T252" i="2"/>
  <c r="Y339" i="2"/>
  <c r="Y238" i="2"/>
  <c r="Y245" i="2"/>
  <c r="Y244" i="2"/>
  <c r="Y243" i="2"/>
  <c r="AJ36" i="2"/>
  <c r="AJ72" i="2"/>
  <c r="AB286" i="2"/>
  <c r="AB283" i="2"/>
  <c r="AC280" i="2"/>
  <c r="AC297" i="2"/>
  <c r="AC298" i="2" s="1"/>
  <c r="AC300" i="2" s="1"/>
  <c r="AC276" i="2"/>
  <c r="AC275" i="2"/>
  <c r="AC220" i="2"/>
  <c r="AC221" i="2" s="1"/>
  <c r="N150" i="2"/>
  <c r="N149" i="2"/>
  <c r="AC135" i="2"/>
  <c r="AC133" i="2"/>
  <c r="V72" i="2"/>
  <c r="V36" i="2"/>
  <c r="AH286" i="2"/>
  <c r="AH283" i="2"/>
  <c r="V286" i="2"/>
  <c r="V283" i="2"/>
  <c r="U338" i="2"/>
  <c r="U334" i="2" s="1"/>
  <c r="U236" i="2"/>
  <c r="U235" i="2"/>
  <c r="U61" i="2"/>
  <c r="U51" i="2"/>
  <c r="AH285" i="2"/>
  <c r="V149" i="2"/>
  <c r="V150" i="2"/>
  <c r="R149" i="2"/>
  <c r="R150" i="2"/>
  <c r="R285" i="2"/>
  <c r="Y72" i="2"/>
  <c r="Y36" i="2"/>
  <c r="X150" i="2"/>
  <c r="X149" i="2"/>
  <c r="AL64" i="2"/>
  <c r="AL352" i="2"/>
  <c r="AL77" i="2"/>
  <c r="AL374" i="2" s="1"/>
  <c r="AM76" i="2"/>
  <c r="AE338" i="2"/>
  <c r="AE334" i="2" s="1"/>
  <c r="AE235" i="2"/>
  <c r="AE236" i="2"/>
  <c r="AE51" i="2"/>
  <c r="AD31" i="2"/>
  <c r="AF233" i="2" s="1"/>
  <c r="V61" i="2"/>
  <c r="AE411" i="2"/>
  <c r="AA411" i="2"/>
  <c r="AF433" i="2"/>
  <c r="AF428" i="2"/>
  <c r="AF430" i="2"/>
  <c r="AF427" i="2"/>
  <c r="AF418" i="2"/>
  <c r="AI286" i="2"/>
  <c r="AI283" i="2"/>
  <c r="AF150" i="2"/>
  <c r="AF149" i="2"/>
  <c r="AA285" i="2"/>
  <c r="U150" i="2"/>
  <c r="U149" i="2"/>
  <c r="AO126" i="2"/>
  <c r="AP95" i="2"/>
  <c r="T287" i="2"/>
  <c r="AA286" i="2"/>
  <c r="AA283" i="2"/>
  <c r="S36" i="2"/>
  <c r="S72" i="2"/>
  <c r="Z61" i="2"/>
  <c r="Y411" i="2"/>
  <c r="AM347" i="2"/>
  <c r="AM18" i="2"/>
  <c r="D2" i="2"/>
  <c r="D292" i="2"/>
  <c r="AL351" i="2"/>
  <c r="AL62" i="2"/>
  <c r="AL26" i="2"/>
  <c r="AE272" i="2"/>
  <c r="AE288" i="2"/>
  <c r="AE169" i="2"/>
  <c r="AE173" i="2" s="1"/>
  <c r="AE41" i="2"/>
  <c r="C215" i="2"/>
  <c r="C201" i="2"/>
  <c r="C195" i="2"/>
  <c r="C216" i="2"/>
  <c r="C209" i="2"/>
  <c r="C293" i="2"/>
  <c r="C300" i="2"/>
  <c r="C292" i="2"/>
  <c r="C313" i="2"/>
  <c r="C319" i="2"/>
  <c r="C312" i="2"/>
  <c r="C447" i="2"/>
  <c r="T61" i="2"/>
  <c r="AM441" i="2"/>
  <c r="AG444" i="2"/>
  <c r="AG453" i="2"/>
  <c r="W451" i="2"/>
  <c r="W442" i="2"/>
  <c r="AA400" i="2"/>
  <c r="AA392" i="2"/>
  <c r="AL361" i="2"/>
  <c r="AM350" i="2"/>
  <c r="P410" i="2"/>
  <c r="X351" i="2"/>
  <c r="X360" i="2"/>
  <c r="N360" i="2"/>
  <c r="N351" i="2"/>
  <c r="AK317" i="2"/>
  <c r="AK318" i="2" s="1"/>
  <c r="AL315" i="2"/>
  <c r="AB233" i="2"/>
  <c r="AB232" i="2"/>
  <c r="AB230" i="2"/>
  <c r="AB229" i="2"/>
  <c r="AG298" i="2"/>
  <c r="AG300" i="2" s="1"/>
  <c r="S456" i="2"/>
  <c r="S454" i="2"/>
  <c r="S446" i="2"/>
  <c r="U429" i="2"/>
  <c r="U420" i="2"/>
  <c r="AD451" i="2"/>
  <c r="AD442" i="2"/>
  <c r="Q429" i="2"/>
  <c r="Q420" i="2"/>
  <c r="R429" i="2"/>
  <c r="R420" i="2"/>
  <c r="Z431" i="2"/>
  <c r="Z422" i="2"/>
  <c r="AA429" i="2"/>
  <c r="AA420" i="2"/>
  <c r="AI422" i="2"/>
  <c r="AI431" i="2"/>
  <c r="AI410" i="2"/>
  <c r="AI373" i="2"/>
  <c r="AI403" i="2"/>
  <c r="AI382" i="2"/>
  <c r="N410" i="2"/>
  <c r="N403" i="2"/>
  <c r="N382" i="2"/>
  <c r="N373" i="2"/>
  <c r="AC392" i="2"/>
  <c r="AC400" i="2"/>
  <c r="P400" i="2"/>
  <c r="P392" i="2"/>
  <c r="P409" i="2"/>
  <c r="Z410" i="2"/>
  <c r="Z382" i="2"/>
  <c r="Z373" i="2"/>
  <c r="Z403" i="2"/>
  <c r="Z362" i="2"/>
  <c r="Z353" i="2"/>
  <c r="U400" i="2"/>
  <c r="U392" i="2"/>
  <c r="AK442" i="2"/>
  <c r="AK451" i="2"/>
  <c r="R444" i="2"/>
  <c r="R453" i="2"/>
  <c r="AE451" i="2"/>
  <c r="AE442" i="2"/>
  <c r="N451" i="2"/>
  <c r="N442" i="2"/>
  <c r="AG429" i="2"/>
  <c r="AG420" i="2"/>
  <c r="T454" i="2"/>
  <c r="T456" i="2"/>
  <c r="T446" i="2"/>
  <c r="AB429" i="2"/>
  <c r="AB420" i="2"/>
  <c r="AC420" i="2"/>
  <c r="AC429" i="2"/>
  <c r="AK400" i="2"/>
  <c r="AK392" i="2"/>
  <c r="V410" i="2"/>
  <c r="V403" i="2"/>
  <c r="V382" i="2"/>
  <c r="V373" i="2"/>
  <c r="P385" i="2"/>
  <c r="P377" i="2"/>
  <c r="R392" i="2"/>
  <c r="R400" i="2"/>
  <c r="Q351" i="2"/>
  <c r="Q360" i="2"/>
  <c r="AH360" i="2"/>
  <c r="AH351" i="2"/>
  <c r="AJ410" i="2"/>
  <c r="AJ403" i="2"/>
  <c r="AJ373" i="2"/>
  <c r="AJ382" i="2"/>
  <c r="AE409" i="2"/>
  <c r="O400" i="2"/>
  <c r="O392" i="2"/>
  <c r="AB360" i="2"/>
  <c r="AB351" i="2"/>
  <c r="T384" i="2"/>
  <c r="T375" i="2"/>
  <c r="AA328" i="2"/>
  <c r="AA311" i="2"/>
  <c r="AE326" i="2"/>
  <c r="AE310" i="2"/>
  <c r="AE299" i="2"/>
  <c r="T328" i="2"/>
  <c r="T311" i="2"/>
  <c r="AP269" i="2"/>
  <c r="AP267" i="2" s="1"/>
  <c r="N230" i="2"/>
  <c r="N229" i="2"/>
  <c r="N233" i="2"/>
  <c r="N232" i="2"/>
  <c r="AK298" i="2"/>
  <c r="AK300" i="2" s="1"/>
  <c r="U298" i="2"/>
  <c r="AJ189" i="2"/>
  <c r="AJ190" i="2" s="1"/>
  <c r="AK188" i="2"/>
  <c r="P178" i="2"/>
  <c r="Q178" i="2" s="1"/>
  <c r="P220" i="2"/>
  <c r="P221" i="2" s="1"/>
  <c r="V249" i="2"/>
  <c r="V248" i="2"/>
  <c r="V244" i="2"/>
  <c r="V242" i="2"/>
  <c r="AP163" i="2"/>
  <c r="AG225" i="2"/>
  <c r="AG228" i="2" s="1"/>
  <c r="AN216" i="2"/>
  <c r="AF298" i="2"/>
  <c r="AF300" i="2" s="1"/>
  <c r="X253" i="2"/>
  <c r="X252" i="2"/>
  <c r="AK339" i="2"/>
  <c r="AK334" i="2" s="1"/>
  <c r="AK238" i="2"/>
  <c r="AK245" i="2"/>
  <c r="AK244" i="2"/>
  <c r="AK243" i="2"/>
  <c r="AG141" i="2"/>
  <c r="AB36" i="2"/>
  <c r="AB72" i="2"/>
  <c r="AK286" i="2"/>
  <c r="AK283" i="2"/>
  <c r="P286" i="2"/>
  <c r="P283" i="2"/>
  <c r="Q221" i="2"/>
  <c r="T205" i="2"/>
  <c r="X205" i="2"/>
  <c r="AC339" i="2"/>
  <c r="AC238" i="2"/>
  <c r="AC245" i="2"/>
  <c r="AC244" i="2"/>
  <c r="AC243" i="2"/>
  <c r="U135" i="2"/>
  <c r="U134" i="2"/>
  <c r="U133" i="2"/>
  <c r="AS391" i="2"/>
  <c r="AT53" i="2"/>
  <c r="Q72" i="2"/>
  <c r="Q36" i="2"/>
  <c r="N286" i="2"/>
  <c r="N283" i="2"/>
  <c r="Q236" i="2"/>
  <c r="Q235" i="2"/>
  <c r="Q61" i="2"/>
  <c r="Q51" i="2"/>
  <c r="AH149" i="2"/>
  <c r="AH150" i="2"/>
  <c r="AD285" i="2"/>
  <c r="AD263" i="2"/>
  <c r="AD254" i="2"/>
  <c r="AD255" i="2" s="1"/>
  <c r="AD243" i="2"/>
  <c r="AD46" i="2"/>
  <c r="AD144" i="2"/>
  <c r="AD429" i="2"/>
  <c r="AD420" i="2"/>
  <c r="Q286" i="2"/>
  <c r="Q283" i="2"/>
  <c r="AA287" i="2"/>
  <c r="S393" i="2"/>
  <c r="S394" i="2" s="1"/>
  <c r="AK285" i="2"/>
  <c r="AG285" i="2"/>
  <c r="AB285" i="2"/>
  <c r="X285" i="2"/>
  <c r="Z4" i="2"/>
  <c r="R287" i="2"/>
  <c r="R273" i="2"/>
  <c r="R40" i="2"/>
  <c r="R1" i="2" s="1"/>
  <c r="R38" i="2"/>
  <c r="X334" i="2"/>
  <c r="Y285" i="2"/>
  <c r="AG72" i="2"/>
  <c r="AB334" i="2"/>
  <c r="AA150" i="2"/>
  <c r="AA149" i="2"/>
  <c r="W285" i="2"/>
  <c r="O260" i="2"/>
  <c r="AE433" i="2"/>
  <c r="AE430" i="2"/>
  <c r="AE428" i="2"/>
  <c r="AE427" i="2"/>
  <c r="AE418" i="2"/>
  <c r="AC455" i="2"/>
  <c r="AC440" i="2"/>
  <c r="AC449" i="2"/>
  <c r="AO103" i="2"/>
  <c r="AO119" i="2" s="1"/>
  <c r="AO50" i="2" s="1"/>
  <c r="AP104" i="2"/>
  <c r="AO97" i="2"/>
  <c r="AO113" i="2" s="1"/>
  <c r="AO48" i="2" s="1"/>
  <c r="AP98" i="2"/>
  <c r="AN140" i="2"/>
  <c r="AN138" i="2"/>
  <c r="AN130" i="2"/>
  <c r="AP82" i="2"/>
  <c r="T288" i="2"/>
  <c r="T272" i="2"/>
  <c r="T169" i="2"/>
  <c r="T41" i="2"/>
  <c r="W286" i="2"/>
  <c r="W283" i="2"/>
  <c r="O338" i="2"/>
  <c r="O334" i="2" s="1"/>
  <c r="O235" i="2"/>
  <c r="O236" i="2"/>
  <c r="O61" i="2"/>
  <c r="O51" i="2"/>
  <c r="AE69" i="2"/>
  <c r="R61" i="2"/>
  <c r="Y412" i="2"/>
  <c r="Q393" i="2"/>
  <c r="Q394" i="2" s="1"/>
  <c r="D211" i="2"/>
  <c r="D326" i="2"/>
  <c r="P61" i="2"/>
  <c r="AL364" i="2"/>
  <c r="AL358" i="2"/>
  <c r="AC285" i="2"/>
  <c r="AC263" i="2"/>
  <c r="AC254" i="2"/>
  <c r="AC255" i="2" s="1"/>
  <c r="AC144" i="2"/>
  <c r="AC46" i="2"/>
  <c r="C194" i="2"/>
  <c r="C210" i="2"/>
  <c r="C203" i="2"/>
  <c r="C196" i="2"/>
  <c r="C213" i="2"/>
  <c r="C299" i="2"/>
  <c r="C309" i="2"/>
  <c r="D327" i="2" s="1"/>
  <c r="C298" i="2"/>
  <c r="C318" i="2"/>
  <c r="C316" i="2"/>
  <c r="C317" i="2"/>
  <c r="AT22" i="2"/>
  <c r="AE46" i="2"/>
  <c r="AE285" i="2"/>
  <c r="AO307" i="2" l="1"/>
  <c r="AN325" i="2"/>
  <c r="Q334" i="2"/>
  <c r="C226" i="2"/>
  <c r="AB260" i="2"/>
  <c r="AL28" i="2"/>
  <c r="AL69" i="2" s="1"/>
  <c r="AE300" i="2"/>
  <c r="E211" i="2"/>
  <c r="Y453" i="2"/>
  <c r="T434" i="2"/>
  <c r="T432" i="2"/>
  <c r="T424" i="2"/>
  <c r="X393" i="2"/>
  <c r="X394" i="2" s="1"/>
  <c r="AL420" i="2"/>
  <c r="AL422" i="2" s="1"/>
  <c r="D279" i="2"/>
  <c r="E325" i="2"/>
  <c r="V456" i="2"/>
  <c r="V454" i="2"/>
  <c r="V446" i="2"/>
  <c r="AF444" i="2"/>
  <c r="AF453" i="2"/>
  <c r="AL23" i="2"/>
  <c r="AN323" i="2"/>
  <c r="AO305" i="2"/>
  <c r="P38" i="2"/>
  <c r="P287" i="2"/>
  <c r="P40" i="2"/>
  <c r="P1" i="2" s="1"/>
  <c r="P273" i="2"/>
  <c r="BF14" i="2"/>
  <c r="AL452" i="2"/>
  <c r="C219" i="2"/>
  <c r="C225" i="2" s="1"/>
  <c r="C228" i="2" s="1"/>
  <c r="AM438" i="2"/>
  <c r="AM455" i="2" s="1"/>
  <c r="AN14" i="2"/>
  <c r="AO14" i="2" s="1"/>
  <c r="AO438" i="2" s="1"/>
  <c r="AM21" i="2"/>
  <c r="AM48" i="2"/>
  <c r="AM12" i="2" s="1"/>
  <c r="AL373" i="2"/>
  <c r="AL412" i="2"/>
  <c r="AL63" i="2"/>
  <c r="D280" i="2"/>
  <c r="AL135" i="2"/>
  <c r="AL133" i="2"/>
  <c r="AM416" i="2"/>
  <c r="AM20" i="2"/>
  <c r="AN13" i="2"/>
  <c r="AL427" i="2"/>
  <c r="AL243" i="2"/>
  <c r="AL430" i="2"/>
  <c r="AL46" i="2"/>
  <c r="AL144" i="2"/>
  <c r="AL150" i="2" s="1"/>
  <c r="AA422" i="2"/>
  <c r="AA431" i="2"/>
  <c r="AU22" i="2"/>
  <c r="R460" i="2"/>
  <c r="R288" i="2"/>
  <c r="R272" i="2"/>
  <c r="R41" i="2"/>
  <c r="R169" i="2"/>
  <c r="R179" i="2" s="1"/>
  <c r="R181" i="2" s="1"/>
  <c r="R189" i="2" s="1"/>
  <c r="R190" i="2" s="1"/>
  <c r="AT391" i="2"/>
  <c r="AU53" i="2"/>
  <c r="V384" i="2"/>
  <c r="V375" i="2"/>
  <c r="AB422" i="2"/>
  <c r="AB431" i="2"/>
  <c r="P401" i="2"/>
  <c r="P393" i="2"/>
  <c r="P394" i="2" s="1"/>
  <c r="Q431" i="2"/>
  <c r="Q422" i="2"/>
  <c r="U431" i="2"/>
  <c r="U422" i="2"/>
  <c r="C199" i="2"/>
  <c r="AH258" i="2"/>
  <c r="AH259" i="2" s="1"/>
  <c r="AH256" i="2"/>
  <c r="AH257" i="2" s="1"/>
  <c r="AH151" i="2"/>
  <c r="AQ269" i="2"/>
  <c r="AQ267" i="2"/>
  <c r="AE328" i="2"/>
  <c r="AE311" i="2"/>
  <c r="AF328" i="2"/>
  <c r="T387" i="2"/>
  <c r="T385" i="2"/>
  <c r="T377" i="2"/>
  <c r="O401" i="2"/>
  <c r="O393" i="2"/>
  <c r="O394" i="2" s="1"/>
  <c r="AJ384" i="2"/>
  <c r="AJ375" i="2"/>
  <c r="R401" i="2"/>
  <c r="R393" i="2"/>
  <c r="R394" i="2" s="1"/>
  <c r="AG431" i="2"/>
  <c r="AG422" i="2"/>
  <c r="AE444" i="2"/>
  <c r="AE453" i="2"/>
  <c r="Z365" i="2"/>
  <c r="Z363" i="2"/>
  <c r="Z355" i="2"/>
  <c r="AI434" i="2"/>
  <c r="AI432" i="2"/>
  <c r="AI424" i="2"/>
  <c r="AK319" i="2"/>
  <c r="AK330" i="2"/>
  <c r="AK332" i="2" s="1"/>
  <c r="X362" i="2"/>
  <c r="X353" i="2"/>
  <c r="AA401" i="2"/>
  <c r="AA393" i="2"/>
  <c r="AA394" i="2" s="1"/>
  <c r="AL362" i="2"/>
  <c r="AL353" i="2"/>
  <c r="AL349" i="2"/>
  <c r="AM358" i="2"/>
  <c r="AM364" i="2"/>
  <c r="AO130" i="2"/>
  <c r="AO140" i="2"/>
  <c r="AO138" i="2"/>
  <c r="AM352" i="2"/>
  <c r="AN76" i="2"/>
  <c r="Y287" i="2"/>
  <c r="Y273" i="2"/>
  <c r="Y40" i="2"/>
  <c r="Y1" i="2" s="1"/>
  <c r="Y38" i="2"/>
  <c r="R258" i="2"/>
  <c r="R259" i="2" s="1"/>
  <c r="R256" i="2"/>
  <c r="R257" i="2" s="1"/>
  <c r="R260" i="2" s="1"/>
  <c r="R151" i="2"/>
  <c r="AL247" i="2"/>
  <c r="AL202" i="2"/>
  <c r="AG339" i="2"/>
  <c r="AG238" i="2"/>
  <c r="AG245" i="2"/>
  <c r="AG244" i="2"/>
  <c r="AG243" i="2"/>
  <c r="AG181" i="2"/>
  <c r="P233" i="2"/>
  <c r="P232" i="2"/>
  <c r="P230" i="2"/>
  <c r="P229" i="2"/>
  <c r="AK353" i="2"/>
  <c r="AK362" i="2"/>
  <c r="R362" i="2"/>
  <c r="R353" i="2"/>
  <c r="Y434" i="2"/>
  <c r="Y432" i="2"/>
  <c r="Y424" i="2"/>
  <c r="N422" i="2"/>
  <c r="N431" i="2"/>
  <c r="AI258" i="2"/>
  <c r="AI259" i="2" s="1"/>
  <c r="AI256" i="2"/>
  <c r="AI257" i="2" s="1"/>
  <c r="AI260" i="2" s="1"/>
  <c r="AI151" i="2"/>
  <c r="AF338" i="2"/>
  <c r="AF334" i="2" s="1"/>
  <c r="AF236" i="2"/>
  <c r="AF235" i="2"/>
  <c r="AF51" i="2"/>
  <c r="AF61" i="2"/>
  <c r="N288" i="2"/>
  <c r="N272" i="2"/>
  <c r="N41" i="2"/>
  <c r="N169" i="2"/>
  <c r="N179" i="2" s="1"/>
  <c r="N181" i="2" s="1"/>
  <c r="N189" i="2" s="1"/>
  <c r="T256" i="2"/>
  <c r="T257" i="2" s="1"/>
  <c r="T258" i="2"/>
  <c r="T259" i="2" s="1"/>
  <c r="T151" i="2"/>
  <c r="Z287" i="2"/>
  <c r="Z273" i="2"/>
  <c r="Z40" i="2"/>
  <c r="Z1" i="2" s="1"/>
  <c r="Z38" i="2"/>
  <c r="C211" i="2"/>
  <c r="Q258" i="2"/>
  <c r="Q259" i="2" s="1"/>
  <c r="Q256" i="2"/>
  <c r="Q257" i="2" s="1"/>
  <c r="Q151" i="2"/>
  <c r="D325" i="2"/>
  <c r="E202" i="2"/>
  <c r="E279" i="2" s="1"/>
  <c r="E219" i="2"/>
  <c r="E280" i="2" s="1"/>
  <c r="E298" i="2"/>
  <c r="AF64" i="2"/>
  <c r="AF54" i="2"/>
  <c r="AG64" i="2"/>
  <c r="O272" i="2"/>
  <c r="O288" i="2"/>
  <c r="O169" i="2"/>
  <c r="O179" i="2" s="1"/>
  <c r="O181" i="2" s="1"/>
  <c r="O189" i="2" s="1"/>
  <c r="O190" i="2" s="1"/>
  <c r="O41" i="2"/>
  <c r="O460" i="2"/>
  <c r="AO93" i="2"/>
  <c r="AO125" i="2"/>
  <c r="AP94" i="2"/>
  <c r="AC338" i="2"/>
  <c r="AC334" i="2" s="1"/>
  <c r="AC236" i="2"/>
  <c r="AC235" i="2"/>
  <c r="AC61" i="2"/>
  <c r="AC51" i="2"/>
  <c r="AK173" i="2"/>
  <c r="AK181" i="2"/>
  <c r="AK189" i="2" s="1"/>
  <c r="AK190" i="2" s="1"/>
  <c r="G4" i="2"/>
  <c r="AQ72" i="2"/>
  <c r="Z258" i="2"/>
  <c r="Z259" i="2" s="1"/>
  <c r="Z256" i="2"/>
  <c r="Z257" i="2" s="1"/>
  <c r="Z151" i="2"/>
  <c r="AG61" i="2"/>
  <c r="X242" i="2"/>
  <c r="X249" i="2"/>
  <c r="X248" i="2"/>
  <c r="X247" i="2"/>
  <c r="X244" i="2"/>
  <c r="AC461" i="2"/>
  <c r="AD362" i="2"/>
  <c r="AD353" i="2"/>
  <c r="V362" i="2"/>
  <c r="V353" i="2"/>
  <c r="AF385" i="2"/>
  <c r="AF377" i="2"/>
  <c r="AF387" i="2"/>
  <c r="Y375" i="2"/>
  <c r="Y384" i="2"/>
  <c r="AA353" i="2"/>
  <c r="AA362" i="2"/>
  <c r="AN372" i="2"/>
  <c r="AG401" i="2"/>
  <c r="AG393" i="2"/>
  <c r="AG394" i="2" s="1"/>
  <c r="X384" i="2"/>
  <c r="X375" i="2"/>
  <c r="AD393" i="2"/>
  <c r="AD394" i="2" s="1"/>
  <c r="AA456" i="2"/>
  <c r="AA454" i="2"/>
  <c r="AA446" i="2"/>
  <c r="O384" i="2"/>
  <c r="O375" i="2"/>
  <c r="AD375" i="2"/>
  <c r="AD384" i="2"/>
  <c r="P431" i="2"/>
  <c r="P422" i="2"/>
  <c r="AE363" i="2"/>
  <c r="AE355" i="2"/>
  <c r="AE365" i="2"/>
  <c r="AB384" i="2"/>
  <c r="AB375" i="2"/>
  <c r="V401" i="2"/>
  <c r="V393" i="2"/>
  <c r="V394" i="2" s="1"/>
  <c r="X453" i="2"/>
  <c r="X444" i="2"/>
  <c r="AE233" i="2"/>
  <c r="W434" i="2"/>
  <c r="W432" i="2"/>
  <c r="W424" i="2"/>
  <c r="AD431" i="2"/>
  <c r="AD422" i="2"/>
  <c r="AG456" i="2"/>
  <c r="AG446" i="2"/>
  <c r="AG454" i="2"/>
  <c r="AM351" i="2"/>
  <c r="AM62" i="2"/>
  <c r="AM26" i="2"/>
  <c r="S273" i="2"/>
  <c r="S287" i="2"/>
  <c r="S38" i="2"/>
  <c r="S40" i="2"/>
  <c r="S1" i="2" s="1"/>
  <c r="AL418" i="2"/>
  <c r="AJ273" i="2"/>
  <c r="AJ40" i="2"/>
  <c r="AJ1" i="2" s="1"/>
  <c r="AJ38" i="2"/>
  <c r="Q384" i="2"/>
  <c r="Q375" i="2"/>
  <c r="AH375" i="2"/>
  <c r="AH384" i="2"/>
  <c r="AH431" i="2"/>
  <c r="AH422" i="2"/>
  <c r="S434" i="2"/>
  <c r="S432" i="2"/>
  <c r="S424" i="2"/>
  <c r="AE258" i="2"/>
  <c r="AE259" i="2" s="1"/>
  <c r="AE256" i="2"/>
  <c r="AE257" i="2" s="1"/>
  <c r="AE151" i="2"/>
  <c r="D225" i="2"/>
  <c r="D228" i="2" s="1"/>
  <c r="D227" i="2"/>
  <c r="AN137" i="2"/>
  <c r="AN129" i="2"/>
  <c r="AO198" i="2"/>
  <c r="AO178" i="2" s="1"/>
  <c r="W258" i="2"/>
  <c r="W259" i="2" s="1"/>
  <c r="W256" i="2"/>
  <c r="W257" i="2" s="1"/>
  <c r="W151" i="2"/>
  <c r="AC286" i="2"/>
  <c r="AC283" i="2"/>
  <c r="Y258" i="2"/>
  <c r="Y259" i="2" s="1"/>
  <c r="Y256" i="2"/>
  <c r="Y257" i="2" s="1"/>
  <c r="Y151" i="2"/>
  <c r="AK258" i="2"/>
  <c r="AK259" i="2" s="1"/>
  <c r="AL259" i="2" s="1"/>
  <c r="AK256" i="2"/>
  <c r="AK257" i="2" s="1"/>
  <c r="AK151" i="2"/>
  <c r="AL384" i="2"/>
  <c r="AL375" i="2"/>
  <c r="AL371" i="2"/>
  <c r="AL70" i="2"/>
  <c r="AL60" i="2"/>
  <c r="AH273" i="2"/>
  <c r="AH40" i="2"/>
  <c r="AH1" i="2" s="1"/>
  <c r="AH38" i="2"/>
  <c r="AD311" i="2"/>
  <c r="AD328" i="2"/>
  <c r="AH393" i="2"/>
  <c r="AH394" i="2" s="1"/>
  <c r="AH401" i="2"/>
  <c r="O432" i="2"/>
  <c r="O424" i="2"/>
  <c r="AN419" i="2"/>
  <c r="AM430" i="2"/>
  <c r="AI453" i="2"/>
  <c r="AI444" i="2"/>
  <c r="T221" i="2"/>
  <c r="AJ393" i="2"/>
  <c r="AJ394" i="2" s="1"/>
  <c r="AJ401" i="2"/>
  <c r="AK387" i="2"/>
  <c r="AK385" i="2"/>
  <c r="AK377" i="2"/>
  <c r="AC363" i="2"/>
  <c r="AC355" i="2"/>
  <c r="AC365" i="2"/>
  <c r="AD397" i="2"/>
  <c r="AD407" i="2"/>
  <c r="T233" i="2"/>
  <c r="T232" i="2"/>
  <c r="T230" i="2"/>
  <c r="T229" i="2"/>
  <c r="S384" i="2"/>
  <c r="S375" i="2"/>
  <c r="O454" i="2"/>
  <c r="O446" i="2"/>
  <c r="AP103" i="2"/>
  <c r="AP119" i="2" s="1"/>
  <c r="AP50" i="2" s="1"/>
  <c r="AQ104" i="2"/>
  <c r="AD4" i="2"/>
  <c r="AB287" i="2"/>
  <c r="AB273" i="2"/>
  <c r="AB40" i="2"/>
  <c r="AB1" i="2" s="1"/>
  <c r="AB38" i="2"/>
  <c r="AI375" i="2"/>
  <c r="AI384" i="2"/>
  <c r="R431" i="2"/>
  <c r="R422" i="2"/>
  <c r="N362" i="2"/>
  <c r="N353" i="2"/>
  <c r="AL338" i="2"/>
  <c r="AL236" i="2"/>
  <c r="AL235" i="2"/>
  <c r="AL61" i="2"/>
  <c r="AL51" i="2"/>
  <c r="AC150" i="2"/>
  <c r="AC149" i="2"/>
  <c r="AE429" i="2"/>
  <c r="AE420" i="2"/>
  <c r="AB353" i="2"/>
  <c r="AB362" i="2"/>
  <c r="Q353" i="2"/>
  <c r="Q362" i="2"/>
  <c r="AC431" i="2"/>
  <c r="AC422" i="2"/>
  <c r="N444" i="2"/>
  <c r="N453" i="2"/>
  <c r="U401" i="2"/>
  <c r="U393" i="2"/>
  <c r="U394" i="2" s="1"/>
  <c r="AC401" i="2"/>
  <c r="AC393" i="2"/>
  <c r="AC394" i="2" s="1"/>
  <c r="AM361" i="2"/>
  <c r="AN350" i="2"/>
  <c r="W444" i="2"/>
  <c r="W453" i="2"/>
  <c r="AL67" i="2"/>
  <c r="AL57" i="2"/>
  <c r="D253" i="2"/>
  <c r="D252" i="2"/>
  <c r="U258" i="2"/>
  <c r="U259" i="2" s="1"/>
  <c r="U256" i="2"/>
  <c r="U257" i="2" s="1"/>
  <c r="U151" i="2"/>
  <c r="AF258" i="2"/>
  <c r="AF259" i="2" s="1"/>
  <c r="AF256" i="2"/>
  <c r="AF257" i="2" s="1"/>
  <c r="AF151" i="2"/>
  <c r="AF429" i="2"/>
  <c r="AF420" i="2"/>
  <c r="AD281" i="2"/>
  <c r="AD282" i="2" s="1"/>
  <c r="AD237" i="2"/>
  <c r="AD145" i="2"/>
  <c r="AD149" i="2" s="1"/>
  <c r="AD66" i="2"/>
  <c r="AD56" i="2"/>
  <c r="AD34" i="2"/>
  <c r="AD23" i="2"/>
  <c r="AF232" i="2" s="1"/>
  <c r="AG233" i="2"/>
  <c r="AE66" i="2"/>
  <c r="X256" i="2"/>
  <c r="X257" i="2" s="1"/>
  <c r="X258" i="2"/>
  <c r="X259" i="2" s="1"/>
  <c r="X151" i="2"/>
  <c r="V258" i="2"/>
  <c r="V259" i="2" s="1"/>
  <c r="V256" i="2"/>
  <c r="V257" i="2" s="1"/>
  <c r="V151" i="2"/>
  <c r="V287" i="2"/>
  <c r="V273" i="2"/>
  <c r="V40" i="2"/>
  <c r="V1" i="2" s="1"/>
  <c r="V38" i="2"/>
  <c r="N258" i="2"/>
  <c r="N259" i="2" s="1"/>
  <c r="N256" i="2"/>
  <c r="N257" i="2" s="1"/>
  <c r="N151" i="2"/>
  <c r="AQ147" i="2"/>
  <c r="Q453" i="2"/>
  <c r="Q444" i="2"/>
  <c r="AB453" i="2"/>
  <c r="AB444" i="2"/>
  <c r="AI272" i="2"/>
  <c r="AI169" i="2"/>
  <c r="AI173" i="2" s="1"/>
  <c r="AI41" i="2"/>
  <c r="D205" i="2"/>
  <c r="AF36" i="2"/>
  <c r="AF72" i="2"/>
  <c r="AF286" i="2"/>
  <c r="AF283" i="2"/>
  <c r="AP99" i="2"/>
  <c r="AP115" i="2" s="1"/>
  <c r="AP49" i="2" s="1"/>
  <c r="AQ100" i="2"/>
  <c r="S258" i="2"/>
  <c r="S259" i="2" s="1"/>
  <c r="S256" i="2"/>
  <c r="S257" i="2" s="1"/>
  <c r="S151" i="2"/>
  <c r="AJ256" i="2"/>
  <c r="AJ257" i="2" s="1"/>
  <c r="AJ258" i="2"/>
  <c r="AJ259" i="2" s="1"/>
  <c r="AJ151" i="2"/>
  <c r="P258" i="2"/>
  <c r="P259" i="2" s="1"/>
  <c r="P256" i="2"/>
  <c r="P257" i="2" s="1"/>
  <c r="P151" i="2"/>
  <c r="AL254" i="2"/>
  <c r="AL195" i="2" s="1"/>
  <c r="AM255" i="2"/>
  <c r="AG288" i="2"/>
  <c r="AG272" i="2"/>
  <c r="AG169" i="2"/>
  <c r="AG173" i="2" s="1"/>
  <c r="AG41" i="2"/>
  <c r="AG460" i="2"/>
  <c r="AJ434" i="2"/>
  <c r="AJ432" i="2"/>
  <c r="AJ424" i="2"/>
  <c r="D322" i="2"/>
  <c r="F447" i="2"/>
  <c r="F425" i="2"/>
  <c r="F356" i="2"/>
  <c r="F378" i="2"/>
  <c r="F318" i="2"/>
  <c r="F313" i="2"/>
  <c r="F307" i="2"/>
  <c r="F325" i="2" s="1"/>
  <c r="F317" i="2"/>
  <c r="F312" i="2"/>
  <c r="F316" i="2"/>
  <c r="F319" i="2"/>
  <c r="F315" i="2"/>
  <c r="F308" i="2"/>
  <c r="F326" i="2" s="1"/>
  <c r="F304" i="2"/>
  <c r="F322" i="2" s="1"/>
  <c r="F310" i="2"/>
  <c r="F328" i="2" s="1"/>
  <c r="F299" i="2"/>
  <c r="F293" i="2"/>
  <c r="F309" i="2"/>
  <c r="F327" i="2" s="1"/>
  <c r="F298" i="2"/>
  <c r="F292" i="2"/>
  <c r="F306" i="2"/>
  <c r="F324" i="2" s="1"/>
  <c r="F297" i="2"/>
  <c r="F305" i="2"/>
  <c r="F323" i="2" s="1"/>
  <c r="F300" i="2"/>
  <c r="F294" i="2"/>
  <c r="F269" i="2"/>
  <c r="F218" i="2"/>
  <c r="F214" i="2"/>
  <c r="F210" i="2"/>
  <c r="F201" i="2"/>
  <c r="F197" i="2"/>
  <c r="F217" i="2"/>
  <c r="F213" i="2"/>
  <c r="F209" i="2"/>
  <c r="F204" i="2"/>
  <c r="F200" i="2"/>
  <c r="F196" i="2"/>
  <c r="F215" i="2"/>
  <c r="F198" i="2"/>
  <c r="F194" i="2"/>
  <c r="F216" i="2"/>
  <c r="F203" i="2"/>
  <c r="F212" i="2"/>
  <c r="G5" i="2"/>
  <c r="F208" i="2"/>
  <c r="F195" i="2"/>
  <c r="E199" i="2"/>
  <c r="E2" i="2"/>
  <c r="F455" i="2"/>
  <c r="AO127" i="2"/>
  <c r="AP96" i="2"/>
  <c r="W272" i="2"/>
  <c r="W288" i="2"/>
  <c r="W169" i="2"/>
  <c r="W41" i="2"/>
  <c r="W460" i="2"/>
  <c r="AG236" i="2"/>
  <c r="X287" i="2"/>
  <c r="X273" i="2"/>
  <c r="X40" i="2"/>
  <c r="X1" i="2" s="1"/>
  <c r="X38" i="2"/>
  <c r="AM341" i="2"/>
  <c r="U353" i="2"/>
  <c r="U362" i="2"/>
  <c r="AF401" i="2"/>
  <c r="AF393" i="2"/>
  <c r="AF394" i="2" s="1"/>
  <c r="X431" i="2"/>
  <c r="X422" i="2"/>
  <c r="AD233" i="2"/>
  <c r="AN299" i="2"/>
  <c r="AN326" i="2"/>
  <c r="P355" i="2"/>
  <c r="P365" i="2"/>
  <c r="P363" i="2"/>
  <c r="Z401" i="2"/>
  <c r="Z393" i="2"/>
  <c r="Z394" i="2" s="1"/>
  <c r="W401" i="2"/>
  <c r="W393" i="2"/>
  <c r="W394" i="2" s="1"/>
  <c r="AC404" i="2"/>
  <c r="AC398" i="2"/>
  <c r="AC408" i="2"/>
  <c r="AJ363" i="2"/>
  <c r="AJ355" i="2"/>
  <c r="AJ365" i="2"/>
  <c r="AB401" i="2"/>
  <c r="AB393" i="2"/>
  <c r="AB394" i="2" s="1"/>
  <c r="AC403" i="2"/>
  <c r="N401" i="2"/>
  <c r="N393" i="2"/>
  <c r="N394" i="2" s="1"/>
  <c r="AC442" i="2"/>
  <c r="AC451" i="2"/>
  <c r="AA258" i="2"/>
  <c r="AA259" i="2" s="1"/>
  <c r="AA256" i="2"/>
  <c r="AA257" i="2" s="1"/>
  <c r="AA151" i="2"/>
  <c r="AD150" i="2"/>
  <c r="Q287" i="2"/>
  <c r="Q273" i="2"/>
  <c r="Q40" i="2"/>
  <c r="Q1" i="2" s="1"/>
  <c r="Q38" i="2"/>
  <c r="U300" i="2"/>
  <c r="D300" i="2" s="1"/>
  <c r="D298" i="2"/>
  <c r="AK453" i="2"/>
  <c r="AK444" i="2"/>
  <c r="AD453" i="2"/>
  <c r="AD444" i="2"/>
  <c r="AQ82" i="2"/>
  <c r="AP97" i="2"/>
  <c r="AP113" i="2" s="1"/>
  <c r="AP48" i="2" s="1"/>
  <c r="AQ98" i="2"/>
  <c r="AO216" i="2"/>
  <c r="AH362" i="2"/>
  <c r="AH353" i="2"/>
  <c r="AK393" i="2"/>
  <c r="AK394" i="2" s="1"/>
  <c r="AK401" i="2"/>
  <c r="R446" i="2"/>
  <c r="R454" i="2"/>
  <c r="R456" i="2"/>
  <c r="Z384" i="2"/>
  <c r="Z375" i="2"/>
  <c r="N384" i="2"/>
  <c r="N375" i="2"/>
  <c r="Z434" i="2"/>
  <c r="Z432" i="2"/>
  <c r="Z424" i="2"/>
  <c r="AL317" i="2"/>
  <c r="AM315" i="2"/>
  <c r="AM452" i="2"/>
  <c r="AN441" i="2"/>
  <c r="AP126" i="2"/>
  <c r="AQ95" i="2"/>
  <c r="AG189" i="2"/>
  <c r="AG190" i="2" s="1"/>
  <c r="W385" i="2"/>
  <c r="W377" i="2"/>
  <c r="W387" i="2"/>
  <c r="S353" i="2"/>
  <c r="S362" i="2"/>
  <c r="AJ453" i="2"/>
  <c r="AJ444" i="2"/>
  <c r="X221" i="2"/>
  <c r="AO324" i="2"/>
  <c r="AP306" i="2"/>
  <c r="AI353" i="2"/>
  <c r="AI362" i="2"/>
  <c r="AE401" i="2"/>
  <c r="AE393" i="2"/>
  <c r="AE394" i="2" s="1"/>
  <c r="R384" i="2"/>
  <c r="R375" i="2"/>
  <c r="AB411" i="2"/>
  <c r="AB412" i="2"/>
  <c r="AB409" i="2"/>
  <c r="P453" i="2"/>
  <c r="P444" i="2"/>
  <c r="C227" i="2"/>
  <c r="D276" i="2"/>
  <c r="D275" i="2"/>
  <c r="D220" i="2"/>
  <c r="AD64" i="2"/>
  <c r="AD54" i="2"/>
  <c r="AE64" i="2"/>
  <c r="AL392" i="2"/>
  <c r="AL400" i="2"/>
  <c r="Y334" i="2"/>
  <c r="C202" i="2"/>
  <c r="E226" i="2"/>
  <c r="E322" i="2"/>
  <c r="AN124" i="2"/>
  <c r="AN134" i="2" s="1"/>
  <c r="AN109" i="2"/>
  <c r="AN47" i="2" s="1"/>
  <c r="AN11" i="2" s="1"/>
  <c r="AN141" i="2"/>
  <c r="AN139" i="2"/>
  <c r="AN131" i="2"/>
  <c r="AC36" i="2"/>
  <c r="AC72" i="2"/>
  <c r="AG258" i="2"/>
  <c r="AG259" i="2" s="1"/>
  <c r="AG151" i="2"/>
  <c r="AG256" i="2"/>
  <c r="AG257" i="2" s="1"/>
  <c r="AL27" i="2"/>
  <c r="AL444" i="2"/>
  <c r="AL440" i="2"/>
  <c r="AL453" i="2"/>
  <c r="AG334" i="2"/>
  <c r="Y249" i="2"/>
  <c r="Y248" i="2"/>
  <c r="Y242" i="2"/>
  <c r="Y247" i="2"/>
  <c r="AI232" i="2"/>
  <c r="W365" i="2"/>
  <c r="W363" i="2"/>
  <c r="W355" i="2"/>
  <c r="AE385" i="2"/>
  <c r="AE377" i="2"/>
  <c r="AE387" i="2"/>
  <c r="U375" i="2"/>
  <c r="U384" i="2"/>
  <c r="T401" i="2"/>
  <c r="T393" i="2"/>
  <c r="T394" i="2" s="1"/>
  <c r="Y353" i="2"/>
  <c r="Y362" i="2"/>
  <c r="AG384" i="2"/>
  <c r="AG375" i="2"/>
  <c r="V422" i="2"/>
  <c r="V431" i="2"/>
  <c r="AH453" i="2"/>
  <c r="AH444" i="2"/>
  <c r="Y456" i="2"/>
  <c r="Y454" i="2"/>
  <c r="Y446" i="2"/>
  <c r="AO308" i="2"/>
  <c r="AO322" i="2"/>
  <c r="AP304" i="2"/>
  <c r="AE232" i="2"/>
  <c r="AF353" i="2"/>
  <c r="AF362" i="2"/>
  <c r="AC375" i="2"/>
  <c r="AC384" i="2"/>
  <c r="AK431" i="2"/>
  <c r="AK422" i="2"/>
  <c r="E264" i="2" l="1"/>
  <c r="AN12" i="2"/>
  <c r="AN19" i="2" s="1"/>
  <c r="AN411" i="2" s="1"/>
  <c r="AM369" i="2"/>
  <c r="AM383" i="2" s="1"/>
  <c r="AM15" i="2"/>
  <c r="AM46" i="2" s="1"/>
  <c r="AG260" i="2"/>
  <c r="Y260" i="2"/>
  <c r="P260" i="2"/>
  <c r="AJ260" i="2"/>
  <c r="AO325" i="2"/>
  <c r="AP307" i="2"/>
  <c r="AL59" i="2"/>
  <c r="F226" i="2"/>
  <c r="U260" i="2"/>
  <c r="AF446" i="2"/>
  <c r="AF456" i="2"/>
  <c r="AF454" i="2"/>
  <c r="AA260" i="2"/>
  <c r="W260" i="2"/>
  <c r="AE260" i="2"/>
  <c r="AL431" i="2"/>
  <c r="AP305" i="2"/>
  <c r="AO323" i="2"/>
  <c r="BF15" i="2"/>
  <c r="P288" i="2"/>
  <c r="P272" i="2"/>
  <c r="P169" i="2"/>
  <c r="P179" i="2" s="1"/>
  <c r="P181" i="2" s="1"/>
  <c r="P189" i="2" s="1"/>
  <c r="P190" i="2" s="1"/>
  <c r="P460" i="2"/>
  <c r="P41" i="2"/>
  <c r="C220" i="2"/>
  <c r="C280" i="2"/>
  <c r="C275" i="2"/>
  <c r="C276" i="2"/>
  <c r="AM449" i="2"/>
  <c r="AP14" i="2"/>
  <c r="AP438" i="2" s="1"/>
  <c r="AO21" i="2"/>
  <c r="AM65" i="2"/>
  <c r="AM442" i="2"/>
  <c r="AN21" i="2"/>
  <c r="AN438" i="2"/>
  <c r="AN452" i="2" s="1"/>
  <c r="AN412" i="2"/>
  <c r="AM19" i="2"/>
  <c r="AM412" i="2" s="1"/>
  <c r="AN20" i="2"/>
  <c r="AN416" i="2"/>
  <c r="AN430" i="2" s="1"/>
  <c r="AO13" i="2"/>
  <c r="AM420" i="2"/>
  <c r="AM64" i="2"/>
  <c r="AM433" i="2"/>
  <c r="AM427" i="2"/>
  <c r="AM386" i="2"/>
  <c r="AN135" i="2"/>
  <c r="D221" i="2"/>
  <c r="AK434" i="2"/>
  <c r="AK432" i="2"/>
  <c r="AK424" i="2"/>
  <c r="V432" i="2"/>
  <c r="V434" i="2"/>
  <c r="V424" i="2"/>
  <c r="Y363" i="2"/>
  <c r="Y355" i="2"/>
  <c r="Y365" i="2"/>
  <c r="U387" i="2"/>
  <c r="U385" i="2"/>
  <c r="U377" i="2"/>
  <c r="AL404" i="2"/>
  <c r="AL68" i="2"/>
  <c r="AL58" i="2"/>
  <c r="E225" i="2"/>
  <c r="E228" i="2" s="1"/>
  <c r="E227" i="2"/>
  <c r="R385" i="2"/>
  <c r="R377" i="2"/>
  <c r="R387" i="2"/>
  <c r="S363" i="2"/>
  <c r="S355" i="2"/>
  <c r="S365" i="2"/>
  <c r="AO441" i="2"/>
  <c r="AH365" i="2"/>
  <c r="AH363" i="2"/>
  <c r="AH355" i="2"/>
  <c r="AR82" i="2"/>
  <c r="AN341" i="2"/>
  <c r="U355" i="2"/>
  <c r="U365" i="2"/>
  <c r="U363" i="2"/>
  <c r="X288" i="2"/>
  <c r="X272" i="2"/>
  <c r="X41" i="2"/>
  <c r="X460" i="2"/>
  <c r="E253" i="2"/>
  <c r="E252" i="2"/>
  <c r="F211" i="2"/>
  <c r="F219" i="2"/>
  <c r="S260" i="2"/>
  <c r="AB454" i="2"/>
  <c r="AB456" i="2"/>
  <c r="AB446" i="2"/>
  <c r="V260" i="2"/>
  <c r="X260" i="2"/>
  <c r="AD36" i="2"/>
  <c r="AD72" i="2"/>
  <c r="AF260" i="2"/>
  <c r="AI385" i="2"/>
  <c r="AI377" i="2"/>
  <c r="AI387" i="2"/>
  <c r="AL387" i="2"/>
  <c r="AL377" i="2"/>
  <c r="AL385" i="2"/>
  <c r="AL258" i="2"/>
  <c r="AM259" i="2"/>
  <c r="AH385" i="2"/>
  <c r="AH377" i="2"/>
  <c r="AH387" i="2"/>
  <c r="AJ272" i="2"/>
  <c r="AJ169" i="2"/>
  <c r="AJ173" i="2" s="1"/>
  <c r="AJ41" i="2"/>
  <c r="AL417" i="2"/>
  <c r="AL428" i="2" s="1"/>
  <c r="AL429" i="2"/>
  <c r="AM57" i="2"/>
  <c r="AM67" i="2"/>
  <c r="X454" i="2"/>
  <c r="X446" i="2"/>
  <c r="X456" i="2"/>
  <c r="AB377" i="2"/>
  <c r="AB385" i="2"/>
  <c r="AB387" i="2"/>
  <c r="AD387" i="2"/>
  <c r="AD385" i="2"/>
  <c r="AD377" i="2"/>
  <c r="X387" i="2"/>
  <c r="X385" i="2"/>
  <c r="X377" i="2"/>
  <c r="AO372" i="2"/>
  <c r="Z260" i="2"/>
  <c r="Y288" i="2"/>
  <c r="Y272" i="2"/>
  <c r="Y169" i="2"/>
  <c r="Y41" i="2"/>
  <c r="Y460" i="2"/>
  <c r="AN352" i="2"/>
  <c r="AO76" i="2"/>
  <c r="AL365" i="2"/>
  <c r="AL363" i="2"/>
  <c r="AL355" i="2"/>
  <c r="X363" i="2"/>
  <c r="X355" i="2"/>
  <c r="X365" i="2"/>
  <c r="AG434" i="2"/>
  <c r="AG432" i="2"/>
  <c r="AG424" i="2"/>
  <c r="AJ387" i="2"/>
  <c r="AJ377" i="2"/>
  <c r="AJ385" i="2"/>
  <c r="C252" i="2"/>
  <c r="C253" i="2"/>
  <c r="U434" i="2"/>
  <c r="U424" i="2"/>
  <c r="U432" i="2"/>
  <c r="V387" i="2"/>
  <c r="V377" i="2"/>
  <c r="V385" i="2"/>
  <c r="AA434" i="2"/>
  <c r="AA432" i="2"/>
  <c r="AA424" i="2"/>
  <c r="AO455" i="2"/>
  <c r="AO449" i="2"/>
  <c r="AF355" i="2"/>
  <c r="AF365" i="2"/>
  <c r="AF363" i="2"/>
  <c r="AO326" i="2"/>
  <c r="AO299" i="2"/>
  <c r="AH454" i="2"/>
  <c r="AH446" i="2"/>
  <c r="AH456" i="2"/>
  <c r="AG387" i="2"/>
  <c r="AG377" i="2"/>
  <c r="AG385" i="2"/>
  <c r="AC287" i="2"/>
  <c r="AC273" i="2"/>
  <c r="AC38" i="2"/>
  <c r="AC40" i="2"/>
  <c r="AC1" i="2" s="1"/>
  <c r="C205" i="2"/>
  <c r="C221" i="2" s="1"/>
  <c r="AI363" i="2"/>
  <c r="AI355" i="2"/>
  <c r="AI365" i="2"/>
  <c r="AJ454" i="2"/>
  <c r="AJ456" i="2"/>
  <c r="AJ446" i="2"/>
  <c r="Z387" i="2"/>
  <c r="Z385" i="2"/>
  <c r="Z377" i="2"/>
  <c r="AD446" i="2"/>
  <c r="AD454" i="2"/>
  <c r="AD456" i="2"/>
  <c r="AC453" i="2"/>
  <c r="AC444" i="2"/>
  <c r="AC411" i="2"/>
  <c r="AC412" i="2"/>
  <c r="AC409" i="2"/>
  <c r="AC410" i="2"/>
  <c r="AP127" i="2"/>
  <c r="AQ96" i="2"/>
  <c r="G447" i="2"/>
  <c r="G425" i="2"/>
  <c r="G378" i="2"/>
  <c r="G356" i="2"/>
  <c r="G317" i="2"/>
  <c r="G312" i="2"/>
  <c r="G310" i="2"/>
  <c r="G328" i="2" s="1"/>
  <c r="G306" i="2"/>
  <c r="G324" i="2" s="1"/>
  <c r="G316" i="2"/>
  <c r="G319" i="2"/>
  <c r="G315" i="2"/>
  <c r="G318" i="2"/>
  <c r="G313" i="2"/>
  <c r="G307" i="2"/>
  <c r="G325" i="2" s="1"/>
  <c r="G309" i="2"/>
  <c r="G327" i="2" s="1"/>
  <c r="G298" i="2"/>
  <c r="G292" i="2"/>
  <c r="G308" i="2"/>
  <c r="G326" i="2" s="1"/>
  <c r="G297" i="2"/>
  <c r="G305" i="2"/>
  <c r="G323" i="2" s="1"/>
  <c r="G300" i="2"/>
  <c r="G294" i="2"/>
  <c r="G304" i="2"/>
  <c r="G322" i="2" s="1"/>
  <c r="G299" i="2"/>
  <c r="G293" i="2"/>
  <c r="G217" i="2"/>
  <c r="G213" i="2"/>
  <c r="G209" i="2"/>
  <c r="G204" i="2"/>
  <c r="G200" i="2"/>
  <c r="G196" i="2"/>
  <c r="G269" i="2"/>
  <c r="G216" i="2"/>
  <c r="G212" i="2"/>
  <c r="G208" i="2"/>
  <c r="G203" i="2"/>
  <c r="G195" i="2"/>
  <c r="G218" i="2"/>
  <c r="G214" i="2"/>
  <c r="G210" i="2"/>
  <c r="G201" i="2"/>
  <c r="G197" i="2"/>
  <c r="G194" i="2"/>
  <c r="G198" i="2"/>
  <c r="H5" i="2"/>
  <c r="G215" i="2"/>
  <c r="F199" i="2"/>
  <c r="F2" i="2"/>
  <c r="F202" i="2"/>
  <c r="F264" i="2" s="1"/>
  <c r="N260" i="2"/>
  <c r="AD286" i="2"/>
  <c r="AD283" i="2"/>
  <c r="AL31" i="2"/>
  <c r="W456" i="2"/>
  <c r="W454" i="2"/>
  <c r="W446" i="2"/>
  <c r="N446" i="2"/>
  <c r="N454" i="2"/>
  <c r="Q365" i="2"/>
  <c r="Q363" i="2"/>
  <c r="Q355" i="2"/>
  <c r="AE422" i="2"/>
  <c r="AE431" i="2"/>
  <c r="R432" i="2"/>
  <c r="R424" i="2"/>
  <c r="R434" i="2"/>
  <c r="AB288" i="2"/>
  <c r="AB272" i="2"/>
  <c r="AB169" i="2"/>
  <c r="AB41" i="2"/>
  <c r="AB460" i="2"/>
  <c r="AD408" i="2"/>
  <c r="AD398" i="2"/>
  <c r="AD404" i="2"/>
  <c r="AD400" i="2"/>
  <c r="AD403" i="2"/>
  <c r="AH272" i="2"/>
  <c r="AH217" i="2"/>
  <c r="AH41" i="2"/>
  <c r="AH169" i="2"/>
  <c r="AH173" i="2" s="1"/>
  <c r="C264" i="2"/>
  <c r="AH434" i="2"/>
  <c r="AH432" i="2"/>
  <c r="AH424" i="2"/>
  <c r="S460" i="2"/>
  <c r="S272" i="2"/>
  <c r="S288" i="2"/>
  <c r="S169" i="2"/>
  <c r="S179" i="2" s="1"/>
  <c r="S41" i="2"/>
  <c r="P424" i="2"/>
  <c r="P432" i="2"/>
  <c r="O377" i="2"/>
  <c r="O385" i="2"/>
  <c r="Y387" i="2"/>
  <c r="Y377" i="2"/>
  <c r="Y385" i="2"/>
  <c r="V365" i="2"/>
  <c r="V363" i="2"/>
  <c r="V355" i="2"/>
  <c r="H4" i="2"/>
  <c r="AP125" i="2"/>
  <c r="AP93" i="2"/>
  <c r="AQ94" i="2"/>
  <c r="E205" i="2"/>
  <c r="Q260" i="2"/>
  <c r="Z288" i="2"/>
  <c r="Z272" i="2"/>
  <c r="Z169" i="2"/>
  <c r="Z179" i="2" s="1"/>
  <c r="Z41" i="2"/>
  <c r="Z460" i="2"/>
  <c r="AL249" i="2"/>
  <c r="AL214" i="2"/>
  <c r="AM81" i="2"/>
  <c r="AH260" i="2"/>
  <c r="AL439" i="2"/>
  <c r="AL450" i="2" s="1"/>
  <c r="AL451" i="2"/>
  <c r="AL401" i="2"/>
  <c r="AL393" i="2"/>
  <c r="AL394" i="2" s="1"/>
  <c r="C229" i="2"/>
  <c r="C230" i="2"/>
  <c r="AP324" i="2"/>
  <c r="AQ306" i="2"/>
  <c r="AQ126" i="2"/>
  <c r="AR95" i="2"/>
  <c r="AN315" i="2"/>
  <c r="AM317" i="2"/>
  <c r="AP216" i="2"/>
  <c r="AR98" i="2"/>
  <c r="AQ97" i="2"/>
  <c r="AQ113" i="2" s="1"/>
  <c r="AQ48" i="2" s="1"/>
  <c r="AO131" i="2"/>
  <c r="AO141" i="2"/>
  <c r="AO139" i="2"/>
  <c r="F227" i="2"/>
  <c r="AN255" i="2"/>
  <c r="AM254" i="2"/>
  <c r="AM195" i="2" s="1"/>
  <c r="AM175" i="2" s="1"/>
  <c r="AR100" i="2"/>
  <c r="AQ99" i="2"/>
  <c r="AQ115" i="2" s="1"/>
  <c r="AQ49" i="2" s="1"/>
  <c r="Q456" i="2"/>
  <c r="Q446" i="2"/>
  <c r="Q454" i="2"/>
  <c r="AF422" i="2"/>
  <c r="AF431" i="2"/>
  <c r="AO350" i="2"/>
  <c r="AC432" i="2"/>
  <c r="AC424" i="2"/>
  <c r="AC434" i="2"/>
  <c r="AH4" i="2"/>
  <c r="AR104" i="2"/>
  <c r="AQ103" i="2"/>
  <c r="AQ119" i="2" s="1"/>
  <c r="AQ50" i="2" s="1"/>
  <c r="AQ14" i="2" s="1"/>
  <c r="S385" i="2"/>
  <c r="S377" i="2"/>
  <c r="S387" i="2"/>
  <c r="AO419" i="2"/>
  <c r="AP198" i="2"/>
  <c r="AP178" i="2" s="1"/>
  <c r="AN133" i="2"/>
  <c r="D230" i="2"/>
  <c r="D229" i="2"/>
  <c r="Q387" i="2"/>
  <c r="Q377" i="2"/>
  <c r="Q385" i="2"/>
  <c r="AL432" i="2"/>
  <c r="AL434" i="2"/>
  <c r="AL424" i="2"/>
  <c r="AO137" i="2"/>
  <c r="AO129" i="2"/>
  <c r="E276" i="2"/>
  <c r="E275" i="2"/>
  <c r="E220" i="2"/>
  <c r="AK355" i="2"/>
  <c r="AK365" i="2"/>
  <c r="AK363" i="2"/>
  <c r="Q432" i="2"/>
  <c r="Q424" i="2"/>
  <c r="Q434" i="2"/>
  <c r="AV22" i="2"/>
  <c r="AO442" i="2"/>
  <c r="AC387" i="2"/>
  <c r="AC385" i="2"/>
  <c r="AC377" i="2"/>
  <c r="AP322" i="2"/>
  <c r="AP308" i="2"/>
  <c r="AQ304" i="2"/>
  <c r="AL456" i="2"/>
  <c r="AL446" i="2"/>
  <c r="AL454" i="2"/>
  <c r="AN347" i="2"/>
  <c r="AN18" i="2"/>
  <c r="AN15" i="2"/>
  <c r="P454" i="2"/>
  <c r="P446" i="2"/>
  <c r="AP130" i="2"/>
  <c r="AP138" i="2"/>
  <c r="AP140" i="2"/>
  <c r="N385" i="2"/>
  <c r="N377" i="2"/>
  <c r="AK456" i="2"/>
  <c r="AK454" i="2"/>
  <c r="AK446" i="2"/>
  <c r="Q460" i="2"/>
  <c r="Q288" i="2"/>
  <c r="Q272" i="2"/>
  <c r="Q169" i="2"/>
  <c r="Q179" i="2" s="1"/>
  <c r="Q181" i="2" s="1"/>
  <c r="Q189" i="2" s="1"/>
  <c r="Q190" i="2" s="1"/>
  <c r="Q41" i="2"/>
  <c r="AD258" i="2"/>
  <c r="AD259" i="2" s="1"/>
  <c r="AD256" i="2"/>
  <c r="AD257" i="2" s="1"/>
  <c r="AD151" i="2"/>
  <c r="X432" i="2"/>
  <c r="X424" i="2"/>
  <c r="X434" i="2"/>
  <c r="W173" i="2"/>
  <c r="F279" i="2"/>
  <c r="AL175" i="2"/>
  <c r="AF287" i="2"/>
  <c r="AF273" i="2"/>
  <c r="AF40" i="2"/>
  <c r="AF1" i="2" s="1"/>
  <c r="AF38" i="2"/>
  <c r="AR147" i="2"/>
  <c r="V288" i="2"/>
  <c r="V272" i="2"/>
  <c r="V169" i="2"/>
  <c r="V173" i="2" s="1"/>
  <c r="V41" i="2"/>
  <c r="V460" i="2"/>
  <c r="AD338" i="2"/>
  <c r="AD334" i="2" s="1"/>
  <c r="AD236" i="2"/>
  <c r="AD235" i="2"/>
  <c r="AD61" i="2"/>
  <c r="AD51" i="2"/>
  <c r="AG232" i="2"/>
  <c r="AD232" i="2"/>
  <c r="AE61" i="2"/>
  <c r="C279" i="2"/>
  <c r="AB365" i="2"/>
  <c r="AB363" i="2"/>
  <c r="AB355" i="2"/>
  <c r="AC258" i="2"/>
  <c r="AC259" i="2" s="1"/>
  <c r="AC256" i="2"/>
  <c r="AC257" i="2" s="1"/>
  <c r="AC151" i="2"/>
  <c r="N365" i="2"/>
  <c r="N363" i="2"/>
  <c r="N355" i="2"/>
  <c r="AI456" i="2"/>
  <c r="AI446" i="2"/>
  <c r="AI454" i="2"/>
  <c r="AL410" i="2"/>
  <c r="AL403" i="2"/>
  <c r="AL370" i="2"/>
  <c r="AL381" i="2" s="1"/>
  <c r="AL257" i="2"/>
  <c r="AK260" i="2"/>
  <c r="AM353" i="2"/>
  <c r="AM349" i="2"/>
  <c r="AM362" i="2"/>
  <c r="AD434" i="2"/>
  <c r="AD432" i="2"/>
  <c r="AD424" i="2"/>
  <c r="AD401" i="2"/>
  <c r="AA355" i="2"/>
  <c r="AA365" i="2"/>
  <c r="AA363" i="2"/>
  <c r="AD365" i="2"/>
  <c r="AD363" i="2"/>
  <c r="AD355" i="2"/>
  <c r="AR72" i="2"/>
  <c r="AO124" i="2"/>
  <c r="AO134" i="2" s="1"/>
  <c r="AO109" i="2"/>
  <c r="AO47" i="2" s="1"/>
  <c r="AO11" i="2" s="1"/>
  <c r="T260" i="2"/>
  <c r="N432" i="2"/>
  <c r="N424" i="2"/>
  <c r="R365" i="2"/>
  <c r="R363" i="2"/>
  <c r="R355" i="2"/>
  <c r="AL360" i="2"/>
  <c r="AL348" i="2"/>
  <c r="AL359" i="2" s="1"/>
  <c r="AE456" i="2"/>
  <c r="AE454" i="2"/>
  <c r="AE446" i="2"/>
  <c r="AR269" i="2"/>
  <c r="AR267" i="2" s="1"/>
  <c r="AB432" i="2"/>
  <c r="AB424" i="2"/>
  <c r="AB434" i="2"/>
  <c r="AU391" i="2"/>
  <c r="AV53" i="2"/>
  <c r="AN373" i="2" l="1"/>
  <c r="AN369" i="2"/>
  <c r="AN409" i="2" s="1"/>
  <c r="AM409" i="2"/>
  <c r="AM144" i="2"/>
  <c r="AM150" i="2" s="1"/>
  <c r="AO12" i="2"/>
  <c r="AO19" i="2" s="1"/>
  <c r="AM23" i="2"/>
  <c r="AM61" i="2" s="1"/>
  <c r="AM390" i="2"/>
  <c r="AM380" i="2"/>
  <c r="AM411" i="2"/>
  <c r="AP325" i="2"/>
  <c r="AQ307" i="2"/>
  <c r="AN383" i="2"/>
  <c r="AP323" i="2"/>
  <c r="AQ305" i="2"/>
  <c r="F225" i="2"/>
  <c r="F228" i="2" s="1"/>
  <c r="BF16" i="2"/>
  <c r="BF17" i="2" s="1"/>
  <c r="BF18" i="2" s="1"/>
  <c r="AO65" i="2"/>
  <c r="AP21" i="2"/>
  <c r="AP442" i="2" s="1"/>
  <c r="AM440" i="2"/>
  <c r="AM453" i="2"/>
  <c r="AN455" i="2"/>
  <c r="AN449" i="2"/>
  <c r="AN442" i="2"/>
  <c r="AN65" i="2"/>
  <c r="AM51" i="2"/>
  <c r="AM63" i="2"/>
  <c r="AM373" i="2"/>
  <c r="AM371" i="2" s="1"/>
  <c r="AN63" i="2"/>
  <c r="AO369" i="2"/>
  <c r="AO380" i="2" s="1"/>
  <c r="AP12" i="2"/>
  <c r="AP369" i="2" s="1"/>
  <c r="AP409" i="2" s="1"/>
  <c r="AM338" i="2"/>
  <c r="F280" i="2"/>
  <c r="E221" i="2"/>
  <c r="AO416" i="2"/>
  <c r="AO430" i="2" s="1"/>
  <c r="AO20" i="2"/>
  <c r="AP13" i="2"/>
  <c r="AN427" i="2"/>
  <c r="AN433" i="2"/>
  <c r="AM418" i="2"/>
  <c r="AM431" i="2"/>
  <c r="AN420" i="2"/>
  <c r="AN64" i="2"/>
  <c r="AM400" i="2"/>
  <c r="AM392" i="2"/>
  <c r="AO133" i="2"/>
  <c r="AO347" i="2"/>
  <c r="AO361" i="2" s="1"/>
  <c r="AO18" i="2"/>
  <c r="AO15" i="2"/>
  <c r="AQ438" i="2"/>
  <c r="AQ21" i="2"/>
  <c r="AV391" i="2"/>
  <c r="AW53" i="2"/>
  <c r="AW391" i="2" s="1"/>
  <c r="AM348" i="2"/>
  <c r="AM359" i="2" s="1"/>
  <c r="AM360" i="2"/>
  <c r="AC260" i="2"/>
  <c r="AS147" i="2"/>
  <c r="AD260" i="2"/>
  <c r="AN351" i="2"/>
  <c r="AN26" i="2"/>
  <c r="AN23" i="2"/>
  <c r="AN62" i="2"/>
  <c r="AO453" i="2"/>
  <c r="AO440" i="2"/>
  <c r="AP419" i="2"/>
  <c r="AL4" i="2"/>
  <c r="AF432" i="2"/>
  <c r="AF424" i="2"/>
  <c r="AF434" i="2"/>
  <c r="F229" i="2"/>
  <c r="F230" i="2"/>
  <c r="AQ216" i="2"/>
  <c r="AN317" i="2"/>
  <c r="AO315" i="2"/>
  <c r="AL281" i="2"/>
  <c r="AL282" i="2" s="1"/>
  <c r="AL237" i="2"/>
  <c r="AL145" i="2"/>
  <c r="AL149" i="2" s="1"/>
  <c r="AL66" i="2"/>
  <c r="AL56" i="2"/>
  <c r="AL34" i="2"/>
  <c r="F252" i="2"/>
  <c r="F253" i="2"/>
  <c r="H425" i="2"/>
  <c r="H447" i="2"/>
  <c r="H378" i="2"/>
  <c r="H356" i="2"/>
  <c r="H316" i="2"/>
  <c r="H309" i="2"/>
  <c r="H327" i="2" s="1"/>
  <c r="H305" i="2"/>
  <c r="H323" i="2" s="1"/>
  <c r="H319" i="2"/>
  <c r="H315" i="2"/>
  <c r="H318" i="2"/>
  <c r="H313" i="2"/>
  <c r="H332" i="2"/>
  <c r="H331" i="2"/>
  <c r="H330" i="2"/>
  <c r="H317" i="2"/>
  <c r="H312" i="2"/>
  <c r="H310" i="2"/>
  <c r="H328" i="2" s="1"/>
  <c r="H306" i="2"/>
  <c r="H324" i="2" s="1"/>
  <c r="H308" i="2"/>
  <c r="H326" i="2" s="1"/>
  <c r="H297" i="2"/>
  <c r="H307" i="2"/>
  <c r="H325" i="2" s="1"/>
  <c r="H300" i="2"/>
  <c r="H294" i="2"/>
  <c r="H269" i="2"/>
  <c r="H304" i="2"/>
  <c r="H322" i="2" s="1"/>
  <c r="H299" i="2"/>
  <c r="H293" i="2"/>
  <c r="H298" i="2"/>
  <c r="H292" i="2"/>
  <c r="H216" i="2"/>
  <c r="H212" i="2"/>
  <c r="H208" i="2"/>
  <c r="H203" i="2"/>
  <c r="H195" i="2"/>
  <c r="H215" i="2"/>
  <c r="H198" i="2"/>
  <c r="H194" i="2"/>
  <c r="H217" i="2"/>
  <c r="H213" i="2"/>
  <c r="H209" i="2"/>
  <c r="H204" i="2"/>
  <c r="H200" i="2"/>
  <c r="H196" i="2"/>
  <c r="H214" i="2"/>
  <c r="H201" i="2"/>
  <c r="H210" i="2"/>
  <c r="H197" i="2"/>
  <c r="H218" i="2"/>
  <c r="I5" i="2"/>
  <c r="G219" i="2"/>
  <c r="G280" i="2" s="1"/>
  <c r="AM258" i="2"/>
  <c r="AN259" i="2"/>
  <c r="AM365" i="2"/>
  <c r="AM363" i="2"/>
  <c r="AM355" i="2"/>
  <c r="AL256" i="2"/>
  <c r="AM257" i="2"/>
  <c r="AL260" i="2"/>
  <c r="AF288" i="2"/>
  <c r="AF272" i="2"/>
  <c r="AF169" i="2"/>
  <c r="AF173" i="2" s="1"/>
  <c r="AF41" i="2"/>
  <c r="AF460" i="2"/>
  <c r="AP350" i="2"/>
  <c r="AS100" i="2"/>
  <c r="AR99" i="2"/>
  <c r="AR115" i="2" s="1"/>
  <c r="AR49" i="2" s="1"/>
  <c r="AR126" i="2"/>
  <c r="AS95" i="2"/>
  <c r="AM180" i="2"/>
  <c r="AM170" i="2"/>
  <c r="AM241" i="2" s="1"/>
  <c r="AM242" i="2" s="1"/>
  <c r="AM146" i="2"/>
  <c r="AM80" i="2"/>
  <c r="AM79" i="2"/>
  <c r="AM201" i="2"/>
  <c r="AM78" i="2"/>
  <c r="AR94" i="2"/>
  <c r="AQ125" i="2"/>
  <c r="AQ93" i="2"/>
  <c r="AD412" i="2"/>
  <c r="AD411" i="2"/>
  <c r="AD409" i="2"/>
  <c r="AD410" i="2"/>
  <c r="F205" i="2"/>
  <c r="AR96" i="2"/>
  <c r="AQ127" i="2"/>
  <c r="AO341" i="2"/>
  <c r="AD287" i="2"/>
  <c r="AD273" i="2"/>
  <c r="AD40" i="2"/>
  <c r="AD1" i="2" s="1"/>
  <c r="AD38" i="2"/>
  <c r="AS82" i="2"/>
  <c r="AP441" i="2"/>
  <c r="AO452" i="2"/>
  <c r="AS269" i="2"/>
  <c r="AS267" i="2" s="1"/>
  <c r="X173" i="2"/>
  <c r="Y173" i="2" s="1"/>
  <c r="Y179" i="2" s="1"/>
  <c r="Y181" i="2" s="1"/>
  <c r="Y189" i="2" s="1"/>
  <c r="Y190" i="2" s="1"/>
  <c r="AN364" i="2"/>
  <c r="AN358" i="2"/>
  <c r="AQ322" i="2"/>
  <c r="AQ308" i="2"/>
  <c r="AR304" i="2"/>
  <c r="AW22" i="2"/>
  <c r="AS104" i="2"/>
  <c r="AR103" i="2"/>
  <c r="AR119" i="2" s="1"/>
  <c r="AR50" i="2" s="1"/>
  <c r="AR14" i="2" s="1"/>
  <c r="AN361" i="2"/>
  <c r="AO135" i="2"/>
  <c r="AQ140" i="2"/>
  <c r="AQ138" i="2"/>
  <c r="AQ130" i="2"/>
  <c r="AP124" i="2"/>
  <c r="AP134" i="2" s="1"/>
  <c r="AP109" i="2"/>
  <c r="AP47" i="2" s="1"/>
  <c r="AP11" i="2" s="1"/>
  <c r="I4" i="2"/>
  <c r="AI217" i="2"/>
  <c r="AH218" i="2"/>
  <c r="AH219" i="2" s="1"/>
  <c r="AH460" i="2"/>
  <c r="G199" i="2"/>
  <c r="G2" i="2"/>
  <c r="G211" i="2"/>
  <c r="AP131" i="2"/>
  <c r="AP139" i="2"/>
  <c r="AP141" i="2"/>
  <c r="AC454" i="2"/>
  <c r="AC456" i="2"/>
  <c r="AC446" i="2"/>
  <c r="AO352" i="2"/>
  <c r="F275" i="2"/>
  <c r="F276" i="2"/>
  <c r="F220" i="2"/>
  <c r="E230" i="2"/>
  <c r="E229" i="2"/>
  <c r="AP449" i="2"/>
  <c r="AP455" i="2"/>
  <c r="AS72" i="2"/>
  <c r="AL382" i="2"/>
  <c r="X169" i="2"/>
  <c r="AN144" i="2"/>
  <c r="AN46" i="2"/>
  <c r="AP326" i="2"/>
  <c r="AP299" i="2"/>
  <c r="AQ198" i="2"/>
  <c r="AQ178" i="2" s="1"/>
  <c r="AO255" i="2"/>
  <c r="AN254" i="2"/>
  <c r="AN195" i="2" s="1"/>
  <c r="AS98" i="2"/>
  <c r="AR97" i="2"/>
  <c r="AR113" i="2" s="1"/>
  <c r="AR48" i="2" s="1"/>
  <c r="AQ324" i="2"/>
  <c r="AR306" i="2"/>
  <c r="Z181" i="2"/>
  <c r="Z189" i="2" s="1"/>
  <c r="Z190" i="2" s="1"/>
  <c r="AA179" i="2"/>
  <c r="AP129" i="2"/>
  <c r="AP137" i="2"/>
  <c r="T179" i="2"/>
  <c r="S181" i="2"/>
  <c r="S189" i="2" s="1"/>
  <c r="S190" i="2" s="1"/>
  <c r="AE434" i="2"/>
  <c r="AE432" i="2"/>
  <c r="AE424" i="2"/>
  <c r="G226" i="2"/>
  <c r="G202" i="2"/>
  <c r="G264" i="2" s="1"/>
  <c r="AC288" i="2"/>
  <c r="AC272" i="2"/>
  <c r="AC169" i="2"/>
  <c r="AC41" i="2"/>
  <c r="AC460" i="2"/>
  <c r="AO383" i="2"/>
  <c r="AP372" i="2"/>
  <c r="AN390" i="2" l="1"/>
  <c r="AN380" i="2"/>
  <c r="AN386" i="2"/>
  <c r="X179" i="2"/>
  <c r="X181" i="2" s="1"/>
  <c r="X189" i="2" s="1"/>
  <c r="X190" i="2" s="1"/>
  <c r="AN371" i="2"/>
  <c r="AN384" i="2"/>
  <c r="AO373" i="2"/>
  <c r="AO412" i="2"/>
  <c r="AO411" i="2"/>
  <c r="AO63" i="2"/>
  <c r="AP380" i="2"/>
  <c r="AQ325" i="2"/>
  <c r="AR307" i="2"/>
  <c r="AM384" i="2"/>
  <c r="AP386" i="2"/>
  <c r="AP65" i="2"/>
  <c r="AP19" i="2"/>
  <c r="BF19" i="2"/>
  <c r="AP390" i="2"/>
  <c r="AP400" i="2" s="1"/>
  <c r="AQ323" i="2"/>
  <c r="AR305" i="2"/>
  <c r="AN453" i="2"/>
  <c r="AN440" i="2"/>
  <c r="AM439" i="2"/>
  <c r="AM450" i="2" s="1"/>
  <c r="AM451" i="2"/>
  <c r="AP133" i="2"/>
  <c r="AQ12" i="2"/>
  <c r="AO390" i="2"/>
  <c r="AN400" i="2"/>
  <c r="AN392" i="2"/>
  <c r="AO409" i="2"/>
  <c r="AO386" i="2"/>
  <c r="AP135" i="2"/>
  <c r="AP416" i="2"/>
  <c r="AP20" i="2"/>
  <c r="AQ13" i="2"/>
  <c r="AM429" i="2"/>
  <c r="AM417" i="2"/>
  <c r="AM428" i="2" s="1"/>
  <c r="AO64" i="2"/>
  <c r="AO420" i="2"/>
  <c r="AN431" i="2"/>
  <c r="AN418" i="2"/>
  <c r="AO427" i="2"/>
  <c r="AO433" i="2"/>
  <c r="AM401" i="2"/>
  <c r="AM393" i="2"/>
  <c r="AM394" i="2" s="1"/>
  <c r="F221" i="2"/>
  <c r="AM403" i="2"/>
  <c r="AM370" i="2"/>
  <c r="AM381" i="2" s="1"/>
  <c r="AM410" i="2"/>
  <c r="AR438" i="2"/>
  <c r="AR21" i="2"/>
  <c r="AP347" i="2"/>
  <c r="AP361" i="2" s="1"/>
  <c r="AP18" i="2"/>
  <c r="AP15" i="2"/>
  <c r="AH280" i="2"/>
  <c r="AH297" i="2"/>
  <c r="AH298" i="2" s="1"/>
  <c r="AH300" i="2" s="1"/>
  <c r="AH276" i="2"/>
  <c r="AH275" i="2"/>
  <c r="AH225" i="2"/>
  <c r="AH228" i="2" s="1"/>
  <c r="AH220" i="2"/>
  <c r="AH221" i="2" s="1"/>
  <c r="AH230" i="2"/>
  <c r="AH229" i="2"/>
  <c r="AH287" i="2"/>
  <c r="AH288" i="2"/>
  <c r="G227" i="2"/>
  <c r="G225" i="2"/>
  <c r="G228" i="2" s="1"/>
  <c r="AP341" i="2"/>
  <c r="AN150" i="2"/>
  <c r="AT269" i="2"/>
  <c r="AL312" i="2"/>
  <c r="AL209" i="2" s="1"/>
  <c r="AR127" i="2"/>
  <c r="AS96" i="2"/>
  <c r="AQ124" i="2"/>
  <c r="AQ134" i="2" s="1"/>
  <c r="AQ109" i="2"/>
  <c r="AQ47" i="2" s="1"/>
  <c r="AQ11" i="2" s="1"/>
  <c r="AM248" i="2"/>
  <c r="AR140" i="2"/>
  <c r="AR138" i="2"/>
  <c r="AR130" i="2"/>
  <c r="AQ350" i="2"/>
  <c r="G276" i="2"/>
  <c r="G275" i="2"/>
  <c r="G220" i="2"/>
  <c r="I447" i="2"/>
  <c r="I425" i="2"/>
  <c r="I378" i="2"/>
  <c r="I315" i="2"/>
  <c r="I308" i="2"/>
  <c r="I326" i="2" s="1"/>
  <c r="I304" i="2"/>
  <c r="I322" i="2" s="1"/>
  <c r="I356" i="2"/>
  <c r="I331" i="2"/>
  <c r="I316" i="2"/>
  <c r="I305" i="2"/>
  <c r="I323" i="2" s="1"/>
  <c r="I307" i="2"/>
  <c r="I325" i="2" s="1"/>
  <c r="I269" i="2"/>
  <c r="I306" i="2"/>
  <c r="I324" i="2" s="1"/>
  <c r="I299" i="2"/>
  <c r="I293" i="2"/>
  <c r="I215" i="2"/>
  <c r="I198" i="2"/>
  <c r="I218" i="2"/>
  <c r="I210" i="2"/>
  <c r="I216" i="2"/>
  <c r="I203" i="2"/>
  <c r="I204" i="2"/>
  <c r="J5" i="2"/>
  <c r="I213" i="2"/>
  <c r="H199" i="2"/>
  <c r="H2" i="2"/>
  <c r="AL35" i="2"/>
  <c r="AO317" i="2"/>
  <c r="I317" i="2" s="1"/>
  <c r="AP315" i="2"/>
  <c r="AQ419" i="2"/>
  <c r="AN362" i="2"/>
  <c r="AN349" i="2"/>
  <c r="AN353" i="2"/>
  <c r="AQ449" i="2"/>
  <c r="AQ455" i="2"/>
  <c r="AO144" i="2"/>
  <c r="AO46" i="2"/>
  <c r="AS306" i="2"/>
  <c r="AR324" i="2"/>
  <c r="AS97" i="2"/>
  <c r="AS113" i="2" s="1"/>
  <c r="AS48" i="2" s="1"/>
  <c r="AT98" i="2"/>
  <c r="AP392" i="2"/>
  <c r="AS304" i="2"/>
  <c r="AR308" i="2"/>
  <c r="AR322" i="2"/>
  <c r="AT82" i="2"/>
  <c r="AQ137" i="2"/>
  <c r="AQ129" i="2"/>
  <c r="AM443" i="2"/>
  <c r="AM444" i="2" s="1"/>
  <c r="AM29" i="2"/>
  <c r="AM256" i="2"/>
  <c r="AN257" i="2"/>
  <c r="AM260" i="2"/>
  <c r="H211" i="2"/>
  <c r="AL283" i="2"/>
  <c r="AO351" i="2"/>
  <c r="AO62" i="2"/>
  <c r="AO23" i="2"/>
  <c r="AO26" i="2"/>
  <c r="G205" i="2"/>
  <c r="T181" i="2"/>
  <c r="T189" i="2" s="1"/>
  <c r="T190" i="2" s="1"/>
  <c r="U179" i="2"/>
  <c r="T173" i="2"/>
  <c r="AA181" i="2"/>
  <c r="AA189" i="2" s="1"/>
  <c r="AA190" i="2" s="1"/>
  <c r="AB179" i="2"/>
  <c r="AA173" i="2"/>
  <c r="AR198" i="2"/>
  <c r="AR178" i="2" s="1"/>
  <c r="AN175" i="2"/>
  <c r="AS103" i="2"/>
  <c r="AS119" i="2" s="1"/>
  <c r="AS50" i="2" s="1"/>
  <c r="AS14" i="2" s="1"/>
  <c r="AT104" i="2"/>
  <c r="AQ326" i="2"/>
  <c r="AQ299" i="2"/>
  <c r="AR125" i="2"/>
  <c r="AS94" i="2"/>
  <c r="AR93" i="2"/>
  <c r="AM30" i="2"/>
  <c r="AM339" i="2"/>
  <c r="AM245" i="2"/>
  <c r="AM244" i="2"/>
  <c r="AM243" i="2"/>
  <c r="AM200" i="2"/>
  <c r="AS99" i="2"/>
  <c r="AS115" i="2" s="1"/>
  <c r="AS49" i="2" s="1"/>
  <c r="AT100" i="2"/>
  <c r="G279" i="2"/>
  <c r="H226" i="2"/>
  <c r="AR216" i="2"/>
  <c r="AO451" i="2"/>
  <c r="AO439" i="2"/>
  <c r="AO450" i="2" s="1"/>
  <c r="AN338" i="2"/>
  <c r="AN61" i="2"/>
  <c r="AN51" i="2"/>
  <c r="AT147" i="2"/>
  <c r="AQ372" i="2"/>
  <c r="AP383" i="2"/>
  <c r="AP255" i="2"/>
  <c r="AO254" i="2"/>
  <c r="AO195" i="2" s="1"/>
  <c r="AT72" i="2"/>
  <c r="G252" i="2"/>
  <c r="G253" i="2"/>
  <c r="AI218" i="2"/>
  <c r="AI219" i="2" s="1"/>
  <c r="AI460" i="2"/>
  <c r="AJ460" i="2"/>
  <c r="J4" i="2"/>
  <c r="AP440" i="2"/>
  <c r="AP453" i="2"/>
  <c r="AP452" i="2"/>
  <c r="AQ441" i="2"/>
  <c r="AD288" i="2"/>
  <c r="AD272" i="2"/>
  <c r="AD41" i="2"/>
  <c r="AD169" i="2"/>
  <c r="AD173" i="2" s="1"/>
  <c r="AD460" i="2"/>
  <c r="AQ141" i="2"/>
  <c r="AQ139" i="2"/>
  <c r="AQ131" i="2"/>
  <c r="AM421" i="2"/>
  <c r="AM422" i="2" s="1"/>
  <c r="AM28" i="2"/>
  <c r="AM77" i="2"/>
  <c r="AS126" i="2"/>
  <c r="AT95" i="2"/>
  <c r="AO259" i="2"/>
  <c r="AN258" i="2"/>
  <c r="H202" i="2"/>
  <c r="H279" i="2" s="1"/>
  <c r="H219" i="2"/>
  <c r="AL196" i="2"/>
  <c r="AL151" i="2"/>
  <c r="AL208" i="2"/>
  <c r="AP4" i="2"/>
  <c r="AN57" i="2"/>
  <c r="AN67" i="2"/>
  <c r="AQ442" i="2"/>
  <c r="AQ65" i="2"/>
  <c r="AO364" i="2"/>
  <c r="AO358" i="2"/>
  <c r="AN403" i="2" l="1"/>
  <c r="AN370" i="2"/>
  <c r="AN410" i="2"/>
  <c r="AO384" i="2"/>
  <c r="AO371" i="2"/>
  <c r="AR325" i="2"/>
  <c r="AS307" i="2"/>
  <c r="AR323" i="2"/>
  <c r="AS305" i="2"/>
  <c r="AP412" i="2"/>
  <c r="AP373" i="2"/>
  <c r="AP411" i="2"/>
  <c r="AP63" i="2"/>
  <c r="BF20" i="2"/>
  <c r="AN439" i="2"/>
  <c r="AN450" i="2" s="1"/>
  <c r="AN451" i="2"/>
  <c r="AQ369" i="2"/>
  <c r="AQ19" i="2"/>
  <c r="AR12" i="2"/>
  <c r="AS12" i="2" s="1"/>
  <c r="AN401" i="2"/>
  <c r="AN393" i="2"/>
  <c r="AN394" i="2" s="1"/>
  <c r="AO400" i="2"/>
  <c r="AO392" i="2"/>
  <c r="AP64" i="2"/>
  <c r="AP420" i="2"/>
  <c r="AO418" i="2"/>
  <c r="AO431" i="2"/>
  <c r="AQ416" i="2"/>
  <c r="AQ430" i="2" s="1"/>
  <c r="AQ20" i="2"/>
  <c r="AN417" i="2"/>
  <c r="AN428" i="2" s="1"/>
  <c r="AN429" i="2"/>
  <c r="AP427" i="2"/>
  <c r="AP433" i="2"/>
  <c r="AP430" i="2"/>
  <c r="AR13" i="2"/>
  <c r="AS13" i="2" s="1"/>
  <c r="AS416" i="2" s="1"/>
  <c r="AL36" i="2"/>
  <c r="AM382" i="2"/>
  <c r="AQ135" i="2"/>
  <c r="AQ133" i="2"/>
  <c r="AQ347" i="2"/>
  <c r="AQ361" i="2" s="1"/>
  <c r="AQ15" i="2"/>
  <c r="AQ18" i="2"/>
  <c r="AI297" i="2"/>
  <c r="AI298" i="2" s="1"/>
  <c r="AI300" i="2" s="1"/>
  <c r="AI276" i="2"/>
  <c r="AI275" i="2"/>
  <c r="AI280" i="2"/>
  <c r="AI225" i="2"/>
  <c r="AI228" i="2" s="1"/>
  <c r="AI220" i="2"/>
  <c r="AI221" i="2" s="1"/>
  <c r="AI230" i="2"/>
  <c r="AI229" i="2"/>
  <c r="AJ287" i="2"/>
  <c r="AJ288" i="2"/>
  <c r="AI287" i="2"/>
  <c r="AI288" i="2"/>
  <c r="I195" i="2"/>
  <c r="AO175" i="2"/>
  <c r="AS438" i="2"/>
  <c r="AS21" i="2"/>
  <c r="AT4" i="2"/>
  <c r="E374" i="2" s="1"/>
  <c r="C397" i="2"/>
  <c r="C80" i="2"/>
  <c r="G96" i="2"/>
  <c r="E416" i="2"/>
  <c r="H397" i="2"/>
  <c r="H160" i="2"/>
  <c r="H95" i="2"/>
  <c r="G389" i="2"/>
  <c r="E441" i="2"/>
  <c r="D124" i="2"/>
  <c r="E78" i="2"/>
  <c r="G372" i="2"/>
  <c r="H417" i="2"/>
  <c r="H176" i="2"/>
  <c r="H94" i="2"/>
  <c r="F462" i="2"/>
  <c r="E33" i="2"/>
  <c r="D126" i="2"/>
  <c r="E182" i="2"/>
  <c r="D177" i="2"/>
  <c r="E186" i="2"/>
  <c r="E98" i="2"/>
  <c r="F26" i="2"/>
  <c r="G42" i="2"/>
  <c r="G186" i="2"/>
  <c r="G376" i="2"/>
  <c r="F421" i="2"/>
  <c r="F35" i="2"/>
  <c r="E77" i="2"/>
  <c r="F19" i="2"/>
  <c r="D11" i="2"/>
  <c r="H406" i="2"/>
  <c r="H370" i="2"/>
  <c r="H354" i="2"/>
  <c r="H267" i="2"/>
  <c r="H185" i="2"/>
  <c r="H461" i="2" s="1"/>
  <c r="H175" i="2"/>
  <c r="H127" i="2"/>
  <c r="H172" i="2"/>
  <c r="H93" i="2"/>
  <c r="H81" i="2"/>
  <c r="H77" i="2"/>
  <c r="H22" i="2"/>
  <c r="H18" i="2"/>
  <c r="H35" i="2"/>
  <c r="H33" i="2"/>
  <c r="H26" i="2"/>
  <c r="G421" i="2"/>
  <c r="C94" i="2"/>
  <c r="F369" i="2"/>
  <c r="F33" i="2"/>
  <c r="G354" i="2"/>
  <c r="G441" i="2"/>
  <c r="E99" i="2"/>
  <c r="F178" i="2"/>
  <c r="E352" i="2"/>
  <c r="E443" i="2"/>
  <c r="C28" i="2"/>
  <c r="E18" i="2"/>
  <c r="E369" i="2"/>
  <c r="E21" i="2"/>
  <c r="E350" i="2"/>
  <c r="D419" i="2"/>
  <c r="E42" i="2"/>
  <c r="E268" i="2" s="1"/>
  <c r="C79" i="2"/>
  <c r="F416" i="2"/>
  <c r="F105" i="2"/>
  <c r="G80" i="2"/>
  <c r="G124" i="2"/>
  <c r="G147" i="2"/>
  <c r="G162" i="2"/>
  <c r="G396" i="2"/>
  <c r="E406" i="2"/>
  <c r="D103" i="2"/>
  <c r="F160" i="2"/>
  <c r="F161" i="2" s="1"/>
  <c r="E97" i="2"/>
  <c r="C26" i="2"/>
  <c r="F376" i="2"/>
  <c r="F12" i="2"/>
  <c r="C462" i="2"/>
  <c r="H439" i="2"/>
  <c r="H443" i="2"/>
  <c r="H419" i="2"/>
  <c r="H396" i="2"/>
  <c r="H407" i="2" s="1"/>
  <c r="H348" i="2"/>
  <c r="H347" i="2"/>
  <c r="H188" i="2"/>
  <c r="H184" i="2"/>
  <c r="H178" i="2"/>
  <c r="H171" i="2"/>
  <c r="H126" i="2"/>
  <c r="H162" i="2"/>
  <c r="H163" i="2" s="1"/>
  <c r="H105" i="2"/>
  <c r="H104" i="2"/>
  <c r="H80" i="2"/>
  <c r="H76" i="2"/>
  <c r="H102" i="2"/>
  <c r="H21" i="2"/>
  <c r="H11" i="2"/>
  <c r="H29" i="2"/>
  <c r="H37" i="2"/>
  <c r="H13" i="2"/>
  <c r="H12" i="2"/>
  <c r="G443" i="2"/>
  <c r="E417" i="2"/>
  <c r="F186" i="2"/>
  <c r="E183" i="2"/>
  <c r="C369" i="2"/>
  <c r="G370" i="2"/>
  <c r="G462" i="2"/>
  <c r="C78" i="2"/>
  <c r="F80" i="2"/>
  <c r="C96" i="2"/>
  <c r="H276" i="2"/>
  <c r="H275" i="2"/>
  <c r="H220" i="2"/>
  <c r="AS130" i="2"/>
  <c r="AS140" i="2"/>
  <c r="AS138" i="2"/>
  <c r="AM434" i="2"/>
  <c r="AM432" i="2"/>
  <c r="AM424" i="2"/>
  <c r="I13" i="2"/>
  <c r="I12" i="2"/>
  <c r="I126" i="2"/>
  <c r="I124" i="2"/>
  <c r="I106" i="2"/>
  <c r="I33" i="2"/>
  <c r="I101" i="2"/>
  <c r="I103" i="2"/>
  <c r="I160" i="2"/>
  <c r="I183" i="2"/>
  <c r="I187" i="2"/>
  <c r="I148" i="2"/>
  <c r="I372" i="2"/>
  <c r="I406" i="2"/>
  <c r="I438" i="2"/>
  <c r="I441" i="2"/>
  <c r="AQ383" i="2"/>
  <c r="AR372" i="2"/>
  <c r="AR137" i="2"/>
  <c r="AR129" i="2"/>
  <c r="U173" i="2"/>
  <c r="D173" i="2" s="1"/>
  <c r="U181" i="2"/>
  <c r="U189" i="2" s="1"/>
  <c r="U190" i="2" s="1"/>
  <c r="AO67" i="2"/>
  <c r="AO57" i="2"/>
  <c r="AO150" i="2"/>
  <c r="AR419" i="2"/>
  <c r="C347" i="2"/>
  <c r="E14" i="2"/>
  <c r="H280" i="2"/>
  <c r="AS127" i="2"/>
  <c r="J127" i="2" s="1"/>
  <c r="AT96" i="2"/>
  <c r="AU269" i="2"/>
  <c r="AP364" i="2"/>
  <c r="AP358" i="2"/>
  <c r="AQ453" i="2"/>
  <c r="AQ440" i="2"/>
  <c r="AL177" i="2"/>
  <c r="AL211" i="2"/>
  <c r="AM374" i="2"/>
  <c r="AM27" i="2"/>
  <c r="AP439" i="2"/>
  <c r="AP450" i="2" s="1"/>
  <c r="AP451" i="2"/>
  <c r="J462" i="2"/>
  <c r="J423" i="2"/>
  <c r="J438" i="2"/>
  <c r="J445" i="2"/>
  <c r="J389" i="2"/>
  <c r="J376" i="2"/>
  <c r="J397" i="2"/>
  <c r="J406" i="2"/>
  <c r="J396" i="2"/>
  <c r="J354" i="2"/>
  <c r="J267" i="2"/>
  <c r="J173" i="2"/>
  <c r="J147" i="2"/>
  <c r="J172" i="2"/>
  <c r="J162" i="2"/>
  <c r="J160" i="2"/>
  <c r="J148" i="2"/>
  <c r="J126" i="2"/>
  <c r="J103" i="2"/>
  <c r="J99" i="2"/>
  <c r="J95" i="2"/>
  <c r="J187" i="2"/>
  <c r="J183" i="2"/>
  <c r="J106" i="2"/>
  <c r="J102" i="2"/>
  <c r="J98" i="2"/>
  <c r="J94" i="2"/>
  <c r="J188" i="2"/>
  <c r="J186" i="2"/>
  <c r="J182" i="2"/>
  <c r="J104" i="2"/>
  <c r="J100" i="2"/>
  <c r="J96" i="2"/>
  <c r="J43" i="2"/>
  <c r="J97" i="2"/>
  <c r="J33" i="2"/>
  <c r="K4" i="2"/>
  <c r="J105" i="2"/>
  <c r="J37" i="2"/>
  <c r="J22" i="2"/>
  <c r="J101" i="2"/>
  <c r="J14" i="2"/>
  <c r="I37" i="2"/>
  <c r="I105" i="2"/>
  <c r="I162" i="2"/>
  <c r="I96" i="2"/>
  <c r="I178" i="2"/>
  <c r="I188" i="2"/>
  <c r="I376" i="2"/>
  <c r="I347" i="2"/>
  <c r="I389" i="2"/>
  <c r="I423" i="2"/>
  <c r="I439" i="2"/>
  <c r="I450" i="2" s="1"/>
  <c r="I445" i="2"/>
  <c r="AP254" i="2"/>
  <c r="AP195" i="2" s="1"/>
  <c r="AQ255" i="2"/>
  <c r="AC179" i="2"/>
  <c r="AB181" i="2"/>
  <c r="AB189" i="2" s="1"/>
  <c r="AB190" i="2" s="1"/>
  <c r="AB173" i="2"/>
  <c r="AO338" i="2"/>
  <c r="AO61" i="2"/>
  <c r="AO51" i="2"/>
  <c r="AO257" i="2"/>
  <c r="AN256" i="2"/>
  <c r="AN260" i="2"/>
  <c r="AM456" i="2"/>
  <c r="AM454" i="2"/>
  <c r="AM446" i="2"/>
  <c r="AR299" i="2"/>
  <c r="AR326" i="2"/>
  <c r="AS324" i="2"/>
  <c r="AT306" i="2"/>
  <c r="AN363" i="2"/>
  <c r="AN355" i="2"/>
  <c r="AN365" i="2"/>
  <c r="E376" i="2"/>
  <c r="E28" i="2"/>
  <c r="AP317" i="2"/>
  <c r="AQ315" i="2"/>
  <c r="AR141" i="2"/>
  <c r="AR139" i="2"/>
  <c r="AR131" i="2"/>
  <c r="G229" i="2"/>
  <c r="G230" i="2"/>
  <c r="AM69" i="2"/>
  <c r="AM59" i="2"/>
  <c r="G173" i="2"/>
  <c r="AQ452" i="2"/>
  <c r="AR441" i="2"/>
  <c r="I147" i="2"/>
  <c r="I350" i="2"/>
  <c r="I369" i="2"/>
  <c r="I397" i="2"/>
  <c r="I416" i="2"/>
  <c r="I462" i="2"/>
  <c r="AU72" i="2"/>
  <c r="AU147" i="2"/>
  <c r="H227" i="2"/>
  <c r="H225" i="2"/>
  <c r="H228" i="2" s="1"/>
  <c r="AM202" i="2"/>
  <c r="AM247" i="2"/>
  <c r="AR124" i="2"/>
  <c r="AR134" i="2" s="1"/>
  <c r="AR109" i="2"/>
  <c r="AR47" i="2" s="1"/>
  <c r="AR11" i="2" s="1"/>
  <c r="AQ341" i="2"/>
  <c r="AM312" i="2"/>
  <c r="AM209" i="2" s="1"/>
  <c r="AS308" i="2"/>
  <c r="J308" i="2" s="1"/>
  <c r="J326" i="2" s="1"/>
  <c r="AS322" i="2"/>
  <c r="AT304" i="2"/>
  <c r="AP401" i="2"/>
  <c r="AP393" i="2"/>
  <c r="AP394" i="2" s="1"/>
  <c r="AT97" i="2"/>
  <c r="AT113" i="2" s="1"/>
  <c r="AT48" i="2" s="1"/>
  <c r="AU98" i="2"/>
  <c r="AN348" i="2"/>
  <c r="AN360" i="2"/>
  <c r="E185" i="2"/>
  <c r="E461" i="2" s="1"/>
  <c r="C43" i="2"/>
  <c r="E35" i="2"/>
  <c r="E372" i="2"/>
  <c r="AR350" i="2"/>
  <c r="AP144" i="2"/>
  <c r="AP46" i="2"/>
  <c r="AR442" i="2"/>
  <c r="AR65" i="2"/>
  <c r="G160" i="2"/>
  <c r="AL176" i="2"/>
  <c r="H205" i="2"/>
  <c r="AP259" i="2"/>
  <c r="AO258" i="2"/>
  <c r="AT126" i="2"/>
  <c r="AU95" i="2"/>
  <c r="I125" i="2"/>
  <c r="I102" i="2"/>
  <c r="I94" i="2"/>
  <c r="I110" i="2" s="1"/>
  <c r="I19" i="2"/>
  <c r="I14" i="2"/>
  <c r="I97" i="2"/>
  <c r="I26" i="2"/>
  <c r="I99" i="2"/>
  <c r="I76" i="2"/>
  <c r="I104" i="2"/>
  <c r="I120" i="2" s="1"/>
  <c r="I182" i="2"/>
  <c r="I186" i="2"/>
  <c r="I173" i="2"/>
  <c r="I354" i="2"/>
  <c r="I352" i="2"/>
  <c r="I396" i="2"/>
  <c r="I407" i="2" s="1"/>
  <c r="I419" i="2"/>
  <c r="AS216" i="2"/>
  <c r="AT99" i="2"/>
  <c r="AT115" i="2" s="1"/>
  <c r="AT49" i="2" s="1"/>
  <c r="AU100" i="2"/>
  <c r="AS93" i="2"/>
  <c r="J93" i="2" s="1"/>
  <c r="AS125" i="2"/>
  <c r="J125" i="2" s="1"/>
  <c r="AT94" i="2"/>
  <c r="AT103" i="2"/>
  <c r="AT119" i="2" s="1"/>
  <c r="AT50" i="2" s="1"/>
  <c r="AT14" i="2" s="1"/>
  <c r="AU104" i="2"/>
  <c r="AS198" i="2"/>
  <c r="AS178" i="2" s="1"/>
  <c r="J178" i="2" s="1"/>
  <c r="AO353" i="2"/>
  <c r="AO362" i="2"/>
  <c r="AO349" i="2"/>
  <c r="H264" i="2"/>
  <c r="AM70" i="2"/>
  <c r="AM60" i="2"/>
  <c r="AU82" i="2"/>
  <c r="D32" i="2"/>
  <c r="AL342" i="2"/>
  <c r="AL334" i="2" s="1"/>
  <c r="AL197" i="2"/>
  <c r="AL279" i="2" s="1"/>
  <c r="H253" i="2"/>
  <c r="H252" i="2"/>
  <c r="J447" i="2"/>
  <c r="J425" i="2"/>
  <c r="J378" i="2"/>
  <c r="J356" i="2"/>
  <c r="J307" i="2"/>
  <c r="J325" i="2" s="1"/>
  <c r="J331" i="2"/>
  <c r="J316" i="2"/>
  <c r="J304" i="2"/>
  <c r="J322" i="2" s="1"/>
  <c r="J306" i="2"/>
  <c r="J324" i="2" s="1"/>
  <c r="J293" i="2"/>
  <c r="J305" i="2"/>
  <c r="J323" i="2" s="1"/>
  <c r="J269" i="2"/>
  <c r="J218" i="2"/>
  <c r="J210" i="2"/>
  <c r="J213" i="2"/>
  <c r="J204" i="2"/>
  <c r="J215" i="2"/>
  <c r="J203" i="2"/>
  <c r="K5" i="2"/>
  <c r="G221" i="2"/>
  <c r="AT267" i="2"/>
  <c r="AP351" i="2"/>
  <c r="AP62" i="2"/>
  <c r="AP23" i="2"/>
  <c r="AR455" i="2"/>
  <c r="AR449" i="2"/>
  <c r="AN381" i="2" l="1"/>
  <c r="AN382" i="2"/>
  <c r="AS369" i="2"/>
  <c r="AS19" i="2"/>
  <c r="J12" i="2"/>
  <c r="H423" i="2"/>
  <c r="C172" i="2"/>
  <c r="E27" i="2"/>
  <c r="G14" i="2"/>
  <c r="E180" i="2"/>
  <c r="D26" i="2"/>
  <c r="D57" i="2" s="1"/>
  <c r="E389" i="2"/>
  <c r="D106" i="2"/>
  <c r="G416" i="2"/>
  <c r="G418" i="2" s="1"/>
  <c r="H42" i="2"/>
  <c r="H97" i="2"/>
  <c r="H372" i="2"/>
  <c r="C354" i="2"/>
  <c r="G43" i="2"/>
  <c r="C187" i="2"/>
  <c r="C170" i="2"/>
  <c r="C241" i="2" s="1"/>
  <c r="F23" i="2"/>
  <c r="C32" i="2"/>
  <c r="C71" i="2" s="1"/>
  <c r="H43" i="2"/>
  <c r="H183" i="2"/>
  <c r="E178" i="2"/>
  <c r="G352" i="2"/>
  <c r="E423" i="2"/>
  <c r="E93" i="2"/>
  <c r="E20" i="2"/>
  <c r="J119" i="2"/>
  <c r="C21" i="2"/>
  <c r="C29" i="2"/>
  <c r="C101" i="2"/>
  <c r="F37" i="2"/>
  <c r="H19" i="2"/>
  <c r="H148" i="2"/>
  <c r="H445" i="2"/>
  <c r="G445" i="2"/>
  <c r="D147" i="2"/>
  <c r="E79" i="2"/>
  <c r="C182" i="2"/>
  <c r="E354" i="2"/>
  <c r="H30" i="2"/>
  <c r="H101" i="2"/>
  <c r="I117" i="2" s="1"/>
  <c r="H376" i="2"/>
  <c r="D397" i="2"/>
  <c r="D408" i="2" s="1"/>
  <c r="G19" i="2"/>
  <c r="E172" i="2"/>
  <c r="D27" i="2"/>
  <c r="E13" i="2"/>
  <c r="E59" i="2" s="1"/>
  <c r="I113" i="2"/>
  <c r="AO403" i="2"/>
  <c r="AO410" i="2"/>
  <c r="AO370" i="2"/>
  <c r="D182" i="2"/>
  <c r="D462" i="2"/>
  <c r="C102" i="2"/>
  <c r="D421" i="2"/>
  <c r="D105" i="2"/>
  <c r="H28" i="2"/>
  <c r="H96" i="2"/>
  <c r="H112" i="2" s="1"/>
  <c r="H350" i="2"/>
  <c r="F102" i="2"/>
  <c r="G18" i="2"/>
  <c r="C441" i="2"/>
  <c r="C421" i="2"/>
  <c r="D178" i="2"/>
  <c r="F104" i="2"/>
  <c r="H98" i="2"/>
  <c r="H177" i="2"/>
  <c r="H421" i="2"/>
  <c r="G417" i="2"/>
  <c r="G428" i="2" s="1"/>
  <c r="C350" i="2"/>
  <c r="C361" i="2" s="1"/>
  <c r="E445" i="2"/>
  <c r="E438" i="2"/>
  <c r="J21" i="2"/>
  <c r="J407" i="2"/>
  <c r="AT307" i="2"/>
  <c r="AS325" i="2"/>
  <c r="J112" i="2"/>
  <c r="J198" i="2"/>
  <c r="I121" i="2"/>
  <c r="AP371" i="2"/>
  <c r="AP384" i="2"/>
  <c r="AT305" i="2"/>
  <c r="AT308" i="2" s="1"/>
  <c r="AS323" i="2"/>
  <c r="AT12" i="2"/>
  <c r="AT19" i="2" s="1"/>
  <c r="J161" i="2"/>
  <c r="BF21" i="2"/>
  <c r="J122" i="2"/>
  <c r="I452" i="2"/>
  <c r="I361" i="2"/>
  <c r="AR369" i="2"/>
  <c r="AS380" i="2" s="1"/>
  <c r="AR19" i="2"/>
  <c r="AQ412" i="2"/>
  <c r="AQ411" i="2"/>
  <c r="AQ63" i="2"/>
  <c r="AQ373" i="2"/>
  <c r="AQ386" i="2"/>
  <c r="AQ390" i="2"/>
  <c r="AQ409" i="2"/>
  <c r="AQ380" i="2"/>
  <c r="AO401" i="2"/>
  <c r="AO393" i="2"/>
  <c r="AO394" i="2" s="1"/>
  <c r="E383" i="2"/>
  <c r="AL270" i="2"/>
  <c r="AL268" i="2" s="1"/>
  <c r="AL42" i="2" s="1"/>
  <c r="J115" i="2"/>
  <c r="AL38" i="2"/>
  <c r="I118" i="2"/>
  <c r="AL273" i="2"/>
  <c r="J13" i="2"/>
  <c r="I430" i="2"/>
  <c r="AT13" i="2"/>
  <c r="AT20" i="2" s="1"/>
  <c r="AS20" i="2"/>
  <c r="J49" i="2"/>
  <c r="AO417" i="2"/>
  <c r="AO429" i="2"/>
  <c r="I49" i="2"/>
  <c r="E428" i="2"/>
  <c r="AQ420" i="2"/>
  <c r="AQ64" i="2"/>
  <c r="AP418" i="2"/>
  <c r="AP431" i="2"/>
  <c r="AR416" i="2"/>
  <c r="AR20" i="2"/>
  <c r="AS64" i="2" s="1"/>
  <c r="AQ427" i="2"/>
  <c r="AQ433" i="2"/>
  <c r="I48" i="2"/>
  <c r="H221" i="2"/>
  <c r="H268" i="2"/>
  <c r="H270" i="2" s="1"/>
  <c r="J110" i="2"/>
  <c r="G268" i="2"/>
  <c r="H361" i="2"/>
  <c r="I161" i="2"/>
  <c r="AP175" i="2"/>
  <c r="AR347" i="2"/>
  <c r="AR361" i="2" s="1"/>
  <c r="AR15" i="2"/>
  <c r="AR18" i="2"/>
  <c r="AT438" i="2"/>
  <c r="AT21" i="2"/>
  <c r="J141" i="2"/>
  <c r="J139" i="2"/>
  <c r="J118" i="2"/>
  <c r="AM375" i="2"/>
  <c r="AV269" i="2"/>
  <c r="AV267" i="2" s="1"/>
  <c r="E455" i="2"/>
  <c r="F449" i="2"/>
  <c r="AP338" i="2"/>
  <c r="AP61" i="2"/>
  <c r="AP51" i="2"/>
  <c r="I137" i="2"/>
  <c r="I133" i="2"/>
  <c r="AP258" i="2"/>
  <c r="AQ259" i="2"/>
  <c r="AP150" i="2"/>
  <c r="AN359" i="2"/>
  <c r="AV147" i="2"/>
  <c r="AP257" i="2"/>
  <c r="AO256" i="2"/>
  <c r="AO260" i="2"/>
  <c r="J121" i="2"/>
  <c r="J137" i="2"/>
  <c r="J129" i="2"/>
  <c r="AV82" i="2"/>
  <c r="AO360" i="2"/>
  <c r="AO348" i="2"/>
  <c r="AO359" i="2" s="1"/>
  <c r="AV98" i="2"/>
  <c r="AU97" i="2"/>
  <c r="AU113" i="2" s="1"/>
  <c r="AU48" i="2" s="1"/>
  <c r="AU12" i="2" s="1"/>
  <c r="AT322" i="2"/>
  <c r="AU304" i="2"/>
  <c r="H230" i="2"/>
  <c r="H229" i="2"/>
  <c r="AR341" i="2"/>
  <c r="J50" i="2"/>
  <c r="K447" i="2"/>
  <c r="K425" i="2"/>
  <c r="K378" i="2"/>
  <c r="K356" i="2"/>
  <c r="K331" i="2"/>
  <c r="K312" i="2"/>
  <c r="K316" i="2"/>
  <c r="K293" i="2"/>
  <c r="K213" i="2"/>
  <c r="K209" i="2"/>
  <c r="K204" i="2"/>
  <c r="K203" i="2"/>
  <c r="K218" i="2"/>
  <c r="K210" i="2"/>
  <c r="K215" i="2"/>
  <c r="AT198" i="2"/>
  <c r="AT178" i="2" s="1"/>
  <c r="AS137" i="2"/>
  <c r="AS129" i="2"/>
  <c r="AT130" i="2"/>
  <c r="AT138" i="2"/>
  <c r="AT140" i="2"/>
  <c r="G161" i="2"/>
  <c r="AM249" i="2"/>
  <c r="AM214" i="2"/>
  <c r="AN81" i="2"/>
  <c r="AV72" i="2"/>
  <c r="I390" i="2"/>
  <c r="I400" i="2"/>
  <c r="AR452" i="2"/>
  <c r="AS441" i="2"/>
  <c r="AR135" i="2"/>
  <c r="AT324" i="2"/>
  <c r="AU306" i="2"/>
  <c r="AR255" i="2"/>
  <c r="AQ254" i="2"/>
  <c r="AQ195" i="2" s="1"/>
  <c r="I163" i="2"/>
  <c r="J48" i="2"/>
  <c r="J163" i="2"/>
  <c r="J408" i="2"/>
  <c r="J398" i="2"/>
  <c r="AM404" i="2"/>
  <c r="AM58" i="2"/>
  <c r="AM68" i="2"/>
  <c r="AM31" i="2"/>
  <c r="AQ451" i="2"/>
  <c r="AQ439" i="2"/>
  <c r="AU267" i="2"/>
  <c r="I440" i="2"/>
  <c r="H359" i="2"/>
  <c r="E55" i="2"/>
  <c r="E421" i="2"/>
  <c r="C14" i="2"/>
  <c r="C60" i="2" s="1"/>
  <c r="D348" i="2"/>
  <c r="E94" i="2"/>
  <c r="H103" i="2"/>
  <c r="I119" i="2" s="1"/>
  <c r="H106" i="2"/>
  <c r="H147" i="2"/>
  <c r="H180" i="2"/>
  <c r="H352" i="2"/>
  <c r="H438" i="2"/>
  <c r="I449" i="2" s="1"/>
  <c r="D96" i="2"/>
  <c r="E171" i="2"/>
  <c r="G94" i="2"/>
  <c r="H110" i="2" s="1"/>
  <c r="E439" i="2"/>
  <c r="E450" i="2" s="1"/>
  <c r="D389" i="2"/>
  <c r="E267" i="2"/>
  <c r="E270" i="2" s="1"/>
  <c r="D347" i="2"/>
  <c r="D406" i="2"/>
  <c r="E176" i="2"/>
  <c r="C93" i="2"/>
  <c r="F370" i="2"/>
  <c r="F381" i="2" s="1"/>
  <c r="E348" i="2"/>
  <c r="G438" i="2"/>
  <c r="G452" i="2" s="1"/>
  <c r="H99" i="2"/>
  <c r="I115" i="2" s="1"/>
  <c r="H78" i="2"/>
  <c r="H124" i="2"/>
  <c r="H134" i="2" s="1"/>
  <c r="H186" i="2"/>
  <c r="H374" i="2"/>
  <c r="D443" i="2"/>
  <c r="F76" i="2"/>
  <c r="G93" i="2"/>
  <c r="H109" i="2" s="1"/>
  <c r="E347" i="2"/>
  <c r="E100" i="2"/>
  <c r="C352" i="2"/>
  <c r="D101" i="2"/>
  <c r="E43" i="2"/>
  <c r="D100" i="2"/>
  <c r="C438" i="2"/>
  <c r="E26" i="2"/>
  <c r="G397" i="2"/>
  <c r="H20" i="2"/>
  <c r="H100" i="2"/>
  <c r="H170" i="2"/>
  <c r="H241" i="2" s="1"/>
  <c r="H369" i="2"/>
  <c r="H381" i="2" s="1"/>
  <c r="H416" i="2"/>
  <c r="H430" i="2" s="1"/>
  <c r="F126" i="2"/>
  <c r="D98" i="2"/>
  <c r="G170" i="2"/>
  <c r="G241" i="2" s="1"/>
  <c r="E126" i="2"/>
  <c r="C376" i="2"/>
  <c r="D376" i="2"/>
  <c r="E125" i="2"/>
  <c r="D416" i="2"/>
  <c r="D430" i="2" s="1"/>
  <c r="AN312" i="2"/>
  <c r="AN209" i="2" s="1"/>
  <c r="AS455" i="2"/>
  <c r="AS449" i="2"/>
  <c r="I175" i="2"/>
  <c r="AS411" i="2"/>
  <c r="AS412" i="2"/>
  <c r="AS373" i="2"/>
  <c r="AS63" i="2"/>
  <c r="AS326" i="2"/>
  <c r="AS299" i="2"/>
  <c r="J299" i="2" s="1"/>
  <c r="C364" i="2"/>
  <c r="AS372" i="2"/>
  <c r="E390" i="2"/>
  <c r="E386" i="2"/>
  <c r="C70" i="2"/>
  <c r="H59" i="2"/>
  <c r="D404" i="2"/>
  <c r="J55" i="2"/>
  <c r="J449" i="2"/>
  <c r="AT127" i="2"/>
  <c r="AU96" i="2"/>
  <c r="AR133" i="2"/>
  <c r="H140" i="2"/>
  <c r="H138" i="2"/>
  <c r="F386" i="2"/>
  <c r="F380" i="2"/>
  <c r="H57" i="2"/>
  <c r="H52" i="2"/>
  <c r="H146" i="2"/>
  <c r="H82" i="2"/>
  <c r="H141" i="2"/>
  <c r="H139" i="2"/>
  <c r="F53" i="2"/>
  <c r="F391" i="2" s="1"/>
  <c r="F342" i="2"/>
  <c r="D138" i="2"/>
  <c r="D130" i="2"/>
  <c r="D134" i="2"/>
  <c r="G427" i="2"/>
  <c r="C248" i="2"/>
  <c r="C247" i="2"/>
  <c r="C249" i="2"/>
  <c r="E452" i="2"/>
  <c r="F232" i="2"/>
  <c r="H161" i="2"/>
  <c r="H398" i="2"/>
  <c r="H408" i="2"/>
  <c r="E433" i="2"/>
  <c r="E418" i="2"/>
  <c r="E54" i="2"/>
  <c r="C184" i="2"/>
  <c r="C12" i="2"/>
  <c r="D99" i="2"/>
  <c r="E115" i="2" s="1"/>
  <c r="C103" i="2"/>
  <c r="C177" i="2"/>
  <c r="C23" i="2"/>
  <c r="C97" i="2"/>
  <c r="C37" i="2"/>
  <c r="C171" i="2"/>
  <c r="C186" i="2"/>
  <c r="D19" i="2"/>
  <c r="C33" i="2"/>
  <c r="D417" i="2"/>
  <c r="C374" i="2"/>
  <c r="D370" i="2"/>
  <c r="D369" i="2"/>
  <c r="D374" i="2"/>
  <c r="C77" i="2"/>
  <c r="D23" i="2"/>
  <c r="C99" i="2"/>
  <c r="C175" i="2"/>
  <c r="C104" i="2"/>
  <c r="D43" i="2"/>
  <c r="C180" i="2"/>
  <c r="C416" i="2"/>
  <c r="D12" i="2"/>
  <c r="D48" i="2" s="1"/>
  <c r="D180" i="2"/>
  <c r="C396" i="2"/>
  <c r="C398" i="2" s="1"/>
  <c r="D29" i="2"/>
  <c r="D20" i="2"/>
  <c r="C35" i="2"/>
  <c r="C370" i="2"/>
  <c r="C381" i="2" s="1"/>
  <c r="D175" i="2"/>
  <c r="D81" i="2"/>
  <c r="D441" i="2"/>
  <c r="C98" i="2"/>
  <c r="C105" i="2"/>
  <c r="D97" i="2"/>
  <c r="E113" i="2" s="1"/>
  <c r="D423" i="2"/>
  <c r="D352" i="2"/>
  <c r="C106" i="2"/>
  <c r="D95" i="2"/>
  <c r="C348" i="2"/>
  <c r="C359" i="2" s="1"/>
  <c r="D267" i="2"/>
  <c r="G106" i="2"/>
  <c r="G103" i="2"/>
  <c r="G78" i="2"/>
  <c r="F97" i="2"/>
  <c r="F113" i="2" s="1"/>
  <c r="F389" i="2"/>
  <c r="D148" i="2"/>
  <c r="E127" i="2"/>
  <c r="F124" i="2"/>
  <c r="D127" i="2"/>
  <c r="D445" i="2"/>
  <c r="E187" i="2"/>
  <c r="F184" i="2"/>
  <c r="C76" i="2"/>
  <c r="G348" i="2"/>
  <c r="G178" i="2"/>
  <c r="G33" i="2"/>
  <c r="G21" i="2"/>
  <c r="G77" i="2"/>
  <c r="F267" i="2"/>
  <c r="D80" i="2"/>
  <c r="D438" i="2"/>
  <c r="E449" i="2" s="1"/>
  <c r="F32" i="2"/>
  <c r="D170" i="2"/>
  <c r="D241" i="2" s="1"/>
  <c r="D78" i="2"/>
  <c r="E104" i="2"/>
  <c r="F125" i="2"/>
  <c r="D37" i="2"/>
  <c r="E76" i="2"/>
  <c r="G419" i="2"/>
  <c r="G187" i="2"/>
  <c r="G97" i="2"/>
  <c r="G23" i="2"/>
  <c r="G79" i="2"/>
  <c r="F28" i="2"/>
  <c r="D28" i="2"/>
  <c r="E188" i="2"/>
  <c r="F177" i="2"/>
  <c r="F397" i="2"/>
  <c r="C176" i="2"/>
  <c r="E23" i="2"/>
  <c r="F170" i="2"/>
  <c r="F241" i="2" s="1"/>
  <c r="D350" i="2"/>
  <c r="F11" i="2"/>
  <c r="F348" i="2"/>
  <c r="C267" i="2"/>
  <c r="E397" i="2"/>
  <c r="F176" i="2"/>
  <c r="I100" i="2"/>
  <c r="I116" i="2" s="1"/>
  <c r="I43" i="2"/>
  <c r="I95" i="2"/>
  <c r="I111" i="2" s="1"/>
  <c r="I267" i="2"/>
  <c r="I93" i="2"/>
  <c r="I109" i="2" s="1"/>
  <c r="I172" i="2"/>
  <c r="I11" i="2"/>
  <c r="I22" i="2"/>
  <c r="I98" i="2"/>
  <c r="I114" i="2" s="1"/>
  <c r="E173" i="2"/>
  <c r="G185" i="2"/>
  <c r="G461" i="2" s="1"/>
  <c r="G105" i="2"/>
  <c r="G121" i="2" s="1"/>
  <c r="G35" i="2"/>
  <c r="G11" i="2"/>
  <c r="F77" i="2"/>
  <c r="C20" i="2"/>
  <c r="C417" i="2"/>
  <c r="F175" i="2"/>
  <c r="F350" i="2"/>
  <c r="F361" i="2" s="1"/>
  <c r="C13" i="2"/>
  <c r="C69" i="2" s="1"/>
  <c r="E462" i="2"/>
  <c r="F14" i="2"/>
  <c r="F50" i="2" s="1"/>
  <c r="F352" i="2"/>
  <c r="C389" i="2"/>
  <c r="C400" i="2" s="1"/>
  <c r="G267" i="2"/>
  <c r="G171" i="2"/>
  <c r="G126" i="2"/>
  <c r="G148" i="2"/>
  <c r="F29" i="2"/>
  <c r="F417" i="2"/>
  <c r="F428" i="2" s="1"/>
  <c r="D439" i="2"/>
  <c r="C188" i="2"/>
  <c r="F171" i="2"/>
  <c r="C19" i="2"/>
  <c r="C443" i="2"/>
  <c r="F183" i="2"/>
  <c r="F354" i="2"/>
  <c r="E170" i="2"/>
  <c r="E241" i="2" s="1"/>
  <c r="G439" i="2"/>
  <c r="G350" i="2"/>
  <c r="G183" i="2"/>
  <c r="G27" i="2"/>
  <c r="G20" i="2"/>
  <c r="G26" i="2"/>
  <c r="F188" i="2"/>
  <c r="D186" i="2"/>
  <c r="D125" i="2"/>
  <c r="F78" i="2"/>
  <c r="D104" i="2"/>
  <c r="E184" i="2"/>
  <c r="F21" i="2"/>
  <c r="F372" i="2"/>
  <c r="F383" i="2" s="1"/>
  <c r="C27" i="2"/>
  <c r="C31" i="2" s="1"/>
  <c r="F18" i="2"/>
  <c r="F445" i="2"/>
  <c r="D372" i="2"/>
  <c r="E19" i="2"/>
  <c r="F147" i="2"/>
  <c r="D183" i="2"/>
  <c r="D21" i="2"/>
  <c r="I127" i="2"/>
  <c r="J131" i="2" s="1"/>
  <c r="I18" i="2"/>
  <c r="I20" i="2"/>
  <c r="I21" i="2"/>
  <c r="G180" i="2"/>
  <c r="G37" i="2"/>
  <c r="G12" i="2"/>
  <c r="G100" i="2"/>
  <c r="F99" i="2"/>
  <c r="F115" i="2" s="1"/>
  <c r="D33" i="2"/>
  <c r="E29" i="2"/>
  <c r="F187" i="2"/>
  <c r="F423" i="2"/>
  <c r="C439" i="2"/>
  <c r="E101" i="2"/>
  <c r="F27" i="2"/>
  <c r="F439" i="2"/>
  <c r="D13" i="2"/>
  <c r="G188" i="2"/>
  <c r="G102" i="2"/>
  <c r="G118" i="2" s="1"/>
  <c r="G99" i="2"/>
  <c r="G115" i="2" s="1"/>
  <c r="G76" i="2"/>
  <c r="F81" i="2"/>
  <c r="C100" i="2"/>
  <c r="E396" i="2"/>
  <c r="E407" i="2" s="1"/>
  <c r="E95" i="2"/>
  <c r="E111" i="2" s="1"/>
  <c r="F148" i="2"/>
  <c r="D76" i="2"/>
  <c r="E370" i="2"/>
  <c r="E381" i="2" s="1"/>
  <c r="F13" i="2"/>
  <c r="F49" i="2" s="1"/>
  <c r="F441" i="2"/>
  <c r="F452" i="2" s="1"/>
  <c r="D77" i="2"/>
  <c r="G406" i="2"/>
  <c r="G407" i="2" s="1"/>
  <c r="G374" i="2"/>
  <c r="G177" i="2"/>
  <c r="G125" i="2"/>
  <c r="G104" i="2"/>
  <c r="G120" i="2" s="1"/>
  <c r="F93" i="2"/>
  <c r="F109" i="2" s="1"/>
  <c r="F374" i="2"/>
  <c r="C445" i="2"/>
  <c r="E419" i="2"/>
  <c r="E430" i="2" s="1"/>
  <c r="F103" i="2"/>
  <c r="C95" i="2"/>
  <c r="D187" i="2"/>
  <c r="F43" i="2"/>
  <c r="D354" i="2"/>
  <c r="E124" i="2"/>
  <c r="F96" i="2"/>
  <c r="C42" i="2"/>
  <c r="C268" i="2" s="1"/>
  <c r="C270" i="2" s="1"/>
  <c r="E81" i="2"/>
  <c r="F185" i="2"/>
  <c r="F461" i="2" s="1"/>
  <c r="F406" i="2"/>
  <c r="D79" i="2"/>
  <c r="D94" i="2"/>
  <c r="G175" i="2"/>
  <c r="G127" i="2"/>
  <c r="G13" i="2"/>
  <c r="G81" i="2"/>
  <c r="F162" i="2"/>
  <c r="F163" i="2" s="1"/>
  <c r="C372" i="2"/>
  <c r="C383" i="2" s="1"/>
  <c r="D102" i="2"/>
  <c r="F94" i="2"/>
  <c r="F110" i="2" s="1"/>
  <c r="D172" i="2"/>
  <c r="C423" i="2"/>
  <c r="D93" i="2"/>
  <c r="E109" i="2" s="1"/>
  <c r="F100" i="2"/>
  <c r="D185" i="2"/>
  <c r="D461" i="2" s="1"/>
  <c r="G369" i="2"/>
  <c r="G184" i="2"/>
  <c r="G101" i="2"/>
  <c r="G29" i="2"/>
  <c r="G32" i="2"/>
  <c r="F180" i="2"/>
  <c r="D396" i="2"/>
  <c r="E106" i="2"/>
  <c r="E122" i="2" s="1"/>
  <c r="F20" i="2"/>
  <c r="F396" i="2"/>
  <c r="C147" i="2"/>
  <c r="E11" i="2"/>
  <c r="F98" i="2"/>
  <c r="F114" i="2" s="1"/>
  <c r="D176" i="2"/>
  <c r="C81" i="2"/>
  <c r="C146" i="2" s="1"/>
  <c r="G423" i="2"/>
  <c r="G172" i="2"/>
  <c r="G98" i="2"/>
  <c r="G95" i="2"/>
  <c r="G28" i="2"/>
  <c r="F101" i="2"/>
  <c r="F419" i="2"/>
  <c r="F430" i="2" s="1"/>
  <c r="D18" i="2"/>
  <c r="E12" i="2"/>
  <c r="E48" i="2" s="1"/>
  <c r="F172" i="2"/>
  <c r="F338" i="2" s="1"/>
  <c r="D171" i="2"/>
  <c r="C419" i="2"/>
  <c r="C430" i="2" s="1"/>
  <c r="F42" i="2"/>
  <c r="F268" i="2" s="1"/>
  <c r="C178" i="2"/>
  <c r="E148" i="2"/>
  <c r="F182" i="2"/>
  <c r="C18" i="2"/>
  <c r="C11" i="2"/>
  <c r="C15" i="2" s="1"/>
  <c r="F79" i="2"/>
  <c r="C185" i="2"/>
  <c r="C461" i="2" s="1"/>
  <c r="AS442" i="2"/>
  <c r="AS65" i="2"/>
  <c r="AS409" i="2"/>
  <c r="AS390" i="2"/>
  <c r="AS386" i="2"/>
  <c r="AQ144" i="2"/>
  <c r="AQ46" i="2"/>
  <c r="AP362" i="2"/>
  <c r="AP349" i="2"/>
  <c r="D340" i="2"/>
  <c r="D71" i="2"/>
  <c r="AO363" i="2"/>
  <c r="AO355" i="2"/>
  <c r="AO365" i="2"/>
  <c r="AV104" i="2"/>
  <c r="AU103" i="2"/>
  <c r="AU119" i="2" s="1"/>
  <c r="AU50" i="2" s="1"/>
  <c r="AU14" i="2" s="1"/>
  <c r="AS124" i="2"/>
  <c r="AS135" i="2" s="1"/>
  <c r="AS109" i="2"/>
  <c r="AS47" i="2" s="1"/>
  <c r="AS11" i="2" s="1"/>
  <c r="AT216" i="2"/>
  <c r="AL292" i="2"/>
  <c r="AL294" i="2" s="1"/>
  <c r="AL285" i="2"/>
  <c r="AL286" i="2"/>
  <c r="AR315" i="2"/>
  <c r="AQ317" i="2"/>
  <c r="I130" i="2"/>
  <c r="I134" i="2"/>
  <c r="I140" i="2"/>
  <c r="I138" i="2"/>
  <c r="C386" i="2"/>
  <c r="H342" i="2"/>
  <c r="E114" i="2"/>
  <c r="H412" i="2"/>
  <c r="H63" i="2"/>
  <c r="H53" i="2"/>
  <c r="G52" i="2"/>
  <c r="AS420" i="2"/>
  <c r="AQ351" i="2"/>
  <c r="AQ23" i="2"/>
  <c r="AQ62" i="2"/>
  <c r="J216" i="2"/>
  <c r="E342" i="2"/>
  <c r="J117" i="2"/>
  <c r="AL171" i="2"/>
  <c r="AT125" i="2"/>
  <c r="AT93" i="2"/>
  <c r="AU94" i="2"/>
  <c r="AV100" i="2"/>
  <c r="AU99" i="2"/>
  <c r="AU115" i="2" s="1"/>
  <c r="AU49" i="2" s="1"/>
  <c r="I63" i="2"/>
  <c r="I53" i="2"/>
  <c r="AV95" i="2"/>
  <c r="AU126" i="2"/>
  <c r="AR453" i="2"/>
  <c r="AR440" i="2"/>
  <c r="AS350" i="2"/>
  <c r="J350" i="2" s="1"/>
  <c r="I408" i="2"/>
  <c r="I412" i="2" s="1"/>
  <c r="I398" i="2"/>
  <c r="AC173" i="2"/>
  <c r="F173" i="2" s="1"/>
  <c r="AC181" i="2"/>
  <c r="AC189" i="2" s="1"/>
  <c r="AC190" i="2" s="1"/>
  <c r="I358" i="2"/>
  <c r="I112" i="2"/>
  <c r="K462" i="2"/>
  <c r="K445" i="2"/>
  <c r="K423" i="2"/>
  <c r="K406" i="2"/>
  <c r="K397" i="2"/>
  <c r="K396" i="2"/>
  <c r="K389" i="2"/>
  <c r="K376" i="2"/>
  <c r="K354" i="2"/>
  <c r="K172" i="2"/>
  <c r="K162" i="2"/>
  <c r="K163" i="2" s="1"/>
  <c r="K160" i="2"/>
  <c r="K161" i="2" s="1"/>
  <c r="K188" i="2"/>
  <c r="K187" i="2"/>
  <c r="K186" i="2"/>
  <c r="K183" i="2"/>
  <c r="K182" i="2"/>
  <c r="K173" i="2"/>
  <c r="K106" i="2"/>
  <c r="K122" i="2" s="1"/>
  <c r="K102" i="2"/>
  <c r="K118" i="2" s="1"/>
  <c r="K148" i="2"/>
  <c r="K105" i="2"/>
  <c r="K121" i="2" s="1"/>
  <c r="K101" i="2"/>
  <c r="K117" i="2" s="1"/>
  <c r="K37" i="2"/>
  <c r="K33" i="2"/>
  <c r="K22" i="2"/>
  <c r="K43" i="2"/>
  <c r="J113" i="2"/>
  <c r="J120" i="2"/>
  <c r="J130" i="2"/>
  <c r="J138" i="2"/>
  <c r="J140" i="2"/>
  <c r="AO312" i="2"/>
  <c r="AS131" i="2"/>
  <c r="AS141" i="2"/>
  <c r="AS139" i="2"/>
  <c r="AL272" i="2"/>
  <c r="AL169" i="2"/>
  <c r="AS419" i="2"/>
  <c r="AR430" i="2"/>
  <c r="I383" i="2"/>
  <c r="I122" i="2"/>
  <c r="H349" i="2"/>
  <c r="F427" i="2"/>
  <c r="F433" i="2"/>
  <c r="E361" i="2"/>
  <c r="E339" i="2"/>
  <c r="E245" i="2"/>
  <c r="E244" i="2"/>
  <c r="E238" i="2"/>
  <c r="E90" i="2"/>
  <c r="E89" i="2" s="1"/>
  <c r="E32" i="2"/>
  <c r="C173" i="2"/>
  <c r="E96" i="2"/>
  <c r="E112" i="2" s="1"/>
  <c r="E102" i="2"/>
  <c r="G347" i="2"/>
  <c r="D184" i="2"/>
  <c r="H14" i="2"/>
  <c r="H32" i="2"/>
  <c r="H173" i="2"/>
  <c r="H182" i="2"/>
  <c r="H389" i="2"/>
  <c r="H411" i="2" s="1"/>
  <c r="H462" i="2"/>
  <c r="C183" i="2"/>
  <c r="G182" i="2"/>
  <c r="F106" i="2"/>
  <c r="F122" i="2" s="1"/>
  <c r="D42" i="2"/>
  <c r="D268" i="2" s="1"/>
  <c r="D270" i="2" s="1"/>
  <c r="E175" i="2"/>
  <c r="E147" i="2"/>
  <c r="D188" i="2"/>
  <c r="E105" i="2"/>
  <c r="E121" i="2" s="1"/>
  <c r="F443" i="2"/>
  <c r="D14" i="2"/>
  <c r="D50" i="2" s="1"/>
  <c r="E177" i="2"/>
  <c r="H27" i="2"/>
  <c r="H79" i="2"/>
  <c r="H125" i="2"/>
  <c r="H187" i="2"/>
  <c r="H441" i="2"/>
  <c r="H452" i="2" s="1"/>
  <c r="E80" i="2"/>
  <c r="F95" i="2"/>
  <c r="F111" i="2" s="1"/>
  <c r="G176" i="2"/>
  <c r="F127" i="2"/>
  <c r="E37" i="2"/>
  <c r="E103" i="2"/>
  <c r="E119" i="2" s="1"/>
  <c r="D35" i="2"/>
  <c r="C406" i="2"/>
  <c r="C408" i="2" s="1"/>
  <c r="C148" i="2"/>
  <c r="AS427" i="2"/>
  <c r="AS433" i="2"/>
  <c r="AQ358" i="2"/>
  <c r="AQ364" i="2"/>
  <c r="D407" i="2" l="1"/>
  <c r="C450" i="2"/>
  <c r="G430" i="2"/>
  <c r="F120" i="2"/>
  <c r="C340" i="2"/>
  <c r="C65" i="2"/>
  <c r="AT369" i="2"/>
  <c r="E118" i="2"/>
  <c r="H120" i="2"/>
  <c r="E117" i="2"/>
  <c r="C55" i="2"/>
  <c r="AR383" i="2"/>
  <c r="AO381" i="2"/>
  <c r="I370" i="2"/>
  <c r="AO382" i="2"/>
  <c r="AT325" i="2"/>
  <c r="AU307" i="2"/>
  <c r="K407" i="2"/>
  <c r="C390" i="2"/>
  <c r="G114" i="2"/>
  <c r="F407" i="2"/>
  <c r="AP410" i="2"/>
  <c r="AP370" i="2"/>
  <c r="AP403" i="2"/>
  <c r="BF22" i="2"/>
  <c r="F270" i="2"/>
  <c r="D361" i="2"/>
  <c r="AT416" i="2"/>
  <c r="AT323" i="2"/>
  <c r="AU305" i="2"/>
  <c r="C409" i="2"/>
  <c r="G117" i="2"/>
  <c r="F116" i="2"/>
  <c r="H70" i="2"/>
  <c r="H450" i="2"/>
  <c r="D450" i="2"/>
  <c r="G450" i="2"/>
  <c r="F31" i="2"/>
  <c r="AL41" i="2"/>
  <c r="AL40" i="2"/>
  <c r="G62" i="2"/>
  <c r="I348" i="2"/>
  <c r="I359" i="2" s="1"/>
  <c r="F57" i="2"/>
  <c r="F67" i="2"/>
  <c r="AL179" i="2"/>
  <c r="AL181" i="2" s="1"/>
  <c r="H135" i="2"/>
  <c r="AQ392" i="2"/>
  <c r="AQ400" i="2"/>
  <c r="AQ371" i="2"/>
  <c r="AQ384" i="2"/>
  <c r="AR412" i="2"/>
  <c r="AR411" i="2"/>
  <c r="AR63" i="2"/>
  <c r="J19" i="2"/>
  <c r="J412" i="2" s="1"/>
  <c r="AR373" i="2"/>
  <c r="AR380" i="2"/>
  <c r="AR390" i="2"/>
  <c r="AR386" i="2"/>
  <c r="AR409" i="2"/>
  <c r="J369" i="2"/>
  <c r="D383" i="2"/>
  <c r="C371" i="2"/>
  <c r="C403" i="2" s="1"/>
  <c r="AL185" i="2"/>
  <c r="AL461" i="2" s="1"/>
  <c r="F236" i="2"/>
  <c r="H383" i="2"/>
  <c r="AU13" i="2"/>
  <c r="AU416" i="2" s="1"/>
  <c r="C59" i="2"/>
  <c r="J116" i="2"/>
  <c r="D49" i="2"/>
  <c r="D428" i="2"/>
  <c r="H69" i="2"/>
  <c r="H428" i="2"/>
  <c r="I427" i="2"/>
  <c r="H23" i="2"/>
  <c r="AQ418" i="2"/>
  <c r="AQ431" i="2"/>
  <c r="AR420" i="2"/>
  <c r="AR64" i="2"/>
  <c r="J20" i="2"/>
  <c r="G49" i="2"/>
  <c r="G270" i="2"/>
  <c r="C428" i="2"/>
  <c r="AR427" i="2"/>
  <c r="J416" i="2"/>
  <c r="J427" i="2" s="1"/>
  <c r="AR433" i="2"/>
  <c r="AP429" i="2"/>
  <c r="AP417" i="2"/>
  <c r="AP428" i="2" s="1"/>
  <c r="F418" i="2"/>
  <c r="F429" i="2" s="1"/>
  <c r="H49" i="2"/>
  <c r="E49" i="2"/>
  <c r="AO428" i="2"/>
  <c r="I417" i="2"/>
  <c r="G48" i="2"/>
  <c r="H391" i="2"/>
  <c r="F63" i="2"/>
  <c r="I391" i="2"/>
  <c r="I392" i="2" s="1"/>
  <c r="C349" i="2"/>
  <c r="C360" i="2" s="1"/>
  <c r="AU438" i="2"/>
  <c r="AU21" i="2"/>
  <c r="AS347" i="2"/>
  <c r="J347" i="2" s="1"/>
  <c r="J361" i="2" s="1"/>
  <c r="AS18" i="2"/>
  <c r="AS15" i="2"/>
  <c r="J11" i="2"/>
  <c r="C281" i="2"/>
  <c r="C282" i="2" s="1"/>
  <c r="C237" i="2"/>
  <c r="C145" i="2"/>
  <c r="C56" i="2"/>
  <c r="C66" i="2"/>
  <c r="C34" i="2"/>
  <c r="C36" i="2" s="1"/>
  <c r="C233" i="2"/>
  <c r="F141" i="2"/>
  <c r="F139" i="2"/>
  <c r="F135" i="2"/>
  <c r="F131" i="2"/>
  <c r="H404" i="2"/>
  <c r="H68" i="2"/>
  <c r="H58" i="2"/>
  <c r="H340" i="2"/>
  <c r="H71" i="2"/>
  <c r="AS361" i="2"/>
  <c r="AT350" i="2"/>
  <c r="I411" i="2"/>
  <c r="AT124" i="2"/>
  <c r="AT135" i="2" s="1"/>
  <c r="AT109" i="2"/>
  <c r="AT47" i="2" s="1"/>
  <c r="AT11" i="2" s="1"/>
  <c r="AQ338" i="2"/>
  <c r="AQ61" i="2"/>
  <c r="AQ51" i="2"/>
  <c r="AS431" i="2"/>
  <c r="AS418" i="2"/>
  <c r="AR317" i="2"/>
  <c r="AS315" i="2"/>
  <c r="C285" i="2"/>
  <c r="C254" i="2"/>
  <c r="C255" i="2" s="1"/>
  <c r="C144" i="2"/>
  <c r="C263" i="2"/>
  <c r="C261" i="2"/>
  <c r="C262" i="2"/>
  <c r="F117" i="2"/>
  <c r="F54" i="2"/>
  <c r="F64" i="2"/>
  <c r="G340" i="2"/>
  <c r="G71" i="2"/>
  <c r="G400" i="2"/>
  <c r="G371" i="2"/>
  <c r="G390" i="2"/>
  <c r="G380" i="2"/>
  <c r="G141" i="2"/>
  <c r="G139" i="2"/>
  <c r="G131" i="2"/>
  <c r="G135" i="2"/>
  <c r="F112" i="2"/>
  <c r="G133" i="2"/>
  <c r="G137" i="2"/>
  <c r="G129" i="2"/>
  <c r="F404" i="2"/>
  <c r="F58" i="2"/>
  <c r="F68" i="2"/>
  <c r="G116" i="2"/>
  <c r="I55" i="2"/>
  <c r="I65" i="2"/>
  <c r="D55" i="2"/>
  <c r="D65" i="2"/>
  <c r="G57" i="2"/>
  <c r="G31" i="2"/>
  <c r="G67" i="2"/>
  <c r="G361" i="2"/>
  <c r="C64" i="2"/>
  <c r="C54" i="2"/>
  <c r="F47" i="2"/>
  <c r="F15" i="2"/>
  <c r="F242" i="2" s="1"/>
  <c r="D59" i="2"/>
  <c r="D69" i="2"/>
  <c r="G113" i="2"/>
  <c r="D247" i="2"/>
  <c r="D248" i="2"/>
  <c r="D249" i="2"/>
  <c r="E135" i="2"/>
  <c r="E131" i="2"/>
  <c r="E139" i="2"/>
  <c r="D452" i="2"/>
  <c r="C342" i="2"/>
  <c r="D339" i="2"/>
  <c r="D244" i="2"/>
  <c r="D238" i="2"/>
  <c r="D245" i="2"/>
  <c r="D90" i="2"/>
  <c r="D89" i="2" s="1"/>
  <c r="D338" i="2"/>
  <c r="D236" i="2"/>
  <c r="D235" i="2"/>
  <c r="D232" i="2"/>
  <c r="D381" i="2"/>
  <c r="D411" i="2"/>
  <c r="D412" i="2"/>
  <c r="D63" i="2"/>
  <c r="D53" i="2"/>
  <c r="D391" i="2" s="1"/>
  <c r="G112" i="2"/>
  <c r="C242" i="2"/>
  <c r="H113" i="2"/>
  <c r="G429" i="2"/>
  <c r="G420" i="2"/>
  <c r="H31" i="2"/>
  <c r="F371" i="2"/>
  <c r="F400" i="2"/>
  <c r="AT131" i="2"/>
  <c r="AT141" i="2"/>
  <c r="AT139" i="2"/>
  <c r="D68" i="2"/>
  <c r="D398" i="2"/>
  <c r="E68" i="2"/>
  <c r="E371" i="2"/>
  <c r="F134" i="2"/>
  <c r="F130" i="2"/>
  <c r="F138" i="2"/>
  <c r="F140" i="2"/>
  <c r="H116" i="2"/>
  <c r="C455" i="2"/>
  <c r="C440" i="2"/>
  <c r="E359" i="2"/>
  <c r="H449" i="2"/>
  <c r="H440" i="2"/>
  <c r="H122" i="2"/>
  <c r="C67" i="2"/>
  <c r="AQ450" i="2"/>
  <c r="J411" i="2"/>
  <c r="AS255" i="2"/>
  <c r="AR254" i="2"/>
  <c r="I409" i="2"/>
  <c r="AU322" i="2"/>
  <c r="AU308" i="2"/>
  <c r="AV304" i="2"/>
  <c r="AW98" i="2"/>
  <c r="AV97" i="2"/>
  <c r="AT390" i="2"/>
  <c r="AT386" i="2"/>
  <c r="AT409" i="2"/>
  <c r="AT380" i="2"/>
  <c r="D47" i="2"/>
  <c r="AR364" i="2"/>
  <c r="AR358" i="2"/>
  <c r="D342" i="2"/>
  <c r="H50" i="2"/>
  <c r="H65" i="2"/>
  <c r="AT137" i="2"/>
  <c r="AT129" i="2"/>
  <c r="AQ349" i="2"/>
  <c r="AQ362" i="2"/>
  <c r="AU216" i="2"/>
  <c r="AS134" i="2"/>
  <c r="J124" i="2"/>
  <c r="AP360" i="2"/>
  <c r="AP348" i="2"/>
  <c r="C52" i="2"/>
  <c r="C62" i="2"/>
  <c r="G69" i="2"/>
  <c r="G59" i="2"/>
  <c r="E47" i="2"/>
  <c r="E15" i="2"/>
  <c r="E51" i="2" s="1"/>
  <c r="G60" i="2"/>
  <c r="G70" i="2"/>
  <c r="F146" i="2"/>
  <c r="F82" i="2"/>
  <c r="E70" i="2"/>
  <c r="E60" i="2"/>
  <c r="I54" i="2"/>
  <c r="I64" i="2"/>
  <c r="F65" i="2"/>
  <c r="F55" i="2"/>
  <c r="D137" i="2"/>
  <c r="D129" i="2"/>
  <c r="D133" i="2"/>
  <c r="G64" i="2"/>
  <c r="G54" i="2"/>
  <c r="G140" i="2"/>
  <c r="G138" i="2"/>
  <c r="G134" i="2"/>
  <c r="G130" i="2"/>
  <c r="I47" i="2"/>
  <c r="I15" i="2"/>
  <c r="E408" i="2"/>
  <c r="E409" i="2" s="1"/>
  <c r="E398" i="2"/>
  <c r="F408" i="2"/>
  <c r="F412" i="2" s="1"/>
  <c r="F398" i="2"/>
  <c r="F69" i="2"/>
  <c r="F59" i="2"/>
  <c r="F137" i="2"/>
  <c r="F133" i="2"/>
  <c r="F129" i="2"/>
  <c r="F340" i="2"/>
  <c r="F71" i="2"/>
  <c r="G359" i="2"/>
  <c r="G119" i="2"/>
  <c r="D146" i="2"/>
  <c r="D82" i="2"/>
  <c r="D64" i="2"/>
  <c r="D54" i="2"/>
  <c r="C338" i="2"/>
  <c r="C235" i="2"/>
  <c r="C61" i="2"/>
  <c r="C236" i="2"/>
  <c r="C51" i="2"/>
  <c r="C232" i="2"/>
  <c r="E420" i="2"/>
  <c r="E429" i="2"/>
  <c r="G383" i="2"/>
  <c r="H131" i="2"/>
  <c r="F390" i="2"/>
  <c r="F392" i="2" s="1"/>
  <c r="F121" i="2"/>
  <c r="H48" i="2"/>
  <c r="H114" i="2"/>
  <c r="E58" i="2"/>
  <c r="J111" i="2"/>
  <c r="D433" i="2"/>
  <c r="D427" i="2"/>
  <c r="D418" i="2"/>
  <c r="E138" i="2"/>
  <c r="E130" i="2"/>
  <c r="E134" i="2"/>
  <c r="H418" i="2"/>
  <c r="H427" i="2"/>
  <c r="H64" i="2"/>
  <c r="H54" i="2"/>
  <c r="E116" i="2"/>
  <c r="D358" i="2"/>
  <c r="D364" i="2"/>
  <c r="D349" i="2"/>
  <c r="G110" i="2"/>
  <c r="H119" i="2"/>
  <c r="H121" i="2"/>
  <c r="I451" i="2"/>
  <c r="I442" i="2"/>
  <c r="I57" i="2"/>
  <c r="AS133" i="2"/>
  <c r="AU198" i="2"/>
  <c r="AU178" i="2" s="1"/>
  <c r="E69" i="2"/>
  <c r="AT326" i="2"/>
  <c r="AT299" i="2"/>
  <c r="AW82" i="2"/>
  <c r="AP256" i="2"/>
  <c r="AQ257" i="2"/>
  <c r="AP260" i="2"/>
  <c r="D67" i="2"/>
  <c r="H60" i="2"/>
  <c r="AW269" i="2"/>
  <c r="K269" i="2" s="1"/>
  <c r="AT442" i="2"/>
  <c r="AT65" i="2"/>
  <c r="H129" i="2"/>
  <c r="H133" i="2"/>
  <c r="H137" i="2"/>
  <c r="F420" i="2"/>
  <c r="H360" i="2"/>
  <c r="H351" i="2"/>
  <c r="H55" i="2"/>
  <c r="AS430" i="2"/>
  <c r="AT419" i="2"/>
  <c r="J419" i="2"/>
  <c r="AR439" i="2"/>
  <c r="AR450" i="2" s="1"/>
  <c r="AR451" i="2"/>
  <c r="AU140" i="2"/>
  <c r="AU138" i="2"/>
  <c r="AU130" i="2"/>
  <c r="AW100" i="2"/>
  <c r="AV99" i="2"/>
  <c r="AV115" i="2" s="1"/>
  <c r="AV49" i="2" s="1"/>
  <c r="AV13" i="2" s="1"/>
  <c r="D52" i="2"/>
  <c r="D62" i="2"/>
  <c r="G111" i="2"/>
  <c r="G146" i="2"/>
  <c r="G82" i="2"/>
  <c r="E82" i="2"/>
  <c r="E146" i="2"/>
  <c r="F119" i="2"/>
  <c r="I62" i="2"/>
  <c r="I23" i="2"/>
  <c r="I52" i="2"/>
  <c r="F62" i="2"/>
  <c r="F52" i="2"/>
  <c r="G404" i="2"/>
  <c r="G68" i="2"/>
  <c r="G58" i="2"/>
  <c r="E247" i="2"/>
  <c r="E248" i="2"/>
  <c r="E249" i="2"/>
  <c r="C411" i="2"/>
  <c r="C412" i="2"/>
  <c r="C53" i="2"/>
  <c r="C391" i="2" s="1"/>
  <c r="C392" i="2" s="1"/>
  <c r="C401" i="2" s="1"/>
  <c r="C63" i="2"/>
  <c r="G47" i="2"/>
  <c r="G15" i="2"/>
  <c r="F247" i="2"/>
  <c r="F248" i="2"/>
  <c r="F249" i="2"/>
  <c r="E120" i="2"/>
  <c r="D449" i="2"/>
  <c r="D440" i="2"/>
  <c r="D455" i="2"/>
  <c r="G65" i="2"/>
  <c r="G55" i="2"/>
  <c r="D135" i="2"/>
  <c r="D131" i="2"/>
  <c r="D139" i="2"/>
  <c r="G122" i="2"/>
  <c r="D60" i="2"/>
  <c r="D70" i="2"/>
  <c r="C433" i="2"/>
  <c r="C418" i="2"/>
  <c r="E427" i="2"/>
  <c r="F235" i="2"/>
  <c r="H62" i="2"/>
  <c r="H67" i="2"/>
  <c r="E52" i="2"/>
  <c r="G163" i="2"/>
  <c r="H130" i="2"/>
  <c r="H15" i="2"/>
  <c r="J65" i="2"/>
  <c r="I50" i="2"/>
  <c r="E404" i="2"/>
  <c r="E400" i="2"/>
  <c r="E129" i="2"/>
  <c r="E137" i="2"/>
  <c r="E133" i="2"/>
  <c r="G248" i="2"/>
  <c r="G247" i="2"/>
  <c r="G249" i="2"/>
  <c r="H409" i="2"/>
  <c r="H390" i="2"/>
  <c r="H392" i="2" s="1"/>
  <c r="H400" i="2"/>
  <c r="H371" i="2"/>
  <c r="H380" i="2"/>
  <c r="G398" i="2"/>
  <c r="G408" i="2"/>
  <c r="G409" i="2" s="1"/>
  <c r="E364" i="2"/>
  <c r="E349" i="2"/>
  <c r="F358" i="2"/>
  <c r="E358" i="2"/>
  <c r="H115" i="2"/>
  <c r="H339" i="2"/>
  <c r="H244" i="2"/>
  <c r="H238" i="2"/>
  <c r="H245" i="2"/>
  <c r="H90" i="2"/>
  <c r="E110" i="2"/>
  <c r="E65" i="2"/>
  <c r="C57" i="2"/>
  <c r="H118" i="2"/>
  <c r="AT441" i="2"/>
  <c r="AS452" i="2"/>
  <c r="I380" i="2"/>
  <c r="AW72" i="2"/>
  <c r="AU369" i="2"/>
  <c r="AU19" i="2"/>
  <c r="G63" i="2"/>
  <c r="C452" i="2"/>
  <c r="AT420" i="2"/>
  <c r="AT64" i="2"/>
  <c r="AT455" i="2"/>
  <c r="AT449" i="2"/>
  <c r="AR351" i="2"/>
  <c r="AR23" i="2"/>
  <c r="AR62" i="2"/>
  <c r="AQ175" i="2"/>
  <c r="G349" i="2"/>
  <c r="G358" i="2"/>
  <c r="E340" i="2"/>
  <c r="E71" i="2"/>
  <c r="F281" i="2"/>
  <c r="F282" i="2" s="1"/>
  <c r="F237" i="2"/>
  <c r="F145" i="2"/>
  <c r="F34" i="2"/>
  <c r="F233" i="2"/>
  <c r="H358" i="2"/>
  <c r="AO209" i="2"/>
  <c r="I209" i="2" s="1"/>
  <c r="I312" i="2"/>
  <c r="K408" i="2"/>
  <c r="K398" i="2"/>
  <c r="AV126" i="2"/>
  <c r="AW95" i="2"/>
  <c r="AU125" i="2"/>
  <c r="AV94" i="2"/>
  <c r="AU93" i="2"/>
  <c r="AW104" i="2"/>
  <c r="AV103" i="2"/>
  <c r="AQ150" i="2"/>
  <c r="AS400" i="2"/>
  <c r="AS392" i="2"/>
  <c r="AS453" i="2"/>
  <c r="AS440" i="2"/>
  <c r="F339" i="2"/>
  <c r="F245" i="2"/>
  <c r="F244" i="2"/>
  <c r="F238" i="2"/>
  <c r="F90" i="2"/>
  <c r="F89" i="2" s="1"/>
  <c r="F450" i="2"/>
  <c r="F440" i="2"/>
  <c r="G339" i="2"/>
  <c r="G244" i="2"/>
  <c r="G238" i="2"/>
  <c r="G245" i="2"/>
  <c r="G90" i="2"/>
  <c r="G89" i="2" s="1"/>
  <c r="I135" i="2"/>
  <c r="I131" i="2"/>
  <c r="I141" i="2"/>
  <c r="I139" i="2"/>
  <c r="E411" i="2"/>
  <c r="E412" i="2"/>
  <c r="E63" i="2"/>
  <c r="E53" i="2"/>
  <c r="E391" i="2" s="1"/>
  <c r="E392" i="2" s="1"/>
  <c r="C404" i="2"/>
  <c r="C68" i="2"/>
  <c r="C58" i="2"/>
  <c r="F70" i="2"/>
  <c r="F60" i="2"/>
  <c r="G342" i="2"/>
  <c r="F359" i="2"/>
  <c r="F349" i="2"/>
  <c r="E338" i="2"/>
  <c r="E236" i="2"/>
  <c r="E235" i="2"/>
  <c r="E232" i="2"/>
  <c r="G338" i="2"/>
  <c r="G235" i="2"/>
  <c r="G236" i="2"/>
  <c r="G232" i="2"/>
  <c r="C407" i="2"/>
  <c r="C339" i="2"/>
  <c r="C244" i="2"/>
  <c r="C238" i="2"/>
  <c r="C243" i="2"/>
  <c r="C245" i="2"/>
  <c r="C90" i="2"/>
  <c r="C89" i="2" s="1"/>
  <c r="D409" i="2"/>
  <c r="D400" i="2"/>
  <c r="D386" i="2"/>
  <c r="D390" i="2"/>
  <c r="D380" i="2"/>
  <c r="D371" i="2"/>
  <c r="E64" i="2"/>
  <c r="H111" i="2"/>
  <c r="G50" i="2"/>
  <c r="E62" i="2"/>
  <c r="F48" i="2"/>
  <c r="H47" i="2"/>
  <c r="AU127" i="2"/>
  <c r="AV96" i="2"/>
  <c r="D58" i="2"/>
  <c r="F118" i="2"/>
  <c r="E380" i="2"/>
  <c r="AS383" i="2"/>
  <c r="AT372" i="2"/>
  <c r="J372" i="2"/>
  <c r="J383" i="2" s="1"/>
  <c r="AS341" i="2"/>
  <c r="AS384" i="2"/>
  <c r="AS371" i="2"/>
  <c r="H248" i="2"/>
  <c r="H247" i="2"/>
  <c r="H249" i="2"/>
  <c r="E67" i="2"/>
  <c r="E31" i="2"/>
  <c r="E57" i="2"/>
  <c r="G109" i="2"/>
  <c r="G449" i="2"/>
  <c r="G440" i="2"/>
  <c r="D359" i="2"/>
  <c r="G381" i="2"/>
  <c r="E50" i="2"/>
  <c r="AM281" i="2"/>
  <c r="AM282" i="2" s="1"/>
  <c r="AM145" i="2"/>
  <c r="AM149" i="2" s="1"/>
  <c r="AM66" i="2"/>
  <c r="AM56" i="2"/>
  <c r="J441" i="2"/>
  <c r="J452" i="2" s="1"/>
  <c r="J114" i="2"/>
  <c r="AU324" i="2"/>
  <c r="AV306" i="2"/>
  <c r="AN170" i="2"/>
  <c r="AN146" i="2"/>
  <c r="AN180" i="2"/>
  <c r="AN78" i="2"/>
  <c r="AN201" i="2"/>
  <c r="AN80" i="2"/>
  <c r="AN79" i="2"/>
  <c r="AP312" i="2"/>
  <c r="AP209" i="2" s="1"/>
  <c r="I67" i="2"/>
  <c r="AW147" i="2"/>
  <c r="AQ258" i="2"/>
  <c r="AR259" i="2"/>
  <c r="I129" i="2"/>
  <c r="AT412" i="2"/>
  <c r="AT411" i="2"/>
  <c r="AT373" i="2"/>
  <c r="AT63" i="2"/>
  <c r="E440" i="2"/>
  <c r="G53" i="2"/>
  <c r="H117" i="2"/>
  <c r="D31" i="2"/>
  <c r="D15" i="2"/>
  <c r="D242" i="2" s="1"/>
  <c r="AM385" i="2"/>
  <c r="AM377" i="2"/>
  <c r="AM387" i="2"/>
  <c r="AT433" i="2"/>
  <c r="AT427" i="2"/>
  <c r="J109" i="2"/>
  <c r="AR195" i="2"/>
  <c r="AR144" i="2"/>
  <c r="AR46" i="2"/>
  <c r="I381" i="2" l="1"/>
  <c r="I371" i="2"/>
  <c r="AU20" i="2"/>
  <c r="AU325" i="2"/>
  <c r="AV307" i="2"/>
  <c r="C410" i="2"/>
  <c r="AP381" i="2"/>
  <c r="AP382" i="2"/>
  <c r="AN77" i="2"/>
  <c r="AN27" i="2" s="1"/>
  <c r="H242" i="2"/>
  <c r="AU323" i="2"/>
  <c r="AV305" i="2"/>
  <c r="J430" i="2"/>
  <c r="BF23" i="2"/>
  <c r="AL217" i="2"/>
  <c r="AL460" i="2" s="1"/>
  <c r="AL1" i="2"/>
  <c r="I349" i="2"/>
  <c r="C351" i="2"/>
  <c r="C362" i="2" s="1"/>
  <c r="J380" i="2"/>
  <c r="J400" i="2"/>
  <c r="J409" i="2"/>
  <c r="J390" i="2"/>
  <c r="AQ403" i="2"/>
  <c r="AQ370" i="2"/>
  <c r="AQ410" i="2"/>
  <c r="AR371" i="2"/>
  <c r="AR384" i="2"/>
  <c r="AQ401" i="2"/>
  <c r="AQ393" i="2"/>
  <c r="AQ394" i="2" s="1"/>
  <c r="AR400" i="2"/>
  <c r="AR392" i="2"/>
  <c r="J53" i="2"/>
  <c r="J63" i="2"/>
  <c r="C149" i="2"/>
  <c r="C256" i="2" s="1"/>
  <c r="C257" i="2" s="1"/>
  <c r="D392" i="2"/>
  <c r="D401" i="2" s="1"/>
  <c r="C382" i="2"/>
  <c r="C373" i="2"/>
  <c r="C375" i="2" s="1"/>
  <c r="F56" i="2"/>
  <c r="F334" i="2"/>
  <c r="H338" i="2"/>
  <c r="H334" i="2" s="1"/>
  <c r="H235" i="2"/>
  <c r="H232" i="2"/>
  <c r="H236" i="2"/>
  <c r="F243" i="2"/>
  <c r="G334" i="2"/>
  <c r="AT133" i="2"/>
  <c r="E242" i="2"/>
  <c r="AQ429" i="2"/>
  <c r="AQ417" i="2"/>
  <c r="AQ428" i="2" s="1"/>
  <c r="C150" i="2"/>
  <c r="J64" i="2"/>
  <c r="J54" i="2"/>
  <c r="G61" i="2"/>
  <c r="I428" i="2"/>
  <c r="I418" i="2"/>
  <c r="AR431" i="2"/>
  <c r="AR418" i="2"/>
  <c r="G51" i="2"/>
  <c r="G243" i="2"/>
  <c r="G242" i="2"/>
  <c r="H243" i="2"/>
  <c r="E401" i="2"/>
  <c r="E393" i="2"/>
  <c r="E394" i="2" s="1"/>
  <c r="AV416" i="2"/>
  <c r="AV20" i="2"/>
  <c r="AN374" i="2"/>
  <c r="AT347" i="2"/>
  <c r="AT361" i="2" s="1"/>
  <c r="AT18" i="2"/>
  <c r="AT15" i="2"/>
  <c r="D281" i="2"/>
  <c r="D282" i="2" s="1"/>
  <c r="D237" i="2"/>
  <c r="D145" i="2"/>
  <c r="D56" i="2"/>
  <c r="D34" i="2"/>
  <c r="D66" i="2"/>
  <c r="D233" i="2"/>
  <c r="AL219" i="2"/>
  <c r="K147" i="2"/>
  <c r="AN443" i="2"/>
  <c r="AN29" i="2"/>
  <c r="I401" i="2"/>
  <c r="I393" i="2"/>
  <c r="I394" i="2" s="1"/>
  <c r="AM283" i="2"/>
  <c r="AV127" i="2"/>
  <c r="AW96" i="2"/>
  <c r="AW127" i="2" s="1"/>
  <c r="D410" i="2"/>
  <c r="D403" i="2"/>
  <c r="D382" i="2"/>
  <c r="D373" i="2"/>
  <c r="E61" i="2"/>
  <c r="E334" i="2"/>
  <c r="AS401" i="2"/>
  <c r="AS393" i="2"/>
  <c r="AS394" i="2" s="1"/>
  <c r="AV119" i="2"/>
  <c r="AV50" i="2" s="1"/>
  <c r="AV14" i="2" s="1"/>
  <c r="AU109" i="2"/>
  <c r="AU47" i="2" s="1"/>
  <c r="AU11" i="2" s="1"/>
  <c r="AU124" i="2"/>
  <c r="AU134" i="2" s="1"/>
  <c r="AV140" i="2"/>
  <c r="AV138" i="2"/>
  <c r="AV130" i="2"/>
  <c r="AR338" i="2"/>
  <c r="AR61" i="2"/>
  <c r="AR51" i="2"/>
  <c r="AU409" i="2"/>
  <c r="AU390" i="2"/>
  <c r="AU386" i="2"/>
  <c r="AU380" i="2"/>
  <c r="H401" i="2"/>
  <c r="H393" i="2"/>
  <c r="H394" i="2" s="1"/>
  <c r="D451" i="2"/>
  <c r="D442" i="2"/>
  <c r="F431" i="2"/>
  <c r="F422" i="2"/>
  <c r="AR257" i="2"/>
  <c r="AQ256" i="2"/>
  <c r="AQ260" i="2"/>
  <c r="I453" i="2"/>
  <c r="H429" i="2"/>
  <c r="H420" i="2"/>
  <c r="D429" i="2"/>
  <c r="D420" i="2"/>
  <c r="C353" i="2"/>
  <c r="C334" i="2"/>
  <c r="J358" i="2"/>
  <c r="AW304" i="2"/>
  <c r="AV322" i="2"/>
  <c r="F411" i="2"/>
  <c r="C72" i="2"/>
  <c r="C384" i="2"/>
  <c r="AU350" i="2"/>
  <c r="C283" i="2"/>
  <c r="C286" i="2"/>
  <c r="G391" i="2"/>
  <c r="G392" i="2" s="1"/>
  <c r="AT384" i="2"/>
  <c r="AT371" i="2"/>
  <c r="AN30" i="2"/>
  <c r="AN339" i="2"/>
  <c r="AN245" i="2"/>
  <c r="AN243" i="2"/>
  <c r="AN200" i="2"/>
  <c r="AW306" i="2"/>
  <c r="AV324" i="2"/>
  <c r="G451" i="2"/>
  <c r="G442" i="2"/>
  <c r="E281" i="2"/>
  <c r="E282" i="2" s="1"/>
  <c r="E237" i="2"/>
  <c r="E145" i="2"/>
  <c r="E66" i="2"/>
  <c r="E56" i="2"/>
  <c r="E34" i="2"/>
  <c r="E233" i="2"/>
  <c r="AS403" i="2"/>
  <c r="AS410" i="2"/>
  <c r="AS370" i="2"/>
  <c r="AS381" i="2" s="1"/>
  <c r="AU141" i="2"/>
  <c r="AU139" i="2"/>
  <c r="AU131" i="2"/>
  <c r="F360" i="2"/>
  <c r="F351" i="2"/>
  <c r="F451" i="2"/>
  <c r="F442" i="2"/>
  <c r="AS451" i="2"/>
  <c r="AS439" i="2"/>
  <c r="AS450" i="2" s="1"/>
  <c r="AW103" i="2"/>
  <c r="AW119" i="2" s="1"/>
  <c r="AW50" i="2" s="1"/>
  <c r="K104" i="2"/>
  <c r="K120" i="2" s="1"/>
  <c r="AV125" i="2"/>
  <c r="AW94" i="2"/>
  <c r="K94" i="2" s="1"/>
  <c r="K110" i="2" s="1"/>
  <c r="AV93" i="2"/>
  <c r="F36" i="2"/>
  <c r="F72" i="2"/>
  <c r="F286" i="2"/>
  <c r="F283" i="2"/>
  <c r="G360" i="2"/>
  <c r="G351" i="2"/>
  <c r="AU441" i="2"/>
  <c r="AT452" i="2"/>
  <c r="E351" i="2"/>
  <c r="E360" i="2"/>
  <c r="H285" i="2"/>
  <c r="H254" i="2"/>
  <c r="H255" i="2" s="1"/>
  <c r="H144" i="2"/>
  <c r="H46" i="2"/>
  <c r="H263" i="2"/>
  <c r="H261" i="2"/>
  <c r="H262" i="2"/>
  <c r="C429" i="2"/>
  <c r="C420" i="2"/>
  <c r="I338" i="2"/>
  <c r="I51" i="2"/>
  <c r="I61" i="2"/>
  <c r="AR175" i="2"/>
  <c r="AW99" i="2"/>
  <c r="K100" i="2"/>
  <c r="K116" i="2" s="1"/>
  <c r="AT341" i="2"/>
  <c r="AV198" i="2"/>
  <c r="AV178" i="2" s="1"/>
  <c r="D360" i="2"/>
  <c r="D351" i="2"/>
  <c r="F401" i="2"/>
  <c r="F393" i="2"/>
  <c r="F394" i="2" s="1"/>
  <c r="AP359" i="2"/>
  <c r="AQ348" i="2"/>
  <c r="AQ359" i="2" s="1"/>
  <c r="AQ360" i="2"/>
  <c r="AU326" i="2"/>
  <c r="AU299" i="2"/>
  <c r="C442" i="2"/>
  <c r="C451" i="2"/>
  <c r="E410" i="2"/>
  <c r="E382" i="2"/>
  <c r="E373" i="2"/>
  <c r="E403" i="2"/>
  <c r="G422" i="2"/>
  <c r="G431" i="2"/>
  <c r="D61" i="2"/>
  <c r="D334" i="2"/>
  <c r="F285" i="2"/>
  <c r="F254" i="2"/>
  <c r="F255" i="2" s="1"/>
  <c r="F144" i="2"/>
  <c r="F46" i="2"/>
  <c r="F261" i="2"/>
  <c r="F262" i="2"/>
  <c r="F263" i="2"/>
  <c r="F51" i="2"/>
  <c r="AS417" i="2"/>
  <c r="AS429" i="2"/>
  <c r="F61" i="2"/>
  <c r="J47" i="2"/>
  <c r="J15" i="2"/>
  <c r="AS364" i="2"/>
  <c r="AS358" i="2"/>
  <c r="AU449" i="2"/>
  <c r="AU455" i="2"/>
  <c r="AU420" i="2"/>
  <c r="AU64" i="2"/>
  <c r="AR150" i="2"/>
  <c r="D285" i="2"/>
  <c r="D254" i="2"/>
  <c r="D255" i="2" s="1"/>
  <c r="D144" i="2"/>
  <c r="D46" i="2"/>
  <c r="D263" i="2"/>
  <c r="D262" i="2"/>
  <c r="D261" i="2"/>
  <c r="E451" i="2"/>
  <c r="E442" i="2"/>
  <c r="AS259" i="2"/>
  <c r="AR258" i="2"/>
  <c r="AU137" i="2"/>
  <c r="AU129" i="2"/>
  <c r="AR362" i="2"/>
  <c r="AR349" i="2"/>
  <c r="H410" i="2"/>
  <c r="H403" i="2"/>
  <c r="H382" i="2"/>
  <c r="H373" i="2"/>
  <c r="AT430" i="2"/>
  <c r="AU419" i="2"/>
  <c r="H362" i="2"/>
  <c r="H353" i="2"/>
  <c r="AW267" i="2"/>
  <c r="K267" i="2" s="1"/>
  <c r="H61" i="2"/>
  <c r="E431" i="2"/>
  <c r="E422" i="2"/>
  <c r="I254" i="2"/>
  <c r="I255" i="2" s="1"/>
  <c r="I144" i="2"/>
  <c r="I46" i="2"/>
  <c r="I262" i="2"/>
  <c r="I261" i="2"/>
  <c r="AV216" i="2"/>
  <c r="AV113" i="2"/>
  <c r="AV48" i="2" s="1"/>
  <c r="AV12" i="2" s="1"/>
  <c r="AT255" i="2"/>
  <c r="AS254" i="2"/>
  <c r="AS195" i="2" s="1"/>
  <c r="H451" i="2"/>
  <c r="H442" i="2"/>
  <c r="F410" i="2"/>
  <c r="F403" i="2"/>
  <c r="F382" i="2"/>
  <c r="F373" i="2"/>
  <c r="D51" i="2"/>
  <c r="D243" i="2"/>
  <c r="AS317" i="2"/>
  <c r="AT315" i="2"/>
  <c r="J315" i="2"/>
  <c r="AT134" i="2"/>
  <c r="AS144" i="2"/>
  <c r="AS46" i="2"/>
  <c r="AN421" i="2"/>
  <c r="AN28" i="2"/>
  <c r="AN241" i="2"/>
  <c r="AN242" i="2" s="1"/>
  <c r="AM208" i="2"/>
  <c r="AM196" i="2"/>
  <c r="AM151" i="2"/>
  <c r="AU372" i="2"/>
  <c r="AT383" i="2"/>
  <c r="AW126" i="2"/>
  <c r="K95" i="2"/>
  <c r="K111" i="2" s="1"/>
  <c r="F66" i="2"/>
  <c r="AT431" i="2"/>
  <c r="AT418" i="2"/>
  <c r="AU412" i="2"/>
  <c r="AU411" i="2"/>
  <c r="AU373" i="2"/>
  <c r="AU63" i="2"/>
  <c r="G411" i="2"/>
  <c r="G412" i="2"/>
  <c r="G285" i="2"/>
  <c r="G254" i="2"/>
  <c r="G255" i="2" s="1"/>
  <c r="G46" i="2"/>
  <c r="G144" i="2"/>
  <c r="G261" i="2"/>
  <c r="G262" i="2"/>
  <c r="G263" i="2"/>
  <c r="C393" i="2"/>
  <c r="C394" i="2" s="1"/>
  <c r="AT453" i="2"/>
  <c r="AT440" i="2"/>
  <c r="H51" i="2"/>
  <c r="E285" i="2"/>
  <c r="E254" i="2"/>
  <c r="E255" i="2" s="1"/>
  <c r="E144" i="2"/>
  <c r="E46" i="2"/>
  <c r="E262" i="2"/>
  <c r="E261" i="2"/>
  <c r="E263" i="2"/>
  <c r="E243" i="2"/>
  <c r="J134" i="2"/>
  <c r="J135" i="2"/>
  <c r="J133" i="2"/>
  <c r="AT392" i="2"/>
  <c r="AT400" i="2"/>
  <c r="AW97" i="2"/>
  <c r="AW113" i="2" s="1"/>
  <c r="AW48" i="2" s="1"/>
  <c r="K98" i="2"/>
  <c r="K114" i="2" s="1"/>
  <c r="H281" i="2"/>
  <c r="H282" i="2" s="1"/>
  <c r="H237" i="2"/>
  <c r="H145" i="2"/>
  <c r="H56" i="2"/>
  <c r="H34" i="2"/>
  <c r="H66" i="2"/>
  <c r="H233" i="2"/>
  <c r="G281" i="2"/>
  <c r="G282" i="2" s="1"/>
  <c r="G237" i="2"/>
  <c r="G145" i="2"/>
  <c r="G56" i="2"/>
  <c r="G66" i="2"/>
  <c r="G34" i="2"/>
  <c r="G233" i="2"/>
  <c r="G403" i="2"/>
  <c r="G382" i="2"/>
  <c r="G410" i="2"/>
  <c r="G373" i="2"/>
  <c r="C273" i="2"/>
  <c r="C287" i="2"/>
  <c r="C38" i="2"/>
  <c r="C40" i="2"/>
  <c r="C1" i="2" s="1"/>
  <c r="AS351" i="2"/>
  <c r="AS62" i="2"/>
  <c r="AS23" i="2"/>
  <c r="J18" i="2"/>
  <c r="F409" i="2"/>
  <c r="AU442" i="2"/>
  <c r="AU65" i="2"/>
  <c r="AU433" i="2"/>
  <c r="AU427" i="2"/>
  <c r="AV308" i="2" l="1"/>
  <c r="K96" i="2"/>
  <c r="K112" i="2" s="1"/>
  <c r="I403" i="2"/>
  <c r="I410" i="2"/>
  <c r="I382" i="2"/>
  <c r="I373" i="2"/>
  <c r="I384" i="2" s="1"/>
  <c r="AW307" i="2"/>
  <c r="AV325" i="2"/>
  <c r="K127" i="2"/>
  <c r="K141" i="2" s="1"/>
  <c r="AV323" i="2"/>
  <c r="AW305" i="2"/>
  <c r="BF24" i="2"/>
  <c r="BF25" i="2" s="1"/>
  <c r="BF26" i="2" s="1"/>
  <c r="C258" i="2"/>
  <c r="C259" i="2" s="1"/>
  <c r="C260" i="2" s="1"/>
  <c r="C151" i="2"/>
  <c r="I360" i="2"/>
  <c r="I351" i="2"/>
  <c r="D393" i="2"/>
  <c r="D394" i="2" s="1"/>
  <c r="AR410" i="2"/>
  <c r="AR403" i="2"/>
  <c r="AR370" i="2"/>
  <c r="J370" i="2" s="1"/>
  <c r="J391" i="2"/>
  <c r="J392" i="2" s="1"/>
  <c r="AQ381" i="2"/>
  <c r="AQ382" i="2"/>
  <c r="AR393" i="2"/>
  <c r="AR394" i="2" s="1"/>
  <c r="AR401" i="2"/>
  <c r="AU133" i="2"/>
  <c r="AR429" i="2"/>
  <c r="AR417" i="2"/>
  <c r="AR428" i="2" s="1"/>
  <c r="I429" i="2"/>
  <c r="I420" i="2"/>
  <c r="I431" i="2" s="1"/>
  <c r="J195" i="2"/>
  <c r="J254" i="2" s="1"/>
  <c r="J255" i="2" s="1"/>
  <c r="AS175" i="2"/>
  <c r="AU453" i="2"/>
  <c r="AU440" i="2"/>
  <c r="AN59" i="2"/>
  <c r="AN69" i="2"/>
  <c r="J317" i="2"/>
  <c r="J62" i="2"/>
  <c r="J52" i="2"/>
  <c r="J23" i="2"/>
  <c r="AS362" i="2"/>
  <c r="AS349" i="2"/>
  <c r="G36" i="2"/>
  <c r="G72" i="2"/>
  <c r="H36" i="2"/>
  <c r="H72" i="2"/>
  <c r="H283" i="2"/>
  <c r="H286" i="2"/>
  <c r="AV372" i="2"/>
  <c r="AU383" i="2"/>
  <c r="AS150" i="2"/>
  <c r="H453" i="2"/>
  <c r="H444" i="2"/>
  <c r="AT254" i="2"/>
  <c r="AT195" i="2" s="1"/>
  <c r="AT175" i="2" s="1"/>
  <c r="AU255" i="2"/>
  <c r="E434" i="2"/>
  <c r="E424" i="2"/>
  <c r="E432" i="2"/>
  <c r="AU430" i="2"/>
  <c r="AV419" i="2"/>
  <c r="D149" i="2"/>
  <c r="D150" i="2"/>
  <c r="AU418" i="2"/>
  <c r="AU431" i="2"/>
  <c r="AU452" i="2"/>
  <c r="AV441" i="2"/>
  <c r="F273" i="2"/>
  <c r="F287" i="2"/>
  <c r="F38" i="2"/>
  <c r="F40" i="2"/>
  <c r="AV137" i="2"/>
  <c r="AV129" i="2"/>
  <c r="E286" i="2"/>
  <c r="E283" i="2"/>
  <c r="AW324" i="2"/>
  <c r="K306" i="2"/>
  <c r="K324" i="2" s="1"/>
  <c r="AV350" i="2"/>
  <c r="J439" i="2"/>
  <c r="AU400" i="2"/>
  <c r="AU392" i="2"/>
  <c r="AW131" i="2"/>
  <c r="AW141" i="2"/>
  <c r="AW139" i="2"/>
  <c r="AT364" i="2"/>
  <c r="AT358" i="2"/>
  <c r="AV433" i="2"/>
  <c r="AV427" i="2"/>
  <c r="G283" i="2"/>
  <c r="G286" i="2"/>
  <c r="AT401" i="2"/>
  <c r="AT393" i="2"/>
  <c r="AT394" i="2" s="1"/>
  <c r="AU371" i="2"/>
  <c r="AU384" i="2"/>
  <c r="AT417" i="2"/>
  <c r="AT429" i="2"/>
  <c r="AW130" i="2"/>
  <c r="AW140" i="2"/>
  <c r="AW138" i="2"/>
  <c r="AN422" i="2"/>
  <c r="K97" i="2"/>
  <c r="K113" i="2" s="1"/>
  <c r="AW216" i="2"/>
  <c r="I150" i="2"/>
  <c r="H363" i="2"/>
  <c r="H355" i="2"/>
  <c r="AT259" i="2"/>
  <c r="AS258" i="2"/>
  <c r="F149" i="2"/>
  <c r="F150" i="2"/>
  <c r="E384" i="2"/>
  <c r="E375" i="2"/>
  <c r="C453" i="2"/>
  <c r="C444" i="2"/>
  <c r="AW198" i="2"/>
  <c r="K198" i="2" s="1"/>
  <c r="AW115" i="2"/>
  <c r="AW49" i="2" s="1"/>
  <c r="AW13" i="2" s="1"/>
  <c r="K99" i="2"/>
  <c r="K115" i="2" s="1"/>
  <c r="H149" i="2"/>
  <c r="H150" i="2"/>
  <c r="E362" i="2"/>
  <c r="E353" i="2"/>
  <c r="F453" i="2"/>
  <c r="F444" i="2"/>
  <c r="K131" i="2"/>
  <c r="AU135" i="2"/>
  <c r="G453" i="2"/>
  <c r="G444" i="2"/>
  <c r="AN247" i="2"/>
  <c r="AN202" i="2"/>
  <c r="AT370" i="2"/>
  <c r="AT382" i="2" s="1"/>
  <c r="AT403" i="2"/>
  <c r="AT410" i="2"/>
  <c r="H431" i="2"/>
  <c r="H422" i="2"/>
  <c r="D453" i="2"/>
  <c r="D444" i="2"/>
  <c r="K126" i="2"/>
  <c r="K103" i="2"/>
  <c r="K119" i="2" s="1"/>
  <c r="AV141" i="2"/>
  <c r="AV139" i="2"/>
  <c r="AV131" i="2"/>
  <c r="AN444" i="2"/>
  <c r="AL276" i="2"/>
  <c r="AL275" i="2"/>
  <c r="AL297" i="2"/>
  <c r="AL298" i="2" s="1"/>
  <c r="AL300" i="2" s="1"/>
  <c r="AL309" i="2" s="1"/>
  <c r="AL287" i="2"/>
  <c r="AL288" i="2"/>
  <c r="D36" i="2"/>
  <c r="D72" i="2"/>
  <c r="D283" i="2"/>
  <c r="D286" i="2"/>
  <c r="AU347" i="2"/>
  <c r="AU361" i="2" s="1"/>
  <c r="AU18" i="2"/>
  <c r="AU15" i="2"/>
  <c r="AS338" i="2"/>
  <c r="AS61" i="2"/>
  <c r="AS51" i="2"/>
  <c r="AM176" i="2"/>
  <c r="AT317" i="2"/>
  <c r="AU315" i="2"/>
  <c r="F384" i="2"/>
  <c r="F375" i="2"/>
  <c r="AV369" i="2"/>
  <c r="AV19" i="2"/>
  <c r="AW12" i="2"/>
  <c r="K12" i="2" s="1"/>
  <c r="K48" i="2" s="1"/>
  <c r="H384" i="2"/>
  <c r="H375" i="2"/>
  <c r="AR348" i="2"/>
  <c r="AR360" i="2"/>
  <c r="E453" i="2"/>
  <c r="E444" i="2"/>
  <c r="AU341" i="2"/>
  <c r="AQ312" i="2"/>
  <c r="AQ209" i="2" s="1"/>
  <c r="D362" i="2"/>
  <c r="D353" i="2"/>
  <c r="C422" i="2"/>
  <c r="C431" i="2"/>
  <c r="G353" i="2"/>
  <c r="G362" i="2"/>
  <c r="AV124" i="2"/>
  <c r="AV133" i="2" s="1"/>
  <c r="AV109" i="2"/>
  <c r="AV47" i="2" s="1"/>
  <c r="AV11" i="2" s="1"/>
  <c r="AN244" i="2"/>
  <c r="AV299" i="2"/>
  <c r="AV326" i="2"/>
  <c r="AR312" i="2" s="1"/>
  <c r="AR209" i="2" s="1"/>
  <c r="C365" i="2"/>
  <c r="C355" i="2"/>
  <c r="C363" i="2"/>
  <c r="F432" i="2"/>
  <c r="F434" i="2"/>
  <c r="F424" i="2"/>
  <c r="AV438" i="2"/>
  <c r="AV21" i="2"/>
  <c r="AW14" i="2"/>
  <c r="K14" i="2" s="1"/>
  <c r="K50" i="2" s="1"/>
  <c r="AT144" i="2"/>
  <c r="AT46" i="2"/>
  <c r="AN404" i="2"/>
  <c r="AN58" i="2"/>
  <c r="AN68" i="2"/>
  <c r="AN31" i="2"/>
  <c r="AV420" i="2"/>
  <c r="AV64" i="2"/>
  <c r="C288" i="2"/>
  <c r="C272" i="2"/>
  <c r="C169" i="2"/>
  <c r="C179" i="2" s="1"/>
  <c r="C181" i="2" s="1"/>
  <c r="C189" i="2" s="1"/>
  <c r="C41" i="2"/>
  <c r="E149" i="2"/>
  <c r="E150" i="2"/>
  <c r="G384" i="2"/>
  <c r="G375" i="2"/>
  <c r="AT439" i="2"/>
  <c r="AT451" i="2"/>
  <c r="G149" i="2"/>
  <c r="G150" i="2"/>
  <c r="AM177" i="2"/>
  <c r="AM211" i="2"/>
  <c r="G401" i="2"/>
  <c r="G393" i="2"/>
  <c r="G394" i="2" s="1"/>
  <c r="AN248" i="2"/>
  <c r="J144" i="2"/>
  <c r="J46" i="2"/>
  <c r="J262" i="2"/>
  <c r="J261" i="2"/>
  <c r="AS428" i="2"/>
  <c r="G432" i="2"/>
  <c r="G424" i="2"/>
  <c r="AW93" i="2"/>
  <c r="AW125" i="2"/>
  <c r="F362" i="2"/>
  <c r="F353" i="2"/>
  <c r="AS382" i="2"/>
  <c r="E36" i="2"/>
  <c r="E72" i="2"/>
  <c r="C387" i="2"/>
  <c r="C385" i="2"/>
  <c r="C377" i="2"/>
  <c r="AW308" i="2"/>
  <c r="AW322" i="2"/>
  <c r="K304" i="2"/>
  <c r="K322" i="2" s="1"/>
  <c r="D431" i="2"/>
  <c r="D422" i="2"/>
  <c r="AS257" i="2"/>
  <c r="AR256" i="2"/>
  <c r="AR260" i="2"/>
  <c r="D384" i="2"/>
  <c r="D375" i="2"/>
  <c r="AN70" i="2"/>
  <c r="AN60" i="2"/>
  <c r="AT351" i="2"/>
  <c r="AT62" i="2"/>
  <c r="AT23" i="2"/>
  <c r="AN375" i="2"/>
  <c r="J417" i="2" l="1"/>
  <c r="J428" i="2" s="1"/>
  <c r="AW178" i="2"/>
  <c r="K178" i="2" s="1"/>
  <c r="K139" i="2"/>
  <c r="AW325" i="2"/>
  <c r="K307" i="2"/>
  <c r="K325" i="2" s="1"/>
  <c r="BF27" i="2"/>
  <c r="AW323" i="2"/>
  <c r="K305" i="2"/>
  <c r="K323" i="2" s="1"/>
  <c r="I362" i="2"/>
  <c r="I353" i="2"/>
  <c r="J401" i="2"/>
  <c r="J393" i="2"/>
  <c r="J394" i="2" s="1"/>
  <c r="AR381" i="2"/>
  <c r="AR382" i="2"/>
  <c r="AV347" i="2"/>
  <c r="AV361" i="2" s="1"/>
  <c r="AV15" i="2"/>
  <c r="AV18" i="2"/>
  <c r="J418" i="2"/>
  <c r="AN387" i="2"/>
  <c r="AN385" i="2"/>
  <c r="AN377" i="2"/>
  <c r="AV431" i="2"/>
  <c r="AV418" i="2"/>
  <c r="K140" i="2"/>
  <c r="K138" i="2"/>
  <c r="K130" i="2"/>
  <c r="G454" i="2"/>
  <c r="G446" i="2"/>
  <c r="H258" i="2"/>
  <c r="H259" i="2" s="1"/>
  <c r="H256" i="2"/>
  <c r="H257" i="2" s="1"/>
  <c r="H151" i="2"/>
  <c r="AT428" i="2"/>
  <c r="AT362" i="2"/>
  <c r="AT349" i="2"/>
  <c r="D387" i="2"/>
  <c r="D385" i="2"/>
  <c r="D377" i="2"/>
  <c r="J150" i="2"/>
  <c r="E256" i="2"/>
  <c r="E257" i="2" s="1"/>
  <c r="E258" i="2"/>
  <c r="E259" i="2" s="1"/>
  <c r="E151" i="2"/>
  <c r="AT150" i="2"/>
  <c r="AW438" i="2"/>
  <c r="K438" i="2" s="1"/>
  <c r="AW21" i="2"/>
  <c r="K21" i="2" s="1"/>
  <c r="C434" i="2"/>
  <c r="C432" i="2"/>
  <c r="C424" i="2"/>
  <c r="AR359" i="2"/>
  <c r="F387" i="2"/>
  <c r="F385" i="2"/>
  <c r="F377" i="2"/>
  <c r="AU358" i="2"/>
  <c r="AU364" i="2"/>
  <c r="D456" i="2"/>
  <c r="D454" i="2"/>
  <c r="D446" i="2"/>
  <c r="E355" i="2"/>
  <c r="E363" i="2"/>
  <c r="E365" i="2"/>
  <c r="K216" i="2"/>
  <c r="J450" i="2"/>
  <c r="J440" i="2"/>
  <c r="F288" i="2"/>
  <c r="F272" i="2"/>
  <c r="F169" i="2"/>
  <c r="F179" i="2" s="1"/>
  <c r="F181" i="2" s="1"/>
  <c r="F189" i="2" s="1"/>
  <c r="F190" i="2" s="1"/>
  <c r="F41" i="2"/>
  <c r="F460" i="2"/>
  <c r="H287" i="2"/>
  <c r="H273" i="2"/>
  <c r="H40" i="2"/>
  <c r="H38" i="2"/>
  <c r="J338" i="2"/>
  <c r="J61" i="2"/>
  <c r="J51" i="2"/>
  <c r="AU451" i="2"/>
  <c r="AU439" i="2"/>
  <c r="AU450" i="2" s="1"/>
  <c r="AT338" i="2"/>
  <c r="AT61" i="2"/>
  <c r="AT51" i="2"/>
  <c r="E287" i="2"/>
  <c r="E273" i="2"/>
  <c r="E40" i="2"/>
  <c r="E38" i="2"/>
  <c r="G258" i="2"/>
  <c r="G259" i="2" s="1"/>
  <c r="G256" i="2"/>
  <c r="G257" i="2" s="1"/>
  <c r="G151" i="2"/>
  <c r="G385" i="2"/>
  <c r="G377" i="2"/>
  <c r="AN281" i="2"/>
  <c r="AN282" i="2" s="1"/>
  <c r="AN145" i="2"/>
  <c r="AN149" i="2" s="1"/>
  <c r="AN56" i="2"/>
  <c r="AN66" i="2"/>
  <c r="AV442" i="2"/>
  <c r="AV65" i="2"/>
  <c r="G363" i="2"/>
  <c r="G355" i="2"/>
  <c r="E454" i="2"/>
  <c r="E456" i="2"/>
  <c r="E446" i="2"/>
  <c r="H385" i="2"/>
  <c r="H377" i="2"/>
  <c r="AW369" i="2"/>
  <c r="K369" i="2" s="1"/>
  <c r="AW19" i="2"/>
  <c r="K19" i="2" s="1"/>
  <c r="AU144" i="2"/>
  <c r="AU46" i="2"/>
  <c r="D287" i="2"/>
  <c r="D273" i="2"/>
  <c r="D40" i="2"/>
  <c r="D38" i="2"/>
  <c r="AL327" i="2"/>
  <c r="AL310" i="2"/>
  <c r="AL318" i="2"/>
  <c r="AN454" i="2"/>
  <c r="AN456" i="2"/>
  <c r="AN446" i="2"/>
  <c r="AN249" i="2"/>
  <c r="AN214" i="2"/>
  <c r="AO81" i="2"/>
  <c r="C454" i="2"/>
  <c r="C456" i="2"/>
  <c r="C446" i="2"/>
  <c r="AT258" i="2"/>
  <c r="AU259" i="2"/>
  <c r="AN432" i="2"/>
  <c r="AN424" i="2"/>
  <c r="AN434" i="2"/>
  <c r="AU403" i="2"/>
  <c r="AU410" i="2"/>
  <c r="AU370" i="2"/>
  <c r="AU381" i="2" s="1"/>
  <c r="AU401" i="2"/>
  <c r="AU393" i="2"/>
  <c r="AU394" i="2" s="1"/>
  <c r="D258" i="2"/>
  <c r="D259" i="2" s="1"/>
  <c r="D256" i="2"/>
  <c r="D257" i="2" s="1"/>
  <c r="D151" i="2"/>
  <c r="AS348" i="2"/>
  <c r="AS359" i="2" s="1"/>
  <c r="AS360" i="2"/>
  <c r="AT257" i="2"/>
  <c r="AS256" i="2"/>
  <c r="AS260" i="2"/>
  <c r="D434" i="2"/>
  <c r="D432" i="2"/>
  <c r="D424" i="2"/>
  <c r="AW326" i="2"/>
  <c r="AT312" i="2" s="1"/>
  <c r="AT209" i="2" s="1"/>
  <c r="AW299" i="2"/>
  <c r="K299" i="2" s="1"/>
  <c r="K308" i="2"/>
  <c r="K326" i="2" s="1"/>
  <c r="AW124" i="2"/>
  <c r="AW133" i="2" s="1"/>
  <c r="AW109" i="2"/>
  <c r="AW47" i="2" s="1"/>
  <c r="AW11" i="2" s="1"/>
  <c r="AV455" i="2"/>
  <c r="AV449" i="2"/>
  <c r="D365" i="2"/>
  <c r="D363" i="2"/>
  <c r="D355" i="2"/>
  <c r="AV412" i="2"/>
  <c r="AV411" i="2"/>
  <c r="AV373" i="2"/>
  <c r="AV63" i="2"/>
  <c r="AV315" i="2"/>
  <c r="AU317" i="2"/>
  <c r="H432" i="2"/>
  <c r="H424" i="2"/>
  <c r="AT381" i="2"/>
  <c r="F456" i="2"/>
  <c r="F454" i="2"/>
  <c r="F446" i="2"/>
  <c r="AW416" i="2"/>
  <c r="AW20" i="2"/>
  <c r="K13" i="2"/>
  <c r="K49" i="2" s="1"/>
  <c r="F256" i="2"/>
  <c r="F257" i="2" s="1"/>
  <c r="F258" i="2"/>
  <c r="F259" i="2" s="1"/>
  <c r="F151" i="2"/>
  <c r="AW350" i="2"/>
  <c r="K350" i="2" s="1"/>
  <c r="AU429" i="2"/>
  <c r="AU417" i="2"/>
  <c r="AU428" i="2" s="1"/>
  <c r="AW419" i="2"/>
  <c r="K419" i="2" s="1"/>
  <c r="AV430" i="2"/>
  <c r="H446" i="2"/>
  <c r="H454" i="2"/>
  <c r="AW137" i="2"/>
  <c r="AW129" i="2"/>
  <c r="K125" i="2"/>
  <c r="F363" i="2"/>
  <c r="F355" i="2"/>
  <c r="AT450" i="2"/>
  <c r="K93" i="2"/>
  <c r="K109" i="2" s="1"/>
  <c r="AV341" i="2"/>
  <c r="AV134" i="2"/>
  <c r="AV409" i="2"/>
  <c r="AV380" i="2"/>
  <c r="AV386" i="2"/>
  <c r="AV390" i="2"/>
  <c r="AU351" i="2"/>
  <c r="AU23" i="2"/>
  <c r="AU62" i="2"/>
  <c r="AV135" i="2"/>
  <c r="E377" i="2"/>
  <c r="E387" i="2"/>
  <c r="E385" i="2"/>
  <c r="J381" i="2"/>
  <c r="J371" i="2"/>
  <c r="F1" i="2"/>
  <c r="AV452" i="2"/>
  <c r="AW441" i="2"/>
  <c r="AW452" i="2" s="1"/>
  <c r="AU254" i="2"/>
  <c r="AU195" i="2" s="1"/>
  <c r="AV255" i="2"/>
  <c r="AV383" i="2"/>
  <c r="AW372" i="2"/>
  <c r="K372" i="2" s="1"/>
  <c r="G273" i="2"/>
  <c r="G287" i="2"/>
  <c r="G40" i="2"/>
  <c r="G38" i="2"/>
  <c r="AU312" i="2" l="1"/>
  <c r="AU209" i="2" s="1"/>
  <c r="K441" i="2"/>
  <c r="BF28" i="2"/>
  <c r="K452" i="2"/>
  <c r="I355" i="2"/>
  <c r="I363" i="2"/>
  <c r="K124" i="2"/>
  <c r="K135" i="2" s="1"/>
  <c r="G260" i="2"/>
  <c r="AW383" i="2"/>
  <c r="K383" i="2"/>
  <c r="K65" i="2"/>
  <c r="K55" i="2"/>
  <c r="AW347" i="2"/>
  <c r="K347" i="2" s="1"/>
  <c r="AW18" i="2"/>
  <c r="AW15" i="2"/>
  <c r="K11" i="2"/>
  <c r="AU175" i="2"/>
  <c r="AW255" i="2"/>
  <c r="AV254" i="2"/>
  <c r="AV195" i="2" s="1"/>
  <c r="AV175" i="2" s="1"/>
  <c r="J410" i="2"/>
  <c r="J403" i="2"/>
  <c r="J382" i="2"/>
  <c r="J373" i="2"/>
  <c r="AU338" i="2"/>
  <c r="AU61" i="2"/>
  <c r="AU51" i="2"/>
  <c r="AV400" i="2"/>
  <c r="AV392" i="2"/>
  <c r="K137" i="2"/>
  <c r="K129" i="2"/>
  <c r="AW430" i="2"/>
  <c r="F260" i="2"/>
  <c r="AV317" i="2"/>
  <c r="AW315" i="2"/>
  <c r="AV384" i="2"/>
  <c r="AV371" i="2"/>
  <c r="AU258" i="2"/>
  <c r="AV259" i="2"/>
  <c r="AL330" i="2"/>
  <c r="AL332" i="2" s="1"/>
  <c r="D1" i="2"/>
  <c r="AW409" i="2"/>
  <c r="AW390" i="2"/>
  <c r="AW386" i="2"/>
  <c r="AW380" i="2"/>
  <c r="AN208" i="2"/>
  <c r="AN196" i="2"/>
  <c r="AN151" i="2"/>
  <c r="E260" i="2"/>
  <c r="H260" i="2"/>
  <c r="AV429" i="2"/>
  <c r="AV417" i="2"/>
  <c r="AV428" i="2" s="1"/>
  <c r="AU349" i="2"/>
  <c r="AU362" i="2"/>
  <c r="K411" i="2"/>
  <c r="K412" i="2"/>
  <c r="K53" i="2"/>
  <c r="K391" i="2" s="1"/>
  <c r="K63" i="2"/>
  <c r="AT256" i="2"/>
  <c r="AU257" i="2"/>
  <c r="AT260" i="2"/>
  <c r="D260" i="2"/>
  <c r="AU382" i="2"/>
  <c r="AO170" i="2"/>
  <c r="AO146" i="2"/>
  <c r="AO180" i="2"/>
  <c r="I81" i="2"/>
  <c r="AO80" i="2"/>
  <c r="AO201" i="2"/>
  <c r="AO79" i="2"/>
  <c r="AO78" i="2"/>
  <c r="AL313" i="2"/>
  <c r="AL212" i="2" s="1"/>
  <c r="AL328" i="2"/>
  <c r="AU150" i="2"/>
  <c r="E288" i="2"/>
  <c r="E272" i="2"/>
  <c r="E169" i="2"/>
  <c r="E179" i="2" s="1"/>
  <c r="E181" i="2" s="1"/>
  <c r="E189" i="2" s="1"/>
  <c r="E190" i="2" s="1"/>
  <c r="E41" i="2"/>
  <c r="E460" i="2"/>
  <c r="H288" i="2"/>
  <c r="H272" i="2"/>
  <c r="H169" i="2"/>
  <c r="H179" i="2" s="1"/>
  <c r="H181" i="2" s="1"/>
  <c r="H41" i="2"/>
  <c r="H460" i="2"/>
  <c r="J348" i="2"/>
  <c r="AV351" i="2"/>
  <c r="AV62" i="2"/>
  <c r="AV23" i="2"/>
  <c r="G288" i="2"/>
  <c r="G272" i="2"/>
  <c r="G169" i="2"/>
  <c r="G179" i="2" s="1"/>
  <c r="G181" i="2" s="1"/>
  <c r="G41" i="2"/>
  <c r="G460" i="2"/>
  <c r="G1" i="2"/>
  <c r="AW420" i="2"/>
  <c r="AW64" i="2"/>
  <c r="K20" i="2"/>
  <c r="AW341" i="2"/>
  <c r="AV312" i="2"/>
  <c r="AV209" i="2" s="1"/>
  <c r="AS312" i="2"/>
  <c r="AN283" i="2"/>
  <c r="E1" i="2"/>
  <c r="H1" i="2"/>
  <c r="J451" i="2"/>
  <c r="J442" i="2"/>
  <c r="AW442" i="2"/>
  <c r="AW65" i="2"/>
  <c r="AT360" i="2"/>
  <c r="AT348" i="2"/>
  <c r="AV144" i="2"/>
  <c r="AV46" i="2"/>
  <c r="K400" i="2"/>
  <c r="K409" i="2"/>
  <c r="K390" i="2"/>
  <c r="K380" i="2"/>
  <c r="AW427" i="2"/>
  <c r="AW433" i="2"/>
  <c r="K416" i="2"/>
  <c r="K430" i="2" s="1"/>
  <c r="K449" i="2"/>
  <c r="AW134" i="2"/>
  <c r="AW135" i="2"/>
  <c r="D288" i="2"/>
  <c r="D272" i="2"/>
  <c r="D41" i="2"/>
  <c r="D169" i="2"/>
  <c r="D179" i="2" s="1"/>
  <c r="D181" i="2" s="1"/>
  <c r="D189" i="2" s="1"/>
  <c r="D190" i="2" s="1"/>
  <c r="D460" i="2"/>
  <c r="AW412" i="2"/>
  <c r="AW411" i="2"/>
  <c r="AW373" i="2"/>
  <c r="AW63" i="2"/>
  <c r="AV453" i="2"/>
  <c r="AV440" i="2"/>
  <c r="AW449" i="2"/>
  <c r="AW455" i="2"/>
  <c r="J429" i="2"/>
  <c r="J420" i="2"/>
  <c r="AV364" i="2"/>
  <c r="AV358" i="2"/>
  <c r="AO77" i="2" l="1"/>
  <c r="AO374" i="2" s="1"/>
  <c r="BF29" i="2"/>
  <c r="AW361" i="2"/>
  <c r="K133" i="2"/>
  <c r="K134" i="2"/>
  <c r="K392" i="2"/>
  <c r="K401" i="2" s="1"/>
  <c r="K358" i="2"/>
  <c r="K361" i="2"/>
  <c r="I77" i="2"/>
  <c r="K64" i="2"/>
  <c r="K54" i="2"/>
  <c r="J431" i="2"/>
  <c r="AS209" i="2"/>
  <c r="J209" i="2" s="1"/>
  <c r="J312" i="2"/>
  <c r="J359" i="2"/>
  <c r="J349" i="2"/>
  <c r="I82" i="2"/>
  <c r="I146" i="2"/>
  <c r="AN176" i="2"/>
  <c r="AW392" i="2"/>
  <c r="AW400" i="2"/>
  <c r="AV410" i="2"/>
  <c r="AV403" i="2"/>
  <c r="AV370" i="2"/>
  <c r="AW384" i="2"/>
  <c r="AW371" i="2"/>
  <c r="AT359" i="2"/>
  <c r="AW453" i="2"/>
  <c r="AW440" i="2"/>
  <c r="AV362" i="2"/>
  <c r="AV349" i="2"/>
  <c r="AO443" i="2"/>
  <c r="AO29" i="2"/>
  <c r="I79" i="2"/>
  <c r="AO241" i="2"/>
  <c r="AO242" i="2" s="1"/>
  <c r="I170" i="2"/>
  <c r="I241" i="2" s="1"/>
  <c r="I242" i="2" s="1"/>
  <c r="AU256" i="2"/>
  <c r="AV257" i="2"/>
  <c r="AU260" i="2"/>
  <c r="AN211" i="2"/>
  <c r="AN177" i="2"/>
  <c r="J384" i="2"/>
  <c r="AW351" i="2"/>
  <c r="AW62" i="2"/>
  <c r="AW23" i="2"/>
  <c r="K18" i="2"/>
  <c r="AV150" i="2"/>
  <c r="J453" i="2"/>
  <c r="AW431" i="2"/>
  <c r="AW418" i="2"/>
  <c r="AV338" i="2"/>
  <c r="AV51" i="2"/>
  <c r="AV61" i="2"/>
  <c r="I201" i="2"/>
  <c r="AU348" i="2"/>
  <c r="AU359" i="2" s="1"/>
  <c r="AU360" i="2"/>
  <c r="AW259" i="2"/>
  <c r="AW258" i="2" s="1"/>
  <c r="AV258" i="2"/>
  <c r="AV401" i="2"/>
  <c r="AV393" i="2"/>
  <c r="AV394" i="2" s="1"/>
  <c r="AW364" i="2"/>
  <c r="AW358" i="2"/>
  <c r="K427" i="2"/>
  <c r="H189" i="2"/>
  <c r="H190" i="2" s="1"/>
  <c r="AL226" i="2"/>
  <c r="AL184" i="2"/>
  <c r="AL220" i="2"/>
  <c r="AO30" i="2"/>
  <c r="I30" i="2" s="1"/>
  <c r="I80" i="2"/>
  <c r="AO339" i="2"/>
  <c r="AO245" i="2"/>
  <c r="AO244" i="2"/>
  <c r="AO243" i="2"/>
  <c r="I180" i="2"/>
  <c r="AO200" i="2"/>
  <c r="AW317" i="2"/>
  <c r="K315" i="2"/>
  <c r="AW254" i="2"/>
  <c r="AW195" i="2" s="1"/>
  <c r="K47" i="2"/>
  <c r="K15" i="2"/>
  <c r="G189" i="2"/>
  <c r="G190" i="2" s="1"/>
  <c r="AV439" i="2"/>
  <c r="AV451" i="2"/>
  <c r="AO421" i="2"/>
  <c r="AO28" i="2"/>
  <c r="I78" i="2"/>
  <c r="AW46" i="2"/>
  <c r="AW144" i="2"/>
  <c r="AO27" i="2" l="1"/>
  <c r="AO404" i="2" s="1"/>
  <c r="I248" i="2"/>
  <c r="BF30" i="2"/>
  <c r="AO248" i="2"/>
  <c r="K393" i="2"/>
  <c r="K394" i="2" s="1"/>
  <c r="K195" i="2"/>
  <c r="K254" i="2" s="1"/>
  <c r="K255" i="2" s="1"/>
  <c r="AO422" i="2"/>
  <c r="I421" i="2"/>
  <c r="I422" i="2" s="1"/>
  <c r="AW417" i="2"/>
  <c r="AW429" i="2"/>
  <c r="AV381" i="2"/>
  <c r="AO68" i="2"/>
  <c r="AO58" i="2"/>
  <c r="AO31" i="2"/>
  <c r="AO247" i="2"/>
  <c r="AO202" i="2"/>
  <c r="I200" i="2"/>
  <c r="AL189" i="2"/>
  <c r="AL194" i="2" s="1"/>
  <c r="AL227" i="2" s="1"/>
  <c r="AW175" i="2"/>
  <c r="AW338" i="2"/>
  <c r="AW61" i="2"/>
  <c r="AW51" i="2"/>
  <c r="AO444" i="2"/>
  <c r="I443" i="2"/>
  <c r="I444" i="2" s="1"/>
  <c r="AV382" i="2"/>
  <c r="AW401" i="2"/>
  <c r="AW393" i="2"/>
  <c r="AW394" i="2" s="1"/>
  <c r="AO375" i="2"/>
  <c r="I374" i="2"/>
  <c r="I375" i="2" s="1"/>
  <c r="AW257" i="2"/>
  <c r="AV256" i="2"/>
  <c r="AV260" i="2"/>
  <c r="AV360" i="2"/>
  <c r="AV348" i="2"/>
  <c r="AW439" i="2"/>
  <c r="AW450" i="2" s="1"/>
  <c r="AW451" i="2"/>
  <c r="AW410" i="2"/>
  <c r="AW403" i="2"/>
  <c r="AW370" i="2"/>
  <c r="AW381" i="2" s="1"/>
  <c r="I339" i="2"/>
  <c r="I245" i="2"/>
  <c r="I243" i="2"/>
  <c r="I244" i="2"/>
  <c r="I238" i="2"/>
  <c r="AL225" i="2"/>
  <c r="AL228" i="2" s="1"/>
  <c r="AM32" i="2"/>
  <c r="AL311" i="2"/>
  <c r="K52" i="2"/>
  <c r="K62" i="2"/>
  <c r="K23" i="2"/>
  <c r="AW362" i="2"/>
  <c r="AW349" i="2"/>
  <c r="AO70" i="2"/>
  <c r="AO60" i="2"/>
  <c r="I29" i="2"/>
  <c r="J360" i="2"/>
  <c r="J351" i="2"/>
  <c r="AO69" i="2"/>
  <c r="AO59" i="2"/>
  <c r="I28" i="2"/>
  <c r="K46" i="2"/>
  <c r="K144" i="2"/>
  <c r="K262" i="2"/>
  <c r="K261" i="2"/>
  <c r="AW150" i="2"/>
  <c r="AV450" i="2"/>
  <c r="K439" i="2"/>
  <c r="K317" i="2"/>
  <c r="I27" i="2" l="1"/>
  <c r="I68" i="2" s="1"/>
  <c r="BF31" i="2"/>
  <c r="AL230" i="2"/>
  <c r="AL229" i="2"/>
  <c r="AL233" i="2"/>
  <c r="AL232" i="2"/>
  <c r="K150" i="2"/>
  <c r="AW348" i="2"/>
  <c r="AW359" i="2" s="1"/>
  <c r="AW360" i="2"/>
  <c r="AW256" i="2"/>
  <c r="AW260" i="2"/>
  <c r="K450" i="2"/>
  <c r="K440" i="2"/>
  <c r="I70" i="2"/>
  <c r="I60" i="2"/>
  <c r="I377" i="2"/>
  <c r="I385" i="2"/>
  <c r="I247" i="2"/>
  <c r="I202" i="2"/>
  <c r="I424" i="2"/>
  <c r="I432" i="2"/>
  <c r="AO387" i="2"/>
  <c r="AO385" i="2"/>
  <c r="AO377" i="2"/>
  <c r="I454" i="2"/>
  <c r="I446" i="2"/>
  <c r="J175" i="2"/>
  <c r="K175" i="2"/>
  <c r="I404" i="2"/>
  <c r="I58" i="2"/>
  <c r="AW428" i="2"/>
  <c r="K417" i="2"/>
  <c r="AO434" i="2"/>
  <c r="AO432" i="2"/>
  <c r="AO424" i="2"/>
  <c r="J362" i="2"/>
  <c r="K338" i="2"/>
  <c r="K61" i="2"/>
  <c r="K51" i="2"/>
  <c r="AM340" i="2"/>
  <c r="AM235" i="2"/>
  <c r="AM236" i="2"/>
  <c r="AM34" i="2"/>
  <c r="AM237" i="2"/>
  <c r="AW382" i="2"/>
  <c r="AO454" i="2"/>
  <c r="AO446" i="2"/>
  <c r="AO456" i="2"/>
  <c r="AO249" i="2"/>
  <c r="AO214" i="2"/>
  <c r="I214" i="2" s="1"/>
  <c r="I264" i="2" s="1"/>
  <c r="AP81" i="2"/>
  <c r="AO281" i="2"/>
  <c r="AO282" i="2" s="1"/>
  <c r="AO145" i="2"/>
  <c r="AO149" i="2" s="1"/>
  <c r="AO56" i="2"/>
  <c r="AO66" i="2"/>
  <c r="K370" i="2"/>
  <c r="I59" i="2"/>
  <c r="I69" i="2"/>
  <c r="AV359" i="2"/>
  <c r="AL280" i="2"/>
  <c r="AL190" i="2"/>
  <c r="AL199" i="2"/>
  <c r="AL2" i="2"/>
  <c r="AL319" i="2"/>
  <c r="I31" i="2" l="1"/>
  <c r="I56" i="2" s="1"/>
  <c r="BF32" i="2"/>
  <c r="K348" i="2"/>
  <c r="K359" i="2" s="1"/>
  <c r="AP180" i="2"/>
  <c r="AP170" i="2"/>
  <c r="AP146" i="2"/>
  <c r="AP76" i="2"/>
  <c r="AP79" i="2"/>
  <c r="AP78" i="2"/>
  <c r="AP201" i="2"/>
  <c r="AP80" i="2"/>
  <c r="I249" i="2"/>
  <c r="AL252" i="2"/>
  <c r="AL253" i="2"/>
  <c r="AL205" i="2"/>
  <c r="AL221" i="2" s="1"/>
  <c r="AO208" i="2"/>
  <c r="AO196" i="2"/>
  <c r="AO151" i="2"/>
  <c r="AM35" i="2"/>
  <c r="AM36" i="2" s="1"/>
  <c r="K428" i="2"/>
  <c r="K418" i="2"/>
  <c r="K381" i="2"/>
  <c r="K371" i="2"/>
  <c r="AO283" i="2"/>
  <c r="I145" i="2"/>
  <c r="I149" i="2" s="1"/>
  <c r="I66" i="2"/>
  <c r="K451" i="2"/>
  <c r="K442" i="2"/>
  <c r="I281" i="2" l="1"/>
  <c r="I282" i="2" s="1"/>
  <c r="AP77" i="2"/>
  <c r="AP27" i="2" s="1"/>
  <c r="BF33" i="2"/>
  <c r="K349" i="2"/>
  <c r="K360" i="2" s="1"/>
  <c r="AP374" i="2"/>
  <c r="I196" i="2"/>
  <c r="I256" i="2" s="1"/>
  <c r="I257" i="2" s="1"/>
  <c r="AO176" i="2"/>
  <c r="I283" i="2"/>
  <c r="K410" i="2"/>
  <c r="K403" i="2"/>
  <c r="K382" i="2"/>
  <c r="K373" i="2"/>
  <c r="K429" i="2"/>
  <c r="K420" i="2"/>
  <c r="AM342" i="2"/>
  <c r="AM334" i="2" s="1"/>
  <c r="AM197" i="2"/>
  <c r="AO211" i="2"/>
  <c r="AO177" i="2"/>
  <c r="I208" i="2"/>
  <c r="I211" i="2" s="1"/>
  <c r="AP421" i="2"/>
  <c r="AP28" i="2"/>
  <c r="AM273" i="2"/>
  <c r="AM270" i="2"/>
  <c r="AM268" i="2" s="1"/>
  <c r="AM42" i="2" s="1"/>
  <c r="AM40" i="2" s="1"/>
  <c r="AM38" i="2"/>
  <c r="AP443" i="2"/>
  <c r="AP29" i="2"/>
  <c r="I151" i="2"/>
  <c r="AP30" i="2"/>
  <c r="AP352" i="2"/>
  <c r="AP26" i="2"/>
  <c r="AP241" i="2"/>
  <c r="AP242" i="2" s="1"/>
  <c r="K453" i="2"/>
  <c r="AP339" i="2"/>
  <c r="AP243" i="2"/>
  <c r="AP244" i="2"/>
  <c r="AP245" i="2"/>
  <c r="AP200" i="2"/>
  <c r="BF34" i="2" l="1"/>
  <c r="K351" i="2"/>
  <c r="K362" i="2" s="1"/>
  <c r="AM1" i="2"/>
  <c r="I258" i="2"/>
  <c r="I259" i="2" s="1"/>
  <c r="I260" i="2" s="1"/>
  <c r="AP70" i="2"/>
  <c r="AP60" i="2"/>
  <c r="AM272" i="2"/>
  <c r="AM169" i="2"/>
  <c r="AM41" i="2"/>
  <c r="AP422" i="2"/>
  <c r="AM171" i="2"/>
  <c r="AM279" i="2"/>
  <c r="AP248" i="2"/>
  <c r="AP353" i="2"/>
  <c r="K384" i="2"/>
  <c r="AP247" i="2"/>
  <c r="AP202" i="2"/>
  <c r="AP67" i="2"/>
  <c r="AP31" i="2"/>
  <c r="AP57" i="2"/>
  <c r="AP444" i="2"/>
  <c r="AP69" i="2"/>
  <c r="AP59" i="2"/>
  <c r="AP404" i="2"/>
  <c r="AP68" i="2"/>
  <c r="AP58" i="2"/>
  <c r="AM185" i="2"/>
  <c r="K431" i="2"/>
  <c r="AP375" i="2"/>
  <c r="BF35" i="2" l="1"/>
  <c r="AP365" i="2"/>
  <c r="AP363" i="2"/>
  <c r="AP355" i="2"/>
  <c r="AM292" i="2"/>
  <c r="AM294" i="2" s="1"/>
  <c r="AM285" i="2"/>
  <c r="AM286" i="2"/>
  <c r="AP387" i="2"/>
  <c r="AP385" i="2"/>
  <c r="AP377" i="2"/>
  <c r="AP281" i="2"/>
  <c r="AP282" i="2" s="1"/>
  <c r="AP66" i="2"/>
  <c r="AP56" i="2"/>
  <c r="AP145" i="2"/>
  <c r="AP149" i="2" s="1"/>
  <c r="AP434" i="2"/>
  <c r="AP424" i="2"/>
  <c r="AP432" i="2"/>
  <c r="AM461" i="2"/>
  <c r="AM217" i="2"/>
  <c r="AP456" i="2"/>
  <c r="AP446" i="2"/>
  <c r="AP454" i="2"/>
  <c r="AP249" i="2"/>
  <c r="AP214" i="2"/>
  <c r="AQ81" i="2"/>
  <c r="AM179" i="2"/>
  <c r="AM181" i="2" s="1"/>
  <c r="BF36" i="2" l="1"/>
  <c r="AM460" i="2"/>
  <c r="AM219" i="2"/>
  <c r="AP151" i="2"/>
  <c r="AP208" i="2"/>
  <c r="AP196" i="2"/>
  <c r="AQ180" i="2"/>
  <c r="AQ170" i="2"/>
  <c r="AQ146" i="2"/>
  <c r="AQ201" i="2"/>
  <c r="AQ78" i="2"/>
  <c r="AQ79" i="2"/>
  <c r="AQ80" i="2"/>
  <c r="AQ76" i="2"/>
  <c r="AP283" i="2"/>
  <c r="BF37" i="2" l="1"/>
  <c r="BF38" i="2" s="1"/>
  <c r="BF39" i="2" s="1"/>
  <c r="BF40" i="2" s="1"/>
  <c r="AQ339" i="2"/>
  <c r="AQ245" i="2"/>
  <c r="AQ243" i="2"/>
  <c r="AQ200" i="2"/>
  <c r="AM276" i="2"/>
  <c r="AM275" i="2"/>
  <c r="AM297" i="2"/>
  <c r="AM298" i="2" s="1"/>
  <c r="AM300" i="2" s="1"/>
  <c r="AM309" i="2" s="1"/>
  <c r="AM287" i="2"/>
  <c r="AM288" i="2"/>
  <c r="AQ443" i="2"/>
  <c r="AQ29" i="2"/>
  <c r="AP176" i="2"/>
  <c r="AQ352" i="2"/>
  <c r="AQ26" i="2"/>
  <c r="AQ241" i="2"/>
  <c r="AQ242" i="2" s="1"/>
  <c r="AQ30" i="2"/>
  <c r="AQ77" i="2"/>
  <c r="AQ421" i="2"/>
  <c r="AQ28" i="2"/>
  <c r="AP177" i="2"/>
  <c r="AP211" i="2"/>
  <c r="BF41" i="2" l="1"/>
  <c r="BF42" i="2" s="1"/>
  <c r="AQ248" i="2"/>
  <c r="AQ374" i="2"/>
  <c r="AQ27" i="2"/>
  <c r="AQ31" i="2" s="1"/>
  <c r="AQ57" i="2"/>
  <c r="AQ67" i="2"/>
  <c r="AQ202" i="2"/>
  <c r="AQ247" i="2"/>
  <c r="AM327" i="2"/>
  <c r="AM310" i="2"/>
  <c r="AM318" i="2"/>
  <c r="AQ244" i="2"/>
  <c r="AQ69" i="2"/>
  <c r="AQ59" i="2"/>
  <c r="AQ444" i="2"/>
  <c r="AQ422" i="2"/>
  <c r="AQ353" i="2"/>
  <c r="AQ70" i="2"/>
  <c r="AQ60" i="2"/>
  <c r="BF43" i="2" l="1"/>
  <c r="BF44" i="2" s="1"/>
  <c r="BF45" i="2" s="1"/>
  <c r="BF46" i="2" s="1"/>
  <c r="BF47" i="2" s="1"/>
  <c r="BF48" i="2" s="1"/>
  <c r="BF49" i="2" s="1"/>
  <c r="BF50" i="2" s="1"/>
  <c r="BF51" i="2" s="1"/>
  <c r="BF52" i="2" s="1"/>
  <c r="BF53" i="2" s="1"/>
  <c r="BF54" i="2" s="1"/>
  <c r="BF55" i="2" s="1"/>
  <c r="BF56" i="2" s="1"/>
  <c r="BF57" i="2" s="1"/>
  <c r="BF58" i="2" s="1"/>
  <c r="BF59" i="2" s="1"/>
  <c r="BF60" i="2" s="1"/>
  <c r="BF61" i="2" s="1"/>
  <c r="BF62" i="2" s="1"/>
  <c r="BF63" i="2" s="1"/>
  <c r="BF64" i="2" s="1"/>
  <c r="BF65" i="2" s="1"/>
  <c r="BF66" i="2" s="1"/>
  <c r="BF67" i="2" s="1"/>
  <c r="BF68" i="2" s="1"/>
  <c r="BF69" i="2" s="1"/>
  <c r="BF70" i="2" s="1"/>
  <c r="BF71" i="2" s="1"/>
  <c r="BF72" i="2" s="1"/>
  <c r="BF73" i="2" s="1"/>
  <c r="BF74" i="2" s="1"/>
  <c r="BF75" i="2" s="1"/>
  <c r="BF76" i="2" s="1"/>
  <c r="BF77" i="2" s="1"/>
  <c r="BF78" i="2" s="1"/>
  <c r="BF79" i="2" s="1"/>
  <c r="BF80" i="2" s="1"/>
  <c r="BF81" i="2" s="1"/>
  <c r="AQ365" i="2"/>
  <c r="AQ355" i="2"/>
  <c r="AQ363" i="2"/>
  <c r="AQ456" i="2"/>
  <c r="AQ454" i="2"/>
  <c r="AQ446" i="2"/>
  <c r="AQ434" i="2"/>
  <c r="AQ432" i="2"/>
  <c r="AQ424" i="2"/>
  <c r="AM330" i="2"/>
  <c r="AM332" i="2" s="1"/>
  <c r="AQ281" i="2"/>
  <c r="AQ282" i="2" s="1"/>
  <c r="AQ145" i="2"/>
  <c r="AQ149" i="2" s="1"/>
  <c r="AQ66" i="2"/>
  <c r="AQ56" i="2"/>
  <c r="AQ404" i="2"/>
  <c r="AQ58" i="2"/>
  <c r="AQ68" i="2"/>
  <c r="AM328" i="2"/>
  <c r="AM313" i="2"/>
  <c r="AM212" i="2" s="1"/>
  <c r="AQ249" i="2"/>
  <c r="AQ214" i="2"/>
  <c r="AR81" i="2"/>
  <c r="AQ375" i="2"/>
  <c r="BF82" i="2" l="1"/>
  <c r="BF83" i="2" s="1"/>
  <c r="BF84" i="2" s="1"/>
  <c r="BF85" i="2" s="1"/>
  <c r="BF86" i="2" s="1"/>
  <c r="BF87" i="2" s="1"/>
  <c r="BF88" i="2" s="1"/>
  <c r="BF89" i="2" s="1"/>
  <c r="BF90" i="2" s="1"/>
  <c r="BF91" i="2" s="1"/>
  <c r="BF92" i="2" s="1"/>
  <c r="BF93" i="2" s="1"/>
  <c r="BF94" i="2" s="1"/>
  <c r="BF95" i="2" s="1"/>
  <c r="BF96" i="2" s="1"/>
  <c r="BF97" i="2" s="1"/>
  <c r="BF98" i="2" s="1"/>
  <c r="BF99" i="2" s="1"/>
  <c r="BF100" i="2" s="1"/>
  <c r="BF101" i="2" s="1"/>
  <c r="BF102" i="2" s="1"/>
  <c r="BF103" i="2" s="1"/>
  <c r="BF104" i="2" s="1"/>
  <c r="BF105" i="2" s="1"/>
  <c r="BF106" i="2" s="1"/>
  <c r="BF107" i="2" s="1"/>
  <c r="BF108" i="2" s="1"/>
  <c r="BF109" i="2" s="1"/>
  <c r="BF110" i="2" s="1"/>
  <c r="BF111" i="2" s="1"/>
  <c r="BF112" i="2" s="1"/>
  <c r="BF113" i="2" s="1"/>
  <c r="BF114" i="2" s="1"/>
  <c r="BF115" i="2" s="1"/>
  <c r="BF116" i="2" s="1"/>
  <c r="BF117" i="2" s="1"/>
  <c r="BF118" i="2" s="1"/>
  <c r="BF119" i="2" s="1"/>
  <c r="BF120" i="2" s="1"/>
  <c r="BF121" i="2" s="1"/>
  <c r="BF122" i="2" s="1"/>
  <c r="BF123" i="2" s="1"/>
  <c r="BF124" i="2" s="1"/>
  <c r="BF125" i="2" s="1"/>
  <c r="BF126" i="2" s="1"/>
  <c r="BF127" i="2" s="1"/>
  <c r="BF128" i="2" s="1"/>
  <c r="BF129" i="2" s="1"/>
  <c r="BF130" i="2" s="1"/>
  <c r="BF131" i="2" s="1"/>
  <c r="BF132" i="2" s="1"/>
  <c r="BF133" i="2" s="1"/>
  <c r="BF134" i="2" s="1"/>
  <c r="BF135" i="2" s="1"/>
  <c r="BF136" i="2" s="1"/>
  <c r="BF137" i="2" s="1"/>
  <c r="BF138" i="2" s="1"/>
  <c r="BF139" i="2" s="1"/>
  <c r="BF140" i="2" s="1"/>
  <c r="BF141" i="2" s="1"/>
  <c r="BF142" i="2" s="1"/>
  <c r="BF143" i="2" s="1"/>
  <c r="BF144" i="2" s="1"/>
  <c r="BF145" i="2" s="1"/>
  <c r="BF146" i="2" s="1"/>
  <c r="BF147" i="2" s="1"/>
  <c r="BF148" i="2" s="1"/>
  <c r="BF149" i="2" s="1"/>
  <c r="BF150" i="2" s="1"/>
  <c r="BF151" i="2" s="1"/>
  <c r="BF152" i="2" s="1"/>
  <c r="BF153" i="2" s="1"/>
  <c r="BF154" i="2" s="1"/>
  <c r="BF155" i="2" s="1"/>
  <c r="BF156" i="2" s="1"/>
  <c r="BF157" i="2" s="1"/>
  <c r="BF158" i="2" s="1"/>
  <c r="BF159" i="2" s="1"/>
  <c r="BF160" i="2" s="1"/>
  <c r="BF161" i="2" s="1"/>
  <c r="BF162" i="2" s="1"/>
  <c r="BF163" i="2" s="1"/>
  <c r="BF164" i="2" s="1"/>
  <c r="BF165" i="2" s="1"/>
  <c r="BF166" i="2" s="1"/>
  <c r="BF167" i="2" s="1"/>
  <c r="BF168" i="2" s="1"/>
  <c r="BF169" i="2" s="1"/>
  <c r="BF170" i="2" s="1"/>
  <c r="BF171" i="2" s="1"/>
  <c r="BF172" i="2" s="1"/>
  <c r="BF173" i="2" s="1"/>
  <c r="BF174" i="2" s="1"/>
  <c r="BF175" i="2" s="1"/>
  <c r="BF176" i="2" s="1"/>
  <c r="BF177" i="2" s="1"/>
  <c r="BF178" i="2" s="1"/>
  <c r="BF179" i="2" s="1"/>
  <c r="BF180" i="2" s="1"/>
  <c r="AM226" i="2"/>
  <c r="AM184" i="2"/>
  <c r="AM220" i="2"/>
  <c r="AQ283" i="2"/>
  <c r="AQ385" i="2"/>
  <c r="AQ377" i="2"/>
  <c r="AQ387" i="2"/>
  <c r="AR170" i="2"/>
  <c r="AR146" i="2"/>
  <c r="AR180" i="2"/>
  <c r="AR201" i="2"/>
  <c r="AR80" i="2"/>
  <c r="AR78" i="2"/>
  <c r="AR76" i="2"/>
  <c r="AR79" i="2"/>
  <c r="AQ208" i="2"/>
  <c r="AQ196" i="2"/>
  <c r="AQ151" i="2"/>
  <c r="BF181" i="2" l="1"/>
  <c r="AR77" i="2"/>
  <c r="AR374" i="2" s="1"/>
  <c r="AQ176" i="2"/>
  <c r="AR421" i="2"/>
  <c r="AR28" i="2"/>
  <c r="AR339" i="2"/>
  <c r="AR245" i="2"/>
  <c r="AR243" i="2"/>
  <c r="AR200" i="2"/>
  <c r="AQ177" i="2"/>
  <c r="AQ211" i="2"/>
  <c r="AR30" i="2"/>
  <c r="AR443" i="2"/>
  <c r="AR29" i="2"/>
  <c r="AM189" i="2"/>
  <c r="AM194" i="2" s="1"/>
  <c r="AM227" i="2" s="1"/>
  <c r="AR352" i="2"/>
  <c r="AR26" i="2"/>
  <c r="AR241" i="2"/>
  <c r="AR242" i="2" s="1"/>
  <c r="AM225" i="2"/>
  <c r="AM228" i="2" s="1"/>
  <c r="AN32" i="2"/>
  <c r="AM311" i="2"/>
  <c r="AR27" i="2" l="1"/>
  <c r="AR404" i="2" s="1"/>
  <c r="BF182" i="2"/>
  <c r="BF183" i="2" s="1"/>
  <c r="BF184" i="2" s="1"/>
  <c r="BF185" i="2" s="1"/>
  <c r="BF186" i="2" s="1"/>
  <c r="BF187" i="2" s="1"/>
  <c r="BF188" i="2" s="1"/>
  <c r="BF189" i="2" s="1"/>
  <c r="BF190" i="2" s="1"/>
  <c r="BF191" i="2" s="1"/>
  <c r="BF192" i="2" s="1"/>
  <c r="BF193" i="2" s="1"/>
  <c r="BF194" i="2" s="1"/>
  <c r="BF195" i="2" s="1"/>
  <c r="BF196" i="2" s="1"/>
  <c r="BF197" i="2" s="1"/>
  <c r="BF198" i="2" s="1"/>
  <c r="BF199" i="2" s="1"/>
  <c r="BF200" i="2" s="1"/>
  <c r="BF201" i="2" s="1"/>
  <c r="BF202" i="2" s="1"/>
  <c r="BF203" i="2" s="1"/>
  <c r="BF204" i="2" s="1"/>
  <c r="BF205" i="2" s="1"/>
  <c r="BF206" i="2" s="1"/>
  <c r="BF207" i="2" s="1"/>
  <c r="BF208" i="2" s="1"/>
  <c r="BF209" i="2" s="1"/>
  <c r="BF210" i="2" s="1"/>
  <c r="BF211" i="2" s="1"/>
  <c r="BF212" i="2" s="1"/>
  <c r="BF213" i="2" s="1"/>
  <c r="BF214" i="2" s="1"/>
  <c r="BF215" i="2" s="1"/>
  <c r="BF216" i="2" s="1"/>
  <c r="BF217" i="2" s="1"/>
  <c r="BF218" i="2" s="1"/>
  <c r="BF219" i="2" s="1"/>
  <c r="BF220" i="2" s="1"/>
  <c r="BF221" i="2" s="1"/>
  <c r="BF222" i="2" s="1"/>
  <c r="BF223" i="2" s="1"/>
  <c r="BF224" i="2" s="1"/>
  <c r="BF225" i="2" s="1"/>
  <c r="BF226" i="2" s="1"/>
  <c r="BF227" i="2" s="1"/>
  <c r="AR422" i="2"/>
  <c r="AR247" i="2"/>
  <c r="AR202" i="2"/>
  <c r="AR68" i="2"/>
  <c r="AM230" i="2"/>
  <c r="AM229" i="2"/>
  <c r="AM232" i="2"/>
  <c r="AM233" i="2"/>
  <c r="AR57" i="2"/>
  <c r="AR67" i="2"/>
  <c r="AM280" i="2"/>
  <c r="AM199" i="2"/>
  <c r="AM190" i="2"/>
  <c r="AM2" i="2"/>
  <c r="AM319" i="2"/>
  <c r="AR60" i="2"/>
  <c r="AR70" i="2"/>
  <c r="AN340" i="2"/>
  <c r="AN235" i="2"/>
  <c r="AN236" i="2"/>
  <c r="AN34" i="2"/>
  <c r="AN237" i="2"/>
  <c r="AR353" i="2"/>
  <c r="AR248" i="2"/>
  <c r="AR444" i="2"/>
  <c r="AR244" i="2"/>
  <c r="AR69" i="2"/>
  <c r="AR59" i="2"/>
  <c r="AR375" i="2"/>
  <c r="AR58" i="2" l="1"/>
  <c r="AR31" i="2"/>
  <c r="BF228" i="2"/>
  <c r="BF229" i="2" s="1"/>
  <c r="AR454" i="2"/>
  <c r="AR456" i="2"/>
  <c r="AR446" i="2"/>
  <c r="AM253" i="2"/>
  <c r="AM252" i="2"/>
  <c r="AM205" i="2"/>
  <c r="AM221" i="2" s="1"/>
  <c r="AR145" i="2"/>
  <c r="AR149" i="2" s="1"/>
  <c r="AR432" i="2"/>
  <c r="AR424" i="2"/>
  <c r="AR434" i="2"/>
  <c r="AR387" i="2"/>
  <c r="AR377" i="2"/>
  <c r="AR385" i="2"/>
  <c r="AN35" i="2"/>
  <c r="AR249" i="2"/>
  <c r="AR214" i="2"/>
  <c r="AS81" i="2"/>
  <c r="AR365" i="2"/>
  <c r="AR363" i="2"/>
  <c r="AR355" i="2"/>
  <c r="AR281" i="2" l="1"/>
  <c r="AR282" i="2" s="1"/>
  <c r="AR66" i="2"/>
  <c r="AR56" i="2"/>
  <c r="BF230" i="2"/>
  <c r="BF231" i="2" s="1"/>
  <c r="BF232" i="2" s="1"/>
  <c r="BF233" i="2" s="1"/>
  <c r="BF234" i="2" s="1"/>
  <c r="BF235" i="2" s="1"/>
  <c r="BF236" i="2" s="1"/>
  <c r="BF237" i="2" s="1"/>
  <c r="BF238" i="2" s="1"/>
  <c r="BF239" i="2" s="1"/>
  <c r="BF240" i="2" s="1"/>
  <c r="BF241" i="2" s="1"/>
  <c r="BF242" i="2" s="1"/>
  <c r="BF243" i="2" s="1"/>
  <c r="BF244" i="2" s="1"/>
  <c r="BF245" i="2" s="1"/>
  <c r="BF246" i="2" s="1"/>
  <c r="BF247" i="2" s="1"/>
  <c r="BF248" i="2" s="1"/>
  <c r="BF249" i="2" s="1"/>
  <c r="BF250" i="2" s="1"/>
  <c r="BF251" i="2" s="1"/>
  <c r="BF252" i="2" s="1"/>
  <c r="BF253" i="2" s="1"/>
  <c r="BF254" i="2" s="1"/>
  <c r="BF255" i="2" s="1"/>
  <c r="BF256" i="2" s="1"/>
  <c r="BF257" i="2" s="1"/>
  <c r="BF258" i="2" s="1"/>
  <c r="BF259" i="2" s="1"/>
  <c r="BF260" i="2" s="1"/>
  <c r="BF261" i="2" s="1"/>
  <c r="BF262" i="2" s="1"/>
  <c r="BF263" i="2" s="1"/>
  <c r="BF264" i="2" s="1"/>
  <c r="BF265" i="2" s="1"/>
  <c r="BF266" i="2" s="1"/>
  <c r="BF267" i="2" s="1"/>
  <c r="BF268" i="2" s="1"/>
  <c r="BF269" i="2" s="1"/>
  <c r="BF270" i="2" s="1"/>
  <c r="BF271" i="2" s="1"/>
  <c r="BF272" i="2" s="1"/>
  <c r="BF273" i="2" s="1"/>
  <c r="BF274" i="2" s="1"/>
  <c r="BF275" i="2" s="1"/>
  <c r="BF276" i="2" s="1"/>
  <c r="BF277" i="2" s="1"/>
  <c r="BF278" i="2" s="1"/>
  <c r="BF279" i="2" s="1"/>
  <c r="BF280" i="2" s="1"/>
  <c r="BF281" i="2" s="1"/>
  <c r="BF282" i="2" s="1"/>
  <c r="BF283" i="2" s="1"/>
  <c r="BF284" i="2" s="1"/>
  <c r="BF285" i="2" s="1"/>
  <c r="BF286" i="2" s="1"/>
  <c r="BF287" i="2" s="1"/>
  <c r="BF288" i="2" s="1"/>
  <c r="BF289" i="2" s="1"/>
  <c r="BF290" i="2" s="1"/>
  <c r="BF291" i="2" s="1"/>
  <c r="BF292" i="2" s="1"/>
  <c r="BF293" i="2" s="1"/>
  <c r="BF294" i="2" s="1"/>
  <c r="BF295" i="2" s="1"/>
  <c r="BF296" i="2" s="1"/>
  <c r="BF297" i="2" s="1"/>
  <c r="BF298" i="2" s="1"/>
  <c r="BF299" i="2" s="1"/>
  <c r="BF300" i="2" s="1"/>
  <c r="BF301" i="2" s="1"/>
  <c r="BF302" i="2" s="1"/>
  <c r="BF303" i="2" s="1"/>
  <c r="BF304" i="2" s="1"/>
  <c r="BF305" i="2" s="1"/>
  <c r="BF306" i="2" s="1"/>
  <c r="BF307" i="2" s="1"/>
  <c r="BF308" i="2" s="1"/>
  <c r="BF309" i="2" s="1"/>
  <c r="BF310" i="2" s="1"/>
  <c r="BF311" i="2" s="1"/>
  <c r="BF312" i="2" s="1"/>
  <c r="BF313" i="2" s="1"/>
  <c r="BF314" i="2" s="1"/>
  <c r="BF315" i="2" s="1"/>
  <c r="BF316" i="2" s="1"/>
  <c r="BF317" i="2" s="1"/>
  <c r="BF318" i="2" s="1"/>
  <c r="BF319" i="2" s="1"/>
  <c r="BF320" i="2" s="1"/>
  <c r="BF321" i="2" s="1"/>
  <c r="BF322" i="2" s="1"/>
  <c r="BF323" i="2" s="1"/>
  <c r="BF324" i="2" s="1"/>
  <c r="BF325" i="2" s="1"/>
  <c r="BF326" i="2" s="1"/>
  <c r="BF327" i="2" s="1"/>
  <c r="BF328" i="2" s="1"/>
  <c r="BF329" i="2" s="1"/>
  <c r="BF330" i="2" s="1"/>
  <c r="BF331" i="2" s="1"/>
  <c r="BF332" i="2" s="1"/>
  <c r="BF333" i="2" s="1"/>
  <c r="BF334" i="2" s="1"/>
  <c r="BF335" i="2" s="1"/>
  <c r="BF336" i="2" s="1"/>
  <c r="BF337" i="2" s="1"/>
  <c r="BF338" i="2" s="1"/>
  <c r="BF339" i="2" s="1"/>
  <c r="BF340" i="2" s="1"/>
  <c r="BF341" i="2" s="1"/>
  <c r="BF342" i="2" s="1"/>
  <c r="BF343" i="2" s="1"/>
  <c r="BF344" i="2" s="1"/>
  <c r="BF345" i="2" s="1"/>
  <c r="BF346" i="2" s="1"/>
  <c r="BF347" i="2" s="1"/>
  <c r="BF348" i="2" s="1"/>
  <c r="BF349" i="2" s="1"/>
  <c r="BF350" i="2" s="1"/>
  <c r="BF351" i="2" s="1"/>
  <c r="BF352" i="2" s="1"/>
  <c r="BF353" i="2" s="1"/>
  <c r="BF354" i="2" s="1"/>
  <c r="BF355" i="2" s="1"/>
  <c r="BF356" i="2" s="1"/>
  <c r="BF357" i="2" s="1"/>
  <c r="BF358" i="2" s="1"/>
  <c r="BF359" i="2" s="1"/>
  <c r="BF360" i="2" s="1"/>
  <c r="BF361" i="2" s="1"/>
  <c r="BF362" i="2" s="1"/>
  <c r="BF363" i="2" s="1"/>
  <c r="BF364" i="2" s="1"/>
  <c r="BF365" i="2" s="1"/>
  <c r="BF366" i="2" s="1"/>
  <c r="BF367" i="2" s="1"/>
  <c r="BF368" i="2" s="1"/>
  <c r="BF369" i="2" s="1"/>
  <c r="BF370" i="2" s="1"/>
  <c r="BF371" i="2" s="1"/>
  <c r="BF372" i="2" s="1"/>
  <c r="BF373" i="2" s="1"/>
  <c r="BF374" i="2" s="1"/>
  <c r="BF375" i="2" s="1"/>
  <c r="BF376" i="2" s="1"/>
  <c r="BF377" i="2" s="1"/>
  <c r="BF378" i="2" s="1"/>
  <c r="BF379" i="2" s="1"/>
  <c r="BF380" i="2" s="1"/>
  <c r="BF381" i="2" s="1"/>
  <c r="BF382" i="2" s="1"/>
  <c r="BF383" i="2" s="1"/>
  <c r="BF384" i="2" s="1"/>
  <c r="BF385" i="2" s="1"/>
  <c r="BF386" i="2" s="1"/>
  <c r="BF387" i="2" s="1"/>
  <c r="BF388" i="2" s="1"/>
  <c r="BF389" i="2" s="1"/>
  <c r="BF390" i="2" s="1"/>
  <c r="BF391" i="2" s="1"/>
  <c r="BF392" i="2" s="1"/>
  <c r="BF393" i="2" s="1"/>
  <c r="BF394" i="2" s="1"/>
  <c r="BF395" i="2" s="1"/>
  <c r="BF396" i="2" s="1"/>
  <c r="BF397" i="2" s="1"/>
  <c r="BF398" i="2" s="1"/>
  <c r="BF399" i="2" s="1"/>
  <c r="BF400" i="2" s="1"/>
  <c r="BF401" i="2" s="1"/>
  <c r="BF402" i="2" s="1"/>
  <c r="BF403" i="2" s="1"/>
  <c r="BF404" i="2" s="1"/>
  <c r="BF405" i="2" s="1"/>
  <c r="BF406" i="2" s="1"/>
  <c r="BF407" i="2" s="1"/>
  <c r="BF408" i="2" s="1"/>
  <c r="BF409" i="2" s="1"/>
  <c r="BF410" i="2" s="1"/>
  <c r="BF411" i="2" s="1"/>
  <c r="BF412" i="2" s="1"/>
  <c r="BF413" i="2" s="1"/>
  <c r="BF414" i="2" s="1"/>
  <c r="BF415" i="2" s="1"/>
  <c r="BF416" i="2" s="1"/>
  <c r="BF417" i="2" s="1"/>
  <c r="BF418" i="2" s="1"/>
  <c r="BF419" i="2" s="1"/>
  <c r="BF420" i="2" s="1"/>
  <c r="BF421" i="2" s="1"/>
  <c r="BF422" i="2" s="1"/>
  <c r="BF423" i="2" s="1"/>
  <c r="BF424" i="2" s="1"/>
  <c r="BF425" i="2" s="1"/>
  <c r="BF426" i="2" s="1"/>
  <c r="BF427" i="2" s="1"/>
  <c r="BF428" i="2" s="1"/>
  <c r="BF429" i="2" s="1"/>
  <c r="BF430" i="2" s="1"/>
  <c r="BF431" i="2" s="1"/>
  <c r="BF432" i="2" s="1"/>
  <c r="BF433" i="2" s="1"/>
  <c r="BF434" i="2" s="1"/>
  <c r="BF435" i="2" s="1"/>
  <c r="BF436" i="2" s="1"/>
  <c r="BF437" i="2" s="1"/>
  <c r="BF438" i="2" s="1"/>
  <c r="BF439" i="2" s="1"/>
  <c r="BF440" i="2" s="1"/>
  <c r="BF441" i="2" s="1"/>
  <c r="BF442" i="2" s="1"/>
  <c r="BF443" i="2" s="1"/>
  <c r="BF444" i="2" s="1"/>
  <c r="BF445" i="2" s="1"/>
  <c r="BF446" i="2" s="1"/>
  <c r="BF447" i="2" s="1"/>
  <c r="BF448" i="2" s="1"/>
  <c r="BF449" i="2" s="1"/>
  <c r="BF450" i="2" s="1"/>
  <c r="BF451" i="2" s="1"/>
  <c r="BF452" i="2" s="1"/>
  <c r="BF453" i="2" s="1"/>
  <c r="BF454" i="2" s="1"/>
  <c r="BF455" i="2" s="1"/>
  <c r="BF456" i="2" s="1"/>
  <c r="BF457" i="2" s="1"/>
  <c r="BF458" i="2" s="1"/>
  <c r="BF459" i="2" s="1"/>
  <c r="BF460" i="2" s="1"/>
  <c r="BF461" i="2" s="1"/>
  <c r="BF462" i="2" s="1"/>
  <c r="BF463" i="2" s="1"/>
  <c r="AR283" i="2"/>
  <c r="AS170" i="2"/>
  <c r="AS146" i="2"/>
  <c r="AS180" i="2"/>
  <c r="J81" i="2"/>
  <c r="AS80" i="2"/>
  <c r="AS79" i="2"/>
  <c r="AS201" i="2"/>
  <c r="AS76" i="2"/>
  <c r="AS78" i="2"/>
  <c r="AN342" i="2"/>
  <c r="AN334" i="2" s="1"/>
  <c r="AN197" i="2"/>
  <c r="AR208" i="2"/>
  <c r="AR196" i="2"/>
  <c r="AR151" i="2"/>
  <c r="AN36" i="2"/>
  <c r="AS77" i="2" l="1"/>
  <c r="AS374" i="2" s="1"/>
  <c r="AS27" i="2"/>
  <c r="J77" i="2"/>
  <c r="AR211" i="2"/>
  <c r="AR177" i="2"/>
  <c r="AS421" i="2"/>
  <c r="AS28" i="2"/>
  <c r="J78" i="2"/>
  <c r="AS30" i="2"/>
  <c r="J80" i="2"/>
  <c r="J146" i="2"/>
  <c r="J82" i="2"/>
  <c r="AS241" i="2"/>
  <c r="AS242" i="2" s="1"/>
  <c r="J170" i="2"/>
  <c r="J241" i="2" s="1"/>
  <c r="J242" i="2" s="1"/>
  <c r="AN273" i="2"/>
  <c r="AN270" i="2"/>
  <c r="AN268" i="2" s="1"/>
  <c r="AN42" i="2" s="1"/>
  <c r="AN40" i="2" s="1"/>
  <c r="AN38" i="2"/>
  <c r="AS248" i="2"/>
  <c r="J201" i="2"/>
  <c r="AN279" i="2"/>
  <c r="AN171" i="2"/>
  <c r="AS352" i="2"/>
  <c r="AS26" i="2"/>
  <c r="J76" i="2"/>
  <c r="AR176" i="2"/>
  <c r="AS443" i="2"/>
  <c r="AS29" i="2"/>
  <c r="J79" i="2"/>
  <c r="AS339" i="2"/>
  <c r="AS245" i="2"/>
  <c r="AS244" i="2"/>
  <c r="AS243" i="2"/>
  <c r="J180" i="2"/>
  <c r="AS200" i="2"/>
  <c r="AS67" i="2" l="1"/>
  <c r="AS57" i="2"/>
  <c r="AS31" i="2"/>
  <c r="J26" i="2"/>
  <c r="AS69" i="2"/>
  <c r="AS59" i="2"/>
  <c r="J28" i="2"/>
  <c r="AS247" i="2"/>
  <c r="AS202" i="2"/>
  <c r="J200" i="2"/>
  <c r="AN292" i="2"/>
  <c r="AN294" i="2" s="1"/>
  <c r="AN286" i="2"/>
  <c r="AN285" i="2"/>
  <c r="AN1" i="2"/>
  <c r="J339" i="2"/>
  <c r="J245" i="2"/>
  <c r="J244" i="2"/>
  <c r="J238" i="2"/>
  <c r="J243" i="2"/>
  <c r="AS70" i="2"/>
  <c r="AS60" i="2"/>
  <c r="J29" i="2"/>
  <c r="AN185" i="2"/>
  <c r="AS353" i="2"/>
  <c r="J352" i="2"/>
  <c r="J353" i="2" s="1"/>
  <c r="AS422" i="2"/>
  <c r="J421" i="2"/>
  <c r="J422" i="2" s="1"/>
  <c r="AS404" i="2"/>
  <c r="AS68" i="2"/>
  <c r="AS58" i="2"/>
  <c r="J27" i="2"/>
  <c r="AS444" i="2"/>
  <c r="J443" i="2"/>
  <c r="J444" i="2" s="1"/>
  <c r="J248" i="2"/>
  <c r="AN272" i="2"/>
  <c r="AN169" i="2"/>
  <c r="AN179" i="2" s="1"/>
  <c r="AN181" i="2" s="1"/>
  <c r="AN41" i="2"/>
  <c r="AS375" i="2"/>
  <c r="J374" i="2"/>
  <c r="J375" i="2" s="1"/>
  <c r="J385" i="2" l="1"/>
  <c r="J377" i="2"/>
  <c r="AS454" i="2"/>
  <c r="AS446" i="2"/>
  <c r="AS456" i="2"/>
  <c r="AS365" i="2"/>
  <c r="AS363" i="2"/>
  <c r="AS355" i="2"/>
  <c r="J57" i="2"/>
  <c r="J67" i="2"/>
  <c r="J247" i="2"/>
  <c r="J202" i="2"/>
  <c r="J69" i="2"/>
  <c r="J59" i="2"/>
  <c r="AS281" i="2"/>
  <c r="AS282" i="2" s="1"/>
  <c r="AS145" i="2"/>
  <c r="AS149" i="2" s="1"/>
  <c r="AS56" i="2"/>
  <c r="AS66" i="2"/>
  <c r="AS387" i="2"/>
  <c r="AS385" i="2"/>
  <c r="AS377" i="2"/>
  <c r="J404" i="2"/>
  <c r="J58" i="2"/>
  <c r="J68" i="2"/>
  <c r="J432" i="2"/>
  <c r="J424" i="2"/>
  <c r="AN461" i="2"/>
  <c r="AN217" i="2"/>
  <c r="J454" i="2"/>
  <c r="J446" i="2"/>
  <c r="AS432" i="2"/>
  <c r="AS424" i="2"/>
  <c r="AS434" i="2"/>
  <c r="J355" i="2"/>
  <c r="J363" i="2"/>
  <c r="J70" i="2"/>
  <c r="J60" i="2"/>
  <c r="AS249" i="2"/>
  <c r="AT249" i="2" s="1"/>
  <c r="AU249" i="2" s="1"/>
  <c r="AV249" i="2" s="1"/>
  <c r="AW249" i="2" s="1"/>
  <c r="AS214" i="2"/>
  <c r="J214" i="2" s="1"/>
  <c r="AT81" i="2"/>
  <c r="J264" i="2" l="1"/>
  <c r="AS208" i="2"/>
  <c r="AS196" i="2"/>
  <c r="AS151" i="2"/>
  <c r="AN219" i="2"/>
  <c r="AN460" i="2"/>
  <c r="J249" i="2"/>
  <c r="AT180" i="2"/>
  <c r="AT170" i="2"/>
  <c r="AT146" i="2"/>
  <c r="AT80" i="2"/>
  <c r="AT79" i="2"/>
  <c r="AT76" i="2"/>
  <c r="AT78" i="2"/>
  <c r="AT201" i="2"/>
  <c r="AS283" i="2"/>
  <c r="AT421" i="2" l="1"/>
  <c r="AT28" i="2"/>
  <c r="AT352" i="2"/>
  <c r="AT26" i="2"/>
  <c r="AT77" i="2"/>
  <c r="AT443" i="2"/>
  <c r="AT29" i="2"/>
  <c r="AT30" i="2"/>
  <c r="AT241" i="2"/>
  <c r="AT242" i="2" s="1"/>
  <c r="J196" i="2"/>
  <c r="AS176" i="2"/>
  <c r="AT339" i="2"/>
  <c r="AT245" i="2"/>
  <c r="AT243" i="2"/>
  <c r="AT200" i="2"/>
  <c r="AN297" i="2"/>
  <c r="AN298" i="2" s="1"/>
  <c r="AN300" i="2" s="1"/>
  <c r="AN309" i="2" s="1"/>
  <c r="AN276" i="2"/>
  <c r="AN275" i="2"/>
  <c r="AN287" i="2"/>
  <c r="AN288" i="2"/>
  <c r="AS211" i="2"/>
  <c r="AS177" i="2"/>
  <c r="J208" i="2"/>
  <c r="J211" i="2" s="1"/>
  <c r="AT244" i="2" l="1"/>
  <c r="AT247" i="2"/>
  <c r="AT202" i="2"/>
  <c r="AT67" i="2"/>
  <c r="AT57" i="2"/>
  <c r="AT69" i="2"/>
  <c r="AT59" i="2"/>
  <c r="AT248" i="2"/>
  <c r="AT444" i="2"/>
  <c r="AN327" i="2"/>
  <c r="AN310" i="2"/>
  <c r="AN318" i="2"/>
  <c r="AT70" i="2"/>
  <c r="AT60" i="2"/>
  <c r="AT374" i="2"/>
  <c r="AT27" i="2"/>
  <c r="AT353" i="2"/>
  <c r="AT422" i="2"/>
  <c r="AN328" i="2" l="1"/>
  <c r="AN313" i="2"/>
  <c r="AN212" i="2" s="1"/>
  <c r="AT214" i="2"/>
  <c r="AU81" i="2"/>
  <c r="AT365" i="2"/>
  <c r="AT363" i="2"/>
  <c r="AT355" i="2"/>
  <c r="AT375" i="2"/>
  <c r="AT446" i="2"/>
  <c r="AT456" i="2"/>
  <c r="AT454" i="2"/>
  <c r="AT434" i="2"/>
  <c r="AT432" i="2"/>
  <c r="AT424" i="2"/>
  <c r="AT404" i="2"/>
  <c r="AT68" i="2"/>
  <c r="AT58" i="2"/>
  <c r="AN330" i="2"/>
  <c r="AN332" i="2" s="1"/>
  <c r="AT31" i="2"/>
  <c r="AT387" i="2" l="1"/>
  <c r="AT377" i="2"/>
  <c r="AT385" i="2"/>
  <c r="AT281" i="2"/>
  <c r="AT282" i="2" s="1"/>
  <c r="AT66" i="2"/>
  <c r="AT145" i="2"/>
  <c r="AT149" i="2" s="1"/>
  <c r="AT56" i="2"/>
  <c r="AU180" i="2"/>
  <c r="AU146" i="2"/>
  <c r="AU170" i="2"/>
  <c r="AU78" i="2"/>
  <c r="AU76" i="2"/>
  <c r="AU79" i="2"/>
  <c r="AU201" i="2"/>
  <c r="AU80" i="2"/>
  <c r="AN226" i="2"/>
  <c r="AN184" i="2"/>
  <c r="AN220" i="2"/>
  <c r="AU443" i="2" l="1"/>
  <c r="AU29" i="2"/>
  <c r="AU30" i="2"/>
  <c r="AU421" i="2"/>
  <c r="AU28" i="2"/>
  <c r="AT283" i="2"/>
  <c r="AU339" i="2"/>
  <c r="AU245" i="2"/>
  <c r="AU243" i="2"/>
  <c r="AU200" i="2"/>
  <c r="AT208" i="2"/>
  <c r="AT151" i="2"/>
  <c r="AT196" i="2"/>
  <c r="AN189" i="2"/>
  <c r="AN194" i="2" s="1"/>
  <c r="AN227" i="2" s="1"/>
  <c r="AU77" i="2"/>
  <c r="AN225" i="2"/>
  <c r="AN228" i="2" s="1"/>
  <c r="AO32" i="2"/>
  <c r="AN311" i="2"/>
  <c r="AU352" i="2"/>
  <c r="AU26" i="2"/>
  <c r="AU241" i="2"/>
  <c r="AU242" i="2" s="1"/>
  <c r="AU353" i="2" l="1"/>
  <c r="AN233" i="2"/>
  <c r="AN232" i="2"/>
  <c r="AN230" i="2"/>
  <c r="AN229" i="2"/>
  <c r="AT177" i="2"/>
  <c r="AT211" i="2"/>
  <c r="AU57" i="2"/>
  <c r="AU67" i="2"/>
  <c r="AU374" i="2"/>
  <c r="AU27" i="2"/>
  <c r="AU31" i="2" s="1"/>
  <c r="AU69" i="2"/>
  <c r="AU59" i="2"/>
  <c r="AU444" i="2"/>
  <c r="AN280" i="2"/>
  <c r="AN199" i="2"/>
  <c r="AN190" i="2"/>
  <c r="AN2" i="2"/>
  <c r="AN319" i="2"/>
  <c r="AU247" i="2"/>
  <c r="AU202" i="2"/>
  <c r="AU244" i="2"/>
  <c r="AU422" i="2"/>
  <c r="AO340" i="2"/>
  <c r="AO235" i="2"/>
  <c r="AO236" i="2"/>
  <c r="AO34" i="2"/>
  <c r="AO237" i="2"/>
  <c r="I32" i="2"/>
  <c r="AT176" i="2"/>
  <c r="AU70" i="2"/>
  <c r="AU60" i="2"/>
  <c r="AU248" i="2"/>
  <c r="AU281" i="2" l="1"/>
  <c r="AU282" i="2" s="1"/>
  <c r="AU145" i="2"/>
  <c r="AU149" i="2" s="1"/>
  <c r="AU66" i="2"/>
  <c r="AU56" i="2"/>
  <c r="AU214" i="2"/>
  <c r="AV81" i="2"/>
  <c r="AO35" i="2"/>
  <c r="AO36" i="2" s="1"/>
  <c r="AU404" i="2"/>
  <c r="AU58" i="2"/>
  <c r="AU68" i="2"/>
  <c r="AU434" i="2"/>
  <c r="AU432" i="2"/>
  <c r="AU424" i="2"/>
  <c r="AU456" i="2"/>
  <c r="AU454" i="2"/>
  <c r="AU446" i="2"/>
  <c r="AU375" i="2"/>
  <c r="I340" i="2"/>
  <c r="I235" i="2"/>
  <c r="I236" i="2"/>
  <c r="I237" i="2"/>
  <c r="I34" i="2"/>
  <c r="AN253" i="2"/>
  <c r="AN252" i="2"/>
  <c r="AN205" i="2"/>
  <c r="AN221" i="2" s="1"/>
  <c r="AU363" i="2"/>
  <c r="AU355" i="2"/>
  <c r="AU365" i="2"/>
  <c r="AU208" i="2" l="1"/>
  <c r="AU196" i="2"/>
  <c r="AU151" i="2"/>
  <c r="AU385" i="2"/>
  <c r="AU377" i="2"/>
  <c r="AU387" i="2"/>
  <c r="AO342" i="2"/>
  <c r="AO334" i="2" s="1"/>
  <c r="I35" i="2"/>
  <c r="I36" i="2" s="1"/>
  <c r="AO197" i="2"/>
  <c r="AV170" i="2"/>
  <c r="AV146" i="2"/>
  <c r="AV180" i="2"/>
  <c r="AV201" i="2"/>
  <c r="AV78" i="2"/>
  <c r="AV79" i="2"/>
  <c r="AV76" i="2"/>
  <c r="AV80" i="2"/>
  <c r="AO273" i="2"/>
  <c r="AO270" i="2"/>
  <c r="AO268" i="2" s="1"/>
  <c r="AO42" i="2" s="1"/>
  <c r="AO40" i="2" s="1"/>
  <c r="AO38" i="2"/>
  <c r="AU283" i="2"/>
  <c r="I197" i="2" l="1"/>
  <c r="AO279" i="2"/>
  <c r="AO171" i="2"/>
  <c r="AU177" i="2"/>
  <c r="AU211" i="2"/>
  <c r="AV30" i="2"/>
  <c r="AV352" i="2"/>
  <c r="AV26" i="2"/>
  <c r="AV241" i="2"/>
  <c r="AV242" i="2" s="1"/>
  <c r="AU176" i="2"/>
  <c r="AO272" i="2"/>
  <c r="AO169" i="2"/>
  <c r="AO41" i="2"/>
  <c r="AO1" i="2"/>
  <c r="AV443" i="2"/>
  <c r="AV29" i="2"/>
  <c r="AV339" i="2"/>
  <c r="AV245" i="2"/>
  <c r="AV243" i="2"/>
  <c r="AV200" i="2"/>
  <c r="AO185" i="2"/>
  <c r="I42" i="2"/>
  <c r="I40" i="2" s="1"/>
  <c r="I273" i="2"/>
  <c r="I38" i="2"/>
  <c r="AV421" i="2"/>
  <c r="AV28" i="2"/>
  <c r="AV77" i="2"/>
  <c r="I342" i="2"/>
  <c r="I334" i="2" s="1"/>
  <c r="I72" i="2"/>
  <c r="AV244" i="2" l="1"/>
  <c r="AV248" i="2"/>
  <c r="AO179" i="2"/>
  <c r="AO181" i="2" s="1"/>
  <c r="AV374" i="2"/>
  <c r="AV27" i="2"/>
  <c r="AV60" i="2"/>
  <c r="AV70" i="2"/>
  <c r="AV69" i="2"/>
  <c r="AV59" i="2"/>
  <c r="I272" i="2"/>
  <c r="I169" i="2"/>
  <c r="I41" i="2"/>
  <c r="I268" i="2"/>
  <c r="I270" i="2" s="1"/>
  <c r="AV444" i="2"/>
  <c r="AV353" i="2"/>
  <c r="AO292" i="2"/>
  <c r="AO285" i="2"/>
  <c r="AO286" i="2"/>
  <c r="AV422" i="2"/>
  <c r="AV247" i="2"/>
  <c r="AV202" i="2"/>
  <c r="I1" i="2"/>
  <c r="AO461" i="2"/>
  <c r="I185" i="2"/>
  <c r="I461" i="2" s="1"/>
  <c r="AO217" i="2"/>
  <c r="I263" i="2"/>
  <c r="I279" i="2"/>
  <c r="AV57" i="2"/>
  <c r="AV31" i="2"/>
  <c r="AV67" i="2"/>
  <c r="AV454" i="2" l="1"/>
  <c r="AV456" i="2"/>
  <c r="AV446" i="2"/>
  <c r="AV281" i="2"/>
  <c r="AV282" i="2" s="1"/>
  <c r="AV145" i="2"/>
  <c r="AV149" i="2" s="1"/>
  <c r="AV56" i="2"/>
  <c r="AV66" i="2"/>
  <c r="AO460" i="2"/>
  <c r="AO219" i="2"/>
  <c r="I217" i="2"/>
  <c r="AV214" i="2"/>
  <c r="AW81" i="2"/>
  <c r="AO294" i="2"/>
  <c r="I292" i="2"/>
  <c r="AV365" i="2"/>
  <c r="AV355" i="2"/>
  <c r="AV363" i="2"/>
  <c r="AV404" i="2"/>
  <c r="AV58" i="2"/>
  <c r="AV68" i="2"/>
  <c r="I285" i="2"/>
  <c r="I286" i="2"/>
  <c r="AV432" i="2"/>
  <c r="AV424" i="2"/>
  <c r="AV434" i="2"/>
  <c r="AV375" i="2"/>
  <c r="AV283" i="2" l="1"/>
  <c r="AW170" i="2"/>
  <c r="AW146" i="2"/>
  <c r="AW180" i="2"/>
  <c r="K81" i="2"/>
  <c r="AW76" i="2"/>
  <c r="AW79" i="2"/>
  <c r="AW80" i="2"/>
  <c r="AW201" i="2"/>
  <c r="AW78" i="2"/>
  <c r="AO297" i="2"/>
  <c r="I297" i="2" s="1"/>
  <c r="AO276" i="2"/>
  <c r="AO275" i="2"/>
  <c r="AO287" i="2"/>
  <c r="AO288" i="2"/>
  <c r="AV385" i="2"/>
  <c r="AV377" i="2"/>
  <c r="AV387" i="2"/>
  <c r="AV208" i="2"/>
  <c r="AV196" i="2"/>
  <c r="AV151" i="2"/>
  <c r="I294" i="2"/>
  <c r="I460" i="2"/>
  <c r="I219" i="2"/>
  <c r="AW77" i="2" l="1"/>
  <c r="AW374" i="2" s="1"/>
  <c r="AO298" i="2"/>
  <c r="AO300" i="2" s="1"/>
  <c r="K77" i="2"/>
  <c r="K146" i="2"/>
  <c r="K82" i="2"/>
  <c r="AW241" i="2"/>
  <c r="AW242" i="2" s="1"/>
  <c r="K170" i="2"/>
  <c r="K241" i="2" s="1"/>
  <c r="K242" i="2" s="1"/>
  <c r="AW421" i="2"/>
  <c r="AW28" i="2"/>
  <c r="K78" i="2"/>
  <c r="AV176" i="2"/>
  <c r="K201" i="2"/>
  <c r="I276" i="2"/>
  <c r="I275" i="2"/>
  <c r="I287" i="2"/>
  <c r="I288" i="2"/>
  <c r="AV211" i="2"/>
  <c r="AV177" i="2"/>
  <c r="AW30" i="2"/>
  <c r="K80" i="2"/>
  <c r="AW352" i="2"/>
  <c r="AW26" i="2"/>
  <c r="K76" i="2"/>
  <c r="AW443" i="2"/>
  <c r="AW29" i="2"/>
  <c r="K79" i="2"/>
  <c r="AW339" i="2"/>
  <c r="AW245" i="2"/>
  <c r="AW244" i="2"/>
  <c r="AW243" i="2"/>
  <c r="K180" i="2"/>
  <c r="AW200" i="2"/>
  <c r="AW248" i="2" l="1"/>
  <c r="AW27" i="2"/>
  <c r="I298" i="2"/>
  <c r="AW67" i="2"/>
  <c r="AW57" i="2"/>
  <c r="AW31" i="2"/>
  <c r="K26" i="2"/>
  <c r="AO309" i="2"/>
  <c r="I300" i="2"/>
  <c r="AW422" i="2"/>
  <c r="K421" i="2"/>
  <c r="K422" i="2" s="1"/>
  <c r="AW247" i="2"/>
  <c r="AW202" i="2"/>
  <c r="K200" i="2"/>
  <c r="AW70" i="2"/>
  <c r="AW60" i="2"/>
  <c r="K29" i="2"/>
  <c r="AW353" i="2"/>
  <c r="K352" i="2"/>
  <c r="K353" i="2" s="1"/>
  <c r="AW404" i="2"/>
  <c r="AW68" i="2"/>
  <c r="AW58" i="2"/>
  <c r="K27" i="2"/>
  <c r="K339" i="2"/>
  <c r="K244" i="2"/>
  <c r="K238" i="2"/>
  <c r="K243" i="2"/>
  <c r="K245" i="2"/>
  <c r="AW444" i="2"/>
  <c r="K443" i="2"/>
  <c r="K444" i="2" s="1"/>
  <c r="J30" i="2"/>
  <c r="J31" i="2" s="1"/>
  <c r="K30" i="2"/>
  <c r="K248" i="2"/>
  <c r="AW69" i="2"/>
  <c r="AW59" i="2"/>
  <c r="K28" i="2"/>
  <c r="AW375" i="2"/>
  <c r="K374" i="2"/>
  <c r="K375" i="2" s="1"/>
  <c r="AW456" i="2" l="1"/>
  <c r="AW454" i="2"/>
  <c r="AW446" i="2"/>
  <c r="K57" i="2"/>
  <c r="K31" i="2"/>
  <c r="K67" i="2"/>
  <c r="K432" i="2"/>
  <c r="K424" i="2"/>
  <c r="AW365" i="2"/>
  <c r="AW363" i="2"/>
  <c r="AW355" i="2"/>
  <c r="K202" i="2"/>
  <c r="K247" i="2"/>
  <c r="AW432" i="2"/>
  <c r="AW434" i="2"/>
  <c r="AW424" i="2"/>
  <c r="AW281" i="2"/>
  <c r="AW282" i="2" s="1"/>
  <c r="AW145" i="2"/>
  <c r="AW149" i="2" s="1"/>
  <c r="AW56" i="2"/>
  <c r="AW66" i="2"/>
  <c r="K404" i="2"/>
  <c r="K68" i="2"/>
  <c r="K58" i="2"/>
  <c r="K385" i="2"/>
  <c r="K377" i="2"/>
  <c r="K60" i="2"/>
  <c r="K70" i="2"/>
  <c r="AW214" i="2"/>
  <c r="K214" i="2" s="1"/>
  <c r="K264" i="2" s="1"/>
  <c r="K69" i="2"/>
  <c r="K59" i="2"/>
  <c r="K363" i="2"/>
  <c r="K355" i="2"/>
  <c r="J281" i="2"/>
  <c r="J282" i="2" s="1"/>
  <c r="J145" i="2"/>
  <c r="J149" i="2" s="1"/>
  <c r="J66" i="2"/>
  <c r="J56" i="2"/>
  <c r="AW387" i="2"/>
  <c r="AW377" i="2"/>
  <c r="AW385" i="2"/>
  <c r="K454" i="2"/>
  <c r="K446" i="2"/>
  <c r="AO327" i="2"/>
  <c r="AO310" i="2"/>
  <c r="I309" i="2"/>
  <c r="I327" i="2" s="1"/>
  <c r="AO318" i="2"/>
  <c r="J283" i="2" l="1"/>
  <c r="K249" i="2"/>
  <c r="AO328" i="2"/>
  <c r="AO313" i="2"/>
  <c r="I310" i="2"/>
  <c r="I328" i="2" s="1"/>
  <c r="AW208" i="2"/>
  <c r="AW196" i="2"/>
  <c r="AW151" i="2"/>
  <c r="J256" i="2"/>
  <c r="J257" i="2" s="1"/>
  <c r="J151" i="2"/>
  <c r="J258" i="2"/>
  <c r="J259" i="2" s="1"/>
  <c r="AO330" i="2"/>
  <c r="I318" i="2"/>
  <c r="AW283" i="2"/>
  <c r="K281" i="2"/>
  <c r="K282" i="2" s="1"/>
  <c r="K145" i="2"/>
  <c r="K149" i="2" s="1"/>
  <c r="K56" i="2"/>
  <c r="K66" i="2"/>
  <c r="J260" i="2" l="1"/>
  <c r="AW211" i="2"/>
  <c r="AW177" i="2"/>
  <c r="K208" i="2"/>
  <c r="K211" i="2" s="1"/>
  <c r="K283" i="2"/>
  <c r="AO332" i="2"/>
  <c r="I332" i="2" s="1"/>
  <c r="I330" i="2"/>
  <c r="AO212" i="2"/>
  <c r="I313" i="2"/>
  <c r="K151" i="2"/>
  <c r="K196" i="2"/>
  <c r="K256" i="2" s="1"/>
  <c r="K257" i="2" s="1"/>
  <c r="AW176" i="2"/>
  <c r="K258" i="2" l="1"/>
  <c r="K259" i="2" s="1"/>
  <c r="K260" i="2" s="1"/>
  <c r="I176" i="2"/>
  <c r="J176" i="2"/>
  <c r="K176" i="2"/>
  <c r="AO226" i="2"/>
  <c r="AO184" i="2"/>
  <c r="I212" i="2"/>
  <c r="AO220" i="2"/>
  <c r="I177" i="2"/>
  <c r="J177" i="2"/>
  <c r="K177" i="2"/>
  <c r="AO225" i="2" l="1"/>
  <c r="AO228" i="2" s="1"/>
  <c r="AP32" i="2"/>
  <c r="AO311" i="2"/>
  <c r="I226" i="2"/>
  <c r="I220" i="2"/>
  <c r="AO189" i="2"/>
  <c r="AO194" i="2" s="1"/>
  <c r="I184" i="2"/>
  <c r="AP340" i="2" l="1"/>
  <c r="AP235" i="2"/>
  <c r="AP236" i="2"/>
  <c r="AP34" i="2"/>
  <c r="AP237" i="2"/>
  <c r="I225" i="2"/>
  <c r="I228" i="2" s="1"/>
  <c r="I71" i="2"/>
  <c r="AO280" i="2"/>
  <c r="AO190" i="2"/>
  <c r="AO199" i="2"/>
  <c r="AO2" i="2"/>
  <c r="I194" i="2"/>
  <c r="AO319" i="2"/>
  <c r="I319" i="2" s="1"/>
  <c r="AO227" i="2"/>
  <c r="I280" i="2" l="1"/>
  <c r="I199" i="2"/>
  <c r="I2" i="2"/>
  <c r="AO233" i="2"/>
  <c r="AO232" i="2"/>
  <c r="AO230" i="2"/>
  <c r="AO229" i="2"/>
  <c r="AO253" i="2"/>
  <c r="AO252" i="2"/>
  <c r="AO205" i="2"/>
  <c r="AO221" i="2" s="1"/>
  <c r="I227" i="2"/>
  <c r="AP35" i="2"/>
  <c r="AP342" i="2" l="1"/>
  <c r="AP334" i="2" s="1"/>
  <c r="AP197" i="2"/>
  <c r="I230" i="2"/>
  <c r="I229" i="2"/>
  <c r="I232" i="2"/>
  <c r="I233" i="2"/>
  <c r="AP36" i="2"/>
  <c r="I253" i="2"/>
  <c r="I252" i="2"/>
  <c r="I205" i="2"/>
  <c r="I221" i="2" s="1"/>
  <c r="AP273" i="2" l="1"/>
  <c r="AP270" i="2"/>
  <c r="AP268" i="2" s="1"/>
  <c r="AP42" i="2" s="1"/>
  <c r="AP40" i="2" s="1"/>
  <c r="AP38" i="2"/>
  <c r="AP279" i="2"/>
  <c r="AP171" i="2"/>
  <c r="AP1" i="2" l="1"/>
  <c r="AP292" i="2"/>
  <c r="AP294" i="2" s="1"/>
  <c r="AP285" i="2"/>
  <c r="AP286" i="2"/>
  <c r="AP185" i="2"/>
  <c r="AP272" i="2"/>
  <c r="AP41" i="2"/>
  <c r="AP169" i="2"/>
  <c r="AP179" i="2" s="1"/>
  <c r="AP181" i="2" s="1"/>
  <c r="AP461" i="2" l="1"/>
  <c r="AP217" i="2"/>
  <c r="AP219" i="2" l="1"/>
  <c r="AP460" i="2"/>
  <c r="AP276" i="2" l="1"/>
  <c r="AP275" i="2"/>
  <c r="AP297" i="2"/>
  <c r="AP298" i="2" s="1"/>
  <c r="AP300" i="2" s="1"/>
  <c r="AP309" i="2" s="1"/>
  <c r="AP287" i="2"/>
  <c r="AP288" i="2"/>
  <c r="AP327" i="2" l="1"/>
  <c r="AP310" i="2"/>
  <c r="AP318" i="2"/>
  <c r="AP313" i="2" l="1"/>
  <c r="AP212" i="2" s="1"/>
  <c r="AP328" i="2"/>
  <c r="AP330" i="2"/>
  <c r="AP332" i="2" s="1"/>
  <c r="AP226" i="2" l="1"/>
  <c r="AP184" i="2"/>
  <c r="AP220" i="2"/>
  <c r="AP189" i="2" l="1"/>
  <c r="AP194" i="2" s="1"/>
  <c r="AP227" i="2" s="1"/>
  <c r="AP225" i="2"/>
  <c r="AP228" i="2" s="1"/>
  <c r="AQ32" i="2"/>
  <c r="AP311" i="2"/>
  <c r="AQ340" i="2" l="1"/>
  <c r="AQ235" i="2"/>
  <c r="AQ236" i="2"/>
  <c r="AQ237" i="2"/>
  <c r="AQ34" i="2"/>
  <c r="AP230" i="2"/>
  <c r="AP229" i="2"/>
  <c r="AP233" i="2"/>
  <c r="AP232" i="2"/>
  <c r="AP280" i="2"/>
  <c r="AP190" i="2"/>
  <c r="AP2" i="2"/>
  <c r="AP199" i="2"/>
  <c r="AP319" i="2"/>
  <c r="AP253" i="2" l="1"/>
  <c r="AP252" i="2"/>
  <c r="AP205" i="2"/>
  <c r="AP221" i="2" s="1"/>
  <c r="AQ35" i="2"/>
  <c r="AQ36" i="2" s="1"/>
  <c r="AQ273" i="2" l="1"/>
  <c r="AQ270" i="2"/>
  <c r="AQ268" i="2" s="1"/>
  <c r="AQ42" i="2" s="1"/>
  <c r="AQ40" i="2" s="1"/>
  <c r="AQ38" i="2"/>
  <c r="AQ342" i="2"/>
  <c r="AQ334" i="2" s="1"/>
  <c r="AQ197" i="2"/>
  <c r="AQ1" i="2" l="1"/>
  <c r="AQ185" i="2"/>
  <c r="AQ279" i="2"/>
  <c r="AQ171" i="2"/>
  <c r="AQ272" i="2"/>
  <c r="AQ169" i="2"/>
  <c r="AQ41" i="2"/>
  <c r="AQ292" i="2" l="1"/>
  <c r="AQ294" i="2" s="1"/>
  <c r="AQ286" i="2"/>
  <c r="AQ285" i="2"/>
  <c r="AQ461" i="2"/>
  <c r="AQ217" i="2"/>
  <c r="AQ179" i="2"/>
  <c r="AQ181" i="2" s="1"/>
  <c r="AQ460" i="2" l="1"/>
  <c r="AQ219" i="2"/>
  <c r="AQ276" i="2" l="1"/>
  <c r="AQ275" i="2"/>
  <c r="AQ297" i="2"/>
  <c r="AQ298" i="2" s="1"/>
  <c r="AQ300" i="2" s="1"/>
  <c r="AQ309" i="2" s="1"/>
  <c r="AQ287" i="2"/>
  <c r="AQ288" i="2"/>
  <c r="AQ327" i="2" l="1"/>
  <c r="AQ310" i="2"/>
  <c r="AQ318" i="2"/>
  <c r="AQ330" i="2" l="1"/>
  <c r="AQ332" i="2" s="1"/>
  <c r="AQ328" i="2"/>
  <c r="AQ313" i="2"/>
  <c r="AQ212" i="2" s="1"/>
  <c r="AQ226" i="2" l="1"/>
  <c r="AQ184" i="2"/>
  <c r="AQ220" i="2"/>
  <c r="AQ189" i="2" l="1"/>
  <c r="AQ194" i="2" s="1"/>
  <c r="AQ227" i="2" s="1"/>
  <c r="AQ225" i="2"/>
  <c r="AQ228" i="2" s="1"/>
  <c r="AR32" i="2"/>
  <c r="AQ311" i="2"/>
  <c r="AR340" i="2" l="1"/>
  <c r="AR235" i="2"/>
  <c r="AR236" i="2"/>
  <c r="AR237" i="2"/>
  <c r="AR34" i="2"/>
  <c r="AQ230" i="2"/>
  <c r="AQ229" i="2"/>
  <c r="AQ232" i="2"/>
  <c r="AQ233" i="2"/>
  <c r="AQ280" i="2"/>
  <c r="AQ199" i="2"/>
  <c r="AQ190" i="2"/>
  <c r="AQ2" i="2"/>
  <c r="AQ319" i="2"/>
  <c r="AQ253" i="2" l="1"/>
  <c r="AQ252" i="2"/>
  <c r="AQ205" i="2"/>
  <c r="AQ221" i="2" s="1"/>
  <c r="AR35" i="2"/>
  <c r="AR36" i="2" s="1"/>
  <c r="AR273" i="2" l="1"/>
  <c r="AR270" i="2"/>
  <c r="AR268" i="2" s="1"/>
  <c r="AR42" i="2" s="1"/>
  <c r="AR40" i="2" s="1"/>
  <c r="AR38" i="2"/>
  <c r="AR342" i="2"/>
  <c r="AR334" i="2" s="1"/>
  <c r="AR197" i="2"/>
  <c r="AR1" i="2" l="1"/>
  <c r="AR185" i="2"/>
  <c r="AR279" i="2"/>
  <c r="AR171" i="2"/>
  <c r="AR272" i="2"/>
  <c r="AR169" i="2"/>
  <c r="AR41" i="2"/>
  <c r="AR179" i="2" l="1"/>
  <c r="AR181" i="2" s="1"/>
  <c r="AR461" i="2"/>
  <c r="AR217" i="2"/>
  <c r="AR292" i="2"/>
  <c r="AR294" i="2" s="1"/>
  <c r="AR285" i="2"/>
  <c r="AR286" i="2"/>
  <c r="AR460" i="2" l="1"/>
  <c r="AR219" i="2"/>
  <c r="AR297" i="2" l="1"/>
  <c r="AR298" i="2" s="1"/>
  <c r="AR300" i="2" s="1"/>
  <c r="AR309" i="2" s="1"/>
  <c r="AR276" i="2"/>
  <c r="AR275" i="2"/>
  <c r="AR287" i="2"/>
  <c r="AR288" i="2"/>
  <c r="AR327" i="2" l="1"/>
  <c r="AR310" i="2"/>
  <c r="AR318" i="2"/>
  <c r="AR328" i="2" l="1"/>
  <c r="AR313" i="2"/>
  <c r="AR212" i="2" s="1"/>
  <c r="AR330" i="2"/>
  <c r="AR332" i="2" s="1"/>
  <c r="AR226" i="2" l="1"/>
  <c r="AR184" i="2"/>
  <c r="AR220" i="2"/>
  <c r="AR189" i="2" l="1"/>
  <c r="AR194" i="2" s="1"/>
  <c r="AR227" i="2" s="1"/>
  <c r="AR225" i="2"/>
  <c r="AR228" i="2" s="1"/>
  <c r="AS32" i="2"/>
  <c r="AR311" i="2"/>
  <c r="AS340" i="2" l="1"/>
  <c r="AS235" i="2"/>
  <c r="AS236" i="2"/>
  <c r="AS237" i="2"/>
  <c r="AS34" i="2"/>
  <c r="J32" i="2"/>
  <c r="AR233" i="2"/>
  <c r="AR232" i="2"/>
  <c r="AR230" i="2"/>
  <c r="AR229" i="2"/>
  <c r="AR280" i="2"/>
  <c r="AR199" i="2"/>
  <c r="AR190" i="2"/>
  <c r="AR2" i="2"/>
  <c r="AR319" i="2"/>
  <c r="J340" i="2" l="1"/>
  <c r="J235" i="2"/>
  <c r="J236" i="2"/>
  <c r="J237" i="2"/>
  <c r="J34" i="2"/>
  <c r="AR253" i="2"/>
  <c r="AR252" i="2"/>
  <c r="AR205" i="2"/>
  <c r="AR221" i="2" s="1"/>
  <c r="AS35" i="2"/>
  <c r="AS342" i="2" l="1"/>
  <c r="AS334" i="2" s="1"/>
  <c r="J35" i="2"/>
  <c r="AS197" i="2"/>
  <c r="AS36" i="2"/>
  <c r="AS273" i="2" l="1"/>
  <c r="AS270" i="2"/>
  <c r="AS268" i="2" s="1"/>
  <c r="AS42" i="2" s="1"/>
  <c r="AS40" i="2" s="1"/>
  <c r="AS38" i="2"/>
  <c r="J197" i="2"/>
  <c r="AS279" i="2"/>
  <c r="AS171" i="2"/>
  <c r="J342" i="2"/>
  <c r="J334" i="2" s="1"/>
  <c r="J72" i="2"/>
  <c r="J36" i="2"/>
  <c r="AS1" i="2" l="1"/>
  <c r="J263" i="2"/>
  <c r="J279" i="2"/>
  <c r="AS185" i="2"/>
  <c r="J42" i="2"/>
  <c r="J273" i="2"/>
  <c r="J38" i="2"/>
  <c r="AS292" i="2"/>
  <c r="AS285" i="2"/>
  <c r="AS286" i="2"/>
  <c r="AS272" i="2"/>
  <c r="AS169" i="2"/>
  <c r="AS179" i="2" s="1"/>
  <c r="AS181" i="2" s="1"/>
  <c r="AS41" i="2"/>
  <c r="AS294" i="2" l="1"/>
  <c r="J292" i="2"/>
  <c r="J285" i="2"/>
  <c r="J286" i="2"/>
  <c r="J268" i="2"/>
  <c r="J270" i="2" s="1"/>
  <c r="J40" i="2"/>
  <c r="J272" i="2"/>
  <c r="J169" i="2"/>
  <c r="J41" i="2"/>
  <c r="AS461" i="2"/>
  <c r="J185" i="2"/>
  <c r="J461" i="2" s="1"/>
  <c r="AS217" i="2"/>
  <c r="J1" i="2" l="1"/>
  <c r="J217" i="2"/>
  <c r="AS460" i="2"/>
  <c r="AS219" i="2"/>
  <c r="J294" i="2"/>
  <c r="AS297" i="2" l="1"/>
  <c r="AS276" i="2"/>
  <c r="AS275" i="2"/>
  <c r="AS287" i="2"/>
  <c r="AS288" i="2"/>
  <c r="J219" i="2"/>
  <c r="J460" i="2"/>
  <c r="J275" i="2" l="1"/>
  <c r="J276" i="2"/>
  <c r="J287" i="2"/>
  <c r="J288" i="2"/>
  <c r="J297" i="2"/>
  <c r="AS298" i="2"/>
  <c r="AS300" i="2" l="1"/>
  <c r="J298" i="2"/>
  <c r="AS309" i="2" l="1"/>
  <c r="J300" i="2"/>
  <c r="AS327" i="2" l="1"/>
  <c r="J309" i="2"/>
  <c r="J327" i="2" s="1"/>
  <c r="AS310" i="2"/>
  <c r="AS318" i="2"/>
  <c r="AS330" i="2" l="1"/>
  <c r="J318" i="2"/>
  <c r="AS328" i="2"/>
  <c r="AS313" i="2"/>
  <c r="J310" i="2"/>
  <c r="J328" i="2" s="1"/>
  <c r="AS332" i="2" l="1"/>
  <c r="J332" i="2" s="1"/>
  <c r="J330" i="2"/>
  <c r="AS212" i="2"/>
  <c r="J313" i="2"/>
  <c r="AS226" i="2" l="1"/>
  <c r="AS184" i="2"/>
  <c r="J212" i="2"/>
  <c r="AS220" i="2"/>
  <c r="J226" i="2" l="1"/>
  <c r="J220" i="2"/>
  <c r="AS189" i="2"/>
  <c r="AS194" i="2" s="1"/>
  <c r="J184" i="2"/>
  <c r="AS225" i="2"/>
  <c r="AS228" i="2" s="1"/>
  <c r="AT32" i="2"/>
  <c r="AS311" i="2"/>
  <c r="AS280" i="2" l="1"/>
  <c r="AS190" i="2"/>
  <c r="AS199" i="2"/>
  <c r="AS2" i="2"/>
  <c r="J194" i="2"/>
  <c r="J227" i="2" s="1"/>
  <c r="AS319" i="2"/>
  <c r="J319" i="2" s="1"/>
  <c r="AT340" i="2"/>
  <c r="AT235" i="2"/>
  <c r="AT236" i="2"/>
  <c r="AT237" i="2"/>
  <c r="AT34" i="2"/>
  <c r="AS227" i="2"/>
  <c r="J225" i="2"/>
  <c r="J228" i="2" s="1"/>
  <c r="J71" i="2"/>
  <c r="AS253" i="2" l="1"/>
  <c r="AS252" i="2"/>
  <c r="AS205" i="2"/>
  <c r="AS221" i="2" s="1"/>
  <c r="AS233" i="2"/>
  <c r="AS232" i="2"/>
  <c r="AS230" i="2"/>
  <c r="AS229" i="2"/>
  <c r="J229" i="2"/>
  <c r="J233" i="2"/>
  <c r="J230" i="2"/>
  <c r="J232" i="2"/>
  <c r="J280" i="2"/>
  <c r="J199" i="2"/>
  <c r="J2" i="2"/>
  <c r="AT35" i="2"/>
  <c r="AT36" i="2" s="1"/>
  <c r="AT273" i="2" l="1"/>
  <c r="AT270" i="2"/>
  <c r="AT268" i="2" s="1"/>
  <c r="AT42" i="2" s="1"/>
  <c r="AT40" i="2" s="1"/>
  <c r="AT38" i="2"/>
  <c r="AT342" i="2"/>
  <c r="AT334" i="2" s="1"/>
  <c r="AT197" i="2"/>
  <c r="J252" i="2"/>
  <c r="J253" i="2"/>
  <c r="J205" i="2"/>
  <c r="J221" i="2" s="1"/>
  <c r="AT1" i="2" l="1"/>
  <c r="AT279" i="2"/>
  <c r="AT171" i="2"/>
  <c r="AT185" i="2"/>
  <c r="AT272" i="2"/>
  <c r="AT169" i="2"/>
  <c r="AT41" i="2"/>
  <c r="AT179" i="2" l="1"/>
  <c r="AT181" i="2" s="1"/>
  <c r="AT461" i="2"/>
  <c r="AT217" i="2"/>
  <c r="AT292" i="2"/>
  <c r="AT294" i="2" s="1"/>
  <c r="AT285" i="2"/>
  <c r="AT286" i="2"/>
  <c r="AT460" i="2" l="1"/>
  <c r="AT219" i="2"/>
  <c r="AT297" i="2" l="1"/>
  <c r="AT298" i="2" s="1"/>
  <c r="AT300" i="2" s="1"/>
  <c r="AT309" i="2" s="1"/>
  <c r="AT276" i="2"/>
  <c r="AT275" i="2"/>
  <c r="AT287" i="2"/>
  <c r="AT288" i="2"/>
  <c r="AT327" i="2" l="1"/>
  <c r="AT310" i="2"/>
  <c r="AT318" i="2"/>
  <c r="AT313" i="2" l="1"/>
  <c r="AT212" i="2" s="1"/>
  <c r="AT328" i="2"/>
  <c r="AT330" i="2"/>
  <c r="AT332" i="2" s="1"/>
  <c r="AT226" i="2" l="1"/>
  <c r="AT184" i="2"/>
  <c r="AT220" i="2"/>
  <c r="AT189" i="2" l="1"/>
  <c r="AT194" i="2" s="1"/>
  <c r="AT225" i="2"/>
  <c r="AT228" i="2" s="1"/>
  <c r="AU32" i="2"/>
  <c r="AT311" i="2"/>
  <c r="AU340" i="2" l="1"/>
  <c r="AU235" i="2"/>
  <c r="AU236" i="2"/>
  <c r="AU237" i="2"/>
  <c r="AU34" i="2"/>
  <c r="AT280" i="2"/>
  <c r="AT190" i="2"/>
  <c r="AT199" i="2"/>
  <c r="AT2" i="2"/>
  <c r="AT319" i="2"/>
  <c r="AT227" i="2"/>
  <c r="AT253" i="2" l="1"/>
  <c r="AT252" i="2"/>
  <c r="AT205" i="2"/>
  <c r="AT221" i="2" s="1"/>
  <c r="AT230" i="2"/>
  <c r="AT229" i="2"/>
  <c r="AT233" i="2"/>
  <c r="AT232" i="2"/>
  <c r="AU35" i="2"/>
  <c r="AU342" i="2" l="1"/>
  <c r="AU334" i="2" s="1"/>
  <c r="AU197" i="2"/>
  <c r="AU36" i="2"/>
  <c r="AU273" i="2" l="1"/>
  <c r="AU270" i="2"/>
  <c r="AU268" i="2" s="1"/>
  <c r="AU42" i="2" s="1"/>
  <c r="AU40" i="2" s="1"/>
  <c r="AU1" i="2" s="1"/>
  <c r="AU38" i="2"/>
  <c r="AU279" i="2"/>
  <c r="AU171" i="2"/>
  <c r="AU292" i="2" l="1"/>
  <c r="AU294" i="2" s="1"/>
  <c r="AU285" i="2"/>
  <c r="AU286" i="2"/>
  <c r="AU185" i="2"/>
  <c r="AU272" i="2"/>
  <c r="AU169" i="2"/>
  <c r="AU179" i="2" s="1"/>
  <c r="AU181" i="2" s="1"/>
  <c r="AU41" i="2"/>
  <c r="AU461" i="2" l="1"/>
  <c r="AU217" i="2"/>
  <c r="AU460" i="2" l="1"/>
  <c r="AU219" i="2"/>
  <c r="AU276" i="2" l="1"/>
  <c r="AU275" i="2"/>
  <c r="AU297" i="2"/>
  <c r="AU298" i="2" s="1"/>
  <c r="AU300" i="2" s="1"/>
  <c r="AU309" i="2" s="1"/>
  <c r="AU287" i="2"/>
  <c r="AU288" i="2"/>
  <c r="AU327" i="2" l="1"/>
  <c r="AU310" i="2"/>
  <c r="AU318" i="2"/>
  <c r="AU330" i="2" l="1"/>
  <c r="AU332" i="2" s="1"/>
  <c r="AU328" i="2"/>
  <c r="AU313" i="2"/>
  <c r="AU212" i="2" s="1"/>
  <c r="AU226" i="2" l="1"/>
  <c r="AU184" i="2"/>
  <c r="AU220" i="2"/>
  <c r="AU189" i="2" l="1"/>
  <c r="AU194" i="2" s="1"/>
  <c r="AU227" i="2" s="1"/>
  <c r="AU225" i="2"/>
  <c r="AU228" i="2" s="1"/>
  <c r="AV32" i="2"/>
  <c r="AU311" i="2"/>
  <c r="AV340" i="2" l="1"/>
  <c r="AV235" i="2"/>
  <c r="AV236" i="2"/>
  <c r="AV237" i="2"/>
  <c r="AV34" i="2"/>
  <c r="AU230" i="2"/>
  <c r="AU229" i="2"/>
  <c r="AU233" i="2"/>
  <c r="AU232" i="2"/>
  <c r="AU280" i="2"/>
  <c r="AU199" i="2"/>
  <c r="AU190" i="2"/>
  <c r="AU2" i="2"/>
  <c r="AU319" i="2"/>
  <c r="AU253" i="2" l="1"/>
  <c r="AU252" i="2"/>
  <c r="AU205" i="2"/>
  <c r="AU221" i="2" s="1"/>
  <c r="AV35" i="2"/>
  <c r="AV36" i="2" s="1"/>
  <c r="AV273" i="2" l="1"/>
  <c r="AV270" i="2"/>
  <c r="AV268" i="2" s="1"/>
  <c r="AV42" i="2" s="1"/>
  <c r="AV40" i="2" s="1"/>
  <c r="AV1" i="2" s="1"/>
  <c r="AV38" i="2"/>
  <c r="AV342" i="2"/>
  <c r="AV334" i="2" s="1"/>
  <c r="AV197" i="2"/>
  <c r="AV279" i="2" l="1"/>
  <c r="AV171" i="2"/>
  <c r="AV185" i="2"/>
  <c r="AV272" i="2"/>
  <c r="AV169" i="2"/>
  <c r="AV41" i="2"/>
  <c r="AV179" i="2" l="1"/>
  <c r="AV181" i="2" s="1"/>
  <c r="AV292" i="2"/>
  <c r="AV294" i="2" s="1"/>
  <c r="AV285" i="2"/>
  <c r="AV286" i="2"/>
  <c r="AV461" i="2"/>
  <c r="AV217" i="2"/>
  <c r="AV460" i="2" l="1"/>
  <c r="AV219" i="2"/>
  <c r="AV297" i="2" l="1"/>
  <c r="AV298" i="2" s="1"/>
  <c r="AV300" i="2" s="1"/>
  <c r="AV309" i="2" s="1"/>
  <c r="AV276" i="2"/>
  <c r="AV275" i="2"/>
  <c r="AV287" i="2"/>
  <c r="AV288" i="2"/>
  <c r="AV327" i="2" l="1"/>
  <c r="AV310" i="2"/>
  <c r="AV318" i="2"/>
  <c r="AV330" i="2" l="1"/>
  <c r="AV332" i="2" s="1"/>
  <c r="AV328" i="2"/>
  <c r="AV313" i="2"/>
  <c r="AV212" i="2" s="1"/>
  <c r="AV226" i="2" l="1"/>
  <c r="AV184" i="2"/>
  <c r="AV220" i="2"/>
  <c r="AV189" i="2" l="1"/>
  <c r="AV194" i="2" s="1"/>
  <c r="AV227" i="2" s="1"/>
  <c r="AV225" i="2"/>
  <c r="AV228" i="2" s="1"/>
  <c r="AW32" i="2"/>
  <c r="AV311" i="2"/>
  <c r="AV233" i="2" l="1"/>
  <c r="AV232" i="2"/>
  <c r="AV230" i="2"/>
  <c r="AV229" i="2"/>
  <c r="AW340" i="2"/>
  <c r="AW235" i="2"/>
  <c r="AW236" i="2"/>
  <c r="AW34" i="2"/>
  <c r="AW237" i="2"/>
  <c r="K32" i="2"/>
  <c r="AV280" i="2"/>
  <c r="AV199" i="2"/>
  <c r="AV190" i="2"/>
  <c r="AV2" i="2"/>
  <c r="AV319" i="2"/>
  <c r="AV253" i="2" l="1"/>
  <c r="AV252" i="2"/>
  <c r="AV205" i="2"/>
  <c r="AV221" i="2" s="1"/>
  <c r="AW35" i="2"/>
  <c r="AW36" i="2" s="1"/>
  <c r="K340" i="2"/>
  <c r="K235" i="2"/>
  <c r="K236" i="2"/>
  <c r="K237" i="2"/>
  <c r="K34" i="2"/>
  <c r="AW273" i="2" l="1"/>
  <c r="AW270" i="2"/>
  <c r="AW268" i="2" s="1"/>
  <c r="AW42" i="2" s="1"/>
  <c r="AW38" i="2"/>
  <c r="AW342" i="2"/>
  <c r="AW334" i="2" s="1"/>
  <c r="K35" i="2"/>
  <c r="AW197" i="2"/>
  <c r="AW185" i="2" l="1"/>
  <c r="K42" i="2"/>
  <c r="K268" i="2" s="1"/>
  <c r="K270" i="2" s="1"/>
  <c r="K197" i="2"/>
  <c r="AW279" i="2"/>
  <c r="AW171" i="2"/>
  <c r="AW40" i="2"/>
  <c r="AW1" i="2" s="1"/>
  <c r="K342" i="2"/>
  <c r="K334" i="2" s="1"/>
  <c r="K72" i="2"/>
  <c r="AW272" i="2"/>
  <c r="AW169" i="2"/>
  <c r="AW41" i="2"/>
  <c r="K36" i="2"/>
  <c r="AW179" i="2" l="1"/>
  <c r="AW181" i="2" s="1"/>
  <c r="AW292" i="2"/>
  <c r="AW286" i="2"/>
  <c r="AW285" i="2"/>
  <c r="K263" i="2"/>
  <c r="K279" i="2"/>
  <c r="K273" i="2"/>
  <c r="K38" i="2"/>
  <c r="K40" i="2"/>
  <c r="I171" i="2"/>
  <c r="I179" i="2" s="1"/>
  <c r="I181" i="2" s="1"/>
  <c r="J171" i="2"/>
  <c r="J179" i="2" s="1"/>
  <c r="J181" i="2" s="1"/>
  <c r="K171" i="2"/>
  <c r="AW461" i="2"/>
  <c r="K185" i="2"/>
  <c r="K461" i="2" s="1"/>
  <c r="AW217" i="2"/>
  <c r="K217" i="2" l="1"/>
  <c r="AW460" i="2"/>
  <c r="AW219" i="2"/>
  <c r="K272" i="2"/>
  <c r="K169" i="2"/>
  <c r="K179" i="2" s="1"/>
  <c r="K181" i="2" s="1"/>
  <c r="K41" i="2"/>
  <c r="J189" i="2"/>
  <c r="J190" i="2" s="1"/>
  <c r="I189" i="2"/>
  <c r="I190" i="2" s="1"/>
  <c r="K1" i="2"/>
  <c r="K286" i="2"/>
  <c r="K285" i="2"/>
  <c r="AW294" i="2"/>
  <c r="K292" i="2"/>
  <c r="AW297" i="2" l="1"/>
  <c r="K297" i="2" s="1"/>
  <c r="AW276" i="2"/>
  <c r="AW275" i="2"/>
  <c r="AW287" i="2"/>
  <c r="AW288" i="2"/>
  <c r="K294" i="2"/>
  <c r="K460" i="2"/>
  <c r="K219" i="2"/>
  <c r="AW298" i="2" l="1"/>
  <c r="AW300" i="2" s="1"/>
  <c r="K276" i="2"/>
  <c r="K275" i="2"/>
  <c r="K287" i="2"/>
  <c r="K288" i="2"/>
  <c r="K298" i="2" l="1"/>
  <c r="AW309" i="2"/>
  <c r="K300" i="2"/>
  <c r="AW327" i="2" l="1"/>
  <c r="K309" i="2"/>
  <c r="K327" i="2" s="1"/>
  <c r="AW310" i="2"/>
  <c r="AW318" i="2"/>
  <c r="AW330" i="2" l="1"/>
  <c r="K318" i="2"/>
  <c r="AW328" i="2"/>
  <c r="AW313" i="2"/>
  <c r="K310" i="2"/>
  <c r="K328" i="2" s="1"/>
  <c r="AW332" i="2" l="1"/>
  <c r="K332" i="2" s="1"/>
  <c r="K330" i="2"/>
  <c r="AW212" i="2"/>
  <c r="K313" i="2"/>
  <c r="AW226" i="2" l="1"/>
  <c r="AW184" i="2"/>
  <c r="K212" i="2"/>
  <c r="AW220" i="2"/>
  <c r="K226" i="2" l="1"/>
  <c r="K220" i="2"/>
  <c r="AW189" i="2"/>
  <c r="AW194" i="2" s="1"/>
  <c r="K184" i="2"/>
  <c r="K189" i="2" s="1"/>
  <c r="AW225" i="2"/>
  <c r="AW228" i="2" s="1"/>
  <c r="AW311" i="2"/>
  <c r="AW280" i="2" l="1"/>
  <c r="AW190" i="2"/>
  <c r="AW199" i="2"/>
  <c r="AW2" i="2"/>
  <c r="K194" i="2"/>
  <c r="K227" i="2" s="1"/>
  <c r="AW319" i="2"/>
  <c r="K319" i="2" s="1"/>
  <c r="AW227" i="2"/>
  <c r="K225" i="2"/>
  <c r="K228" i="2" s="1"/>
  <c r="K71" i="2"/>
  <c r="AW233" i="2" l="1"/>
  <c r="AW232" i="2"/>
  <c r="AW229" i="2"/>
  <c r="AW230" i="2"/>
  <c r="AW253" i="2"/>
  <c r="AW252" i="2"/>
  <c r="AW205" i="2"/>
  <c r="AW221" i="2" s="1"/>
  <c r="K233" i="2"/>
  <c r="K232" i="2"/>
  <c r="K229" i="2"/>
  <c r="K230" i="2"/>
  <c r="K280" i="2"/>
  <c r="K199" i="2"/>
  <c r="K190" i="2"/>
  <c r="K252" i="2" l="1"/>
  <c r="K253" i="2"/>
  <c r="K205" i="2"/>
  <c r="K221" i="2" s="1"/>
</calcChain>
</file>

<file path=xl/comments1.xml><?xml version="1.0" encoding="utf-8"?>
<comments xmlns="http://schemas.openxmlformats.org/spreadsheetml/2006/main">
  <authors>
    <author>Lynagh, Connor J (Research)</author>
  </authors>
  <commentList>
    <comment ref="AD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some products reclassified to PS</t>
        </r>
      </text>
    </comment>
    <comment ref="AE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some products reclassified to PS</t>
        </r>
      </text>
    </comment>
    <comment ref="AF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some products reclassified to PS</t>
        </r>
      </text>
    </comment>
    <comment ref="AD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some product lines reclassified from DPS</t>
        </r>
      </text>
    </comment>
    <comment ref="AE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some product lines reclassified from DPS</t>
        </r>
      </text>
    </comment>
    <comment ref="AF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some product lines reclassified from DPS</t>
        </r>
      </text>
    </comment>
    <comment ref="AM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could be better than Q4</t>
        </r>
      </text>
    </comment>
    <comment ref="AL1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up 2</t>
        </r>
      </text>
    </comment>
    <comment ref="AL1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~$5mm</t>
        </r>
      </text>
    </comment>
    <comment ref="AM1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could step up 15% or more on revenues, maybe more on EBITDA; 3 fleets coming out in 2Q; basically 1/mo.</t>
        </r>
      </text>
    </comment>
    <comment ref="AL2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10% or so down</t>
        </r>
      </text>
    </comment>
    <comment ref="AL2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flat</t>
        </r>
      </text>
    </comment>
    <comment ref="AD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adjusted for reclassification</t>
        </r>
      </text>
    </comment>
    <comment ref="AE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adjusted for reclassification</t>
        </r>
      </text>
    </comment>
    <comment ref="AF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adjusted for reclassification</t>
        </r>
      </text>
    </comment>
    <comment ref="AD2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adjusted for reclassification</t>
        </r>
      </text>
    </comment>
    <comment ref="AE2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adjusted for reclassification</t>
        </r>
      </text>
    </comment>
    <comment ref="AF2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adjusted for reclassification</t>
        </r>
      </text>
    </comment>
    <comment ref="AJ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$5.8mm of interest expense related to debt refinancing (writeoff of unamortized discount)</t>
        </r>
      </text>
    </comment>
    <comment ref="S33" authorId="0">
      <text>
        <r>
          <rPr>
            <sz val="9"/>
            <color indexed="81"/>
            <rFont val="Tahoma"/>
            <family val="2"/>
          </rPr>
          <t>includes other and loss on early debt extinguishment</t>
        </r>
      </text>
    </comment>
    <comment ref="U35" authorId="0">
      <text>
        <r>
          <rPr>
            <sz val="9"/>
            <color indexed="81"/>
            <rFont val="Tahoma"/>
            <family val="2"/>
          </rPr>
          <t>We have adjusted  Income (Loss) from Operations (As Reported) and Income from Operations (as Adjusted) to remove the rounding off issue.
Adjustments:
1.$357.934 m: Income (Loss) from Operations (As Reported)
2.$90.664 m:   Income from Operations (as Adjusted)
3. $361.8 m:    After-tax charges</t>
        </r>
      </text>
    </comment>
    <comment ref="P37" authorId="0">
      <text>
        <r>
          <rPr>
            <sz val="9"/>
            <color indexed="81"/>
            <rFont val="Tahoma"/>
            <family val="2"/>
          </rPr>
          <t>loss on early extinguishment of debt</t>
        </r>
      </text>
    </comment>
    <comment ref="U37" authorId="0">
      <text>
        <r>
          <rPr>
            <sz val="9"/>
            <color indexed="81"/>
            <rFont val="Tahoma"/>
            <family val="2"/>
          </rPr>
          <t>write downs of assets and goodwill</t>
        </r>
      </text>
    </comment>
    <comment ref="V37" authorId="0">
      <text>
        <r>
          <rPr>
            <sz val="9"/>
            <color indexed="81"/>
            <rFont val="Tahoma"/>
            <family val="2"/>
          </rPr>
          <t>discontinued ops</t>
        </r>
      </text>
    </comment>
    <comment ref="W37" authorId="0">
      <text>
        <r>
          <rPr>
            <sz val="9"/>
            <color indexed="81"/>
            <rFont val="Tahoma"/>
            <family val="2"/>
          </rPr>
          <t>discontinued ops</t>
        </r>
      </text>
    </comment>
    <comment ref="X37" authorId="0">
      <text>
        <r>
          <rPr>
            <sz val="9"/>
            <color indexed="81"/>
            <rFont val="Tahoma"/>
            <family val="2"/>
          </rPr>
          <t>discontinued ops</t>
        </r>
      </text>
    </comment>
    <comment ref="Y37" authorId="0">
      <text>
        <r>
          <rPr>
            <sz val="9"/>
            <color indexed="81"/>
            <rFont val="Tahoma"/>
            <family val="2"/>
          </rPr>
          <t>discontinued ops</t>
        </r>
      </text>
    </comment>
    <comment ref="Z37" authorId="0">
      <text>
        <r>
          <rPr>
            <sz val="9"/>
            <color indexed="81"/>
            <rFont val="Tahoma"/>
            <family val="2"/>
          </rPr>
          <t>discontinued ops</t>
        </r>
      </text>
    </comment>
    <comment ref="AA37" authorId="0">
      <text>
        <r>
          <rPr>
            <sz val="9"/>
            <color indexed="81"/>
            <rFont val="Tahoma"/>
            <family val="2"/>
          </rPr>
          <t>discontinued ops, impairment</t>
        </r>
      </text>
    </comment>
    <comment ref="AB37" authorId="0">
      <text>
        <r>
          <rPr>
            <sz val="9"/>
            <color indexed="81"/>
            <rFont val="Tahoma"/>
            <family val="2"/>
          </rPr>
          <t>reduction in value of assets, restructuring and discontinued ops</t>
        </r>
      </text>
    </comment>
    <comment ref="AC37" authorId="0">
      <text>
        <r>
          <rPr>
            <sz val="9"/>
            <color indexed="81"/>
            <rFont val="Tahoma"/>
            <family val="2"/>
          </rPr>
          <t>22.8 in discontinued ops, rest is impairment and restructuring, plus $22.9mm tax-effected early termination payment</t>
        </r>
      </text>
    </comment>
    <comment ref="AD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discontinued ops, restructuring</t>
        </r>
      </text>
    </comment>
    <comment ref="AE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restructuring, reduction in value of assets, discontinued ops</t>
        </r>
      </text>
    </comment>
    <comment ref="AF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discontinued ops and restructuring</t>
        </r>
      </text>
    </comment>
    <comment ref="AG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reduction in value of assets, restructuring, and inventory writedown</t>
        </r>
      </text>
    </comment>
    <comment ref="AI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discontinued ops</t>
        </r>
      </text>
    </comment>
    <comment ref="AJ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discontinued ops, reduction in value of assets, after tax</t>
        </r>
      </text>
    </comment>
    <comment ref="AK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discontinued ops, tax reform impact, impairment</t>
        </r>
      </text>
    </comment>
    <comment ref="T40" authorId="0">
      <text>
        <r>
          <rPr>
            <sz val="9"/>
            <color indexed="81"/>
            <rFont val="Tahoma"/>
            <family val="2"/>
          </rPr>
          <t>Oct pre-announce, $0.39-0.41</t>
        </r>
      </text>
    </comment>
    <comment ref="AK4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note: uses basic as adj. EPS is &lt;0</t>
        </r>
      </text>
    </comment>
    <comment ref="AJ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US land up a touch, Int'l and GoM flat to down</t>
        </r>
      </text>
    </comment>
    <comment ref="AL4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up to 10%</t>
        </r>
      </text>
    </comment>
    <comment ref="AI5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completion tools expected to be strong - HES Stampede</t>
        </r>
      </text>
    </comment>
    <comment ref="AJ5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P&amp;A system going back to work, can add ~$15mm/Q</t>
        </r>
      </text>
    </comment>
    <comment ref="AK5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going to have relatively higher margin from customers shifting to self-sourcing</t>
        </r>
      </text>
    </comment>
    <comment ref="AM5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pushing 20% or more</t>
        </r>
      </text>
    </comment>
    <comment ref="AI7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high incrementals due to P&amp;A tool startup</t>
        </r>
      </text>
    </comment>
    <comment ref="AJ7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high incrementals due to P&amp;A tool startup</t>
        </r>
      </text>
    </comment>
    <comment ref="AG7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$21-23mm</t>
        </r>
      </text>
    </comment>
    <comment ref="AL7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$25-27mm</t>
        </r>
      </text>
    </comment>
    <comment ref="AL7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17-21%</t>
        </r>
      </text>
    </comment>
    <comment ref="Z81" authorId="0">
      <text>
        <r>
          <rPr>
            <sz val="9"/>
            <color indexed="81"/>
            <rFont val="Tahoma"/>
            <family val="2"/>
          </rPr>
          <t>160-165</t>
        </r>
      </text>
    </comment>
    <comment ref="AL8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$105-110</t>
        </r>
      </text>
    </comment>
    <comment ref="AL8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17-21%</t>
        </r>
      </text>
    </comment>
    <comment ref="B92" authorId="0">
      <text>
        <r>
          <rPr>
            <sz val="9"/>
            <color indexed="81"/>
            <rFont val="Tahoma"/>
            <family val="2"/>
          </rPr>
          <t>Where disclosed - may not reconcile to reported revenue</t>
        </r>
      </text>
    </comment>
    <comment ref="AC105" authorId="0">
      <text>
        <r>
          <rPr>
            <sz val="9"/>
            <color indexed="81"/>
            <rFont val="Tahoma"/>
            <family val="2"/>
          </rPr>
          <t>excludes contract termination fee of $22.9mm</t>
        </r>
      </text>
    </comment>
    <comment ref="AK11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seeing pricing and utilization up, but not a ton of improvement on topline</t>
        </r>
      </text>
    </comment>
    <comment ref="AK1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should be lower due to weather + shift towards drilling rentals over completion rentals; relatively flat</t>
        </r>
      </text>
    </comment>
    <comment ref="AK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uncertain but probably down 5-10%; revised to maybe not too far down</t>
        </r>
      </text>
    </comment>
    <comment ref="AK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frac up 5-8% but other businesses lagging, 5% total reasonable</t>
        </r>
      </text>
    </comment>
    <comment ref="AL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capacity roll-out but inefficiency, down a touch</t>
        </r>
      </text>
    </comment>
    <comment ref="AM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capacity roll-out</t>
        </r>
      </text>
    </comment>
    <comment ref="AN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capacity roll-out</t>
        </r>
      </text>
    </comment>
    <comment ref="AK11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probably up a touch</t>
        </r>
      </text>
    </comment>
    <comment ref="AL11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revenue and EBITDA down</t>
        </r>
      </text>
    </comment>
    <comment ref="AM11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going to be really flat, most of the growth is going to be pricing but get some utilization recovery in 2Q</t>
        </r>
      </text>
    </comment>
    <comment ref="AK1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uncertain, no big moving parts</t>
        </r>
      </text>
    </comment>
    <comment ref="AL1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probably trending lower into 2018, but broadly flat Y/Y</t>
        </r>
      </text>
    </comment>
    <comment ref="AK11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looks similar</t>
        </r>
      </text>
    </comment>
    <comment ref="AL11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10-15% higher, 10-15% ebitda margin, LatAm is driving it (Argentina)</t>
        </r>
      </text>
    </comment>
    <comment ref="AK12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roll-off of large completion tool sales, looks more like 2Q</t>
        </r>
      </text>
    </comment>
    <comment ref="AL12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$7-8mm in Q1, 3-4mm in EBITDA, no major expectations for rest of year</t>
        </r>
      </text>
    </comment>
    <comment ref="AK12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large well control incident in 3Q, rolling off</t>
        </r>
      </text>
    </comment>
    <comment ref="AL12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wild well continues to get some work</t>
        </r>
      </text>
    </comment>
    <comment ref="N147" authorId="0">
      <text>
        <r>
          <rPr>
            <sz val="9"/>
            <color indexed="81"/>
            <rFont val="Tahoma"/>
            <family val="2"/>
          </rPr>
          <t xml:space="preserve"> $29.047 mn
Source: 8-K 1Q12
</t>
        </r>
      </text>
    </comment>
    <comment ref="Z147" authorId="0">
      <text>
        <r>
          <rPr>
            <sz val="9"/>
            <color indexed="81"/>
            <rFont val="Tahoma"/>
            <family val="2"/>
          </rPr>
          <t>midpoint of 155-160m guidance</t>
        </r>
      </text>
    </comment>
    <comment ref="AB1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assumes all restructuring in COGS</t>
        </r>
      </text>
    </comment>
    <comment ref="AC1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assumes all restructuring in COGS</t>
        </r>
      </text>
    </comment>
    <comment ref="AD1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$8mm of restructuring in G&amp;A</t>
        </r>
      </text>
    </comment>
    <comment ref="AE1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assumes all restructuring in COGS</t>
        </r>
      </text>
    </comment>
    <comment ref="AF1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assumes all restructuring in COGS</t>
        </r>
      </text>
    </comment>
    <comment ref="AG1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assumes all restructuring in COGS</t>
        </r>
      </text>
    </comment>
    <comment ref="AL1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$75-79mm</t>
        </r>
      </text>
    </comment>
    <comment ref="R172" authorId="0">
      <text>
        <r>
          <rPr>
            <sz val="9"/>
            <color indexed="81"/>
            <rFont val="Tahoma"/>
            <family val="2"/>
          </rPr>
          <t xml:space="preserve">includes excess tax benefit from stock based compensation
</t>
        </r>
      </text>
    </comment>
    <comment ref="AA17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reduction in value of assets</t>
        </r>
      </text>
    </comment>
    <comment ref="AB17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reduction in value of assets</t>
        </r>
      </text>
    </comment>
    <comment ref="AC17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reduction in value of assets</t>
        </r>
      </text>
    </comment>
    <comment ref="AE17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reduction in value of assets</t>
        </r>
      </text>
    </comment>
    <comment ref="O178" authorId="0">
      <text>
        <r>
          <rPr>
            <sz val="9"/>
            <color indexed="81"/>
            <rFont val="Tahoma"/>
            <family val="2"/>
          </rPr>
          <t>Accrued expenses, decom liabs, income taxes, other net</t>
        </r>
      </text>
    </comment>
    <comment ref="AI17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income tax refund</t>
        </r>
      </text>
    </comment>
    <comment ref="Y180" authorId="0">
      <text>
        <r>
          <rPr>
            <sz val="9"/>
            <color indexed="81"/>
            <rFont val="Tahoma"/>
            <family val="2"/>
          </rPr>
          <t>600 - 650 for year</t>
        </r>
      </text>
    </comment>
    <comment ref="Z180" authorId="0">
      <text>
        <r>
          <rPr>
            <sz val="9"/>
            <color indexed="81"/>
            <rFont val="Tahoma"/>
            <family val="2"/>
          </rPr>
          <t>35% reduction vs. 2014 budget</t>
        </r>
      </text>
    </comment>
    <comment ref="AF18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$100mm or less</t>
        </r>
      </text>
    </comment>
    <comment ref="AB182" authorId="0">
      <text>
        <r>
          <rPr>
            <sz val="9"/>
            <color indexed="81"/>
            <rFont val="Tahoma"/>
            <family val="2"/>
          </rPr>
          <t>purchase of leased vessels</t>
        </r>
      </text>
    </comment>
    <comment ref="O183" authorId="0">
      <text>
        <r>
          <rPr>
            <sz val="9"/>
            <color indexed="81"/>
            <rFont val="Tahoma"/>
            <family val="2"/>
          </rPr>
          <t>includes 
Cash proceeds from sale of business and
Cash proceeds from sale of equity method investment</t>
        </r>
      </text>
    </comment>
    <comment ref="P183" authorId="0">
      <text>
        <r>
          <rPr>
            <sz val="9"/>
            <color indexed="81"/>
            <rFont val="Tahoma"/>
            <family val="2"/>
          </rPr>
          <t>includes AFS sale of securities this was not included in previous quarter because there was no such activity last quarter</t>
        </r>
      </text>
    </comment>
    <comment ref="N184" authorId="0">
      <text>
        <r>
          <rPr>
            <sz val="9"/>
            <color indexed="81"/>
            <rFont val="Tahoma"/>
            <family val="2"/>
          </rPr>
          <t>Debt issued - debt principal payment (excludes debt acquisition cost and revolving credit)</t>
        </r>
      </text>
    </comment>
    <comment ref="N186" authorId="0">
      <text>
        <r>
          <rPr>
            <sz val="9"/>
            <color indexed="81"/>
            <rFont val="Tahoma"/>
            <family val="2"/>
          </rPr>
          <t>Proceeds from exercise of stock options + proceeds from issuance of stock through employee benefit plans</t>
        </r>
      </text>
    </comment>
    <comment ref="Z188" authorId="0">
      <text>
        <r>
          <rPr>
            <sz val="9"/>
            <color indexed="81"/>
            <rFont val="Tahoma"/>
            <family val="2"/>
          </rPr>
          <t>includes purchase of leased vessels</t>
        </r>
      </text>
    </comment>
    <comment ref="AA188" authorId="0">
      <text>
        <r>
          <rPr>
            <sz val="9"/>
            <color indexed="81"/>
            <rFont val="Tahoma"/>
            <family val="2"/>
          </rPr>
          <t xml:space="preserve"> $46.442mm
Effect of exchange rate changes on cash: $6.765mm</t>
        </r>
      </text>
    </comment>
    <comment ref="AD18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debt issuance costs, other, exchange rates</t>
        </r>
      </text>
    </comment>
    <comment ref="N196" authorId="0">
      <text>
        <r>
          <rPr>
            <sz val="9"/>
            <color indexed="81"/>
            <rFont val="Tahoma"/>
            <family val="2"/>
          </rPr>
          <t xml:space="preserve"> 12
</t>
        </r>
      </text>
    </comment>
    <comment ref="AI19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income tax refund</t>
        </r>
      </text>
    </comment>
    <comment ref="R203" authorId="0">
      <text>
        <r>
          <rPr>
            <sz val="9"/>
            <color indexed="81"/>
            <rFont val="Tahoma"/>
            <family val="2"/>
          </rPr>
          <t>includes intangible line item</t>
        </r>
      </text>
    </comment>
    <comment ref="AC204" authorId="0">
      <text>
        <r>
          <rPr>
            <sz val="9"/>
            <color indexed="81"/>
            <rFont val="Tahoma"/>
            <family val="2"/>
          </rPr>
          <t>note receivable</t>
        </r>
      </text>
    </comment>
    <comment ref="R212" authorId="0">
      <text>
        <r>
          <rPr>
            <sz val="9"/>
            <color indexed="81"/>
            <rFont val="Tahoma"/>
            <family val="2"/>
          </rPr>
          <t xml:space="preserve">On actual statement reported as LT debt Net.  As per previous years on model this number is considered total debt.  </t>
        </r>
      </text>
    </comment>
    <comment ref="R215" authorId="0">
      <text>
        <r>
          <rPr>
            <sz val="9"/>
            <color indexed="81"/>
            <rFont val="Tahoma"/>
            <family val="2"/>
          </rPr>
          <t>includes decomissioning liabilities</t>
        </r>
      </text>
    </comment>
    <comment ref="R218" authorId="0">
      <text>
        <r>
          <rPr>
            <sz val="9"/>
            <color indexed="81"/>
            <rFont val="Tahoma"/>
            <family val="2"/>
          </rPr>
          <t xml:space="preserve">includes common stock authorized.  Represents tiny amount of .159 </t>
        </r>
      </text>
    </comment>
    <comment ref="AC218" authorId="0">
      <text>
        <r>
          <rPr>
            <sz val="9"/>
            <color indexed="81"/>
            <rFont val="Tahoma"/>
            <family val="2"/>
          </rPr>
          <t>plug until K</t>
        </r>
      </text>
    </comment>
    <comment ref="AK26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see note above</t>
        </r>
      </text>
    </comment>
    <comment ref="B30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old note series</t>
        </r>
      </text>
    </comment>
    <comment ref="B307" authorId="0">
      <text>
        <r>
          <rPr>
            <sz val="9"/>
            <color indexed="81"/>
            <rFont val="Tahoma"/>
            <family val="2"/>
          </rPr>
          <t xml:space="preserve">U.S. Government guaranteed long-term financing under Title XI of the Merchant Marine Act of 1936
</t>
        </r>
      </text>
    </comment>
    <comment ref="AD309" authorId="0">
      <text>
        <r>
          <rPr>
            <sz val="9"/>
            <color indexed="81"/>
            <rFont val="Tahoma"/>
            <family val="2"/>
          </rPr>
          <t>assume will not pay down below currently-drawn 325 in near-term. later, flex with cash availability</t>
        </r>
      </text>
    </comment>
    <comment ref="AE30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plug</t>
        </r>
      </text>
    </comment>
    <comment ref="AF30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paid off</t>
        </r>
      </text>
    </comment>
    <comment ref="AF31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reduced per new renegotiation (7/13)</t>
        </r>
      </text>
    </comment>
    <comment ref="AH31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reduced per new renegotiation (7/13)</t>
        </r>
      </text>
    </comment>
    <comment ref="B325" authorId="0">
      <text>
        <r>
          <rPr>
            <sz val="9"/>
            <color indexed="81"/>
            <rFont val="Tahoma"/>
            <family val="2"/>
          </rPr>
          <t xml:space="preserve">U.S. Government guaranteed long-term financing under Title XI of the Merchant Marine Act of 1936
</t>
        </r>
      </text>
    </comment>
    <comment ref="AJ3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adj. for non-cash stock comp</t>
        </r>
      </text>
    </comment>
    <comment ref="B345" authorId="0">
      <text>
        <r>
          <rPr>
            <sz val="9"/>
            <color indexed="81"/>
            <rFont val="Tahoma"/>
            <family val="2"/>
          </rPr>
          <t>formerly "Rental Tools"</t>
        </r>
      </text>
    </comment>
    <comment ref="F347" authorId="0">
      <text>
        <r>
          <rPr>
            <sz val="9"/>
            <color indexed="81"/>
            <rFont val="Tahoma"/>
            <family val="2"/>
          </rPr>
          <t xml:space="preserve"> </t>
        </r>
      </text>
    </comment>
    <comment ref="Z347" authorId="0">
      <text>
        <r>
          <rPr>
            <sz val="9"/>
            <color indexed="81"/>
            <rFont val="Tahoma"/>
            <family val="2"/>
          </rPr>
          <t>note: does not reconcile to full-year reported number</t>
        </r>
      </text>
    </comment>
    <comment ref="AA347" authorId="0">
      <text>
        <r>
          <rPr>
            <sz val="9"/>
            <color indexed="81"/>
            <rFont val="Tahoma"/>
            <family val="2"/>
          </rPr>
          <t>note: does not reconcile to full-year reported number</t>
        </r>
      </text>
    </comment>
    <comment ref="AB347" authorId="0">
      <text>
        <r>
          <rPr>
            <sz val="9"/>
            <color indexed="81"/>
            <rFont val="Tahoma"/>
            <family val="2"/>
          </rPr>
          <t>note: does not reconcile to full-year reported number</t>
        </r>
      </text>
    </comment>
    <comment ref="AC347" authorId="0">
      <text>
        <r>
          <rPr>
            <sz val="9"/>
            <color indexed="81"/>
            <rFont val="Tahoma"/>
            <family val="2"/>
          </rPr>
          <t>note: does not reconcile to full-year reported number</t>
        </r>
      </text>
    </comment>
    <comment ref="AD34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E34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F34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G34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D35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E35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F35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G35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H35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restated - assume even amount over 4Qs</t>
        </r>
      </text>
    </comment>
    <comment ref="U35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impairment</t>
        </r>
      </text>
    </comment>
    <comment ref="AA354" authorId="0">
      <text>
        <r>
          <rPr>
            <sz val="9"/>
            <color indexed="81"/>
            <rFont val="Tahoma"/>
            <family val="2"/>
          </rPr>
          <t>reduction in value of assets</t>
        </r>
      </text>
    </comment>
    <comment ref="AB354" authorId="0">
      <text>
        <r>
          <rPr>
            <sz val="9"/>
            <color indexed="81"/>
            <rFont val="Tahoma"/>
            <family val="2"/>
          </rPr>
          <t>impairment/other adjustment</t>
        </r>
      </text>
    </comment>
    <comment ref="AC354" authorId="0">
      <text>
        <r>
          <rPr>
            <sz val="9"/>
            <color indexed="81"/>
            <rFont val="Tahoma"/>
            <family val="2"/>
          </rPr>
          <t>reduction in value of assets</t>
        </r>
      </text>
    </comment>
    <comment ref="AE354" authorId="0">
      <text>
        <r>
          <rPr>
            <sz val="9"/>
            <color indexed="81"/>
            <rFont val="Tahoma"/>
            <family val="2"/>
          </rPr>
          <t>reduction in value of assets</t>
        </r>
      </text>
    </comment>
    <comment ref="AH37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restated - assume even amount over 4Qs</t>
        </r>
      </text>
    </comment>
    <comment ref="U37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impairment</t>
        </r>
      </text>
    </comment>
    <comment ref="AA376" authorId="0">
      <text>
        <r>
          <rPr>
            <sz val="9"/>
            <color indexed="81"/>
            <rFont val="Tahoma"/>
            <family val="2"/>
          </rPr>
          <t>reduction in value of assets</t>
        </r>
      </text>
    </comment>
    <comment ref="AB376" authorId="0">
      <text>
        <r>
          <rPr>
            <sz val="9"/>
            <color indexed="81"/>
            <rFont val="Tahoma"/>
            <family val="2"/>
          </rPr>
          <t>impairment</t>
        </r>
      </text>
    </comment>
    <comment ref="AE37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reduction in value of assets</t>
        </r>
      </text>
    </comment>
    <comment ref="B39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5pp higher than workover &amp; other</t>
        </r>
      </text>
    </comment>
    <comment ref="B396" authorId="0">
      <text>
        <r>
          <rPr>
            <sz val="9"/>
            <color indexed="81"/>
            <rFont val="Tahoma"/>
            <family val="2"/>
          </rPr>
          <t>PacWest</t>
        </r>
      </text>
    </comment>
    <comment ref="AE3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relocated 50kHP from pumpdown equipment into frac business</t>
        </r>
      </text>
    </comment>
    <comment ref="N39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1 stacked</t>
        </r>
      </text>
    </comment>
    <comment ref="O39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2 stacked</t>
        </r>
      </text>
    </comment>
    <comment ref="P39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3 stacked</t>
        </r>
      </text>
    </comment>
    <comment ref="Q39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4 fleets stacked</t>
        </r>
      </text>
    </comment>
    <comment ref="U39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3 stacked</t>
        </r>
      </text>
    </comment>
    <comment ref="Z39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moving towards 40% parked</t>
        </r>
      </text>
    </comment>
    <comment ref="AL39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expecting to get to 750kHP by early Q1</t>
        </r>
      </text>
    </comment>
    <comment ref="AD4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E4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F4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G4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D41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E41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F41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AG41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pro forma for reclassification
</t>
        </r>
      </text>
    </comment>
    <comment ref="U42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impairment</t>
        </r>
      </text>
    </comment>
    <comment ref="AB423" authorId="0">
      <text>
        <r>
          <rPr>
            <sz val="9"/>
            <color indexed="81"/>
            <rFont val="Tahoma"/>
            <family val="2"/>
          </rPr>
          <t>impairment and interest</t>
        </r>
      </text>
    </comment>
    <comment ref="F438" authorId="0">
      <text>
        <r>
          <rPr>
            <sz val="9"/>
            <color indexed="81"/>
            <rFont val="Tahoma"/>
            <family val="2"/>
          </rPr>
          <t>does not match sum of quarters, excludes early termination payment</t>
        </r>
      </text>
    </comment>
    <comment ref="Z438" authorId="0">
      <text>
        <r>
          <rPr>
            <sz val="9"/>
            <color indexed="81"/>
            <rFont val="Tahoma"/>
            <family val="2"/>
          </rPr>
          <t>does not reconcile to annuals</t>
        </r>
      </text>
    </comment>
    <comment ref="AA438" authorId="0">
      <text>
        <r>
          <rPr>
            <sz val="9"/>
            <color indexed="81"/>
            <rFont val="Tahoma"/>
            <family val="2"/>
          </rPr>
          <t>does not reconcile to annuals</t>
        </r>
      </text>
    </comment>
    <comment ref="AB438" authorId="0">
      <text>
        <r>
          <rPr>
            <sz val="9"/>
            <color indexed="81"/>
            <rFont val="Tahoma"/>
            <family val="2"/>
          </rPr>
          <t>does not reconcile to annuals</t>
        </r>
      </text>
    </comment>
    <comment ref="AC438" authorId="0">
      <text>
        <r>
          <rPr>
            <sz val="9"/>
            <color indexed="81"/>
            <rFont val="Tahoma"/>
            <family val="2"/>
          </rPr>
          <t>does not reconcile to annuals</t>
        </r>
      </text>
    </comment>
    <comment ref="AB445" authorId="0">
      <text>
        <r>
          <rPr>
            <sz val="9"/>
            <color indexed="81"/>
            <rFont val="Tahoma"/>
            <family val="2"/>
          </rPr>
          <t>interest</t>
        </r>
      </text>
    </comment>
  </commentList>
</comments>
</file>

<file path=xl/sharedStrings.xml><?xml version="1.0" encoding="utf-8"?>
<sst xmlns="http://schemas.openxmlformats.org/spreadsheetml/2006/main" count="1370" uniqueCount="1167">
  <si>
    <t>Statutory Tax Rate</t>
  </si>
  <si>
    <t>Common dividend</t>
  </si>
  <si>
    <t>Net Issuance and repurchase</t>
  </si>
  <si>
    <t>Unrecorded Goodwill</t>
  </si>
  <si>
    <t>MW Tags</t>
  </si>
  <si>
    <t>x</t>
  </si>
  <si>
    <t xml:space="preserve"> Production Services</t>
  </si>
  <si>
    <t>Production Services</t>
  </si>
  <si>
    <t>Onshore Completion and Workover Service</t>
  </si>
  <si>
    <t>Drilling Products &amp; Services</t>
  </si>
  <si>
    <t>% of Total</t>
  </si>
  <si>
    <t>EBIT/Avg. Assets</t>
  </si>
  <si>
    <t>Asset Turnover</t>
  </si>
  <si>
    <t>EBIT % Margin</t>
  </si>
  <si>
    <t>EBITDA % Margin</t>
  </si>
  <si>
    <t>G&amp;A % of Sales</t>
  </si>
  <si>
    <t>COGS % of Sales</t>
  </si>
  <si>
    <t>Seq. Revenue Growth</t>
  </si>
  <si>
    <t>Segment Analysis:</t>
  </si>
  <si>
    <t>Total Assets</t>
  </si>
  <si>
    <t>EBT</t>
  </si>
  <si>
    <t>Other Income (Expense)</t>
  </si>
  <si>
    <t>EBIT</t>
  </si>
  <si>
    <t>DD&amp;A</t>
  </si>
  <si>
    <t>EBITDA</t>
  </si>
  <si>
    <t>G&amp;A</t>
  </si>
  <si>
    <t>Cost of Services &amp; Rentals</t>
  </si>
  <si>
    <t>Revenues</t>
  </si>
  <si>
    <t>Segment Financials:</t>
  </si>
  <si>
    <t>NA</t>
  </si>
  <si>
    <t>Total Debt</t>
  </si>
  <si>
    <t>Total Loans &amp; Notes</t>
  </si>
  <si>
    <t>Unamortized discount</t>
  </si>
  <si>
    <t>Other</t>
  </si>
  <si>
    <t>Net Drawn (Repaid)</t>
  </si>
  <si>
    <t>Total Liquidity</t>
  </si>
  <si>
    <t>Available Capacity</t>
  </si>
  <si>
    <t>Less: Letters of Credit</t>
  </si>
  <si>
    <t>LT Debt</t>
  </si>
  <si>
    <t>ST Debt</t>
  </si>
  <si>
    <t>Revolving Credit Facility (Due Feb. 2019)</t>
  </si>
  <si>
    <t>Debt Tranches</t>
  </si>
  <si>
    <t>Debt Detail</t>
  </si>
  <si>
    <t>Revolver Req'd</t>
  </si>
  <si>
    <t>Loans &amp; Notes</t>
  </si>
  <si>
    <t>Debt Req'd</t>
  </si>
  <si>
    <t>Shareholders' Equity</t>
  </si>
  <si>
    <t>Sources</t>
  </si>
  <si>
    <t>Funding Req'd</t>
  </si>
  <si>
    <t>Operating Cash</t>
  </si>
  <si>
    <t>Net Operating Assets Req'd</t>
  </si>
  <si>
    <t>Uses</t>
  </si>
  <si>
    <t>Funding</t>
  </si>
  <si>
    <t>ROE (GAAP)</t>
  </si>
  <si>
    <t>ROE (Operating)</t>
  </si>
  <si>
    <t>RNOA (ROIC)</t>
  </si>
  <si>
    <t>Op. Asset Turnover</t>
  </si>
  <si>
    <t>NOPAT % Margin</t>
  </si>
  <si>
    <t>NOPAT</t>
  </si>
  <si>
    <t>Invested Capital</t>
  </si>
  <si>
    <t>Net Operating Assets</t>
  </si>
  <si>
    <t>Tangible Book Value per Share</t>
  </si>
  <si>
    <t>Book Value per Share</t>
  </si>
  <si>
    <t>Basic EPS (Ex-Extraordinary)</t>
  </si>
  <si>
    <t>Basic EPS (Incl. Extraordinary)</t>
  </si>
  <si>
    <t>Dilution Ratio</t>
  </si>
  <si>
    <t>End of Period Common Share Count</t>
  </si>
  <si>
    <t>Average Diluted Shares Outstanding</t>
  </si>
  <si>
    <t>Average Basic Shares Outstanding</t>
  </si>
  <si>
    <t>Shares Outstanding &amp; BV/Sh.</t>
  </si>
  <si>
    <t>Deferred Tax Liabilities (% of Net PP&amp;E)</t>
  </si>
  <si>
    <t>Deferred Tax Assets (% of Revenue)</t>
  </si>
  <si>
    <t>Other Current Liabilities (% of Revenue)</t>
  </si>
  <si>
    <t>Other Current Assets (% of Revenue)</t>
  </si>
  <si>
    <t>Cash Conversion Cycle (Days)</t>
  </si>
  <si>
    <t>Payables Days</t>
  </si>
  <si>
    <t>Payables Turnover (x)</t>
  </si>
  <si>
    <t>Days Inventory</t>
  </si>
  <si>
    <t>Inventory Turnover (x)</t>
  </si>
  <si>
    <t>Receivables Days</t>
  </si>
  <si>
    <t>Receivables Turnover (x)</t>
  </si>
  <si>
    <t>Current Ratio</t>
  </si>
  <si>
    <t>Total Working Capital ($mm)</t>
  </si>
  <si>
    <t>Remaining Useful Life (Years)</t>
  </si>
  <si>
    <t>Average Asset Age (Years)</t>
  </si>
  <si>
    <t>Avg. Asset Life (Years)</t>
  </si>
  <si>
    <t>Capital Expenditures</t>
  </si>
  <si>
    <t>Capex / Depreciation</t>
  </si>
  <si>
    <t>Capex / Revenues</t>
  </si>
  <si>
    <t>Depreciation / Revenues</t>
  </si>
  <si>
    <t>Depreciation</t>
  </si>
  <si>
    <t>EBIT / Interest Expense</t>
  </si>
  <si>
    <t>(EBITDA-Capex) / Interest Expense</t>
  </si>
  <si>
    <t>EBITDA / Interest Expense</t>
  </si>
  <si>
    <t>Net Debt/LTM EBIT</t>
  </si>
  <si>
    <t>Net Debt/LTM EBITDA</t>
  </si>
  <si>
    <t>Net Debt/Equity</t>
  </si>
  <si>
    <t>Net Debt / NetCapital</t>
  </si>
  <si>
    <t>Total Debt/Capital</t>
  </si>
  <si>
    <t>Net Debt</t>
  </si>
  <si>
    <t>Total Capital</t>
  </si>
  <si>
    <t>Supporting Schedules</t>
  </si>
  <si>
    <t>Total Liabilities &amp; Equity</t>
  </si>
  <si>
    <t>AOCI</t>
  </si>
  <si>
    <t>Retained Earnings</t>
  </si>
  <si>
    <t>Contributed Capital</t>
  </si>
  <si>
    <t>Other LT Liabilities</t>
  </si>
  <si>
    <t>Deferred Income Taxes</t>
  </si>
  <si>
    <t>LT Pension Liabilities</t>
  </si>
  <si>
    <t>Total Current Liabilities</t>
  </si>
  <si>
    <t>Other Current Liabilities</t>
  </si>
  <si>
    <t>Current Portion of LTD</t>
  </si>
  <si>
    <t>Accounts Payable</t>
  </si>
  <si>
    <t>Liabilities &amp; Equity:</t>
  </si>
  <si>
    <t>Other Assets</t>
  </si>
  <si>
    <t>Goodwill &amp; Intangibles</t>
  </si>
  <si>
    <t>Net PP&amp;E</t>
  </si>
  <si>
    <t>Accumulated Depreciation</t>
  </si>
  <si>
    <t>Gross PP&amp;E</t>
  </si>
  <si>
    <t>Total Current Assets</t>
  </si>
  <si>
    <t>Prepaid Expenses &amp; Other Current Assets</t>
  </si>
  <si>
    <t>Inventory</t>
  </si>
  <si>
    <t>Accounts Receivables</t>
  </si>
  <si>
    <t>Cash &amp; Equivalents</t>
  </si>
  <si>
    <t>Assets:</t>
  </si>
  <si>
    <t>($ in Millions)</t>
  </si>
  <si>
    <t>Balance Sheet</t>
  </si>
  <si>
    <t>Total Change in Cash</t>
  </si>
  <si>
    <t>Purchase of Treasury Shares</t>
  </si>
  <si>
    <t>Equity Issues / Options Activity</t>
  </si>
  <si>
    <t>Dividends</t>
  </si>
  <si>
    <t>Issuance / (Paydown) of Debt</t>
  </si>
  <si>
    <t>Asset Disposals</t>
  </si>
  <si>
    <t>Acquisitions &amp; Investments</t>
  </si>
  <si>
    <t>Free Cash Flow (FCF)</t>
  </si>
  <si>
    <t>Cash Flow from Operations</t>
  </si>
  <si>
    <t>Other Current Assets/Liabs</t>
  </si>
  <si>
    <t>Accounts Receivable</t>
  </si>
  <si>
    <t>Changes in Working Capital</t>
  </si>
  <si>
    <t>Stock based compensation</t>
  </si>
  <si>
    <t>Deferred Taxes</t>
  </si>
  <si>
    <t>D&amp;A</t>
  </si>
  <si>
    <t>Net Income (GAAP)</t>
  </si>
  <si>
    <t>Operating Cash Flows</t>
  </si>
  <si>
    <t>Cash Flow Statement</t>
  </si>
  <si>
    <t>Int'l Rig Count</t>
  </si>
  <si>
    <t>Gulf of Mexico Rig Count</t>
  </si>
  <si>
    <t>United States Land Rig Count</t>
  </si>
  <si>
    <t>COGS % of Revenues</t>
  </si>
  <si>
    <t>SG&amp;A (% of Revenues)</t>
  </si>
  <si>
    <t>Cash Cost of Sales</t>
  </si>
  <si>
    <t>Less: SG&amp;A</t>
  </si>
  <si>
    <t>Less: D&amp;A Expense</t>
  </si>
  <si>
    <t>Less: EBIT</t>
  </si>
  <si>
    <t>Revenue</t>
  </si>
  <si>
    <t>COGS Reconciliation:</t>
  </si>
  <si>
    <t>Int'l</t>
  </si>
  <si>
    <t>GoM</t>
  </si>
  <si>
    <t>U.S. Land</t>
  </si>
  <si>
    <t>Revenue/Rig (000s)</t>
  </si>
  <si>
    <t>Seq. Growth</t>
  </si>
  <si>
    <t>Total Revenues</t>
  </si>
  <si>
    <t>Technical Solutions</t>
  </si>
  <si>
    <t>Onshore Completion &amp; Workover</t>
  </si>
  <si>
    <t>Drilling Products and Services</t>
  </si>
  <si>
    <t>Gross Profit % Margin</t>
  </si>
  <si>
    <t>Gross Profit</t>
  </si>
  <si>
    <t>Restated</t>
  </si>
  <si>
    <t>Frac Capacity (kHP)</t>
  </si>
  <si>
    <t>Total Capex</t>
  </si>
  <si>
    <t>Segment CapEx</t>
  </si>
  <si>
    <t>Total D&amp;A (Expense)</t>
  </si>
  <si>
    <t xml:space="preserve">Segment D&amp;A </t>
  </si>
  <si>
    <t>Effective Tax Rate</t>
  </si>
  <si>
    <t>Average Cost of Debt</t>
  </si>
  <si>
    <t>Incremental EBIT Margin</t>
  </si>
  <si>
    <t>Incremental EBITDA Margin</t>
  </si>
  <si>
    <t>Total EBIT Margin</t>
  </si>
  <si>
    <t>Total EBITDA Margin</t>
  </si>
  <si>
    <t>Group Revenue Growth (Sequential)</t>
  </si>
  <si>
    <t>Drivers &amp; Analysis</t>
  </si>
  <si>
    <t>Dividends per Share</t>
  </si>
  <si>
    <t>Avg. Diluted Share Count</t>
  </si>
  <si>
    <t>GAAP EPS</t>
  </si>
  <si>
    <t>Operating EPS</t>
  </si>
  <si>
    <t>One Time Items</t>
  </si>
  <si>
    <t>Net Income (Operating)</t>
  </si>
  <si>
    <t>Other Income</t>
  </si>
  <si>
    <t>Interest (Expense), Net</t>
  </si>
  <si>
    <t>Total EBIT</t>
  </si>
  <si>
    <t>EBIT Breakdown:</t>
  </si>
  <si>
    <t>Total EBITDA</t>
  </si>
  <si>
    <t>EBITDA Breakdown:</t>
  </si>
  <si>
    <t>Revenue Breakdown:</t>
  </si>
  <si>
    <t>Income Statement</t>
  </si>
  <si>
    <t>Q Page Index</t>
  </si>
  <si>
    <t>4Q20E</t>
  </si>
  <si>
    <t>3Q20E</t>
  </si>
  <si>
    <t>2Q20E</t>
  </si>
  <si>
    <t>1Q20E</t>
  </si>
  <si>
    <t>4Q19E</t>
  </si>
  <si>
    <t>3Q19E</t>
  </si>
  <si>
    <t>2Q19E</t>
  </si>
  <si>
    <t>1Q19E</t>
  </si>
  <si>
    <t>4Q18E</t>
  </si>
  <si>
    <t>3Q18E</t>
  </si>
  <si>
    <t>2Q18E</t>
  </si>
  <si>
    <t>1Q18E</t>
  </si>
  <si>
    <t>3Q16</t>
  </si>
  <si>
    <t>2Q16</t>
  </si>
  <si>
    <t>1Q16</t>
  </si>
  <si>
    <t>4Q15</t>
  </si>
  <si>
    <t>3Q15</t>
  </si>
  <si>
    <t>2Q15</t>
  </si>
  <si>
    <t>1Q15</t>
  </si>
  <si>
    <t>4Q14</t>
  </si>
  <si>
    <t>3Q14</t>
  </si>
  <si>
    <t>2Q14</t>
  </si>
  <si>
    <t>1Q14</t>
  </si>
  <si>
    <t>4Q13</t>
  </si>
  <si>
    <t>3Q13</t>
  </si>
  <si>
    <t>2Q13</t>
  </si>
  <si>
    <t>1Q13</t>
  </si>
  <si>
    <t>4Q12</t>
  </si>
  <si>
    <t>3Q12</t>
  </si>
  <si>
    <t>2Q12</t>
  </si>
  <si>
    <t>1Q12</t>
  </si>
  <si>
    <t>2020E</t>
  </si>
  <si>
    <t>2019E</t>
  </si>
  <si>
    <t>2018E</t>
  </si>
  <si>
    <t>Period End</t>
  </si>
  <si>
    <t>Year</t>
  </si>
  <si>
    <t>Morgan Stanley</t>
  </si>
  <si>
    <t>USD</t>
  </si>
  <si>
    <t>Count</t>
  </si>
  <si>
    <t>Current Stock Price</t>
  </si>
  <si>
    <t>Currency</t>
  </si>
  <si>
    <t>Superior Energy Services Inc.</t>
  </si>
  <si>
    <t>SPN.N</t>
  </si>
  <si>
    <t>Segment D&amp;A &amp; CapEx</t>
  </si>
  <si>
    <t>Tax (Expense) Benefit</t>
  </si>
  <si>
    <t>D&amp;A % of Net PP&amp;E (Ann.)</t>
  </si>
  <si>
    <t>4Q16</t>
  </si>
  <si>
    <t>Cash Capacity</t>
  </si>
  <si>
    <t>1Q17</t>
  </si>
  <si>
    <t>Active Frac Capacity (kHP)</t>
  </si>
  <si>
    <t>Utilization</t>
  </si>
  <si>
    <t>Assumed Frac % of Segment</t>
  </si>
  <si>
    <t>Ann. Revenue/Active HP</t>
  </si>
  <si>
    <t>Ann. EBITDA/Active HP</t>
  </si>
  <si>
    <t>HP/Fleet</t>
  </si>
  <si>
    <t>Fleets Active</t>
  </si>
  <si>
    <t>Ann. Revenue/Fleet</t>
  </si>
  <si>
    <t>Ann. GP/Fleet</t>
  </si>
  <si>
    <t>Ann. EBITDA/Fleet</t>
  </si>
  <si>
    <t>Nameplate Fleets</t>
  </si>
  <si>
    <t>% Chg.</t>
  </si>
  <si>
    <t>2Q17</t>
  </si>
  <si>
    <t>Capex / D&amp;A</t>
  </si>
  <si>
    <t>7.125% Senior Notes due 2021</t>
  </si>
  <si>
    <t>7.75% Senior Notes Due 2024</t>
  </si>
  <si>
    <t>GoM Floater Count</t>
  </si>
  <si>
    <t>Int'l Floater Count</t>
  </si>
  <si>
    <t>Ann. Total Segment EBITDA/Fleet</t>
  </si>
  <si>
    <t>SPN.N,mscalc:closePriceCurrencyCalc</t>
  </si>
  <si>
    <t>SPN.N,mscalc:sedolCodeCalc</t>
  </si>
  <si>
    <t>SPN.N,mscalc:targetPrice,,,,USD</t>
  </si>
  <si>
    <t>2806109</t>
  </si>
  <si>
    <t>13</t>
  </si>
  <si>
    <t>3Q17</t>
  </si>
  <si>
    <t>Detailed Revenue Drivers</t>
  </si>
  <si>
    <t>SPN.N,mscalc:depreciationAndAmortization,2015FY,,FYR,,,HOLD</t>
  </si>
  <si>
    <t>SPN.N,mscalc:depreciationAndAmortization,2013FY,,FYR,,,HOLD</t>
  </si>
  <si>
    <t>SPN.N,mscalc:depreciationAndAmortization,2016FY,,FYR,,,HOLD</t>
  </si>
  <si>
    <t>SPN.N,mscalc:depreciationAndAmortization,2014FY,,FYR,,,HOLD</t>
  </si>
  <si>
    <t>612.147</t>
  </si>
  <si>
    <t>604.441</t>
  </si>
  <si>
    <t>509.971</t>
  </si>
  <si>
    <t>650.814</t>
  </si>
  <si>
    <t>SPN.N,mstag:netIncomeReported,2014FY,,FYR,,,HOLD</t>
  </si>
  <si>
    <t>SPN.N,mscalc:depreciationAndAmortization,2012FY,,FYR,,,HOLD</t>
  </si>
  <si>
    <t>SPN.N,mstag:tradeAndOtherPayables,2016FY,,FYR,,,HOLD</t>
  </si>
  <si>
    <t>SPN.N,mstag:costOfSalesWithoutDepreciation,2016FY,,FYR,,,HOLD</t>
  </si>
  <si>
    <t>SPN.N,mstag:netIncomeReported,2013FY,,FYR,,,HOLD</t>
  </si>
  <si>
    <t>SPN.N,mscalc:ebitda,2012FY,,FYR,,,HOLD</t>
  </si>
  <si>
    <t>SPN.N,mscalc:ebitda,2011FY,,FYR,,,HOLD</t>
  </si>
  <si>
    <t>SPN.N,mstag:tradeAndOtherPayables,2014FY,,FYR,,,HOLD</t>
  </si>
  <si>
    <t>SPN.N,mscalc:ebitda,2013FY,,FYR,,,HOLD</t>
  </si>
  <si>
    <t>SPN.N,mstag:averageDilutedSharesOutstanding,2014Q2,,FYR,,,HOLD</t>
  </si>
  <si>
    <t>SPN.N,mstag:netIncomeReported,2016FY,,FYR,,,HOLD</t>
  </si>
  <si>
    <t>SPN.N,mscalc:ebitda,2014FY,,FYR,,,HOLD</t>
  </si>
  <si>
    <t>SPN.N,mstag:tradeAndOtherPayables,2013FY,,FYR,,,HOLD</t>
  </si>
  <si>
    <t>SPN.N,mstag:netIncomeReported,2011FY,,FYR,,,HOLD</t>
  </si>
  <si>
    <t>SPN.N,mscalc:ebitda,2016FY,,FYR,,,HOLD</t>
  </si>
  <si>
    <t>SPN.N,mscalc:depreciationAndAmortization,2011FY,,FYR,,,HOLD</t>
  </si>
  <si>
    <t>SPN.N,mstag:netIncomeReported,2012FY,,FYR,,,HOLD</t>
  </si>
  <si>
    <t>SPN.N,mstag:tradeAndOtherPayables,2015FY,,FYR,,,HOLD</t>
  </si>
  <si>
    <t>SPN.N,mstag:costOfSalesWithoutDepreciation,2013FY,,FYR,,,HOLD</t>
  </si>
  <si>
    <t>SPN.N,mstag:costOfSalesWithoutDepreciation,2015FY,,FYR,,,HOLD</t>
  </si>
  <si>
    <t>SPN.N,mstag:netIncomeReported,2015FY,,FYR,,,HOLD</t>
  </si>
  <si>
    <t>SPN.N,mstag:costOfSalesWithoutDepreciation,2014FY,,FYR,,,HOLD</t>
  </si>
  <si>
    <t>SPN.N,mscalc:ebitda,2015FY,,FYR,,,HOLD</t>
  </si>
  <si>
    <t>257.817</t>
  </si>
  <si>
    <t>509.281</t>
  </si>
  <si>
    <t>94.831</t>
  </si>
  <si>
    <t>1,067.136</t>
  </si>
  <si>
    <t>(111.418)</t>
  </si>
  <si>
    <t>1,215.803</t>
  </si>
  <si>
    <t>553.702</t>
  </si>
  <si>
    <t>SPN.N,mscalc:ebitda,,,FYR,,,HOLD</t>
  </si>
  <si>
    <t>225.306</t>
  </si>
  <si>
    <t>1,083.808</t>
  </si>
  <si>
    <t>159.101</t>
  </si>
  <si>
    <t>(841.917)</t>
  </si>
  <si>
    <t>1,197.418</t>
  </si>
  <si>
    <t>216.029</t>
  </si>
  <si>
    <t>142.304</t>
  </si>
  <si>
    <t>40.144</t>
  </si>
  <si>
    <t>257.313</t>
  </si>
  <si>
    <t>365.835</t>
  </si>
  <si>
    <t>114.475</t>
  </si>
  <si>
    <t>2,894.139</t>
  </si>
  <si>
    <t>1,819.092</t>
  </si>
  <si>
    <t>SPN.N,mscalc:cashFlowFromOperationsASIF,2014FY,,FYR,,,HOLD</t>
  </si>
  <si>
    <t>SPN.N,mscalc:tangibleBookValuePerShare,2011FY,,FYR,,,HOLD</t>
  </si>
  <si>
    <t>SPN.N,mscalc:dilutedEarningsPerShare,2015FY,,FYR,,,HOLD</t>
  </si>
  <si>
    <t>SPN.N,mstag:taxExpenseIncome,2011FY,,FYR,,,HOLD</t>
  </si>
  <si>
    <t>SPN.N,mscalc:shareholdersEquityExcludingAdjustments2,2012FY,,FYR,,,HOLD</t>
  </si>
  <si>
    <t>SPN.N,mscalc:shareholdersEquityExcludingAdjustments2,2013FY,,FYR,,,HOLD</t>
  </si>
  <si>
    <t>SPN.N,mscalc:dilutedEarningsPerShare,2014FY,,FYR,,,HOLD</t>
  </si>
  <si>
    <t>SPN.N,mscalc:totalCapitalBook,2014FY,,FYR,,,HOLD</t>
  </si>
  <si>
    <t>SPN.N,mscalc:totalCapitalBook,2015FY,,FYR,,,HOLD</t>
  </si>
  <si>
    <t>SPN.N,mscalc:interestExpenseNet,2012FY,,FYR,,,HOLD</t>
  </si>
  <si>
    <t>SPN.N,mscalc:shareholdersEquityExcludingAdjustments2,2015FY,,FYR,,,HOLD</t>
  </si>
  <si>
    <t>SPN.N,mstag:capitalExpenditures,2013FY,,FYR,,,HOLD</t>
  </si>
  <si>
    <t>SPN.N,mscalc:daysInventoryOnHand,2016FY,,FYR,,,HOLD</t>
  </si>
  <si>
    <t>SPN.N,mscalc:tangibleBookValuePerShare,2016FY,,FYR,,,HOLD</t>
  </si>
  <si>
    <t>SPN.N,mscalc:totalCapitalBook,2016FY,,FYR,,,HOLD</t>
  </si>
  <si>
    <t>SPN.N,mscalc:cashFlowFromFinancingASIF,2016FY,,FYR,,,HOLD</t>
  </si>
  <si>
    <t>SPN.N,mscalc:daysSalesOutstanding,2014FY,,FYR,,,HOLD</t>
  </si>
  <si>
    <t>SPN.N,mstag:taxExpenseIncome,2014FY,,FYR,,,HOLD</t>
  </si>
  <si>
    <t>SPN.N,mscalc:interestExpenseNet,2013FY,,FYR,,,HOLD</t>
  </si>
  <si>
    <t>SPN.N,mscalc:cashFlowFromFinancingASIF,2015FY,,FYR,,,HOLD</t>
  </si>
  <si>
    <t>SPN.N,mscalc:cashFlowFromOperationsASIF,2013FY,,FYR,,,HOLD</t>
  </si>
  <si>
    <t>SPN.N,mscalc:daysInventoryOnHand,2015FY,,FYR,,,HOLD</t>
  </si>
  <si>
    <t>SPN.N,mscalc:cashFlowFromInvestingASIF,2015FY,,FYR,,,HOLD</t>
  </si>
  <si>
    <t>SPN.N,mstag:capitalExpenditures,2015FY,,FYR,,,HOLD</t>
  </si>
  <si>
    <t>SPN.N,mscalc:cashFlowFromOperationsASIF,2011FY,,FYR,,,HOLD</t>
  </si>
  <si>
    <t>SPN.N,mscalc:totalCapitalBook,2013FY,,FYR,,,HOLD</t>
  </si>
  <si>
    <t>SPN.N,mscalc:daysSalesOutstanding,2016FY,,FYR,,,HOLD</t>
  </si>
  <si>
    <t>SPN.N,mstag:taxExpenseIncome,2012FY,,FYR,,,HOLD</t>
  </si>
  <si>
    <t>SPN.N,mscalc:DebtNet,2011FY,,FYR,,,HOLD</t>
  </si>
  <si>
    <t>SPN.N,mscalc:cashFlowFromFinancingASIF,2013FY,,FYR,,,HOLD</t>
  </si>
  <si>
    <t>SPN.N,mscalc:totalCapitalBook,2012FY,,FYR,,,HOLD</t>
  </si>
  <si>
    <t>SPN.N,mscalc:cashFlowFromInvestingASIF,2014FY,,FYR,,,HOLD</t>
  </si>
  <si>
    <t>SPN.N,mscalc:cashFlowFromInvestingASIF,2012FY,,FYR,,,HOLD</t>
  </si>
  <si>
    <t>SPN.N,mscalc:cashFlowFromInvestingASIF,2011FY,,FYR,,,HOLD</t>
  </si>
  <si>
    <t>SPN.N,mstag:taxExpenseIncome,2015FY,,FYR,,,HOLD</t>
  </si>
  <si>
    <t>SPN.N,mscalc:tangibleBookValuePerShare,2012FY,,FYR,,,HOLD</t>
  </si>
  <si>
    <t>SPN.N,mscalc:cashFlowFromOperationsASIF,2016FY,,FYR,,,HOLD</t>
  </si>
  <si>
    <t>SPN.N,mscalc:tangibleBookValuePerShare,2013FY,,FYR,,,HOLD</t>
  </si>
  <si>
    <t>SPN.N,mscalc:cashFlowFromFinancingASIF,2012FY,,FYR,,,HOLD</t>
  </si>
  <si>
    <t>SPN.N,mstag:capitalExpenditures,2012FY,,FYR,,,HOLD</t>
  </si>
  <si>
    <t>SPN.N,mscalc:daysSalesOutstanding,2015FY,,FYR,,,HOLD</t>
  </si>
  <si>
    <t>SPN.N,mscalc:daysInventoryOnHand,2014FY,,FYR,,,HOLD</t>
  </si>
  <si>
    <t>SPN.N,mscalc:shareholdersEquityExcludingAdjustments2,2014FY,,FYR,,,HOLD</t>
  </si>
  <si>
    <t>SPN.N,mscalc:interestExpenseNet,2014FY,,FYR,,,HOLD</t>
  </si>
  <si>
    <t>SPN.N,mscalc:shareholdersEquityExcludingAdjustments2,2011FY,,FYR,,,HOLD</t>
  </si>
  <si>
    <t>SPN.N,mscalc:operatingRevenue,2013FY,,FYR,,,HOLD</t>
  </si>
  <si>
    <t>SPN.N,mstag:capitalExpenditures,2014FY,,FYR,,,HOLD</t>
  </si>
  <si>
    <t>SPN.N,mscalc:operatingRevenue,2014FY,,FYR,,,HOLD</t>
  </si>
  <si>
    <t>SPN.N,mstag:capitalExpenditures,2016FY,,FYR,,,HOLD</t>
  </si>
  <si>
    <t>SPN.N,mscalc:DebtNet,2015FY,,FYR,,,HOLD</t>
  </si>
  <si>
    <t>SPN.N,mscalc:shareholdersEquityExcludingAdjustments2,2016FY,,FYR,,,HOLD</t>
  </si>
  <si>
    <t>SPN.N,mstag:capitalExpenditures,2011FY,,FYR,,,HOLD</t>
  </si>
  <si>
    <t>SPN.N,mscalc:DebtNet,2016FY,,FYR,,,HOLD</t>
  </si>
  <si>
    <t>SPN.N,mscalc:interestExpenseNet,2015FY,,FYR,,,HOLD</t>
  </si>
  <si>
    <t>SPN.N,mscalc:cashFlowFromInvestingASIF,2013FY,,FYR,,,HOLD</t>
  </si>
  <si>
    <t>SPN.N,mscalc:dilutedEarningsPerShare,2016FY,,FYR,,,HOLD</t>
  </si>
  <si>
    <t>SPN.N,mscalc:totalCapitalBook,2011FY,,FYR,,,HOLD</t>
  </si>
  <si>
    <t>SPN.N,mscalc:cashFlowFromFinancingASIF,2014FY,,FYR,,,HOLD</t>
  </si>
  <si>
    <t>SPN.N,mscalc:cashFlowFromOperationsASIF,2015FY,,FYR,,,HOLD</t>
  </si>
  <si>
    <t>SPN.N,mscalc:operatingRevenue,2016FY,,FYR,,,HOLD</t>
  </si>
  <si>
    <t>SPN.N,mscalc:DebtNet,2013FY,,FYR,,,HOLD</t>
  </si>
  <si>
    <t>SPN.N,mscalc:tangibleBookValuePerShare,2014FY,,FYR,,,HOLD</t>
  </si>
  <si>
    <t>SPN.N,mscalc:operatingRevenue,2015FY,,FYR,,,HOLD</t>
  </si>
  <si>
    <t>SPN.N,mscalc:daysSalesOutstanding,2013FY,,FYR,,,HOLD</t>
  </si>
  <si>
    <t>SPN.N,mscalc:daysInventoryOnHand,2013FY,,FYR,,,HOLD</t>
  </si>
  <si>
    <t>SPN.N,mscalc:dilutedEarningsPerShare,2013FY,,FYR,,,HOLD</t>
  </si>
  <si>
    <t>SPN.N,mstag:taxExpenseIncome,2016FY,,FYR,,,HOLD</t>
  </si>
  <si>
    <t>SPN.N,mscalc:DebtNet,2012FY,,FYR,,,HOLD</t>
  </si>
  <si>
    <t>SPN.N,mscalc:dilutedEarningsPerShare,2012FY,,FYR,,,HOLD</t>
  </si>
  <si>
    <t>SPN.N,mscalc:cashFlowFromFinancingASIF,2011FY,,FYR,,,HOLD</t>
  </si>
  <si>
    <t>SPN.N,mscalc:interestExpenseNet,2011FY,,FYR,,,HOLD</t>
  </si>
  <si>
    <t>SPN.N,mscalc:tangibleBookValuePerShare,2015FY,,FYR,,,HOLD</t>
  </si>
  <si>
    <t>SPN.N,mscalc:dilutedEarningsPerShare,2011FY,,FYR,,,HOLD</t>
  </si>
  <si>
    <t>SPN.N,mscalc:operatingRevenue,2012FY,,FYR,,,HOLD</t>
  </si>
  <si>
    <t>SPN.N,mscalc:DebtNet,2014FY,,FYR,,,HOLD</t>
  </si>
  <si>
    <t>SPN.N,mstag:taxExpenseIncome,2013FY,,FYR,,,HOLD</t>
  </si>
  <si>
    <t>SPN.N,mscalc:operatingRevenue,2011FY,,FYR,,,HOLD</t>
  </si>
  <si>
    <t>SPN.N,mscalc:cashFlowFromInvestingASIF,2016FY,,FYR,,,HOLD</t>
  </si>
  <si>
    <t>SPN.N,mscalc:interestExpenseNet,2016FY,,FYR,,,HOLD</t>
  </si>
  <si>
    <t>SPN.N,mscalc:cashFlowFromOperationsASIF,2012FY,,FYR,,,HOLD</t>
  </si>
  <si>
    <t>1,033.011</t>
  </si>
  <si>
    <t>10.652366267156</t>
  </si>
  <si>
    <t>(1.29001684849975)</t>
  </si>
  <si>
    <t>4,231.079</t>
  </si>
  <si>
    <t>4,131.444</t>
  </si>
  <si>
    <t>1.78634365437345</t>
  </si>
  <si>
    <t>5,335.475</t>
  </si>
  <si>
    <t>3,265.015</t>
  </si>
  <si>
    <t>113.659</t>
  </si>
  <si>
    <t>2,210.812</t>
  </si>
  <si>
    <t>608.96</t>
  </si>
  <si>
    <t>30.3483225932039</t>
  </si>
  <si>
    <t>1.82544725120159</t>
  </si>
  <si>
    <t>2,400.929</t>
  </si>
  <si>
    <t>(357.13)</t>
  </si>
  <si>
    <t>74.237081768029</t>
  </si>
  <si>
    <t>421.865</t>
  </si>
  <si>
    <t>161.399</t>
  </si>
  <si>
    <t>104.407</t>
  </si>
  <si>
    <t>(71.083)</t>
  </si>
  <si>
    <t>892.808</t>
  </si>
  <si>
    <t>24.7806283133826</t>
  </si>
  <si>
    <t>(390.558)</t>
  </si>
  <si>
    <t>358.226</t>
  </si>
  <si>
    <t>492.554</t>
  </si>
  <si>
    <t>5,601.932</t>
  </si>
  <si>
    <t>75.005861189327</t>
  </si>
  <si>
    <t>228.034</t>
  </si>
  <si>
    <t>1,605.623</t>
  </si>
  <si>
    <t>(182.392)</t>
  </si>
  <si>
    <t>5,974.38</t>
  </si>
  <si>
    <t>(482.502)</t>
  </si>
  <si>
    <t>(1,974.028)</t>
  </si>
  <si>
    <t>(464.047)</t>
  </si>
  <si>
    <t>(102.98)</t>
  </si>
  <si>
    <t>10.65732115965</t>
  </si>
  <si>
    <t>61.252</t>
  </si>
  <si>
    <t>10.4312622679717</t>
  </si>
  <si>
    <t>SPN.N,mscalc:dilutedEarningsPerShare,,,FYR,,,HOLD</t>
  </si>
  <si>
    <t>950.01</t>
  </si>
  <si>
    <t>1,141.922</t>
  </si>
  <si>
    <t>56.8410798552876</t>
  </si>
  <si>
    <t>19.9907388454851</t>
  </si>
  <si>
    <t>4,079.738</t>
  </si>
  <si>
    <t>96.734</t>
  </si>
  <si>
    <t>1,453.599</t>
  </si>
  <si>
    <t>4,611.824</t>
  </si>
  <si>
    <t>616.102</t>
  </si>
  <si>
    <t>4,556.622</t>
  </si>
  <si>
    <t>80.548</t>
  </si>
  <si>
    <t>1,054.203</t>
  </si>
  <si>
    <t>1,303.92</t>
  </si>
  <si>
    <t>(1,854.716)</t>
  </si>
  <si>
    <t>484.648</t>
  </si>
  <si>
    <t>1,097.009</t>
  </si>
  <si>
    <t>97.318</t>
  </si>
  <si>
    <t>(605.568)</t>
  </si>
  <si>
    <t>(2.48990808738626)</t>
  </si>
  <si>
    <t>3,059.222</t>
  </si>
  <si>
    <t>SPN.N,mscalc:totalCashIncludingShorttermInvestmentsForCac,2012FY,,FYR,,,HOLD</t>
  </si>
  <si>
    <t>SPN.N,mstag:propertyPlantAndEquipmentNet,2016FY,,FYR,,,HOLD</t>
  </si>
  <si>
    <t>SPN.N,mscalc:averageReturnOnEquityRoe,2011FY,,FYR,,,HOLD</t>
  </si>
  <si>
    <t>SPN.N,mscalc:workingCapital,2014FY,,FYR,,,HOLD</t>
  </si>
  <si>
    <t>SPN.N,mscalc:currentRatio,2015FY,,FYR,,,HOLD</t>
  </si>
  <si>
    <t>SPN.N,mscalc:currentAssets,2013FY,,FYR,,,HOLD</t>
  </si>
  <si>
    <t>SPN.N,msuser:cmTotalliabilities20060608T045950222112121235831541212130198961,2015FY,,FYR,,,HOLD</t>
  </si>
  <si>
    <t>SPN.N,mscalc:currentLiabilities,2014FY,,FYR,,,HOLD</t>
  </si>
  <si>
    <t>SPN.N,mscalc:currentLiabilities,2016FY,,FYR,,,HOLD</t>
  </si>
  <si>
    <t>SPN.N,mscalc:currentRatio,2013FY,,FYR,,,HOLD</t>
  </si>
  <si>
    <t>SPN.N,mscalc:averageReturnOnEquityRoe,2013FY,,FYR,,,HOLD</t>
  </si>
  <si>
    <t>SPN.N,mscalc:totalCashIncludingShorttermInvestmentsForCac,2011FY,,FYR,,,HOLD</t>
  </si>
  <si>
    <t>SPN.N,mscalc:workingCapital,2015FY,,FYR,,,HOLD</t>
  </si>
  <si>
    <t>SPN.N,mstag:propertyPlantAndEquipmentNet,2014FY,,FYR,,,HOLD</t>
  </si>
  <si>
    <t>SPN.N,mscalc:totalLiabilitiesAndShareholdersEquity,2011FY,,FYR,,,HOLD</t>
  </si>
  <si>
    <t>SPN.N,mstag:propertyPlantAndEquipmentNet,2013FY,,FYR,,,HOLD</t>
  </si>
  <si>
    <t>SPN.N,mstag:propertyPlantAndEquipmentNet,2011FY,,FYR,,,HOLD</t>
  </si>
  <si>
    <t>SPN.N,mscalc:currentLiabilities,2015FY,,FYR,,,HOLD</t>
  </si>
  <si>
    <t>SPN.N,mscalc:totalLiabilitiesAndShareholdersEquity,2016FY,,FYR,,,HOLD</t>
  </si>
  <si>
    <t>SPN.N,mscalc:totalCashIncludingShorttermInvestmentsForCac,2015FY,,FYR,,,HOLD</t>
  </si>
  <si>
    <t>SPN.N,msuser:cmTotalliabilities20060608T045950222112121235831541212130198961,2016FY,,FYR,,,HOLD</t>
  </si>
  <si>
    <t>SPN.N,mscalc:totalLiabilitiesAndShareholdersEquity,2013FY,,FYR,,,HOLD</t>
  </si>
  <si>
    <t>SPN.N,mscalc:totalCashIncludingShorttermInvestmentsForCac,2014FY,,FYR,,,HOLD</t>
  </si>
  <si>
    <t>SPN.N,mscalc:averageReturnOnEquityRoe,2016FY,,FYR,,,HOLD</t>
  </si>
  <si>
    <t>SPN.N,mscalc:averageReturnOnEquityRoe,2012FY,,FYR,,,HOLD</t>
  </si>
  <si>
    <t>SPN.N,mscalc:totalCashIncludingShorttermInvestmentsForCac,2013FY,,FYR,,,HOLD</t>
  </si>
  <si>
    <t>SPN.N,mscalc:currentAssets,2015FY,,FYR,,,HOLD</t>
  </si>
  <si>
    <t>SPN.N,msuser:cmTotalliabilities20060608T045950222112121235831541212130198961,2014FY,,FYR,,,HOLD</t>
  </si>
  <si>
    <t>SPN.N,mscalc:workingCapital,2011FY,,FYR,,,HOLD</t>
  </si>
  <si>
    <t>SPN.N,mscalc:currentAssets,2014FY,,FYR,,,HOLD</t>
  </si>
  <si>
    <t>SPN.N,mscalc:currentAssets,2012FY,,FYR,,,HOLD</t>
  </si>
  <si>
    <t>SPN.N,mscalc:totalAssets,2015FY,,FYR,,,HOLD</t>
  </si>
  <si>
    <t>SPN.N,mscalc:currentAssets,2011FY,,FYR,,,HOLD</t>
  </si>
  <si>
    <t>SPN.N,mscalc:workingCapital,2012FY,,FYR,,,HOLD</t>
  </si>
  <si>
    <t>SPN.N,mscalc:averageReturnOnEquityRoe,2014FY,,FYR,,,HOLD</t>
  </si>
  <si>
    <t>SPN.N,mscalc:totalLiabilitiesAndShareholdersEquity,2015FY,,FYR,,,HOLD</t>
  </si>
  <si>
    <t>SPN.N,mscalc:currentLiabilities,2013FY,,FYR,,,HOLD</t>
  </si>
  <si>
    <t>SPN.N,mscalc:currentRatio,2012FY,,FYR,,,HOLD</t>
  </si>
  <si>
    <t>SPN.N,mstag:propertyPlantAndEquipmentNet,2015FY,,FYR,,,HOLD</t>
  </si>
  <si>
    <t>SPN.N,mscalc:totalAssets,2012FY,,FYR,,,HOLD</t>
  </si>
  <si>
    <t>SPN.N,mscalc:totalCashIncludingShorttermInvestmentsForCac,2016FY,,FYR,,,HOLD</t>
  </si>
  <si>
    <t>SPN.N,mscalc:averageReturnOnEquityRoe,2015FY,,FYR,,,HOLD</t>
  </si>
  <si>
    <t>SPN.N,mscalc:totalAssets,2016FY,,FYR,,,HOLD</t>
  </si>
  <si>
    <t>SPN.N,mscalc:totalAssets,2011FY,,FYR,,,HOLD</t>
  </si>
  <si>
    <t>SPN.N,mscalc:totalAssets,2014FY,,FYR,,,HOLD</t>
  </si>
  <si>
    <t>SPN.N,mstag:propertyPlantAndEquipmentNet,2012FY,,FYR,,,HOLD</t>
  </si>
  <si>
    <t>SPN.N,mscalc:workingCapital,2016FY,,FYR,,,HOLD</t>
  </si>
  <si>
    <t>SPN.N,mscalc:currentRatio,2016FY,,FYR,,,HOLD</t>
  </si>
  <si>
    <t>SPN.N,mscalc:currentRatio,2014FY,,FYR,,,HOLD</t>
  </si>
  <si>
    <t>SPN.N,msuser:cmTotalliabilities20060608T045950222112121235831541212130198961,2013FY,,FYR,,,HOLD</t>
  </si>
  <si>
    <t>SPN.N,mscalc:currentLiabilities,2012FY,,FYR,,,HOLD</t>
  </si>
  <si>
    <t>SPN.N,mscalc:currentLiabilities,2011FY,,FYR,,,HOLD</t>
  </si>
  <si>
    <t>SPN.N,mscalc:workingCapital,2013FY,,FYR,,,HOLD</t>
  </si>
  <si>
    <t>SPN.N,mscalc:totalLiabilitiesAndShareholdersEquity,2014FY,,FYR,,,HOLD</t>
  </si>
  <si>
    <t>SPN.N,msuser:cmTotalliabilities20060608T045950222112121235831541212130198961,2011FY,,FYR,,,HOLD</t>
  </si>
  <si>
    <t>SPN.N,mscalc:totalAssets,2013FY,,FYR,,,HOLD</t>
  </si>
  <si>
    <t>SPN.N,msuser:cmTotalliabilities20060608T045950222112121235831541212130198961,2012FY,,FYR,,,HOLD</t>
  </si>
  <si>
    <t>SPN.N,mscalc:totalLiabilitiesAndShareholdersEquity,2012FY,,FYR,,,HOLD</t>
  </si>
  <si>
    <t>SPN.N,mscalc:currentRatio,2011FY,,FYR,,,HOLD</t>
  </si>
  <si>
    <t>SPN.N,mscalc:currentAssets,2016FY,,FYR,,,HOLD</t>
  </si>
  <si>
    <t>1,470.488</t>
  </si>
  <si>
    <t>1,743.301</t>
  </si>
  <si>
    <t>564.017</t>
  </si>
  <si>
    <t>883.222</t>
  </si>
  <si>
    <t>(0.0617097074182703)</t>
  </si>
  <si>
    <t>3,279.863</t>
  </si>
  <si>
    <t>187.591</t>
  </si>
  <si>
    <t>1,034.943</t>
  </si>
  <si>
    <t>712.047</t>
  </si>
  <si>
    <t>2,703.432</t>
  </si>
  <si>
    <t>2,123.291</t>
  </si>
  <si>
    <t>1,016.764</t>
  </si>
  <si>
    <t>4,568.068</t>
  </si>
  <si>
    <t>3,571.807</t>
  </si>
  <si>
    <t>7,377.389</t>
  </si>
  <si>
    <t>437.017</t>
  </si>
  <si>
    <t>688.292</t>
  </si>
  <si>
    <t>7,411.307</t>
  </si>
  <si>
    <t>(353.51)</t>
  </si>
  <si>
    <t>3,255.22</t>
  </si>
  <si>
    <t>2,166.335</t>
  </si>
  <si>
    <t>1,460.357</t>
  </si>
  <si>
    <t>74.1737271413653</t>
  </si>
  <si>
    <t>7,802.886</t>
  </si>
  <si>
    <t>126.611</t>
  </si>
  <si>
    <t>1.04</t>
  </si>
  <si>
    <t>2.30908507976228</t>
  </si>
  <si>
    <t>2.63753831260433</t>
  </si>
  <si>
    <t>2,751.665</t>
  </si>
  <si>
    <t>4,048.145</t>
  </si>
  <si>
    <t>1,255.737</t>
  </si>
  <si>
    <t>68.439</t>
  </si>
  <si>
    <t>1.89149488708852</t>
  </si>
  <si>
    <t>2.26842924065549</t>
  </si>
  <si>
    <t>2.42794506542405</t>
  </si>
  <si>
    <t>2,733.839</t>
  </si>
  <si>
    <t>26.9634780396618</t>
  </si>
  <si>
    <t>1,728.811</t>
  </si>
  <si>
    <t>2.24434037298016</t>
  </si>
  <si>
    <t>781.551</t>
  </si>
  <si>
    <t>7.85898818374915</t>
  </si>
  <si>
    <t>(80.548)</t>
  </si>
  <si>
    <t>0.0683921023794138</t>
  </si>
  <si>
    <t>448.576</t>
  </si>
  <si>
    <t>1,450.047</t>
  </si>
  <si>
    <t>639.4</t>
  </si>
  <si>
    <t>92.754</t>
  </si>
  <si>
    <t>1,295.125</t>
  </si>
  <si>
    <t>1,507.368</t>
  </si>
  <si>
    <t>1,964.332</t>
  </si>
  <si>
    <t>5.08427754990781</t>
  </si>
  <si>
    <t>2,594.546</t>
  </si>
  <si>
    <t>(162.596)</t>
  </si>
  <si>
    <t>3,470.255</t>
  </si>
  <si>
    <t>0.123704990582082</t>
  </si>
  <si>
    <t>1.56129165016821</t>
  </si>
  <si>
    <t>393.533</t>
  </si>
  <si>
    <t>2.88719191396776</t>
  </si>
  <si>
    <t>3,297.651</t>
  </si>
  <si>
    <t>393.046</t>
  </si>
  <si>
    <t>196.047</t>
  </si>
  <si>
    <t>2.08538134286947</t>
  </si>
  <si>
    <t>(0.214732161655569)</t>
  </si>
  <si>
    <t>0.0598819279779559</t>
  </si>
  <si>
    <t>91.199</t>
  </si>
  <si>
    <t>772.065</t>
  </si>
  <si>
    <t>837.029</t>
  </si>
  <si>
    <t>489.689</t>
  </si>
  <si>
    <t>344.534</t>
  </si>
  <si>
    <t>0.139948472015477</t>
  </si>
  <si>
    <t>4,914.244</t>
  </si>
  <si>
    <t>3,002.194</t>
  </si>
  <si>
    <t>1,476.429</t>
  </si>
  <si>
    <t>1,605.365</t>
  </si>
  <si>
    <t>846.549</t>
  </si>
  <si>
    <t>80.274</t>
  </si>
  <si>
    <t>632.612</t>
  </si>
  <si>
    <t>SPN.N,mscalc:depreciationAndAmortization,2017FY,,FYR,,,HOLD</t>
  </si>
  <si>
    <t>SPN.N,mscalc:depreciationAndAmortization,2019FY,,FYR,,,HOLD</t>
  </si>
  <si>
    <t>SPN.N,mscalc:depreciationAndAmortization,2018FY,,FYR,,,HOLD</t>
  </si>
  <si>
    <t>452.927360608</t>
  </si>
  <si>
    <t>436.612314468465</t>
  </si>
  <si>
    <t>434.848845239016</t>
  </si>
  <si>
    <t>SPN.N,mstag:costOfSalesWithoutDepreciation,2019FY,,FYR,,,HOLD</t>
  </si>
  <si>
    <t>SPN.N,mstag:tradeAndOtherPayables,2019FY,,FYR,,,HOLD</t>
  </si>
  <si>
    <t>SPN.N,mstag:tradeAndOtherPayables,2018FY,,FYR,,,HOLD</t>
  </si>
  <si>
    <t>SPN.N,mscalc:ebitda,2018FY,,FYR,,,HOLD</t>
  </si>
  <si>
    <t>SPN.N,mstag:costOfSalesWithoutDepreciation,2018FY,,FYR,,,HOLD</t>
  </si>
  <si>
    <t>SPN.N,mstag:netIncomeReported,2019FY,,FYR,,,HOLD</t>
  </si>
  <si>
    <t>SPN.N,mstag:tradeAndOtherPayables,2017FY,,FYR,,,HOLD</t>
  </si>
  <si>
    <t>SPN.N,mscalc:ebitda,2017FY,,FYR,,,HOLD</t>
  </si>
  <si>
    <t>SPN.N,mstag:costOfSalesWithoutDepreciation,2017FY,,FYR,,,HOLD</t>
  </si>
  <si>
    <t>SPN.N,mstag:netIncomeReported,2018FY,,FYR,,,HOLD</t>
  </si>
  <si>
    <t>SPN.N,mstag:netIncomeReported,2017FY,,FYR,,,HOLD</t>
  </si>
  <si>
    <t>SPN.N,mscalc:ebitda,2019FY,,FYR,,,HOLD</t>
  </si>
  <si>
    <t>2,177.22395847345</t>
  </si>
  <si>
    <t>195.914689804102</t>
  </si>
  <si>
    <t>156.437106809712</t>
  </si>
  <si>
    <t>424.17719977811</t>
  </si>
  <si>
    <t>1,791.68399140964</t>
  </si>
  <si>
    <t>32.8082707057021</t>
  </si>
  <si>
    <t>126.878253226521</t>
  </si>
  <si>
    <t>191.921257636</t>
  </si>
  <si>
    <t>1,429.896039364</t>
  </si>
  <si>
    <t>(70.1185303210832)</t>
  </si>
  <si>
    <t>(243.286247788519)</t>
  </si>
  <si>
    <t>578.657702398096</t>
  </si>
  <si>
    <t>SPN.N,mscalc:cashFlowFromFinancingASIF,2018FY,,FYR,,,HOLD</t>
  </si>
  <si>
    <t>SPN.N,mscalc:daysSalesOutstanding,2018FY,,FYR,,,HOLD</t>
  </si>
  <si>
    <t>SPN.N,mscalc:daysSalesOutstanding,2019FY,,FYR,,,HOLD</t>
  </si>
  <si>
    <t>SPN.N,mscalc:tangibleBookValuePerShare,2019FY,,FYR,,,HOLD</t>
  </si>
  <si>
    <t>SPN.N,mscalc:shareholdersEquityExcludingAdjustments2,2019FY,,FYR,,,HOLD</t>
  </si>
  <si>
    <t>SPN.N,mscalc:DebtNet,2018FY,,FYR,,,HOLD</t>
  </si>
  <si>
    <t>SPN.N,mstag:capitalExpenditures,2019FY,,FYR,,,HOLD</t>
  </si>
  <si>
    <t>SPN.N,mscalc:operatingRevenue,2018FY,,FYR,,,HOLD</t>
  </si>
  <si>
    <t>SPN.N,mscalc:operatingRevenue,2017FY,,FYR,,,HOLD</t>
  </si>
  <si>
    <t>SPN.N,mstag:capitalExpenditures,2017FY,,FYR,,,HOLD</t>
  </si>
  <si>
    <t>SPN.N,mscalc:daysInventoryOnHand,2017FY,,FYR,,,HOLD</t>
  </si>
  <si>
    <t>SPN.N,mscalc:cashFlowFromFinancingASIF,2017FY,,FYR,,,HOLD</t>
  </si>
  <si>
    <t>SPN.N,mscalc:cashFlowFromInvestingASIF,2019FY,,FYR,,,HOLD</t>
  </si>
  <si>
    <t>SPN.N,mscalc:operatingRevenue,2019FY,,FYR,,,HOLD</t>
  </si>
  <si>
    <t>SPN.N,mstag:taxExpenseIncome,2017FY,,FYR,,,HOLD</t>
  </si>
  <si>
    <t>SPN.N,mscalc:interestExpenseNet,2019FY,,FYR,,,HOLD</t>
  </si>
  <si>
    <t>SPN.N,mscalc:DebtNet,2019FY,,FYR,,,HOLD</t>
  </si>
  <si>
    <t>SPN.N,mscalc:dilutedEarningsPerShare,2017FY,,FYR,,,HOLD</t>
  </si>
  <si>
    <t>SPN.N,mscalc:totalCapitalBook,2019FY,,FYR,,,HOLD</t>
  </si>
  <si>
    <t>SPN.N,mscalc:totalCapitalBook,2018FY,,FYR,,,HOLD</t>
  </si>
  <si>
    <t>SPN.N,mscalc:shareholdersEquityExcludingAdjustments2,2017FY,,FYR,,,HOLD</t>
  </si>
  <si>
    <t>SPN.N,mscalc:interestExpenseNet,2018FY,,FYR,,,HOLD</t>
  </si>
  <si>
    <t>SPN.N,mscalc:daysInventoryOnHand,2019FY,,FYR,,,HOLD</t>
  </si>
  <si>
    <t>SPN.N,mstag:taxExpenseIncome,2018FY,,FYR,,,HOLD</t>
  </si>
  <si>
    <t>SPN.N,mscalc:dilutedEarningsPerShare,2018FY,,FYR,,,HOLD</t>
  </si>
  <si>
    <t>SPN.N,mscalc:daysSalesOutstanding,2017FY,,FYR,,,HOLD</t>
  </si>
  <si>
    <t>SPN.N,mscalc:cashFlowFromInvestingASIF,2018FY,,FYR,,,HOLD</t>
  </si>
  <si>
    <t>SPN.N,mscalc:cashFlowFromInvestingASIF,2017FY,,FYR,,,HOLD</t>
  </si>
  <si>
    <t>SPN.N,mscalc:daysInventoryOnHand,2018FY,,FYR,,,HOLD</t>
  </si>
  <si>
    <t>SPN.N,mscalc:dilutedEarningsPerShare,2019FY,,FYR,,,HOLD</t>
  </si>
  <si>
    <t>SPN.N,mscalc:cashFlowFromOperationsASIF,2018FY,,FYR,,,HOLD</t>
  </si>
  <si>
    <t>SPN.N,mscalc:shareholdersEquityExcludingAdjustments2,2018FY,,FYR,,,HOLD</t>
  </si>
  <si>
    <t>SPN.N,mstag:taxExpenseIncome,2019FY,,FYR,,,HOLD</t>
  </si>
  <si>
    <t>SPN.N,mscalc:cashFlowFromOperationsASIF,2019FY,,FYR,,,HOLD</t>
  </si>
  <si>
    <t>SPN.N,mscalc:interestExpenseNet,2017FY,,FYR,,,HOLD</t>
  </si>
  <si>
    <t>SPN.N,mstag:capitalExpenditures,2018FY,,FYR,,,HOLD</t>
  </si>
  <si>
    <t>SPN.N,mscalc:totalCapitalBook,2017FY,,FYR,,,HOLD</t>
  </si>
  <si>
    <t>SPN.N,mscalc:cashFlowFromFinancingASIF,2019FY,,FYR,,,HOLD</t>
  </si>
  <si>
    <t>SPN.N,mscalc:DebtNet,2017FY,,FYR,,,HOLD</t>
  </si>
  <si>
    <t>SPN.N,mscalc:tangibleBookValuePerShare,2018FY,,FYR,,,HOLD</t>
  </si>
  <si>
    <t>SPN.N,mscalc:cashFlowFromOperationsASIF,2017FY,,FYR,,,HOLD</t>
  </si>
  <si>
    <t>SPN.N,mscalc:tangibleBookValuePerShare,2017FY,,FYR,,,HOLD</t>
  </si>
  <si>
    <t>0</t>
  </si>
  <si>
    <t>74.9557076388918</t>
  </si>
  <si>
    <t>77.2822595895551</t>
  </si>
  <si>
    <t>0.943701280085152</t>
  </si>
  <si>
    <t>1,131.6974925961</t>
  </si>
  <si>
    <t>1,100.97389166836</t>
  </si>
  <si>
    <t>2,552.18440398775</t>
  </si>
  <si>
    <t>1,934.018297</t>
  </si>
  <si>
    <t>144.24939703104</t>
  </si>
  <si>
    <t>27.875850749191</t>
  </si>
  <si>
    <t>29.809</t>
  </si>
  <si>
    <t>(436.612314468465)</t>
  </si>
  <si>
    <t>3,119.92872256079</t>
  </si>
  <si>
    <t>(117.258010161048)</t>
  </si>
  <si>
    <t>93.3663099551327</t>
  </si>
  <si>
    <t>1,168.38871699348</t>
  </si>
  <si>
    <t>(1.56736279619232)</t>
  </si>
  <si>
    <t>2,300.08620958958</t>
  </si>
  <si>
    <t>2,162.51911355876</t>
  </si>
  <si>
    <t>1,094.31975221148</t>
  </si>
  <si>
    <t>27.357819814021</t>
  </si>
  <si>
    <t>(33.9194250949568)</t>
  </si>
  <si>
    <t>(0.458719785950803)</t>
  </si>
  <si>
    <t>79.6298493108414</t>
  </si>
  <si>
    <t>(227.847440381707)</t>
  </si>
  <si>
    <t>(144.24939703104)</t>
  </si>
  <si>
    <t>25.6450491300592</t>
  </si>
  <si>
    <t>0.214633747265109</t>
  </si>
  <si>
    <t>256.96419688987</t>
  </si>
  <si>
    <t>1,061.5452218904</t>
  </si>
  <si>
    <t>15.8708072687958</t>
  </si>
  <si>
    <t>369.197489143347</t>
  </si>
  <si>
    <t>94.2661549775663</t>
  </si>
  <si>
    <t>227.847440381707</t>
  </si>
  <si>
    <t>2,224.410400388</t>
  </si>
  <si>
    <t>1,130.09064817652</t>
  </si>
  <si>
    <t>0.499450025631886</t>
  </si>
  <si>
    <t>83.9147488545162</t>
  </si>
  <si>
    <t>0.718566777366329</t>
  </si>
  <si>
    <t>SPN.N,mscalc:currentLiabilities,2018FY,,FYR,,,HOLD</t>
  </si>
  <si>
    <t>SPN.N,mscalc:totalAssets,2019FY,,FYR,,,HOLD</t>
  </si>
  <si>
    <t>SPN.N,mscalc:totalLiabilitiesAndShareholdersEquity,2017FY,,FYR,,,HOLD</t>
  </si>
  <si>
    <t>SPN.N,mscalc:totalLiabilitiesAndShareholdersEquity,2019FY,,FYR,,,HOLD</t>
  </si>
  <si>
    <t>SPN.N,mstag:propertyPlantAndEquipmentNet,2017FY,,FYR,,,HOLD</t>
  </si>
  <si>
    <t>SPN.N,mscalc:totalCashIncludingShorttermInvestmentsForCac,2018FY,,FYR,,,HOLD</t>
  </si>
  <si>
    <t>SPN.N,mscalc:currentRatio,2018FY,,FYR,,,HOLD</t>
  </si>
  <si>
    <t>SPN.N,mscalc:totalAssets,2018FY,,FYR,,,HOLD</t>
  </si>
  <si>
    <t>SPN.N,mscalc:totalLiabilitiesAndShareholdersEquity,2018FY,,FYR,,,HOLD</t>
  </si>
  <si>
    <t>SPN.N,mscalc:totalCashIncludingShorttermInvestmentsForCac,2019FY,,FYR,,,HOLD</t>
  </si>
  <si>
    <t>SPN.N,mscalc:currentAssets,2019FY,,FYR,,,HOLD</t>
  </si>
  <si>
    <t>SPN.N,mscalc:workingCapital,2019FY,,FYR,,,HOLD</t>
  </si>
  <si>
    <t>SPN.N,mscalc:averageReturnOnEquityRoe,2017FY,,FYR,,,HOLD</t>
  </si>
  <si>
    <t>SPN.N,mscalc:currentLiabilities,2019FY,,FYR,,,HOLD</t>
  </si>
  <si>
    <t>SPN.N,mstag:propertyPlantAndEquipmentNet,2019FY,,FYR,,,HOLD</t>
  </si>
  <si>
    <t>SPN.N,msuser:cmTotalliabilities20060608T045950222112121235831541212130198961,2019FY,,FYR,,,HOLD</t>
  </si>
  <si>
    <t>SPN.N,mscalc:averageReturnOnEquityRoe,2018FY,,FYR,,,HOLD</t>
  </si>
  <si>
    <t>SPN.N,mscalc:totalCashIncludingShorttermInvestmentsForCac,2017FY,,FYR,,,HOLD</t>
  </si>
  <si>
    <t>SPN.N,mscalc:currentRatio,2017FY,,FYR,,,HOLD</t>
  </si>
  <si>
    <t>SPN.N,mscalc:currentAssets,2018FY,,FYR,,,HOLD</t>
  </si>
  <si>
    <t>SPN.N,msuser:cmTotalliabilities20060608T045950222112121235831541212130198961,2017FY,,FYR,,,HOLD</t>
  </si>
  <si>
    <t>SPN.N,mscalc:currentLiabilities,2017FY,,FYR,,,HOLD</t>
  </si>
  <si>
    <t>SPN.N,mscalc:averageReturnOnEquityRoe,2019FY,,FYR,,,HOLD</t>
  </si>
  <si>
    <t>SPN.N,mstag:propertyPlantAndEquipmentNet,2018FY,,FYR,,,HOLD</t>
  </si>
  <si>
    <t>SPN.N,msuser:cmTotalliabilities20060608T045950222112121235831541212130198961,2018FY,,FYR,,,HOLD</t>
  </si>
  <si>
    <t>SPN.N,mscalc:currentAssets,2017FY,,FYR,,,HOLD</t>
  </si>
  <si>
    <t>SPN.N,mscalc:currentRatio,2019FY,,FYR,,,HOLD</t>
  </si>
  <si>
    <t>SPN.N,mscalc:totalAssets,2017FY,,FYR,,,HOLD</t>
  </si>
  <si>
    <t>SPN.N,mscalc:workingCapital,2017FY,,FYR,,,HOLD</t>
  </si>
  <si>
    <t>SPN.N,mscalc:workingCapital,2018FY,,FYR,,,HOLD</t>
  </si>
  <si>
    <t>403.655106809712</t>
  </si>
  <si>
    <t>3,272.88688367919</t>
  </si>
  <si>
    <t>3,192.40186317256</t>
  </si>
  <si>
    <t>3,272.8868836792</t>
  </si>
  <si>
    <t>1,312.34903642304</t>
  </si>
  <si>
    <t>186.182108331641</t>
  </si>
  <si>
    <t>2.51519027329433</t>
  </si>
  <si>
    <t>3,163.2570299791</t>
  </si>
  <si>
    <t>3,163.25702997911</t>
  </si>
  <si>
    <t>118.767283006523</t>
  </si>
  <si>
    <t>1,124.89925211346</t>
  </si>
  <si>
    <t>681.766562309361</t>
  </si>
  <si>
    <t>(0.199747541977527)</t>
  </si>
  <si>
    <t>443.132689804102</t>
  </si>
  <si>
    <t>1,105.34763156573</t>
  </si>
  <si>
    <t>2,141.18939108309</t>
  </si>
  <si>
    <t>(0.0650490927431972)</t>
  </si>
  <si>
    <t>157.065351823477</t>
  </si>
  <si>
    <t>2.23849562653186</t>
  </si>
  <si>
    <t>1,015.26939841337</t>
  </si>
  <si>
    <t>2,098.08211096108</t>
  </si>
  <si>
    <t>374.096253226521</t>
  </si>
  <si>
    <t>0.0299175923293871</t>
  </si>
  <si>
    <t>2,101.7118080887</t>
  </si>
  <si>
    <t>837.412826749522</t>
  </si>
  <si>
    <t>2.53851561393666</t>
  </si>
  <si>
    <t>463.316573523001</t>
  </si>
  <si>
    <t>$IV$4</t>
  </si>
  <si>
    <t>GoM Floater</t>
  </si>
  <si>
    <t>Int'l Floater</t>
  </si>
  <si>
    <t>Int'l Total</t>
  </si>
  <si>
    <t>GoM Total</t>
  </si>
  <si>
    <t>MS Rig Count Forecasts</t>
  </si>
  <si>
    <t>Revolving Credit Facility (Due Oct. 2022)</t>
  </si>
  <si>
    <t>Revolver Capacity - 10/22 Maturity</t>
  </si>
  <si>
    <t>Revolver Availability</t>
  </si>
  <si>
    <t>Min Without Covenants</t>
  </si>
  <si>
    <t>Covenants in Effect?</t>
  </si>
  <si>
    <t>Fixed Charge Coverage</t>
  </si>
  <si>
    <t>Capex</t>
  </si>
  <si>
    <t>Principal Payments</t>
  </si>
  <si>
    <t>Interest (assume = accrued)</t>
  </si>
  <si>
    <t>Cash Tax (assume = accrued)</t>
  </si>
  <si>
    <t>Fixed Charge Coverage Data:</t>
  </si>
  <si>
    <t>Min if Revolver Availability &lt; Min</t>
  </si>
  <si>
    <t>Depreciation &amp; Capex</t>
  </si>
  <si>
    <t>Leverage &amp; Credit Metrics</t>
  </si>
  <si>
    <t>Working Capital Management</t>
  </si>
  <si>
    <t>Return Metrics</t>
  </si>
  <si>
    <t>Segment Detail</t>
  </si>
  <si>
    <t>Assumed Frac EBITDA Margin</t>
  </si>
  <si>
    <t>Assumed Frac Revenues</t>
  </si>
  <si>
    <t>Assumed Frac EBITDA</t>
  </si>
  <si>
    <t>Implied Other EBITDA</t>
  </si>
  <si>
    <t>Implied Other EBITDA Margin</t>
  </si>
  <si>
    <t>Ann. Gross Profit / Active HP (Not Normalized)</t>
  </si>
  <si>
    <t>Ann. EBIT/Active HP (Not Normalized)</t>
  </si>
  <si>
    <t>4Q17</t>
  </si>
  <si>
    <t>Corporate &amp; Other</t>
  </si>
  <si>
    <t>Onshore Completion &amp; Workover Service</t>
  </si>
  <si>
    <t>Superior Energy Services (SPN) Earnings Model</t>
  </si>
  <si>
    <t>Research</t>
  </si>
  <si>
    <t>MSA85HBK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</si>
  <si>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</si>
  <si>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</si>
  <si>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</si>
  <si>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</si>
  <si>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</si>
  <si>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</si>
  <si>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</si>
  <si>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Connor Lynagh</t>
  </si>
  <si>
    <t>Date: 11 Apr 2018</t>
  </si>
  <si>
    <t>Ticker: SPN.N</t>
  </si>
  <si>
    <t>Stock Rating: Equal-Weight</t>
  </si>
  <si>
    <t>Industry: Oil Services, Drilling &amp; Equipment</t>
  </si>
  <si>
    <t>Industry View: In-Line</t>
  </si>
  <si>
    <t>Price as of 11 Apr 2018: 9.47</t>
  </si>
  <si>
    <t>Target Price: 10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</si>
  <si>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</si>
  <si>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</si>
  <si>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</si>
  <si>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</si>
  <si>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Superior Energy Services Inc..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</si>
  <si>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</si>
  <si>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</si>
  <si>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</si>
  <si>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</si>
  <si>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</si>
  <si>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</si>
  <si>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</si>
  <si>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</si>
  <si>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</si>
  <si>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</si>
  <si>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</si>
  <si>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</si>
  <si>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</si>
  <si>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</si>
  <si>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Total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</si>
  <si>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</si>
  <si>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</si>
  <si>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</si>
  <si>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</si>
  <si>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</si>
  <si>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</si>
  <si>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</si>
  <si>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</si>
  <si>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</si>
  <si>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</si>
  <si>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</si>
  <si>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</si>
  <si>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</si>
  <si>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</si>
  <si>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</si>
  <si>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</si>
  <si>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</si>
  <si>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</si>
  <si>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</si>
  <si>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</si>
  <si>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</si>
  <si>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</si>
  <si>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</si>
  <si>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</si>
  <si>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</si>
  <si>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</si>
  <si>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</si>
  <si>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</si>
  <si>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</si>
  <si>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</si>
  <si>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</si>
  <si>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</si>
  <si>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</si>
  <si>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</si>
  <si>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</si>
  <si>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</si>
  <si>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</si>
  <si>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</si>
  <si>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</si>
  <si>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</si>
  <si>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</si>
  <si>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</si>
  <si>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</si>
  <si>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</si>
  <si>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</si>
  <si>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</si>
  <si>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</si>
  <si>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</si>
  <si>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</si>
  <si>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</si>
  <si>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</si>
  <si>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</si>
  <si>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</si>
  <si>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</si>
  <si>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</si>
  <si>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</si>
  <si>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</si>
  <si>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</si>
  <si>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</si>
  <si>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</si>
  <si>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</si>
  <si>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</si>
  <si>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</si>
  <si>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</si>
  <si>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</si>
  <si>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</si>
  <si>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</si>
  <si>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</si>
  <si>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</si>
  <si>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</si>
  <si>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</si>
  <si>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</si>
  <si>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</si>
  <si>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</si>
  <si>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</si>
  <si>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</si>
  <si>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</si>
  <si>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</si>
  <si>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</si>
  <si>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</si>
  <si>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</si>
  <si>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</si>
  <si>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</si>
  <si>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</si>
  <si>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</si>
  <si>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</si>
  <si>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</si>
  <si>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</si>
  <si>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</si>
  <si>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</si>
  <si>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</si>
  <si>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</si>
  <si>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</si>
  <si>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</si>
  <si>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</si>
  <si>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</si>
  <si>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</si>
  <si>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</si>
  <si>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</si>
  <si>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</si>
  <si>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</si>
  <si>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</si>
  <si>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</si>
  <si>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</si>
  <si>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</si>
  <si>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</si>
  <si>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</si>
  <si>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</si>
  <si>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</si>
  <si>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</si>
  <si>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</si>
  <si>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</si>
  <si>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</si>
  <si>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</si>
  <si>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</si>
  <si>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</si>
  <si>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</si>
  <si>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</si>
  <si>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</si>
  <si>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</si>
  <si>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</si>
  <si>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</si>
  <si>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</si>
  <si>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</si>
  <si>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</si>
  <si>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</si>
  <si>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</si>
  <si>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</si>
  <si>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</si>
  <si>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</si>
  <si>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</si>
  <si>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</si>
  <si>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</si>
  <si>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</si>
  <si>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</si>
  <si>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</si>
  <si>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</si>
  <si>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</si>
  <si>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</si>
  <si>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</si>
  <si>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</si>
  <si>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</si>
  <si>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</si>
  <si>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</si>
  <si>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</si>
  <si>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</si>
  <si>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</si>
  <si>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</si>
  <si>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</si>
  <si>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</si>
  <si>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</si>
  <si>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</si>
  <si>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</si>
  <si>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</si>
  <si>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</si>
  <si>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</si>
  <si>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</si>
  <si>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</si>
  <si>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</si>
  <si>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</si>
  <si>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</si>
  <si>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</si>
  <si>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</si>
  <si>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</si>
  <si>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</si>
  <si>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</si>
  <si>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</si>
  <si>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</si>
  <si>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</si>
  <si>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</si>
  <si>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</si>
  <si>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</si>
  <si>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</si>
  <si>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</si>
  <si>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</si>
  <si>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</si>
  <si>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</si>
  <si>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</si>
  <si>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</si>
  <si>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</si>
  <si>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</si>
  <si>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</si>
  <si>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</si>
  <si>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</si>
  <si>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</si>
  <si>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</si>
  <si>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</si>
  <si>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</si>
  <si>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</si>
  <si>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</si>
  <si>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</si>
  <si>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</si>
  <si>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</si>
  <si>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</si>
  <si>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</si>
  <si>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</si>
  <si>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</si>
  <si>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</si>
  <si>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</si>
  <si>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</si>
  <si>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</si>
  <si>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</si>
  <si>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</si>
  <si>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</si>
  <si>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</si>
  <si>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</si>
  <si>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</si>
  <si>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</si>
  <si>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</si>
  <si>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</si>
  <si>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</si>
  <si>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</si>
  <si>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</si>
  <si>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</si>
  <si>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</si>
  <si>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</si>
  <si>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</si>
  <si>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</si>
  <si>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</si>
  <si>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</si>
  <si>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</si>
  <si>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</si>
  <si>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</si>
  <si>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</si>
  <si>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</si>
  <si>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</si>
  <si>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</si>
  <si>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</si>
  <si>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Superior Energy Services Inc..</t>
  </si>
  <si>
    <t>Within the last 12 months, Morgan Stanley has provided or is providing investment banking services to,</t>
  </si>
  <si>
    <t>or has an investment banking client relationship with, the following company: Superior Energy Services</t>
  </si>
  <si>
    <t>Inc..</t>
  </si>
  <si>
    <t>Within the last 12 months, Morgan Stanley has received compensation for products and services other than</t>
  </si>
  <si>
    <t>investment banking services from Superior Energy Services Inc..</t>
  </si>
  <si>
    <t>In the next 3 months, Morgan Stanley expects to receive or intends to seek compensation for investment</t>
  </si>
  <si>
    <t>banking services from Superior Energy Services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</si>
  <si>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</si>
  <si>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</si>
  <si>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</si>
  <si>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</si>
  <si>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</si>
  <si>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Connor Lynagh.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</si>
  <si>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</si>
  <si>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</si>
  <si>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</si>
  <si>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</si>
  <si>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</si>
  <si>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</si>
  <si>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</si>
  <si>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</si>
  <si>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</si>
  <si>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</si>
  <si>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</si>
  <si>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</si>
  <si>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</si>
  <si>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</si>
  <si>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</si>
  <si>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</si>
  <si>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</si>
  <si>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</si>
  <si>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</si>
  <si>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</si>
  <si>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</si>
  <si>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</si>
  <si>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</si>
  <si>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</si>
  <si>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</si>
  <si>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</si>
  <si>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</si>
  <si>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</si>
  <si>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</si>
  <si>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</si>
  <si>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</si>
  <si>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</si>
  <si>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</si>
  <si>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</si>
  <si>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</si>
  <si>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</si>
  <si>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</si>
  <si>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</si>
  <si>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</si>
  <si>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</si>
  <si>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</si>
  <si>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</si>
  <si>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</si>
  <si>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</si>
  <si>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</si>
  <si>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</si>
  <si>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</si>
  <si>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</si>
  <si>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</si>
  <si>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</si>
  <si>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</si>
  <si>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</si>
  <si>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</si>
  <si>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</si>
  <si>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</si>
  <si>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</si>
  <si>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</si>
  <si>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</si>
  <si>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</si>
  <si>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</si>
  <si>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</si>
  <si>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</si>
  <si>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</si>
  <si>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</si>
  <si>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</si>
  <si>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</si>
  <si>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</si>
  <si>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</si>
  <si>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</si>
  <si>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</si>
  <si>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Regular Update</t>
  </si>
  <si>
    <t>NorthAmerica</t>
  </si>
  <si>
    <t>ozierale</t>
  </si>
  <si>
    <t>L:\ENERGY\Lynagh\Models\SPN.xlsm</t>
  </si>
  <si>
    <t>[BRO MSA]</t>
  </si>
  <si>
    <t>[PRODUCT MODEL]</t>
  </si>
  <si>
    <t>[EMAIL_ALERT YES]</t>
  </si>
  <si>
    <t>[DISCIPLINE Company]</t>
  </si>
  <si>
    <t>[SUPPRESSED NO]</t>
  </si>
  <si>
    <t>[DOCDAT 2018-04-11]</t>
  </si>
  <si>
    <t>[DOCTIME 11:37]</t>
  </si>
  <si>
    <t>[PSYM SPN.N(S&amp;P) (None)]</t>
  </si>
  <si>
    <t>[COU 1]</t>
  </si>
  <si>
    <t>[ANA ]</t>
  </si>
  <si>
    <t>[HL SPN.N Model]</t>
  </si>
  <si>
    <t>[IND OILWEL]</t>
  </si>
  <si>
    <t>[PANA MSA85HBK]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</si>
</sst>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###"/>
    <numFmt numFmtId="165" formatCode="#,##0.0%_);\ \(#,##0.0%\);\ &quot;- &quot;"/>
    <numFmt numFmtId="166" formatCode="_(* #,##0_);_(* \(#,##0\);_(* &quot;-&quot;??_);_(@_)"/>
    <numFmt numFmtId="167" formatCode="#,##0.0_);\ \(#,##0.0\);\ &quot;- &quot;"/>
    <numFmt numFmtId="168" formatCode="0.0%_);\(0.0%\);&quot;–&quot;_)"/>
    <numFmt numFmtId="169" formatCode="0%_);\(0%\);&quot;–&quot;_)"/>
    <numFmt numFmtId="170" formatCode="#,##0_);\(#,##0\);&quot;-&quot;_);@_)"/>
    <numFmt numFmtId="171" formatCode="#,##0.0_);\(#,##0.0\);&quot;-&quot;_);@_)"/>
    <numFmt numFmtId="172" formatCode="#,##0_);\ \(#,##0\);\ &quot;- &quot;"/>
    <numFmt numFmtId="173" formatCode="0.000%"/>
    <numFmt numFmtId="174" formatCode="#,##0.00_);\(#,##0.00\);&quot;-&quot;_);@_)"/>
    <numFmt numFmtId="175" formatCode="#,##0.0"/>
    <numFmt numFmtId="176" formatCode="#,##0.0_);\(#,##0.0\);\–_)"/>
    <numFmt numFmtId="177" formatCode="#,##0.00_);\ \(#,##0.00\);\ &quot;- &quot;"/>
    <numFmt numFmtId="178" formatCode="#,##0.0\x_);\ \(#,##0.0\x\);\ &quot;- &quot;"/>
    <numFmt numFmtId="179" formatCode="####_)"/>
    <numFmt numFmtId="180" formatCode="#,##0.000_);\(#,##0.000\);&quot;-&quot;_);@_)"/>
    <numFmt numFmtId="181" formatCode="0.0%"/>
    <numFmt numFmtId="182" formatCode="_(#,##0_)_%;_(\(#,##0\)_%;_(&quot;–&quot;_)_%;@_(_%"/>
    <numFmt numFmtId="183" formatCode="#,##0.000_);\ \(#,##0.000\);\ &quot;- &quot;"/>
    <numFmt numFmtId="184" formatCode="[$-409]mmm\-yy;@"/>
    <numFmt numFmtId="185" formatCode="#,##0.0_);\(#,##0.0\);&quot;-&quot;"/>
    <numFmt numFmtId="186" formatCode="0.0%_);\(0.0%\);&quot;-&quot;"/>
    <numFmt numFmtId="187" formatCode="_ * #,##0_ ;_ * \-#,##0_ ;_ * &quot;-&quot;_ ;_ @_ "/>
    <numFmt numFmtId="188" formatCode="#,##0_);\(#,##0\);\–_)"/>
    <numFmt numFmtId="191" formatCode="#,##0.0_);\(#,##0.0\);\–_);&quot;–&quot;_)"/>
    <numFmt numFmtId="192" formatCode="0.0\x_);\(0.0\x\);&quot;–&quot;_)"/>
    <numFmt numFmtId="199" formatCode="#,##0.0000_);\ \(#,##0.0000\);\ &quot;- &quot;"/>
    <numFmt numFmtId="200" formatCode="#,##0.0000000000000_);\(#,##0.0000000000000\)"/>
    <numFmt numFmtId="202" formatCode="_(#,##0.0_)_%;_(\(#,##0.0\)_%;_(&quot;–&quot;_)_%;@_(_%"/>
    <numFmt numFmtId="203" formatCode="#,##0.0000_);\(#,##0.0000\)"/>
    <numFmt numFmtId="204" formatCode="#,##0.0000000_);\(#,##0.0000000\)"/>
    <numFmt numFmtId="210" formatCode="mm/dd/yy\ hh:mm"/>
  </numFmts>
  <fonts count="52">
    <font>
      <sz val="8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indexed="48"/>
      <name val="Arial"/>
      <family val="2"/>
    </font>
    <font>
      <sz val="8"/>
      <color indexed="12"/>
      <name val="Arial"/>
      <family val="2"/>
    </font>
    <font>
      <sz val="5"/>
      <name val="Arial"/>
      <family val="2"/>
    </font>
    <font>
      <b/>
      <sz val="8"/>
      <color indexed="53"/>
      <name val="Arial"/>
      <family val="2"/>
    </font>
    <font>
      <b/>
      <sz val="8"/>
      <color indexed="10"/>
      <name val="Arial"/>
      <family val="2"/>
    </font>
    <font>
      <b/>
      <sz val="8"/>
      <color indexed="54"/>
      <name val="Arial"/>
      <family val="2"/>
    </font>
    <font>
      <sz val="8"/>
      <color indexed="10"/>
      <name val="Arial"/>
      <family val="2"/>
    </font>
    <font>
      <sz val="8"/>
      <color indexed="19"/>
      <name val="Arial"/>
      <family val="2"/>
    </font>
    <font>
      <sz val="8"/>
      <color indexed="54"/>
      <name val="Arial"/>
      <family val="2"/>
    </font>
    <font>
      <b/>
      <sz val="8"/>
      <name val="Arial"/>
      <family val="2"/>
    </font>
    <font>
      <b/>
      <sz val="5"/>
      <name val="Arial"/>
      <family val="2"/>
    </font>
    <font>
      <i/>
      <sz val="8"/>
      <name val="Arial"/>
      <family val="2"/>
    </font>
    <font>
      <i/>
      <sz val="8"/>
      <color indexed="48"/>
      <name val="Arial"/>
      <family val="2"/>
    </font>
    <font>
      <i/>
      <sz val="8"/>
      <color indexed="55"/>
      <name val="Arial"/>
      <family val="2"/>
    </font>
    <font>
      <i/>
      <sz val="8"/>
      <color indexed="10"/>
      <name val="Arial"/>
      <family val="2"/>
    </font>
    <font>
      <u/>
      <sz val="8"/>
      <name val="Arial"/>
      <family val="2"/>
    </font>
    <font>
      <sz val="8"/>
      <color indexed="8"/>
      <name val="Arial"/>
      <family val="2"/>
    </font>
    <font>
      <sz val="8"/>
      <color indexed="24"/>
      <name val="Arial"/>
      <family val="2"/>
    </font>
    <font>
      <b/>
      <i/>
      <sz val="8"/>
      <name val="Arial"/>
      <family val="2"/>
    </font>
    <font>
      <b/>
      <sz val="8"/>
      <color indexed="12"/>
      <name val="Arial"/>
      <family val="2"/>
    </font>
    <font>
      <b/>
      <sz val="8"/>
      <color indexed="19"/>
      <name val="Arial"/>
      <family val="2"/>
    </font>
    <font>
      <b/>
      <sz val="12"/>
      <color indexed="8"/>
      <name val="News Gothic MT"/>
      <family val="2"/>
    </font>
    <font>
      <sz val="5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Beatles"/>
      <charset val="16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2"/>
      <name val="바탕체"/>
      <family val="1"/>
      <charset val="129"/>
    </font>
    <font>
      <sz val="11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8"/>
      <color rgb="FF137CB1"/>
      <name val="Arial"/>
      <family val="2"/>
    </font>
    <font>
      <sz val="8"/>
      <color rgb="FF000000"/>
      <name val="Arial"/>
      <family val="2"/>
    </font>
    <font>
      <i/>
      <sz val="8"/>
      <color rgb="FFFF0000"/>
      <name val="Arial"/>
      <family val="2"/>
    </font>
    <font>
      <b/>
      <sz val="8"/>
      <color rgb="FF137CB1"/>
      <name val="Arial"/>
      <family val="2"/>
    </font>
    <font>
      <sz val="8"/>
      <color rgb="FF008000"/>
      <name val="Arial"/>
      <family val="2"/>
    </font>
    <font>
      <b/>
      <sz val="8"/>
      <color rgb="FF000000"/>
      <name val="Arial"/>
      <family val="2"/>
    </font>
    <font>
      <i/>
      <sz val="8"/>
      <color rgb="FF000000"/>
      <name val="Arial"/>
      <family val="2"/>
    </font>
    <font>
      <sz val="5"/>
      <color rgb="FF008000"/>
      <name val="Arial"/>
      <family val="2"/>
    </font>
    <font>
      <sz val="10"/>
      <name val="Courier"/>
      <family val="3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6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30">
    <xf numFmtId="0" fontId="0" fillId="0" borderId="0"/>
    <xf numFmtId="0" fontId="28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 applyNumberFormat="0" applyFont="0" applyFill="0" applyBorder="0" applyAlignment="0" applyProtection="0"/>
    <xf numFmtId="0" fontId="1" fillId="0" borderId="0"/>
    <xf numFmtId="0" fontId="29" fillId="0" borderId="0"/>
    <xf numFmtId="0" fontId="29" fillId="0" borderId="0"/>
    <xf numFmtId="0" fontId="3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185" fontId="2" fillId="0" borderId="0"/>
    <xf numFmtId="0" fontId="2" fillId="0" borderId="0"/>
    <xf numFmtId="0" fontId="32" fillId="0" borderId="0">
      <alignment vertical="center"/>
    </xf>
    <xf numFmtId="9" fontId="1" fillId="0" borderId="0" applyFont="0" applyFill="0" applyBorder="0" applyAlignment="0" applyProtection="0"/>
    <xf numFmtId="186" fontId="1" fillId="0" borderId="0" applyFont="0" applyFill="0" applyBorder="0" applyAlignment="0" applyProtection="0"/>
    <xf numFmtId="0" fontId="1" fillId="2" borderId="0" applyNumberFormat="0" applyFont="0" applyBorder="0" applyAlignment="0" applyProtection="0"/>
    <xf numFmtId="0" fontId="33" fillId="0" borderId="0"/>
    <xf numFmtId="0" fontId="33" fillId="0" borderId="1">
      <alignment horizontal="centerContinuous"/>
    </xf>
    <xf numFmtId="0" fontId="34" fillId="0" borderId="1"/>
    <xf numFmtId="185" fontId="12" fillId="0" borderId="2"/>
    <xf numFmtId="187" fontId="35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7" fillId="0" borderId="0"/>
    <xf numFmtId="9" fontId="37" fillId="0" borderId="0" applyFont="0" applyFill="0" applyBorder="0" applyAlignment="0" applyProtection="0"/>
    <xf numFmtId="0" fontId="48" fillId="0" borderId="0"/>
  </cellStyleXfs>
  <cellXfs count="365">
    <xf numFmtId="0" fontId="0" fillId="0" borderId="0" xfId="0"/>
    <xf numFmtId="0" fontId="1" fillId="0" borderId="0" xfId="13"/>
    <xf numFmtId="0" fontId="2" fillId="3" borderId="0" xfId="13" applyFont="1" applyFill="1"/>
    <xf numFmtId="0" fontId="2" fillId="0" borderId="0" xfId="13" applyFont="1" applyFill="1"/>
    <xf numFmtId="0" fontId="5" fillId="3" borderId="0" xfId="13" applyFont="1" applyFill="1"/>
    <xf numFmtId="0" fontId="2" fillId="0" borderId="0" xfId="13" applyFont="1" applyFill="1" applyBorder="1"/>
    <xf numFmtId="0" fontId="3" fillId="0" borderId="0" xfId="13" applyFont="1" applyFill="1"/>
    <xf numFmtId="0" fontId="2" fillId="0" borderId="0" xfId="13" applyFont="1"/>
    <xf numFmtId="0" fontId="6" fillId="0" borderId="0" xfId="13" applyFont="1" applyFill="1" applyBorder="1" applyAlignment="1">
      <alignment horizontal="right"/>
    </xf>
    <xf numFmtId="0" fontId="7" fillId="0" borderId="0" xfId="13" applyFont="1" applyFill="1" applyBorder="1" applyAlignment="1">
      <alignment horizontal="right"/>
    </xf>
    <xf numFmtId="0" fontId="8" fillId="0" borderId="0" xfId="13" applyFont="1" applyFill="1" applyBorder="1" applyAlignment="1">
      <alignment horizontal="right"/>
    </xf>
    <xf numFmtId="0" fontId="5" fillId="0" borderId="0" xfId="13" applyFont="1" applyFill="1"/>
    <xf numFmtId="165" fontId="3" fillId="0" borderId="0" xfId="13" applyNumberFormat="1" applyFont="1" applyFill="1" applyBorder="1"/>
    <xf numFmtId="165" fontId="2" fillId="0" borderId="0" xfId="13" applyNumberFormat="1" applyFont="1" applyFill="1"/>
    <xf numFmtId="165" fontId="40" fillId="0" borderId="0" xfId="13" applyNumberFormat="1" applyFont="1" applyFill="1"/>
    <xf numFmtId="165" fontId="9" fillId="0" borderId="0" xfId="13" applyNumberFormat="1" applyFont="1" applyFill="1" applyAlignment="1">
      <alignment horizontal="right"/>
    </xf>
    <xf numFmtId="165" fontId="2" fillId="0" borderId="0" xfId="13" applyNumberFormat="1" applyFont="1" applyFill="1" applyAlignment="1">
      <alignment horizontal="right"/>
    </xf>
    <xf numFmtId="0" fontId="2" fillId="0" borderId="0" xfId="13" applyFont="1" applyFill="1" applyAlignment="1">
      <alignment horizontal="left"/>
    </xf>
    <xf numFmtId="166" fontId="2" fillId="0" borderId="0" xfId="9" applyNumberFormat="1" applyFont="1" applyFill="1" applyBorder="1"/>
    <xf numFmtId="166" fontId="2" fillId="0" borderId="0" xfId="9" applyNumberFormat="1" applyFont="1" applyFill="1"/>
    <xf numFmtId="166" fontId="9" fillId="0" borderId="0" xfId="9" applyNumberFormat="1" applyFont="1" applyFill="1"/>
    <xf numFmtId="43" fontId="2" fillId="0" borderId="0" xfId="9" applyFont="1" applyFill="1" applyBorder="1"/>
    <xf numFmtId="43" fontId="2" fillId="0" borderId="0" xfId="9" applyFont="1" applyFill="1"/>
    <xf numFmtId="43" fontId="9" fillId="0" borderId="0" xfId="9" applyFont="1" applyFill="1"/>
    <xf numFmtId="165" fontId="10" fillId="0" borderId="0" xfId="13" applyNumberFormat="1" applyFont="1" applyFill="1"/>
    <xf numFmtId="165" fontId="9" fillId="0" borderId="0" xfId="13" applyNumberFormat="1" applyFont="1" applyFill="1"/>
    <xf numFmtId="165" fontId="11" fillId="0" borderId="0" xfId="13" applyNumberFormat="1" applyFont="1" applyFill="1"/>
    <xf numFmtId="0" fontId="12" fillId="0" borderId="0" xfId="13" applyFont="1"/>
    <xf numFmtId="167" fontId="4" fillId="0" borderId="0" xfId="13" applyNumberFormat="1" applyFont="1" applyFill="1"/>
    <xf numFmtId="167" fontId="2" fillId="0" borderId="0" xfId="13" applyNumberFormat="1" applyFont="1" applyFill="1"/>
    <xf numFmtId="167" fontId="9" fillId="0" borderId="0" xfId="13" applyNumberFormat="1" applyFont="1" applyFill="1" applyAlignment="1">
      <alignment horizontal="right"/>
    </xf>
    <xf numFmtId="167" fontId="2" fillId="0" borderId="0" xfId="13" applyNumberFormat="1" applyFont="1" applyFill="1" applyAlignment="1">
      <alignment horizontal="right"/>
    </xf>
    <xf numFmtId="168" fontId="2" fillId="0" borderId="0" xfId="13" applyNumberFormat="1" applyFont="1" applyFill="1" applyAlignment="1">
      <alignment horizontal="right"/>
    </xf>
    <xf numFmtId="0" fontId="2" fillId="0" borderId="0" xfId="13" applyFont="1" applyFill="1" applyAlignment="1">
      <alignment horizontal="left" indent="1"/>
    </xf>
    <xf numFmtId="169" fontId="2" fillId="0" borderId="0" xfId="13" applyNumberFormat="1" applyFont="1" applyFill="1"/>
    <xf numFmtId="0" fontId="12" fillId="0" borderId="0" xfId="13" applyFont="1" applyFill="1" applyAlignment="1">
      <alignment horizontal="left"/>
    </xf>
    <xf numFmtId="166" fontId="2" fillId="0" borderId="0" xfId="9" applyNumberFormat="1" applyFont="1" applyFill="1" applyAlignment="1">
      <alignment horizontal="left"/>
    </xf>
    <xf numFmtId="171" fontId="2" fillId="0" borderId="0" xfId="13" applyNumberFormat="1" applyFont="1" applyFill="1" applyAlignment="1">
      <alignment horizontal="right"/>
    </xf>
    <xf numFmtId="171" fontId="12" fillId="0" borderId="0" xfId="13" applyNumberFormat="1" applyFont="1" applyFill="1"/>
    <xf numFmtId="171" fontId="12" fillId="0" borderId="0" xfId="13" applyNumberFormat="1" applyFont="1" applyFill="1" applyBorder="1"/>
    <xf numFmtId="171" fontId="40" fillId="0" borderId="0" xfId="13" applyNumberFormat="1" applyFont="1" applyFill="1"/>
    <xf numFmtId="171" fontId="13" fillId="0" borderId="0" xfId="13" applyNumberFormat="1" applyFont="1" applyFill="1"/>
    <xf numFmtId="0" fontId="12" fillId="3" borderId="0" xfId="13" applyFont="1" applyFill="1"/>
    <xf numFmtId="0" fontId="12" fillId="0" borderId="0" xfId="13" applyFont="1" applyFill="1"/>
    <xf numFmtId="0" fontId="12" fillId="0" borderId="0" xfId="13" applyFont="1" applyFill="1" applyBorder="1"/>
    <xf numFmtId="168" fontId="2" fillId="0" borderId="0" xfId="13" applyNumberFormat="1" applyFont="1" applyFill="1"/>
    <xf numFmtId="166" fontId="2" fillId="0" borderId="0" xfId="9" applyNumberFormat="1" applyFont="1" applyFill="1" applyAlignment="1">
      <alignment horizontal="left" indent="1"/>
    </xf>
    <xf numFmtId="172" fontId="13" fillId="0" borderId="0" xfId="13" applyNumberFormat="1" applyFont="1" applyFill="1"/>
    <xf numFmtId="172" fontId="2" fillId="0" borderId="0" xfId="13" applyNumberFormat="1" applyFont="1" applyFill="1"/>
    <xf numFmtId="172" fontId="9" fillId="0" borderId="0" xfId="13" applyNumberFormat="1" applyFont="1" applyFill="1"/>
    <xf numFmtId="172" fontId="5" fillId="0" borderId="0" xfId="13" applyNumberFormat="1" applyFont="1" applyFill="1"/>
    <xf numFmtId="171" fontId="2" fillId="0" borderId="0" xfId="13" applyNumberFormat="1" applyFont="1" applyFill="1"/>
    <xf numFmtId="171" fontId="5" fillId="0" borderId="0" xfId="13" applyNumberFormat="1" applyFont="1" applyFill="1"/>
    <xf numFmtId="171" fontId="2" fillId="0" borderId="0" xfId="13" applyNumberFormat="1" applyFont="1" applyFill="1" applyBorder="1"/>
    <xf numFmtId="7" fontId="3" fillId="0" borderId="0" xfId="13" applyNumberFormat="1" applyFont="1" applyFill="1"/>
    <xf numFmtId="0" fontId="9" fillId="0" borderId="0" xfId="13" applyFont="1" applyFill="1"/>
    <xf numFmtId="0" fontId="5" fillId="0" borderId="0" xfId="13" applyFont="1"/>
    <xf numFmtId="0" fontId="3" fillId="0" borderId="0" xfId="13" applyFont="1" applyFill="1" applyBorder="1"/>
    <xf numFmtId="0" fontId="12" fillId="0" borderId="0" xfId="4" applyNumberFormat="1" applyFont="1" applyFill="1" applyBorder="1" applyAlignment="1">
      <alignment horizontal="left" vertical="center"/>
    </xf>
    <xf numFmtId="0" fontId="2" fillId="0" borderId="0" xfId="4" applyNumberFormat="1" applyFont="1" applyFill="1" applyBorder="1" applyAlignment="1">
      <alignment horizontal="left" vertical="center"/>
    </xf>
    <xf numFmtId="0" fontId="2" fillId="0" borderId="0" xfId="4" applyNumberFormat="1" applyFont="1" applyFill="1" applyBorder="1" applyAlignment="1">
      <alignment horizontal="left" vertical="center" indent="1"/>
    </xf>
    <xf numFmtId="171" fontId="2" fillId="4" borderId="0" xfId="13" applyNumberFormat="1" applyFont="1" applyFill="1"/>
    <xf numFmtId="0" fontId="2" fillId="0" borderId="0" xfId="13" applyFont="1" applyFill="1" applyAlignment="1">
      <alignment horizontal="right"/>
    </xf>
    <xf numFmtId="165" fontId="2" fillId="0" borderId="0" xfId="13" applyNumberFormat="1" applyFont="1" applyFill="1" applyBorder="1"/>
    <xf numFmtId="0" fontId="2" fillId="0" borderId="0" xfId="4" applyNumberFormat="1" applyFont="1" applyFill="1" applyBorder="1" applyAlignment="1">
      <alignment horizontal="left" indent="1"/>
    </xf>
    <xf numFmtId="49" fontId="2" fillId="0" borderId="0" xfId="4" applyNumberFormat="1" applyFont="1" applyFill="1" applyBorder="1"/>
    <xf numFmtId="173" fontId="2" fillId="0" borderId="0" xfId="16" applyNumberFormat="1" applyFont="1" applyFill="1" applyAlignment="1">
      <alignment horizontal="left" wrapText="1" indent="1"/>
    </xf>
    <xf numFmtId="173" fontId="2" fillId="0" borderId="0" xfId="16" applyNumberFormat="1" applyFont="1" applyFill="1" applyAlignment="1">
      <alignment horizontal="left" indent="1"/>
    </xf>
    <xf numFmtId="171" fontId="41" fillId="0" borderId="0" xfId="13" applyNumberFormat="1" applyFont="1" applyFill="1"/>
    <xf numFmtId="173" fontId="2" fillId="0" borderId="0" xfId="16" applyNumberFormat="1" applyFont="1" applyFill="1" applyAlignment="1">
      <alignment wrapText="1"/>
    </xf>
    <xf numFmtId="174" fontId="40" fillId="0" borderId="0" xfId="13" applyNumberFormat="1" applyFont="1" applyFill="1"/>
    <xf numFmtId="171" fontId="2" fillId="5" borderId="0" xfId="13" applyNumberFormat="1" applyFont="1" applyFill="1"/>
    <xf numFmtId="172" fontId="15" fillId="0" borderId="0" xfId="13" applyNumberFormat="1" applyFont="1" applyFill="1" applyBorder="1"/>
    <xf numFmtId="172" fontId="42" fillId="5" borderId="0" xfId="13" applyNumberFormat="1" applyFont="1" applyFill="1"/>
    <xf numFmtId="172" fontId="42" fillId="0" borderId="0" xfId="13" applyNumberFormat="1" applyFont="1" applyFill="1"/>
    <xf numFmtId="0" fontId="39" fillId="0" borderId="0" xfId="13" applyFont="1" applyFill="1"/>
    <xf numFmtId="0" fontId="16" fillId="0" borderId="0" xfId="13" applyFont="1" applyFill="1"/>
    <xf numFmtId="175" fontId="3" fillId="0" borderId="0" xfId="13" applyNumberFormat="1" applyFont="1" applyFill="1" applyBorder="1"/>
    <xf numFmtId="175" fontId="3" fillId="0" borderId="0" xfId="13" applyNumberFormat="1" applyFont="1" applyFill="1"/>
    <xf numFmtId="176" fontId="3" fillId="0" borderId="0" xfId="13" applyNumberFormat="1" applyFont="1" applyFill="1"/>
    <xf numFmtId="7" fontId="2" fillId="0" borderId="0" xfId="13" applyNumberFormat="1" applyFont="1" applyFill="1" applyBorder="1"/>
    <xf numFmtId="7" fontId="2" fillId="0" borderId="0" xfId="13" applyNumberFormat="1" applyFont="1" applyFill="1"/>
    <xf numFmtId="7" fontId="9" fillId="0" borderId="0" xfId="13" applyNumberFormat="1" applyFont="1" applyFill="1" applyAlignment="1">
      <alignment horizontal="right"/>
    </xf>
    <xf numFmtId="175" fontId="40" fillId="0" borderId="0" xfId="13" applyNumberFormat="1" applyFont="1" applyFill="1"/>
    <xf numFmtId="167" fontId="40" fillId="0" borderId="0" xfId="13" applyNumberFormat="1" applyFont="1" applyFill="1"/>
    <xf numFmtId="177" fontId="2" fillId="0" borderId="0" xfId="13" applyNumberFormat="1" applyFont="1" applyFill="1" applyBorder="1"/>
    <xf numFmtId="177" fontId="2" fillId="0" borderId="0" xfId="13" applyNumberFormat="1" applyFont="1" applyFill="1"/>
    <xf numFmtId="49" fontId="2" fillId="0" borderId="0" xfId="9" applyNumberFormat="1" applyFont="1" applyFill="1" applyAlignment="1">
      <alignment horizontal="left"/>
    </xf>
    <xf numFmtId="175" fontId="2" fillId="0" borderId="0" xfId="13" applyNumberFormat="1" applyFont="1" applyFill="1" applyBorder="1"/>
    <xf numFmtId="175" fontId="2" fillId="0" borderId="0" xfId="13" applyNumberFormat="1" applyFont="1" applyFill="1"/>
    <xf numFmtId="175" fontId="41" fillId="0" borderId="0" xfId="13" applyNumberFormat="1" applyFont="1" applyFill="1" applyBorder="1"/>
    <xf numFmtId="175" fontId="41" fillId="0" borderId="0" xfId="13" applyNumberFormat="1" applyFont="1" applyFill="1"/>
    <xf numFmtId="3" fontId="40" fillId="0" borderId="0" xfId="13" applyNumberFormat="1" applyFont="1" applyFill="1"/>
    <xf numFmtId="49" fontId="12" fillId="0" borderId="0" xfId="4" applyNumberFormat="1" applyFont="1" applyFill="1" applyBorder="1"/>
    <xf numFmtId="165" fontId="40" fillId="0" borderId="0" xfId="13" applyNumberFormat="1" applyFont="1" applyFill="1" applyBorder="1" applyAlignment="1"/>
    <xf numFmtId="165" fontId="40" fillId="0" borderId="0" xfId="13" applyNumberFormat="1" applyFont="1" applyFill="1" applyAlignment="1"/>
    <xf numFmtId="165" fontId="2" fillId="0" borderId="0" xfId="13" applyNumberFormat="1" applyFont="1" applyFill="1" applyAlignment="1"/>
    <xf numFmtId="165" fontId="2" fillId="0" borderId="0" xfId="13" applyNumberFormat="1" applyFont="1" applyFill="1" applyBorder="1" applyAlignment="1"/>
    <xf numFmtId="171" fontId="2" fillId="0" borderId="0" xfId="13" applyNumberFormat="1" applyFont="1" applyFill="1" applyBorder="1" applyAlignment="1"/>
    <xf numFmtId="171" fontId="2" fillId="0" borderId="0" xfId="13" applyNumberFormat="1" applyFont="1" applyFill="1" applyAlignment="1"/>
    <xf numFmtId="171" fontId="9" fillId="0" borderId="0" xfId="13" applyNumberFormat="1" applyFont="1" applyFill="1" applyAlignment="1">
      <alignment horizontal="right"/>
    </xf>
    <xf numFmtId="171" fontId="4" fillId="0" borderId="0" xfId="13" applyNumberFormat="1" applyFont="1" applyFill="1" applyBorder="1" applyAlignment="1"/>
    <xf numFmtId="178" fontId="2" fillId="0" borderId="0" xfId="13" applyNumberFormat="1" applyFont="1" applyFill="1" applyBorder="1" applyAlignment="1"/>
    <xf numFmtId="178" fontId="2" fillId="0" borderId="0" xfId="13" applyNumberFormat="1" applyFont="1" applyFill="1" applyAlignment="1"/>
    <xf numFmtId="178" fontId="9" fillId="0" borderId="0" xfId="13" applyNumberFormat="1" applyFont="1" applyFill="1" applyAlignment="1">
      <alignment horizontal="right"/>
    </xf>
    <xf numFmtId="178" fontId="2" fillId="0" borderId="0" xfId="13" applyNumberFormat="1" applyFont="1" applyFill="1" applyAlignment="1">
      <alignment horizontal="right"/>
    </xf>
    <xf numFmtId="167" fontId="4" fillId="0" borderId="0" xfId="13" applyNumberFormat="1" applyFont="1" applyFill="1" applyBorder="1"/>
    <xf numFmtId="171" fontId="2" fillId="0" borderId="0" xfId="13" applyNumberFormat="1" applyFont="1" applyFill="1" applyBorder="1" applyAlignment="1">
      <alignment horizontal="right"/>
    </xf>
    <xf numFmtId="171" fontId="9" fillId="0" borderId="0" xfId="13" applyNumberFormat="1" applyFont="1" applyFill="1"/>
    <xf numFmtId="165" fontId="4" fillId="0" borderId="0" xfId="13" applyNumberFormat="1" applyFont="1" applyFill="1" applyBorder="1"/>
    <xf numFmtId="165" fontId="4" fillId="0" borderId="0" xfId="13" applyNumberFormat="1" applyFont="1" applyFill="1"/>
    <xf numFmtId="178" fontId="2" fillId="0" borderId="0" xfId="13" applyNumberFormat="1" applyFont="1" applyFill="1" applyBorder="1"/>
    <xf numFmtId="178" fontId="2" fillId="0" borderId="0" xfId="13" applyNumberFormat="1" applyFont="1" applyFill="1"/>
    <xf numFmtId="178" fontId="2" fillId="0" borderId="0" xfId="13" applyNumberFormat="1" applyFont="1" applyFill="1" applyBorder="1" applyAlignment="1">
      <alignment horizontal="right"/>
    </xf>
    <xf numFmtId="179" fontId="12" fillId="0" borderId="0" xfId="13" applyNumberFormat="1" applyFont="1" applyFill="1" applyBorder="1" applyAlignment="1">
      <alignment horizontal="right"/>
    </xf>
    <xf numFmtId="179" fontId="12" fillId="0" borderId="3" xfId="13" applyNumberFormat="1" applyFont="1" applyFill="1" applyBorder="1" applyAlignment="1">
      <alignment horizontal="right"/>
    </xf>
    <xf numFmtId="179" fontId="7" fillId="0" borderId="0" xfId="13" applyNumberFormat="1" applyFont="1" applyFill="1" applyBorder="1" applyAlignment="1">
      <alignment horizontal="right"/>
    </xf>
    <xf numFmtId="0" fontId="12" fillId="0" borderId="3" xfId="13" applyFont="1" applyFill="1" applyBorder="1" applyAlignment="1">
      <alignment horizontal="left"/>
    </xf>
    <xf numFmtId="172" fontId="16" fillId="0" borderId="0" xfId="13" applyNumberFormat="1" applyFont="1" applyFill="1"/>
    <xf numFmtId="172" fontId="17" fillId="0" borderId="0" xfId="13" applyNumberFormat="1" applyFont="1" applyFill="1"/>
    <xf numFmtId="172" fontId="14" fillId="0" borderId="0" xfId="13" applyNumberFormat="1" applyFont="1" applyFill="1"/>
    <xf numFmtId="171" fontId="12" fillId="0" borderId="2" xfId="13" applyNumberFormat="1" applyFont="1" applyFill="1" applyBorder="1"/>
    <xf numFmtId="171" fontId="7" fillId="0" borderId="0" xfId="13" applyNumberFormat="1" applyFont="1" applyFill="1" applyBorder="1"/>
    <xf numFmtId="0" fontId="12" fillId="0" borderId="0" xfId="13" applyFont="1" applyFill="1" applyAlignment="1">
      <alignment horizontal="left" indent="1"/>
    </xf>
    <xf numFmtId="171" fontId="2" fillId="0" borderId="4" xfId="13" applyNumberFormat="1" applyFont="1" applyFill="1" applyBorder="1"/>
    <xf numFmtId="171" fontId="2" fillId="0" borderId="2" xfId="13" applyNumberFormat="1" applyFont="1" applyFill="1" applyBorder="1"/>
    <xf numFmtId="171" fontId="9" fillId="0" borderId="0" xfId="13" applyNumberFormat="1" applyFont="1" applyFill="1" applyBorder="1"/>
    <xf numFmtId="171" fontId="3" fillId="0" borderId="0" xfId="13" applyNumberFormat="1" applyFont="1" applyFill="1" applyBorder="1"/>
    <xf numFmtId="171" fontId="3" fillId="0" borderId="0" xfId="13" applyNumberFormat="1" applyFont="1" applyFill="1"/>
    <xf numFmtId="171" fontId="40" fillId="0" borderId="0" xfId="13" applyNumberFormat="1" applyFont="1" applyFill="1" applyBorder="1"/>
    <xf numFmtId="171" fontId="41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Fill="1"/>
    <xf numFmtId="171" fontId="43" fillId="0" borderId="2" xfId="13" applyNumberFormat="1" applyFont="1" applyFill="1" applyBorder="1"/>
    <xf numFmtId="171" fontId="40" fillId="0" borderId="3" xfId="13" applyNumberFormat="1" applyFont="1" applyFill="1" applyBorder="1"/>
    <xf numFmtId="180" fontId="2" fillId="0" borderId="0" xfId="13" applyNumberFormat="1" applyFont="1" applyFill="1"/>
    <xf numFmtId="172" fontId="12" fillId="0" borderId="0" xfId="13" applyNumberFormat="1" applyFont="1" applyFill="1" applyAlignment="1">
      <alignment horizontal="left" indent="1"/>
    </xf>
    <xf numFmtId="171" fontId="3" fillId="0" borderId="3" xfId="13" applyNumberFormat="1" applyFont="1" applyFill="1" applyBorder="1"/>
    <xf numFmtId="0" fontId="12" fillId="0" borderId="0" xfId="13" applyFont="1" applyFill="1" applyBorder="1" applyAlignment="1">
      <alignment horizontal="left"/>
    </xf>
    <xf numFmtId="0" fontId="2" fillId="0" borderId="3" xfId="13" applyFont="1" applyFill="1" applyBorder="1" applyAlignment="1">
      <alignment horizontal="left"/>
    </xf>
    <xf numFmtId="171" fontId="40" fillId="0" borderId="0" xfId="13" applyNumberFormat="1" applyFont="1" applyFill="1" applyAlignment="1">
      <alignment horizontal="right"/>
    </xf>
    <xf numFmtId="171" fontId="3" fillId="0" borderId="0" xfId="13" applyNumberFormat="1" applyFont="1" applyFill="1" applyBorder="1" applyAlignment="1">
      <alignment horizontal="right"/>
    </xf>
    <xf numFmtId="171" fontId="3" fillId="0" borderId="0" xfId="13" applyNumberFormat="1" applyFont="1" applyFill="1" applyAlignment="1">
      <alignment horizontal="right"/>
    </xf>
    <xf numFmtId="0" fontId="18" fillId="0" borderId="0" xfId="13" applyFont="1" applyFill="1"/>
    <xf numFmtId="0" fontId="13" fillId="0" borderId="0" xfId="13" applyFont="1" applyFill="1"/>
    <xf numFmtId="171" fontId="2" fillId="0" borderId="3" xfId="13" applyNumberFormat="1" applyFont="1" applyFill="1" applyBorder="1"/>
    <xf numFmtId="171" fontId="40" fillId="0" borderId="0" xfId="13" applyNumberFormat="1" applyFont="1"/>
    <xf numFmtId="0" fontId="18" fillId="0" borderId="0" xfId="13" applyFont="1" applyFill="1" applyAlignment="1">
      <alignment horizontal="left"/>
    </xf>
    <xf numFmtId="179" fontId="8" fillId="0" borderId="0" xfId="13" applyNumberFormat="1" applyFont="1" applyFill="1" applyBorder="1" applyAlignment="1">
      <alignment horizontal="right"/>
    </xf>
    <xf numFmtId="172" fontId="11" fillId="0" borderId="0" xfId="13" applyNumberFormat="1" applyFont="1" applyFill="1"/>
    <xf numFmtId="172" fontId="12" fillId="0" borderId="0" xfId="13" applyNumberFormat="1" applyFont="1" applyFill="1"/>
    <xf numFmtId="172" fontId="44" fillId="0" borderId="0" xfId="13" applyNumberFormat="1" applyFont="1" applyFill="1" applyBorder="1"/>
    <xf numFmtId="172" fontId="44" fillId="0" borderId="0" xfId="13" applyNumberFormat="1" applyFont="1" applyFill="1"/>
    <xf numFmtId="0" fontId="44" fillId="0" borderId="0" xfId="13" applyFont="1" applyFill="1"/>
    <xf numFmtId="165" fontId="44" fillId="0" borderId="0" xfId="13" applyNumberFormat="1" applyFont="1" applyFill="1"/>
    <xf numFmtId="172" fontId="12" fillId="0" borderId="0" xfId="13" applyNumberFormat="1" applyFont="1" applyFill="1" applyAlignment="1"/>
    <xf numFmtId="168" fontId="2" fillId="0" borderId="0" xfId="13" applyNumberFormat="1" applyFont="1" applyFill="1" applyBorder="1"/>
    <xf numFmtId="181" fontId="2" fillId="0" borderId="0" xfId="13" applyNumberFormat="1" applyFont="1" applyFill="1"/>
    <xf numFmtId="10" fontId="2" fillId="0" borderId="0" xfId="13" applyNumberFormat="1" applyFont="1" applyFill="1" applyBorder="1"/>
    <xf numFmtId="181" fontId="2" fillId="0" borderId="0" xfId="13" applyNumberFormat="1" applyFont="1" applyFill="1" applyBorder="1"/>
    <xf numFmtId="165" fontId="9" fillId="0" borderId="0" xfId="13" applyNumberFormat="1" applyFont="1" applyFill="1" applyBorder="1" applyAlignment="1">
      <alignment horizontal="right"/>
    </xf>
    <xf numFmtId="165" fontId="2" fillId="0" borderId="0" xfId="13" applyNumberFormat="1" applyFont="1" applyFill="1" applyBorder="1" applyAlignment="1">
      <alignment horizontal="right"/>
    </xf>
    <xf numFmtId="171" fontId="2" fillId="0" borderId="0" xfId="9" applyNumberFormat="1" applyFont="1" applyFill="1" applyBorder="1"/>
    <xf numFmtId="171" fontId="2" fillId="0" borderId="2" xfId="9" applyNumberFormat="1" applyFont="1" applyFill="1" applyBorder="1"/>
    <xf numFmtId="171" fontId="2" fillId="0" borderId="0" xfId="9" applyNumberFormat="1" applyFont="1" applyFill="1"/>
    <xf numFmtId="171" fontId="9" fillId="0" borderId="0" xfId="9" applyNumberFormat="1" applyFont="1" applyFill="1" applyBorder="1"/>
    <xf numFmtId="166" fontId="5" fillId="0" borderId="0" xfId="9" applyNumberFormat="1" applyFont="1" applyFill="1"/>
    <xf numFmtId="171" fontId="3" fillId="0" borderId="0" xfId="9" applyNumberFormat="1" applyFont="1" applyFill="1" applyBorder="1"/>
    <xf numFmtId="171" fontId="3" fillId="0" borderId="0" xfId="9" applyNumberFormat="1" applyFont="1" applyFill="1"/>
    <xf numFmtId="171" fontId="40" fillId="0" borderId="0" xfId="9" applyNumberFormat="1" applyFont="1" applyFill="1" applyBorder="1" applyAlignment="1"/>
    <xf numFmtId="171" fontId="9" fillId="0" borderId="0" xfId="9" applyNumberFormat="1" applyFont="1" applyFill="1"/>
    <xf numFmtId="171" fontId="40" fillId="0" borderId="0" xfId="9" applyNumberFormat="1" applyFont="1" applyFill="1" applyBorder="1"/>
    <xf numFmtId="171" fontId="40" fillId="0" borderId="0" xfId="9" applyNumberFormat="1" applyFont="1" applyFill="1"/>
    <xf numFmtId="181" fontId="9" fillId="0" borderId="0" xfId="9" applyNumberFormat="1" applyFont="1" applyFill="1"/>
    <xf numFmtId="180" fontId="20" fillId="0" borderId="0" xfId="13" applyNumberFormat="1" applyFont="1" applyFill="1"/>
    <xf numFmtId="172" fontId="2" fillId="0" borderId="0" xfId="13" applyNumberFormat="1" applyFont="1" applyFill="1" applyAlignment="1">
      <alignment horizontal="left"/>
    </xf>
    <xf numFmtId="172" fontId="2" fillId="0" borderId="0" xfId="13" applyNumberFormat="1" applyFont="1" applyFill="1" applyAlignment="1">
      <alignment horizontal="left" indent="1"/>
    </xf>
    <xf numFmtId="172" fontId="12" fillId="0" borderId="0" xfId="13" applyNumberFormat="1" applyFont="1" applyFill="1" applyAlignment="1">
      <alignment horizontal="left"/>
    </xf>
    <xf numFmtId="9" fontId="41" fillId="0" borderId="0" xfId="13" applyNumberFormat="1" applyFont="1" applyFill="1"/>
    <xf numFmtId="169" fontId="9" fillId="0" borderId="0" xfId="13" applyNumberFormat="1" applyFont="1" applyFill="1"/>
    <xf numFmtId="172" fontId="2" fillId="4" borderId="0" xfId="13" applyNumberFormat="1" applyFont="1" applyFill="1"/>
    <xf numFmtId="171" fontId="20" fillId="0" borderId="0" xfId="13" applyNumberFormat="1" applyFont="1" applyFill="1"/>
    <xf numFmtId="0" fontId="2" fillId="4" borderId="0" xfId="13" applyFont="1" applyFill="1"/>
    <xf numFmtId="166" fontId="45" fillId="0" borderId="0" xfId="9" applyNumberFormat="1" applyFont="1" applyFill="1" applyAlignment="1">
      <alignment horizontal="left"/>
    </xf>
    <xf numFmtId="172" fontId="41" fillId="0" borderId="0" xfId="13" applyNumberFormat="1" applyFont="1" applyFill="1"/>
    <xf numFmtId="166" fontId="41" fillId="0" borderId="0" xfId="9" applyNumberFormat="1" applyFont="1" applyFill="1" applyAlignment="1">
      <alignment horizontal="left" indent="1"/>
    </xf>
    <xf numFmtId="0" fontId="3" fillId="3" borderId="0" xfId="13" applyFont="1" applyFill="1"/>
    <xf numFmtId="166" fontId="46" fillId="0" borderId="0" xfId="9" applyNumberFormat="1" applyFont="1" applyFill="1" applyAlignment="1">
      <alignment horizontal="left"/>
    </xf>
    <xf numFmtId="171" fontId="41" fillId="0" borderId="0" xfId="9" applyNumberFormat="1" applyFont="1" applyFill="1" applyAlignment="1">
      <alignment horizontal="left" indent="1"/>
    </xf>
    <xf numFmtId="171" fontId="45" fillId="0" borderId="0" xfId="9" applyNumberFormat="1" applyFont="1" applyFill="1" applyAlignment="1">
      <alignment horizontal="left" indent="1"/>
    </xf>
    <xf numFmtId="171" fontId="12" fillId="4" borderId="0" xfId="13" applyNumberFormat="1" applyFont="1" applyFill="1"/>
    <xf numFmtId="171" fontId="40" fillId="4" borderId="0" xfId="13" applyNumberFormat="1" applyFont="1" applyFill="1"/>
    <xf numFmtId="171" fontId="45" fillId="0" borderId="0" xfId="13" applyNumberFormat="1" applyFont="1" applyFill="1" applyBorder="1"/>
    <xf numFmtId="176" fontId="40" fillId="4" borderId="0" xfId="13" applyNumberFormat="1" applyFont="1" applyFill="1"/>
    <xf numFmtId="172" fontId="2" fillId="0" borderId="0" xfId="13" applyNumberFormat="1" applyFont="1" applyFill="1" applyAlignment="1">
      <alignment horizontal="centerContinuous"/>
    </xf>
    <xf numFmtId="172" fontId="14" fillId="0" borderId="0" xfId="13" applyNumberFormat="1" applyFont="1" applyFill="1" applyAlignment="1">
      <alignment horizontal="centerContinuous"/>
    </xf>
    <xf numFmtId="166" fontId="41" fillId="0" borderId="0" xfId="9" applyNumberFormat="1" applyFont="1" applyFill="1" applyAlignment="1">
      <alignment horizontal="left"/>
    </xf>
    <xf numFmtId="182" fontId="2" fillId="0" borderId="0" xfId="13" applyNumberFormat="1" applyFont="1" applyFill="1" applyBorder="1"/>
    <xf numFmtId="9" fontId="2" fillId="0" borderId="0" xfId="18" applyFont="1" applyFill="1"/>
    <xf numFmtId="9" fontId="3" fillId="0" borderId="0" xfId="18" applyFont="1" applyFill="1"/>
    <xf numFmtId="176" fontId="2" fillId="0" borderId="0" xfId="13" applyNumberFormat="1" applyFont="1" applyFill="1"/>
    <xf numFmtId="166" fontId="2" fillId="0" borderId="0" xfId="9" applyNumberFormat="1" applyFont="1" applyFill="1" applyAlignment="1">
      <alignment horizontal="left" indent="2"/>
    </xf>
    <xf numFmtId="176" fontId="40" fillId="0" borderId="0" xfId="13" applyNumberFormat="1" applyFont="1" applyFill="1"/>
    <xf numFmtId="37" fontId="2" fillId="0" borderId="0" xfId="9" applyNumberFormat="1" applyFont="1" applyFill="1" applyBorder="1" applyAlignment="1">
      <alignment horizontal="left" indent="2"/>
    </xf>
    <xf numFmtId="166" fontId="12" fillId="0" borderId="0" xfId="9" applyNumberFormat="1" applyFont="1" applyFill="1" applyAlignment="1">
      <alignment horizontal="left" indent="2"/>
    </xf>
    <xf numFmtId="181" fontId="4" fillId="0" borderId="0" xfId="13" applyNumberFormat="1" applyFont="1" applyFill="1" applyBorder="1"/>
    <xf numFmtId="165" fontId="12" fillId="0" borderId="0" xfId="13" applyNumberFormat="1" applyFont="1" applyFill="1" applyBorder="1" applyAlignment="1">
      <alignment horizontal="right"/>
    </xf>
    <xf numFmtId="165" fontId="40" fillId="0" borderId="0" xfId="13" applyNumberFormat="1" applyFont="1" applyFill="1" applyBorder="1"/>
    <xf numFmtId="165" fontId="12" fillId="0" borderId="0" xfId="13" applyNumberFormat="1" applyFont="1" applyFill="1" applyBorder="1"/>
    <xf numFmtId="168" fontId="12" fillId="0" borderId="0" xfId="13" applyNumberFormat="1" applyFont="1" applyFill="1"/>
    <xf numFmtId="164" fontId="12" fillId="0" borderId="0" xfId="13" applyNumberFormat="1" applyFont="1" applyFill="1" applyBorder="1" applyAlignment="1">
      <alignment horizontal="right"/>
    </xf>
    <xf numFmtId="164" fontId="12" fillId="0" borderId="3" xfId="13" applyNumberFormat="1" applyFont="1" applyFill="1" applyBorder="1" applyAlignment="1">
      <alignment horizontal="right"/>
    </xf>
    <xf numFmtId="164" fontId="7" fillId="0" borderId="0" xfId="13" applyNumberFormat="1" applyFont="1" applyFill="1" applyBorder="1" applyAlignment="1">
      <alignment horizontal="right"/>
    </xf>
    <xf numFmtId="172" fontId="12" fillId="0" borderId="3" xfId="13" applyNumberFormat="1" applyFont="1" applyFill="1" applyBorder="1"/>
    <xf numFmtId="172" fontId="5" fillId="0" borderId="0" xfId="13" applyNumberFormat="1" applyFont="1" applyFill="1" applyBorder="1"/>
    <xf numFmtId="172" fontId="2" fillId="0" borderId="0" xfId="13" applyNumberFormat="1" applyFont="1" applyFill="1" applyBorder="1" applyAlignment="1"/>
    <xf numFmtId="177" fontId="40" fillId="0" borderId="0" xfId="13" applyNumberFormat="1" applyFont="1" applyFill="1" applyBorder="1"/>
    <xf numFmtId="177" fontId="40" fillId="0" borderId="0" xfId="13" applyNumberFormat="1" applyFont="1" applyFill="1"/>
    <xf numFmtId="177" fontId="9" fillId="0" borderId="0" xfId="13" applyNumberFormat="1" applyFont="1" applyFill="1"/>
    <xf numFmtId="167" fontId="2" fillId="0" borderId="0" xfId="13" applyNumberFormat="1" applyFont="1" applyFill="1" applyBorder="1" applyAlignment="1"/>
    <xf numFmtId="167" fontId="40" fillId="0" borderId="0" xfId="13" applyNumberFormat="1" applyFont="1" applyFill="1" applyBorder="1" applyAlignment="1"/>
    <xf numFmtId="177" fontId="9" fillId="0" borderId="0" xfId="13" applyNumberFormat="1" applyFont="1" applyFill="1" applyAlignment="1">
      <alignment horizontal="right"/>
    </xf>
    <xf numFmtId="177" fontId="2" fillId="0" borderId="0" xfId="13" applyNumberFormat="1" applyFont="1" applyFill="1" applyAlignment="1">
      <alignment horizontal="right"/>
    </xf>
    <xf numFmtId="177" fontId="12" fillId="0" borderId="0" xfId="13" applyNumberFormat="1" applyFont="1" applyFill="1" applyBorder="1"/>
    <xf numFmtId="177" fontId="12" fillId="0" borderId="0" xfId="13" applyNumberFormat="1" applyFont="1" applyFill="1"/>
    <xf numFmtId="177" fontId="7" fillId="0" borderId="0" xfId="13" applyNumberFormat="1" applyFont="1" applyFill="1" applyAlignment="1">
      <alignment horizontal="right"/>
    </xf>
    <xf numFmtId="177" fontId="12" fillId="0" borderId="0" xfId="13" applyNumberFormat="1" applyFont="1" applyFill="1" applyAlignment="1">
      <alignment horizontal="right"/>
    </xf>
    <xf numFmtId="174" fontId="12" fillId="0" borderId="0" xfId="13" applyNumberFormat="1" applyFont="1" applyFill="1" applyBorder="1"/>
    <xf numFmtId="172" fontId="12" fillId="0" borderId="0" xfId="13" applyNumberFormat="1" applyFont="1" applyFill="1" applyBorder="1"/>
    <xf numFmtId="183" fontId="12" fillId="0" borderId="0" xfId="13" applyNumberFormat="1" applyFont="1" applyFill="1" applyBorder="1"/>
    <xf numFmtId="172" fontId="7" fillId="0" borderId="0" xfId="13" applyNumberFormat="1" applyFont="1" applyFill="1" applyBorder="1"/>
    <xf numFmtId="14" fontId="2" fillId="0" borderId="0" xfId="13" applyNumberFormat="1" applyFont="1" applyFill="1" applyAlignment="1">
      <alignment horizontal="right"/>
    </xf>
    <xf numFmtId="171" fontId="12" fillId="0" borderId="0" xfId="9" applyNumberFormat="1" applyFont="1" applyFill="1" applyBorder="1"/>
    <xf numFmtId="171" fontId="12" fillId="0" borderId="2" xfId="9" applyNumberFormat="1" applyFont="1" applyFill="1" applyBorder="1"/>
    <xf numFmtId="171" fontId="12" fillId="0" borderId="0" xfId="9" applyNumberFormat="1" applyFont="1" applyFill="1"/>
    <xf numFmtId="171" fontId="7" fillId="0" borderId="0" xfId="9" applyNumberFormat="1" applyFont="1" applyFill="1" applyBorder="1"/>
    <xf numFmtId="166" fontId="12" fillId="0" borderId="0" xfId="9" applyNumberFormat="1" applyFont="1" applyFill="1" applyAlignment="1">
      <alignment horizontal="left"/>
    </xf>
    <xf numFmtId="166" fontId="13" fillId="0" borderId="0" xfId="9" applyNumberFormat="1" applyFont="1" applyFill="1"/>
    <xf numFmtId="166" fontId="12" fillId="0" borderId="0" xfId="9" applyNumberFormat="1" applyFont="1" applyFill="1" applyAlignment="1">
      <alignment horizontal="left" indent="1"/>
    </xf>
    <xf numFmtId="171" fontId="43" fillId="0" borderId="0" xfId="9" applyNumberFormat="1" applyFont="1" applyFill="1"/>
    <xf numFmtId="168" fontId="2" fillId="0" borderId="0" xfId="9" applyNumberFormat="1" applyFont="1" applyFill="1"/>
    <xf numFmtId="37" fontId="2" fillId="0" borderId="0" xfId="9" applyNumberFormat="1" applyFont="1" applyFill="1" applyBorder="1" applyAlignment="1">
      <alignment horizontal="left" indent="1"/>
    </xf>
    <xf numFmtId="2" fontId="2" fillId="0" borderId="0" xfId="13" applyNumberFormat="1" applyFont="1" applyFill="1"/>
    <xf numFmtId="0" fontId="11" fillId="0" borderId="0" xfId="13" applyFont="1" applyFill="1"/>
    <xf numFmtId="37" fontId="21" fillId="0" borderId="0" xfId="9" applyNumberFormat="1" applyFont="1" applyFill="1" applyBorder="1" applyAlignment="1">
      <alignment horizontal="left"/>
    </xf>
    <xf numFmtId="171" fontId="8" fillId="0" borderId="0" xfId="9" applyNumberFormat="1" applyFont="1" applyFill="1" applyBorder="1"/>
    <xf numFmtId="0" fontId="22" fillId="0" borderId="0" xfId="13" applyFont="1" applyFill="1" applyBorder="1" applyAlignment="1">
      <alignment horizontal="right"/>
    </xf>
    <xf numFmtId="0" fontId="22" fillId="0" borderId="3" xfId="13" applyFont="1" applyBorder="1" applyAlignment="1">
      <alignment horizontal="right"/>
    </xf>
    <xf numFmtId="0" fontId="22" fillId="0" borderId="3" xfId="13" applyFont="1" applyFill="1" applyBorder="1" applyAlignment="1">
      <alignment horizontal="right"/>
    </xf>
    <xf numFmtId="0" fontId="23" fillId="0" borderId="0" xfId="13" applyFont="1"/>
    <xf numFmtId="0" fontId="8" fillId="0" borderId="3" xfId="13" applyFont="1" applyBorder="1" applyAlignment="1">
      <alignment horizontal="right"/>
    </xf>
    <xf numFmtId="164" fontId="6" fillId="0" borderId="0" xfId="13" applyNumberFormat="1" applyFont="1" applyBorder="1" applyAlignment="1">
      <alignment horizontal="right"/>
    </xf>
    <xf numFmtId="177" fontId="12" fillId="3" borderId="0" xfId="13" applyNumberFormat="1" applyFont="1" applyFill="1"/>
    <xf numFmtId="177" fontId="7" fillId="3" borderId="0" xfId="13" applyNumberFormat="1" applyFont="1" applyFill="1"/>
    <xf numFmtId="177" fontId="12" fillId="3" borderId="0" xfId="13" applyNumberFormat="1" applyFont="1" applyFill="1" applyAlignment="1">
      <alignment horizontal="right"/>
    </xf>
    <xf numFmtId="49" fontId="12" fillId="3" borderId="0" xfId="13" applyNumberFormat="1" applyFont="1" applyFill="1" applyBorder="1" applyAlignment="1">
      <alignment vertical="center"/>
    </xf>
    <xf numFmtId="184" fontId="2" fillId="0" borderId="0" xfId="13" applyNumberFormat="1" applyFont="1" applyFill="1" applyBorder="1"/>
    <xf numFmtId="184" fontId="2" fillId="3" borderId="0" xfId="13" applyNumberFormat="1" applyFont="1" applyFill="1"/>
    <xf numFmtId="2" fontId="9" fillId="3" borderId="0" xfId="13" applyNumberFormat="1" applyFont="1" applyFill="1"/>
    <xf numFmtId="0" fontId="2" fillId="3" borderId="0" xfId="13" applyNumberFormat="1" applyFont="1" applyFill="1"/>
    <xf numFmtId="0" fontId="3" fillId="0" borderId="0" xfId="13" applyFont="1"/>
    <xf numFmtId="9" fontId="2" fillId="0" borderId="0" xfId="9" applyNumberFormat="1" applyFont="1" applyFill="1" applyBorder="1"/>
    <xf numFmtId="2" fontId="9" fillId="0" borderId="0" xfId="13" applyNumberFormat="1" applyFont="1"/>
    <xf numFmtId="2" fontId="2" fillId="0" borderId="0" xfId="13" applyNumberFormat="1" applyFont="1"/>
    <xf numFmtId="49" fontId="12" fillId="0" borderId="0" xfId="13" applyNumberFormat="1" applyFont="1" applyFill="1" applyBorder="1" applyAlignment="1">
      <alignment vertical="center"/>
    </xf>
    <xf numFmtId="0" fontId="1" fillId="0" borderId="0" xfId="13" applyFill="1"/>
    <xf numFmtId="0" fontId="1" fillId="3" borderId="0" xfId="13" applyFill="1"/>
    <xf numFmtId="174" fontId="12" fillId="0" borderId="0" xfId="13" applyNumberFormat="1" applyFont="1"/>
    <xf numFmtId="0" fontId="9" fillId="0" borderId="0" xfId="13" applyFont="1"/>
    <xf numFmtId="49" fontId="24" fillId="0" borderId="0" xfId="13" applyNumberFormat="1" applyFont="1" applyFill="1" applyBorder="1"/>
    <xf numFmtId="0" fontId="25" fillId="0" borderId="0" xfId="13" applyFont="1"/>
    <xf numFmtId="168" fontId="41" fillId="0" borderId="0" xfId="13" applyNumberFormat="1" applyFont="1" applyFill="1"/>
    <xf numFmtId="172" fontId="2" fillId="0" borderId="0" xfId="13" applyNumberFormat="1" applyFont="1" applyFill="1" applyAlignment="1">
      <alignment horizontal="left" indent="2"/>
    </xf>
    <xf numFmtId="171" fontId="45" fillId="0" borderId="0" xfId="13" applyNumberFormat="1" applyFont="1" applyFill="1"/>
    <xf numFmtId="168" fontId="40" fillId="6" borderId="0" xfId="13" applyNumberFormat="1" applyFont="1" applyFill="1"/>
    <xf numFmtId="171" fontId="44" fillId="0" borderId="0" xfId="13" applyNumberFormat="1" applyFont="1" applyFill="1"/>
    <xf numFmtId="0" fontId="12" fillId="0" borderId="0" xfId="13" applyFont="1" applyFill="1" applyAlignment="1"/>
    <xf numFmtId="169" fontId="40" fillId="0" borderId="0" xfId="13" applyNumberFormat="1" applyFont="1" applyFill="1"/>
    <xf numFmtId="166" fontId="2" fillId="0" borderId="0" xfId="9" applyNumberFormat="1" applyFont="1" applyFill="1" applyAlignment="1">
      <alignment horizontal="left" indent="3"/>
    </xf>
    <xf numFmtId="177" fontId="42" fillId="0" borderId="0" xfId="13" applyNumberFormat="1" applyFont="1" applyFill="1"/>
    <xf numFmtId="191" fontId="2" fillId="0" borderId="0" xfId="13" applyNumberFormat="1" applyFont="1" applyFill="1"/>
    <xf numFmtId="180" fontId="40" fillId="0" borderId="0" xfId="13" applyNumberFormat="1" applyFont="1" applyFill="1"/>
    <xf numFmtId="172" fontId="47" fillId="0" borderId="0" xfId="13" applyNumberFormat="1" applyFont="1" applyFill="1"/>
    <xf numFmtId="171" fontId="44" fillId="0" borderId="0" xfId="13" applyNumberFormat="1" applyFont="1" applyFill="1" applyBorder="1"/>
    <xf numFmtId="0" fontId="44" fillId="0" borderId="0" xfId="13" applyFont="1" applyFill="1" applyAlignment="1">
      <alignment horizontal="left"/>
    </xf>
    <xf numFmtId="171" fontId="44" fillId="0" borderId="3" xfId="13" applyNumberFormat="1" applyFont="1" applyFill="1" applyBorder="1"/>
    <xf numFmtId="199" fontId="42" fillId="5" borderId="0" xfId="13" applyNumberFormat="1" applyFont="1" applyFill="1"/>
    <xf numFmtId="188" fontId="44" fillId="0" borderId="0" xfId="13" applyNumberFormat="1" applyFont="1" applyFill="1"/>
    <xf numFmtId="168" fontId="40" fillId="0" borderId="0" xfId="13" applyNumberFormat="1" applyFont="1" applyFill="1"/>
    <xf numFmtId="0" fontId="41" fillId="0" borderId="0" xfId="9" applyNumberFormat="1" applyFont="1" applyFill="1" applyAlignment="1">
      <alignment horizontal="left" indent="1"/>
    </xf>
    <xf numFmtId="176" fontId="41" fillId="0" borderId="0" xfId="13" applyNumberFormat="1" applyFont="1" applyFill="1"/>
    <xf numFmtId="176" fontId="2" fillId="0" borderId="0" xfId="13" applyNumberFormat="1" applyFont="1" applyFill="1" applyBorder="1"/>
    <xf numFmtId="177" fontId="42" fillId="5" borderId="0" xfId="13" applyNumberFormat="1" applyFont="1" applyFill="1"/>
    <xf numFmtId="176" fontId="39" fillId="0" borderId="0" xfId="13" applyNumberFormat="1" applyFont="1"/>
    <xf numFmtId="200" fontId="11" fillId="0" borderId="0" xfId="13" applyNumberFormat="1" applyFont="1" applyFill="1"/>
    <xf numFmtId="168" fontId="12" fillId="0" borderId="0" xfId="13" applyNumberFormat="1" applyFont="1" applyFill="1" applyBorder="1"/>
    <xf numFmtId="49" fontId="0" fillId="0" borderId="0" xfId="0" applyNumberFormat="1"/>
    <xf numFmtId="168" fontId="2" fillId="5" borderId="0" xfId="13" applyNumberFormat="1" applyFont="1" applyFill="1"/>
    <xf numFmtId="168" fontId="40" fillId="6" borderId="0" xfId="18" applyNumberFormat="1" applyFont="1" applyFill="1"/>
    <xf numFmtId="176" fontId="19" fillId="4" borderId="0" xfId="18" applyNumberFormat="1" applyFont="1" applyFill="1"/>
    <xf numFmtId="176" fontId="12" fillId="0" borderId="0" xfId="13" applyNumberFormat="1" applyFont="1" applyFill="1"/>
    <xf numFmtId="170" fontId="2" fillId="0" borderId="0" xfId="13" applyNumberFormat="1" applyFont="1" applyFill="1"/>
    <xf numFmtId="188" fontId="2" fillId="0" borderId="0" xfId="13" applyNumberFormat="1" applyFont="1" applyFill="1" applyAlignment="1">
      <alignment horizontal="right"/>
    </xf>
    <xf numFmtId="0" fontId="40" fillId="0" borderId="0" xfId="13" applyFont="1" applyFill="1"/>
    <xf numFmtId="192" fontId="2" fillId="0" borderId="0" xfId="13" applyNumberFormat="1" applyFont="1" applyFill="1"/>
    <xf numFmtId="192" fontId="40" fillId="0" borderId="0" xfId="13" applyNumberFormat="1" applyFont="1" applyFill="1"/>
    <xf numFmtId="192" fontId="2" fillId="4" borderId="0" xfId="13" applyNumberFormat="1" applyFont="1" applyFill="1"/>
    <xf numFmtId="171" fontId="2" fillId="4" borderId="0" xfId="13" applyNumberFormat="1" applyFont="1" applyFill="1" applyAlignment="1">
      <alignment horizontal="right"/>
    </xf>
    <xf numFmtId="168" fontId="12" fillId="0" borderId="0" xfId="13" applyNumberFormat="1" applyFont="1" applyFill="1" applyAlignment="1">
      <alignment horizontal="right"/>
    </xf>
    <xf numFmtId="168" fontId="7" fillId="0" borderId="0" xfId="13" applyNumberFormat="1" applyFont="1" applyFill="1" applyAlignment="1">
      <alignment horizontal="right"/>
    </xf>
    <xf numFmtId="168" fontId="9" fillId="0" borderId="0" xfId="13" applyNumberFormat="1" applyFont="1" applyFill="1"/>
    <xf numFmtId="168" fontId="40" fillId="6" borderId="0" xfId="13" applyNumberFormat="1" applyFont="1" applyFill="1" applyAlignment="1">
      <alignment horizontal="right"/>
    </xf>
    <xf numFmtId="168" fontId="9" fillId="0" borderId="0" xfId="13" applyNumberFormat="1" applyFont="1" applyFill="1" applyAlignment="1">
      <alignment horizontal="right"/>
    </xf>
    <xf numFmtId="168" fontId="4" fillId="0" borderId="0" xfId="13" applyNumberFormat="1" applyFont="1" applyFill="1"/>
    <xf numFmtId="168" fontId="2" fillId="4" borderId="0" xfId="13" applyNumberFormat="1" applyFont="1" applyFill="1"/>
    <xf numFmtId="171" fontId="2" fillId="4" borderId="0" xfId="9" applyNumberFormat="1" applyFont="1" applyFill="1"/>
    <xf numFmtId="171" fontId="2" fillId="4" borderId="0" xfId="9" applyNumberFormat="1" applyFont="1" applyFill="1" applyBorder="1"/>
    <xf numFmtId="168" fontId="12" fillId="4" borderId="0" xfId="13" applyNumberFormat="1" applyFont="1" applyFill="1"/>
    <xf numFmtId="168" fontId="41" fillId="4" borderId="0" xfId="13" applyNumberFormat="1" applyFont="1" applyFill="1"/>
    <xf numFmtId="171" fontId="40" fillId="0" borderId="5" xfId="13" applyNumberFormat="1" applyFont="1" applyFill="1" applyBorder="1"/>
    <xf numFmtId="171" fontId="41" fillId="0" borderId="5" xfId="13" applyNumberFormat="1" applyFont="1" applyFill="1" applyBorder="1"/>
    <xf numFmtId="168" fontId="2" fillId="4" borderId="0" xfId="13" applyNumberFormat="1" applyFont="1" applyFill="1" applyAlignment="1">
      <alignment horizontal="right"/>
    </xf>
    <xf numFmtId="171" fontId="40" fillId="4" borderId="0" xfId="9" applyNumberFormat="1" applyFont="1" applyFill="1"/>
    <xf numFmtId="171" fontId="43" fillId="0" borderId="0" xfId="13" applyNumberFormat="1" applyFont="1" applyFill="1"/>
    <xf numFmtId="171" fontId="2" fillId="0" borderId="7" xfId="9" applyNumberFormat="1" applyFont="1" applyFill="1" applyBorder="1"/>
    <xf numFmtId="171" fontId="40" fillId="4" borderId="8" xfId="9" applyNumberFormat="1" applyFont="1" applyFill="1" applyBorder="1"/>
    <xf numFmtId="171" fontId="40" fillId="0" borderId="7" xfId="9" applyNumberFormat="1" applyFont="1" applyFill="1" applyBorder="1"/>
    <xf numFmtId="171" fontId="2" fillId="4" borderId="8" xfId="9" applyNumberFormat="1" applyFont="1" applyFill="1" applyBorder="1"/>
    <xf numFmtId="180" fontId="12" fillId="0" borderId="0" xfId="9" applyNumberFormat="1" applyFont="1" applyFill="1" applyBorder="1"/>
    <xf numFmtId="180" fontId="3" fillId="0" borderId="0" xfId="13" applyNumberFormat="1" applyFont="1" applyFill="1"/>
    <xf numFmtId="168" fontId="2" fillId="0" borderId="6" xfId="13" applyNumberFormat="1" applyFont="1" applyFill="1" applyBorder="1" applyAlignment="1">
      <alignment horizontal="right"/>
    </xf>
    <xf numFmtId="168" fontId="2" fillId="0" borderId="6" xfId="13" applyNumberFormat="1" applyFont="1" applyFill="1" applyBorder="1"/>
    <xf numFmtId="171" fontId="40" fillId="0" borderId="0" xfId="13" applyNumberFormat="1" applyFont="1" applyFill="1" applyAlignment="1"/>
    <xf numFmtId="165" fontId="3" fillId="0" borderId="0" xfId="13" applyNumberFormat="1" applyFont="1" applyFill="1"/>
    <xf numFmtId="203" fontId="2" fillId="0" borderId="0" xfId="13" applyNumberFormat="1" applyFont="1" applyFill="1"/>
    <xf numFmtId="202" fontId="2" fillId="0" borderId="0" xfId="13" applyNumberFormat="1" applyFont="1" applyFill="1"/>
    <xf numFmtId="204" fontId="2" fillId="0" borderId="0" xfId="13" applyNumberFormat="1" applyFont="1" applyFill="1"/>
    <xf numFmtId="171" fontId="40" fillId="3" borderId="0" xfId="13" applyNumberFormat="1" applyFont="1" applyFill="1"/>
    <xf numFmtId="171" fontId="41" fillId="3" borderId="0" xfId="13" applyNumberFormat="1" applyFont="1" applyFill="1"/>
    <xf numFmtId="0" fontId="1" fillId="7" borderId="0" xfId="29" applyFont="1" applyFill="1" applyAlignment="1">
      <alignment vertical="top"/>
    </xf>
    <xf numFmtId="0" fontId="1" fillId="7" borderId="0" xfId="13" applyFill="1" applyAlignment="1">
      <alignment vertical="top"/>
    </xf>
    <xf numFmtId="0" fontId="1" fillId="7" borderId="0" xfId="13" applyFill="1"/>
    <xf numFmtId="0" fontId="36" fillId="7" borderId="0" xfId="29" applyFont="1" applyFill="1" applyAlignment="1">
      <alignment horizontal="left" vertical="top"/>
    </xf>
    <xf numFmtId="0" fontId="1" fillId="7" borderId="0" xfId="13" applyFont="1" applyFill="1" applyAlignment="1">
      <alignment vertical="top"/>
    </xf>
    <xf numFmtId="0" fontId="49" fillId="7" borderId="0" xfId="29" applyFont="1" applyFill="1" applyAlignment="1">
      <alignment vertical="top"/>
    </xf>
    <xf numFmtId="0" fontId="0" fillId="7" borderId="0" xfId="0" applyFill="1" applyAlignment="1">
      <alignment vertical="top"/>
    </xf>
    <xf numFmtId="0" fontId="50" fillId="7" borderId="0" xfId="0" applyFont="1" applyFill="1" applyAlignment="1">
      <alignment vertical="top"/>
    </xf>
    <xf numFmtId="0" fontId="51" fillId="7" borderId="0" xfId="0" applyFont="1" applyFill="1" applyAlignment="1">
      <alignment vertical="top"/>
    </xf>
    <xf numFmtId="0" fontId="51" fillId="7" borderId="0" xfId="0" applyFont="1" applyFill="1" applyAlignment="1">
      <alignment vertical="top"/>
    </xf>
    <xf numFmtId="0" fontId="50" fillId="7" borderId="0" xfId="0" applyFont="1" applyFill="1" applyAlignment="1">
      <alignment vertical="top"/>
    </xf>
    <xf numFmtId="0" fontId="0" fillId="7" borderId="0" xfId="0" applyFill="1" applyAlignment="1">
      <alignment vertical="top"/>
    </xf>
    <xf numFmtId="0" fontId="0" fillId="7" borderId="13" xfId="0" applyFill="1" applyBorder="1" applyAlignment="1">
      <alignment vertical="top"/>
    </xf>
    <xf numFmtId="0" fontId="50" fillId="7" borderId="9" xfId="0" applyFont="1" applyFill="1" applyBorder="1" applyAlignment="1">
      <alignment vertical="top"/>
    </xf>
    <xf numFmtId="0" fontId="50" fillId="7" borderId="10" xfId="0" applyFont="1" applyFill="1" applyBorder="1" applyAlignment="1">
      <alignment vertical="top"/>
    </xf>
    <xf numFmtId="0" fontId="50" fillId="7" borderId="11" xfId="0" applyFont="1" applyFill="1" applyBorder="1" applyAlignment="1">
      <alignment vertical="top"/>
    </xf>
    <xf numFmtId="0" fontId="50" fillId="7" borderId="12" xfId="0" applyFont="1" applyFill="1" applyBorder="1" applyAlignment="1">
      <alignment vertical="top"/>
    </xf>
    <xf numFmtId="9" fontId="50" fillId="7" borderId="9" xfId="0" applyNumberFormat="1" applyFont="1" applyFill="1" applyBorder="1" applyAlignment="1">
      <alignment vertical="top"/>
    </xf>
    <xf numFmtId="3" fontId="50" fillId="7" borderId="9" xfId="0" applyNumberFormat="1" applyFont="1" applyFill="1" applyBorder="1" applyAlignment="1">
      <alignment vertical="top"/>
    </xf>
    <xf numFmtId="0" fontId="0" fillId="7" borderId="14" xfId="0" applyFill="1" applyBorder="1" applyAlignment="1">
      <alignment vertical="top"/>
    </xf>
    <xf numFmtId="2" fontId="1" fillId="0" borderId="0" xfId="13" applyNumberFormat="1" applyAlignment="1">
      <alignment horizontal="left"/>
    </xf>
    <xf numFmtId="0" fontId="1" fillId="0" borderId="0" xfId="13" applyNumberFormat="1" applyAlignment="1">
      <alignment horizontal="left"/>
    </xf>
    <xf numFmtId="1" fontId="1" fillId="0" borderId="0" xfId="13" applyNumberFormat="1" applyAlignment="1">
      <alignment horizontal="left"/>
    </xf>
    <xf numFmtId="0" fontId="1" fillId="0" borderId="0" xfId="13" applyFont="1"/>
    <xf numFmtId="210" fontId="1" fillId="0" borderId="0" xfId="13" applyNumberFormat="1" applyAlignment="1">
      <alignment horizontal="left"/>
    </xf>
    <xf numFmtId="49" fontId="1" fillId="0" borderId="0" xfId="13" applyNumberFormat="1"/>
  </cellXfs>
  <cellStyles count="30">
    <cellStyle name="          _x000d__x000a_network.drv=netware." xfId="1"/>
    <cellStyle name=" 1" xfId="2"/>
    <cellStyle name=" 1 2" xfId="3"/>
    <cellStyle name="_x000a_386grabber=M" xfId="4"/>
    <cellStyle name="_SUMMARY " xfId="5"/>
    <cellStyle name="0_Capex &amp; Depreciation " xfId="6"/>
    <cellStyle name="0_Valuing BP " xfId="7"/>
    <cellStyle name="c_HardInc " xfId="8"/>
    <cellStyle name="Comma 2" xfId="9"/>
    <cellStyle name="Comma 2 2" xfId="10"/>
    <cellStyle name="Comma 2 3" xfId="11"/>
    <cellStyle name="Currency 6" xfId="12"/>
    <cellStyle name="Normal" xfId="0" builtinId="0"/>
    <cellStyle name="Normal 2" xfId="13"/>
    <cellStyle name="Normal 2 2" xfId="14"/>
    <cellStyle name="Normal 4" xfId="27"/>
    <cellStyle name="Normal 6" xfId="15"/>
    <cellStyle name="Normal_DisclaimerSheet Samples" xfId="29"/>
    <cellStyle name="Normal_ESV_MWD" xfId="16"/>
    <cellStyle name="p " xfId="17"/>
    <cellStyle name="Percent 2" xfId="18"/>
    <cellStyle name="Percent 3" xfId="28"/>
    <cellStyle name="Percent 4" xfId="19"/>
    <cellStyle name="RRSInstruction" xfId="20"/>
    <cellStyle name="s_HardInc " xfId="21"/>
    <cellStyle name="s_Valuation " xfId="22"/>
    <cellStyle name="ssp " xfId="23"/>
    <cellStyle name="Subtotal 2" xfId="24"/>
    <cellStyle name="콤마 [0]_#3이설 견적_준공내역총괄표 " xfId="25"/>
    <cellStyle name="콤마_#3이설 견적_준공내역총괄표 " xfId="26"/>
  </cellStyles>
  <dxfs count="5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 patternType="solid"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theme/theme1.xml" Type="http://schemas.openxmlformats.org/officeDocument/2006/relationships/theme"/>
<Relationship Id="rId7" Target="styles.xml" Type="http://schemas.openxmlformats.org/officeDocument/2006/relationships/styles"/>
<Relationship Id="rId8" Target="sharedStrings.xml" Type="http://schemas.openxmlformats.org/officeDocument/2006/relationships/sharedStrings"/>
<Relationship Id="rId9" Target="calcChain.xml" Type="http://schemas.openxmlformats.org/officeDocument/2006/relationships/calcChain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1</xdr:col>
      <xdr:colOff>104775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2</xdr:col>
      <xdr:colOff>228600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175</xdr:row>
      <xdr:rowOff>0</xdr:rowOff>
    </xdr:from>
    <xdr:to>
      <xdr:col>9</xdr:col>
      <xdr:colOff>114300</xdr:colOff>
      <xdr:row>198</xdr:row>
      <xdr:rowOff>104775</xdr:rowOff>
    </xdr:to>
    <xdr:pic>
      <xdr:nvPicPr>
        <xdr:cNvPr id="8461313" name="Picture 1" descr="C:\Users\ozierale.MSAD\AppData\Local\Temp\MercuryPriceRatingHistoryChart\SPN.N_2018_04_10_19_04_01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1272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89"/>
  <sheetViews>
    <sheetView showGridLines="0" tabSelected="1" workbookViewId="0">
      <selection activeCell="Z1" sqref="Z1"/>
    </sheetView>
  </sheetViews>
  <sheetFormatPr defaultRowHeight="12.75"/>
  <cols>
    <col min="1" max="1" width="25.83203125" style="341" customWidth="1"/>
    <col min="2" max="5" width="9.33203125" style="341"/>
    <col min="6" max="6" width="18.83203125" style="341" customWidth="1"/>
    <col min="7" max="256" width="9.33203125" style="341"/>
    <col min="257" max="257" width="117.5" style="341" customWidth="1"/>
    <col min="258" max="512" width="9.33203125" style="341"/>
    <col min="513" max="513" width="117.5" style="341" customWidth="1"/>
    <col min="514" max="768" width="9.33203125" style="341"/>
    <col min="769" max="769" width="117.5" style="341" customWidth="1"/>
    <col min="770" max="1024" width="9.33203125" style="341"/>
    <col min="1025" max="1025" width="117.5" style="341" customWidth="1"/>
    <col min="1026" max="1280" width="9.33203125" style="341"/>
    <col min="1281" max="1281" width="117.5" style="341" customWidth="1"/>
    <col min="1282" max="1536" width="9.33203125" style="341"/>
    <col min="1537" max="1537" width="117.5" style="341" customWidth="1"/>
    <col min="1538" max="1792" width="9.33203125" style="341"/>
    <col min="1793" max="1793" width="117.5" style="341" customWidth="1"/>
    <col min="1794" max="2048" width="9.33203125" style="341"/>
    <col min="2049" max="2049" width="117.5" style="341" customWidth="1"/>
    <col min="2050" max="2304" width="9.33203125" style="341"/>
    <col min="2305" max="2305" width="117.5" style="341" customWidth="1"/>
    <col min="2306" max="2560" width="9.33203125" style="341"/>
    <col min="2561" max="2561" width="117.5" style="341" customWidth="1"/>
    <col min="2562" max="2816" width="9.33203125" style="341"/>
    <col min="2817" max="2817" width="117.5" style="341" customWidth="1"/>
    <col min="2818" max="3072" width="9.33203125" style="341"/>
    <col min="3073" max="3073" width="117.5" style="341" customWidth="1"/>
    <col min="3074" max="3328" width="9.33203125" style="341"/>
    <col min="3329" max="3329" width="117.5" style="341" customWidth="1"/>
    <col min="3330" max="3584" width="9.33203125" style="341"/>
    <col min="3585" max="3585" width="117.5" style="341" customWidth="1"/>
    <col min="3586" max="3840" width="9.33203125" style="341"/>
    <col min="3841" max="3841" width="117.5" style="341" customWidth="1"/>
    <col min="3842" max="4096" width="9.33203125" style="341"/>
    <col min="4097" max="4097" width="117.5" style="341" customWidth="1"/>
    <col min="4098" max="4352" width="9.33203125" style="341"/>
    <col min="4353" max="4353" width="117.5" style="341" customWidth="1"/>
    <col min="4354" max="4608" width="9.33203125" style="341"/>
    <col min="4609" max="4609" width="117.5" style="341" customWidth="1"/>
    <col min="4610" max="4864" width="9.33203125" style="341"/>
    <col min="4865" max="4865" width="117.5" style="341" customWidth="1"/>
    <col min="4866" max="5120" width="9.33203125" style="341"/>
    <col min="5121" max="5121" width="117.5" style="341" customWidth="1"/>
    <col min="5122" max="5376" width="9.33203125" style="341"/>
    <col min="5377" max="5377" width="117.5" style="341" customWidth="1"/>
    <col min="5378" max="5632" width="9.33203125" style="341"/>
    <col min="5633" max="5633" width="117.5" style="341" customWidth="1"/>
    <col min="5634" max="5888" width="9.33203125" style="341"/>
    <col min="5889" max="5889" width="117.5" style="341" customWidth="1"/>
    <col min="5890" max="6144" width="9.33203125" style="341"/>
    <col min="6145" max="6145" width="117.5" style="341" customWidth="1"/>
    <col min="6146" max="6400" width="9.33203125" style="341"/>
    <col min="6401" max="6401" width="117.5" style="341" customWidth="1"/>
    <col min="6402" max="6656" width="9.33203125" style="341"/>
    <col min="6657" max="6657" width="117.5" style="341" customWidth="1"/>
    <col min="6658" max="6912" width="9.33203125" style="341"/>
    <col min="6913" max="6913" width="117.5" style="341" customWidth="1"/>
    <col min="6914" max="7168" width="9.33203125" style="341"/>
    <col min="7169" max="7169" width="117.5" style="341" customWidth="1"/>
    <col min="7170" max="7424" width="9.33203125" style="341"/>
    <col min="7425" max="7425" width="117.5" style="341" customWidth="1"/>
    <col min="7426" max="7680" width="9.33203125" style="341"/>
    <col min="7681" max="7681" width="117.5" style="341" customWidth="1"/>
    <col min="7682" max="7936" width="9.33203125" style="341"/>
    <col min="7937" max="7937" width="117.5" style="341" customWidth="1"/>
    <col min="7938" max="8192" width="9.33203125" style="341"/>
    <col min="8193" max="8193" width="117.5" style="341" customWidth="1"/>
    <col min="8194" max="8448" width="9.33203125" style="341"/>
    <col min="8449" max="8449" width="117.5" style="341" customWidth="1"/>
    <col min="8450" max="8704" width="9.33203125" style="341"/>
    <col min="8705" max="8705" width="117.5" style="341" customWidth="1"/>
    <col min="8706" max="8960" width="9.33203125" style="341"/>
    <col min="8961" max="8961" width="117.5" style="341" customWidth="1"/>
    <col min="8962" max="9216" width="9.33203125" style="341"/>
    <col min="9217" max="9217" width="117.5" style="341" customWidth="1"/>
    <col min="9218" max="9472" width="9.33203125" style="341"/>
    <col min="9473" max="9473" width="117.5" style="341" customWidth="1"/>
    <col min="9474" max="9728" width="9.33203125" style="341"/>
    <col min="9729" max="9729" width="117.5" style="341" customWidth="1"/>
    <col min="9730" max="9984" width="9.33203125" style="341"/>
    <col min="9985" max="9985" width="117.5" style="341" customWidth="1"/>
    <col min="9986" max="10240" width="9.33203125" style="341"/>
    <col min="10241" max="10241" width="117.5" style="341" customWidth="1"/>
    <col min="10242" max="10496" width="9.33203125" style="341"/>
    <col min="10497" max="10497" width="117.5" style="341" customWidth="1"/>
    <col min="10498" max="10752" width="9.33203125" style="341"/>
    <col min="10753" max="10753" width="117.5" style="341" customWidth="1"/>
    <col min="10754" max="11008" width="9.33203125" style="341"/>
    <col min="11009" max="11009" width="117.5" style="341" customWidth="1"/>
    <col min="11010" max="11264" width="9.33203125" style="341"/>
    <col min="11265" max="11265" width="117.5" style="341" customWidth="1"/>
    <col min="11266" max="11520" width="9.33203125" style="341"/>
    <col min="11521" max="11521" width="117.5" style="341" customWidth="1"/>
    <col min="11522" max="11776" width="9.33203125" style="341"/>
    <col min="11777" max="11777" width="117.5" style="341" customWidth="1"/>
    <col min="11778" max="12032" width="9.33203125" style="341"/>
    <col min="12033" max="12033" width="117.5" style="341" customWidth="1"/>
    <col min="12034" max="12288" width="9.33203125" style="341"/>
    <col min="12289" max="12289" width="117.5" style="341" customWidth="1"/>
    <col min="12290" max="12544" width="9.33203125" style="341"/>
    <col min="12545" max="12545" width="117.5" style="341" customWidth="1"/>
    <col min="12546" max="12800" width="9.33203125" style="341"/>
    <col min="12801" max="12801" width="117.5" style="341" customWidth="1"/>
    <col min="12802" max="13056" width="9.33203125" style="341"/>
    <col min="13057" max="13057" width="117.5" style="341" customWidth="1"/>
    <col min="13058" max="13312" width="9.33203125" style="341"/>
    <col min="13313" max="13313" width="117.5" style="341" customWidth="1"/>
    <col min="13314" max="13568" width="9.33203125" style="341"/>
    <col min="13569" max="13569" width="117.5" style="341" customWidth="1"/>
    <col min="13570" max="13824" width="9.33203125" style="341"/>
    <col min="13825" max="13825" width="117.5" style="341" customWidth="1"/>
    <col min="13826" max="14080" width="9.33203125" style="341"/>
    <col min="14081" max="14081" width="117.5" style="341" customWidth="1"/>
    <col min="14082" max="14336" width="9.33203125" style="341"/>
    <col min="14337" max="14337" width="117.5" style="341" customWidth="1"/>
    <col min="14338" max="14592" width="9.33203125" style="341"/>
    <col min="14593" max="14593" width="117.5" style="341" customWidth="1"/>
    <col min="14594" max="14848" width="9.33203125" style="341"/>
    <col min="14849" max="14849" width="117.5" style="341" customWidth="1"/>
    <col min="14850" max="15104" width="9.33203125" style="341"/>
    <col min="15105" max="15105" width="117.5" style="341" customWidth="1"/>
    <col min="15106" max="15360" width="9.33203125" style="341"/>
    <col min="15361" max="15361" width="117.5" style="341" customWidth="1"/>
    <col min="15362" max="15616" width="9.33203125" style="341"/>
    <col min="15617" max="15617" width="117.5" style="341" customWidth="1"/>
    <col min="15618" max="15872" width="9.33203125" style="341"/>
    <col min="15873" max="15873" width="117.5" style="341" customWidth="1"/>
    <col min="15874" max="16128" width="9.33203125" style="341"/>
    <col min="16129" max="16129" width="117.5" style="341" customWidth="1"/>
    <col min="16130" max="16384" width="9.33203125" style="341"/>
  </cols>
  <sheetData>
    <row r="1" spans="1:8" ht="30" customHeight="1">
      <c r="A1" s="339"/>
      <c r="B1" s="340"/>
      <c r="C1" s="340"/>
      <c r="D1" s="340"/>
      <c r="E1" s="340"/>
      <c r="F1" s="340"/>
      <c r="G1" s="340"/>
      <c r="H1" s="340"/>
    </row>
    <row r="2" spans="1:8" ht="14.25">
      <c r="A2" s="342" t="s">
        <v>806</v>
      </c>
      <c r="B2" s="340"/>
      <c r="C2" s="340"/>
      <c r="D2" s="340"/>
      <c r="E2" s="340"/>
      <c r="F2" s="340"/>
      <c r="G2" s="340"/>
      <c r="H2" s="340"/>
    </row>
    <row r="3" spans="1:8" ht="14.25">
      <c r="A3" s="342" t="s">
        <v>807</v>
      </c>
      <c r="B3" s="340"/>
      <c r="C3" s="340"/>
      <c r="D3" s="340"/>
      <c r="E3" s="340"/>
      <c r="F3" s="340"/>
      <c r="G3" s="340"/>
      <c r="H3" s="340"/>
    </row>
    <row r="4" spans="1:8" ht="14.25">
      <c r="A4" s="342" t="s">
        <v>808</v>
      </c>
      <c r="B4" s="340"/>
      <c r="C4" s="340"/>
      <c r="D4" s="340"/>
      <c r="E4" s="340"/>
      <c r="F4" s="340"/>
      <c r="G4" s="340"/>
      <c r="H4" s="340"/>
    </row>
    <row r="5" spans="1:8" ht="14.25">
      <c r="A5" s="342" t="s">
        <v>809</v>
      </c>
      <c r="B5" s="340"/>
      <c r="C5" s="340"/>
      <c r="D5" s="340"/>
      <c r="E5" s="340"/>
      <c r="F5" s="340"/>
      <c r="G5" s="340"/>
      <c r="H5" s="340"/>
    </row>
    <row r="6" spans="1:8" ht="14.25">
      <c r="A6" s="342"/>
      <c r="B6" s="340"/>
      <c r="C6" s="340"/>
      <c r="D6" s="340"/>
      <c r="E6" s="340"/>
      <c r="F6" s="340"/>
      <c r="G6" s="340"/>
      <c r="H6" s="340"/>
    </row>
    <row r="7" spans="1:8">
      <c r="A7" s="339" t="s">
        <v>810</v>
      </c>
      <c r="B7" s="340"/>
      <c r="C7" s="340"/>
      <c r="D7" s="340"/>
      <c r="E7" s="340"/>
      <c r="F7" s="340"/>
      <c r="G7" s="340"/>
      <c r="H7" s="340"/>
    </row>
    <row r="8" spans="1:8">
      <c r="A8" s="339" t="s">
        <v>811</v>
      </c>
      <c r="B8" s="340"/>
      <c r="C8" s="340"/>
      <c r="D8" s="340"/>
      <c r="E8" s="340"/>
      <c r="F8" s="340"/>
      <c r="G8" s="340"/>
      <c r="H8" s="340"/>
    </row>
    <row r="9" spans="1:8">
      <c r="A9" s="339"/>
      <c r="B9" s="340"/>
      <c r="C9" s="340"/>
      <c r="D9" s="340"/>
      <c r="E9" s="340"/>
      <c r="F9" s="340"/>
      <c r="G9" s="340"/>
      <c r="H9" s="340"/>
    </row>
    <row r="10" spans="1:8">
      <c r="A10" s="343" t="s">
        <v>812</v>
      </c>
      <c r="B10" s="340"/>
      <c r="C10" s="340"/>
      <c r="D10" s="340"/>
      <c r="E10" s="340"/>
      <c r="F10" s="340"/>
      <c r="G10" s="340"/>
      <c r="H10" s="340"/>
    </row>
    <row r="11" spans="1:8">
      <c r="A11" s="343" t="s">
        <v>813</v>
      </c>
      <c r="B11" s="340"/>
      <c r="C11" s="340"/>
      <c r="D11" s="340"/>
      <c r="E11" s="340"/>
      <c r="F11" s="340"/>
      <c r="G11" s="340"/>
      <c r="H11" s="340"/>
    </row>
    <row r="12" spans="1:8">
      <c r="A12" s="343" t="s">
        <v>814</v>
      </c>
      <c r="B12" s="340"/>
      <c r="C12" s="340"/>
      <c r="D12" s="340"/>
      <c r="E12" s="340"/>
      <c r="F12" s="340"/>
      <c r="G12" s="340"/>
      <c r="H12" s="340"/>
    </row>
    <row r="13" spans="1:8">
      <c r="A13" s="343" t="s">
        <v>815</v>
      </c>
      <c r="B13" s="340"/>
      <c r="C13" s="340"/>
      <c r="D13" s="340"/>
      <c r="E13" s="340"/>
      <c r="F13" s="340"/>
      <c r="G13" s="340"/>
      <c r="H13" s="340"/>
    </row>
    <row r="14" spans="1:8">
      <c r="A14" s="343" t="s">
        <v>816</v>
      </c>
      <c r="B14" s="340"/>
      <c r="C14" s="340"/>
      <c r="D14" s="340"/>
      <c r="E14" s="340"/>
      <c r="F14" s="340"/>
      <c r="G14" s="340"/>
      <c r="H14" s="340"/>
    </row>
    <row r="15" spans="1:8">
      <c r="A15" s="343" t="s">
        <v>817</v>
      </c>
      <c r="B15" s="340"/>
      <c r="C15" s="340"/>
      <c r="D15" s="340"/>
      <c r="E15" s="340"/>
      <c r="F15" s="340"/>
      <c r="G15" s="340"/>
      <c r="H15" s="340"/>
    </row>
    <row r="16" spans="1:8">
      <c r="A16" s="343"/>
      <c r="B16" s="340"/>
      <c r="C16" s="340"/>
      <c r="D16" s="340"/>
      <c r="E16" s="340"/>
      <c r="F16" s="340"/>
      <c r="G16" s="340"/>
      <c r="H16" s="340"/>
    </row>
    <row r="17" spans="1:8">
      <c r="A17" s="343" t="s">
        <v>803</v>
      </c>
      <c r="B17" s="340"/>
      <c r="C17" s="340"/>
      <c r="D17" s="340"/>
      <c r="E17" s="340"/>
      <c r="F17" s="340"/>
      <c r="G17" s="340"/>
      <c r="H17" s="340"/>
    </row>
    <row r="18" spans="1:8">
      <c r="A18" s="343"/>
      <c r="B18" s="340"/>
      <c r="C18" s="340"/>
      <c r="D18" s="340"/>
      <c r="E18" s="340"/>
      <c r="F18" s="340"/>
      <c r="G18" s="340"/>
      <c r="H18" s="340"/>
    </row>
    <row r="19" spans="1:8">
      <c r="A19" s="343" t="s">
        <v>804</v>
      </c>
      <c r="B19" s="340"/>
      <c r="C19" s="340"/>
      <c r="D19" s="340"/>
      <c r="E19" s="340"/>
      <c r="F19" s="340"/>
      <c r="G19" s="340"/>
      <c r="H19" s="340"/>
    </row>
    <row r="20" spans="1:8">
      <c r="A20" s="339"/>
      <c r="B20" s="340"/>
      <c r="C20" s="340"/>
      <c r="D20" s="340"/>
      <c r="E20" s="340"/>
      <c r="F20" s="340"/>
      <c r="G20" s="340"/>
      <c r="H20" s="340"/>
    </row>
    <row r="21" spans="1:8">
      <c r="A21" s="344" t="s">
        <v>805</v>
      </c>
      <c r="B21" s="340"/>
      <c r="C21" s="340"/>
      <c r="D21" s="340"/>
      <c r="E21" s="340"/>
      <c r="F21" s="340"/>
      <c r="G21" s="340"/>
      <c r="H21" s="340"/>
    </row>
    <row r="22" spans="1:8">
      <c r="A22" s="345"/>
      <c r="B22" s="345"/>
      <c r="C22" s="345"/>
      <c r="D22" s="345"/>
      <c r="E22" s="345"/>
      <c r="F22" s="345"/>
      <c r="G22" s="345"/>
      <c r="H22" s="345"/>
    </row>
    <row r="23" spans="1:8">
      <c r="A23" s="346" t="s">
        <v>1095</v>
      </c>
      <c r="B23" s="345"/>
      <c r="C23" s="345"/>
      <c r="D23" s="345"/>
      <c r="E23" s="345"/>
      <c r="F23" s="345"/>
      <c r="G23" s="345"/>
      <c r="H23" s="345"/>
    </row>
    <row r="24" spans="1:8">
      <c r="A24" s="346" t="s">
        <v>1096</v>
      </c>
      <c r="B24" s="345"/>
      <c r="C24" s="345"/>
      <c r="D24" s="345"/>
      <c r="E24" s="345"/>
      <c r="F24" s="345"/>
      <c r="G24" s="345"/>
      <c r="H24" s="345"/>
    </row>
    <row r="25" spans="1:8">
      <c r="A25" s="346" t="s">
        <v>1097</v>
      </c>
      <c r="B25" s="345"/>
      <c r="C25" s="345"/>
      <c r="D25" s="345"/>
      <c r="E25" s="345"/>
      <c r="F25" s="345"/>
      <c r="G25" s="345"/>
      <c r="H25" s="345"/>
    </row>
    <row r="26" spans="1:8">
      <c r="A26" s="346" t="s">
        <v>1098</v>
      </c>
      <c r="B26" s="345"/>
      <c r="C26" s="345"/>
      <c r="D26" s="345"/>
      <c r="E26" s="345"/>
      <c r="F26" s="345"/>
      <c r="G26" s="345"/>
      <c r="H26" s="345"/>
    </row>
    <row r="27" spans="1:8">
      <c r="A27" s="345"/>
      <c r="B27" s="345"/>
      <c r="C27" s="345"/>
      <c r="D27" s="345"/>
      <c r="E27" s="345"/>
      <c r="F27" s="345"/>
      <c r="G27" s="345"/>
      <c r="H27" s="345"/>
    </row>
    <row r="28" spans="1:8">
      <c r="A28" s="345"/>
      <c r="B28" s="345"/>
      <c r="C28" s="345"/>
      <c r="D28" s="345"/>
      <c r="E28" s="345"/>
      <c r="F28" s="345"/>
      <c r="G28" s="345"/>
      <c r="H28" s="345"/>
    </row>
    <row r="29" spans="1:8">
      <c r="A29" s="346" t="s">
        <v>1090</v>
      </c>
      <c r="B29" s="345"/>
      <c r="C29" s="345"/>
      <c r="D29" s="345"/>
      <c r="E29" s="345"/>
      <c r="F29" s="345"/>
      <c r="G29" s="345"/>
      <c r="H29" s="345"/>
    </row>
    <row r="30" spans="1:8">
      <c r="A30" s="346" t="s">
        <v>1091</v>
      </c>
      <c r="B30" s="345"/>
      <c r="C30" s="345"/>
      <c r="D30" s="345"/>
      <c r="E30" s="345"/>
      <c r="F30" s="345"/>
      <c r="G30" s="345"/>
      <c r="H30" s="345"/>
    </row>
    <row r="31" spans="1:8">
      <c r="A31" s="346" t="s">
        <v>1092</v>
      </c>
      <c r="B31" s="345"/>
      <c r="C31" s="345"/>
      <c r="D31" s="345"/>
      <c r="E31" s="345"/>
      <c r="F31" s="345"/>
      <c r="G31" s="345"/>
      <c r="H31" s="345"/>
    </row>
    <row r="32" spans="1:8">
      <c r="A32" s="346" t="s">
        <v>1093</v>
      </c>
      <c r="B32" s="345"/>
      <c r="C32" s="345"/>
      <c r="D32" s="345"/>
      <c r="E32" s="345"/>
      <c r="F32" s="345"/>
      <c r="G32" s="345"/>
      <c r="H32" s="345"/>
    </row>
    <row r="33" spans="1:8">
      <c r="A33" s="346" t="s">
        <v>1094</v>
      </c>
      <c r="B33" s="345"/>
      <c r="C33" s="345"/>
      <c r="D33" s="345"/>
      <c r="E33" s="345"/>
      <c r="F33" s="345"/>
      <c r="G33" s="345"/>
      <c r="H33" s="345"/>
    </row>
    <row r="34" spans="1:8">
      <c r="A34" s="345"/>
      <c r="B34" s="345"/>
      <c r="C34" s="345"/>
      <c r="D34" s="345"/>
      <c r="E34" s="345"/>
      <c r="F34" s="345"/>
      <c r="G34" s="345"/>
      <c r="H34" s="345"/>
    </row>
    <row r="35" spans="1:8">
      <c r="A35" s="346" t="s">
        <v>1086</v>
      </c>
      <c r="B35" s="345"/>
      <c r="C35" s="345"/>
      <c r="D35" s="345"/>
      <c r="E35" s="345"/>
      <c r="F35" s="345"/>
      <c r="G35" s="345"/>
      <c r="H35" s="345"/>
    </row>
    <row r="36" spans="1:8">
      <c r="A36" s="346" t="s">
        <v>1087</v>
      </c>
      <c r="B36" s="345"/>
      <c r="C36" s="345"/>
      <c r="D36" s="345"/>
      <c r="E36" s="345"/>
      <c r="F36" s="345"/>
      <c r="G36" s="345"/>
      <c r="H36" s="345"/>
    </row>
    <row r="37" spans="1:8">
      <c r="A37" s="346" t="s">
        <v>1088</v>
      </c>
      <c r="B37" s="345"/>
      <c r="C37" s="345"/>
      <c r="D37" s="345"/>
      <c r="E37" s="345"/>
      <c r="F37" s="345"/>
      <c r="G37" s="345"/>
      <c r="H37" s="345"/>
    </row>
    <row r="38" spans="1:8">
      <c r="A38" s="346" t="s">
        <v>1089</v>
      </c>
      <c r="B38" s="345"/>
      <c r="C38" s="345"/>
      <c r="D38" s="345"/>
      <c r="E38" s="345"/>
      <c r="F38" s="345"/>
      <c r="G38" s="345"/>
      <c r="H38" s="345"/>
    </row>
    <row r="39" spans="1:8">
      <c r="A39" s="345"/>
      <c r="B39" s="345"/>
      <c r="C39" s="345"/>
      <c r="D39" s="345"/>
      <c r="E39" s="345"/>
      <c r="F39" s="345"/>
      <c r="G39" s="345"/>
      <c r="H39" s="345"/>
    </row>
    <row r="40" spans="1:8">
      <c r="A40" s="346" t="s">
        <v>1080</v>
      </c>
      <c r="B40" s="345"/>
      <c r="C40" s="345"/>
      <c r="D40" s="345"/>
      <c r="E40" s="345"/>
      <c r="F40" s="345"/>
      <c r="G40" s="345"/>
      <c r="H40" s="345"/>
    </row>
    <row r="41" spans="1:8">
      <c r="A41" s="346" t="s">
        <v>1081</v>
      </c>
      <c r="B41" s="345"/>
      <c r="C41" s="345"/>
      <c r="D41" s="345"/>
      <c r="E41" s="345"/>
      <c r="F41" s="345"/>
      <c r="G41" s="345"/>
      <c r="H41" s="345"/>
    </row>
    <row r="42" spans="1:8">
      <c r="A42" s="346" t="s">
        <v>1082</v>
      </c>
      <c r="B42" s="345"/>
      <c r="C42" s="345"/>
      <c r="D42" s="345"/>
      <c r="E42" s="345"/>
      <c r="F42" s="345"/>
      <c r="G42" s="345"/>
      <c r="H42" s="345"/>
    </row>
    <row r="43" spans="1:8">
      <c r="A43" s="346" t="s">
        <v>1083</v>
      </c>
      <c r="B43" s="345"/>
      <c r="C43" s="345"/>
      <c r="D43" s="345"/>
      <c r="E43" s="345"/>
      <c r="F43" s="345"/>
      <c r="G43" s="345"/>
      <c r="H43" s="345"/>
    </row>
    <row r="44" spans="1:8">
      <c r="A44" s="346" t="s">
        <v>1084</v>
      </c>
      <c r="B44" s="345"/>
      <c r="C44" s="345"/>
      <c r="D44" s="345"/>
      <c r="E44" s="345"/>
      <c r="F44" s="345"/>
      <c r="G44" s="345"/>
      <c r="H44" s="345"/>
    </row>
    <row r="45" spans="1:8">
      <c r="A45" s="346" t="s">
        <v>1085</v>
      </c>
      <c r="B45" s="345"/>
      <c r="C45" s="345"/>
      <c r="D45" s="345"/>
      <c r="E45" s="345"/>
      <c r="F45" s="345"/>
      <c r="G45" s="345"/>
      <c r="H45" s="345"/>
    </row>
    <row r="46" spans="1:8">
      <c r="A46" s="345"/>
      <c r="B46" s="345"/>
      <c r="C46" s="345"/>
      <c r="D46" s="345"/>
      <c r="E46" s="345"/>
      <c r="F46" s="345"/>
      <c r="G46" s="345"/>
      <c r="H46" s="345"/>
    </row>
    <row r="47" spans="1:8" ht="15.75">
      <c r="A47" s="347" t="s">
        <v>818</v>
      </c>
      <c r="B47" s="345"/>
      <c r="C47" s="345"/>
      <c r="D47" s="345"/>
      <c r="E47" s="345"/>
      <c r="F47" s="345"/>
      <c r="G47" s="345"/>
      <c r="H47" s="345"/>
    </row>
    <row r="48" spans="1:8">
      <c r="A48" s="345"/>
      <c r="B48" s="345"/>
      <c r="C48" s="345"/>
      <c r="D48" s="345"/>
      <c r="E48" s="345"/>
      <c r="F48" s="345"/>
      <c r="G48" s="345"/>
      <c r="H48" s="345"/>
    </row>
    <row r="49" spans="1:8">
      <c r="A49" s="346" t="s">
        <v>1076</v>
      </c>
      <c r="B49" s="345"/>
      <c r="C49" s="345"/>
      <c r="D49" s="345"/>
      <c r="E49" s="345"/>
      <c r="F49" s="345"/>
      <c r="G49" s="345"/>
      <c r="H49" s="345"/>
    </row>
    <row r="50" spans="1:8">
      <c r="A50" s="346" t="s">
        <v>1077</v>
      </c>
      <c r="B50" s="345"/>
      <c r="C50" s="345"/>
      <c r="D50" s="345"/>
      <c r="E50" s="345"/>
      <c r="F50" s="345"/>
      <c r="G50" s="345"/>
      <c r="H50" s="345"/>
    </row>
    <row r="51" spans="1:8">
      <c r="A51" s="346" t="s">
        <v>1078</v>
      </c>
      <c r="B51" s="345"/>
      <c r="C51" s="345"/>
      <c r="D51" s="345"/>
      <c r="E51" s="345"/>
      <c r="F51" s="345"/>
      <c r="G51" s="345"/>
      <c r="H51" s="345"/>
    </row>
    <row r="52" spans="1:8">
      <c r="A52" s="346" t="s">
        <v>1079</v>
      </c>
      <c r="B52" s="345"/>
      <c r="C52" s="345"/>
      <c r="D52" s="345"/>
      <c r="E52" s="345"/>
      <c r="F52" s="345"/>
      <c r="G52" s="345"/>
      <c r="H52" s="345"/>
    </row>
    <row r="53" spans="1:8">
      <c r="A53" s="345"/>
      <c r="B53" s="345"/>
      <c r="C53" s="345"/>
      <c r="D53" s="345"/>
      <c r="E53" s="345"/>
      <c r="F53" s="345"/>
      <c r="G53" s="345"/>
      <c r="H53" s="345"/>
    </row>
    <row r="54" spans="1:8">
      <c r="A54" s="346" t="s">
        <v>819</v>
      </c>
      <c r="B54" s="345"/>
      <c r="C54" s="345"/>
      <c r="D54" s="345"/>
      <c r="E54" s="345"/>
      <c r="F54" s="345"/>
      <c r="G54" s="345"/>
      <c r="H54" s="345"/>
    </row>
    <row r="55" spans="1:8">
      <c r="A55" s="345"/>
      <c r="B55" s="345"/>
      <c r="C55" s="345"/>
      <c r="D55" s="345"/>
      <c r="E55" s="345"/>
      <c r="F55" s="345"/>
      <c r="G55" s="345"/>
      <c r="H55" s="345"/>
    </row>
    <row r="56" spans="1:8" ht="15.75">
      <c r="A56" s="347" t="s">
        <v>820</v>
      </c>
      <c r="B56" s="345"/>
      <c r="C56" s="345"/>
      <c r="D56" s="345"/>
      <c r="E56" s="345"/>
      <c r="F56" s="345"/>
      <c r="G56" s="345"/>
      <c r="H56" s="345"/>
    </row>
    <row r="57" spans="1:8">
      <c r="A57" s="345"/>
      <c r="B57" s="345"/>
      <c r="C57" s="345"/>
      <c r="D57" s="345"/>
      <c r="E57" s="345"/>
      <c r="F57" s="345"/>
      <c r="G57" s="345"/>
      <c r="H57" s="345"/>
    </row>
    <row r="58" spans="1:8">
      <c r="A58" s="346" t="s">
        <v>1074</v>
      </c>
      <c r="B58" s="345"/>
      <c r="C58" s="345"/>
      <c r="D58" s="345"/>
      <c r="E58" s="345"/>
      <c r="F58" s="345"/>
      <c r="G58" s="345"/>
      <c r="H58" s="345"/>
    </row>
    <row r="59" spans="1:8">
      <c r="A59" s="346" t="s">
        <v>1075</v>
      </c>
      <c r="B59" s="345"/>
      <c r="C59" s="345"/>
      <c r="D59" s="345"/>
      <c r="E59" s="345"/>
      <c r="F59" s="345"/>
      <c r="G59" s="345"/>
      <c r="H59" s="345"/>
    </row>
    <row r="60" spans="1:8">
      <c r="A60" s="345"/>
      <c r="B60" s="345"/>
      <c r="C60" s="345"/>
      <c r="D60" s="345"/>
      <c r="E60" s="345"/>
      <c r="F60" s="345"/>
      <c r="G60" s="345"/>
      <c r="H60" s="345"/>
    </row>
    <row r="61" spans="1:8" ht="15.75">
      <c r="A61" s="347" t="s">
        <v>821</v>
      </c>
      <c r="B61" s="345"/>
      <c r="C61" s="345"/>
      <c r="D61" s="345"/>
      <c r="E61" s="345"/>
      <c r="F61" s="345"/>
      <c r="G61" s="345"/>
      <c r="H61" s="345"/>
    </row>
    <row r="62" spans="1:8">
      <c r="A62" s="345"/>
      <c r="B62" s="345"/>
      <c r="C62" s="345"/>
      <c r="D62" s="345"/>
      <c r="E62" s="345"/>
      <c r="F62" s="345"/>
      <c r="G62" s="345"/>
      <c r="H62" s="345"/>
    </row>
    <row r="63" spans="1:8">
      <c r="A63" s="346" t="s">
        <v>1072</v>
      </c>
      <c r="B63" s="345"/>
      <c r="C63" s="345"/>
      <c r="D63" s="345"/>
      <c r="E63" s="345"/>
      <c r="F63" s="345"/>
      <c r="G63" s="345"/>
      <c r="H63" s="345"/>
    </row>
    <row r="64" spans="1:8">
      <c r="A64" s="346" t="s">
        <v>1073</v>
      </c>
      <c r="B64" s="345"/>
      <c r="C64" s="345"/>
      <c r="D64" s="345"/>
      <c r="E64" s="345"/>
      <c r="F64" s="345"/>
      <c r="G64" s="345"/>
      <c r="H64" s="345"/>
    </row>
    <row r="65" spans="1:8">
      <c r="A65" s="345"/>
      <c r="B65" s="345"/>
      <c r="C65" s="345"/>
      <c r="D65" s="345"/>
      <c r="E65" s="345"/>
      <c r="F65" s="345"/>
      <c r="G65" s="345"/>
      <c r="H65" s="345"/>
    </row>
    <row r="66" spans="1:8">
      <c r="A66" s="346" t="s">
        <v>1070</v>
      </c>
      <c r="B66" s="345"/>
      <c r="C66" s="345"/>
      <c r="D66" s="345"/>
      <c r="E66" s="345"/>
      <c r="F66" s="345"/>
      <c r="G66" s="345"/>
      <c r="H66" s="345"/>
    </row>
    <row r="67" spans="1:8">
      <c r="A67" s="346" t="s">
        <v>1071</v>
      </c>
      <c r="B67" s="345"/>
      <c r="C67" s="345"/>
      <c r="D67" s="345"/>
      <c r="E67" s="345"/>
      <c r="F67" s="345"/>
      <c r="G67" s="345"/>
      <c r="H67" s="345"/>
    </row>
    <row r="68" spans="1:8">
      <c r="A68" s="345"/>
      <c r="B68" s="345"/>
      <c r="C68" s="345"/>
      <c r="D68" s="345"/>
      <c r="E68" s="345"/>
      <c r="F68" s="345"/>
      <c r="G68" s="345"/>
      <c r="H68" s="345"/>
    </row>
    <row r="69" spans="1:8">
      <c r="A69" s="346" t="s">
        <v>1067</v>
      </c>
      <c r="B69" s="345"/>
      <c r="C69" s="345"/>
      <c r="D69" s="345"/>
      <c r="E69" s="345"/>
      <c r="F69" s="345"/>
      <c r="G69" s="345"/>
      <c r="H69" s="345"/>
    </row>
    <row r="70" spans="1:8">
      <c r="A70" s="346" t="s">
        <v>1068</v>
      </c>
      <c r="B70" s="345"/>
      <c r="C70" s="345"/>
      <c r="D70" s="345"/>
      <c r="E70" s="345"/>
      <c r="F70" s="345"/>
      <c r="G70" s="345"/>
      <c r="H70" s="345"/>
    </row>
    <row r="71" spans="1:8">
      <c r="A71" s="346" t="s">
        <v>1069</v>
      </c>
      <c r="B71" s="345"/>
      <c r="C71" s="345"/>
      <c r="D71" s="345"/>
      <c r="E71" s="345"/>
      <c r="F71" s="345"/>
      <c r="G71" s="345"/>
      <c r="H71" s="345"/>
    </row>
    <row r="72" spans="1:8">
      <c r="A72" s="345"/>
      <c r="B72" s="345"/>
      <c r="C72" s="345"/>
      <c r="D72" s="345"/>
      <c r="E72" s="345"/>
      <c r="F72" s="345"/>
      <c r="G72" s="345"/>
      <c r="H72" s="345"/>
    </row>
    <row r="73" spans="1:8">
      <c r="A73" s="346" t="s">
        <v>1064</v>
      </c>
      <c r="B73" s="345"/>
      <c r="C73" s="345"/>
      <c r="D73" s="345"/>
      <c r="E73" s="345"/>
      <c r="F73" s="345"/>
      <c r="G73" s="345"/>
      <c r="H73" s="345"/>
    </row>
    <row r="74" spans="1:8">
      <c r="A74" s="346" t="s">
        <v>1065</v>
      </c>
      <c r="B74" s="345"/>
      <c r="C74" s="345"/>
      <c r="D74" s="345"/>
      <c r="E74" s="345"/>
      <c r="F74" s="345"/>
      <c r="G74" s="345"/>
      <c r="H74" s="345"/>
    </row>
    <row r="75" spans="1:8">
      <c r="A75" s="346" t="s">
        <v>1066</v>
      </c>
      <c r="B75" s="345"/>
      <c r="C75" s="345"/>
      <c r="D75" s="345"/>
      <c r="E75" s="345"/>
      <c r="F75" s="345"/>
      <c r="G75" s="345"/>
      <c r="H75" s="345"/>
    </row>
    <row r="76" spans="1:8">
      <c r="A76" s="345"/>
      <c r="B76" s="345"/>
      <c r="C76" s="345"/>
      <c r="D76" s="345"/>
      <c r="E76" s="345"/>
      <c r="F76" s="345"/>
      <c r="G76" s="345"/>
      <c r="H76" s="345"/>
    </row>
    <row r="77" spans="1:8">
      <c r="A77" s="346" t="s">
        <v>822</v>
      </c>
      <c r="B77" s="345"/>
      <c r="C77" s="345"/>
      <c r="D77" s="345"/>
      <c r="E77" s="345"/>
      <c r="F77" s="345"/>
      <c r="G77" s="345"/>
      <c r="H77" s="345"/>
    </row>
    <row r="78" spans="1:8">
      <c r="A78" s="345"/>
      <c r="B78" s="345"/>
      <c r="C78" s="345"/>
      <c r="D78" s="345"/>
      <c r="E78" s="345"/>
      <c r="F78" s="345"/>
      <c r="G78" s="345"/>
      <c r="H78" s="345"/>
    </row>
    <row r="79" spans="1:8">
      <c r="A79" s="346" t="s">
        <v>1059</v>
      </c>
      <c r="B79" s="345"/>
      <c r="C79" s="345"/>
      <c r="D79" s="345"/>
      <c r="E79" s="345"/>
      <c r="F79" s="345"/>
      <c r="G79" s="345"/>
      <c r="H79" s="345"/>
    </row>
    <row r="80" spans="1:8">
      <c r="A80" s="346" t="s">
        <v>1060</v>
      </c>
      <c r="B80" s="345"/>
      <c r="C80" s="345"/>
      <c r="D80" s="345"/>
      <c r="E80" s="345"/>
      <c r="F80" s="345"/>
      <c r="G80" s="345"/>
      <c r="H80" s="345"/>
    </row>
    <row r="81" spans="1:8">
      <c r="A81" s="346" t="s">
        <v>1061</v>
      </c>
      <c r="B81" s="345"/>
      <c r="C81" s="345"/>
      <c r="D81" s="345"/>
      <c r="E81" s="345"/>
      <c r="F81" s="345"/>
      <c r="G81" s="345"/>
      <c r="H81" s="345"/>
    </row>
    <row r="82" spans="1:8">
      <c r="A82" s="346" t="s">
        <v>1062</v>
      </c>
      <c r="B82" s="345"/>
      <c r="C82" s="345"/>
      <c r="D82" s="345"/>
      <c r="E82" s="345"/>
      <c r="F82" s="345"/>
      <c r="G82" s="345"/>
      <c r="H82" s="345"/>
    </row>
    <row r="83" spans="1:8">
      <c r="A83" s="346" t="s">
        <v>1063</v>
      </c>
      <c r="B83" s="345"/>
      <c r="C83" s="345"/>
      <c r="D83" s="345"/>
      <c r="E83" s="345"/>
      <c r="F83" s="345"/>
      <c r="G83" s="345"/>
      <c r="H83" s="345"/>
    </row>
    <row r="84" spans="1:8">
      <c r="A84" s="346" t="s">
        <v>948</v>
      </c>
      <c r="B84" s="345"/>
      <c r="C84" s="345"/>
      <c r="D84" s="345"/>
      <c r="E84" s="345"/>
      <c r="F84" s="345"/>
      <c r="G84" s="345"/>
      <c r="H84" s="345"/>
    </row>
    <row r="85" spans="1:8">
      <c r="A85" s="345"/>
      <c r="B85" s="345"/>
      <c r="C85" s="345"/>
      <c r="D85" s="345"/>
      <c r="E85" s="345"/>
      <c r="F85" s="345"/>
      <c r="G85" s="345"/>
      <c r="H85" s="345"/>
    </row>
    <row r="86" spans="1:8">
      <c r="A86" s="346" t="s">
        <v>1052</v>
      </c>
      <c r="B86" s="345"/>
      <c r="C86" s="345"/>
      <c r="D86" s="345"/>
      <c r="E86" s="345"/>
      <c r="F86" s="345"/>
      <c r="G86" s="345"/>
      <c r="H86" s="345"/>
    </row>
    <row r="87" spans="1:8">
      <c r="A87" s="346" t="s">
        <v>1053</v>
      </c>
      <c r="B87" s="345"/>
      <c r="C87" s="345"/>
      <c r="D87" s="345"/>
      <c r="E87" s="345"/>
      <c r="F87" s="345"/>
      <c r="G87" s="345"/>
      <c r="H87" s="345"/>
    </row>
    <row r="88" spans="1:8">
      <c r="A88" s="346" t="s">
        <v>1054</v>
      </c>
      <c r="B88" s="345"/>
      <c r="C88" s="345"/>
      <c r="D88" s="345"/>
      <c r="E88" s="345"/>
      <c r="F88" s="345"/>
      <c r="G88" s="345"/>
      <c r="H88" s="345"/>
    </row>
    <row r="89" spans="1:8">
      <c r="A89" s="346" t="s">
        <v>1055</v>
      </c>
      <c r="B89" s="345"/>
      <c r="C89" s="345"/>
      <c r="D89" s="345"/>
      <c r="E89" s="345"/>
      <c r="F89" s="345"/>
      <c r="G89" s="345"/>
      <c r="H89" s="345"/>
    </row>
    <row r="90" spans="1:8">
      <c r="A90" s="346" t="s">
        <v>1056</v>
      </c>
      <c r="B90" s="345"/>
      <c r="C90" s="345"/>
      <c r="D90" s="345"/>
      <c r="E90" s="345"/>
      <c r="F90" s="345"/>
      <c r="G90" s="345"/>
      <c r="H90" s="345"/>
    </row>
    <row r="91" spans="1:8">
      <c r="A91" s="346" t="s">
        <v>1057</v>
      </c>
      <c r="B91" s="345"/>
      <c r="C91" s="345"/>
      <c r="D91" s="345"/>
      <c r="E91" s="345"/>
      <c r="F91" s="345"/>
      <c r="G91" s="345"/>
      <c r="H91" s="345"/>
    </row>
    <row r="92" spans="1:8">
      <c r="A92" s="346" t="s">
        <v>1058</v>
      </c>
      <c r="B92" s="345"/>
      <c r="C92" s="345"/>
      <c r="D92" s="345"/>
      <c r="E92" s="345"/>
      <c r="F92" s="345"/>
      <c r="G92" s="345"/>
      <c r="H92" s="345"/>
    </row>
    <row r="93" spans="1:8">
      <c r="A93" s="345"/>
      <c r="B93" s="345"/>
      <c r="C93" s="345"/>
      <c r="D93" s="345"/>
      <c r="E93" s="345"/>
      <c r="F93" s="345"/>
      <c r="G93" s="345"/>
      <c r="H93" s="345"/>
    </row>
    <row r="94" spans="1:8">
      <c r="A94" s="346" t="s">
        <v>1050</v>
      </c>
      <c r="B94" s="345"/>
      <c r="C94" s="345"/>
      <c r="D94" s="345"/>
      <c r="E94" s="345"/>
      <c r="F94" s="345"/>
      <c r="G94" s="345"/>
      <c r="H94" s="345"/>
    </row>
    <row r="95" spans="1:8">
      <c r="A95" s="346" t="s">
        <v>1051</v>
      </c>
      <c r="B95" s="345"/>
      <c r="C95" s="345"/>
      <c r="D95" s="345"/>
      <c r="E95" s="345"/>
      <c r="F95" s="345"/>
      <c r="G95" s="345"/>
      <c r="H95" s="345"/>
    </row>
    <row r="96" spans="1:8">
      <c r="A96" s="345"/>
      <c r="B96" s="345"/>
      <c r="C96" s="345"/>
      <c r="D96" s="345"/>
      <c r="E96" s="345"/>
      <c r="F96" s="345"/>
      <c r="G96" s="345"/>
      <c r="H96" s="345"/>
    </row>
    <row r="97" spans="1:8" ht="15.75">
      <c r="A97" s="347" t="s">
        <v>823</v>
      </c>
      <c r="B97" s="345"/>
      <c r="C97" s="345"/>
      <c r="D97" s="345"/>
      <c r="E97" s="345"/>
      <c r="F97" s="345"/>
      <c r="G97" s="345"/>
      <c r="H97" s="345"/>
    </row>
    <row r="98" spans="1:8">
      <c r="A98" s="345"/>
      <c r="B98" s="345"/>
      <c r="C98" s="345"/>
      <c r="D98" s="345"/>
      <c r="E98" s="345"/>
      <c r="F98" s="345"/>
      <c r="G98" s="345"/>
      <c r="H98" s="345"/>
    </row>
    <row r="99" spans="1:8">
      <c r="A99" s="346" t="s">
        <v>1041</v>
      </c>
      <c r="B99" s="345"/>
      <c r="C99" s="345"/>
      <c r="D99" s="345"/>
      <c r="E99" s="345"/>
      <c r="F99" s="345"/>
      <c r="G99" s="345"/>
      <c r="H99" s="345"/>
    </row>
    <row r="100" spans="1:8">
      <c r="A100" s="346" t="s">
        <v>1042</v>
      </c>
      <c r="B100" s="345"/>
      <c r="C100" s="345"/>
      <c r="D100" s="345"/>
      <c r="E100" s="345"/>
      <c r="F100" s="345"/>
      <c r="G100" s="345"/>
      <c r="H100" s="345"/>
    </row>
    <row r="101" spans="1:8">
      <c r="A101" s="346" t="s">
        <v>1043</v>
      </c>
      <c r="B101" s="345"/>
      <c r="C101" s="345"/>
      <c r="D101" s="345"/>
      <c r="E101" s="345"/>
      <c r="F101" s="345"/>
      <c r="G101" s="345"/>
      <c r="H101" s="345"/>
    </row>
    <row r="102" spans="1:8">
      <c r="A102" s="346" t="s">
        <v>1044</v>
      </c>
      <c r="B102" s="345"/>
      <c r="C102" s="345"/>
      <c r="D102" s="345"/>
      <c r="E102" s="345"/>
      <c r="F102" s="345"/>
      <c r="G102" s="345"/>
      <c r="H102" s="345"/>
    </row>
    <row r="103" spans="1:8">
      <c r="A103" s="346" t="s">
        <v>1045</v>
      </c>
      <c r="B103" s="345"/>
      <c r="C103" s="345"/>
      <c r="D103" s="345"/>
      <c r="E103" s="345"/>
      <c r="F103" s="345"/>
      <c r="G103" s="345"/>
      <c r="H103" s="345"/>
    </row>
    <row r="104" spans="1:8">
      <c r="A104" s="346" t="s">
        <v>1046</v>
      </c>
      <c r="B104" s="345"/>
      <c r="C104" s="345"/>
      <c r="D104" s="345"/>
      <c r="E104" s="345"/>
      <c r="F104" s="345"/>
      <c r="G104" s="345"/>
      <c r="H104" s="345"/>
    </row>
    <row r="105" spans="1:8">
      <c r="A105" s="346" t="s">
        <v>1047</v>
      </c>
      <c r="B105" s="345"/>
      <c r="C105" s="345"/>
      <c r="D105" s="345"/>
      <c r="E105" s="345"/>
      <c r="F105" s="345"/>
      <c r="G105" s="345"/>
      <c r="H105" s="345"/>
    </row>
    <row r="106" spans="1:8">
      <c r="A106" s="346" t="s">
        <v>1048</v>
      </c>
      <c r="B106" s="345"/>
      <c r="C106" s="345"/>
      <c r="D106" s="345"/>
      <c r="E106" s="345"/>
      <c r="F106" s="345"/>
      <c r="G106" s="345"/>
      <c r="H106" s="345"/>
    </row>
    <row r="107" spans="1:8">
      <c r="A107" s="346" t="s">
        <v>1049</v>
      </c>
      <c r="B107" s="345"/>
      <c r="C107" s="345"/>
      <c r="D107" s="345"/>
      <c r="E107" s="345"/>
      <c r="F107" s="345"/>
      <c r="G107" s="345"/>
      <c r="H107" s="345"/>
    </row>
    <row r="108" spans="1:8">
      <c r="A108" s="345"/>
      <c r="B108" s="345"/>
      <c r="C108" s="345"/>
      <c r="D108" s="345"/>
      <c r="E108" s="345"/>
      <c r="F108" s="345"/>
      <c r="G108" s="345"/>
      <c r="H108" s="345"/>
    </row>
    <row r="109" spans="1:8" ht="15.75">
      <c r="A109" s="348" t="s">
        <v>824</v>
      </c>
      <c r="B109" s="348"/>
      <c r="C109" s="348"/>
      <c r="D109" s="348"/>
      <c r="E109" s="348"/>
      <c r="F109" s="348"/>
      <c r="G109" s="348"/>
      <c r="H109" s="348"/>
    </row>
    <row r="110" spans="1:8">
      <c r="A110" s="349" t="s">
        <v>825</v>
      </c>
      <c r="B110" s="349"/>
      <c r="C110" s="349"/>
      <c r="D110" s="349"/>
      <c r="E110" s="349"/>
      <c r="F110" s="349"/>
      <c r="G110" s="349"/>
      <c r="H110" s="349"/>
    </row>
    <row r="111" spans="1:8">
      <c r="A111" s="350"/>
      <c r="B111" s="350"/>
      <c r="C111" s="350"/>
      <c r="D111" s="350"/>
      <c r="E111" s="350"/>
      <c r="F111" s="350"/>
      <c r="G111" s="350"/>
      <c r="H111" s="350"/>
    </row>
    <row r="112" spans="1:8">
      <c r="A112" s="349" t="s">
        <v>1039</v>
      </c>
      <c r="B112" s="349"/>
      <c r="C112" s="349"/>
      <c r="D112" s="349"/>
      <c r="E112" s="349"/>
      <c r="F112" s="349"/>
      <c r="G112" s="349"/>
      <c r="H112" s="349"/>
    </row>
    <row r="113" spans="1:8">
      <c r="A113" s="346" t="s">
        <v>1040</v>
      </c>
      <c r="B113" s="346"/>
      <c r="C113" s="346"/>
      <c r="D113" s="346"/>
      <c r="E113" s="346"/>
      <c r="F113" s="346"/>
      <c r="G113" s="346"/>
      <c r="H113" s="346"/>
    </row>
    <row r="114" spans="1:8">
      <c r="A114" s="350"/>
      <c r="B114" s="350"/>
      <c r="C114" s="350"/>
      <c r="D114" s="350"/>
      <c r="E114" s="350"/>
      <c r="F114" s="350"/>
      <c r="G114" s="350"/>
      <c r="H114" s="350"/>
    </row>
    <row r="115" spans="1:8">
      <c r="A115" s="349" t="s">
        <v>1032</v>
      </c>
      <c r="B115" s="349"/>
      <c r="C115" s="349"/>
      <c r="D115" s="349"/>
      <c r="E115" s="349"/>
      <c r="F115" s="349"/>
      <c r="G115" s="349"/>
      <c r="H115" s="349"/>
    </row>
    <row r="116" spans="1:8">
      <c r="A116" s="346" t="s">
        <v>1033</v>
      </c>
      <c r="B116" s="346"/>
      <c r="C116" s="346"/>
      <c r="D116" s="346"/>
      <c r="E116" s="346"/>
      <c r="F116" s="346"/>
      <c r="G116" s="346"/>
      <c r="H116" s="346"/>
    </row>
    <row r="117" spans="1:8">
      <c r="A117" s="346" t="s">
        <v>1034</v>
      </c>
      <c r="B117" s="346"/>
      <c r="C117" s="346"/>
      <c r="D117" s="346"/>
      <c r="E117" s="346"/>
      <c r="F117" s="346"/>
      <c r="G117" s="346"/>
      <c r="H117" s="346"/>
    </row>
    <row r="118" spans="1:8">
      <c r="A118" s="346" t="s">
        <v>1035</v>
      </c>
      <c r="B118" s="346"/>
      <c r="C118" s="346"/>
      <c r="D118" s="346"/>
      <c r="E118" s="346"/>
      <c r="F118" s="346"/>
      <c r="G118" s="346"/>
      <c r="H118" s="346"/>
    </row>
    <row r="119" spans="1:8">
      <c r="A119" s="346" t="s">
        <v>1036</v>
      </c>
      <c r="B119" s="346"/>
      <c r="C119" s="346"/>
      <c r="D119" s="346"/>
      <c r="E119" s="346"/>
      <c r="F119" s="346"/>
      <c r="G119" s="346"/>
      <c r="H119" s="346"/>
    </row>
    <row r="120" spans="1:8">
      <c r="A120" s="346" t="s">
        <v>1037</v>
      </c>
      <c r="B120" s="346"/>
      <c r="C120" s="346"/>
      <c r="D120" s="346"/>
      <c r="E120" s="346"/>
      <c r="F120" s="346"/>
      <c r="G120" s="346"/>
      <c r="H120" s="346"/>
    </row>
    <row r="121" spans="1:8">
      <c r="A121" s="346" t="s">
        <v>1038</v>
      </c>
      <c r="B121" s="346"/>
      <c r="C121" s="346"/>
      <c r="D121" s="346"/>
      <c r="E121" s="346"/>
      <c r="F121" s="346"/>
      <c r="G121" s="346"/>
      <c r="H121" s="346"/>
    </row>
    <row r="122" spans="1:8">
      <c r="A122" s="351"/>
      <c r="B122" s="351"/>
      <c r="C122" s="351"/>
      <c r="D122" s="351"/>
      <c r="E122" s="351"/>
      <c r="F122" s="351"/>
      <c r="G122" s="351"/>
      <c r="H122" s="351"/>
    </row>
    <row r="123" spans="1:8">
      <c r="A123" s="352"/>
      <c r="B123" s="353" t="s">
        <v>826</v>
      </c>
      <c r="C123" s="354"/>
      <c r="D123" s="353" t="s">
        <v>827</v>
      </c>
      <c r="E123" s="355"/>
      <c r="F123" s="354"/>
      <c r="G123" s="353" t="s">
        <v>828</v>
      </c>
      <c r="H123" s="354"/>
    </row>
    <row r="124" spans="1:8">
      <c r="A124" s="352" t="s">
        <v>829</v>
      </c>
      <c r="B124" s="352" t="s">
        <v>234</v>
      </c>
      <c r="C124" s="352" t="s">
        <v>10</v>
      </c>
      <c r="D124" s="352" t="s">
        <v>234</v>
      </c>
      <c r="E124" s="352" t="s">
        <v>830</v>
      </c>
      <c r="F124" s="352" t="s">
        <v>831</v>
      </c>
      <c r="G124" s="352" t="s">
        <v>234</v>
      </c>
      <c r="H124" s="352" t="s">
        <v>832</v>
      </c>
    </row>
    <row r="125" spans="1:8">
      <c r="A125" s="352" t="s">
        <v>833</v>
      </c>
      <c r="B125" s="352">
        <v>1189</v>
      </c>
      <c r="C125" s="356">
        <v>0.38</v>
      </c>
      <c r="D125" s="352">
        <v>315</v>
      </c>
      <c r="E125" s="356">
        <v>0.41</v>
      </c>
      <c r="F125" s="356">
        <v>0.26</v>
      </c>
      <c r="G125" s="352">
        <v>555</v>
      </c>
      <c r="H125" s="356">
        <v>0.39</v>
      </c>
    </row>
    <row r="126" spans="1:8">
      <c r="A126" s="352" t="s">
        <v>834</v>
      </c>
      <c r="B126" s="352">
        <v>1355</v>
      </c>
      <c r="C126" s="356">
        <v>0.43</v>
      </c>
      <c r="D126" s="352">
        <v>364</v>
      </c>
      <c r="E126" s="356">
        <v>0.47</v>
      </c>
      <c r="F126" s="356">
        <v>0.27</v>
      </c>
      <c r="G126" s="352">
        <v>644</v>
      </c>
      <c r="H126" s="356">
        <v>0.45</v>
      </c>
    </row>
    <row r="127" spans="1:8">
      <c r="A127" s="352" t="s">
        <v>835</v>
      </c>
      <c r="B127" s="352">
        <v>53</v>
      </c>
      <c r="C127" s="356">
        <v>0.02</v>
      </c>
      <c r="D127" s="352">
        <v>4</v>
      </c>
      <c r="E127" s="356">
        <v>0.01</v>
      </c>
      <c r="F127" s="356">
        <v>0.08</v>
      </c>
      <c r="G127" s="352">
        <v>7</v>
      </c>
      <c r="H127" s="356">
        <v>0</v>
      </c>
    </row>
    <row r="128" spans="1:8">
      <c r="A128" s="352" t="s">
        <v>836</v>
      </c>
      <c r="B128" s="352">
        <v>545</v>
      </c>
      <c r="C128" s="356">
        <v>0.17</v>
      </c>
      <c r="D128" s="352">
        <v>84</v>
      </c>
      <c r="E128" s="356">
        <v>0.11</v>
      </c>
      <c r="F128" s="356">
        <v>0.15</v>
      </c>
      <c r="G128" s="352">
        <v>214</v>
      </c>
      <c r="H128" s="356">
        <v>0.15</v>
      </c>
    </row>
    <row r="129" spans="1:8">
      <c r="A129" s="352" t="s">
        <v>837</v>
      </c>
      <c r="B129" s="357">
        <v>3142</v>
      </c>
      <c r="C129" s="352"/>
      <c r="D129" s="352">
        <v>767</v>
      </c>
      <c r="E129" s="352"/>
      <c r="F129" s="352"/>
      <c r="G129" s="352">
        <v>1420</v>
      </c>
      <c r="H129" s="352"/>
    </row>
    <row r="130" spans="1:8">
      <c r="A130" s="358"/>
      <c r="B130" s="358"/>
      <c r="C130" s="358"/>
      <c r="D130" s="358"/>
      <c r="E130" s="358"/>
      <c r="F130" s="358"/>
      <c r="G130" s="358"/>
      <c r="H130" s="358"/>
    </row>
    <row r="131" spans="1:8">
      <c r="A131" s="349" t="s">
        <v>1028</v>
      </c>
      <c r="B131" s="349"/>
      <c r="C131" s="349"/>
      <c r="D131" s="349"/>
      <c r="E131" s="349"/>
      <c r="F131" s="349"/>
      <c r="G131" s="349"/>
      <c r="H131" s="349"/>
    </row>
    <row r="132" spans="1:8">
      <c r="A132" s="346" t="s">
        <v>1029</v>
      </c>
      <c r="B132" s="346"/>
      <c r="C132" s="346"/>
      <c r="D132" s="346"/>
      <c r="E132" s="346"/>
      <c r="F132" s="346"/>
      <c r="G132" s="346"/>
      <c r="H132" s="346"/>
    </row>
    <row r="133" spans="1:8">
      <c r="A133" s="346" t="s">
        <v>1030</v>
      </c>
      <c r="B133" s="346"/>
      <c r="C133" s="346"/>
      <c r="D133" s="346"/>
      <c r="E133" s="346"/>
      <c r="F133" s="346"/>
      <c r="G133" s="346"/>
      <c r="H133" s="346"/>
    </row>
    <row r="134" spans="1:8">
      <c r="A134" s="346" t="s">
        <v>1031</v>
      </c>
      <c r="B134" s="346"/>
      <c r="C134" s="346"/>
      <c r="D134" s="346"/>
      <c r="E134" s="346"/>
      <c r="F134" s="346"/>
      <c r="G134" s="346"/>
      <c r="H134" s="346"/>
    </row>
    <row r="135" spans="1:8">
      <c r="A135" s="345"/>
      <c r="B135" s="345"/>
      <c r="C135" s="345"/>
      <c r="D135" s="345"/>
      <c r="E135" s="345"/>
      <c r="F135" s="345"/>
      <c r="G135" s="345"/>
      <c r="H135" s="345"/>
    </row>
    <row r="136" spans="1:8" ht="15.75">
      <c r="A136" s="347" t="s">
        <v>838</v>
      </c>
      <c r="B136" s="345"/>
      <c r="C136" s="345"/>
      <c r="D136" s="345"/>
      <c r="E136" s="345"/>
      <c r="F136" s="345"/>
      <c r="G136" s="345"/>
      <c r="H136" s="345"/>
    </row>
    <row r="137" spans="1:8">
      <c r="A137" s="345"/>
      <c r="B137" s="345"/>
      <c r="C137" s="345"/>
      <c r="D137" s="345"/>
      <c r="E137" s="345"/>
      <c r="F137" s="345"/>
      <c r="G137" s="345"/>
      <c r="H137" s="345"/>
    </row>
    <row r="138" spans="1:8">
      <c r="A138" s="346" t="s">
        <v>1026</v>
      </c>
      <c r="B138" s="345"/>
      <c r="C138" s="345"/>
      <c r="D138" s="345"/>
      <c r="E138" s="345"/>
      <c r="F138" s="345"/>
      <c r="G138" s="345"/>
      <c r="H138" s="345"/>
    </row>
    <row r="139" spans="1:8">
      <c r="A139" s="346" t="s">
        <v>1027</v>
      </c>
      <c r="B139" s="345"/>
      <c r="C139" s="345"/>
      <c r="D139" s="345"/>
      <c r="E139" s="345"/>
      <c r="F139" s="345"/>
      <c r="G139" s="345"/>
      <c r="H139" s="345"/>
    </row>
    <row r="140" spans="1:8">
      <c r="A140" s="345"/>
      <c r="B140" s="345"/>
      <c r="C140" s="345"/>
      <c r="D140" s="345"/>
      <c r="E140" s="345"/>
      <c r="F140" s="345"/>
      <c r="G140" s="345"/>
      <c r="H140" s="345"/>
    </row>
    <row r="141" spans="1:8">
      <c r="A141" s="346" t="s">
        <v>1023</v>
      </c>
      <c r="B141" s="345"/>
      <c r="C141" s="345"/>
      <c r="D141" s="345"/>
      <c r="E141" s="345"/>
      <c r="F141" s="345"/>
      <c r="G141" s="345"/>
      <c r="H141" s="345"/>
    </row>
    <row r="142" spans="1:8">
      <c r="A142" s="346" t="s">
        <v>1024</v>
      </c>
      <c r="B142" s="345"/>
      <c r="C142" s="345"/>
      <c r="D142" s="345"/>
      <c r="E142" s="345"/>
      <c r="F142" s="345"/>
      <c r="G142" s="345"/>
      <c r="H142" s="345"/>
    </row>
    <row r="143" spans="1:8">
      <c r="A143" s="346" t="s">
        <v>1025</v>
      </c>
      <c r="B143" s="345"/>
      <c r="C143" s="345"/>
      <c r="D143" s="345"/>
      <c r="E143" s="345"/>
      <c r="F143" s="345"/>
      <c r="G143" s="345"/>
      <c r="H143" s="345"/>
    </row>
    <row r="144" spans="1:8">
      <c r="A144" s="345"/>
      <c r="B144" s="345"/>
      <c r="C144" s="345"/>
      <c r="D144" s="345"/>
      <c r="E144" s="345"/>
      <c r="F144" s="345"/>
      <c r="G144" s="345"/>
      <c r="H144" s="345"/>
    </row>
    <row r="145" spans="1:8">
      <c r="A145" s="346" t="s">
        <v>1020</v>
      </c>
      <c r="B145" s="345"/>
      <c r="C145" s="345"/>
      <c r="D145" s="345"/>
      <c r="E145" s="345"/>
      <c r="F145" s="345"/>
      <c r="G145" s="345"/>
      <c r="H145" s="345"/>
    </row>
    <row r="146" spans="1:8">
      <c r="A146" s="346" t="s">
        <v>1021</v>
      </c>
      <c r="B146" s="345"/>
      <c r="C146" s="345"/>
      <c r="D146" s="345"/>
      <c r="E146" s="345"/>
      <c r="F146" s="345"/>
      <c r="G146" s="345"/>
      <c r="H146" s="345"/>
    </row>
    <row r="147" spans="1:8">
      <c r="A147" s="346" t="s">
        <v>1022</v>
      </c>
      <c r="B147" s="345"/>
      <c r="C147" s="345"/>
      <c r="D147" s="345"/>
      <c r="E147" s="345"/>
      <c r="F147" s="345"/>
      <c r="G147" s="345"/>
      <c r="H147" s="345"/>
    </row>
    <row r="148" spans="1:8">
      <c r="A148" s="345"/>
      <c r="B148" s="345"/>
      <c r="C148" s="345"/>
      <c r="D148" s="345"/>
      <c r="E148" s="345"/>
      <c r="F148" s="345"/>
      <c r="G148" s="345"/>
      <c r="H148" s="345"/>
    </row>
    <row r="149" spans="1:8">
      <c r="A149" s="346" t="s">
        <v>1017</v>
      </c>
      <c r="B149" s="345"/>
      <c r="C149" s="345"/>
      <c r="D149" s="345"/>
      <c r="E149" s="345"/>
      <c r="F149" s="345"/>
      <c r="G149" s="345"/>
      <c r="H149" s="345"/>
    </row>
    <row r="150" spans="1:8">
      <c r="A150" s="346" t="s">
        <v>1018</v>
      </c>
      <c r="B150" s="345"/>
      <c r="C150" s="345"/>
      <c r="D150" s="345"/>
      <c r="E150" s="345"/>
      <c r="F150" s="345"/>
      <c r="G150" s="345"/>
      <c r="H150" s="345"/>
    </row>
    <row r="151" spans="1:8">
      <c r="A151" s="346" t="s">
        <v>1019</v>
      </c>
      <c r="B151" s="345"/>
      <c r="C151" s="345"/>
      <c r="D151" s="345"/>
      <c r="E151" s="345"/>
      <c r="F151" s="345"/>
      <c r="G151" s="345"/>
      <c r="H151" s="345"/>
    </row>
    <row r="152" spans="1:8">
      <c r="A152" s="345"/>
      <c r="B152" s="345"/>
      <c r="C152" s="345"/>
      <c r="D152" s="345"/>
      <c r="E152" s="345"/>
      <c r="F152" s="345"/>
      <c r="G152" s="345"/>
      <c r="H152" s="345"/>
    </row>
    <row r="153" spans="1:8">
      <c r="A153" s="346" t="s">
        <v>1015</v>
      </c>
      <c r="B153" s="345"/>
      <c r="C153" s="345"/>
      <c r="D153" s="345"/>
      <c r="E153" s="345"/>
      <c r="F153" s="345"/>
      <c r="G153" s="345"/>
      <c r="H153" s="345"/>
    </row>
    <row r="154" spans="1:8">
      <c r="A154" s="346" t="s">
        <v>1016</v>
      </c>
      <c r="B154" s="345"/>
      <c r="C154" s="345"/>
      <c r="D154" s="345"/>
      <c r="E154" s="345"/>
      <c r="F154" s="345"/>
      <c r="G154" s="345"/>
      <c r="H154" s="345"/>
    </row>
    <row r="155" spans="1:8">
      <c r="A155" s="345"/>
      <c r="B155" s="345"/>
      <c r="C155" s="345"/>
      <c r="D155" s="345"/>
      <c r="E155" s="345"/>
      <c r="F155" s="345"/>
      <c r="G155" s="345"/>
      <c r="H155" s="345"/>
    </row>
    <row r="156" spans="1:8" ht="15.75">
      <c r="A156" s="347" t="s">
        <v>839</v>
      </c>
      <c r="B156" s="345"/>
      <c r="C156" s="345"/>
      <c r="D156" s="345"/>
      <c r="E156" s="345"/>
      <c r="F156" s="345"/>
      <c r="G156" s="345"/>
      <c r="H156" s="345"/>
    </row>
    <row r="157" spans="1:8">
      <c r="A157" s="345"/>
      <c r="B157" s="345"/>
      <c r="C157" s="345"/>
      <c r="D157" s="345"/>
      <c r="E157" s="345"/>
      <c r="F157" s="345"/>
      <c r="G157" s="345"/>
      <c r="H157" s="345"/>
    </row>
    <row r="158" spans="1:8">
      <c r="A158" s="346" t="s">
        <v>1013</v>
      </c>
      <c r="B158" s="345"/>
      <c r="C158" s="345"/>
      <c r="D158" s="345"/>
      <c r="E158" s="345"/>
      <c r="F158" s="345"/>
      <c r="G158" s="345"/>
      <c r="H158" s="345"/>
    </row>
    <row r="159" spans="1:8">
      <c r="A159" s="346" t="s">
        <v>1014</v>
      </c>
      <c r="B159" s="345"/>
      <c r="C159" s="345"/>
      <c r="D159" s="345"/>
      <c r="E159" s="345"/>
      <c r="F159" s="345"/>
      <c r="G159" s="345"/>
      <c r="H159" s="345"/>
    </row>
    <row r="160" spans="1:8">
      <c r="A160" s="345"/>
      <c r="B160" s="345"/>
      <c r="C160" s="345"/>
      <c r="D160" s="345"/>
      <c r="E160" s="345"/>
      <c r="F160" s="345"/>
      <c r="G160" s="345"/>
      <c r="H160" s="345"/>
    </row>
    <row r="161" spans="1:8">
      <c r="A161" s="346" t="s">
        <v>1011</v>
      </c>
      <c r="B161" s="345"/>
      <c r="C161" s="345"/>
      <c r="D161" s="345"/>
      <c r="E161" s="345"/>
      <c r="F161" s="345"/>
      <c r="G161" s="345"/>
      <c r="H161" s="345"/>
    </row>
    <row r="162" spans="1:8">
      <c r="A162" s="346" t="s">
        <v>1012</v>
      </c>
      <c r="B162" s="345"/>
      <c r="C162" s="345"/>
      <c r="D162" s="345"/>
      <c r="E162" s="345"/>
      <c r="F162" s="345"/>
      <c r="G162" s="345"/>
      <c r="H162" s="345"/>
    </row>
    <row r="163" spans="1:8">
      <c r="A163" s="345"/>
      <c r="B163" s="345"/>
      <c r="C163" s="345"/>
      <c r="D163" s="345"/>
      <c r="E163" s="345"/>
      <c r="F163" s="345"/>
      <c r="G163" s="345"/>
      <c r="H163" s="345"/>
    </row>
    <row r="164" spans="1:8">
      <c r="A164" s="346" t="s">
        <v>1009</v>
      </c>
      <c r="B164" s="345"/>
      <c r="C164" s="345"/>
      <c r="D164" s="345"/>
      <c r="E164" s="345"/>
      <c r="F164" s="345"/>
      <c r="G164" s="345"/>
      <c r="H164" s="345"/>
    </row>
    <row r="165" spans="1:8">
      <c r="A165" s="346" t="s">
        <v>1010</v>
      </c>
      <c r="B165" s="345"/>
      <c r="C165" s="345"/>
      <c r="D165" s="345"/>
      <c r="E165" s="345"/>
      <c r="F165" s="345"/>
      <c r="G165" s="345"/>
      <c r="H165" s="345"/>
    </row>
    <row r="166" spans="1:8">
      <c r="A166" s="345"/>
      <c r="B166" s="345"/>
      <c r="C166" s="345"/>
      <c r="D166" s="345"/>
      <c r="E166" s="345"/>
      <c r="F166" s="345"/>
      <c r="G166" s="345"/>
      <c r="H166" s="345"/>
    </row>
    <row r="167" spans="1:8">
      <c r="A167" s="346" t="s">
        <v>1006</v>
      </c>
      <c r="B167" s="345"/>
      <c r="C167" s="345"/>
      <c r="D167" s="345"/>
      <c r="E167" s="345"/>
      <c r="F167" s="345"/>
      <c r="G167" s="345"/>
      <c r="H167" s="345"/>
    </row>
    <row r="168" spans="1:8">
      <c r="A168" s="346" t="s">
        <v>1007</v>
      </c>
      <c r="B168" s="345"/>
      <c r="C168" s="345"/>
      <c r="D168" s="345"/>
      <c r="E168" s="345"/>
      <c r="F168" s="345"/>
      <c r="G168" s="345"/>
      <c r="H168" s="345"/>
    </row>
    <row r="169" spans="1:8">
      <c r="A169" s="346" t="s">
        <v>1008</v>
      </c>
      <c r="B169" s="345"/>
      <c r="C169" s="345"/>
      <c r="D169" s="345"/>
      <c r="E169" s="345"/>
      <c r="F169" s="345"/>
      <c r="G169" s="345"/>
      <c r="H169" s="345"/>
    </row>
    <row r="170" spans="1:8">
      <c r="A170" s="345"/>
      <c r="B170" s="345"/>
      <c r="C170" s="345"/>
      <c r="D170" s="345"/>
      <c r="E170" s="345"/>
      <c r="F170" s="345"/>
      <c r="G170" s="345"/>
      <c r="H170" s="345"/>
    </row>
    <row r="171" spans="1:8">
      <c r="A171" s="345"/>
      <c r="B171" s="345"/>
      <c r="C171" s="345"/>
      <c r="D171" s="345"/>
      <c r="E171" s="345"/>
      <c r="F171" s="345"/>
      <c r="G171" s="345"/>
      <c r="H171" s="345"/>
    </row>
    <row r="172" spans="1:8">
      <c r="A172" s="346" t="s">
        <v>840</v>
      </c>
      <c r="B172" s="345"/>
      <c r="C172" s="345"/>
      <c r="D172" s="345"/>
      <c r="E172" s="345"/>
      <c r="F172" s="345"/>
      <c r="G172" s="345"/>
      <c r="H172" s="345"/>
    </row>
    <row r="173" spans="1:8">
      <c r="A173" s="345"/>
      <c r="B173" s="345"/>
      <c r="C173" s="345"/>
      <c r="D173" s="345"/>
      <c r="E173" s="345"/>
      <c r="F173" s="345"/>
      <c r="G173" s="345"/>
      <c r="H173" s="345"/>
    </row>
    <row r="174" spans="1:8" ht="15.75">
      <c r="A174" s="347" t="s">
        <v>841</v>
      </c>
      <c r="B174" s="345"/>
      <c r="C174" s="345"/>
      <c r="D174" s="345"/>
      <c r="E174" s="345"/>
      <c r="F174" s="345"/>
      <c r="G174" s="345"/>
      <c r="H174" s="345"/>
    </row>
    <row r="175" spans="1:8">
      <c r="A175" s="345"/>
      <c r="B175" s="345"/>
      <c r="C175" s="345"/>
      <c r="D175" s="345"/>
      <c r="E175" s="345"/>
      <c r="F175" s="345"/>
      <c r="G175" s="345"/>
      <c r="H175" s="345"/>
    </row>
    <row r="176" spans="1:8">
      <c r="A176" s="345"/>
      <c r="B176" s="345"/>
      <c r="C176" s="345"/>
      <c r="D176" s="345"/>
      <c r="E176" s="345"/>
      <c r="F176" s="345"/>
      <c r="G176" s="345"/>
      <c r="H176" s="345"/>
    </row>
    <row r="177" spans="1:8">
      <c r="A177" s="345"/>
      <c r="B177" s="345"/>
      <c r="C177" s="345"/>
      <c r="D177" s="345"/>
      <c r="E177" s="345"/>
      <c r="F177" s="345"/>
      <c r="G177" s="345"/>
      <c r="H177" s="345"/>
    </row>
    <row r="178" spans="1:8">
      <c r="A178" s="345"/>
      <c r="B178" s="345"/>
      <c r="C178" s="345"/>
      <c r="D178" s="345"/>
      <c r="E178" s="345"/>
      <c r="F178" s="345"/>
      <c r="G178" s="345"/>
      <c r="H178" s="345"/>
    </row>
    <row r="179" spans="1:8">
      <c r="A179" s="345"/>
      <c r="B179" s="345"/>
      <c r="C179" s="345"/>
      <c r="D179" s="345"/>
      <c r="E179" s="345"/>
      <c r="F179" s="345"/>
      <c r="G179" s="345"/>
      <c r="H179" s="345"/>
    </row>
    <row r="180" spans="1:8">
      <c r="A180" s="345"/>
      <c r="B180" s="345"/>
      <c r="C180" s="345"/>
      <c r="D180" s="345"/>
      <c r="E180" s="345"/>
      <c r="F180" s="345"/>
      <c r="G180" s="345"/>
      <c r="H180" s="345"/>
    </row>
    <row r="181" spans="1:8">
      <c r="A181" s="345"/>
      <c r="B181" s="345"/>
      <c r="C181" s="345"/>
      <c r="D181" s="345"/>
      <c r="E181" s="345"/>
      <c r="F181" s="345"/>
      <c r="G181" s="345"/>
      <c r="H181" s="345"/>
    </row>
    <row r="182" spans="1:8">
      <c r="A182" s="345"/>
      <c r="B182" s="345"/>
      <c r="C182" s="345"/>
      <c r="D182" s="345"/>
      <c r="E182" s="345"/>
      <c r="F182" s="345"/>
      <c r="G182" s="345"/>
      <c r="H182" s="345"/>
    </row>
    <row r="183" spans="1:8">
      <c r="A183" s="345"/>
      <c r="B183" s="345"/>
      <c r="C183" s="345"/>
      <c r="D183" s="345"/>
      <c r="E183" s="345"/>
      <c r="F183" s="345"/>
      <c r="G183" s="345"/>
      <c r="H183" s="345"/>
    </row>
    <row r="184" spans="1:8">
      <c r="A184" s="345"/>
      <c r="B184" s="345"/>
      <c r="C184" s="345"/>
      <c r="D184" s="345"/>
      <c r="E184" s="345"/>
      <c r="F184" s="345"/>
      <c r="G184" s="345"/>
      <c r="H184" s="345"/>
    </row>
    <row r="185" spans="1:8">
      <c r="A185" s="345"/>
      <c r="B185" s="345"/>
      <c r="C185" s="345"/>
      <c r="D185" s="345"/>
      <c r="E185" s="345"/>
      <c r="F185" s="345"/>
      <c r="G185" s="345"/>
      <c r="H185" s="345"/>
    </row>
    <row r="186" spans="1:8">
      <c r="A186" s="345"/>
      <c r="B186" s="345"/>
      <c r="C186" s="345"/>
      <c r="D186" s="345"/>
      <c r="E186" s="345"/>
      <c r="F186" s="345"/>
      <c r="G186" s="345"/>
      <c r="H186" s="345"/>
    </row>
    <row r="187" spans="1:8">
      <c r="A187" s="345"/>
      <c r="B187" s="345"/>
      <c r="C187" s="345"/>
      <c r="D187" s="345"/>
      <c r="E187" s="345"/>
      <c r="F187" s="345"/>
      <c r="G187" s="345"/>
      <c r="H187" s="345"/>
    </row>
    <row r="188" spans="1:8">
      <c r="A188" s="345"/>
      <c r="B188" s="345"/>
      <c r="C188" s="345"/>
      <c r="D188" s="345"/>
      <c r="E188" s="345"/>
      <c r="F188" s="345"/>
      <c r="G188" s="345"/>
      <c r="H188" s="345"/>
    </row>
    <row r="189" spans="1:8">
      <c r="A189" s="345"/>
      <c r="B189" s="345"/>
      <c r="C189" s="345"/>
      <c r="D189" s="345"/>
      <c r="E189" s="345"/>
      <c r="F189" s="345"/>
      <c r="G189" s="345"/>
      <c r="H189" s="345"/>
    </row>
    <row r="190" spans="1:8">
      <c r="A190" s="345"/>
      <c r="B190" s="345"/>
      <c r="C190" s="345"/>
      <c r="D190" s="345"/>
      <c r="E190" s="345"/>
      <c r="F190" s="345"/>
      <c r="G190" s="345"/>
      <c r="H190" s="345"/>
    </row>
    <row r="191" spans="1:8">
      <c r="A191" s="345"/>
      <c r="B191" s="345"/>
      <c r="C191" s="345"/>
      <c r="D191" s="345"/>
      <c r="E191" s="345"/>
      <c r="F191" s="345"/>
      <c r="G191" s="345"/>
      <c r="H191" s="345"/>
    </row>
    <row r="192" spans="1:8">
      <c r="A192" s="345"/>
      <c r="B192" s="345"/>
      <c r="C192" s="345"/>
      <c r="D192" s="345"/>
      <c r="E192" s="345"/>
      <c r="F192" s="345"/>
      <c r="G192" s="345"/>
      <c r="H192" s="345"/>
    </row>
    <row r="193" spans="1:8">
      <c r="A193" s="345"/>
      <c r="B193" s="345"/>
      <c r="C193" s="345"/>
      <c r="D193" s="345"/>
      <c r="E193" s="345"/>
      <c r="F193" s="345"/>
      <c r="G193" s="345"/>
      <c r="H193" s="345"/>
    </row>
    <row r="194" spans="1:8">
      <c r="A194" s="345"/>
      <c r="B194" s="345"/>
      <c r="C194" s="345"/>
      <c r="D194" s="345"/>
      <c r="E194" s="345"/>
      <c r="F194" s="345"/>
      <c r="G194" s="345"/>
      <c r="H194" s="345"/>
    </row>
    <row r="195" spans="1:8">
      <c r="A195" s="345"/>
      <c r="B195" s="345"/>
      <c r="C195" s="345"/>
      <c r="D195" s="345"/>
      <c r="E195" s="345"/>
      <c r="F195" s="345"/>
      <c r="G195" s="345"/>
      <c r="H195" s="345"/>
    </row>
    <row r="196" spans="1:8">
      <c r="A196" s="345"/>
      <c r="B196" s="345"/>
      <c r="C196" s="345"/>
      <c r="D196" s="345"/>
      <c r="E196" s="345"/>
      <c r="F196" s="345"/>
      <c r="G196" s="345"/>
      <c r="H196" s="345"/>
    </row>
    <row r="197" spans="1:8">
      <c r="A197" s="345"/>
      <c r="B197" s="345"/>
      <c r="C197" s="345"/>
      <c r="D197" s="345"/>
      <c r="E197" s="345"/>
      <c r="F197" s="345"/>
      <c r="G197" s="345"/>
      <c r="H197" s="345"/>
    </row>
    <row r="198" spans="1:8">
      <c r="A198" s="345"/>
      <c r="B198" s="345"/>
      <c r="C198" s="345"/>
      <c r="D198" s="345"/>
      <c r="E198" s="345"/>
      <c r="F198" s="345"/>
      <c r="G198" s="345"/>
      <c r="H198" s="345"/>
    </row>
    <row r="199" spans="1:8">
      <c r="A199" s="345"/>
      <c r="B199" s="345"/>
      <c r="C199" s="345"/>
      <c r="D199" s="345"/>
      <c r="E199" s="345"/>
      <c r="F199" s="345"/>
      <c r="G199" s="345"/>
      <c r="H199" s="345"/>
    </row>
    <row r="200" spans="1:8">
      <c r="A200" s="345"/>
      <c r="B200" s="345"/>
      <c r="C200" s="345"/>
      <c r="D200" s="345"/>
      <c r="E200" s="345"/>
      <c r="F200" s="345"/>
      <c r="G200" s="345"/>
      <c r="H200" s="345"/>
    </row>
    <row r="201" spans="1:8" ht="15.75">
      <c r="A201" s="347" t="s">
        <v>842</v>
      </c>
      <c r="B201" s="345"/>
      <c r="C201" s="345"/>
      <c r="D201" s="345"/>
      <c r="E201" s="345"/>
      <c r="F201" s="345"/>
      <c r="G201" s="345"/>
      <c r="H201" s="345"/>
    </row>
    <row r="202" spans="1:8">
      <c r="A202" s="345"/>
      <c r="B202" s="345"/>
      <c r="C202" s="345"/>
      <c r="D202" s="345"/>
      <c r="E202" s="345"/>
      <c r="F202" s="345"/>
      <c r="G202" s="345"/>
      <c r="H202" s="345"/>
    </row>
    <row r="203" spans="1:8">
      <c r="A203" s="346" t="s">
        <v>1001</v>
      </c>
      <c r="B203" s="345"/>
      <c r="C203" s="345"/>
      <c r="D203" s="345"/>
      <c r="E203" s="345"/>
      <c r="F203" s="345"/>
      <c r="G203" s="345"/>
      <c r="H203" s="345"/>
    </row>
    <row r="204" spans="1:8">
      <c r="A204" s="346" t="s">
        <v>1002</v>
      </c>
      <c r="B204" s="345"/>
      <c r="C204" s="345"/>
      <c r="D204" s="345"/>
      <c r="E204" s="345"/>
      <c r="F204" s="345"/>
      <c r="G204" s="345"/>
      <c r="H204" s="345"/>
    </row>
    <row r="205" spans="1:8">
      <c r="A205" s="346" t="s">
        <v>1003</v>
      </c>
      <c r="B205" s="345"/>
      <c r="C205" s="345"/>
      <c r="D205" s="345"/>
      <c r="E205" s="345"/>
      <c r="F205" s="345"/>
      <c r="G205" s="345"/>
      <c r="H205" s="345"/>
    </row>
    <row r="206" spans="1:8">
      <c r="A206" s="346" t="s">
        <v>1004</v>
      </c>
      <c r="B206" s="345"/>
      <c r="C206" s="345"/>
      <c r="D206" s="345"/>
      <c r="E206" s="345"/>
      <c r="F206" s="345"/>
      <c r="G206" s="345"/>
      <c r="H206" s="345"/>
    </row>
    <row r="207" spans="1:8">
      <c r="A207" s="346" t="s">
        <v>1005</v>
      </c>
      <c r="B207" s="345"/>
      <c r="C207" s="345"/>
      <c r="D207" s="345"/>
      <c r="E207" s="345"/>
      <c r="F207" s="345"/>
      <c r="G207" s="345"/>
      <c r="H207" s="345"/>
    </row>
    <row r="208" spans="1:8">
      <c r="A208" s="345"/>
      <c r="B208" s="345"/>
      <c r="C208" s="345"/>
      <c r="D208" s="345"/>
      <c r="E208" s="345"/>
      <c r="F208" s="345"/>
      <c r="G208" s="345"/>
      <c r="H208" s="345"/>
    </row>
    <row r="209" spans="1:8">
      <c r="A209" s="346" t="s">
        <v>998</v>
      </c>
      <c r="B209" s="345"/>
      <c r="C209" s="345"/>
      <c r="D209" s="345"/>
      <c r="E209" s="345"/>
      <c r="F209" s="345"/>
      <c r="G209" s="345"/>
      <c r="H209" s="345"/>
    </row>
    <row r="210" spans="1:8">
      <c r="A210" s="346" t="s">
        <v>999</v>
      </c>
      <c r="B210" s="345"/>
      <c r="C210" s="345"/>
      <c r="D210" s="345"/>
      <c r="E210" s="345"/>
      <c r="F210" s="345"/>
      <c r="G210" s="345"/>
      <c r="H210" s="345"/>
    </row>
    <row r="211" spans="1:8">
      <c r="A211" s="346" t="s">
        <v>1000</v>
      </c>
      <c r="B211" s="345"/>
      <c r="C211" s="345"/>
      <c r="D211" s="345"/>
      <c r="E211" s="345"/>
      <c r="F211" s="345"/>
      <c r="G211" s="345"/>
      <c r="H211" s="345"/>
    </row>
    <row r="212" spans="1:8" ht="15.75">
      <c r="A212" s="347" t="s">
        <v>843</v>
      </c>
      <c r="B212" s="345"/>
      <c r="C212" s="345"/>
      <c r="D212" s="345"/>
      <c r="E212" s="345"/>
      <c r="F212" s="345"/>
      <c r="G212" s="345"/>
      <c r="H212" s="345"/>
    </row>
    <row r="213" spans="1:8">
      <c r="A213" s="345"/>
      <c r="B213" s="345"/>
      <c r="C213" s="345"/>
      <c r="D213" s="345"/>
      <c r="E213" s="345"/>
      <c r="F213" s="345"/>
      <c r="G213" s="345"/>
      <c r="H213" s="345"/>
    </row>
    <row r="214" spans="1:8">
      <c r="A214" s="346" t="s">
        <v>991</v>
      </c>
      <c r="B214" s="345"/>
      <c r="C214" s="345"/>
      <c r="D214" s="345"/>
      <c r="E214" s="345"/>
      <c r="F214" s="345"/>
      <c r="G214" s="345"/>
      <c r="H214" s="345"/>
    </row>
    <row r="215" spans="1:8">
      <c r="A215" s="346" t="s">
        <v>992</v>
      </c>
      <c r="B215" s="345"/>
      <c r="C215" s="345"/>
      <c r="D215" s="345"/>
      <c r="E215" s="345"/>
      <c r="F215" s="345"/>
      <c r="G215" s="345"/>
      <c r="H215" s="345"/>
    </row>
    <row r="216" spans="1:8">
      <c r="A216" s="346" t="s">
        <v>993</v>
      </c>
      <c r="B216" s="345"/>
      <c r="C216" s="345"/>
      <c r="D216" s="345"/>
      <c r="E216" s="345"/>
      <c r="F216" s="345"/>
      <c r="G216" s="345"/>
      <c r="H216" s="345"/>
    </row>
    <row r="217" spans="1:8">
      <c r="A217" s="346" t="s">
        <v>994</v>
      </c>
      <c r="B217" s="345"/>
      <c r="C217" s="345"/>
      <c r="D217" s="345"/>
      <c r="E217" s="345"/>
      <c r="F217" s="345"/>
      <c r="G217" s="345"/>
      <c r="H217" s="345"/>
    </row>
    <row r="218" spans="1:8">
      <c r="A218" s="346" t="s">
        <v>995</v>
      </c>
      <c r="B218" s="345"/>
      <c r="C218" s="345"/>
      <c r="D218" s="345"/>
      <c r="E218" s="345"/>
      <c r="F218" s="345"/>
      <c r="G218" s="345"/>
      <c r="H218" s="345"/>
    </row>
    <row r="219" spans="1:8">
      <c r="A219" s="346" t="s">
        <v>996</v>
      </c>
      <c r="B219" s="345"/>
      <c r="C219" s="345"/>
      <c r="D219" s="345"/>
      <c r="E219" s="345"/>
      <c r="F219" s="345"/>
      <c r="G219" s="345"/>
      <c r="H219" s="345"/>
    </row>
    <row r="220" spans="1:8">
      <c r="A220" s="346" t="s">
        <v>997</v>
      </c>
      <c r="B220" s="345"/>
      <c r="C220" s="345"/>
      <c r="D220" s="345"/>
      <c r="E220" s="345"/>
      <c r="F220" s="345"/>
      <c r="G220" s="345"/>
      <c r="H220" s="345"/>
    </row>
    <row r="221" spans="1:8">
      <c r="A221" s="345"/>
      <c r="B221" s="345"/>
      <c r="C221" s="345"/>
      <c r="D221" s="345"/>
      <c r="E221" s="345"/>
      <c r="F221" s="345"/>
      <c r="G221" s="345"/>
      <c r="H221" s="345"/>
    </row>
    <row r="222" spans="1:8">
      <c r="A222" s="346" t="s">
        <v>988</v>
      </c>
      <c r="B222" s="345"/>
      <c r="C222" s="345"/>
      <c r="D222" s="345"/>
      <c r="E222" s="345"/>
      <c r="F222" s="345"/>
      <c r="G222" s="345"/>
      <c r="H222" s="345"/>
    </row>
    <row r="223" spans="1:8">
      <c r="A223" s="346" t="s">
        <v>989</v>
      </c>
      <c r="B223" s="345"/>
      <c r="C223" s="345"/>
      <c r="D223" s="345"/>
      <c r="E223" s="345"/>
      <c r="F223" s="345"/>
      <c r="G223" s="345"/>
      <c r="H223" s="345"/>
    </row>
    <row r="224" spans="1:8">
      <c r="A224" s="346" t="s">
        <v>990</v>
      </c>
      <c r="B224" s="345"/>
      <c r="C224" s="345"/>
      <c r="D224" s="345"/>
      <c r="E224" s="345"/>
      <c r="F224" s="345"/>
      <c r="G224" s="345"/>
      <c r="H224" s="345"/>
    </row>
    <row r="225" spans="1:8">
      <c r="A225" s="345"/>
      <c r="B225" s="345"/>
      <c r="C225" s="345"/>
      <c r="D225" s="345"/>
      <c r="E225" s="345"/>
      <c r="F225" s="345"/>
      <c r="G225" s="345"/>
      <c r="H225" s="345"/>
    </row>
    <row r="226" spans="1:8">
      <c r="A226" s="346" t="s">
        <v>983</v>
      </c>
      <c r="B226" s="345"/>
      <c r="C226" s="345"/>
      <c r="D226" s="345"/>
      <c r="E226" s="345"/>
      <c r="F226" s="345"/>
      <c r="G226" s="345"/>
      <c r="H226" s="345"/>
    </row>
    <row r="227" spans="1:8">
      <c r="A227" s="346" t="s">
        <v>984</v>
      </c>
      <c r="B227" s="345"/>
      <c r="C227" s="345"/>
      <c r="D227" s="345"/>
      <c r="E227" s="345"/>
      <c r="F227" s="345"/>
      <c r="G227" s="345"/>
      <c r="H227" s="345"/>
    </row>
    <row r="228" spans="1:8">
      <c r="A228" s="346" t="s">
        <v>985</v>
      </c>
      <c r="B228" s="345"/>
      <c r="C228" s="345"/>
      <c r="D228" s="345"/>
      <c r="E228" s="345"/>
      <c r="F228" s="345"/>
      <c r="G228" s="345"/>
      <c r="H228" s="345"/>
    </row>
    <row r="229" spans="1:8">
      <c r="A229" s="346" t="s">
        <v>986</v>
      </c>
      <c r="B229" s="345"/>
      <c r="C229" s="345"/>
      <c r="D229" s="345"/>
      <c r="E229" s="345"/>
      <c r="F229" s="345"/>
      <c r="G229" s="345"/>
      <c r="H229" s="345"/>
    </row>
    <row r="230" spans="1:8">
      <c r="A230" s="346" t="s">
        <v>987</v>
      </c>
      <c r="B230" s="345"/>
      <c r="C230" s="345"/>
      <c r="D230" s="345"/>
      <c r="E230" s="345"/>
      <c r="F230" s="345"/>
      <c r="G230" s="345"/>
      <c r="H230" s="345"/>
    </row>
    <row r="231" spans="1:8">
      <c r="A231" s="345"/>
      <c r="B231" s="345"/>
      <c r="C231" s="345"/>
      <c r="D231" s="345"/>
      <c r="E231" s="345"/>
      <c r="F231" s="345"/>
      <c r="G231" s="345"/>
      <c r="H231" s="345"/>
    </row>
    <row r="232" spans="1:8">
      <c r="A232" s="346" t="s">
        <v>977</v>
      </c>
      <c r="B232" s="345"/>
      <c r="C232" s="345"/>
      <c r="D232" s="345"/>
      <c r="E232" s="345"/>
      <c r="F232" s="345"/>
      <c r="G232" s="345"/>
      <c r="H232" s="345"/>
    </row>
    <row r="233" spans="1:8">
      <c r="A233" s="346" t="s">
        <v>978</v>
      </c>
      <c r="B233" s="345"/>
      <c r="C233" s="345"/>
      <c r="D233" s="345"/>
      <c r="E233" s="345"/>
      <c r="F233" s="345"/>
      <c r="G233" s="345"/>
      <c r="H233" s="345"/>
    </row>
    <row r="234" spans="1:8">
      <c r="A234" s="346" t="s">
        <v>979</v>
      </c>
      <c r="B234" s="345"/>
      <c r="C234" s="345"/>
      <c r="D234" s="345"/>
      <c r="E234" s="345"/>
      <c r="F234" s="345"/>
      <c r="G234" s="345"/>
      <c r="H234" s="345"/>
    </row>
    <row r="235" spans="1:8">
      <c r="A235" s="346" t="s">
        <v>980</v>
      </c>
      <c r="B235" s="345"/>
      <c r="C235" s="345"/>
      <c r="D235" s="345"/>
      <c r="E235" s="345"/>
      <c r="F235" s="345"/>
      <c r="G235" s="345"/>
      <c r="H235" s="345"/>
    </row>
    <row r="236" spans="1:8">
      <c r="A236" s="346" t="s">
        <v>981</v>
      </c>
      <c r="B236" s="345"/>
      <c r="C236" s="345"/>
      <c r="D236" s="345"/>
      <c r="E236" s="345"/>
      <c r="F236" s="345"/>
      <c r="G236" s="345"/>
      <c r="H236" s="345"/>
    </row>
    <row r="237" spans="1:8">
      <c r="A237" s="346" t="s">
        <v>982</v>
      </c>
      <c r="B237" s="345"/>
      <c r="C237" s="345"/>
      <c r="D237" s="345"/>
      <c r="E237" s="345"/>
      <c r="F237" s="345"/>
      <c r="G237" s="345"/>
      <c r="H237" s="345"/>
    </row>
    <row r="238" spans="1:8">
      <c r="A238" s="345"/>
      <c r="B238" s="345"/>
      <c r="C238" s="345"/>
      <c r="D238" s="345"/>
      <c r="E238" s="345"/>
      <c r="F238" s="345"/>
      <c r="G238" s="345"/>
      <c r="H238" s="345"/>
    </row>
    <row r="239" spans="1:8">
      <c r="A239" s="346" t="s">
        <v>967</v>
      </c>
      <c r="B239" s="345"/>
      <c r="C239" s="345"/>
      <c r="D239" s="345"/>
      <c r="E239" s="345"/>
      <c r="F239" s="345"/>
      <c r="G239" s="345"/>
      <c r="H239" s="345"/>
    </row>
    <row r="240" spans="1:8">
      <c r="A240" s="346" t="s">
        <v>968</v>
      </c>
      <c r="B240" s="345"/>
      <c r="C240" s="345"/>
      <c r="D240" s="345"/>
      <c r="E240" s="345"/>
      <c r="F240" s="345"/>
      <c r="G240" s="345"/>
      <c r="H240" s="345"/>
    </row>
    <row r="241" spans="1:8">
      <c r="A241" s="346" t="s">
        <v>969</v>
      </c>
      <c r="B241" s="345"/>
      <c r="C241" s="345"/>
      <c r="D241" s="345"/>
      <c r="E241" s="345"/>
      <c r="F241" s="345"/>
      <c r="G241" s="345"/>
      <c r="H241" s="345"/>
    </row>
    <row r="242" spans="1:8">
      <c r="A242" s="346" t="s">
        <v>970</v>
      </c>
      <c r="B242" s="345"/>
      <c r="C242" s="345"/>
      <c r="D242" s="345"/>
      <c r="E242" s="345"/>
      <c r="F242" s="345"/>
      <c r="G242" s="345"/>
      <c r="H242" s="345"/>
    </row>
    <row r="243" spans="1:8">
      <c r="A243" s="346" t="s">
        <v>971</v>
      </c>
      <c r="B243" s="345"/>
      <c r="C243" s="345"/>
      <c r="D243" s="345"/>
      <c r="E243" s="345"/>
      <c r="F243" s="345"/>
      <c r="G243" s="345"/>
      <c r="H243" s="345"/>
    </row>
    <row r="244" spans="1:8">
      <c r="A244" s="346" t="s">
        <v>972</v>
      </c>
      <c r="B244" s="345"/>
      <c r="C244" s="345"/>
      <c r="D244" s="345"/>
      <c r="E244" s="345"/>
      <c r="F244" s="345"/>
      <c r="G244" s="345"/>
      <c r="H244" s="345"/>
    </row>
    <row r="245" spans="1:8">
      <c r="A245" s="346" t="s">
        <v>973</v>
      </c>
      <c r="B245" s="345"/>
      <c r="C245" s="345"/>
      <c r="D245" s="345"/>
      <c r="E245" s="345"/>
      <c r="F245" s="345"/>
      <c r="G245" s="345"/>
      <c r="H245" s="345"/>
    </row>
    <row r="246" spans="1:8">
      <c r="A246" s="346" t="s">
        <v>974</v>
      </c>
      <c r="B246" s="345"/>
      <c r="C246" s="345"/>
      <c r="D246" s="345"/>
      <c r="E246" s="345"/>
      <c r="F246" s="345"/>
      <c r="G246" s="345"/>
      <c r="H246" s="345"/>
    </row>
    <row r="247" spans="1:8">
      <c r="A247" s="346" t="s">
        <v>975</v>
      </c>
      <c r="B247" s="345"/>
      <c r="C247" s="345"/>
      <c r="D247" s="345"/>
      <c r="E247" s="345"/>
      <c r="F247" s="345"/>
      <c r="G247" s="345"/>
      <c r="H247" s="345"/>
    </row>
    <row r="248" spans="1:8">
      <c r="A248" s="346" t="s">
        <v>976</v>
      </c>
      <c r="B248" s="345"/>
      <c r="C248" s="345"/>
      <c r="D248" s="345"/>
      <c r="E248" s="345"/>
      <c r="F248" s="345"/>
      <c r="G248" s="345"/>
      <c r="H248" s="345"/>
    </row>
    <row r="249" spans="1:8">
      <c r="A249" s="345"/>
      <c r="B249" s="345"/>
      <c r="C249" s="345"/>
      <c r="D249" s="345"/>
      <c r="E249" s="345"/>
      <c r="F249" s="345"/>
      <c r="G249" s="345"/>
      <c r="H249" s="345"/>
    </row>
    <row r="250" spans="1:8">
      <c r="A250" s="346" t="s">
        <v>965</v>
      </c>
      <c r="B250" s="345"/>
      <c r="C250" s="345"/>
      <c r="D250" s="345"/>
      <c r="E250" s="345"/>
      <c r="F250" s="345"/>
      <c r="G250" s="345"/>
      <c r="H250" s="345"/>
    </row>
    <row r="251" spans="1:8">
      <c r="A251" s="346" t="s">
        <v>966</v>
      </c>
      <c r="B251" s="345"/>
      <c r="C251" s="345"/>
      <c r="D251" s="345"/>
      <c r="E251" s="345"/>
      <c r="F251" s="345"/>
      <c r="G251" s="345"/>
      <c r="H251" s="345"/>
    </row>
    <row r="252" spans="1:8">
      <c r="A252" s="345"/>
      <c r="B252" s="345"/>
      <c r="C252" s="345"/>
      <c r="D252" s="345"/>
      <c r="E252" s="345"/>
      <c r="F252" s="345"/>
      <c r="G252" s="345"/>
      <c r="H252" s="345"/>
    </row>
    <row r="253" spans="1:8">
      <c r="A253" s="346" t="s">
        <v>949</v>
      </c>
      <c r="B253" s="345"/>
      <c r="C253" s="345"/>
      <c r="D253" s="345"/>
      <c r="E253" s="345"/>
      <c r="F253" s="345"/>
      <c r="G253" s="345"/>
      <c r="H253" s="345"/>
    </row>
    <row r="254" spans="1:8">
      <c r="A254" s="346" t="s">
        <v>950</v>
      </c>
      <c r="B254" s="345"/>
      <c r="C254" s="345"/>
      <c r="D254" s="345"/>
      <c r="E254" s="345"/>
      <c r="F254" s="345"/>
      <c r="G254" s="345"/>
      <c r="H254" s="345"/>
    </row>
    <row r="255" spans="1:8">
      <c r="A255" s="346" t="s">
        <v>951</v>
      </c>
      <c r="B255" s="345"/>
      <c r="C255" s="345"/>
      <c r="D255" s="345"/>
      <c r="E255" s="345"/>
      <c r="F255" s="345"/>
      <c r="G255" s="345"/>
      <c r="H255" s="345"/>
    </row>
    <row r="256" spans="1:8">
      <c r="A256" s="346" t="s">
        <v>952</v>
      </c>
      <c r="B256" s="345"/>
      <c r="C256" s="345"/>
      <c r="D256" s="345"/>
      <c r="E256" s="345"/>
      <c r="F256" s="345"/>
      <c r="G256" s="345"/>
      <c r="H256" s="345"/>
    </row>
    <row r="257" spans="1:8">
      <c r="A257" s="346" t="s">
        <v>953</v>
      </c>
      <c r="B257" s="345"/>
      <c r="C257" s="345"/>
      <c r="D257" s="345"/>
      <c r="E257" s="345"/>
      <c r="F257" s="345"/>
      <c r="G257" s="345"/>
      <c r="H257" s="345"/>
    </row>
    <row r="258" spans="1:8">
      <c r="A258" s="346" t="s">
        <v>954</v>
      </c>
      <c r="B258" s="345"/>
      <c r="C258" s="345"/>
      <c r="D258" s="345"/>
      <c r="E258" s="345"/>
      <c r="F258" s="345"/>
      <c r="G258" s="345"/>
      <c r="H258" s="345"/>
    </row>
    <row r="259" spans="1:8">
      <c r="A259" s="346" t="s">
        <v>955</v>
      </c>
      <c r="B259" s="345"/>
      <c r="C259" s="345"/>
      <c r="D259" s="345"/>
      <c r="E259" s="345"/>
      <c r="F259" s="345"/>
      <c r="G259" s="345"/>
      <c r="H259" s="345"/>
    </row>
    <row r="260" spans="1:8">
      <c r="A260" s="346" t="s">
        <v>956</v>
      </c>
      <c r="B260" s="345"/>
      <c r="C260" s="345"/>
      <c r="D260" s="345"/>
      <c r="E260" s="345"/>
      <c r="F260" s="345"/>
      <c r="G260" s="345"/>
      <c r="H260" s="345"/>
    </row>
    <row r="261" spans="1:8">
      <c r="A261" s="346" t="s">
        <v>957</v>
      </c>
      <c r="B261" s="345"/>
      <c r="C261" s="345"/>
      <c r="D261" s="345"/>
      <c r="E261" s="345"/>
      <c r="F261" s="345"/>
      <c r="G261" s="345"/>
      <c r="H261" s="345"/>
    </row>
    <row r="262" spans="1:8">
      <c r="A262" s="346" t="s">
        <v>958</v>
      </c>
      <c r="B262" s="345"/>
      <c r="C262" s="345"/>
      <c r="D262" s="345"/>
      <c r="E262" s="345"/>
      <c r="F262" s="345"/>
      <c r="G262" s="345"/>
      <c r="H262" s="345"/>
    </row>
    <row r="263" spans="1:8">
      <c r="A263" s="346" t="s">
        <v>959</v>
      </c>
      <c r="B263" s="345"/>
      <c r="C263" s="345"/>
      <c r="D263" s="345"/>
      <c r="E263" s="345"/>
      <c r="F263" s="345"/>
      <c r="G263" s="345"/>
      <c r="H263" s="345"/>
    </row>
    <row r="264" spans="1:8">
      <c r="A264" s="346" t="s">
        <v>960</v>
      </c>
      <c r="B264" s="345"/>
      <c r="C264" s="345"/>
      <c r="D264" s="345"/>
      <c r="E264" s="345"/>
      <c r="F264" s="345"/>
      <c r="G264" s="345"/>
      <c r="H264" s="345"/>
    </row>
    <row r="265" spans="1:8">
      <c r="A265" s="346" t="s">
        <v>961</v>
      </c>
      <c r="B265" s="345"/>
      <c r="C265" s="345"/>
      <c r="D265" s="345"/>
      <c r="E265" s="345"/>
      <c r="F265" s="345"/>
      <c r="G265" s="345"/>
      <c r="H265" s="345"/>
    </row>
    <row r="266" spans="1:8">
      <c r="A266" s="346" t="s">
        <v>962</v>
      </c>
      <c r="B266" s="345"/>
      <c r="C266" s="345"/>
      <c r="D266" s="345"/>
      <c r="E266" s="345"/>
      <c r="F266" s="345"/>
      <c r="G266" s="345"/>
      <c r="H266" s="345"/>
    </row>
    <row r="267" spans="1:8">
      <c r="A267" s="346" t="s">
        <v>963</v>
      </c>
      <c r="B267" s="345"/>
      <c r="C267" s="345"/>
      <c r="D267" s="345"/>
      <c r="E267" s="345"/>
      <c r="F267" s="345"/>
      <c r="G267" s="345"/>
      <c r="H267" s="345"/>
    </row>
    <row r="268" spans="1:8">
      <c r="A268" s="346" t="s">
        <v>964</v>
      </c>
      <c r="B268" s="345"/>
      <c r="C268" s="345"/>
      <c r="D268" s="345"/>
      <c r="E268" s="345"/>
      <c r="F268" s="345"/>
      <c r="G268" s="345"/>
      <c r="H268" s="345"/>
    </row>
    <row r="269" spans="1:8">
      <c r="A269" s="345"/>
      <c r="B269" s="345"/>
      <c r="C269" s="345"/>
      <c r="D269" s="345"/>
      <c r="E269" s="345"/>
      <c r="F269" s="345"/>
      <c r="G269" s="345"/>
      <c r="H269" s="345"/>
    </row>
    <row r="270" spans="1:8">
      <c r="A270" s="346" t="s">
        <v>942</v>
      </c>
      <c r="B270" s="345"/>
      <c r="C270" s="345"/>
      <c r="D270" s="345"/>
      <c r="E270" s="345"/>
      <c r="F270" s="345"/>
      <c r="G270" s="345"/>
      <c r="H270" s="345"/>
    </row>
    <row r="271" spans="1:8">
      <c r="A271" s="346" t="s">
        <v>943</v>
      </c>
      <c r="B271" s="345"/>
      <c r="C271" s="345"/>
      <c r="D271" s="345"/>
      <c r="E271" s="345"/>
      <c r="F271" s="345"/>
      <c r="G271" s="345"/>
      <c r="H271" s="345"/>
    </row>
    <row r="272" spans="1:8">
      <c r="A272" s="346" t="s">
        <v>944</v>
      </c>
      <c r="B272" s="345"/>
      <c r="C272" s="345"/>
      <c r="D272" s="345"/>
      <c r="E272" s="345"/>
      <c r="F272" s="345"/>
      <c r="G272" s="345"/>
      <c r="H272" s="345"/>
    </row>
    <row r="273" spans="1:8">
      <c r="A273" s="346" t="s">
        <v>945</v>
      </c>
      <c r="B273" s="345"/>
      <c r="C273" s="345"/>
      <c r="D273" s="345"/>
      <c r="E273" s="345"/>
      <c r="F273" s="345"/>
      <c r="G273" s="345"/>
      <c r="H273" s="345"/>
    </row>
    <row r="274" spans="1:8">
      <c r="A274" s="346" t="s">
        <v>946</v>
      </c>
      <c r="B274" s="345"/>
      <c r="C274" s="345"/>
      <c r="D274" s="345"/>
      <c r="E274" s="345"/>
      <c r="F274" s="345"/>
      <c r="G274" s="345"/>
      <c r="H274" s="345"/>
    </row>
    <row r="275" spans="1:8">
      <c r="A275" s="346" t="s">
        <v>947</v>
      </c>
      <c r="B275" s="345"/>
      <c r="C275" s="345"/>
      <c r="D275" s="345"/>
      <c r="E275" s="345"/>
      <c r="F275" s="345"/>
      <c r="G275" s="345"/>
      <c r="H275" s="345"/>
    </row>
    <row r="276" spans="1:8">
      <c r="A276" s="346" t="s">
        <v>948</v>
      </c>
      <c r="B276" s="345"/>
      <c r="C276" s="345"/>
      <c r="D276" s="345"/>
      <c r="E276" s="345"/>
      <c r="F276" s="345"/>
      <c r="G276" s="345"/>
      <c r="H276" s="345"/>
    </row>
    <row r="277" spans="1:8">
      <c r="A277" s="345"/>
      <c r="B277" s="345"/>
      <c r="C277" s="345"/>
      <c r="D277" s="345"/>
      <c r="E277" s="345"/>
      <c r="F277" s="345"/>
      <c r="G277" s="345"/>
      <c r="H277" s="345"/>
    </row>
    <row r="278" spans="1:8">
      <c r="A278" s="346" t="s">
        <v>933</v>
      </c>
      <c r="B278" s="345"/>
      <c r="C278" s="345"/>
      <c r="D278" s="345"/>
      <c r="E278" s="345"/>
      <c r="F278" s="345"/>
      <c r="G278" s="345"/>
      <c r="H278" s="345"/>
    </row>
    <row r="279" spans="1:8">
      <c r="A279" s="346" t="s">
        <v>934</v>
      </c>
      <c r="B279" s="345"/>
      <c r="C279" s="345"/>
      <c r="D279" s="345"/>
      <c r="E279" s="345"/>
      <c r="F279" s="345"/>
      <c r="G279" s="345"/>
      <c r="H279" s="345"/>
    </row>
    <row r="280" spans="1:8">
      <c r="A280" s="346" t="s">
        <v>935</v>
      </c>
      <c r="B280" s="345"/>
      <c r="C280" s="345"/>
      <c r="D280" s="345"/>
      <c r="E280" s="345"/>
      <c r="F280" s="345"/>
      <c r="G280" s="345"/>
      <c r="H280" s="345"/>
    </row>
    <row r="281" spans="1:8">
      <c r="A281" s="346" t="s">
        <v>936</v>
      </c>
      <c r="B281" s="345"/>
      <c r="C281" s="345"/>
      <c r="D281" s="345"/>
      <c r="E281" s="345"/>
      <c r="F281" s="345"/>
      <c r="G281" s="345"/>
      <c r="H281" s="345"/>
    </row>
    <row r="282" spans="1:8">
      <c r="A282" s="346" t="s">
        <v>937</v>
      </c>
      <c r="B282" s="345"/>
      <c r="C282" s="345"/>
      <c r="D282" s="345"/>
      <c r="E282" s="345"/>
      <c r="F282" s="345"/>
      <c r="G282" s="345"/>
      <c r="H282" s="345"/>
    </row>
    <row r="283" spans="1:8">
      <c r="A283" s="346" t="s">
        <v>938</v>
      </c>
      <c r="B283" s="345"/>
      <c r="C283" s="345"/>
      <c r="D283" s="345"/>
      <c r="E283" s="345"/>
      <c r="F283" s="345"/>
      <c r="G283" s="345"/>
      <c r="H283" s="345"/>
    </row>
    <row r="284" spans="1:8">
      <c r="A284" s="346" t="s">
        <v>939</v>
      </c>
      <c r="B284" s="345"/>
      <c r="C284" s="345"/>
      <c r="D284" s="345"/>
      <c r="E284" s="345"/>
      <c r="F284" s="345"/>
      <c r="G284" s="345"/>
      <c r="H284" s="345"/>
    </row>
    <row r="285" spans="1:8">
      <c r="A285" s="346" t="s">
        <v>940</v>
      </c>
      <c r="B285" s="345"/>
      <c r="C285" s="345"/>
      <c r="D285" s="345"/>
      <c r="E285" s="345"/>
      <c r="F285" s="345"/>
      <c r="G285" s="345"/>
      <c r="H285" s="345"/>
    </row>
    <row r="286" spans="1:8">
      <c r="A286" s="346" t="s">
        <v>941</v>
      </c>
      <c r="B286" s="345"/>
      <c r="C286" s="345"/>
      <c r="D286" s="345"/>
      <c r="E286" s="345"/>
      <c r="F286" s="345"/>
      <c r="G286" s="345"/>
      <c r="H286" s="345"/>
    </row>
    <row r="287" spans="1:8">
      <c r="A287" s="345"/>
      <c r="B287" s="345"/>
      <c r="C287" s="345"/>
      <c r="D287" s="345"/>
      <c r="E287" s="345"/>
      <c r="F287" s="345"/>
      <c r="G287" s="345"/>
      <c r="H287" s="345"/>
    </row>
    <row r="288" spans="1:8">
      <c r="A288" s="346" t="s">
        <v>926</v>
      </c>
      <c r="B288" s="345"/>
      <c r="C288" s="345"/>
      <c r="D288" s="345"/>
      <c r="E288" s="345"/>
      <c r="F288" s="345"/>
      <c r="G288" s="345"/>
      <c r="H288" s="345"/>
    </row>
    <row r="289" spans="1:8">
      <c r="A289" s="346" t="s">
        <v>927</v>
      </c>
      <c r="B289" s="345"/>
      <c r="C289" s="345"/>
      <c r="D289" s="345"/>
      <c r="E289" s="345"/>
      <c r="F289" s="345"/>
      <c r="G289" s="345"/>
      <c r="H289" s="345"/>
    </row>
    <row r="290" spans="1:8">
      <c r="A290" s="346" t="s">
        <v>928</v>
      </c>
      <c r="B290" s="345"/>
      <c r="C290" s="345"/>
      <c r="D290" s="345"/>
      <c r="E290" s="345"/>
      <c r="F290" s="345"/>
      <c r="G290" s="345"/>
      <c r="H290" s="345"/>
    </row>
    <row r="291" spans="1:8">
      <c r="A291" s="346" t="s">
        <v>929</v>
      </c>
      <c r="B291" s="345"/>
      <c r="C291" s="345"/>
      <c r="D291" s="345"/>
      <c r="E291" s="345"/>
      <c r="F291" s="345"/>
      <c r="G291" s="345"/>
      <c r="H291" s="345"/>
    </row>
    <row r="292" spans="1:8">
      <c r="A292" s="346" t="s">
        <v>930</v>
      </c>
      <c r="B292" s="345"/>
      <c r="C292" s="345"/>
      <c r="D292" s="345"/>
      <c r="E292" s="345"/>
      <c r="F292" s="345"/>
      <c r="G292" s="345"/>
      <c r="H292" s="345"/>
    </row>
    <row r="293" spans="1:8">
      <c r="A293" s="346" t="s">
        <v>931</v>
      </c>
      <c r="B293" s="345"/>
      <c r="C293" s="345"/>
      <c r="D293" s="345"/>
      <c r="E293" s="345"/>
      <c r="F293" s="345"/>
      <c r="G293" s="345"/>
      <c r="H293" s="345"/>
    </row>
    <row r="294" spans="1:8">
      <c r="A294" s="346" t="s">
        <v>932</v>
      </c>
      <c r="B294" s="345"/>
      <c r="C294" s="345"/>
      <c r="D294" s="345"/>
      <c r="E294" s="345"/>
      <c r="F294" s="345"/>
      <c r="G294" s="345"/>
      <c r="H294" s="345"/>
    </row>
    <row r="295" spans="1:8">
      <c r="A295" s="345"/>
      <c r="B295" s="345"/>
      <c r="C295" s="345"/>
      <c r="D295" s="345"/>
      <c r="E295" s="345"/>
      <c r="F295" s="345"/>
      <c r="G295" s="345"/>
      <c r="H295" s="345"/>
    </row>
    <row r="296" spans="1:8">
      <c r="A296" s="346" t="s">
        <v>923</v>
      </c>
      <c r="B296" s="345"/>
      <c r="C296" s="345"/>
      <c r="D296" s="345"/>
      <c r="E296" s="345"/>
      <c r="F296" s="345"/>
      <c r="G296" s="345"/>
      <c r="H296" s="345"/>
    </row>
    <row r="297" spans="1:8">
      <c r="A297" s="346" t="s">
        <v>924</v>
      </c>
      <c r="B297" s="345"/>
      <c r="C297" s="345"/>
      <c r="D297" s="345"/>
      <c r="E297" s="345"/>
      <c r="F297" s="345"/>
      <c r="G297" s="345"/>
      <c r="H297" s="345"/>
    </row>
    <row r="298" spans="1:8">
      <c r="A298" s="346" t="s">
        <v>925</v>
      </c>
      <c r="B298" s="345"/>
      <c r="C298" s="345"/>
      <c r="D298" s="345"/>
      <c r="E298" s="345"/>
      <c r="F298" s="345"/>
      <c r="G298" s="345"/>
      <c r="H298" s="345"/>
    </row>
    <row r="299" spans="1:8">
      <c r="A299" s="345"/>
      <c r="B299" s="345"/>
      <c r="C299" s="345"/>
      <c r="D299" s="345"/>
      <c r="E299" s="345"/>
      <c r="F299" s="345"/>
      <c r="G299" s="345"/>
      <c r="H299" s="345"/>
    </row>
    <row r="300" spans="1:8">
      <c r="A300" s="346" t="s">
        <v>921</v>
      </c>
      <c r="B300" s="345"/>
      <c r="C300" s="345"/>
      <c r="D300" s="345"/>
      <c r="E300" s="345"/>
      <c r="F300" s="345"/>
      <c r="G300" s="345"/>
      <c r="H300" s="345"/>
    </row>
    <row r="301" spans="1:8">
      <c r="A301" s="346" t="s">
        <v>922</v>
      </c>
      <c r="B301" s="345"/>
      <c r="C301" s="345"/>
      <c r="D301" s="345"/>
      <c r="E301" s="345"/>
      <c r="F301" s="345"/>
      <c r="G301" s="345"/>
      <c r="H301" s="345"/>
    </row>
    <row r="302" spans="1:8">
      <c r="A302" s="345"/>
      <c r="B302" s="345"/>
      <c r="C302" s="345"/>
      <c r="D302" s="345"/>
      <c r="E302" s="345"/>
      <c r="F302" s="345"/>
      <c r="G302" s="345"/>
      <c r="H302" s="345"/>
    </row>
    <row r="303" spans="1:8">
      <c r="A303" s="346" t="s">
        <v>908</v>
      </c>
      <c r="B303" s="345"/>
      <c r="C303" s="345"/>
      <c r="D303" s="345"/>
      <c r="E303" s="345"/>
      <c r="F303" s="345"/>
      <c r="G303" s="345"/>
      <c r="H303" s="345"/>
    </row>
    <row r="304" spans="1:8">
      <c r="A304" s="346" t="s">
        <v>909</v>
      </c>
      <c r="B304" s="345"/>
      <c r="C304" s="345"/>
      <c r="D304" s="345"/>
      <c r="E304" s="345"/>
      <c r="F304" s="345"/>
      <c r="G304" s="345"/>
      <c r="H304" s="345"/>
    </row>
    <row r="305" spans="1:8">
      <c r="A305" s="346" t="s">
        <v>910</v>
      </c>
      <c r="B305" s="345"/>
      <c r="C305" s="345"/>
      <c r="D305" s="345"/>
      <c r="E305" s="345"/>
      <c r="F305" s="345"/>
      <c r="G305" s="345"/>
      <c r="H305" s="345"/>
    </row>
    <row r="306" spans="1:8">
      <c r="A306" s="346" t="s">
        <v>911</v>
      </c>
      <c r="B306" s="345"/>
      <c r="C306" s="345"/>
      <c r="D306" s="345"/>
      <c r="E306" s="345"/>
      <c r="F306" s="345"/>
      <c r="G306" s="345"/>
      <c r="H306" s="345"/>
    </row>
    <row r="307" spans="1:8">
      <c r="A307" s="346" t="s">
        <v>912</v>
      </c>
      <c r="B307" s="345"/>
      <c r="C307" s="345"/>
      <c r="D307" s="345"/>
      <c r="E307" s="345"/>
      <c r="F307" s="345"/>
      <c r="G307" s="345"/>
      <c r="H307" s="345"/>
    </row>
    <row r="308" spans="1:8">
      <c r="A308" s="346" t="s">
        <v>913</v>
      </c>
      <c r="B308" s="345"/>
      <c r="C308" s="345"/>
      <c r="D308" s="345"/>
      <c r="E308" s="345"/>
      <c r="F308" s="345"/>
      <c r="G308" s="345"/>
      <c r="H308" s="345"/>
    </row>
    <row r="309" spans="1:8">
      <c r="A309" s="346" t="s">
        <v>914</v>
      </c>
      <c r="B309" s="345"/>
      <c r="C309" s="345"/>
      <c r="D309" s="345"/>
      <c r="E309" s="345"/>
      <c r="F309" s="345"/>
      <c r="G309" s="345"/>
      <c r="H309" s="345"/>
    </row>
    <row r="310" spans="1:8">
      <c r="A310" s="346" t="s">
        <v>915</v>
      </c>
      <c r="B310" s="345"/>
      <c r="C310" s="345"/>
      <c r="D310" s="345"/>
      <c r="E310" s="345"/>
      <c r="F310" s="345"/>
      <c r="G310" s="345"/>
      <c r="H310" s="345"/>
    </row>
    <row r="311" spans="1:8">
      <c r="A311" s="346" t="s">
        <v>916</v>
      </c>
      <c r="B311" s="345"/>
      <c r="C311" s="345"/>
      <c r="D311" s="345"/>
      <c r="E311" s="345"/>
      <c r="F311" s="345"/>
      <c r="G311" s="345"/>
      <c r="H311" s="345"/>
    </row>
    <row r="312" spans="1:8">
      <c r="A312" s="346" t="s">
        <v>917</v>
      </c>
      <c r="B312" s="345"/>
      <c r="C312" s="345"/>
      <c r="D312" s="345"/>
      <c r="E312" s="345"/>
      <c r="F312" s="345"/>
      <c r="G312" s="345"/>
      <c r="H312" s="345"/>
    </row>
    <row r="313" spans="1:8">
      <c r="A313" s="346" t="s">
        <v>918</v>
      </c>
      <c r="B313" s="345"/>
      <c r="C313" s="345"/>
      <c r="D313" s="345"/>
      <c r="E313" s="345"/>
      <c r="F313" s="345"/>
      <c r="G313" s="345"/>
      <c r="H313" s="345"/>
    </row>
    <row r="314" spans="1:8">
      <c r="A314" s="346" t="s">
        <v>919</v>
      </c>
      <c r="B314" s="345"/>
      <c r="C314" s="345"/>
      <c r="D314" s="345"/>
      <c r="E314" s="345"/>
      <c r="F314" s="345"/>
      <c r="G314" s="345"/>
      <c r="H314" s="345"/>
    </row>
    <row r="315" spans="1:8">
      <c r="A315" s="346" t="s">
        <v>920</v>
      </c>
      <c r="B315" s="345"/>
      <c r="C315" s="345"/>
      <c r="D315" s="345"/>
      <c r="E315" s="345"/>
      <c r="F315" s="345"/>
      <c r="G315" s="345"/>
      <c r="H315" s="345"/>
    </row>
    <row r="316" spans="1:8">
      <c r="A316" s="345"/>
      <c r="B316" s="345"/>
      <c r="C316" s="345"/>
      <c r="D316" s="345"/>
      <c r="E316" s="345"/>
      <c r="F316" s="345"/>
      <c r="G316" s="345"/>
      <c r="H316" s="345"/>
    </row>
    <row r="317" spans="1:8">
      <c r="A317" s="346" t="s">
        <v>900</v>
      </c>
      <c r="B317" s="345"/>
      <c r="C317" s="345"/>
      <c r="D317" s="345"/>
      <c r="E317" s="345"/>
      <c r="F317" s="345"/>
      <c r="G317" s="345"/>
      <c r="H317" s="345"/>
    </row>
    <row r="318" spans="1:8">
      <c r="A318" s="346" t="s">
        <v>901</v>
      </c>
      <c r="B318" s="345"/>
      <c r="C318" s="345"/>
      <c r="D318" s="345"/>
      <c r="E318" s="345"/>
      <c r="F318" s="345"/>
      <c r="G318" s="345"/>
      <c r="H318" s="345"/>
    </row>
    <row r="319" spans="1:8">
      <c r="A319" s="346" t="s">
        <v>902</v>
      </c>
      <c r="B319" s="345"/>
      <c r="C319" s="345"/>
      <c r="D319" s="345"/>
      <c r="E319" s="345"/>
      <c r="F319" s="345"/>
      <c r="G319" s="345"/>
      <c r="H319" s="345"/>
    </row>
    <row r="320" spans="1:8">
      <c r="A320" s="346" t="s">
        <v>903</v>
      </c>
      <c r="B320" s="345"/>
      <c r="C320" s="345"/>
      <c r="D320" s="345"/>
      <c r="E320" s="345"/>
      <c r="F320" s="345"/>
      <c r="G320" s="345"/>
      <c r="H320" s="345"/>
    </row>
    <row r="321" spans="1:8">
      <c r="A321" s="346" t="s">
        <v>904</v>
      </c>
      <c r="B321" s="345"/>
      <c r="C321" s="345"/>
      <c r="D321" s="345"/>
      <c r="E321" s="345"/>
      <c r="F321" s="345"/>
      <c r="G321" s="345"/>
      <c r="H321" s="345"/>
    </row>
    <row r="322" spans="1:8">
      <c r="A322" s="346" t="s">
        <v>905</v>
      </c>
      <c r="B322" s="345"/>
      <c r="C322" s="345"/>
      <c r="D322" s="345"/>
      <c r="E322" s="345"/>
      <c r="F322" s="345"/>
      <c r="G322" s="345"/>
      <c r="H322" s="345"/>
    </row>
    <row r="323" spans="1:8">
      <c r="A323" s="346" t="s">
        <v>906</v>
      </c>
      <c r="B323" s="345"/>
      <c r="C323" s="345"/>
      <c r="D323" s="345"/>
      <c r="E323" s="345"/>
      <c r="F323" s="345"/>
      <c r="G323" s="345"/>
      <c r="H323" s="345"/>
    </row>
    <row r="324" spans="1:8">
      <c r="A324" s="346" t="s">
        <v>907</v>
      </c>
      <c r="B324" s="345"/>
      <c r="C324" s="345"/>
      <c r="D324" s="345"/>
      <c r="E324" s="345"/>
      <c r="F324" s="345"/>
      <c r="G324" s="345"/>
      <c r="H324" s="345"/>
    </row>
    <row r="325" spans="1:8">
      <c r="A325" s="345"/>
      <c r="B325" s="345"/>
      <c r="C325" s="345"/>
      <c r="D325" s="345"/>
      <c r="E325" s="345"/>
      <c r="F325" s="345"/>
      <c r="G325" s="345"/>
      <c r="H325" s="345"/>
    </row>
    <row r="326" spans="1:8">
      <c r="A326" s="346" t="s">
        <v>865</v>
      </c>
      <c r="B326" s="345"/>
      <c r="C326" s="345"/>
      <c r="D326" s="345"/>
      <c r="E326" s="345"/>
      <c r="F326" s="345"/>
      <c r="G326" s="345"/>
      <c r="H326" s="345"/>
    </row>
    <row r="327" spans="1:8">
      <c r="A327" s="346" t="s">
        <v>866</v>
      </c>
      <c r="B327" s="345"/>
      <c r="C327" s="345"/>
      <c r="D327" s="345"/>
      <c r="E327" s="345"/>
      <c r="F327" s="345"/>
      <c r="G327" s="345"/>
      <c r="H327" s="345"/>
    </row>
    <row r="328" spans="1:8">
      <c r="A328" s="346" t="s">
        <v>867</v>
      </c>
      <c r="B328" s="345"/>
      <c r="C328" s="345"/>
      <c r="D328" s="345"/>
      <c r="E328" s="345"/>
      <c r="F328" s="345"/>
      <c r="G328" s="345"/>
      <c r="H328" s="345"/>
    </row>
    <row r="329" spans="1:8">
      <c r="A329" s="346" t="s">
        <v>868</v>
      </c>
      <c r="B329" s="345"/>
      <c r="C329" s="345"/>
      <c r="D329" s="345"/>
      <c r="E329" s="345"/>
      <c r="F329" s="345"/>
      <c r="G329" s="345"/>
      <c r="H329" s="345"/>
    </row>
    <row r="330" spans="1:8">
      <c r="A330" s="346" t="s">
        <v>869</v>
      </c>
      <c r="B330" s="345"/>
      <c r="C330" s="345"/>
      <c r="D330" s="345"/>
      <c r="E330" s="345"/>
      <c r="F330" s="345"/>
      <c r="G330" s="345"/>
      <c r="H330" s="345"/>
    </row>
    <row r="331" spans="1:8">
      <c r="A331" s="346" t="s">
        <v>870</v>
      </c>
      <c r="B331" s="345"/>
      <c r="C331" s="345"/>
      <c r="D331" s="345"/>
      <c r="E331" s="345"/>
      <c r="F331" s="345"/>
      <c r="G331" s="345"/>
      <c r="H331" s="345"/>
    </row>
    <row r="332" spans="1:8">
      <c r="A332" s="346" t="s">
        <v>871</v>
      </c>
      <c r="B332" s="345"/>
      <c r="C332" s="345"/>
      <c r="D332" s="345"/>
      <c r="E332" s="345"/>
      <c r="F332" s="345"/>
      <c r="G332" s="345"/>
      <c r="H332" s="345"/>
    </row>
    <row r="333" spans="1:8">
      <c r="A333" s="346" t="s">
        <v>872</v>
      </c>
      <c r="B333" s="345"/>
      <c r="C333" s="345"/>
      <c r="D333" s="345"/>
      <c r="E333" s="345"/>
      <c r="F333" s="345"/>
      <c r="G333" s="345"/>
      <c r="H333" s="345"/>
    </row>
    <row r="334" spans="1:8">
      <c r="A334" s="346" t="s">
        <v>873</v>
      </c>
      <c r="B334" s="345"/>
      <c r="C334" s="345"/>
      <c r="D334" s="345"/>
      <c r="E334" s="345"/>
      <c r="F334" s="345"/>
      <c r="G334" s="345"/>
      <c r="H334" s="345"/>
    </row>
    <row r="335" spans="1:8">
      <c r="A335" s="346" t="s">
        <v>874</v>
      </c>
      <c r="B335" s="345"/>
      <c r="C335" s="345"/>
      <c r="D335" s="345"/>
      <c r="E335" s="345"/>
      <c r="F335" s="345"/>
      <c r="G335" s="345"/>
      <c r="H335" s="345"/>
    </row>
    <row r="336" spans="1:8">
      <c r="A336" s="346" t="s">
        <v>875</v>
      </c>
      <c r="B336" s="345"/>
      <c r="C336" s="345"/>
      <c r="D336" s="345"/>
      <c r="E336" s="345"/>
      <c r="F336" s="345"/>
      <c r="G336" s="345"/>
      <c r="H336" s="345"/>
    </row>
    <row r="337" spans="1:8">
      <c r="A337" s="346" t="s">
        <v>876</v>
      </c>
      <c r="B337" s="345"/>
      <c r="C337" s="345"/>
      <c r="D337" s="345"/>
      <c r="E337" s="345"/>
      <c r="F337" s="345"/>
      <c r="G337" s="345"/>
      <c r="H337" s="345"/>
    </row>
    <row r="338" spans="1:8">
      <c r="A338" s="346" t="s">
        <v>877</v>
      </c>
      <c r="B338" s="345"/>
      <c r="C338" s="345"/>
      <c r="D338" s="345"/>
      <c r="E338" s="345"/>
      <c r="F338" s="345"/>
      <c r="G338" s="345"/>
      <c r="H338" s="345"/>
    </row>
    <row r="339" spans="1:8">
      <c r="A339" s="346" t="s">
        <v>878</v>
      </c>
      <c r="B339" s="345"/>
      <c r="C339" s="345"/>
      <c r="D339" s="345"/>
      <c r="E339" s="345"/>
      <c r="F339" s="345"/>
      <c r="G339" s="345"/>
      <c r="H339" s="345"/>
    </row>
    <row r="340" spans="1:8">
      <c r="A340" s="346" t="s">
        <v>879</v>
      </c>
      <c r="B340" s="345"/>
      <c r="C340" s="345"/>
      <c r="D340" s="345"/>
      <c r="E340" s="345"/>
      <c r="F340" s="345"/>
      <c r="G340" s="345"/>
      <c r="H340" s="345"/>
    </row>
    <row r="341" spans="1:8">
      <c r="A341" s="346" t="s">
        <v>880</v>
      </c>
      <c r="B341" s="345"/>
      <c r="C341" s="345"/>
      <c r="D341" s="345"/>
      <c r="E341" s="345"/>
      <c r="F341" s="345"/>
      <c r="G341" s="345"/>
      <c r="H341" s="345"/>
    </row>
    <row r="342" spans="1:8">
      <c r="A342" s="346" t="s">
        <v>881</v>
      </c>
      <c r="B342" s="345"/>
      <c r="C342" s="345"/>
      <c r="D342" s="345"/>
      <c r="E342" s="345"/>
      <c r="F342" s="345"/>
      <c r="G342" s="345"/>
      <c r="H342" s="345"/>
    </row>
    <row r="343" spans="1:8">
      <c r="A343" s="346" t="s">
        <v>882</v>
      </c>
      <c r="B343" s="345"/>
      <c r="C343" s="345"/>
      <c r="D343" s="345"/>
      <c r="E343" s="345"/>
      <c r="F343" s="345"/>
      <c r="G343" s="345"/>
      <c r="H343" s="345"/>
    </row>
    <row r="344" spans="1:8">
      <c r="A344" s="346" t="s">
        <v>883</v>
      </c>
      <c r="B344" s="345"/>
      <c r="C344" s="345"/>
      <c r="D344" s="345"/>
      <c r="E344" s="345"/>
      <c r="F344" s="345"/>
      <c r="G344" s="345"/>
      <c r="H344" s="345"/>
    </row>
    <row r="345" spans="1:8">
      <c r="A345" s="346" t="s">
        <v>884</v>
      </c>
      <c r="B345" s="345"/>
      <c r="C345" s="345"/>
      <c r="D345" s="345"/>
      <c r="E345" s="345"/>
      <c r="F345" s="345"/>
      <c r="G345" s="345"/>
      <c r="H345" s="345"/>
    </row>
    <row r="346" spans="1:8">
      <c r="A346" s="346" t="s">
        <v>885</v>
      </c>
      <c r="B346" s="345"/>
      <c r="C346" s="345"/>
      <c r="D346" s="345"/>
      <c r="E346" s="345"/>
      <c r="F346" s="345"/>
      <c r="G346" s="345"/>
      <c r="H346" s="345"/>
    </row>
    <row r="347" spans="1:8">
      <c r="A347" s="346" t="s">
        <v>886</v>
      </c>
      <c r="B347" s="345"/>
      <c r="C347" s="345"/>
      <c r="D347" s="345"/>
      <c r="E347" s="345"/>
      <c r="F347" s="345"/>
      <c r="G347" s="345"/>
      <c r="H347" s="345"/>
    </row>
    <row r="348" spans="1:8">
      <c r="A348" s="346" t="s">
        <v>887</v>
      </c>
      <c r="B348" s="345"/>
      <c r="C348" s="345"/>
      <c r="D348" s="345"/>
      <c r="E348" s="345"/>
      <c r="F348" s="345"/>
      <c r="G348" s="345"/>
      <c r="H348" s="345"/>
    </row>
    <row r="349" spans="1:8">
      <c r="A349" s="346" t="s">
        <v>888</v>
      </c>
      <c r="B349" s="345"/>
      <c r="C349" s="345"/>
      <c r="D349" s="345"/>
      <c r="E349" s="345"/>
      <c r="F349" s="345"/>
      <c r="G349" s="345"/>
      <c r="H349" s="345"/>
    </row>
    <row r="350" spans="1:8">
      <c r="A350" s="346" t="s">
        <v>889</v>
      </c>
      <c r="B350" s="345"/>
      <c r="C350" s="345"/>
      <c r="D350" s="345"/>
      <c r="E350" s="345"/>
      <c r="F350" s="345"/>
      <c r="G350" s="345"/>
      <c r="H350" s="345"/>
    </row>
    <row r="351" spans="1:8">
      <c r="A351" s="346" t="s">
        <v>890</v>
      </c>
      <c r="B351" s="345"/>
      <c r="C351" s="345"/>
      <c r="D351" s="345"/>
      <c r="E351" s="345"/>
      <c r="F351" s="345"/>
      <c r="G351" s="345"/>
      <c r="H351" s="345"/>
    </row>
    <row r="352" spans="1:8">
      <c r="A352" s="346" t="s">
        <v>891</v>
      </c>
      <c r="B352" s="345"/>
      <c r="C352" s="345"/>
      <c r="D352" s="345"/>
      <c r="E352" s="345"/>
      <c r="F352" s="345"/>
      <c r="G352" s="345"/>
      <c r="H352" s="345"/>
    </row>
    <row r="353" spans="1:8">
      <c r="A353" s="346" t="s">
        <v>892</v>
      </c>
      <c r="B353" s="345"/>
      <c r="C353" s="345"/>
      <c r="D353" s="345"/>
      <c r="E353" s="345"/>
      <c r="F353" s="345"/>
      <c r="G353" s="345"/>
      <c r="H353" s="345"/>
    </row>
    <row r="354" spans="1:8">
      <c r="A354" s="346" t="s">
        <v>893</v>
      </c>
      <c r="B354" s="345"/>
      <c r="C354" s="345"/>
      <c r="D354" s="345"/>
      <c r="E354" s="345"/>
      <c r="F354" s="345"/>
      <c r="G354" s="345"/>
      <c r="H354" s="345"/>
    </row>
    <row r="355" spans="1:8">
      <c r="A355" s="346" t="s">
        <v>894</v>
      </c>
      <c r="B355" s="345"/>
      <c r="C355" s="345"/>
      <c r="D355" s="345"/>
      <c r="E355" s="345"/>
      <c r="F355" s="345"/>
      <c r="G355" s="345"/>
      <c r="H355" s="345"/>
    </row>
    <row r="356" spans="1:8">
      <c r="A356" s="346" t="s">
        <v>895</v>
      </c>
      <c r="B356" s="345"/>
      <c r="C356" s="345"/>
      <c r="D356" s="345"/>
      <c r="E356" s="345"/>
      <c r="F356" s="345"/>
      <c r="G356" s="345"/>
      <c r="H356" s="345"/>
    </row>
    <row r="357" spans="1:8">
      <c r="A357" s="346" t="s">
        <v>896</v>
      </c>
      <c r="B357" s="345"/>
      <c r="C357" s="345"/>
      <c r="D357" s="345"/>
      <c r="E357" s="345"/>
      <c r="F357" s="345"/>
      <c r="G357" s="345"/>
      <c r="H357" s="345"/>
    </row>
    <row r="358" spans="1:8">
      <c r="A358" s="346" t="s">
        <v>897</v>
      </c>
      <c r="B358" s="345"/>
      <c r="C358" s="345"/>
      <c r="D358" s="345"/>
      <c r="E358" s="345"/>
      <c r="F358" s="345"/>
      <c r="G358" s="345"/>
      <c r="H358" s="345"/>
    </row>
    <row r="359" spans="1:8">
      <c r="A359" s="346" t="s">
        <v>898</v>
      </c>
      <c r="B359" s="345"/>
      <c r="C359" s="345"/>
      <c r="D359" s="345"/>
      <c r="E359" s="345"/>
      <c r="F359" s="345"/>
      <c r="G359" s="345"/>
      <c r="H359" s="345"/>
    </row>
    <row r="360" spans="1:8">
      <c r="A360" s="346" t="s">
        <v>899</v>
      </c>
      <c r="B360" s="345"/>
      <c r="C360" s="345"/>
      <c r="D360" s="345"/>
      <c r="E360" s="345"/>
      <c r="F360" s="345"/>
      <c r="G360" s="345"/>
      <c r="H360" s="345"/>
    </row>
    <row r="361" spans="1:8">
      <c r="A361" s="345"/>
      <c r="B361" s="345"/>
      <c r="C361" s="345"/>
      <c r="D361" s="345"/>
      <c r="E361" s="345"/>
      <c r="F361" s="345"/>
      <c r="G361" s="345"/>
      <c r="H361" s="345"/>
    </row>
    <row r="362" spans="1:8">
      <c r="A362" s="346" t="s">
        <v>857</v>
      </c>
      <c r="B362" s="345"/>
      <c r="C362" s="345"/>
      <c r="D362" s="345"/>
      <c r="E362" s="345"/>
      <c r="F362" s="345"/>
      <c r="G362" s="345"/>
      <c r="H362" s="345"/>
    </row>
    <row r="363" spans="1:8">
      <c r="A363" s="346" t="s">
        <v>861</v>
      </c>
      <c r="B363" s="345"/>
      <c r="C363" s="345"/>
      <c r="D363" s="345"/>
      <c r="E363" s="345"/>
      <c r="F363" s="345"/>
      <c r="G363" s="345"/>
      <c r="H363" s="345"/>
    </row>
    <row r="364" spans="1:8">
      <c r="A364" s="346" t="s">
        <v>862</v>
      </c>
      <c r="B364" s="345"/>
      <c r="C364" s="345"/>
      <c r="D364" s="345"/>
      <c r="E364" s="345"/>
      <c r="F364" s="345"/>
      <c r="G364" s="345"/>
      <c r="H364" s="345"/>
    </row>
    <row r="365" spans="1:8">
      <c r="A365" s="346" t="s">
        <v>863</v>
      </c>
      <c r="B365" s="345"/>
      <c r="C365" s="345"/>
      <c r="D365" s="345"/>
      <c r="E365" s="345"/>
      <c r="F365" s="345"/>
      <c r="G365" s="345"/>
      <c r="H365" s="345"/>
    </row>
    <row r="366" spans="1:8">
      <c r="A366" s="346" t="s">
        <v>864</v>
      </c>
      <c r="B366" s="345"/>
      <c r="C366" s="345"/>
      <c r="D366" s="345"/>
      <c r="E366" s="345"/>
      <c r="F366" s="345"/>
      <c r="G366" s="345"/>
      <c r="H366" s="345"/>
    </row>
    <row r="367" spans="1:8">
      <c r="A367" s="345"/>
      <c r="B367" s="345"/>
      <c r="C367" s="345"/>
      <c r="D367" s="345"/>
      <c r="E367" s="345"/>
      <c r="F367" s="345"/>
      <c r="G367" s="345"/>
      <c r="H367" s="345"/>
    </row>
    <row r="368" spans="1:8">
      <c r="A368" s="346" t="s">
        <v>857</v>
      </c>
      <c r="B368" s="345"/>
      <c r="C368" s="345"/>
      <c r="D368" s="345"/>
      <c r="E368" s="345"/>
      <c r="F368" s="345"/>
      <c r="G368" s="345"/>
      <c r="H368" s="345"/>
    </row>
    <row r="369" spans="1:8">
      <c r="A369" s="346" t="s">
        <v>858</v>
      </c>
      <c r="B369" s="345"/>
      <c r="C369" s="345"/>
      <c r="D369" s="345"/>
      <c r="E369" s="345"/>
      <c r="F369" s="345"/>
      <c r="G369" s="345"/>
      <c r="H369" s="345"/>
    </row>
    <row r="370" spans="1:8">
      <c r="A370" s="346" t="s">
        <v>859</v>
      </c>
      <c r="B370" s="345"/>
      <c r="C370" s="345"/>
      <c r="D370" s="345"/>
      <c r="E370" s="345"/>
      <c r="F370" s="345"/>
      <c r="G370" s="345"/>
      <c r="H370" s="345"/>
    </row>
    <row r="371" spans="1:8">
      <c r="A371" s="346" t="s">
        <v>860</v>
      </c>
      <c r="B371" s="345"/>
      <c r="C371" s="345"/>
      <c r="D371" s="345"/>
      <c r="E371" s="345"/>
      <c r="F371" s="345"/>
      <c r="G371" s="345"/>
      <c r="H371" s="345"/>
    </row>
    <row r="372" spans="1:8">
      <c r="A372" s="345"/>
      <c r="B372" s="345"/>
      <c r="C372" s="345"/>
      <c r="D372" s="345"/>
      <c r="E372" s="345"/>
      <c r="F372" s="345"/>
      <c r="G372" s="345"/>
      <c r="H372" s="345"/>
    </row>
    <row r="373" spans="1:8">
      <c r="A373" s="346" t="s">
        <v>851</v>
      </c>
      <c r="B373" s="345"/>
      <c r="C373" s="345"/>
      <c r="D373" s="345"/>
      <c r="E373" s="345"/>
      <c r="F373" s="345"/>
      <c r="G373" s="345"/>
      <c r="H373" s="345"/>
    </row>
    <row r="374" spans="1:8">
      <c r="A374" s="346" t="s">
        <v>852</v>
      </c>
      <c r="B374" s="345"/>
      <c r="C374" s="345"/>
      <c r="D374" s="345"/>
      <c r="E374" s="345"/>
      <c r="F374" s="345"/>
      <c r="G374" s="345"/>
      <c r="H374" s="345"/>
    </row>
    <row r="375" spans="1:8">
      <c r="A375" s="346" t="s">
        <v>853</v>
      </c>
      <c r="B375" s="345"/>
      <c r="C375" s="345"/>
      <c r="D375" s="345"/>
      <c r="E375" s="345"/>
      <c r="F375" s="345"/>
      <c r="G375" s="345"/>
      <c r="H375" s="345"/>
    </row>
    <row r="376" spans="1:8">
      <c r="A376" s="346" t="s">
        <v>854</v>
      </c>
      <c r="B376" s="345"/>
      <c r="C376" s="345"/>
      <c r="D376" s="345"/>
      <c r="E376" s="345"/>
      <c r="F376" s="345"/>
      <c r="G376" s="345"/>
      <c r="H376" s="345"/>
    </row>
    <row r="377" spans="1:8">
      <c r="A377" s="346" t="s">
        <v>855</v>
      </c>
      <c r="B377" s="345"/>
      <c r="C377" s="345"/>
      <c r="D377" s="345"/>
      <c r="E377" s="345"/>
      <c r="F377" s="345"/>
      <c r="G377" s="345"/>
      <c r="H377" s="345"/>
    </row>
    <row r="378" spans="1:8">
      <c r="A378" s="346" t="s">
        <v>856</v>
      </c>
      <c r="B378" s="345"/>
      <c r="C378" s="345"/>
      <c r="D378" s="345"/>
      <c r="E378" s="345"/>
      <c r="F378" s="345"/>
      <c r="G378" s="345"/>
      <c r="H378" s="345"/>
    </row>
    <row r="379" spans="1:8">
      <c r="A379" s="345"/>
      <c r="B379" s="345"/>
      <c r="C379" s="345"/>
      <c r="D379" s="345"/>
      <c r="E379" s="345"/>
      <c r="F379" s="345"/>
      <c r="G379" s="345"/>
      <c r="H379" s="345"/>
    </row>
    <row r="380" spans="1:8">
      <c r="A380" s="346" t="s">
        <v>846</v>
      </c>
      <c r="B380" s="345"/>
      <c r="C380" s="345"/>
      <c r="D380" s="345"/>
      <c r="E380" s="345"/>
      <c r="F380" s="345"/>
      <c r="G380" s="345"/>
      <c r="H380" s="345"/>
    </row>
    <row r="381" spans="1:8">
      <c r="A381" s="346" t="s">
        <v>847</v>
      </c>
      <c r="B381" s="345"/>
      <c r="C381" s="345"/>
      <c r="D381" s="345"/>
      <c r="E381" s="345"/>
      <c r="F381" s="345"/>
      <c r="G381" s="345"/>
      <c r="H381" s="345"/>
    </row>
    <row r="382" spans="1:8">
      <c r="A382" s="346" t="s">
        <v>848</v>
      </c>
      <c r="B382" s="345"/>
      <c r="C382" s="345"/>
      <c r="D382" s="345"/>
      <c r="E382" s="345"/>
      <c r="F382" s="345"/>
      <c r="G382" s="345"/>
      <c r="H382" s="345"/>
    </row>
    <row r="383" spans="1:8">
      <c r="A383" s="346" t="s">
        <v>849</v>
      </c>
      <c r="B383" s="345"/>
      <c r="C383" s="345"/>
      <c r="D383" s="345"/>
      <c r="E383" s="345"/>
      <c r="F383" s="345"/>
      <c r="G383" s="345"/>
      <c r="H383" s="345"/>
    </row>
    <row r="384" spans="1:8">
      <c r="A384" s="346" t="s">
        <v>850</v>
      </c>
      <c r="B384" s="345"/>
      <c r="C384" s="345"/>
      <c r="D384" s="345"/>
      <c r="E384" s="345"/>
      <c r="F384" s="345"/>
      <c r="G384" s="345"/>
      <c r="H384" s="345"/>
    </row>
    <row r="385" spans="1:8">
      <c r="A385" s="345"/>
      <c r="B385" s="345"/>
      <c r="C385" s="345"/>
      <c r="D385" s="345"/>
      <c r="E385" s="345"/>
      <c r="F385" s="345"/>
      <c r="G385" s="345"/>
      <c r="H385" s="345"/>
    </row>
    <row r="386" spans="1:8">
      <c r="A386" s="346" t="s">
        <v>844</v>
      </c>
      <c r="B386" s="345"/>
      <c r="C386" s="345"/>
      <c r="D386" s="345"/>
      <c r="E386" s="345"/>
      <c r="F386" s="345"/>
      <c r="G386" s="345"/>
      <c r="H386" s="345"/>
    </row>
    <row r="387" spans="1:8">
      <c r="A387" s="346" t="s">
        <v>845</v>
      </c>
      <c r="B387" s="345"/>
      <c r="C387" s="345"/>
      <c r="D387" s="345"/>
      <c r="E387" s="345"/>
      <c r="F387" s="345"/>
      <c r="G387" s="345"/>
      <c r="H387" s="345"/>
    </row>
    <row r="389" spans="1:8">
      <c r="A389" s="341" t="s">
        <v>1099</v>
      </c>
    </row>
  </sheetData>
  <mergeCells count="12">
    <mergeCell ref="A130:H130"/>
    <mergeCell ref="A131:H131"/>
    <mergeCell ref="B123:C123"/>
    <mergeCell ref="D123:F123"/>
    <mergeCell ref="G123:H123"/>
    <mergeCell ref="A109:H109"/>
    <mergeCell ref="A110:H110"/>
    <mergeCell ref="A111:H111"/>
    <mergeCell ref="A112:H112"/>
    <mergeCell ref="A114:H114"/>
    <mergeCell ref="A115:H115"/>
    <mergeCell ref="A122:H122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BF464"/>
  <sheetViews>
    <sheetView showGridLines="0" zoomScale="115" zoomScaleNormal="115" zoomScaleSheetLayoutView="70" workbookViewId="0">
      <pane xSplit="2" ySplit="7" topLeftCell="D8" activePane="bottomRight" state="frozen"/>
      <selection pane="topRight" activeCell="C1" sqref="C1"/>
      <selection pane="bottomLeft" activeCell="A8" sqref="A8"/>
      <selection pane="bottomRight" activeCell="I23" sqref="I23"/>
    </sheetView>
  </sheetViews>
  <sheetFormatPr defaultColWidth="10.1640625" defaultRowHeight="11.25" customHeight="1" outlineLevelRow="4" outlineLevelCol="1"/>
  <cols>
    <col min="1" max="1" width="2" style="1" customWidth="1"/>
    <col min="2" max="2" width="38.1640625" style="1" customWidth="1"/>
    <col min="3" max="3" width="9" style="1" hidden="1" customWidth="1" outlineLevel="1" collapsed="1"/>
    <col min="4" max="4" width="9" style="1" customWidth="1" collapsed="1"/>
    <col min="5" max="12" width="9" style="1" customWidth="1"/>
    <col min="13" max="13" width="7.6640625" style="1" customWidth="1"/>
    <col min="14" max="19" width="8.83203125" style="1" hidden="1" customWidth="1" outlineLevel="1"/>
    <col min="20" max="21" width="9" style="1" hidden="1" customWidth="1" outlineLevel="1"/>
    <col min="22" max="22" width="9" style="1" hidden="1" customWidth="1" outlineLevel="1" collapsed="1"/>
    <col min="23" max="24" width="9" style="1" hidden="1" customWidth="1" outlineLevel="1"/>
    <col min="25" max="25" width="9.1640625" style="1" hidden="1" customWidth="1" outlineLevel="1"/>
    <col min="26" max="26" width="9.1640625" style="1" hidden="1" customWidth="1" outlineLevel="1" collapsed="1"/>
    <col min="27" max="33" width="9.1640625" style="1" hidden="1" customWidth="1" outlineLevel="1"/>
    <col min="34" max="34" width="9.1640625" style="1" customWidth="1" collapsed="1"/>
    <col min="35" max="49" width="9.1640625" style="1" customWidth="1"/>
    <col min="50" max="52" width="10.1640625" style="265" customWidth="1"/>
    <col min="53" max="53" width="12.33203125" style="265" customWidth="1"/>
    <col min="54" max="54" width="13.1640625" style="265" customWidth="1"/>
    <col min="55" max="57" width="10.1640625" style="265" customWidth="1"/>
    <col min="58" max="58" width="15.83203125" style="1" customWidth="1"/>
    <col min="59" max="59" width="28.83203125" customWidth="1"/>
    <col min="60" max="65" width="10.1640625" customWidth="1"/>
  </cols>
  <sheetData>
    <row r="1" spans="1:58" ht="15.75">
      <c r="A1" s="270"/>
      <c r="B1" s="269" t="s">
        <v>232</v>
      </c>
      <c r="C1" s="267">
        <f t="shared" ref="C1:K1" si="0">C40</f>
        <v>2.6375383126043292</v>
      </c>
      <c r="D1" s="267">
        <f t="shared" si="0"/>
        <v>1.5612916501682068</v>
      </c>
      <c r="E1" s="267">
        <f t="shared" si="0"/>
        <v>1.7863436543734537</v>
      </c>
      <c r="F1" s="267">
        <f t="shared" si="0"/>
        <v>-1.2900168484997514</v>
      </c>
      <c r="G1" s="267">
        <f t="shared" si="0"/>
        <v>-2.4899080873862647</v>
      </c>
      <c r="H1" s="267">
        <f t="shared" si="0"/>
        <v>-1.6331717683599654</v>
      </c>
      <c r="I1" s="267">
        <f t="shared" si="0"/>
        <v>-0.85182499177167659</v>
      </c>
      <c r="J1" s="267">
        <f t="shared" si="0"/>
        <v>0.16545847997592908</v>
      </c>
      <c r="K1" s="267">
        <f t="shared" si="0"/>
        <v>0.47643054155501602</v>
      </c>
      <c r="L1" s="268"/>
      <c r="N1" s="267">
        <f>N40</f>
        <v>0.72659096620178432</v>
      </c>
      <c r="O1" s="267">
        <f>O40</f>
        <v>0.82933456049220855</v>
      </c>
      <c r="P1" s="267">
        <f>P40</f>
        <v>0.60117546160831425</v>
      </c>
      <c r="Q1" s="267">
        <f>Q40</f>
        <v>0.49375271723720787</v>
      </c>
      <c r="R1" s="267">
        <f t="shared" ref="R1:AW1" si="1">R40</f>
        <v>0.3972187766855948</v>
      </c>
      <c r="S1" s="267">
        <f t="shared" si="1"/>
        <v>0.42601752314670954</v>
      </c>
      <c r="T1" s="267">
        <f t="shared" si="1"/>
        <v>0.43407320848069703</v>
      </c>
      <c r="U1" s="267">
        <f t="shared" si="1"/>
        <v>0.30309367699148415</v>
      </c>
      <c r="V1" s="267">
        <f t="shared" si="1"/>
        <v>0.26490255543402602</v>
      </c>
      <c r="W1" s="267">
        <f t="shared" si="1"/>
        <v>0.49689819674294938</v>
      </c>
      <c r="X1" s="267">
        <f t="shared" si="1"/>
        <v>0.5484533312864599</v>
      </c>
      <c r="Y1" s="267">
        <f t="shared" si="1"/>
        <v>0.48139423487030758</v>
      </c>
      <c r="Z1" s="267">
        <f t="shared" si="1"/>
        <v>-9.9745798333344283E-3</v>
      </c>
      <c r="AA1" s="267">
        <f t="shared" si="1"/>
        <v>-0.31482872047047844</v>
      </c>
      <c r="AB1" s="267">
        <f t="shared" si="1"/>
        <v>-0.45656817608894601</v>
      </c>
      <c r="AC1" s="267">
        <f t="shared" si="1"/>
        <v>-0.50686676485808679</v>
      </c>
      <c r="AD1" s="267">
        <f t="shared" si="1"/>
        <v>-0.49190478707937918</v>
      </c>
      <c r="AE1" s="267">
        <f t="shared" si="1"/>
        <v>-0.53082743503063601</v>
      </c>
      <c r="AF1" s="267">
        <f t="shared" si="1"/>
        <v>-0.73095506469708071</v>
      </c>
      <c r="AG1" s="267">
        <f t="shared" si="1"/>
        <v>-0.73571414449621386</v>
      </c>
      <c r="AH1" s="267">
        <f t="shared" si="1"/>
        <v>-0.58716707814618119</v>
      </c>
      <c r="AI1" s="267">
        <f t="shared" si="1"/>
        <v>-0.40586299613364135</v>
      </c>
      <c r="AJ1" s="267">
        <f t="shared" si="1"/>
        <v>-0.30635868358134866</v>
      </c>
      <c r="AK1" s="267">
        <f t="shared" si="1"/>
        <v>-0.33422608354835548</v>
      </c>
      <c r="AL1" s="267">
        <f t="shared" si="1"/>
        <v>-0.37183497263305121</v>
      </c>
      <c r="AM1" s="267">
        <f t="shared" si="1"/>
        <v>-0.2735024603748889</v>
      </c>
      <c r="AN1" s="267">
        <f t="shared" si="1"/>
        <v>-0.13888079749845397</v>
      </c>
      <c r="AO1" s="267">
        <f t="shared" si="1"/>
        <v>-6.8909291264251535E-2</v>
      </c>
      <c r="AP1" s="267">
        <f t="shared" si="1"/>
        <v>-1.0732900414994907E-2</v>
      </c>
      <c r="AQ1" s="267">
        <f t="shared" si="1"/>
        <v>2.345993289250645E-2</v>
      </c>
      <c r="AR1" s="267">
        <f t="shared" si="1"/>
        <v>5.8197415846697104E-2</v>
      </c>
      <c r="AS1" s="267">
        <f t="shared" si="1"/>
        <v>9.3586066335841211E-2</v>
      </c>
      <c r="AT1" s="267">
        <f t="shared" si="1"/>
        <v>0.10874962151645143</v>
      </c>
      <c r="AU1" s="267">
        <f t="shared" si="1"/>
        <v>0.11548330303802544</v>
      </c>
      <c r="AV1" s="267">
        <f t="shared" si="1"/>
        <v>0.12245446026179774</v>
      </c>
      <c r="AW1" s="267">
        <f t="shared" si="1"/>
        <v>0.12965615071318129</v>
      </c>
      <c r="AX1" s="227"/>
      <c r="AY1" s="227"/>
      <c r="AZ1" s="227"/>
      <c r="BA1" s="227"/>
      <c r="BB1" s="227"/>
      <c r="BC1" s="227"/>
      <c r="BD1" s="227"/>
      <c r="BE1" s="227"/>
      <c r="BF1" s="266"/>
    </row>
    <row r="2" spans="1:58" ht="11.25" customHeight="1">
      <c r="A2" s="56"/>
      <c r="B2" s="264" t="s">
        <v>800</v>
      </c>
      <c r="C2" s="263"/>
      <c r="D2" s="293">
        <f t="shared" ref="D2:J2" si="2">MIN(D194,0)</f>
        <v>0</v>
      </c>
      <c r="E2" s="293">
        <f t="shared" si="2"/>
        <v>0</v>
      </c>
      <c r="F2" s="293">
        <f t="shared" si="2"/>
        <v>0</v>
      </c>
      <c r="G2" s="293">
        <f t="shared" si="2"/>
        <v>0</v>
      </c>
      <c r="H2" s="293">
        <f t="shared" si="2"/>
        <v>0</v>
      </c>
      <c r="I2" s="293">
        <f t="shared" si="2"/>
        <v>0</v>
      </c>
      <c r="J2" s="293">
        <f t="shared" si="2"/>
        <v>0</v>
      </c>
      <c r="K2" s="226"/>
      <c r="L2" s="262"/>
      <c r="M2" s="7"/>
      <c r="N2" s="3"/>
      <c r="O2" s="7"/>
      <c r="P2" s="7"/>
      <c r="Q2" s="7"/>
      <c r="R2" s="7"/>
      <c r="S2" s="7"/>
      <c r="T2" s="7"/>
      <c r="U2" s="7"/>
      <c r="V2" s="7"/>
      <c r="W2" s="7"/>
      <c r="X2" s="261"/>
      <c r="Y2" s="261"/>
      <c r="Z2" s="261"/>
      <c r="AA2" s="261"/>
      <c r="AB2" s="261"/>
      <c r="AC2" s="261"/>
      <c r="AD2" s="293">
        <f t="shared" ref="AD2:AW2" si="3">MIN(AD194,0)</f>
        <v>0</v>
      </c>
      <c r="AE2" s="293">
        <f t="shared" si="3"/>
        <v>0</v>
      </c>
      <c r="AF2" s="293">
        <f t="shared" si="3"/>
        <v>0</v>
      </c>
      <c r="AG2" s="293">
        <f t="shared" si="3"/>
        <v>0</v>
      </c>
      <c r="AH2" s="293">
        <f t="shared" si="3"/>
        <v>0</v>
      </c>
      <c r="AI2" s="293">
        <f t="shared" si="3"/>
        <v>0</v>
      </c>
      <c r="AJ2" s="293">
        <f t="shared" si="3"/>
        <v>0</v>
      </c>
      <c r="AK2" s="293">
        <f t="shared" si="3"/>
        <v>0</v>
      </c>
      <c r="AL2" s="293">
        <f t="shared" si="3"/>
        <v>0</v>
      </c>
      <c r="AM2" s="293">
        <f t="shared" si="3"/>
        <v>0</v>
      </c>
      <c r="AN2" s="293">
        <f t="shared" si="3"/>
        <v>0</v>
      </c>
      <c r="AO2" s="293">
        <f t="shared" si="3"/>
        <v>0</v>
      </c>
      <c r="AP2" s="293">
        <f t="shared" si="3"/>
        <v>0</v>
      </c>
      <c r="AQ2" s="293">
        <f t="shared" si="3"/>
        <v>0</v>
      </c>
      <c r="AR2" s="293">
        <f t="shared" si="3"/>
        <v>0</v>
      </c>
      <c r="AS2" s="293">
        <f t="shared" si="3"/>
        <v>0</v>
      </c>
      <c r="AT2" s="293">
        <f t="shared" si="3"/>
        <v>0</v>
      </c>
      <c r="AU2" s="293">
        <f t="shared" si="3"/>
        <v>0</v>
      </c>
      <c r="AV2" s="293">
        <f t="shared" si="3"/>
        <v>0</v>
      </c>
      <c r="AW2" s="293">
        <f t="shared" si="3"/>
        <v>0</v>
      </c>
      <c r="AX2" s="5"/>
      <c r="AY2" s="5"/>
      <c r="AZ2" s="5"/>
      <c r="BA2" s="5"/>
      <c r="BB2" s="5"/>
      <c r="BC2" s="5"/>
      <c r="BD2" s="5"/>
      <c r="BE2" s="5"/>
      <c r="BF2" s="2"/>
    </row>
    <row r="3" spans="1:58" ht="11.25" customHeight="1">
      <c r="A3" s="56"/>
      <c r="B3" s="264"/>
      <c r="C3" s="263"/>
      <c r="D3" s="7"/>
      <c r="E3" s="226"/>
      <c r="F3" s="226"/>
      <c r="G3" s="226"/>
      <c r="H3" s="226"/>
      <c r="I3" s="226"/>
      <c r="J3" s="226"/>
      <c r="K3" s="226"/>
      <c r="L3" s="262"/>
      <c r="M3" s="7"/>
      <c r="N3" s="3"/>
      <c r="O3" s="7"/>
      <c r="P3" s="7"/>
      <c r="Q3" s="7"/>
      <c r="R3" s="7"/>
      <c r="S3" s="7"/>
      <c r="T3" s="7"/>
      <c r="U3" s="7"/>
      <c r="V3" s="7"/>
      <c r="W3" s="7"/>
      <c r="X3" s="261"/>
      <c r="Y3" s="261"/>
      <c r="Z3" s="261"/>
      <c r="AA3" s="261"/>
      <c r="AB3" s="261"/>
      <c r="AC3" s="261"/>
      <c r="AD3" s="261"/>
      <c r="AE3" s="261"/>
      <c r="AF3" s="261"/>
      <c r="AG3" s="261"/>
      <c r="AH3" s="260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5"/>
      <c r="AY3" s="5"/>
      <c r="AZ3" s="5"/>
      <c r="BA3" s="5"/>
      <c r="BB3" s="5"/>
      <c r="BC3" s="5"/>
      <c r="BD3" s="5"/>
      <c r="BE3" s="5"/>
      <c r="BF3" s="2"/>
    </row>
    <row r="4" spans="1:58" ht="11.25" hidden="1" customHeight="1">
      <c r="A4" s="4"/>
      <c r="B4" s="255" t="s">
        <v>231</v>
      </c>
      <c r="C4" s="259">
        <v>2012</v>
      </c>
      <c r="D4" s="259">
        <f t="shared" ref="D4:K4" si="4">+C4+1</f>
        <v>2013</v>
      </c>
      <c r="E4" s="259">
        <f t="shared" si="4"/>
        <v>2014</v>
      </c>
      <c r="F4" s="259">
        <f t="shared" si="4"/>
        <v>2015</v>
      </c>
      <c r="G4" s="259">
        <f t="shared" si="4"/>
        <v>2016</v>
      </c>
      <c r="H4" s="259">
        <f t="shared" si="4"/>
        <v>2017</v>
      </c>
      <c r="I4" s="259">
        <f t="shared" si="4"/>
        <v>2018</v>
      </c>
      <c r="J4" s="259">
        <f t="shared" si="4"/>
        <v>2019</v>
      </c>
      <c r="K4" s="259">
        <f t="shared" si="4"/>
        <v>2020</v>
      </c>
      <c r="L4" s="258"/>
      <c r="M4" s="2"/>
      <c r="N4" s="2">
        <v>2012</v>
      </c>
      <c r="O4" s="2">
        <v>2012</v>
      </c>
      <c r="P4" s="2">
        <v>2012</v>
      </c>
      <c r="Q4" s="2">
        <v>2012</v>
      </c>
      <c r="R4" s="2">
        <f>+N4+1</f>
        <v>2013</v>
      </c>
      <c r="S4" s="2">
        <f>+O4+1</f>
        <v>2013</v>
      </c>
      <c r="T4" s="2">
        <f>+P4+1</f>
        <v>2013</v>
      </c>
      <c r="U4" s="2">
        <f>+Q4+1</f>
        <v>2013</v>
      </c>
      <c r="V4" s="2">
        <f t="shared" ref="V4:AW4" si="5">+R4+1</f>
        <v>2014</v>
      </c>
      <c r="W4" s="2">
        <f t="shared" si="5"/>
        <v>2014</v>
      </c>
      <c r="X4" s="2">
        <f t="shared" si="5"/>
        <v>2014</v>
      </c>
      <c r="Y4" s="2">
        <f t="shared" si="5"/>
        <v>2014</v>
      </c>
      <c r="Z4" s="2">
        <f t="shared" si="5"/>
        <v>2015</v>
      </c>
      <c r="AA4" s="2">
        <f t="shared" si="5"/>
        <v>2015</v>
      </c>
      <c r="AB4" s="2">
        <f t="shared" si="5"/>
        <v>2015</v>
      </c>
      <c r="AC4" s="2">
        <f t="shared" si="5"/>
        <v>2015</v>
      </c>
      <c r="AD4" s="2">
        <f t="shared" si="5"/>
        <v>2016</v>
      </c>
      <c r="AE4" s="2">
        <f t="shared" si="5"/>
        <v>2016</v>
      </c>
      <c r="AF4" s="2">
        <f t="shared" si="5"/>
        <v>2016</v>
      </c>
      <c r="AG4" s="2">
        <f t="shared" si="5"/>
        <v>2016</v>
      </c>
      <c r="AH4" s="2">
        <f t="shared" si="5"/>
        <v>2017</v>
      </c>
      <c r="AI4" s="2">
        <f t="shared" si="5"/>
        <v>2017</v>
      </c>
      <c r="AJ4" s="2">
        <f t="shared" si="5"/>
        <v>2017</v>
      </c>
      <c r="AK4" s="2">
        <f t="shared" si="5"/>
        <v>2017</v>
      </c>
      <c r="AL4" s="2">
        <f t="shared" si="5"/>
        <v>2018</v>
      </c>
      <c r="AM4" s="2">
        <f t="shared" si="5"/>
        <v>2018</v>
      </c>
      <c r="AN4" s="2">
        <f t="shared" si="5"/>
        <v>2018</v>
      </c>
      <c r="AO4" s="2">
        <f t="shared" si="5"/>
        <v>2018</v>
      </c>
      <c r="AP4" s="2">
        <f t="shared" si="5"/>
        <v>2019</v>
      </c>
      <c r="AQ4" s="2">
        <f t="shared" si="5"/>
        <v>2019</v>
      </c>
      <c r="AR4" s="2">
        <f t="shared" si="5"/>
        <v>2019</v>
      </c>
      <c r="AS4" s="2">
        <f t="shared" si="5"/>
        <v>2019</v>
      </c>
      <c r="AT4" s="2">
        <f t="shared" si="5"/>
        <v>2020</v>
      </c>
      <c r="AU4" s="2">
        <f t="shared" si="5"/>
        <v>2020</v>
      </c>
      <c r="AV4" s="2">
        <f t="shared" si="5"/>
        <v>2020</v>
      </c>
      <c r="AW4" s="2">
        <f t="shared" si="5"/>
        <v>2020</v>
      </c>
      <c r="AX4" s="5"/>
      <c r="AY4" s="5"/>
      <c r="AZ4" s="5"/>
      <c r="BA4" s="5"/>
      <c r="BB4" s="5"/>
      <c r="BC4" s="5"/>
      <c r="BD4" s="5"/>
      <c r="BE4" s="5"/>
      <c r="BF4" s="2"/>
    </row>
    <row r="5" spans="1:58" ht="11.25" hidden="1" customHeight="1">
      <c r="A5" s="4"/>
      <c r="B5" s="255" t="s">
        <v>230</v>
      </c>
      <c r="C5" s="257">
        <v>41274</v>
      </c>
      <c r="D5" s="257">
        <f t="shared" ref="D5:K5" si="6">EDATE(C5,12)</f>
        <v>41639</v>
      </c>
      <c r="E5" s="257">
        <f t="shared" si="6"/>
        <v>42004</v>
      </c>
      <c r="F5" s="257">
        <f t="shared" si="6"/>
        <v>42369</v>
      </c>
      <c r="G5" s="257">
        <f t="shared" si="6"/>
        <v>42735</v>
      </c>
      <c r="H5" s="257">
        <f t="shared" si="6"/>
        <v>43100</v>
      </c>
      <c r="I5" s="257">
        <f t="shared" si="6"/>
        <v>43465</v>
      </c>
      <c r="J5" s="257">
        <f t="shared" si="6"/>
        <v>43830</v>
      </c>
      <c r="K5" s="257">
        <f t="shared" si="6"/>
        <v>44196</v>
      </c>
      <c r="L5" s="258"/>
      <c r="M5" s="2"/>
      <c r="N5" s="257">
        <v>40999</v>
      </c>
      <c r="O5" s="257">
        <f>EOMONTH(N5,3)</f>
        <v>41090</v>
      </c>
      <c r="P5" s="257">
        <f>EOMONTH(O5,3)</f>
        <v>41182</v>
      </c>
      <c r="Q5" s="257">
        <f>EOMONTH(P5,3)</f>
        <v>41274</v>
      </c>
      <c r="R5" s="257">
        <f>EOMONTH(Q5,3)</f>
        <v>41364</v>
      </c>
      <c r="S5" s="257">
        <f t="shared" ref="S5:AW5" si="7">EOMONTH(R5,3)</f>
        <v>41455</v>
      </c>
      <c r="T5" s="257">
        <f t="shared" si="7"/>
        <v>41547</v>
      </c>
      <c r="U5" s="257">
        <f t="shared" si="7"/>
        <v>41639</v>
      </c>
      <c r="V5" s="257">
        <f t="shared" si="7"/>
        <v>41729</v>
      </c>
      <c r="W5" s="257">
        <f t="shared" si="7"/>
        <v>41820</v>
      </c>
      <c r="X5" s="257">
        <f t="shared" si="7"/>
        <v>41912</v>
      </c>
      <c r="Y5" s="257">
        <f t="shared" si="7"/>
        <v>42004</v>
      </c>
      <c r="Z5" s="257">
        <f t="shared" si="7"/>
        <v>42094</v>
      </c>
      <c r="AA5" s="257">
        <f t="shared" si="7"/>
        <v>42185</v>
      </c>
      <c r="AB5" s="257">
        <f t="shared" si="7"/>
        <v>42277</v>
      </c>
      <c r="AC5" s="257">
        <f t="shared" si="7"/>
        <v>42369</v>
      </c>
      <c r="AD5" s="257">
        <f t="shared" si="7"/>
        <v>42460</v>
      </c>
      <c r="AE5" s="257">
        <f t="shared" si="7"/>
        <v>42551</v>
      </c>
      <c r="AF5" s="257">
        <f t="shared" si="7"/>
        <v>42643</v>
      </c>
      <c r="AG5" s="257">
        <f t="shared" si="7"/>
        <v>42735</v>
      </c>
      <c r="AH5" s="257">
        <f t="shared" si="7"/>
        <v>42825</v>
      </c>
      <c r="AI5" s="257">
        <f t="shared" si="7"/>
        <v>42916</v>
      </c>
      <c r="AJ5" s="257">
        <f t="shared" si="7"/>
        <v>43008</v>
      </c>
      <c r="AK5" s="257">
        <f t="shared" si="7"/>
        <v>43100</v>
      </c>
      <c r="AL5" s="257">
        <f t="shared" si="7"/>
        <v>43190</v>
      </c>
      <c r="AM5" s="257">
        <f t="shared" si="7"/>
        <v>43281</v>
      </c>
      <c r="AN5" s="257">
        <f t="shared" si="7"/>
        <v>43373</v>
      </c>
      <c r="AO5" s="257">
        <f t="shared" si="7"/>
        <v>43465</v>
      </c>
      <c r="AP5" s="257">
        <f t="shared" si="7"/>
        <v>43555</v>
      </c>
      <c r="AQ5" s="257">
        <f t="shared" si="7"/>
        <v>43646</v>
      </c>
      <c r="AR5" s="257">
        <f t="shared" si="7"/>
        <v>43738</v>
      </c>
      <c r="AS5" s="257">
        <f t="shared" si="7"/>
        <v>43830</v>
      </c>
      <c r="AT5" s="257">
        <f t="shared" si="7"/>
        <v>43921</v>
      </c>
      <c r="AU5" s="257">
        <f t="shared" si="7"/>
        <v>44012</v>
      </c>
      <c r="AV5" s="257">
        <f t="shared" si="7"/>
        <v>44104</v>
      </c>
      <c r="AW5" s="257">
        <f t="shared" si="7"/>
        <v>44196</v>
      </c>
      <c r="AX5" s="256"/>
      <c r="AY5" s="256"/>
      <c r="AZ5" s="256"/>
      <c r="BA5" s="256"/>
      <c r="BB5" s="256"/>
      <c r="BC5" s="256"/>
      <c r="BD5" s="256"/>
      <c r="BE5" s="256"/>
      <c r="BF5" s="2"/>
    </row>
    <row r="6" spans="1:58" ht="11.25" hidden="1" customHeight="1">
      <c r="A6" s="4"/>
      <c r="B6" s="255"/>
      <c r="C6" s="252"/>
      <c r="D6" s="254"/>
      <c r="E6" s="254"/>
      <c r="F6" s="254"/>
      <c r="G6" s="254"/>
      <c r="H6" s="254"/>
      <c r="I6" s="254"/>
      <c r="J6" s="254"/>
      <c r="K6" s="254"/>
      <c r="L6" s="253"/>
      <c r="M6" s="2"/>
      <c r="N6" s="2"/>
      <c r="O6" s="2"/>
      <c r="P6" s="252"/>
      <c r="Q6" s="252"/>
      <c r="R6" s="2"/>
      <c r="S6" s="2"/>
      <c r="T6" s="2"/>
      <c r="U6" s="2"/>
      <c r="V6" s="2"/>
      <c r="W6" s="2"/>
      <c r="X6" s="252"/>
      <c r="Y6" s="252"/>
      <c r="Z6" s="252"/>
      <c r="AA6" s="252"/>
      <c r="AB6" s="252"/>
      <c r="AC6" s="252"/>
      <c r="AD6" s="252"/>
      <c r="AE6" s="252"/>
      <c r="AF6" s="252"/>
      <c r="AG6" s="252"/>
      <c r="AH6" s="186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5"/>
      <c r="AY6" s="5"/>
      <c r="AZ6" s="5"/>
      <c r="BA6" s="5"/>
      <c r="BB6" s="5"/>
      <c r="BC6" s="5"/>
      <c r="BD6" s="5"/>
      <c r="BE6" s="5"/>
      <c r="BF6" s="42"/>
    </row>
    <row r="7" spans="1:58" ht="11.25" customHeight="1">
      <c r="A7" s="56"/>
      <c r="B7" s="251"/>
      <c r="C7" s="247">
        <v>2012</v>
      </c>
      <c r="D7" s="247">
        <v>2013</v>
      </c>
      <c r="E7" s="247">
        <v>2014</v>
      </c>
      <c r="F7" s="247">
        <v>2015</v>
      </c>
      <c r="G7" s="247">
        <v>2016</v>
      </c>
      <c r="H7" s="247">
        <v>2017</v>
      </c>
      <c r="I7" s="247" t="s">
        <v>229</v>
      </c>
      <c r="J7" s="247" t="s">
        <v>228</v>
      </c>
      <c r="K7" s="247" t="s">
        <v>227</v>
      </c>
      <c r="L7" s="250"/>
      <c r="M7" s="249"/>
      <c r="N7" s="248" t="s">
        <v>226</v>
      </c>
      <c r="O7" s="247" t="s">
        <v>225</v>
      </c>
      <c r="P7" s="247" t="s">
        <v>224</v>
      </c>
      <c r="Q7" s="247" t="s">
        <v>223</v>
      </c>
      <c r="R7" s="247" t="s">
        <v>222</v>
      </c>
      <c r="S7" s="247" t="s">
        <v>221</v>
      </c>
      <c r="T7" s="247" t="s">
        <v>220</v>
      </c>
      <c r="U7" s="247" t="s">
        <v>219</v>
      </c>
      <c r="V7" s="247" t="s">
        <v>218</v>
      </c>
      <c r="W7" s="247" t="s">
        <v>217</v>
      </c>
      <c r="X7" s="248" t="s">
        <v>216</v>
      </c>
      <c r="Y7" s="248" t="s">
        <v>215</v>
      </c>
      <c r="Z7" s="247" t="s">
        <v>214</v>
      </c>
      <c r="AA7" s="247" t="s">
        <v>213</v>
      </c>
      <c r="AB7" s="247" t="s">
        <v>212</v>
      </c>
      <c r="AC7" s="247" t="s">
        <v>211</v>
      </c>
      <c r="AD7" s="247" t="s">
        <v>210</v>
      </c>
      <c r="AE7" s="247" t="s">
        <v>209</v>
      </c>
      <c r="AF7" s="247" t="s">
        <v>208</v>
      </c>
      <c r="AG7" s="247" t="s">
        <v>242</v>
      </c>
      <c r="AH7" s="247" t="s">
        <v>244</v>
      </c>
      <c r="AI7" s="247" t="s">
        <v>257</v>
      </c>
      <c r="AJ7" s="247" t="s">
        <v>269</v>
      </c>
      <c r="AK7" s="247" t="s">
        <v>797</v>
      </c>
      <c r="AL7" s="247" t="s">
        <v>207</v>
      </c>
      <c r="AM7" s="247" t="s">
        <v>206</v>
      </c>
      <c r="AN7" s="247" t="s">
        <v>205</v>
      </c>
      <c r="AO7" s="247" t="s">
        <v>204</v>
      </c>
      <c r="AP7" s="247" t="s">
        <v>203</v>
      </c>
      <c r="AQ7" s="247" t="s">
        <v>202</v>
      </c>
      <c r="AR7" s="247" t="s">
        <v>201</v>
      </c>
      <c r="AS7" s="247" t="s">
        <v>200</v>
      </c>
      <c r="AT7" s="247" t="s">
        <v>199</v>
      </c>
      <c r="AU7" s="247" t="s">
        <v>198</v>
      </c>
      <c r="AV7" s="247" t="s">
        <v>197</v>
      </c>
      <c r="AW7" s="247" t="s">
        <v>196</v>
      </c>
      <c r="AX7" s="246"/>
      <c r="AY7" s="246"/>
      <c r="AZ7" s="246"/>
      <c r="BA7" s="246"/>
      <c r="BB7" s="246"/>
      <c r="BC7" s="246"/>
      <c r="BD7" s="246"/>
      <c r="BE7" s="246"/>
      <c r="BF7" s="42" t="s">
        <v>195</v>
      </c>
    </row>
    <row r="8" spans="1:58" ht="11.25" customHeight="1">
      <c r="A8" s="11" t="s">
        <v>5</v>
      </c>
      <c r="B8" s="43" t="s">
        <v>194</v>
      </c>
      <c r="C8" s="200"/>
      <c r="D8" s="243"/>
      <c r="E8" s="243"/>
      <c r="F8" s="243"/>
      <c r="G8" s="243"/>
      <c r="H8" s="243"/>
      <c r="I8" s="243"/>
      <c r="J8" s="243"/>
      <c r="K8" s="243"/>
      <c r="L8" s="55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6"/>
      <c r="Y8" s="6"/>
      <c r="Z8" s="6"/>
      <c r="AA8" s="6"/>
      <c r="AB8" s="6"/>
      <c r="AC8" s="6"/>
      <c r="AD8" s="6"/>
      <c r="AE8" s="6"/>
      <c r="AF8" s="6"/>
      <c r="AG8" s="6"/>
      <c r="AH8" s="128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57"/>
      <c r="AY8" s="57"/>
      <c r="AZ8" s="57"/>
      <c r="BA8" s="57"/>
      <c r="BB8" s="57"/>
      <c r="BC8" s="57"/>
      <c r="BD8" s="57"/>
      <c r="BE8" s="57"/>
      <c r="BF8" s="2">
        <v>2</v>
      </c>
    </row>
    <row r="9" spans="1:58" ht="11.25" customHeight="1" outlineLevel="1">
      <c r="A9" s="50"/>
      <c r="B9" s="139" t="s">
        <v>125</v>
      </c>
      <c r="C9" s="211">
        <f t="shared" ref="C9:K9" si="8">C$7</f>
        <v>2012</v>
      </c>
      <c r="D9" s="211">
        <f t="shared" si="8"/>
        <v>2013</v>
      </c>
      <c r="E9" s="211">
        <f t="shared" si="8"/>
        <v>2014</v>
      </c>
      <c r="F9" s="211">
        <f t="shared" si="8"/>
        <v>2015</v>
      </c>
      <c r="G9" s="211">
        <f t="shared" si="8"/>
        <v>2016</v>
      </c>
      <c r="H9" s="211">
        <f t="shared" si="8"/>
        <v>2017</v>
      </c>
      <c r="I9" s="211" t="str">
        <f t="shared" si="8"/>
        <v>2018E</v>
      </c>
      <c r="J9" s="211" t="str">
        <f t="shared" si="8"/>
        <v>2019E</v>
      </c>
      <c r="K9" s="211" t="str">
        <f t="shared" si="8"/>
        <v>2020E</v>
      </c>
      <c r="L9" s="210"/>
      <c r="M9" s="210"/>
      <c r="N9" s="211" t="str">
        <f>N$7</f>
        <v>1Q12</v>
      </c>
      <c r="O9" s="211" t="str">
        <f>O$7</f>
        <v>2Q12</v>
      </c>
      <c r="P9" s="211" t="str">
        <f>P$7</f>
        <v>3Q12</v>
      </c>
      <c r="Q9" s="211" t="str">
        <f>Q$7</f>
        <v>4Q12</v>
      </c>
      <c r="R9" s="211" t="str">
        <f t="shared" ref="R9:AW9" si="9">R$7</f>
        <v>1Q13</v>
      </c>
      <c r="S9" s="211" t="str">
        <f t="shared" si="9"/>
        <v>2Q13</v>
      </c>
      <c r="T9" s="211" t="str">
        <f t="shared" si="9"/>
        <v>3Q13</v>
      </c>
      <c r="U9" s="211" t="str">
        <f t="shared" si="9"/>
        <v>4Q13</v>
      </c>
      <c r="V9" s="211" t="str">
        <f t="shared" si="9"/>
        <v>1Q14</v>
      </c>
      <c r="W9" s="211" t="str">
        <f t="shared" si="9"/>
        <v>2Q14</v>
      </c>
      <c r="X9" s="211" t="str">
        <f t="shared" si="9"/>
        <v>3Q14</v>
      </c>
      <c r="Y9" s="211" t="str">
        <f t="shared" si="9"/>
        <v>4Q14</v>
      </c>
      <c r="Z9" s="211" t="str">
        <f t="shared" si="9"/>
        <v>1Q15</v>
      </c>
      <c r="AA9" s="211" t="str">
        <f t="shared" si="9"/>
        <v>2Q15</v>
      </c>
      <c r="AB9" s="211" t="str">
        <f t="shared" si="9"/>
        <v>3Q15</v>
      </c>
      <c r="AC9" s="211" t="str">
        <f t="shared" si="9"/>
        <v>4Q15</v>
      </c>
      <c r="AD9" s="211" t="str">
        <f t="shared" si="9"/>
        <v>1Q16</v>
      </c>
      <c r="AE9" s="211" t="str">
        <f t="shared" si="9"/>
        <v>2Q16</v>
      </c>
      <c r="AF9" s="211" t="str">
        <f t="shared" si="9"/>
        <v>3Q16</v>
      </c>
      <c r="AG9" s="211" t="str">
        <f t="shared" si="9"/>
        <v>4Q16</v>
      </c>
      <c r="AH9" s="211" t="str">
        <f t="shared" si="9"/>
        <v>1Q17</v>
      </c>
      <c r="AI9" s="211" t="str">
        <f t="shared" si="9"/>
        <v>2Q17</v>
      </c>
      <c r="AJ9" s="211" t="str">
        <f t="shared" si="9"/>
        <v>3Q17</v>
      </c>
      <c r="AK9" s="211" t="str">
        <f t="shared" si="9"/>
        <v>4Q17</v>
      </c>
      <c r="AL9" s="211" t="str">
        <f t="shared" si="9"/>
        <v>1Q18E</v>
      </c>
      <c r="AM9" s="211" t="str">
        <f t="shared" si="9"/>
        <v>2Q18E</v>
      </c>
      <c r="AN9" s="211" t="str">
        <f t="shared" si="9"/>
        <v>3Q18E</v>
      </c>
      <c r="AO9" s="211" t="str">
        <f t="shared" si="9"/>
        <v>4Q18E</v>
      </c>
      <c r="AP9" s="211" t="str">
        <f t="shared" si="9"/>
        <v>1Q19E</v>
      </c>
      <c r="AQ9" s="211" t="str">
        <f t="shared" si="9"/>
        <v>2Q19E</v>
      </c>
      <c r="AR9" s="211" t="str">
        <f t="shared" si="9"/>
        <v>3Q19E</v>
      </c>
      <c r="AS9" s="211" t="str">
        <f t="shared" si="9"/>
        <v>4Q19E</v>
      </c>
      <c r="AT9" s="211" t="str">
        <f t="shared" si="9"/>
        <v>1Q20E</v>
      </c>
      <c r="AU9" s="211" t="str">
        <f t="shared" si="9"/>
        <v>2Q20E</v>
      </c>
      <c r="AV9" s="211" t="str">
        <f t="shared" si="9"/>
        <v>3Q20E</v>
      </c>
      <c r="AW9" s="211" t="str">
        <f t="shared" si="9"/>
        <v>4Q20E</v>
      </c>
      <c r="AX9" s="210"/>
      <c r="AY9" s="210"/>
      <c r="AZ9" s="210"/>
      <c r="BA9" s="210"/>
      <c r="BB9" s="210"/>
      <c r="BC9" s="210"/>
      <c r="BD9" s="210"/>
      <c r="BE9" s="210"/>
      <c r="BF9" s="2">
        <f>BF8+1</f>
        <v>3</v>
      </c>
    </row>
    <row r="10" spans="1:58" ht="11.25" customHeight="1" outlineLevel="1">
      <c r="A10" s="50"/>
      <c r="B10" s="244" t="s">
        <v>193</v>
      </c>
      <c r="C10" s="3"/>
      <c r="D10" s="243"/>
      <c r="E10" s="243"/>
      <c r="F10" s="243"/>
      <c r="G10" s="243"/>
      <c r="H10" s="243"/>
      <c r="I10" s="243"/>
      <c r="J10" s="243"/>
      <c r="K10" s="243"/>
      <c r="L10" s="55"/>
      <c r="M10" s="3"/>
      <c r="N10" s="242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335"/>
      <c r="AM10" s="335"/>
      <c r="AN10" s="335"/>
      <c r="AO10" s="3"/>
      <c r="AP10" s="3"/>
      <c r="AQ10" s="3"/>
      <c r="AR10" s="3"/>
      <c r="AS10" s="3"/>
      <c r="AT10" s="3"/>
      <c r="AU10" s="3"/>
      <c r="AV10" s="3"/>
      <c r="AW10" s="3"/>
      <c r="AX10" s="5"/>
      <c r="AY10" s="5"/>
      <c r="AZ10" s="5"/>
      <c r="BA10" s="5"/>
      <c r="BB10" s="5"/>
      <c r="BC10" s="5"/>
      <c r="BD10" s="5"/>
      <c r="BE10" s="5"/>
      <c r="BF10" s="2">
        <f t="shared" ref="BF10:BF73" si="10">BF9+1</f>
        <v>4</v>
      </c>
    </row>
    <row r="11" spans="1:58" ht="11.25" customHeight="1" outlineLevel="1">
      <c r="A11" s="166"/>
      <c r="B11" s="46" t="s">
        <v>9</v>
      </c>
      <c r="C11" s="164">
        <f t="shared" ref="C11:K14" si="11">SUMIFS($N11:$AX11,$N$4:$AX$4,C$4)</f>
        <v>775.06600000000003</v>
      </c>
      <c r="D11" s="164">
        <f t="shared" si="11"/>
        <v>838.51400000000001</v>
      </c>
      <c r="E11" s="164">
        <f t="shared" si="11"/>
        <v>923.84899999999993</v>
      </c>
      <c r="F11" s="51">
        <f t="shared" si="11"/>
        <v>590.24300000000005</v>
      </c>
      <c r="G11" s="51">
        <f t="shared" si="11"/>
        <v>293.53000000000003</v>
      </c>
      <c r="H11" s="51">
        <f t="shared" si="11"/>
        <v>293.69</v>
      </c>
      <c r="I11" s="51">
        <f t="shared" si="11"/>
        <v>331.52487920800007</v>
      </c>
      <c r="J11" s="51">
        <f t="shared" si="11"/>
        <v>360.79458283571864</v>
      </c>
      <c r="K11" s="51">
        <f t="shared" si="11"/>
        <v>381.99659533149884</v>
      </c>
      <c r="L11" s="108"/>
      <c r="M11" s="240"/>
      <c r="N11" s="172">
        <v>189.357</v>
      </c>
      <c r="O11" s="172">
        <v>198.15</v>
      </c>
      <c r="P11" s="172">
        <v>194.88200000000001</v>
      </c>
      <c r="Q11" s="172">
        <v>192.67699999999999</v>
      </c>
      <c r="R11" s="172">
        <v>193.97900000000001</v>
      </c>
      <c r="S11" s="172">
        <v>205.422</v>
      </c>
      <c r="T11" s="172">
        <v>215.52199999999999</v>
      </c>
      <c r="U11" s="172">
        <v>223.59100000000001</v>
      </c>
      <c r="V11" s="172">
        <v>220.21</v>
      </c>
      <c r="W11" s="172">
        <v>225.982</v>
      </c>
      <c r="X11" s="129">
        <v>239.20400000000001</v>
      </c>
      <c r="Y11" s="129">
        <v>238.453</v>
      </c>
      <c r="Z11" s="129">
        <v>199.459</v>
      </c>
      <c r="AA11" s="129">
        <v>148.66999999999999</v>
      </c>
      <c r="AB11" s="129">
        <v>130.476</v>
      </c>
      <c r="AC11" s="129">
        <v>111.63800000000001</v>
      </c>
      <c r="AD11" s="129">
        <v>88.4</v>
      </c>
      <c r="AE11" s="129">
        <v>76.2</v>
      </c>
      <c r="AF11" s="129">
        <v>59.6</v>
      </c>
      <c r="AG11" s="129">
        <v>69.33</v>
      </c>
      <c r="AH11" s="129">
        <v>68.430999999999997</v>
      </c>
      <c r="AI11" s="129">
        <v>68.826999999999998</v>
      </c>
      <c r="AJ11" s="129">
        <v>77.206000000000003</v>
      </c>
      <c r="AK11" s="129">
        <v>79.225999999999999</v>
      </c>
      <c r="AL11" s="53">
        <f t="shared" ref="AL11:AW11" si="12">AK11*(1+AL47)</f>
        <v>79.392880000000005</v>
      </c>
      <c r="AM11" s="53">
        <f t="shared" si="12"/>
        <v>82.359944000000013</v>
      </c>
      <c r="AN11" s="53">
        <f t="shared" si="12"/>
        <v>84.447616400000015</v>
      </c>
      <c r="AO11" s="53">
        <f t="shared" si="12"/>
        <v>85.324438808000025</v>
      </c>
      <c r="AP11" s="53">
        <f t="shared" si="12"/>
        <v>87.229529092160035</v>
      </c>
      <c r="AQ11" s="53">
        <f t="shared" si="12"/>
        <v>89.178679227243222</v>
      </c>
      <c r="AR11" s="53">
        <f t="shared" si="12"/>
        <v>91.172949151625289</v>
      </c>
      <c r="AS11" s="53">
        <f t="shared" si="12"/>
        <v>93.213425364690096</v>
      </c>
      <c r="AT11" s="53">
        <f t="shared" si="12"/>
        <v>94.109611083495494</v>
      </c>
      <c r="AU11" s="53">
        <f t="shared" si="12"/>
        <v>95.023720516677017</v>
      </c>
      <c r="AV11" s="53">
        <f t="shared" si="12"/>
        <v>95.956112138522144</v>
      </c>
      <c r="AW11" s="53">
        <f t="shared" si="12"/>
        <v>96.907151592804183</v>
      </c>
      <c r="AX11" s="53"/>
      <c r="AY11" s="53"/>
      <c r="AZ11" s="53"/>
      <c r="BA11" s="53"/>
      <c r="BB11" s="53"/>
      <c r="BC11" s="53"/>
      <c r="BD11" s="53"/>
      <c r="BE11" s="53"/>
      <c r="BF11" s="2">
        <f t="shared" si="10"/>
        <v>5</v>
      </c>
    </row>
    <row r="12" spans="1:58" ht="11.25" customHeight="1" outlineLevel="1">
      <c r="A12" s="50"/>
      <c r="B12" s="46" t="s">
        <v>8</v>
      </c>
      <c r="C12" s="164">
        <f t="shared" si="11"/>
        <v>1593.9770000000001</v>
      </c>
      <c r="D12" s="164">
        <f t="shared" si="11"/>
        <v>1596.7040000000002</v>
      </c>
      <c r="E12" s="164">
        <f t="shared" si="11"/>
        <v>1727.904</v>
      </c>
      <c r="F12" s="51">
        <f t="shared" si="11"/>
        <v>934.01900000000001</v>
      </c>
      <c r="G12" s="51">
        <f t="shared" si="11"/>
        <v>523.96500000000003</v>
      </c>
      <c r="H12" s="51">
        <f t="shared" si="11"/>
        <v>935.18299999999999</v>
      </c>
      <c r="I12" s="51">
        <f t="shared" si="11"/>
        <v>1198.2659712</v>
      </c>
      <c r="J12" s="51">
        <f t="shared" si="11"/>
        <v>1559.4147398775051</v>
      </c>
      <c r="K12" s="51">
        <f t="shared" si="11"/>
        <v>1606.0366704217649</v>
      </c>
      <c r="L12" s="108"/>
      <c r="M12" s="240"/>
      <c r="N12" s="172">
        <v>279.67599999999999</v>
      </c>
      <c r="O12" s="172">
        <v>475.36900000000003</v>
      </c>
      <c r="P12" s="172">
        <v>421.19400000000002</v>
      </c>
      <c r="Q12" s="40">
        <v>417.738</v>
      </c>
      <c r="R12" s="40">
        <v>425.983</v>
      </c>
      <c r="S12" s="40">
        <v>398.21600000000001</v>
      </c>
      <c r="T12" s="40">
        <v>398.01600000000002</v>
      </c>
      <c r="U12" s="40">
        <v>374.48899999999998</v>
      </c>
      <c r="V12" s="40">
        <v>389.87700000000001</v>
      </c>
      <c r="W12" s="40">
        <v>398.048</v>
      </c>
      <c r="X12" s="129">
        <v>470.84899999999999</v>
      </c>
      <c r="Y12" s="129">
        <v>469.13</v>
      </c>
      <c r="Z12" s="129">
        <v>350.99200000000002</v>
      </c>
      <c r="AA12" s="129">
        <v>226.363</v>
      </c>
      <c r="AB12" s="129">
        <v>202.845</v>
      </c>
      <c r="AC12" s="129">
        <v>153.81899999999999</v>
      </c>
      <c r="AD12" s="129">
        <v>132.47200000000001</v>
      </c>
      <c r="AE12" s="129">
        <v>115.893</v>
      </c>
      <c r="AF12" s="129">
        <v>125.02200000000001</v>
      </c>
      <c r="AG12" s="129">
        <v>150.578</v>
      </c>
      <c r="AH12" s="129">
        <v>204.97900000000001</v>
      </c>
      <c r="AI12" s="129">
        <v>249.07900000000001</v>
      </c>
      <c r="AJ12" s="129">
        <v>248.405</v>
      </c>
      <c r="AK12" s="129">
        <v>232.72</v>
      </c>
      <c r="AL12" s="53">
        <f t="shared" ref="AL12:AW12" si="13">AK12*(1+AL48)</f>
        <v>237.37440000000001</v>
      </c>
      <c r="AM12" s="53">
        <f t="shared" si="13"/>
        <v>272.98055999999997</v>
      </c>
      <c r="AN12" s="53">
        <f t="shared" si="13"/>
        <v>327.57667199999997</v>
      </c>
      <c r="AO12" s="53">
        <f t="shared" si="13"/>
        <v>360.33433919999999</v>
      </c>
      <c r="AP12" s="53">
        <f t="shared" si="13"/>
        <v>378.35105615999998</v>
      </c>
      <c r="AQ12" s="53">
        <f t="shared" si="13"/>
        <v>385.91807728319998</v>
      </c>
      <c r="AR12" s="53">
        <f t="shared" si="13"/>
        <v>393.63643882886396</v>
      </c>
      <c r="AS12" s="53">
        <f t="shared" si="13"/>
        <v>401.50916760544123</v>
      </c>
      <c r="AT12" s="53">
        <f t="shared" si="13"/>
        <v>401.50916760544123</v>
      </c>
      <c r="AU12" s="53">
        <f t="shared" si="13"/>
        <v>401.50916760544123</v>
      </c>
      <c r="AV12" s="53">
        <f t="shared" si="13"/>
        <v>401.50916760544123</v>
      </c>
      <c r="AW12" s="53">
        <f t="shared" si="13"/>
        <v>401.50916760544123</v>
      </c>
      <c r="AX12" s="53"/>
      <c r="AY12" s="53"/>
      <c r="AZ12" s="53"/>
      <c r="BA12" s="53"/>
      <c r="BB12" s="53"/>
      <c r="BC12" s="53"/>
      <c r="BD12" s="53"/>
      <c r="BE12" s="53"/>
      <c r="BF12" s="2">
        <f t="shared" si="10"/>
        <v>6</v>
      </c>
    </row>
    <row r="13" spans="1:58" ht="11.25" customHeight="1" outlineLevel="1">
      <c r="A13" s="50"/>
      <c r="B13" s="241" t="s">
        <v>6</v>
      </c>
      <c r="C13" s="164">
        <f t="shared" si="11"/>
        <v>1510.9899999999998</v>
      </c>
      <c r="D13" s="164">
        <f t="shared" si="11"/>
        <v>1445.5549999999998</v>
      </c>
      <c r="E13" s="164">
        <f t="shared" si="11"/>
        <v>1356.057</v>
      </c>
      <c r="F13" s="51">
        <f t="shared" si="11"/>
        <v>759.83499999999992</v>
      </c>
      <c r="G13" s="51">
        <f t="shared" si="11"/>
        <v>348.37599999999998</v>
      </c>
      <c r="H13" s="51">
        <f t="shared" si="11"/>
        <v>372.78100000000001</v>
      </c>
      <c r="I13" s="51">
        <f t="shared" si="11"/>
        <v>472.78601456750005</v>
      </c>
      <c r="J13" s="51">
        <f t="shared" si="11"/>
        <v>542.62522734022673</v>
      </c>
      <c r="K13" s="51">
        <f t="shared" si="11"/>
        <v>591.91074193825318</v>
      </c>
      <c r="L13" s="108"/>
      <c r="M13" s="240"/>
      <c r="N13" s="172">
        <v>354.041</v>
      </c>
      <c r="O13" s="172">
        <v>413.74</v>
      </c>
      <c r="P13" s="172">
        <v>373.86799999999999</v>
      </c>
      <c r="Q13" s="40">
        <v>369.34100000000001</v>
      </c>
      <c r="R13" s="40">
        <v>367.39699999999999</v>
      </c>
      <c r="S13" s="40">
        <v>369.06599999999997</v>
      </c>
      <c r="T13" s="40">
        <v>359.72199999999998</v>
      </c>
      <c r="U13" s="40">
        <v>349.37</v>
      </c>
      <c r="V13" s="40">
        <v>321.23500000000001</v>
      </c>
      <c r="W13" s="40">
        <v>343.87599999999998</v>
      </c>
      <c r="X13" s="129">
        <v>348.79300000000001</v>
      </c>
      <c r="Y13" s="129">
        <v>342.15300000000002</v>
      </c>
      <c r="Z13" s="129">
        <v>251.46899999999999</v>
      </c>
      <c r="AA13" s="129">
        <v>208.744</v>
      </c>
      <c r="AB13" s="129">
        <v>164.001</v>
      </c>
      <c r="AC13" s="129">
        <v>135.62100000000001</v>
      </c>
      <c r="AD13" s="129">
        <f>96.746+(96.57-AD11)</f>
        <v>104.91599999999998</v>
      </c>
      <c r="AE13" s="129">
        <f>80.543+(80.633-AE11)</f>
        <v>84.975999999999999</v>
      </c>
      <c r="AF13" s="129">
        <f>73.54+(63.57-AF11)</f>
        <v>77.510000000000005</v>
      </c>
      <c r="AG13" s="129">
        <v>80.974000000000004</v>
      </c>
      <c r="AH13" s="129">
        <v>68.605000000000004</v>
      </c>
      <c r="AI13" s="129">
        <v>88.605999999999995</v>
      </c>
      <c r="AJ13" s="129">
        <v>97.332999999999998</v>
      </c>
      <c r="AK13" s="129">
        <v>118.23699999999999</v>
      </c>
      <c r="AL13" s="53">
        <f t="shared" ref="AL13:AW13" si="14">AK13*(1+AL49)</f>
        <v>109.66040000000001</v>
      </c>
      <c r="AM13" s="53">
        <f t="shared" si="14"/>
        <v>117.49932500000001</v>
      </c>
      <c r="AN13" s="53">
        <f t="shared" si="14"/>
        <v>121.28478025</v>
      </c>
      <c r="AO13" s="53">
        <f t="shared" si="14"/>
        <v>124.34150931750003</v>
      </c>
      <c r="AP13" s="53">
        <f t="shared" si="14"/>
        <v>128.69640533062503</v>
      </c>
      <c r="AQ13" s="53">
        <f t="shared" si="14"/>
        <v>133.2188032660238</v>
      </c>
      <c r="AR13" s="53">
        <f t="shared" si="14"/>
        <v>137.91568338356251</v>
      </c>
      <c r="AS13" s="53">
        <f t="shared" si="14"/>
        <v>142.79433536001537</v>
      </c>
      <c r="AT13" s="53">
        <f t="shared" si="14"/>
        <v>144.79573864585637</v>
      </c>
      <c r="AU13" s="53">
        <f t="shared" si="14"/>
        <v>146.86759989965543</v>
      </c>
      <c r="AV13" s="53">
        <f t="shared" si="14"/>
        <v>149.01284977588378</v>
      </c>
      <c r="AW13" s="53">
        <f t="shared" si="14"/>
        <v>151.23455361685765</v>
      </c>
      <c r="AX13" s="53"/>
      <c r="AY13" s="53"/>
      <c r="AZ13" s="53"/>
      <c r="BA13" s="53"/>
      <c r="BB13" s="53"/>
      <c r="BC13" s="53"/>
      <c r="BD13" s="53"/>
      <c r="BE13" s="53"/>
      <c r="BF13" s="2">
        <f t="shared" si="10"/>
        <v>7</v>
      </c>
    </row>
    <row r="14" spans="1:58" ht="11.25" customHeight="1" outlineLevel="1">
      <c r="A14" s="166"/>
      <c r="B14" s="46" t="s">
        <v>162</v>
      </c>
      <c r="C14" s="164">
        <f t="shared" si="11"/>
        <v>688.03499999999997</v>
      </c>
      <c r="D14" s="164">
        <f t="shared" si="11"/>
        <v>731.05100000000004</v>
      </c>
      <c r="E14" s="164">
        <f t="shared" si="11"/>
        <v>548.8119999999999</v>
      </c>
      <c r="F14" s="51">
        <f t="shared" si="11"/>
        <v>467.56799999999998</v>
      </c>
      <c r="G14" s="51">
        <f t="shared" si="11"/>
        <v>284.17599999999999</v>
      </c>
      <c r="H14" s="51">
        <f t="shared" si="11"/>
        <v>272.42200000000003</v>
      </c>
      <c r="I14" s="51">
        <f t="shared" si="11"/>
        <v>228.48945354100002</v>
      </c>
      <c r="J14" s="51">
        <f t="shared" si="11"/>
        <v>246.46846785919658</v>
      </c>
      <c r="K14" s="51">
        <f t="shared" si="11"/>
        <v>268.87382184782439</v>
      </c>
      <c r="L14" s="108"/>
      <c r="M14" s="240"/>
      <c r="N14" s="172">
        <v>143.76300000000001</v>
      </c>
      <c r="O14" s="172">
        <v>156.06</v>
      </c>
      <c r="P14" s="172">
        <v>189.721</v>
      </c>
      <c r="Q14" s="172">
        <v>198.49100000000001</v>
      </c>
      <c r="R14" s="172">
        <v>148.12</v>
      </c>
      <c r="S14" s="172">
        <v>187.00899999999999</v>
      </c>
      <c r="T14" s="172">
        <v>215.35499999999999</v>
      </c>
      <c r="U14" s="172">
        <v>180.56700000000001</v>
      </c>
      <c r="V14" s="172">
        <v>130.096</v>
      </c>
      <c r="W14" s="172">
        <v>139.64599999999999</v>
      </c>
      <c r="X14" s="129">
        <v>150.18</v>
      </c>
      <c r="Y14" s="129">
        <v>128.88999999999999</v>
      </c>
      <c r="Z14" s="129">
        <v>115.315</v>
      </c>
      <c r="AA14" s="129">
        <v>127.00700000000001</v>
      </c>
      <c r="AB14" s="129">
        <v>104.074</v>
      </c>
      <c r="AC14" s="129">
        <f>144.072-22.9</f>
        <v>121.172</v>
      </c>
      <c r="AD14" s="129">
        <v>87.344999999999999</v>
      </c>
      <c r="AE14" s="129">
        <v>79.201999999999998</v>
      </c>
      <c r="AF14" s="129">
        <v>64.093000000000004</v>
      </c>
      <c r="AG14" s="129">
        <v>53.536000000000001</v>
      </c>
      <c r="AH14" s="129">
        <v>58.920999999999999</v>
      </c>
      <c r="AI14" s="129">
        <v>63.555999999999997</v>
      </c>
      <c r="AJ14" s="129">
        <v>83.084999999999994</v>
      </c>
      <c r="AK14" s="129">
        <v>66.86</v>
      </c>
      <c r="AL14" s="53">
        <f t="shared" ref="AL14:AW14" si="15">AK14*(1+AL50)</f>
        <v>58.431160000000006</v>
      </c>
      <c r="AM14" s="53">
        <f t="shared" si="15"/>
        <v>55.807430400000001</v>
      </c>
      <c r="AN14" s="53">
        <f t="shared" si="15"/>
        <v>56.676061620000013</v>
      </c>
      <c r="AO14" s="53">
        <f t="shared" si="15"/>
        <v>57.574801521000012</v>
      </c>
      <c r="AP14" s="53">
        <f t="shared" si="15"/>
        <v>59.002583423915532</v>
      </c>
      <c r="AQ14" s="53">
        <f t="shared" si="15"/>
        <v>60.70824025314257</v>
      </c>
      <c r="AR14" s="53">
        <f t="shared" si="15"/>
        <v>62.469436934495043</v>
      </c>
      <c r="AS14" s="53">
        <f t="shared" si="15"/>
        <v>64.288207247643442</v>
      </c>
      <c r="AT14" s="53">
        <f t="shared" si="15"/>
        <v>65.642871691628841</v>
      </c>
      <c r="AU14" s="53">
        <f t="shared" si="15"/>
        <v>66.681191366811817</v>
      </c>
      <c r="AV14" s="53">
        <f t="shared" si="15"/>
        <v>67.737532057911963</v>
      </c>
      <c r="AW14" s="53">
        <f t="shared" si="15"/>
        <v>68.812226731471753</v>
      </c>
      <c r="AX14" s="53"/>
      <c r="AY14" s="53"/>
      <c r="AZ14" s="53"/>
      <c r="BA14" s="53"/>
      <c r="BB14" s="53"/>
      <c r="BC14" s="53"/>
      <c r="BD14" s="53"/>
      <c r="BE14" s="53"/>
      <c r="BF14" s="2">
        <f t="shared" si="10"/>
        <v>8</v>
      </c>
    </row>
    <row r="15" spans="1:58" ht="11.25" customHeight="1" outlineLevel="1">
      <c r="A15" s="237"/>
      <c r="B15" s="236" t="s">
        <v>161</v>
      </c>
      <c r="C15" s="233">
        <f t="shared" ref="C15:K15" si="16">SUM(C11:C14)</f>
        <v>4568.0680000000002</v>
      </c>
      <c r="D15" s="233">
        <f t="shared" si="16"/>
        <v>4611.8240000000005</v>
      </c>
      <c r="E15" s="233">
        <f t="shared" si="16"/>
        <v>4556.6219999999994</v>
      </c>
      <c r="F15" s="233">
        <f t="shared" si="16"/>
        <v>2751.665</v>
      </c>
      <c r="G15" s="233">
        <f t="shared" si="16"/>
        <v>1450.047</v>
      </c>
      <c r="H15" s="233">
        <f t="shared" si="16"/>
        <v>1874.076</v>
      </c>
      <c r="I15" s="233">
        <f t="shared" si="16"/>
        <v>2231.0663185164999</v>
      </c>
      <c r="J15" s="233">
        <f t="shared" si="16"/>
        <v>2709.3030179126472</v>
      </c>
      <c r="K15" s="233">
        <f t="shared" si="16"/>
        <v>2848.8178295393413</v>
      </c>
      <c r="L15" s="235"/>
      <c r="M15" s="164"/>
      <c r="N15" s="233">
        <f t="shared" ref="N15:AW15" si="17">SUM(N11:N14)</f>
        <v>966.8370000000001</v>
      </c>
      <c r="O15" s="233">
        <f t="shared" si="17"/>
        <v>1243.319</v>
      </c>
      <c r="P15" s="233">
        <f t="shared" si="17"/>
        <v>1179.665</v>
      </c>
      <c r="Q15" s="233">
        <f t="shared" si="17"/>
        <v>1178.2470000000001</v>
      </c>
      <c r="R15" s="233">
        <f t="shared" si="17"/>
        <v>1135.4789999999998</v>
      </c>
      <c r="S15" s="233">
        <f t="shared" si="17"/>
        <v>1159.713</v>
      </c>
      <c r="T15" s="233">
        <f t="shared" si="17"/>
        <v>1188.615</v>
      </c>
      <c r="U15" s="233">
        <f t="shared" si="17"/>
        <v>1128.0169999999998</v>
      </c>
      <c r="V15" s="233">
        <f t="shared" si="17"/>
        <v>1061.4180000000001</v>
      </c>
      <c r="W15" s="233">
        <f t="shared" si="17"/>
        <v>1107.5519999999999</v>
      </c>
      <c r="X15" s="233">
        <f t="shared" si="17"/>
        <v>1209.0260000000001</v>
      </c>
      <c r="Y15" s="233">
        <f t="shared" si="17"/>
        <v>1178.6259999999997</v>
      </c>
      <c r="Z15" s="233">
        <f t="shared" si="17"/>
        <v>917.23500000000013</v>
      </c>
      <c r="AA15" s="233">
        <f t="shared" si="17"/>
        <v>710.78400000000011</v>
      </c>
      <c r="AB15" s="233">
        <f t="shared" si="17"/>
        <v>601.39599999999996</v>
      </c>
      <c r="AC15" s="233">
        <f t="shared" si="17"/>
        <v>522.25</v>
      </c>
      <c r="AD15" s="233">
        <f t="shared" si="17"/>
        <v>413.13300000000004</v>
      </c>
      <c r="AE15" s="233">
        <f t="shared" si="17"/>
        <v>356.27100000000002</v>
      </c>
      <c r="AF15" s="233">
        <f t="shared" si="17"/>
        <v>326.22500000000002</v>
      </c>
      <c r="AG15" s="233">
        <f t="shared" si="17"/>
        <v>354.41800000000001</v>
      </c>
      <c r="AH15" s="233">
        <f t="shared" si="17"/>
        <v>400.93600000000004</v>
      </c>
      <c r="AI15" s="233">
        <f t="shared" si="17"/>
        <v>470.06799999999998</v>
      </c>
      <c r="AJ15" s="233">
        <f t="shared" si="17"/>
        <v>506.02899999999994</v>
      </c>
      <c r="AK15" s="233">
        <f t="shared" si="17"/>
        <v>497.04300000000001</v>
      </c>
      <c r="AL15" s="233">
        <f t="shared" si="17"/>
        <v>484.85883999999999</v>
      </c>
      <c r="AM15" s="233">
        <f t="shared" si="17"/>
        <v>528.64725940000005</v>
      </c>
      <c r="AN15" s="233">
        <f t="shared" si="17"/>
        <v>589.98513027000001</v>
      </c>
      <c r="AO15" s="233">
        <f t="shared" si="17"/>
        <v>627.57508884650008</v>
      </c>
      <c r="AP15" s="233">
        <f t="shared" si="17"/>
        <v>653.27957400670061</v>
      </c>
      <c r="AQ15" s="233">
        <f t="shared" si="17"/>
        <v>669.02380002960956</v>
      </c>
      <c r="AR15" s="233">
        <f t="shared" si="17"/>
        <v>685.19450829854679</v>
      </c>
      <c r="AS15" s="233">
        <f t="shared" si="17"/>
        <v>701.80513557779011</v>
      </c>
      <c r="AT15" s="233">
        <f t="shared" si="17"/>
        <v>706.05738902642202</v>
      </c>
      <c r="AU15" s="233">
        <f t="shared" si="17"/>
        <v>710.0816793885856</v>
      </c>
      <c r="AV15" s="233">
        <f t="shared" si="17"/>
        <v>714.21566157775908</v>
      </c>
      <c r="AW15" s="233">
        <f t="shared" si="17"/>
        <v>718.46309954657477</v>
      </c>
      <c r="AX15" s="232"/>
      <c r="AY15" s="232"/>
      <c r="AZ15" s="232"/>
      <c r="BA15" s="232"/>
      <c r="BB15" s="232"/>
      <c r="BC15" s="232"/>
      <c r="BD15" s="232"/>
      <c r="BE15" s="232"/>
      <c r="BF15" s="2">
        <f t="shared" si="10"/>
        <v>9</v>
      </c>
    </row>
    <row r="16" spans="1:58" ht="3" customHeight="1" outlineLevel="1">
      <c r="A16" s="237"/>
      <c r="B16" s="238"/>
      <c r="C16" s="232"/>
      <c r="D16" s="245"/>
      <c r="E16" s="245"/>
      <c r="F16" s="245"/>
      <c r="G16" s="245"/>
      <c r="H16" s="245"/>
      <c r="I16" s="245"/>
      <c r="J16" s="245"/>
      <c r="K16" s="245"/>
      <c r="L16" s="235"/>
      <c r="M16" s="164"/>
      <c r="N16" s="232"/>
      <c r="O16" s="232"/>
      <c r="P16" s="232"/>
      <c r="Q16" s="232"/>
      <c r="R16" s="232"/>
      <c r="S16" s="232"/>
      <c r="T16" s="232"/>
      <c r="U16" s="232"/>
      <c r="V16" s="232"/>
      <c r="W16" s="232"/>
      <c r="X16" s="232"/>
      <c r="Y16" s="232"/>
      <c r="Z16" s="232"/>
      <c r="AA16" s="232"/>
      <c r="AB16" s="232"/>
      <c r="AC16" s="232"/>
      <c r="AD16" s="232"/>
      <c r="AE16" s="232"/>
      <c r="AF16" s="232"/>
      <c r="AG16" s="232"/>
      <c r="AH16" s="232"/>
      <c r="AI16" s="232"/>
      <c r="AJ16" s="232"/>
      <c r="AK16" s="232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8"/>
      <c r="AY16" s="18"/>
      <c r="AZ16" s="18"/>
      <c r="BA16" s="18"/>
      <c r="BB16" s="18"/>
      <c r="BC16" s="18"/>
      <c r="BD16" s="18"/>
      <c r="BE16" s="18"/>
      <c r="BF16" s="2">
        <f t="shared" si="10"/>
        <v>10</v>
      </c>
    </row>
    <row r="17" spans="1:58" ht="11.25" customHeight="1" outlineLevel="1">
      <c r="A17" s="50"/>
      <c r="B17" s="244" t="s">
        <v>192</v>
      </c>
      <c r="C17" s="3"/>
      <c r="D17" s="243"/>
      <c r="E17" s="243"/>
      <c r="F17" s="243"/>
      <c r="G17" s="243"/>
      <c r="H17" s="243"/>
      <c r="I17" s="294"/>
      <c r="J17" s="243"/>
      <c r="K17" s="243"/>
      <c r="L17" s="55"/>
      <c r="M17" s="3"/>
      <c r="N17" s="242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6"/>
      <c r="AA17" s="6"/>
      <c r="AB17" s="6"/>
      <c r="AC17" s="6"/>
      <c r="AD17" s="6"/>
      <c r="AE17" s="6"/>
      <c r="AF17" s="6"/>
      <c r="AG17" s="128"/>
      <c r="AH17" s="128"/>
      <c r="AI17" s="128"/>
      <c r="AJ17" s="128"/>
      <c r="AK17" s="128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5"/>
      <c r="AY17" s="5"/>
      <c r="AZ17" s="5"/>
      <c r="BA17" s="5"/>
      <c r="BB17" s="5"/>
      <c r="BC17" s="5"/>
      <c r="BD17" s="5"/>
      <c r="BE17" s="5"/>
      <c r="BF17" s="2">
        <f t="shared" si="10"/>
        <v>11</v>
      </c>
    </row>
    <row r="18" spans="1:58" ht="11.25" customHeight="1" outlineLevel="1">
      <c r="A18" s="237"/>
      <c r="B18" s="46" t="s">
        <v>9</v>
      </c>
      <c r="C18" s="164">
        <f t="shared" ref="C18:K21" si="18">SUMIFS($N18:$AX18,$N$4:$AX$4,C$4)</f>
        <v>387.41500000000008</v>
      </c>
      <c r="D18" s="164">
        <f t="shared" si="18"/>
        <v>416.798</v>
      </c>
      <c r="E18" s="162">
        <f t="shared" si="18"/>
        <v>477.90200000000004</v>
      </c>
      <c r="F18" s="162">
        <f t="shared" si="18"/>
        <v>259.69799999999998</v>
      </c>
      <c r="G18" s="324">
        <f t="shared" si="18"/>
        <v>83.895999999999987</v>
      </c>
      <c r="H18" s="162">
        <f t="shared" si="18"/>
        <v>114.04399999999998</v>
      </c>
      <c r="I18" s="51">
        <f t="shared" si="18"/>
        <v>132.60995168320002</v>
      </c>
      <c r="J18" s="51">
        <f t="shared" si="18"/>
        <v>148.87763031658886</v>
      </c>
      <c r="K18" s="51">
        <f t="shared" si="18"/>
        <v>160.43857003922955</v>
      </c>
      <c r="L18" s="165"/>
      <c r="M18" s="240"/>
      <c r="N18" s="164">
        <f t="shared" ref="N18:AG18" si="19">+N26-N352</f>
        <v>93.388999999999996</v>
      </c>
      <c r="O18" s="164">
        <f t="shared" si="19"/>
        <v>96.572000000000003</v>
      </c>
      <c r="P18" s="164">
        <f t="shared" si="19"/>
        <v>100.54300000000001</v>
      </c>
      <c r="Q18" s="164">
        <f t="shared" si="19"/>
        <v>96.91100000000003</v>
      </c>
      <c r="R18" s="164">
        <f t="shared" si="19"/>
        <v>97.941000000000003</v>
      </c>
      <c r="S18" s="164">
        <f t="shared" si="19"/>
        <v>101.66800000000001</v>
      </c>
      <c r="T18" s="164">
        <f t="shared" si="19"/>
        <v>104.63200000000001</v>
      </c>
      <c r="U18" s="164">
        <f t="shared" si="19"/>
        <v>112.55699999999999</v>
      </c>
      <c r="V18" s="164">
        <f t="shared" si="19"/>
        <v>111.898</v>
      </c>
      <c r="W18" s="164">
        <f t="shared" si="19"/>
        <v>114.292</v>
      </c>
      <c r="X18" s="164">
        <f t="shared" si="19"/>
        <v>126.01400000000001</v>
      </c>
      <c r="Y18" s="164">
        <f t="shared" si="19"/>
        <v>125.69800000000001</v>
      </c>
      <c r="Z18" s="164">
        <f t="shared" si="19"/>
        <v>96.248000000000005</v>
      </c>
      <c r="AA18" s="164">
        <f t="shared" si="19"/>
        <v>68.757000000000005</v>
      </c>
      <c r="AB18" s="164">
        <f t="shared" si="19"/>
        <v>56.232999999999997</v>
      </c>
      <c r="AC18" s="164">
        <f t="shared" si="19"/>
        <v>38.459999999999994</v>
      </c>
      <c r="AD18" s="164">
        <f t="shared" si="19"/>
        <v>30.562000000000001</v>
      </c>
      <c r="AE18" s="164">
        <f t="shared" si="19"/>
        <v>22.713999999999999</v>
      </c>
      <c r="AF18" s="164">
        <f t="shared" si="19"/>
        <v>15.926000000000002</v>
      </c>
      <c r="AG18" s="324">
        <f t="shared" si="19"/>
        <v>14.693999999999983</v>
      </c>
      <c r="AH18" s="172">
        <v>26.407</v>
      </c>
      <c r="AI18" s="172">
        <v>23.085999999999999</v>
      </c>
      <c r="AJ18" s="172">
        <v>33.003999999999998</v>
      </c>
      <c r="AK18" s="172">
        <v>31.547000000000001</v>
      </c>
      <c r="AL18" s="164">
        <f t="shared" ref="AL18:AW18" si="20">+AL11*AL52</f>
        <v>31.757152000000005</v>
      </c>
      <c r="AM18" s="164">
        <f t="shared" si="20"/>
        <v>32.943977600000004</v>
      </c>
      <c r="AN18" s="164">
        <f t="shared" si="20"/>
        <v>33.779046560000005</v>
      </c>
      <c r="AO18" s="164">
        <f t="shared" si="20"/>
        <v>34.12977552320001</v>
      </c>
      <c r="AP18" s="164">
        <f t="shared" si="20"/>
        <v>35.327959282324819</v>
      </c>
      <c r="AQ18" s="164">
        <f t="shared" si="20"/>
        <v>36.563258483169726</v>
      </c>
      <c r="AR18" s="164">
        <f t="shared" si="20"/>
        <v>37.836773897924495</v>
      </c>
      <c r="AS18" s="164">
        <f t="shared" si="20"/>
        <v>39.149638653169845</v>
      </c>
      <c r="AT18" s="164">
        <f t="shared" si="20"/>
        <v>39.526036655068111</v>
      </c>
      <c r="AU18" s="164">
        <f t="shared" si="20"/>
        <v>39.909962617004354</v>
      </c>
      <c r="AV18" s="164">
        <f t="shared" si="20"/>
        <v>40.301567098179305</v>
      </c>
      <c r="AW18" s="164">
        <f t="shared" si="20"/>
        <v>40.701003668977762</v>
      </c>
      <c r="AX18" s="162"/>
      <c r="AY18" s="162"/>
      <c r="AZ18" s="162"/>
      <c r="BA18" s="162"/>
      <c r="BB18" s="162"/>
      <c r="BC18" s="162"/>
      <c r="BD18" s="162"/>
      <c r="BE18" s="162"/>
      <c r="BF18" s="2">
        <f t="shared" si="10"/>
        <v>12</v>
      </c>
    </row>
    <row r="19" spans="1:58" ht="11.25" customHeight="1" outlineLevel="1">
      <c r="A19" s="237"/>
      <c r="B19" s="46" t="s">
        <v>8</v>
      </c>
      <c r="C19" s="164">
        <f t="shared" si="18"/>
        <v>368.32799999999997</v>
      </c>
      <c r="D19" s="164">
        <f t="shared" si="18"/>
        <v>359.87200000000001</v>
      </c>
      <c r="E19" s="162">
        <f t="shared" si="18"/>
        <v>367.08200000000005</v>
      </c>
      <c r="F19" s="162">
        <f t="shared" si="18"/>
        <v>61.818999999999996</v>
      </c>
      <c r="G19" s="324">
        <f t="shared" si="18"/>
        <v>-72.713000000000008</v>
      </c>
      <c r="H19" s="162">
        <f t="shared" si="18"/>
        <v>98.835999999999999</v>
      </c>
      <c r="I19" s="51">
        <f t="shared" si="18"/>
        <v>237.88475496000001</v>
      </c>
      <c r="J19" s="51">
        <f t="shared" si="18"/>
        <v>358.66539017182617</v>
      </c>
      <c r="K19" s="51">
        <f t="shared" si="18"/>
        <v>369.38843419700595</v>
      </c>
      <c r="L19" s="165"/>
      <c r="M19" s="240"/>
      <c r="N19" s="164">
        <f t="shared" ref="N19:AG19" si="21">+N27-N374</f>
        <v>36.866999999999997</v>
      </c>
      <c r="O19" s="164">
        <f t="shared" si="21"/>
        <v>131.994</v>
      </c>
      <c r="P19" s="164">
        <f t="shared" si="21"/>
        <v>100.30500000000001</v>
      </c>
      <c r="Q19" s="164">
        <f t="shared" si="21"/>
        <v>99.162000000000006</v>
      </c>
      <c r="R19" s="164">
        <f t="shared" si="21"/>
        <v>103.53</v>
      </c>
      <c r="S19" s="164">
        <f t="shared" si="21"/>
        <v>98.431999999999988</v>
      </c>
      <c r="T19" s="164">
        <f t="shared" si="21"/>
        <v>86.033999999999992</v>
      </c>
      <c r="U19" s="164">
        <f t="shared" si="21"/>
        <v>71.876000000000019</v>
      </c>
      <c r="V19" s="164">
        <f t="shared" si="21"/>
        <v>66.674000000000007</v>
      </c>
      <c r="W19" s="164">
        <f t="shared" si="21"/>
        <v>87.13</v>
      </c>
      <c r="X19" s="164">
        <f t="shared" si="21"/>
        <v>113.791</v>
      </c>
      <c r="Y19" s="164">
        <f t="shared" si="21"/>
        <v>99.487000000000023</v>
      </c>
      <c r="Z19" s="164">
        <f t="shared" si="21"/>
        <v>58.585000000000001</v>
      </c>
      <c r="AA19" s="164">
        <f t="shared" si="21"/>
        <v>11.189</v>
      </c>
      <c r="AB19" s="164">
        <f t="shared" si="21"/>
        <v>0.35300000000000153</v>
      </c>
      <c r="AC19" s="164">
        <f t="shared" si="21"/>
        <v>-8.308000000000014</v>
      </c>
      <c r="AD19" s="164">
        <f t="shared" si="21"/>
        <v>-11.064</v>
      </c>
      <c r="AE19" s="164">
        <f t="shared" si="21"/>
        <v>-15.297000000000004</v>
      </c>
      <c r="AF19" s="164">
        <f t="shared" si="21"/>
        <v>-22.055</v>
      </c>
      <c r="AG19" s="324">
        <f t="shared" si="21"/>
        <v>-24.297000000000004</v>
      </c>
      <c r="AH19" s="172">
        <v>1.9E-2</v>
      </c>
      <c r="AI19" s="172">
        <v>30.254000000000001</v>
      </c>
      <c r="AJ19" s="172">
        <v>27.251999999999999</v>
      </c>
      <c r="AK19" s="172">
        <v>41.311</v>
      </c>
      <c r="AL19" s="164">
        <f t="shared" ref="AL19:AW19" si="22">+AL12*AL53</f>
        <v>35.606160000000003</v>
      </c>
      <c r="AM19" s="164">
        <f t="shared" si="22"/>
        <v>49.136500799999993</v>
      </c>
      <c r="AN19" s="164">
        <f t="shared" si="22"/>
        <v>72.06686784</v>
      </c>
      <c r="AO19" s="164">
        <f t="shared" si="22"/>
        <v>81.075226319999999</v>
      </c>
      <c r="AP19" s="164">
        <f t="shared" si="22"/>
        <v>87.020742916800003</v>
      </c>
      <c r="AQ19" s="164">
        <f t="shared" si="22"/>
        <v>88.761157775135999</v>
      </c>
      <c r="AR19" s="164">
        <f t="shared" si="22"/>
        <v>90.536380930638714</v>
      </c>
      <c r="AS19" s="164">
        <f t="shared" si="22"/>
        <v>92.347108549251487</v>
      </c>
      <c r="AT19" s="164">
        <f t="shared" si="22"/>
        <v>92.347108549251487</v>
      </c>
      <c r="AU19" s="164">
        <f t="shared" si="22"/>
        <v>92.347108549251487</v>
      </c>
      <c r="AV19" s="164">
        <f t="shared" si="22"/>
        <v>92.347108549251487</v>
      </c>
      <c r="AW19" s="164">
        <f t="shared" si="22"/>
        <v>92.347108549251487</v>
      </c>
      <c r="AX19" s="162"/>
      <c r="AY19" s="162"/>
      <c r="AZ19" s="162"/>
      <c r="BA19" s="162"/>
      <c r="BB19" s="162"/>
      <c r="BC19" s="162"/>
      <c r="BD19" s="162"/>
      <c r="BE19" s="162"/>
      <c r="BF19" s="2">
        <f t="shared" si="10"/>
        <v>13</v>
      </c>
    </row>
    <row r="20" spans="1:58" ht="11.25" customHeight="1" outlineLevel="1">
      <c r="A20" s="237"/>
      <c r="B20" s="241" t="s">
        <v>6</v>
      </c>
      <c r="C20" s="164">
        <f t="shared" si="18"/>
        <v>370.14500000000004</v>
      </c>
      <c r="D20" s="164">
        <f t="shared" si="18"/>
        <v>247.41900000000001</v>
      </c>
      <c r="E20" s="162">
        <f t="shared" si="18"/>
        <v>220.684</v>
      </c>
      <c r="F20" s="162">
        <f t="shared" si="18"/>
        <v>39.655000000000001</v>
      </c>
      <c r="G20" s="324">
        <f t="shared" si="18"/>
        <v>4.4749999999999979</v>
      </c>
      <c r="H20" s="162">
        <f t="shared" si="18"/>
        <v>20.869999999999997</v>
      </c>
      <c r="I20" s="51">
        <f t="shared" si="18"/>
        <v>55.842650742525009</v>
      </c>
      <c r="J20" s="51">
        <f t="shared" si="18"/>
        <v>77.441571571496581</v>
      </c>
      <c r="K20" s="51">
        <f t="shared" si="18"/>
        <v>88.786611290737994</v>
      </c>
      <c r="L20" s="165"/>
      <c r="M20" s="240"/>
      <c r="N20" s="164">
        <f t="shared" ref="N20:AG20" si="23">+N28-N421</f>
        <v>101.483</v>
      </c>
      <c r="O20" s="164">
        <f t="shared" si="23"/>
        <v>116.55000000000001</v>
      </c>
      <c r="P20" s="164">
        <f t="shared" si="23"/>
        <v>83.532000000000011</v>
      </c>
      <c r="Q20" s="164">
        <f t="shared" si="23"/>
        <v>68.58</v>
      </c>
      <c r="R20" s="164">
        <f t="shared" si="23"/>
        <v>70.224000000000004</v>
      </c>
      <c r="S20" s="164">
        <f t="shared" si="23"/>
        <v>66.775999999999996</v>
      </c>
      <c r="T20" s="164">
        <f t="shared" si="23"/>
        <v>61.261000000000003</v>
      </c>
      <c r="U20" s="164">
        <f t="shared" si="23"/>
        <v>49.158000000000008</v>
      </c>
      <c r="V20" s="164">
        <f t="shared" si="23"/>
        <v>46.822000000000003</v>
      </c>
      <c r="W20" s="164">
        <f t="shared" si="23"/>
        <v>67.513999999999996</v>
      </c>
      <c r="X20" s="164">
        <f t="shared" si="23"/>
        <v>54.599000000000004</v>
      </c>
      <c r="Y20" s="164">
        <f t="shared" si="23"/>
        <v>51.749000000000002</v>
      </c>
      <c r="Z20" s="164">
        <f t="shared" si="23"/>
        <v>16.472999999999995</v>
      </c>
      <c r="AA20" s="164">
        <f t="shared" si="23"/>
        <v>15.693999999999999</v>
      </c>
      <c r="AB20" s="164">
        <f t="shared" si="23"/>
        <v>5.2449999999999974</v>
      </c>
      <c r="AC20" s="164">
        <f t="shared" si="23"/>
        <v>2.2430000000000092</v>
      </c>
      <c r="AD20" s="164">
        <f t="shared" si="23"/>
        <v>6.9569999999999972</v>
      </c>
      <c r="AE20" s="164">
        <f t="shared" si="23"/>
        <v>-0.46399999999999864</v>
      </c>
      <c r="AF20" s="164">
        <f t="shared" si="23"/>
        <v>-8.9810000000000088</v>
      </c>
      <c r="AG20" s="324">
        <f t="shared" si="23"/>
        <v>6.9630000000000081</v>
      </c>
      <c r="AH20" s="172">
        <v>-3.456</v>
      </c>
      <c r="AI20" s="172">
        <v>5.343</v>
      </c>
      <c r="AJ20" s="172">
        <v>6.5629999999999997</v>
      </c>
      <c r="AK20" s="172">
        <v>12.42</v>
      </c>
      <c r="AL20" s="164">
        <f t="shared" ref="AL20:AW20" si="24">+AL13*AL54</f>
        <v>10.417738000000002</v>
      </c>
      <c r="AM20" s="164">
        <f t="shared" si="24"/>
        <v>14.099919000000002</v>
      </c>
      <c r="AN20" s="164">
        <f t="shared" si="24"/>
        <v>15.16059753125</v>
      </c>
      <c r="AO20" s="164">
        <f t="shared" si="24"/>
        <v>16.164396211275005</v>
      </c>
      <c r="AP20" s="164">
        <f t="shared" si="24"/>
        <v>17.374014719634381</v>
      </c>
      <c r="AQ20" s="164">
        <f t="shared" si="24"/>
        <v>18.650632457243333</v>
      </c>
      <c r="AR20" s="164">
        <f t="shared" si="24"/>
        <v>19.997774090616566</v>
      </c>
      <c r="AS20" s="164">
        <f t="shared" si="24"/>
        <v>21.419150304002308</v>
      </c>
      <c r="AT20" s="164">
        <f t="shared" si="24"/>
        <v>21.719360796878458</v>
      </c>
      <c r="AU20" s="164">
        <f t="shared" si="24"/>
        <v>22.030139984948317</v>
      </c>
      <c r="AV20" s="164">
        <f t="shared" si="24"/>
        <v>22.35192746638257</v>
      </c>
      <c r="AW20" s="164">
        <f t="shared" si="24"/>
        <v>22.685183042528653</v>
      </c>
      <c r="AX20" s="162"/>
      <c r="AY20" s="162"/>
      <c r="AZ20" s="162"/>
      <c r="BA20" s="162"/>
      <c r="BB20" s="162"/>
      <c r="BC20" s="162"/>
      <c r="BD20" s="162"/>
      <c r="BE20" s="162"/>
      <c r="BF20" s="2">
        <f t="shared" si="10"/>
        <v>14</v>
      </c>
    </row>
    <row r="21" spans="1:58" ht="11.25" customHeight="1" outlineLevel="1">
      <c r="A21" s="237"/>
      <c r="B21" s="46" t="s">
        <v>162</v>
      </c>
      <c r="C21" s="164">
        <f t="shared" si="18"/>
        <v>89.915000000000006</v>
      </c>
      <c r="D21" s="164">
        <f t="shared" si="18"/>
        <v>59.719000000000001</v>
      </c>
      <c r="E21" s="162">
        <f t="shared" si="18"/>
        <v>131.75</v>
      </c>
      <c r="F21" s="162">
        <f t="shared" si="18"/>
        <v>60.693000000000005</v>
      </c>
      <c r="G21" s="324">
        <f t="shared" si="18"/>
        <v>24.486000000000004</v>
      </c>
      <c r="H21" s="162">
        <f t="shared" si="18"/>
        <v>45.265999999999998</v>
      </c>
      <c r="I21" s="51">
        <f t="shared" si="18"/>
        <v>24.575642858100004</v>
      </c>
      <c r="J21" s="51">
        <f t="shared" si="18"/>
        <v>24.646846785919664</v>
      </c>
      <c r="K21" s="51">
        <f t="shared" si="18"/>
        <v>26.887382184782435</v>
      </c>
      <c r="L21" s="165"/>
      <c r="M21" s="240"/>
      <c r="N21" s="164">
        <f t="shared" ref="N21:AG21" si="25">+N29-N443</f>
        <v>12.31</v>
      </c>
      <c r="O21" s="164">
        <f t="shared" si="25"/>
        <v>29.4</v>
      </c>
      <c r="P21" s="164">
        <f t="shared" si="25"/>
        <v>23.219000000000001</v>
      </c>
      <c r="Q21" s="164">
        <f t="shared" si="25"/>
        <v>24.986000000000004</v>
      </c>
      <c r="R21" s="164">
        <f t="shared" si="25"/>
        <v>1.4630000000000001</v>
      </c>
      <c r="S21" s="164">
        <f t="shared" si="25"/>
        <v>18.439999999999998</v>
      </c>
      <c r="T21" s="164">
        <f t="shared" si="25"/>
        <v>24.753999999999998</v>
      </c>
      <c r="U21" s="164">
        <f t="shared" si="25"/>
        <v>15.062000000000006</v>
      </c>
      <c r="V21" s="164">
        <f t="shared" si="25"/>
        <v>28.5</v>
      </c>
      <c r="W21" s="164">
        <f t="shared" si="25"/>
        <v>41.47</v>
      </c>
      <c r="X21" s="164">
        <f t="shared" si="25"/>
        <v>38.070999999999998</v>
      </c>
      <c r="Y21" s="164">
        <f t="shared" si="25"/>
        <v>23.709000000000003</v>
      </c>
      <c r="Z21" s="164">
        <f t="shared" si="25"/>
        <v>12.721</v>
      </c>
      <c r="AA21" s="164">
        <f t="shared" si="25"/>
        <v>19.95</v>
      </c>
      <c r="AB21" s="164">
        <f t="shared" si="25"/>
        <v>6.3920000000000003</v>
      </c>
      <c r="AC21" s="164">
        <f t="shared" si="25"/>
        <v>21.630000000000003</v>
      </c>
      <c r="AD21" s="164">
        <f t="shared" si="25"/>
        <v>13.484</v>
      </c>
      <c r="AE21" s="164">
        <f t="shared" si="25"/>
        <v>15.338000000000001</v>
      </c>
      <c r="AF21" s="164">
        <f t="shared" si="25"/>
        <v>0.67099999999999937</v>
      </c>
      <c r="AG21" s="324">
        <f t="shared" si="25"/>
        <v>-5.0069999999999997</v>
      </c>
      <c r="AH21" s="172">
        <v>6.8940000000000001</v>
      </c>
      <c r="AI21" s="172">
        <v>9.3260000000000005</v>
      </c>
      <c r="AJ21" s="172">
        <v>21.024000000000001</v>
      </c>
      <c r="AK21" s="172">
        <v>8.0220000000000002</v>
      </c>
      <c r="AL21" s="164">
        <f t="shared" ref="AL21:AW21" si="26">+AL14*AL55</f>
        <v>7.0117392000000001</v>
      </c>
      <c r="AM21" s="164">
        <f t="shared" si="26"/>
        <v>6.1388173440000005</v>
      </c>
      <c r="AN21" s="164">
        <f t="shared" si="26"/>
        <v>5.667606162000002</v>
      </c>
      <c r="AO21" s="164">
        <f t="shared" si="26"/>
        <v>5.7574801521000012</v>
      </c>
      <c r="AP21" s="164">
        <f t="shared" si="26"/>
        <v>5.9002583423915533</v>
      </c>
      <c r="AQ21" s="164">
        <f t="shared" si="26"/>
        <v>6.0708240253142574</v>
      </c>
      <c r="AR21" s="164">
        <f t="shared" si="26"/>
        <v>6.2469436934495048</v>
      </c>
      <c r="AS21" s="164">
        <f t="shared" si="26"/>
        <v>6.4288207247643445</v>
      </c>
      <c r="AT21" s="164">
        <f t="shared" si="26"/>
        <v>6.5642871691628848</v>
      </c>
      <c r="AU21" s="164">
        <f t="shared" si="26"/>
        <v>6.6681191366811818</v>
      </c>
      <c r="AV21" s="164">
        <f t="shared" si="26"/>
        <v>6.7737532057911967</v>
      </c>
      <c r="AW21" s="164">
        <f t="shared" si="26"/>
        <v>6.8812226731471755</v>
      </c>
      <c r="AX21" s="162"/>
      <c r="AY21" s="162"/>
      <c r="AZ21" s="162"/>
      <c r="BA21" s="162"/>
      <c r="BB21" s="162"/>
      <c r="BC21" s="162"/>
      <c r="BD21" s="162"/>
      <c r="BE21" s="162"/>
      <c r="BF21" s="2">
        <f t="shared" si="10"/>
        <v>15</v>
      </c>
    </row>
    <row r="22" spans="1:58" ht="11.25" customHeight="1" outlineLevel="1">
      <c r="A22" s="237"/>
      <c r="B22" s="46" t="s">
        <v>798</v>
      </c>
      <c r="C22" s="315">
        <v>0</v>
      </c>
      <c r="D22" s="315">
        <v>0</v>
      </c>
      <c r="E22" s="315">
        <v>0</v>
      </c>
      <c r="F22" s="315">
        <v>0</v>
      </c>
      <c r="G22" s="327">
        <v>0</v>
      </c>
      <c r="H22" s="162">
        <f>SUMIFS($N22:$AX22,$N$4:$AX$4,H$4)</f>
        <v>-99.14200000000001</v>
      </c>
      <c r="I22" s="51">
        <f>SUMIFS($N22:$AX22,$N$4:$AX$4,I$4)</f>
        <v>-93</v>
      </c>
      <c r="J22" s="51">
        <f>SUMIFS($N22:$AX22,$N$4:$AX$4,J$4)</f>
        <v>-98.424120240000022</v>
      </c>
      <c r="K22" s="51">
        <f>SUMIFS($N22:$AX22,$N$4:$AX$4,K$4)</f>
        <v>-102.42053420246617</v>
      </c>
      <c r="L22" s="170"/>
      <c r="M22" s="162"/>
      <c r="N22" s="322">
        <v>0</v>
      </c>
      <c r="O22" s="322">
        <v>0</v>
      </c>
      <c r="P22" s="322">
        <v>0</v>
      </c>
      <c r="Q22" s="322">
        <v>0</v>
      </c>
      <c r="R22" s="322">
        <v>0</v>
      </c>
      <c r="S22" s="322">
        <v>0</v>
      </c>
      <c r="T22" s="322">
        <v>0</v>
      </c>
      <c r="U22" s="322">
        <v>0</v>
      </c>
      <c r="V22" s="322">
        <v>0</v>
      </c>
      <c r="W22" s="322">
        <v>0</v>
      </c>
      <c r="X22" s="322">
        <v>0</v>
      </c>
      <c r="Y22" s="322">
        <v>0</v>
      </c>
      <c r="Z22" s="322">
        <v>0</v>
      </c>
      <c r="AA22" s="322">
        <v>0</v>
      </c>
      <c r="AB22" s="322">
        <v>0</v>
      </c>
      <c r="AC22" s="322">
        <v>0</v>
      </c>
      <c r="AD22" s="322">
        <v>0</v>
      </c>
      <c r="AE22" s="322">
        <v>0</v>
      </c>
      <c r="AF22" s="322">
        <v>0</v>
      </c>
      <c r="AG22" s="325">
        <v>0</v>
      </c>
      <c r="AH22" s="172">
        <v>-26.407</v>
      </c>
      <c r="AI22" s="172">
        <v>-26.451000000000001</v>
      </c>
      <c r="AJ22" s="172">
        <v>-24.465</v>
      </c>
      <c r="AK22" s="172">
        <v>-21.818999999999999</v>
      </c>
      <c r="AL22" s="172">
        <v>-22</v>
      </c>
      <c r="AM22" s="172">
        <v>-23</v>
      </c>
      <c r="AN22" s="172">
        <v>-24</v>
      </c>
      <c r="AO22" s="172">
        <v>-24</v>
      </c>
      <c r="AP22" s="172">
        <f>AO22*1.01</f>
        <v>-24.240000000000002</v>
      </c>
      <c r="AQ22" s="172">
        <f t="shared" ref="AQ22:AW22" si="27">AP22*1.01</f>
        <v>-24.482400000000002</v>
      </c>
      <c r="AR22" s="172">
        <f t="shared" si="27"/>
        <v>-24.727224000000003</v>
      </c>
      <c r="AS22" s="172">
        <f t="shared" si="27"/>
        <v>-24.974496240000004</v>
      </c>
      <c r="AT22" s="172">
        <f t="shared" si="27"/>
        <v>-25.224241202400005</v>
      </c>
      <c r="AU22" s="172">
        <f t="shared" si="27"/>
        <v>-25.476483614424005</v>
      </c>
      <c r="AV22" s="172">
        <f t="shared" si="27"/>
        <v>-25.731248450568245</v>
      </c>
      <c r="AW22" s="172">
        <f t="shared" si="27"/>
        <v>-25.988560935073927</v>
      </c>
      <c r="AX22" s="18"/>
      <c r="AY22" s="18"/>
      <c r="AZ22" s="18"/>
      <c r="BA22" s="18"/>
      <c r="BB22" s="18"/>
      <c r="BC22" s="18"/>
      <c r="BD22" s="18"/>
      <c r="BE22" s="18"/>
      <c r="BF22" s="2">
        <f t="shared" si="10"/>
        <v>16</v>
      </c>
    </row>
    <row r="23" spans="1:58" ht="11.25" customHeight="1" outlineLevel="1">
      <c r="A23" s="237"/>
      <c r="B23" s="236" t="s">
        <v>191</v>
      </c>
      <c r="C23" s="233">
        <f>SUMIFS($N23:$AX23,$N$4:$AX$4,C$4)</f>
        <v>1215.8029999999999</v>
      </c>
      <c r="D23" s="233">
        <f>SUMIFS($N23:$AX23,$N$4:$AX$4,D$4)</f>
        <v>1083.808</v>
      </c>
      <c r="E23" s="233">
        <f>SUMIFS($N23:$AX23,$N$4:$AX$4,E$4)</f>
        <v>1197.4180000000001</v>
      </c>
      <c r="F23" s="233">
        <f>SUMIFS($N23:$AX23,$N$4:$AX$4,F$4)</f>
        <v>421.86500000000001</v>
      </c>
      <c r="G23" s="233">
        <f>SUMIFS($N23:$AX23,$N$4:$AX$4,G$4)</f>
        <v>40.143999999999991</v>
      </c>
      <c r="H23" s="233">
        <f>SUM(H18:H22)</f>
        <v>179.87400000000002</v>
      </c>
      <c r="I23" s="233">
        <f>SUM(I18:I22)</f>
        <v>357.91300024382508</v>
      </c>
      <c r="J23" s="233">
        <f>SUM(J18:J22)</f>
        <v>511.20731860583129</v>
      </c>
      <c r="K23" s="233">
        <f>SUM(K18:K22)</f>
        <v>543.08046350928976</v>
      </c>
      <c r="L23" s="235"/>
      <c r="M23" s="164"/>
      <c r="N23" s="233">
        <f t="shared" ref="N23:AG23" si="28">+N31-N81</f>
        <v>244.04900000000001</v>
      </c>
      <c r="O23" s="233">
        <f t="shared" si="28"/>
        <v>374.51599999999996</v>
      </c>
      <c r="P23" s="233">
        <f t="shared" si="28"/>
        <v>307.59900000000005</v>
      </c>
      <c r="Q23" s="233">
        <f t="shared" si="28"/>
        <v>289.63900000000001</v>
      </c>
      <c r="R23" s="233">
        <f t="shared" si="28"/>
        <v>273.15800000000002</v>
      </c>
      <c r="S23" s="233">
        <f t="shared" si="28"/>
        <v>285.31599999999997</v>
      </c>
      <c r="T23" s="233">
        <f t="shared" si="28"/>
        <v>276.68099999999998</v>
      </c>
      <c r="U23" s="233">
        <f t="shared" si="28"/>
        <v>248.65300000000002</v>
      </c>
      <c r="V23" s="233">
        <f t="shared" si="28"/>
        <v>253.89400000000001</v>
      </c>
      <c r="W23" s="233">
        <f t="shared" si="28"/>
        <v>310.40600000000001</v>
      </c>
      <c r="X23" s="233">
        <f t="shared" si="28"/>
        <v>332.47500000000002</v>
      </c>
      <c r="Y23" s="233">
        <f t="shared" si="28"/>
        <v>300.64300000000003</v>
      </c>
      <c r="Z23" s="233">
        <f t="shared" si="28"/>
        <v>184.02699999999999</v>
      </c>
      <c r="AA23" s="233">
        <f t="shared" si="28"/>
        <v>115.59</v>
      </c>
      <c r="AB23" s="233">
        <f t="shared" si="28"/>
        <v>68.222999999999999</v>
      </c>
      <c r="AC23" s="233">
        <f t="shared" si="28"/>
        <v>54.025000000000006</v>
      </c>
      <c r="AD23" s="233">
        <f t="shared" si="28"/>
        <v>39.939000000000007</v>
      </c>
      <c r="AE23" s="233">
        <f t="shared" si="28"/>
        <v>22.290999999999997</v>
      </c>
      <c r="AF23" s="233">
        <f t="shared" si="28"/>
        <v>-14.439000000000007</v>
      </c>
      <c r="AG23" s="233">
        <f t="shared" si="28"/>
        <v>-7.6470000000000056</v>
      </c>
      <c r="AH23" s="233">
        <f>SUM(AH18:AH22)</f>
        <v>3.4569999999999972</v>
      </c>
      <c r="AI23" s="233">
        <f>SUM(AI18:AI22)</f>
        <v>41.558000000000014</v>
      </c>
      <c r="AJ23" s="233">
        <f>SUM(AJ18:AJ22)</f>
        <v>63.378</v>
      </c>
      <c r="AK23" s="233">
        <f>SUM(AK18:AK22)</f>
        <v>71.481000000000009</v>
      </c>
      <c r="AL23" s="233">
        <f t="shared" ref="AL23:AW23" si="29">SUM(AL18:AL22)</f>
        <v>62.792789200000001</v>
      </c>
      <c r="AM23" s="233">
        <f t="shared" si="29"/>
        <v>79.319214744000007</v>
      </c>
      <c r="AN23" s="233">
        <f t="shared" si="29"/>
        <v>102.67411809325</v>
      </c>
      <c r="AO23" s="233">
        <f t="shared" si="29"/>
        <v>113.12687820657504</v>
      </c>
      <c r="AP23" s="233">
        <f t="shared" si="29"/>
        <v>121.38297526115076</v>
      </c>
      <c r="AQ23" s="233">
        <f t="shared" si="29"/>
        <v>125.56347274086333</v>
      </c>
      <c r="AR23" s="233">
        <f t="shared" si="29"/>
        <v>129.89064861262926</v>
      </c>
      <c r="AS23" s="233">
        <f t="shared" si="29"/>
        <v>134.37022199118795</v>
      </c>
      <c r="AT23" s="233">
        <f t="shared" si="29"/>
        <v>134.93255196796093</v>
      </c>
      <c r="AU23" s="233">
        <f t="shared" si="29"/>
        <v>135.47884667346133</v>
      </c>
      <c r="AV23" s="233">
        <f t="shared" si="29"/>
        <v>136.04310786903631</v>
      </c>
      <c r="AW23" s="233">
        <f t="shared" si="29"/>
        <v>136.62595699883113</v>
      </c>
      <c r="AX23" s="232"/>
      <c r="AY23" s="232"/>
      <c r="AZ23" s="232"/>
      <c r="BA23" s="232"/>
      <c r="BB23" s="232"/>
      <c r="BC23" s="232"/>
      <c r="BD23" s="232"/>
      <c r="BE23" s="232"/>
      <c r="BF23" s="2">
        <f t="shared" si="10"/>
        <v>17</v>
      </c>
    </row>
    <row r="24" spans="1:58" ht="3" customHeight="1" outlineLevel="1">
      <c r="A24" s="237"/>
      <c r="B24" s="238"/>
      <c r="C24" s="232"/>
      <c r="D24" s="232"/>
      <c r="E24" s="232"/>
      <c r="F24" s="232"/>
      <c r="G24" s="232"/>
      <c r="H24" s="232"/>
      <c r="I24" s="232"/>
      <c r="J24" s="232"/>
      <c r="K24" s="232"/>
      <c r="L24" s="235"/>
      <c r="M24" s="164"/>
      <c r="N24" s="232"/>
      <c r="O24" s="232"/>
      <c r="P24" s="232"/>
      <c r="Q24" s="232"/>
      <c r="R24" s="232"/>
      <c r="S24" s="232"/>
      <c r="T24" s="232"/>
      <c r="U24" s="232"/>
      <c r="V24" s="232"/>
      <c r="W24" s="232"/>
      <c r="X24" s="232"/>
      <c r="Y24" s="232"/>
      <c r="Z24" s="232"/>
      <c r="AA24" s="232"/>
      <c r="AB24" s="232"/>
      <c r="AC24" s="232"/>
      <c r="AD24" s="232"/>
      <c r="AE24" s="232"/>
      <c r="AF24" s="232"/>
      <c r="AG24" s="232"/>
      <c r="AH24" s="232"/>
      <c r="AI24" s="232"/>
      <c r="AJ24" s="328"/>
      <c r="AK24" s="232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8"/>
      <c r="AY24" s="18"/>
      <c r="AZ24" s="18"/>
      <c r="BA24" s="18"/>
      <c r="BB24" s="18"/>
      <c r="BC24" s="18"/>
      <c r="BD24" s="18"/>
      <c r="BE24" s="18"/>
      <c r="BF24" s="2">
        <f t="shared" si="10"/>
        <v>18</v>
      </c>
    </row>
    <row r="25" spans="1:58" ht="11.25" customHeight="1" outlineLevel="1">
      <c r="A25" s="50"/>
      <c r="B25" s="244" t="s">
        <v>190</v>
      </c>
      <c r="C25" s="3"/>
      <c r="D25" s="243"/>
      <c r="E25" s="243"/>
      <c r="F25" s="243"/>
      <c r="G25" s="243"/>
      <c r="H25" s="243"/>
      <c r="I25" s="45"/>
      <c r="J25" s="243"/>
      <c r="K25" s="243"/>
      <c r="L25" s="55"/>
      <c r="M25" s="3"/>
      <c r="N25" s="242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29"/>
      <c r="AK25" s="6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5"/>
      <c r="AY25" s="5"/>
      <c r="AZ25" s="5"/>
      <c r="BA25" s="5"/>
      <c r="BB25" s="5"/>
      <c r="BC25" s="5"/>
      <c r="BD25" s="5"/>
      <c r="BE25" s="5"/>
      <c r="BF25" s="2">
        <f t="shared" si="10"/>
        <v>19</v>
      </c>
    </row>
    <row r="26" spans="1:58" ht="11.25" customHeight="1" outlineLevel="1">
      <c r="A26" s="237"/>
      <c r="B26" s="46" t="s">
        <v>9</v>
      </c>
      <c r="C26" s="164">
        <f t="shared" ref="C26:K29" si="30">SUMIFS($N26:$AX26,$N$4:$AX$4,C$4)</f>
        <v>236.72800000000001</v>
      </c>
      <c r="D26" s="164">
        <f t="shared" si="30"/>
        <v>247.50200000000001</v>
      </c>
      <c r="E26" s="162">
        <f t="shared" si="30"/>
        <v>290.077</v>
      </c>
      <c r="F26" s="162">
        <f t="shared" si="30"/>
        <v>65.637</v>
      </c>
      <c r="G26" s="324">
        <f t="shared" si="30"/>
        <v>-77.481999999999999</v>
      </c>
      <c r="H26" s="162">
        <f t="shared" si="30"/>
        <v>-17.349999999999998</v>
      </c>
      <c r="I26" s="51">
        <f t="shared" si="30"/>
        <v>27.78195168320002</v>
      </c>
      <c r="J26" s="51">
        <f t="shared" si="30"/>
        <v>62.064683712081631</v>
      </c>
      <c r="K26" s="51">
        <f t="shared" si="30"/>
        <v>80.459261898455381</v>
      </c>
      <c r="L26" s="165"/>
      <c r="M26" s="240"/>
      <c r="N26" s="172">
        <v>57.228999999999999</v>
      </c>
      <c r="O26" s="171">
        <v>59.316000000000003</v>
      </c>
      <c r="P26" s="171">
        <v>62.759</v>
      </c>
      <c r="Q26" s="171">
        <v>57.423999999999999</v>
      </c>
      <c r="R26" s="171">
        <v>56.597000000000001</v>
      </c>
      <c r="S26" s="171">
        <v>59.634999999999998</v>
      </c>
      <c r="T26" s="171">
        <v>62.241999999999997</v>
      </c>
      <c r="U26" s="171">
        <v>69.028000000000006</v>
      </c>
      <c r="V26" s="171">
        <v>66.881</v>
      </c>
      <c r="W26" s="171">
        <v>66.947999999999993</v>
      </c>
      <c r="X26" s="171">
        <v>78.11</v>
      </c>
      <c r="Y26" s="171">
        <v>78.138000000000005</v>
      </c>
      <c r="Z26" s="171">
        <v>47.164000000000001</v>
      </c>
      <c r="AA26" s="171">
        <v>19.027999999999999</v>
      </c>
      <c r="AB26" s="171">
        <v>7.5519999999999996</v>
      </c>
      <c r="AC26" s="171">
        <v>-8.1069999999999993</v>
      </c>
      <c r="AD26" s="171">
        <f>-17.7+1.478</f>
        <v>-16.221999999999998</v>
      </c>
      <c r="AE26" s="171">
        <f>-69.7+47.659+0.402</f>
        <v>-21.639000000000003</v>
      </c>
      <c r="AF26" s="171">
        <f>-25.7+2.014</f>
        <v>-23.686</v>
      </c>
      <c r="AG26" s="326">
        <v>-15.935</v>
      </c>
      <c r="AH26" s="171">
        <v>-8.3219999999999992</v>
      </c>
      <c r="AI26" s="171">
        <v>-10.532999999999999</v>
      </c>
      <c r="AJ26" s="171">
        <v>1.165</v>
      </c>
      <c r="AK26" s="171">
        <v>0.34</v>
      </c>
      <c r="AL26" s="162">
        <f t="shared" ref="AL26:AW26" si="31">+AL18+AL76</f>
        <v>2.5501520000000042</v>
      </c>
      <c r="AM26" s="162">
        <f t="shared" si="31"/>
        <v>5.736977600000003</v>
      </c>
      <c r="AN26" s="162">
        <f t="shared" si="31"/>
        <v>8.572046560000004</v>
      </c>
      <c r="AO26" s="162">
        <f t="shared" si="31"/>
        <v>10.922775523200009</v>
      </c>
      <c r="AP26" s="162">
        <f t="shared" si="31"/>
        <v>12.78048174556012</v>
      </c>
      <c r="AQ26" s="162">
        <f t="shared" si="31"/>
        <v>14.576812837650444</v>
      </c>
      <c r="AR26" s="162">
        <f t="shared" si="31"/>
        <v>16.414319844722868</v>
      </c>
      <c r="AS26" s="162">
        <f t="shared" si="31"/>
        <v>18.293069284148206</v>
      </c>
      <c r="AT26" s="162">
        <f t="shared" si="31"/>
        <v>19.236215591192185</v>
      </c>
      <c r="AU26" s="162">
        <f t="shared" si="31"/>
        <v>19.811400910930878</v>
      </c>
      <c r="AV26" s="162">
        <f t="shared" si="31"/>
        <v>20.402463246874714</v>
      </c>
      <c r="AW26" s="162">
        <f t="shared" si="31"/>
        <v>21.009182149457597</v>
      </c>
      <c r="AX26" s="162"/>
      <c r="AY26" s="162"/>
      <c r="AZ26" s="162"/>
      <c r="BA26" s="162"/>
      <c r="BB26" s="162"/>
      <c r="BC26" s="162"/>
      <c r="BD26" s="162"/>
      <c r="BE26" s="162"/>
      <c r="BF26" s="2">
        <f t="shared" si="10"/>
        <v>20</v>
      </c>
    </row>
    <row r="27" spans="1:58" ht="11.25" customHeight="1" outlineLevel="1">
      <c r="A27" s="237"/>
      <c r="B27" s="46" t="s">
        <v>8</v>
      </c>
      <c r="C27" s="164">
        <f t="shared" si="30"/>
        <v>196.476</v>
      </c>
      <c r="D27" s="164">
        <f t="shared" si="30"/>
        <v>144.36599999999999</v>
      </c>
      <c r="E27" s="162">
        <f t="shared" si="30"/>
        <v>133.60300000000001</v>
      </c>
      <c r="F27" s="162">
        <f t="shared" si="30"/>
        <v>-163.84800000000001</v>
      </c>
      <c r="G27" s="324">
        <f t="shared" si="30"/>
        <v>-282.16800000000001</v>
      </c>
      <c r="H27" s="162">
        <f t="shared" si="30"/>
        <v>-94.262000000000015</v>
      </c>
      <c r="I27" s="51">
        <f t="shared" si="30"/>
        <v>24.812917979198929</v>
      </c>
      <c r="J27" s="51">
        <f t="shared" si="30"/>
        <v>158.76556402792698</v>
      </c>
      <c r="K27" s="51">
        <f t="shared" si="30"/>
        <v>185.2240852400956</v>
      </c>
      <c r="L27" s="165"/>
      <c r="M27" s="240"/>
      <c r="N27" s="171">
        <v>12.391</v>
      </c>
      <c r="O27" s="171">
        <v>84.983999999999995</v>
      </c>
      <c r="P27" s="171">
        <v>52.197000000000003</v>
      </c>
      <c r="Q27" s="171">
        <v>46.904000000000003</v>
      </c>
      <c r="R27" s="171">
        <v>49.707999999999998</v>
      </c>
      <c r="S27" s="171">
        <v>46.808999999999997</v>
      </c>
      <c r="T27" s="171">
        <v>33.457999999999998</v>
      </c>
      <c r="U27" s="171">
        <v>14.391</v>
      </c>
      <c r="V27" s="171">
        <v>6.07</v>
      </c>
      <c r="W27" s="171">
        <v>31.748000000000001</v>
      </c>
      <c r="X27" s="171">
        <v>54.781999999999996</v>
      </c>
      <c r="Y27" s="171">
        <v>41.003</v>
      </c>
      <c r="Z27" s="171">
        <v>-1.226</v>
      </c>
      <c r="AA27" s="171">
        <v>-44.29</v>
      </c>
      <c r="AB27" s="171">
        <v>-53.500999999999998</v>
      </c>
      <c r="AC27" s="171">
        <v>-64.831000000000003</v>
      </c>
      <c r="AD27" s="171">
        <v>-65.691000000000003</v>
      </c>
      <c r="AE27" s="171">
        <v>-68.209000000000003</v>
      </c>
      <c r="AF27" s="171">
        <v>-73.400999999999996</v>
      </c>
      <c r="AG27" s="326">
        <v>-74.867000000000004</v>
      </c>
      <c r="AH27" s="171">
        <v>-49.128</v>
      </c>
      <c r="AI27" s="171">
        <v>-14.367000000000001</v>
      </c>
      <c r="AJ27" s="171">
        <v>-20.879000000000001</v>
      </c>
      <c r="AK27" s="171">
        <v>-9.8879999999999999</v>
      </c>
      <c r="AL27" s="162">
        <f t="shared" ref="AL27:AW27" si="32">+AL19+AL77</f>
        <v>-17.161293495095983</v>
      </c>
      <c r="AM27" s="162">
        <f t="shared" si="32"/>
        <v>-4.119312244010473</v>
      </c>
      <c r="AN27" s="162">
        <f t="shared" si="32"/>
        <v>18.455894516804911</v>
      </c>
      <c r="AO27" s="162">
        <f t="shared" si="32"/>
        <v>27.637629201500474</v>
      </c>
      <c r="AP27" s="162">
        <f t="shared" si="32"/>
        <v>35.101795157587269</v>
      </c>
      <c r="AQ27" s="162">
        <f t="shared" si="32"/>
        <v>38.134070065692832</v>
      </c>
      <c r="AR27" s="162">
        <f t="shared" si="32"/>
        <v>41.207968426456546</v>
      </c>
      <c r="AS27" s="162">
        <f t="shared" si="32"/>
        <v>44.321730378190338</v>
      </c>
      <c r="AT27" s="162">
        <f t="shared" si="32"/>
        <v>45.62675332807482</v>
      </c>
      <c r="AU27" s="162">
        <f t="shared" si="32"/>
        <v>46.06715667652098</v>
      </c>
      <c r="AV27" s="162">
        <f t="shared" si="32"/>
        <v>46.526438293501201</v>
      </c>
      <c r="AW27" s="162">
        <f t="shared" si="32"/>
        <v>47.003736941998604</v>
      </c>
      <c r="AX27" s="162"/>
      <c r="AY27" s="162"/>
      <c r="AZ27" s="162"/>
      <c r="BA27" s="162"/>
      <c r="BB27" s="162"/>
      <c r="BC27" s="162"/>
      <c r="BD27" s="162"/>
      <c r="BE27" s="162"/>
      <c r="BF27" s="2">
        <f t="shared" si="10"/>
        <v>21</v>
      </c>
    </row>
    <row r="28" spans="1:58" ht="11.25" customHeight="1" outlineLevel="1">
      <c r="A28" s="237"/>
      <c r="B28" s="241" t="s">
        <v>6</v>
      </c>
      <c r="C28" s="164">
        <f t="shared" si="30"/>
        <v>234.23500000000001</v>
      </c>
      <c r="D28" s="164">
        <f t="shared" si="30"/>
        <v>68.977000000000004</v>
      </c>
      <c r="E28" s="162">
        <f t="shared" si="30"/>
        <v>55.54</v>
      </c>
      <c r="F28" s="162">
        <f t="shared" si="30"/>
        <v>-90.611999999999995</v>
      </c>
      <c r="G28" s="324">
        <f t="shared" si="30"/>
        <v>-90.941000000000003</v>
      </c>
      <c r="H28" s="162">
        <f t="shared" si="30"/>
        <v>-58.129000000000005</v>
      </c>
      <c r="I28" s="51">
        <f t="shared" si="30"/>
        <v>-17.006662675738795</v>
      </c>
      <c r="J28" s="51">
        <f t="shared" si="30"/>
        <v>11.739025633325744</v>
      </c>
      <c r="K28" s="51">
        <f t="shared" si="30"/>
        <v>28.255960359584044</v>
      </c>
      <c r="L28" s="165"/>
      <c r="M28" s="240"/>
      <c r="N28" s="171">
        <v>73.762</v>
      </c>
      <c r="O28" s="171">
        <v>79.435000000000002</v>
      </c>
      <c r="P28" s="171">
        <v>49.023000000000003</v>
      </c>
      <c r="Q28" s="171">
        <v>32.015000000000001</v>
      </c>
      <c r="R28" s="171">
        <v>28.347000000000001</v>
      </c>
      <c r="S28" s="171">
        <v>20.844999999999999</v>
      </c>
      <c r="T28" s="171">
        <v>15.707000000000001</v>
      </c>
      <c r="U28" s="171">
        <v>4.0780000000000003</v>
      </c>
      <c r="V28" s="171">
        <v>5.0140000000000002</v>
      </c>
      <c r="W28" s="171">
        <v>27.334</v>
      </c>
      <c r="X28" s="171">
        <v>13.374000000000001</v>
      </c>
      <c r="Y28" s="171">
        <v>9.8179999999999996</v>
      </c>
      <c r="Z28" s="171">
        <v>-22.687000000000001</v>
      </c>
      <c r="AA28" s="171">
        <v>-20.977</v>
      </c>
      <c r="AB28" s="171">
        <v>-24.914000000000001</v>
      </c>
      <c r="AC28" s="171">
        <v>-22.033999999999999</v>
      </c>
      <c r="AD28" s="171">
        <f>-96.733-AD27-AD26-AD29</f>
        <v>-16.628000000000004</v>
      </c>
      <c r="AE28" s="171">
        <f>-109.746-AE26-AE27-AE29</f>
        <v>-23.450999999999997</v>
      </c>
      <c r="AF28" s="171">
        <f>-137.747-AF26-AF27-AF29</f>
        <v>-30.45000000000001</v>
      </c>
      <c r="AG28" s="326">
        <v>-20.411999999999999</v>
      </c>
      <c r="AH28" s="171">
        <v>-24.045000000000002</v>
      </c>
      <c r="AI28" s="171">
        <v>-14.85</v>
      </c>
      <c r="AJ28" s="171">
        <v>-12.77</v>
      </c>
      <c r="AK28" s="171">
        <v>-6.4640000000000004</v>
      </c>
      <c r="AL28" s="162">
        <f t="shared" ref="AL28:AW28" si="33">+AL20+AL78</f>
        <v>-8.3673696353832536</v>
      </c>
      <c r="AM28" s="162">
        <f t="shared" si="33"/>
        <v>-4.338784025545392</v>
      </c>
      <c r="AN28" s="162">
        <f t="shared" si="33"/>
        <v>-2.9011771967457296</v>
      </c>
      <c r="AO28" s="162">
        <f t="shared" si="33"/>
        <v>-1.3993318180644216</v>
      </c>
      <c r="AP28" s="162">
        <f t="shared" si="33"/>
        <v>0.30943234348170279</v>
      </c>
      <c r="AQ28" s="162">
        <f t="shared" si="33"/>
        <v>2.0106552240914901</v>
      </c>
      <c r="AR28" s="162">
        <f t="shared" si="33"/>
        <v>3.7846419877401338</v>
      </c>
      <c r="AS28" s="162">
        <f t="shared" si="33"/>
        <v>5.6342960780124169</v>
      </c>
      <c r="AT28" s="162">
        <f t="shared" si="33"/>
        <v>6.3634380610712</v>
      </c>
      <c r="AU28" s="162">
        <f t="shared" si="33"/>
        <v>6.8189678564366325</v>
      </c>
      <c r="AV28" s="162">
        <f t="shared" si="33"/>
        <v>7.2917108045178534</v>
      </c>
      <c r="AW28" s="162">
        <f t="shared" si="33"/>
        <v>7.7818436375583619</v>
      </c>
      <c r="AX28" s="162"/>
      <c r="AY28" s="162"/>
      <c r="AZ28" s="162"/>
      <c r="BA28" s="162"/>
      <c r="BB28" s="162"/>
      <c r="BC28" s="162"/>
      <c r="BD28" s="162"/>
      <c r="BE28" s="162"/>
      <c r="BF28" s="2">
        <f t="shared" si="10"/>
        <v>22</v>
      </c>
    </row>
    <row r="29" spans="1:58" ht="11.25" customHeight="1" outlineLevel="1">
      <c r="A29" s="237"/>
      <c r="B29" s="46" t="s">
        <v>162</v>
      </c>
      <c r="C29" s="164">
        <f t="shared" si="30"/>
        <v>39.082999999999998</v>
      </c>
      <c r="D29" s="164">
        <f t="shared" si="30"/>
        <v>18.521999999999998</v>
      </c>
      <c r="E29" s="162">
        <f t="shared" si="30"/>
        <v>67.384</v>
      </c>
      <c r="F29" s="162">
        <f t="shared" si="30"/>
        <v>-1.4589999999999979</v>
      </c>
      <c r="G29" s="324">
        <f t="shared" si="30"/>
        <v>-19.236000000000001</v>
      </c>
      <c r="H29" s="162">
        <f t="shared" si="30"/>
        <v>15.76</v>
      </c>
      <c r="I29" s="51">
        <f t="shared" si="30"/>
        <v>5.8810986500452236</v>
      </c>
      <c r="J29" s="51">
        <f t="shared" si="30"/>
        <v>7.7863014768550567</v>
      </c>
      <c r="K29" s="51">
        <f t="shared" si="30"/>
        <v>11.354045263983238</v>
      </c>
      <c r="L29" s="165"/>
      <c r="M29" s="240"/>
      <c r="N29" s="172">
        <v>-1.929</v>
      </c>
      <c r="O29" s="171">
        <v>15.265000000000001</v>
      </c>
      <c r="P29" s="171">
        <v>15.46</v>
      </c>
      <c r="Q29" s="171">
        <v>10.287000000000001</v>
      </c>
      <c r="R29" s="171">
        <v>-6.4580000000000002</v>
      </c>
      <c r="S29" s="171">
        <v>8.5869999999999997</v>
      </c>
      <c r="T29" s="171">
        <v>13.246</v>
      </c>
      <c r="U29" s="171">
        <v>3.1469999999999998</v>
      </c>
      <c r="V29" s="171">
        <v>13.611000000000001</v>
      </c>
      <c r="W29" s="171">
        <v>23.411000000000001</v>
      </c>
      <c r="X29" s="171">
        <v>16.055</v>
      </c>
      <c r="Y29" s="171">
        <v>14.307</v>
      </c>
      <c r="Z29" s="171">
        <v>-1.444</v>
      </c>
      <c r="AA29" s="171">
        <v>3.4769999999999999</v>
      </c>
      <c r="AB29" s="171">
        <v>-7.6710000000000003</v>
      </c>
      <c r="AC29" s="171">
        <f>27.079-22.9</f>
        <v>4.179000000000002</v>
      </c>
      <c r="AD29" s="171">
        <v>1.8080000000000001</v>
      </c>
      <c r="AE29" s="171">
        <v>3.5529999999999999</v>
      </c>
      <c r="AF29" s="171">
        <v>-10.210000000000001</v>
      </c>
      <c r="AG29" s="326">
        <v>-14.387</v>
      </c>
      <c r="AH29" s="171">
        <v>-1.482</v>
      </c>
      <c r="AI29" s="171">
        <v>1.071</v>
      </c>
      <c r="AJ29" s="171">
        <v>12.994999999999999</v>
      </c>
      <c r="AK29" s="171">
        <v>3.1760000000000002</v>
      </c>
      <c r="AL29" s="162">
        <f t="shared" ref="AL29:AW29" si="34">+AL21+AL79</f>
        <v>2.1911168953469993</v>
      </c>
      <c r="AM29" s="162">
        <f t="shared" si="34"/>
        <v>1.4070891687303018</v>
      </c>
      <c r="AN29" s="162">
        <f t="shared" si="34"/>
        <v>1.0326050853283579</v>
      </c>
      <c r="AO29" s="162">
        <f t="shared" si="34"/>
        <v>1.2502875006395646</v>
      </c>
      <c r="AP29" s="162">
        <f t="shared" si="34"/>
        <v>1.5211561291509321</v>
      </c>
      <c r="AQ29" s="162">
        <f t="shared" si="34"/>
        <v>1.8006837122527326</v>
      </c>
      <c r="AR29" s="162">
        <f t="shared" si="34"/>
        <v>2.0863401046685679</v>
      </c>
      <c r="AS29" s="162">
        <f t="shared" si="34"/>
        <v>2.3781215307828241</v>
      </c>
      <c r="AT29" s="162">
        <f t="shared" si="34"/>
        <v>2.623660099806711</v>
      </c>
      <c r="AU29" s="162">
        <f t="shared" si="34"/>
        <v>2.7646378755729608</v>
      </c>
      <c r="AV29" s="162">
        <f t="shared" si="34"/>
        <v>2.9090100399684666</v>
      </c>
      <c r="AW29" s="162">
        <f t="shared" si="34"/>
        <v>3.0567372486350992</v>
      </c>
      <c r="AX29" s="162"/>
      <c r="AY29" s="162"/>
      <c r="AZ29" s="162"/>
      <c r="BA29" s="162"/>
      <c r="BB29" s="162"/>
      <c r="BC29" s="162"/>
      <c r="BD29" s="162"/>
      <c r="BE29" s="162"/>
      <c r="BF29" s="2">
        <f t="shared" si="10"/>
        <v>23</v>
      </c>
    </row>
    <row r="30" spans="1:58" ht="11.25" customHeight="1" outlineLevel="1">
      <c r="A30" s="237"/>
      <c r="B30" s="46" t="s">
        <v>798</v>
      </c>
      <c r="C30" s="315">
        <v>0</v>
      </c>
      <c r="D30" s="315">
        <v>0</v>
      </c>
      <c r="E30" s="315">
        <v>0</v>
      </c>
      <c r="F30" s="315">
        <v>0</v>
      </c>
      <c r="G30" s="327">
        <v>0</v>
      </c>
      <c r="H30" s="162">
        <f>SUMIFS($N30:$AX30,$N$4:$AX$4,H$4)</f>
        <v>-104.861</v>
      </c>
      <c r="I30" s="51">
        <f>SUMIFS($N30:$AX30,$N$4:$AX$4,I$4)</f>
        <v>-98.512691637084259</v>
      </c>
      <c r="J30" s="51">
        <f>SUMIFS($N30:$AX30,$N$4:$AX$4,J$4)</f>
        <v>-103.39599792193425</v>
      </c>
      <c r="K30" s="51">
        <f>SUMIFS($N30:$AX30,$N$4:$AX$4,K$4)</f>
        <v>-107.00104151980463</v>
      </c>
      <c r="L30" s="170"/>
      <c r="M30" s="162"/>
      <c r="N30" s="322">
        <v>0</v>
      </c>
      <c r="O30" s="322">
        <v>0</v>
      </c>
      <c r="P30" s="322">
        <v>0</v>
      </c>
      <c r="Q30" s="322">
        <v>0</v>
      </c>
      <c r="R30" s="322">
        <v>0</v>
      </c>
      <c r="S30" s="322">
        <v>0</v>
      </c>
      <c r="T30" s="322">
        <v>0</v>
      </c>
      <c r="U30" s="322">
        <v>0</v>
      </c>
      <c r="V30" s="322">
        <v>0</v>
      </c>
      <c r="W30" s="322">
        <v>0</v>
      </c>
      <c r="X30" s="322">
        <v>0</v>
      </c>
      <c r="Y30" s="322">
        <v>0</v>
      </c>
      <c r="Z30" s="322">
        <v>0</v>
      </c>
      <c r="AA30" s="322">
        <v>0</v>
      </c>
      <c r="AB30" s="322">
        <v>0</v>
      </c>
      <c r="AC30" s="322">
        <v>0</v>
      </c>
      <c r="AD30" s="322">
        <v>0</v>
      </c>
      <c r="AE30" s="322">
        <v>0</v>
      </c>
      <c r="AF30" s="322">
        <v>0</v>
      </c>
      <c r="AG30" s="325">
        <v>0</v>
      </c>
      <c r="AH30" s="172">
        <v>-27.847000000000001</v>
      </c>
      <c r="AI30" s="172">
        <v>-27.882000000000001</v>
      </c>
      <c r="AJ30" s="172">
        <v>-25.884</v>
      </c>
      <c r="AK30" s="172">
        <v>-23.248000000000001</v>
      </c>
      <c r="AL30" s="162">
        <f t="shared" ref="AL30:AW30" si="35">+AL22+AL80</f>
        <v>-23.421516564867758</v>
      </c>
      <c r="AM30" s="162">
        <f t="shared" si="35"/>
        <v>-24.395303252674456</v>
      </c>
      <c r="AN30" s="162">
        <f t="shared" si="35"/>
        <v>-25.366780135898431</v>
      </c>
      <c r="AO30" s="162">
        <f t="shared" si="35"/>
        <v>-25.329091683643618</v>
      </c>
      <c r="AP30" s="162">
        <f t="shared" si="35"/>
        <v>-25.531320070722423</v>
      </c>
      <c r="AQ30" s="162">
        <f t="shared" si="35"/>
        <v>-25.741589126571387</v>
      </c>
      <c r="AR30" s="162">
        <f t="shared" si="35"/>
        <v>-25.954112676922819</v>
      </c>
      <c r="AS30" s="162">
        <f t="shared" si="35"/>
        <v>-26.168976047717628</v>
      </c>
      <c r="AT30" s="162">
        <f t="shared" si="35"/>
        <v>-26.386262680342636</v>
      </c>
      <c r="AU30" s="162">
        <f t="shared" si="35"/>
        <v>-26.627551448126781</v>
      </c>
      <c r="AV30" s="162">
        <f t="shared" si="35"/>
        <v>-26.870893102644327</v>
      </c>
      <c r="AW30" s="162">
        <f t="shared" si="35"/>
        <v>-27.116334288690883</v>
      </c>
      <c r="AX30" s="18"/>
      <c r="AY30" s="18"/>
      <c r="AZ30" s="18"/>
      <c r="BA30" s="18"/>
      <c r="BB30" s="18"/>
      <c r="BC30" s="18"/>
      <c r="BD30" s="18"/>
      <c r="BE30" s="18"/>
      <c r="BF30" s="2">
        <f t="shared" si="10"/>
        <v>24</v>
      </c>
    </row>
    <row r="31" spans="1:58" ht="11.25" customHeight="1" outlineLevel="1">
      <c r="A31" s="237"/>
      <c r="B31" s="236" t="s">
        <v>189</v>
      </c>
      <c r="C31" s="233">
        <f>SUM(C26:C29)</f>
        <v>706.52200000000005</v>
      </c>
      <c r="D31" s="233">
        <f>SUM(D26:D29)</f>
        <v>479.36700000000002</v>
      </c>
      <c r="E31" s="233">
        <f>SUM(E26:E29)</f>
        <v>546.60400000000004</v>
      </c>
      <c r="F31" s="233">
        <f>SUM(F26:F29)</f>
        <v>-190.28200000000001</v>
      </c>
      <c r="G31" s="233">
        <f>SUM(G26:G29)</f>
        <v>-469.827</v>
      </c>
      <c r="H31" s="233">
        <f>SUM(H26:H30)</f>
        <v>-258.84200000000004</v>
      </c>
      <c r="I31" s="233">
        <f>SUM(I26:I30)</f>
        <v>-57.043386000378881</v>
      </c>
      <c r="J31" s="233">
        <f>SUM(J26:J30)</f>
        <v>136.95957692825516</v>
      </c>
      <c r="K31" s="233">
        <f>SUM(K26:K30)</f>
        <v>198.29231124231364</v>
      </c>
      <c r="L31" s="235"/>
      <c r="M31" s="164"/>
      <c r="N31" s="233">
        <f t="shared" ref="N31:AG31" si="36">SUM(N26:N29)</f>
        <v>141.453</v>
      </c>
      <c r="O31" s="233">
        <f t="shared" si="36"/>
        <v>239</v>
      </c>
      <c r="P31" s="233">
        <f t="shared" si="36"/>
        <v>179.43900000000002</v>
      </c>
      <c r="Q31" s="233">
        <f t="shared" si="36"/>
        <v>146.63000000000002</v>
      </c>
      <c r="R31" s="233">
        <f t="shared" si="36"/>
        <v>128.19400000000002</v>
      </c>
      <c r="S31" s="233">
        <f t="shared" si="36"/>
        <v>135.87599999999998</v>
      </c>
      <c r="T31" s="233">
        <f t="shared" si="36"/>
        <v>124.65299999999998</v>
      </c>
      <c r="U31" s="233">
        <f t="shared" si="36"/>
        <v>90.64400000000002</v>
      </c>
      <c r="V31" s="233">
        <f t="shared" si="36"/>
        <v>91.575999999999993</v>
      </c>
      <c r="W31" s="233">
        <f t="shared" si="36"/>
        <v>149.441</v>
      </c>
      <c r="X31" s="233">
        <f t="shared" si="36"/>
        <v>162.321</v>
      </c>
      <c r="Y31" s="233">
        <f t="shared" si="36"/>
        <v>143.26599999999999</v>
      </c>
      <c r="Z31" s="233">
        <f t="shared" si="36"/>
        <v>21.807000000000002</v>
      </c>
      <c r="AA31" s="233">
        <f t="shared" si="36"/>
        <v>-42.762000000000008</v>
      </c>
      <c r="AB31" s="233">
        <f t="shared" si="36"/>
        <v>-78.534000000000006</v>
      </c>
      <c r="AC31" s="233">
        <f t="shared" si="36"/>
        <v>-90.793000000000006</v>
      </c>
      <c r="AD31" s="233">
        <f t="shared" si="36"/>
        <v>-96.73299999999999</v>
      </c>
      <c r="AE31" s="233">
        <f t="shared" si="36"/>
        <v>-109.74600000000001</v>
      </c>
      <c r="AF31" s="233">
        <f t="shared" si="36"/>
        <v>-137.74700000000001</v>
      </c>
      <c r="AG31" s="233">
        <f t="shared" si="36"/>
        <v>-125.601</v>
      </c>
      <c r="AH31" s="233">
        <f>SUM(AH26:AH30)</f>
        <v>-110.82400000000001</v>
      </c>
      <c r="AI31" s="233">
        <f>SUM(AI26:AI30)</f>
        <v>-66.561000000000007</v>
      </c>
      <c r="AJ31" s="233">
        <f>SUM(AJ26:AJ30)</f>
        <v>-45.373000000000005</v>
      </c>
      <c r="AK31" s="233">
        <f>SUM(AK26:AK30)</f>
        <v>-36.084000000000003</v>
      </c>
      <c r="AL31" s="233">
        <f t="shared" ref="AL31:AW31" si="37">SUM(AL26:AL30)</f>
        <v>-44.208910799999991</v>
      </c>
      <c r="AM31" s="233">
        <f t="shared" si="37"/>
        <v>-25.709332753500014</v>
      </c>
      <c r="AN31" s="233">
        <f t="shared" si="37"/>
        <v>-0.20741117051088764</v>
      </c>
      <c r="AO31" s="233">
        <f t="shared" si="37"/>
        <v>13.082268723632012</v>
      </c>
      <c r="AP31" s="233">
        <f t="shared" si="37"/>
        <v>24.181545305057597</v>
      </c>
      <c r="AQ31" s="233">
        <f t="shared" si="37"/>
        <v>30.780632713116116</v>
      </c>
      <c r="AR31" s="233">
        <f t="shared" si="37"/>
        <v>37.539157686665291</v>
      </c>
      <c r="AS31" s="233">
        <f t="shared" si="37"/>
        <v>44.458241223416145</v>
      </c>
      <c r="AT31" s="233">
        <f t="shared" si="37"/>
        <v>47.463804399802271</v>
      </c>
      <c r="AU31" s="233">
        <f t="shared" si="37"/>
        <v>48.834611871334673</v>
      </c>
      <c r="AV31" s="233">
        <f t="shared" si="37"/>
        <v>50.258729282217899</v>
      </c>
      <c r="AW31" s="233">
        <f t="shared" si="37"/>
        <v>51.735165688958787</v>
      </c>
      <c r="AX31" s="232"/>
      <c r="AY31" s="232"/>
      <c r="AZ31" s="232"/>
      <c r="BA31" s="232"/>
      <c r="BB31" s="232"/>
      <c r="BC31" s="232"/>
      <c r="BD31" s="232"/>
      <c r="BE31" s="232"/>
      <c r="BF31" s="2">
        <f t="shared" si="10"/>
        <v>25</v>
      </c>
    </row>
    <row r="32" spans="1:58" ht="11.25" customHeight="1" outlineLevel="1">
      <c r="A32" s="166"/>
      <c r="B32" s="46" t="s">
        <v>188</v>
      </c>
      <c r="C32" s="164">
        <f t="shared" ref="C32:K33" si="38">SUMIFS($N32:$AX32,$N$4:$AX$4,C$4)</f>
        <v>-113.65899999999999</v>
      </c>
      <c r="D32" s="164">
        <f t="shared" si="38"/>
        <v>-104.407</v>
      </c>
      <c r="E32" s="164">
        <f t="shared" si="38"/>
        <v>-96.733999999999995</v>
      </c>
      <c r="F32" s="164">
        <f t="shared" si="38"/>
        <v>-97.317999999999998</v>
      </c>
      <c r="G32" s="164">
        <f t="shared" si="38"/>
        <v>-92.754000000000005</v>
      </c>
      <c r="H32" s="164">
        <f t="shared" si="38"/>
        <v>-95.654999999999987</v>
      </c>
      <c r="I32" s="51">
        <f t="shared" si="38"/>
        <v>-104.941222</v>
      </c>
      <c r="J32" s="51">
        <f t="shared" si="38"/>
        <v>-104.941222</v>
      </c>
      <c r="K32" s="51">
        <f t="shared" si="38"/>
        <v>-104.941222</v>
      </c>
      <c r="L32" s="170"/>
      <c r="M32" s="164"/>
      <c r="N32" s="172">
        <v>-29.806000000000001</v>
      </c>
      <c r="O32" s="172">
        <v>-30.177</v>
      </c>
      <c r="P32" s="172">
        <v>-28.117999999999999</v>
      </c>
      <c r="Q32" s="172">
        <v>-25.558</v>
      </c>
      <c r="R32" s="172">
        <v>-27.54</v>
      </c>
      <c r="S32" s="172">
        <v>-26.942</v>
      </c>
      <c r="T32" s="172">
        <v>-24.463999999999999</v>
      </c>
      <c r="U32" s="172">
        <v>-25.460999999999999</v>
      </c>
      <c r="V32" s="172">
        <v>-23.881</v>
      </c>
      <c r="W32" s="172">
        <v>-24.56</v>
      </c>
      <c r="X32" s="171">
        <v>-24.169</v>
      </c>
      <c r="Y32" s="171">
        <v>-24.123999999999999</v>
      </c>
      <c r="Z32" s="171">
        <v>-23.209</v>
      </c>
      <c r="AA32" s="171">
        <v>-25.382000000000001</v>
      </c>
      <c r="AB32" s="171">
        <v>-22.622</v>
      </c>
      <c r="AC32" s="171">
        <v>-26.105</v>
      </c>
      <c r="AD32" s="171">
        <v>-23.806000000000001</v>
      </c>
      <c r="AE32" s="171">
        <v>-22.748000000000001</v>
      </c>
      <c r="AF32" s="171">
        <v>-21.771000000000001</v>
      </c>
      <c r="AG32" s="171">
        <v>-24.428999999999998</v>
      </c>
      <c r="AH32" s="171">
        <v>-24.25</v>
      </c>
      <c r="AI32" s="171">
        <v>-23.332999999999998</v>
      </c>
      <c r="AJ32" s="171">
        <f>-29.096+5.8</f>
        <v>-23.295999999999999</v>
      </c>
      <c r="AK32" s="171">
        <v>-24.776</v>
      </c>
      <c r="AL32" s="162">
        <f t="shared" ref="AL32:AW32" si="39">-(AL71/4)*AK226</f>
        <v>-26.235305499999999</v>
      </c>
      <c r="AM32" s="162">
        <f t="shared" si="39"/>
        <v>-26.235305499999999</v>
      </c>
      <c r="AN32" s="162">
        <f t="shared" si="39"/>
        <v>-26.235305499999999</v>
      </c>
      <c r="AO32" s="162">
        <f t="shared" si="39"/>
        <v>-26.235305499999999</v>
      </c>
      <c r="AP32" s="162">
        <f t="shared" si="39"/>
        <v>-26.235305499999999</v>
      </c>
      <c r="AQ32" s="162">
        <f t="shared" si="39"/>
        <v>-26.235305499999999</v>
      </c>
      <c r="AR32" s="162">
        <f t="shared" si="39"/>
        <v>-26.235305499999999</v>
      </c>
      <c r="AS32" s="162">
        <f t="shared" si="39"/>
        <v>-26.235305499999999</v>
      </c>
      <c r="AT32" s="162">
        <f t="shared" si="39"/>
        <v>-26.235305499999999</v>
      </c>
      <c r="AU32" s="162">
        <f t="shared" si="39"/>
        <v>-26.235305499999999</v>
      </c>
      <c r="AV32" s="162">
        <f t="shared" si="39"/>
        <v>-26.235305499999999</v>
      </c>
      <c r="AW32" s="162">
        <f t="shared" si="39"/>
        <v>-26.235305499999999</v>
      </c>
      <c r="AX32" s="162"/>
      <c r="AY32" s="162"/>
      <c r="AZ32" s="162"/>
      <c r="BA32" s="162"/>
      <c r="BB32" s="162"/>
      <c r="BC32" s="162"/>
      <c r="BD32" s="162"/>
      <c r="BE32" s="162"/>
      <c r="BF32" s="2">
        <f t="shared" si="10"/>
        <v>26</v>
      </c>
    </row>
    <row r="33" spans="1:58" ht="11.25" customHeight="1" outlineLevel="1">
      <c r="A33" s="166"/>
      <c r="B33" s="46" t="s">
        <v>187</v>
      </c>
      <c r="C33" s="164">
        <f t="shared" si="38"/>
        <v>32.951999999999998</v>
      </c>
      <c r="D33" s="164">
        <f t="shared" si="38"/>
        <v>2.0329999999999999</v>
      </c>
      <c r="E33" s="164">
        <f t="shared" si="38"/>
        <v>-7.681</v>
      </c>
      <c r="F33" s="164">
        <f t="shared" si="38"/>
        <v>-9.4740000000000002</v>
      </c>
      <c r="G33" s="164">
        <f t="shared" si="38"/>
        <v>22.622</v>
      </c>
      <c r="H33" s="164">
        <f t="shared" si="38"/>
        <v>-3.2990000000000004</v>
      </c>
      <c r="I33" s="51">
        <f t="shared" si="38"/>
        <v>0</v>
      </c>
      <c r="J33" s="51">
        <f t="shared" si="38"/>
        <v>0</v>
      </c>
      <c r="K33" s="51">
        <f t="shared" si="38"/>
        <v>0</v>
      </c>
      <c r="L33" s="170"/>
      <c r="M33" s="164"/>
      <c r="N33" s="172">
        <f>-0.287+(29+3)</f>
        <v>31.713000000000001</v>
      </c>
      <c r="O33" s="172"/>
      <c r="P33" s="172">
        <v>-0.84899999999999998</v>
      </c>
      <c r="Q33" s="239">
        <v>2.0880000000000001</v>
      </c>
      <c r="R33" s="172">
        <v>0.5</v>
      </c>
      <c r="S33" s="172">
        <f>0.773+-0.884</f>
        <v>-0.11099999999999999</v>
      </c>
      <c r="T33" s="172">
        <v>0.78900000000000003</v>
      </c>
      <c r="U33" s="172">
        <f>0.424+0.431</f>
        <v>0.85499999999999998</v>
      </c>
      <c r="V33" s="172">
        <v>-3.5000000000000003E-2</v>
      </c>
      <c r="W33" s="172">
        <v>0.60599999999999998</v>
      </c>
      <c r="X33" s="171">
        <v>-2.0510000000000002</v>
      </c>
      <c r="Y33" s="171">
        <v>-6.2009999999999996</v>
      </c>
      <c r="Z33" s="171">
        <v>-0.97099999999999997</v>
      </c>
      <c r="AA33" s="171">
        <f>-6.524</f>
        <v>-6.524</v>
      </c>
      <c r="AB33" s="171">
        <f>-3.123</f>
        <v>-3.1230000000000002</v>
      </c>
      <c r="AC33" s="171">
        <f>1.144</f>
        <v>1.1439999999999999</v>
      </c>
      <c r="AD33" s="171">
        <v>7.7549999999999999</v>
      </c>
      <c r="AE33" s="171">
        <f>10.681</f>
        <v>10.680999999999999</v>
      </c>
      <c r="AF33" s="171">
        <f>3.667</f>
        <v>3.6669999999999998</v>
      </c>
      <c r="AG33" s="171">
        <v>0.51900000000000002</v>
      </c>
      <c r="AH33" s="171">
        <v>0.64900000000000002</v>
      </c>
      <c r="AI33" s="171">
        <v>-2.1560000000000001</v>
      </c>
      <c r="AJ33" s="171">
        <v>-0.97</v>
      </c>
      <c r="AK33" s="171">
        <f>-0.822</f>
        <v>-0.82199999999999995</v>
      </c>
      <c r="AL33" s="172">
        <v>0</v>
      </c>
      <c r="AM33" s="172">
        <v>0</v>
      </c>
      <c r="AN33" s="172">
        <v>0</v>
      </c>
      <c r="AO33" s="172">
        <v>0</v>
      </c>
      <c r="AP33" s="172">
        <v>0</v>
      </c>
      <c r="AQ33" s="172">
        <v>0</v>
      </c>
      <c r="AR33" s="172">
        <v>0</v>
      </c>
      <c r="AS33" s="172">
        <v>0</v>
      </c>
      <c r="AT33" s="162">
        <v>0</v>
      </c>
      <c r="AU33" s="162">
        <v>0</v>
      </c>
      <c r="AV33" s="162">
        <v>0</v>
      </c>
      <c r="AW33" s="162">
        <v>0</v>
      </c>
      <c r="AX33" s="162"/>
      <c r="AY33" s="162"/>
      <c r="AZ33" s="162"/>
      <c r="BA33" s="162"/>
      <c r="BB33" s="162"/>
      <c r="BC33" s="162"/>
      <c r="BD33" s="162"/>
      <c r="BE33" s="162"/>
      <c r="BF33" s="2">
        <f t="shared" si="10"/>
        <v>27</v>
      </c>
    </row>
    <row r="34" spans="1:58" ht="11.25" customHeight="1" outlineLevel="1">
      <c r="A34" s="237"/>
      <c r="B34" s="236" t="s">
        <v>20</v>
      </c>
      <c r="C34" s="233">
        <f t="shared" ref="C34:K34" si="40">C31+C32+C33</f>
        <v>625.81500000000005</v>
      </c>
      <c r="D34" s="233">
        <f t="shared" si="40"/>
        <v>376.99300000000005</v>
      </c>
      <c r="E34" s="233">
        <f t="shared" si="40"/>
        <v>442.18900000000008</v>
      </c>
      <c r="F34" s="233">
        <f t="shared" si="40"/>
        <v>-297.07400000000001</v>
      </c>
      <c r="G34" s="233">
        <f t="shared" si="40"/>
        <v>-539.95900000000006</v>
      </c>
      <c r="H34" s="233">
        <f t="shared" si="40"/>
        <v>-357.79599999999999</v>
      </c>
      <c r="I34" s="233">
        <f t="shared" si="40"/>
        <v>-161.98460800037887</v>
      </c>
      <c r="J34" s="233">
        <f t="shared" si="40"/>
        <v>32.018354928255164</v>
      </c>
      <c r="K34" s="233">
        <f t="shared" si="40"/>
        <v>93.351089242313648</v>
      </c>
      <c r="L34" s="235"/>
      <c r="M34" s="164"/>
      <c r="N34" s="233">
        <f t="shared" ref="N34:AW34" si="41">N31+N32+N33</f>
        <v>143.36000000000001</v>
      </c>
      <c r="O34" s="233">
        <f t="shared" si="41"/>
        <v>208.82300000000001</v>
      </c>
      <c r="P34" s="233">
        <f t="shared" si="41"/>
        <v>150.47200000000004</v>
      </c>
      <c r="Q34" s="233">
        <f t="shared" si="41"/>
        <v>123.16000000000003</v>
      </c>
      <c r="R34" s="233">
        <f t="shared" si="41"/>
        <v>101.15400000000002</v>
      </c>
      <c r="S34" s="233">
        <f t="shared" si="41"/>
        <v>108.82299999999996</v>
      </c>
      <c r="T34" s="233">
        <f t="shared" si="41"/>
        <v>100.97799999999998</v>
      </c>
      <c r="U34" s="233">
        <f t="shared" si="41"/>
        <v>66.038000000000025</v>
      </c>
      <c r="V34" s="233">
        <f t="shared" si="41"/>
        <v>67.66</v>
      </c>
      <c r="W34" s="233">
        <f t="shared" si="41"/>
        <v>125.48699999999999</v>
      </c>
      <c r="X34" s="233">
        <f t="shared" si="41"/>
        <v>136.101</v>
      </c>
      <c r="Y34" s="233">
        <f t="shared" si="41"/>
        <v>112.941</v>
      </c>
      <c r="Z34" s="233">
        <f t="shared" si="41"/>
        <v>-2.3729999999999976</v>
      </c>
      <c r="AA34" s="233">
        <f t="shared" si="41"/>
        <v>-74.668000000000006</v>
      </c>
      <c r="AB34" s="233">
        <f t="shared" si="41"/>
        <v>-104.27900000000001</v>
      </c>
      <c r="AC34" s="233">
        <f t="shared" si="41"/>
        <v>-115.754</v>
      </c>
      <c r="AD34" s="233">
        <f t="shared" si="41"/>
        <v>-112.78399999999999</v>
      </c>
      <c r="AE34" s="233">
        <f t="shared" si="41"/>
        <v>-121.813</v>
      </c>
      <c r="AF34" s="233">
        <f t="shared" si="41"/>
        <v>-155.85100000000003</v>
      </c>
      <c r="AG34" s="233">
        <f t="shared" si="41"/>
        <v>-149.511</v>
      </c>
      <c r="AH34" s="233">
        <f t="shared" si="41"/>
        <v>-134.42500000000001</v>
      </c>
      <c r="AI34" s="233">
        <f t="shared" si="41"/>
        <v>-92.050000000000011</v>
      </c>
      <c r="AJ34" s="233">
        <f t="shared" si="41"/>
        <v>-69.63900000000001</v>
      </c>
      <c r="AK34" s="233">
        <f t="shared" si="41"/>
        <v>-61.682000000000002</v>
      </c>
      <c r="AL34" s="233">
        <f t="shared" si="41"/>
        <v>-70.444216299999994</v>
      </c>
      <c r="AM34" s="233">
        <f t="shared" si="41"/>
        <v>-51.944638253500017</v>
      </c>
      <c r="AN34" s="233">
        <f t="shared" si="41"/>
        <v>-26.442716670510887</v>
      </c>
      <c r="AO34" s="233">
        <f t="shared" si="41"/>
        <v>-13.153036776367987</v>
      </c>
      <c r="AP34" s="233">
        <f t="shared" si="41"/>
        <v>-2.0537601949424023</v>
      </c>
      <c r="AQ34" s="233">
        <f t="shared" si="41"/>
        <v>4.5453272131161171</v>
      </c>
      <c r="AR34" s="233">
        <f t="shared" si="41"/>
        <v>11.303852186665292</v>
      </c>
      <c r="AS34" s="233">
        <f t="shared" si="41"/>
        <v>18.222935723416146</v>
      </c>
      <c r="AT34" s="233">
        <f t="shared" si="41"/>
        <v>21.228498899802272</v>
      </c>
      <c r="AU34" s="233">
        <f t="shared" si="41"/>
        <v>22.599306371334674</v>
      </c>
      <c r="AV34" s="233">
        <f t="shared" si="41"/>
        <v>24.0234237822179</v>
      </c>
      <c r="AW34" s="233">
        <f t="shared" si="41"/>
        <v>25.499860188958788</v>
      </c>
      <c r="AX34" s="232"/>
      <c r="AY34" s="232"/>
      <c r="AZ34" s="232"/>
      <c r="BA34" s="232"/>
      <c r="BB34" s="232"/>
      <c r="BC34" s="232"/>
      <c r="BD34" s="232"/>
      <c r="BE34" s="232"/>
      <c r="BF34" s="2">
        <f t="shared" si="10"/>
        <v>28</v>
      </c>
    </row>
    <row r="35" spans="1:58" ht="11.25" customHeight="1" outlineLevel="1">
      <c r="A35" s="166"/>
      <c r="B35" s="46" t="s">
        <v>240</v>
      </c>
      <c r="C35" s="164">
        <f t="shared" ref="C35:K35" si="42">SUMIFS($N35:$AX35,$N$4:$AX$4,C$4)</f>
        <v>-228.03400000000002</v>
      </c>
      <c r="D35" s="164">
        <f t="shared" si="42"/>
        <v>-126.61099999999999</v>
      </c>
      <c r="E35" s="164">
        <f t="shared" si="42"/>
        <v>-161.399</v>
      </c>
      <c r="F35" s="164">
        <f t="shared" si="42"/>
        <v>102.98000000000019</v>
      </c>
      <c r="G35" s="164">
        <f t="shared" si="42"/>
        <v>162.596</v>
      </c>
      <c r="H35" s="164">
        <f t="shared" si="42"/>
        <v>108.03300000000002</v>
      </c>
      <c r="I35" s="51">
        <f t="shared" si="42"/>
        <v>30.777075520071989</v>
      </c>
      <c r="J35" s="51">
        <f t="shared" si="42"/>
        <v>-6.083487436368479</v>
      </c>
      <c r="K35" s="51">
        <f t="shared" si="42"/>
        <v>-17.73670695603959</v>
      </c>
      <c r="L35" s="170"/>
      <c r="M35" s="164"/>
      <c r="N35" s="172">
        <f>-41.203-(29+3.1)*0.3</f>
        <v>-50.833000000000006</v>
      </c>
      <c r="O35" s="172">
        <f>-83.88+6.616</f>
        <v>-77.263999999999996</v>
      </c>
      <c r="P35" s="172">
        <v>-55.14</v>
      </c>
      <c r="Q35" s="172">
        <v>-44.796999999999997</v>
      </c>
      <c r="R35" s="172">
        <v>-37.427</v>
      </c>
      <c r="S35" s="172">
        <v>-40.264000000000003</v>
      </c>
      <c r="T35" s="172">
        <v>-31.143000000000001</v>
      </c>
      <c r="U35" s="172">
        <f>69.001-(357.934+90.644)+361.8</f>
        <v>-17.776999999999987</v>
      </c>
      <c r="V35" s="172">
        <v>-25.033999999999999</v>
      </c>
      <c r="W35" s="172">
        <v>-46.43</v>
      </c>
      <c r="X35" s="172">
        <v>-50.357999999999997</v>
      </c>
      <c r="Y35" s="172">
        <v>-39.576999999999998</v>
      </c>
      <c r="Z35" s="172">
        <v>0.878</v>
      </c>
      <c r="AA35" s="172">
        <f>107.173-(807.637-727.755)</f>
        <v>27.291000000000054</v>
      </c>
      <c r="AB35" s="172">
        <f>53.825-((755.632+10.501)-747.763)</f>
        <v>35.455000000000112</v>
      </c>
      <c r="AC35" s="172">
        <f>90.144+(-175.618-36.219+153.263)+22.9*0.34</f>
        <v>39.356000000000023</v>
      </c>
      <c r="AD35" s="172">
        <f>43.548-(15.3-10.099)</f>
        <v>38.347000000000001</v>
      </c>
      <c r="AE35" s="172">
        <f>120.866-79.45</f>
        <v>41.415999999999997</v>
      </c>
      <c r="AF35" s="172">
        <f>46.185-1.225</f>
        <v>44.96</v>
      </c>
      <c r="AG35" s="172">
        <f>56.402-18.529</f>
        <v>37.873000000000005</v>
      </c>
      <c r="AH35" s="172">
        <v>44.764000000000003</v>
      </c>
      <c r="AI35" s="172">
        <v>30.010999999999999</v>
      </c>
      <c r="AJ35" s="172">
        <f>28.203-3.287-5.8*0.375</f>
        <v>22.741</v>
      </c>
      <c r="AK35" s="172">
        <f>87.762-76.529-0.716</f>
        <v>10.517000000000005</v>
      </c>
      <c r="AL35" s="164">
        <f t="shared" ref="AL35:AW35" si="43">-AL72*AL34</f>
        <v>13.384401097</v>
      </c>
      <c r="AM35" s="164">
        <f t="shared" si="43"/>
        <v>9.8694812681650035</v>
      </c>
      <c r="AN35" s="164">
        <f t="shared" si="43"/>
        <v>5.0241161673970689</v>
      </c>
      <c r="AO35" s="164">
        <f t="shared" si="43"/>
        <v>2.4990769875099175</v>
      </c>
      <c r="AP35" s="164">
        <f t="shared" si="43"/>
        <v>0.39021443703905645</v>
      </c>
      <c r="AQ35" s="164">
        <f t="shared" si="43"/>
        <v>-0.86361217049206229</v>
      </c>
      <c r="AR35" s="164">
        <f t="shared" si="43"/>
        <v>-2.1477319154664056</v>
      </c>
      <c r="AS35" s="164">
        <f t="shared" si="43"/>
        <v>-3.4623577874490676</v>
      </c>
      <c r="AT35" s="164">
        <f t="shared" si="43"/>
        <v>-4.0334147909624321</v>
      </c>
      <c r="AU35" s="164">
        <f t="shared" si="43"/>
        <v>-4.2938682105535877</v>
      </c>
      <c r="AV35" s="164">
        <f t="shared" si="43"/>
        <v>-4.5644505186214008</v>
      </c>
      <c r="AW35" s="164">
        <f t="shared" si="43"/>
        <v>-4.8449734359021699</v>
      </c>
      <c r="AX35" s="162"/>
      <c r="AY35" s="162"/>
      <c r="AZ35" s="162"/>
      <c r="BA35" s="162"/>
      <c r="BB35" s="162"/>
      <c r="BC35" s="162"/>
      <c r="BD35" s="162"/>
      <c r="BE35" s="162"/>
      <c r="BF35" s="2">
        <f t="shared" si="10"/>
        <v>29</v>
      </c>
    </row>
    <row r="36" spans="1:58" ht="11.25" customHeight="1" outlineLevel="1">
      <c r="A36" s="237"/>
      <c r="B36" s="236" t="s">
        <v>186</v>
      </c>
      <c r="C36" s="233">
        <f t="shared" ref="C36:K36" si="44">C34+C35</f>
        <v>397.78100000000006</v>
      </c>
      <c r="D36" s="233">
        <f t="shared" si="44"/>
        <v>250.38200000000006</v>
      </c>
      <c r="E36" s="233">
        <f t="shared" si="44"/>
        <v>280.79000000000008</v>
      </c>
      <c r="F36" s="233">
        <f t="shared" si="44"/>
        <v>-194.09399999999982</v>
      </c>
      <c r="G36" s="233">
        <f t="shared" si="44"/>
        <v>-377.36300000000006</v>
      </c>
      <c r="H36" s="233">
        <f t="shared" si="44"/>
        <v>-249.76299999999998</v>
      </c>
      <c r="I36" s="233">
        <f t="shared" si="44"/>
        <v>-131.2075324803069</v>
      </c>
      <c r="J36" s="233">
        <f t="shared" si="44"/>
        <v>25.934867491886685</v>
      </c>
      <c r="K36" s="233">
        <f t="shared" si="44"/>
        <v>75.614382286274065</v>
      </c>
      <c r="L36" s="235"/>
      <c r="M36" s="234"/>
      <c r="N36" s="233">
        <f>N34+N35</f>
        <v>92.527000000000015</v>
      </c>
      <c r="O36" s="233">
        <f>O34+O35</f>
        <v>131.55900000000003</v>
      </c>
      <c r="P36" s="233">
        <f>P34+P35</f>
        <v>95.332000000000036</v>
      </c>
      <c r="Q36" s="233">
        <f>Q34+Q35</f>
        <v>78.363000000000028</v>
      </c>
      <c r="R36" s="233">
        <f t="shared" ref="R36:AW36" si="45">R34+R35</f>
        <v>63.727000000000025</v>
      </c>
      <c r="S36" s="233">
        <f t="shared" si="45"/>
        <v>68.558999999999969</v>
      </c>
      <c r="T36" s="233">
        <f t="shared" si="45"/>
        <v>69.83499999999998</v>
      </c>
      <c r="U36" s="233">
        <f t="shared" si="45"/>
        <v>48.261000000000038</v>
      </c>
      <c r="V36" s="233">
        <f t="shared" si="45"/>
        <v>42.625999999999998</v>
      </c>
      <c r="W36" s="233">
        <f t="shared" si="45"/>
        <v>79.056999999999988</v>
      </c>
      <c r="X36" s="233">
        <f t="shared" si="45"/>
        <v>85.742999999999995</v>
      </c>
      <c r="Y36" s="233">
        <f t="shared" si="45"/>
        <v>73.364000000000004</v>
      </c>
      <c r="Z36" s="233">
        <f t="shared" si="45"/>
        <v>-1.4949999999999974</v>
      </c>
      <c r="AA36" s="233">
        <f t="shared" si="45"/>
        <v>-47.376999999999953</v>
      </c>
      <c r="AB36" s="233">
        <f t="shared" si="45"/>
        <v>-68.823999999999899</v>
      </c>
      <c r="AC36" s="233">
        <f t="shared" si="45"/>
        <v>-76.397999999999982</v>
      </c>
      <c r="AD36" s="233">
        <f t="shared" si="45"/>
        <v>-74.436999999999983</v>
      </c>
      <c r="AE36" s="233">
        <f t="shared" si="45"/>
        <v>-80.397000000000006</v>
      </c>
      <c r="AF36" s="233">
        <f t="shared" si="45"/>
        <v>-110.89100000000002</v>
      </c>
      <c r="AG36" s="233">
        <f t="shared" si="45"/>
        <v>-111.63799999999999</v>
      </c>
      <c r="AH36" s="233">
        <f t="shared" si="45"/>
        <v>-89.661000000000001</v>
      </c>
      <c r="AI36" s="233">
        <f t="shared" si="45"/>
        <v>-62.039000000000016</v>
      </c>
      <c r="AJ36" s="233">
        <f t="shared" si="45"/>
        <v>-46.89800000000001</v>
      </c>
      <c r="AK36" s="233">
        <f t="shared" si="45"/>
        <v>-51.164999999999999</v>
      </c>
      <c r="AL36" s="233">
        <f t="shared" si="45"/>
        <v>-57.059815202999992</v>
      </c>
      <c r="AM36" s="233">
        <f t="shared" si="45"/>
        <v>-42.075156985335013</v>
      </c>
      <c r="AN36" s="233">
        <f t="shared" si="45"/>
        <v>-21.418600503113819</v>
      </c>
      <c r="AO36" s="233">
        <f t="shared" si="45"/>
        <v>-10.653959788858069</v>
      </c>
      <c r="AP36" s="233">
        <f t="shared" si="45"/>
        <v>-1.6635457579033459</v>
      </c>
      <c r="AQ36" s="233">
        <f t="shared" si="45"/>
        <v>3.681715042624055</v>
      </c>
      <c r="AR36" s="233">
        <f t="shared" si="45"/>
        <v>9.1561202711988869</v>
      </c>
      <c r="AS36" s="233">
        <f t="shared" si="45"/>
        <v>14.760577935967078</v>
      </c>
      <c r="AT36" s="233">
        <f t="shared" si="45"/>
        <v>17.19508410883984</v>
      </c>
      <c r="AU36" s="233">
        <f t="shared" si="45"/>
        <v>18.305438160781087</v>
      </c>
      <c r="AV36" s="233">
        <f t="shared" si="45"/>
        <v>19.458973263596498</v>
      </c>
      <c r="AW36" s="233">
        <f t="shared" si="45"/>
        <v>20.654886753056619</v>
      </c>
      <c r="AX36" s="232"/>
      <c r="AY36" s="232"/>
      <c r="AZ36" s="232"/>
      <c r="BA36" s="232"/>
      <c r="BB36" s="232"/>
      <c r="BC36" s="232"/>
      <c r="BD36" s="232"/>
      <c r="BE36" s="232"/>
      <c r="BF36" s="2">
        <f t="shared" si="10"/>
        <v>30</v>
      </c>
    </row>
    <row r="37" spans="1:58" ht="11.25" customHeight="1" outlineLevel="1">
      <c r="A37" s="166"/>
      <c r="B37" s="46" t="s">
        <v>185</v>
      </c>
      <c r="C37" s="164">
        <f t="shared" ref="C37:K37" si="46">SUMIFS($N37:$AX37,$N$4:$AX$4,C$4)</f>
        <v>-31.945999999999994</v>
      </c>
      <c r="D37" s="164">
        <f t="shared" si="46"/>
        <v>-361.8</v>
      </c>
      <c r="E37" s="164">
        <f t="shared" si="46"/>
        <v>-22.972999999999999</v>
      </c>
      <c r="F37" s="164">
        <f t="shared" si="46"/>
        <v>-1660.6220000000001</v>
      </c>
      <c r="G37" s="164">
        <f t="shared" si="46"/>
        <v>-464.55400000000009</v>
      </c>
      <c r="H37" s="164">
        <f t="shared" si="46"/>
        <v>43.841999999999999</v>
      </c>
      <c r="I37" s="51">
        <f t="shared" si="46"/>
        <v>0</v>
      </c>
      <c r="J37" s="51">
        <f t="shared" si="46"/>
        <v>0</v>
      </c>
      <c r="K37" s="51">
        <f t="shared" si="46"/>
        <v>0</v>
      </c>
      <c r="L37" s="170"/>
      <c r="M37" s="164"/>
      <c r="N37" s="172">
        <f>-(29+3.1)*0.7-16.237</f>
        <v>-38.706999999999994</v>
      </c>
      <c r="O37" s="172">
        <f>-0.97-6.616+17.88</f>
        <v>10.294</v>
      </c>
      <c r="P37" s="172">
        <f>-2.294+0.849</f>
        <v>-1.4450000000000001</v>
      </c>
      <c r="Q37" s="172">
        <v>-2.0880000000000001</v>
      </c>
      <c r="R37" s="172">
        <v>0</v>
      </c>
      <c r="S37" s="172">
        <v>0</v>
      </c>
      <c r="T37" s="172">
        <v>0</v>
      </c>
      <c r="U37" s="172">
        <v>-361.8</v>
      </c>
      <c r="V37" s="172">
        <v>-5.9539999999999997</v>
      </c>
      <c r="W37" s="172">
        <v>-3.895</v>
      </c>
      <c r="X37" s="172">
        <v>-5.8860000000000001</v>
      </c>
      <c r="Y37" s="172">
        <v>-7.2380000000000004</v>
      </c>
      <c r="Z37" s="172">
        <v>-9.64</v>
      </c>
      <c r="AA37" s="172">
        <f>-9.857-727.755</f>
        <v>-737.61199999999997</v>
      </c>
      <c r="AB37" s="172">
        <f>-4.61-747.763</f>
        <v>-752.37300000000005</v>
      </c>
      <c r="AC37" s="172">
        <f>-22.848-153.263+22.9*0.66</f>
        <v>-160.99699999999999</v>
      </c>
      <c r="AD37" s="172">
        <f>-2.267-10.099</f>
        <v>-12.366</v>
      </c>
      <c r="AE37" s="172">
        <f>-2.225-(467.685-79.45)</f>
        <v>-390.46000000000004</v>
      </c>
      <c r="AF37" s="172">
        <f>-4.085-4.247+1.225</f>
        <v>-7.1070000000000011</v>
      </c>
      <c r="AG37" s="172">
        <f>-73.15+18.529</f>
        <v>-54.621000000000009</v>
      </c>
      <c r="AH37" s="172">
        <v>-1.998</v>
      </c>
      <c r="AI37" s="172">
        <v>-1.7669999999999999</v>
      </c>
      <c r="AJ37" s="172">
        <f>-1.86-(9.953-3.287)-5.8*(1-0.375)</f>
        <v>-12.151</v>
      </c>
      <c r="AK37" s="172">
        <f>-13.285+76.529-(4.202-0.716)</f>
        <v>59.758000000000003</v>
      </c>
      <c r="AL37" s="172">
        <v>0</v>
      </c>
      <c r="AM37" s="172">
        <v>0</v>
      </c>
      <c r="AN37" s="172">
        <v>0</v>
      </c>
      <c r="AO37" s="172">
        <v>0</v>
      </c>
      <c r="AP37" s="172">
        <v>0</v>
      </c>
      <c r="AQ37" s="172">
        <v>0</v>
      </c>
      <c r="AR37" s="172">
        <v>0</v>
      </c>
      <c r="AS37" s="172">
        <v>0</v>
      </c>
      <c r="AT37" s="164">
        <v>0</v>
      </c>
      <c r="AU37" s="164">
        <v>0</v>
      </c>
      <c r="AV37" s="164">
        <v>0</v>
      </c>
      <c r="AW37" s="164">
        <v>0</v>
      </c>
      <c r="AX37" s="162"/>
      <c r="AY37" s="162"/>
      <c r="AZ37" s="162"/>
      <c r="BA37" s="162"/>
      <c r="BB37" s="162"/>
      <c r="BC37" s="162"/>
      <c r="BD37" s="162"/>
      <c r="BE37" s="162"/>
      <c r="BF37" s="2">
        <f t="shared" si="10"/>
        <v>31</v>
      </c>
    </row>
    <row r="38" spans="1:58" ht="11.25" customHeight="1" outlineLevel="1">
      <c r="A38" s="237"/>
      <c r="B38" s="236" t="s">
        <v>142</v>
      </c>
      <c r="C38" s="233">
        <f t="shared" ref="C38:K38" si="47">C36+C37</f>
        <v>365.83500000000009</v>
      </c>
      <c r="D38" s="233">
        <f t="shared" si="47"/>
        <v>-111.41799999999995</v>
      </c>
      <c r="E38" s="233">
        <f t="shared" si="47"/>
        <v>257.81700000000006</v>
      </c>
      <c r="F38" s="233">
        <f t="shared" si="47"/>
        <v>-1854.7159999999999</v>
      </c>
      <c r="G38" s="233">
        <f t="shared" si="47"/>
        <v>-841.91700000000014</v>
      </c>
      <c r="H38" s="233">
        <f t="shared" si="47"/>
        <v>-205.92099999999999</v>
      </c>
      <c r="I38" s="233">
        <f t="shared" si="47"/>
        <v>-131.2075324803069</v>
      </c>
      <c r="J38" s="233">
        <f t="shared" si="47"/>
        <v>25.934867491886685</v>
      </c>
      <c r="K38" s="233">
        <f t="shared" si="47"/>
        <v>75.614382286274065</v>
      </c>
      <c r="L38" s="235"/>
      <c r="M38" s="234"/>
      <c r="N38" s="233">
        <f>N36+N37</f>
        <v>53.820000000000022</v>
      </c>
      <c r="O38" s="233">
        <f>O36+O37</f>
        <v>141.85300000000004</v>
      </c>
      <c r="P38" s="233">
        <f>P36+P37</f>
        <v>93.887000000000043</v>
      </c>
      <c r="Q38" s="233">
        <f>Q36+Q37</f>
        <v>76.275000000000034</v>
      </c>
      <c r="R38" s="233">
        <f t="shared" ref="R38:AW38" si="48">R36+R37</f>
        <v>63.727000000000025</v>
      </c>
      <c r="S38" s="233">
        <f t="shared" si="48"/>
        <v>68.558999999999969</v>
      </c>
      <c r="T38" s="233">
        <f t="shared" si="48"/>
        <v>69.83499999999998</v>
      </c>
      <c r="U38" s="233">
        <f t="shared" si="48"/>
        <v>-313.53899999999999</v>
      </c>
      <c r="V38" s="233">
        <f t="shared" si="48"/>
        <v>36.671999999999997</v>
      </c>
      <c r="W38" s="233">
        <f t="shared" si="48"/>
        <v>75.161999999999992</v>
      </c>
      <c r="X38" s="233">
        <f t="shared" si="48"/>
        <v>79.856999999999999</v>
      </c>
      <c r="Y38" s="233">
        <f t="shared" si="48"/>
        <v>66.126000000000005</v>
      </c>
      <c r="Z38" s="233">
        <f t="shared" si="48"/>
        <v>-11.134999999999998</v>
      </c>
      <c r="AA38" s="233">
        <f t="shared" si="48"/>
        <v>-784.98899999999992</v>
      </c>
      <c r="AB38" s="233">
        <f t="shared" si="48"/>
        <v>-821.19699999999989</v>
      </c>
      <c r="AC38" s="233">
        <f t="shared" si="48"/>
        <v>-237.39499999999998</v>
      </c>
      <c r="AD38" s="233">
        <f t="shared" si="48"/>
        <v>-86.802999999999983</v>
      </c>
      <c r="AE38" s="233">
        <f t="shared" si="48"/>
        <v>-470.85700000000003</v>
      </c>
      <c r="AF38" s="233">
        <f t="shared" si="48"/>
        <v>-117.99800000000002</v>
      </c>
      <c r="AG38" s="233">
        <f t="shared" si="48"/>
        <v>-166.25900000000001</v>
      </c>
      <c r="AH38" s="233">
        <f t="shared" si="48"/>
        <v>-91.659000000000006</v>
      </c>
      <c r="AI38" s="233">
        <f t="shared" si="48"/>
        <v>-63.806000000000019</v>
      </c>
      <c r="AJ38" s="233">
        <f t="shared" si="48"/>
        <v>-59.049000000000007</v>
      </c>
      <c r="AK38" s="233">
        <f t="shared" si="48"/>
        <v>8.5930000000000035</v>
      </c>
      <c r="AL38" s="233">
        <f t="shared" si="48"/>
        <v>-57.059815202999992</v>
      </c>
      <c r="AM38" s="233">
        <f t="shared" si="48"/>
        <v>-42.075156985335013</v>
      </c>
      <c r="AN38" s="233">
        <f t="shared" si="48"/>
        <v>-21.418600503113819</v>
      </c>
      <c r="AO38" s="233">
        <f t="shared" si="48"/>
        <v>-10.653959788858069</v>
      </c>
      <c r="AP38" s="233">
        <f t="shared" si="48"/>
        <v>-1.6635457579033459</v>
      </c>
      <c r="AQ38" s="233">
        <f t="shared" si="48"/>
        <v>3.681715042624055</v>
      </c>
      <c r="AR38" s="233">
        <f t="shared" si="48"/>
        <v>9.1561202711988869</v>
      </c>
      <c r="AS38" s="233">
        <f t="shared" si="48"/>
        <v>14.760577935967078</v>
      </c>
      <c r="AT38" s="233">
        <f t="shared" si="48"/>
        <v>17.19508410883984</v>
      </c>
      <c r="AU38" s="233">
        <f t="shared" si="48"/>
        <v>18.305438160781087</v>
      </c>
      <c r="AV38" s="233">
        <f t="shared" si="48"/>
        <v>19.458973263596498</v>
      </c>
      <c r="AW38" s="233">
        <f t="shared" si="48"/>
        <v>20.654886753056619</v>
      </c>
      <c r="AX38" s="232"/>
      <c r="AY38" s="232"/>
      <c r="AZ38" s="232"/>
      <c r="BA38" s="232"/>
      <c r="BB38" s="232"/>
      <c r="BC38" s="232"/>
      <c r="BD38" s="232"/>
      <c r="BE38" s="232"/>
      <c r="BF38" s="2">
        <f t="shared" si="10"/>
        <v>32</v>
      </c>
    </row>
    <row r="39" spans="1:58" ht="11.25" customHeight="1" outlineLevel="1">
      <c r="A39" s="47"/>
      <c r="B39" s="136"/>
      <c r="C39" s="228"/>
      <c r="D39" s="228"/>
      <c r="E39" s="16"/>
      <c r="F39" s="16"/>
      <c r="G39" s="16"/>
      <c r="H39" s="16"/>
      <c r="I39" s="231"/>
      <c r="J39" s="16"/>
      <c r="K39" s="16"/>
      <c r="L39" s="230"/>
      <c r="M39" s="43"/>
      <c r="N39" s="228"/>
      <c r="O39" s="228"/>
      <c r="P39" s="228"/>
      <c r="Q39" s="228"/>
      <c r="R39" s="228"/>
      <c r="S39" s="228"/>
      <c r="T39" s="228"/>
      <c r="U39" s="229"/>
      <c r="V39" s="228"/>
      <c r="W39" s="228"/>
      <c r="X39" s="228"/>
      <c r="Y39" s="228"/>
      <c r="Z39" s="228"/>
      <c r="AA39" s="228"/>
      <c r="AB39" s="228"/>
      <c r="AC39" s="227"/>
      <c r="AD39" s="227"/>
      <c r="AE39" s="227"/>
      <c r="AF39" s="227"/>
      <c r="AG39" s="227"/>
      <c r="AH39" s="227"/>
      <c r="AI39" s="227"/>
      <c r="AJ39" s="227"/>
      <c r="AK39" s="227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5"/>
      <c r="AY39" s="5"/>
      <c r="AZ39" s="5"/>
      <c r="BA39" s="5"/>
      <c r="BB39" s="5"/>
      <c r="BC39" s="5"/>
      <c r="BD39" s="5"/>
      <c r="BE39" s="5"/>
      <c r="BF39" s="2">
        <f t="shared" si="10"/>
        <v>33</v>
      </c>
    </row>
    <row r="40" spans="1:58" ht="11.25" customHeight="1" outlineLevel="1">
      <c r="A40" s="47"/>
      <c r="B40" s="150" t="s">
        <v>184</v>
      </c>
      <c r="C40" s="224">
        <f>C36/C42</f>
        <v>2.6375383126043292</v>
      </c>
      <c r="D40" s="226">
        <f t="shared" ref="D40:K40" si="49">IF(ISERROR(D36/D42),"NM",D36/D42)</f>
        <v>1.5612916501682068</v>
      </c>
      <c r="E40" s="226">
        <f t="shared" si="49"/>
        <v>1.7863436543734537</v>
      </c>
      <c r="F40" s="226">
        <f t="shared" si="49"/>
        <v>-1.2900168484997514</v>
      </c>
      <c r="G40" s="226">
        <f t="shared" si="49"/>
        <v>-2.4899080873862647</v>
      </c>
      <c r="H40" s="226">
        <f t="shared" si="49"/>
        <v>-1.6331717683599654</v>
      </c>
      <c r="I40" s="226">
        <f t="shared" si="49"/>
        <v>-0.85182499177167659</v>
      </c>
      <c r="J40" s="226">
        <f t="shared" si="49"/>
        <v>0.16545847997592908</v>
      </c>
      <c r="K40" s="226">
        <f t="shared" si="49"/>
        <v>0.47643054155501602</v>
      </c>
      <c r="L40" s="225"/>
      <c r="M40" s="224"/>
      <c r="N40" s="224">
        <f>N36/N42</f>
        <v>0.72659096620178432</v>
      </c>
      <c r="O40" s="224">
        <f>O36/O42</f>
        <v>0.82933456049220855</v>
      </c>
      <c r="P40" s="224">
        <f>P36/P42</f>
        <v>0.60117546160831425</v>
      </c>
      <c r="Q40" s="224">
        <f>Q36/Q42</f>
        <v>0.49375271723720787</v>
      </c>
      <c r="R40" s="224">
        <f t="shared" ref="R40:AW40" si="50">R36/R42</f>
        <v>0.3972187766855948</v>
      </c>
      <c r="S40" s="224">
        <f t="shared" si="50"/>
        <v>0.42601752314670954</v>
      </c>
      <c r="T40" s="224">
        <f t="shared" si="50"/>
        <v>0.43407320848069703</v>
      </c>
      <c r="U40" s="224">
        <f t="shared" si="50"/>
        <v>0.30309367699148415</v>
      </c>
      <c r="V40" s="224">
        <f t="shared" si="50"/>
        <v>0.26490255543402602</v>
      </c>
      <c r="W40" s="224">
        <f t="shared" si="50"/>
        <v>0.49689819674294938</v>
      </c>
      <c r="X40" s="224">
        <f t="shared" si="50"/>
        <v>0.5484533312864599</v>
      </c>
      <c r="Y40" s="224">
        <f t="shared" si="50"/>
        <v>0.48139423487030758</v>
      </c>
      <c r="Z40" s="224">
        <f t="shared" si="50"/>
        <v>-9.9745798333344283E-3</v>
      </c>
      <c r="AA40" s="224">
        <f t="shared" si="50"/>
        <v>-0.31482872047047844</v>
      </c>
      <c r="AB40" s="224">
        <f t="shared" si="50"/>
        <v>-0.45656817608894601</v>
      </c>
      <c r="AC40" s="224">
        <f t="shared" si="50"/>
        <v>-0.50686676485808679</v>
      </c>
      <c r="AD40" s="224">
        <f t="shared" si="50"/>
        <v>-0.49190478707937918</v>
      </c>
      <c r="AE40" s="224">
        <f t="shared" si="50"/>
        <v>-0.53082743503063601</v>
      </c>
      <c r="AF40" s="224">
        <f t="shared" si="50"/>
        <v>-0.73095506469708071</v>
      </c>
      <c r="AG40" s="224">
        <f t="shared" si="50"/>
        <v>-0.73571414449621386</v>
      </c>
      <c r="AH40" s="224">
        <f t="shared" si="50"/>
        <v>-0.58716707814618119</v>
      </c>
      <c r="AI40" s="224">
        <f t="shared" si="50"/>
        <v>-0.40586299613364135</v>
      </c>
      <c r="AJ40" s="224">
        <f t="shared" si="50"/>
        <v>-0.30635868358134866</v>
      </c>
      <c r="AK40" s="224">
        <f t="shared" si="50"/>
        <v>-0.33422608354835548</v>
      </c>
      <c r="AL40" s="224">
        <f t="shared" si="50"/>
        <v>-0.37183497263305121</v>
      </c>
      <c r="AM40" s="224">
        <f t="shared" si="50"/>
        <v>-0.2735024603748889</v>
      </c>
      <c r="AN40" s="224">
        <f t="shared" si="50"/>
        <v>-0.13888079749845397</v>
      </c>
      <c r="AO40" s="224">
        <f t="shared" si="50"/>
        <v>-6.8909291264251535E-2</v>
      </c>
      <c r="AP40" s="224">
        <f t="shared" si="50"/>
        <v>-1.0732900414994907E-2</v>
      </c>
      <c r="AQ40" s="224">
        <f t="shared" si="50"/>
        <v>2.345993289250645E-2</v>
      </c>
      <c r="AR40" s="224">
        <f t="shared" si="50"/>
        <v>5.8197415846697104E-2</v>
      </c>
      <c r="AS40" s="224">
        <f t="shared" si="50"/>
        <v>9.3586066335841211E-2</v>
      </c>
      <c r="AT40" s="224">
        <f t="shared" si="50"/>
        <v>0.10874962151645143</v>
      </c>
      <c r="AU40" s="224">
        <f t="shared" si="50"/>
        <v>0.11548330303802544</v>
      </c>
      <c r="AV40" s="224">
        <f t="shared" si="50"/>
        <v>0.12245446026179774</v>
      </c>
      <c r="AW40" s="224">
        <f t="shared" si="50"/>
        <v>0.12965615071318129</v>
      </c>
      <c r="AX40" s="223"/>
      <c r="AY40" s="223"/>
      <c r="AZ40" s="223"/>
      <c r="BA40" s="223"/>
      <c r="BB40" s="223"/>
      <c r="BC40" s="223"/>
      <c r="BD40" s="223"/>
      <c r="BE40" s="223"/>
      <c r="BF40" s="2">
        <f t="shared" si="10"/>
        <v>34</v>
      </c>
    </row>
    <row r="41" spans="1:58" ht="11.25" customHeight="1" outlineLevel="1">
      <c r="A41" s="50"/>
      <c r="B41" s="48" t="s">
        <v>183</v>
      </c>
      <c r="C41" s="86">
        <f>C38/C42</f>
        <v>2.4257162322775723</v>
      </c>
      <c r="D41" s="222">
        <f t="shared" ref="D41:K41" si="51">IF(ISERROR(D38/D42),"NM",D38/D42)</f>
        <v>-0.69476237540414709</v>
      </c>
      <c r="E41" s="222">
        <f t="shared" si="51"/>
        <v>1.6401928912696346</v>
      </c>
      <c r="F41" s="222">
        <f t="shared" si="51"/>
        <v>-12.327093517481565</v>
      </c>
      <c r="G41" s="222">
        <f t="shared" si="51"/>
        <v>-5.5551178764425275</v>
      </c>
      <c r="H41" s="222">
        <f t="shared" si="51"/>
        <v>-1.3464939310964894</v>
      </c>
      <c r="I41" s="222">
        <f t="shared" si="51"/>
        <v>-0.85182499177167659</v>
      </c>
      <c r="J41" s="222">
        <f t="shared" si="51"/>
        <v>0.16545847997592908</v>
      </c>
      <c r="K41" s="222">
        <f t="shared" si="51"/>
        <v>0.47643054155501602</v>
      </c>
      <c r="L41" s="221"/>
      <c r="M41" s="3"/>
      <c r="N41" s="86">
        <f>N38/N42</f>
        <v>0.42263475310968734</v>
      </c>
      <c r="O41" s="86">
        <f>O38/O42</f>
        <v>0.89422688990871979</v>
      </c>
      <c r="P41" s="86">
        <f>P38/P42</f>
        <v>0.59206311169407755</v>
      </c>
      <c r="Q41" s="86">
        <f>Q38/Q42</f>
        <v>0.48059656352191765</v>
      </c>
      <c r="R41" s="86">
        <f t="shared" ref="R41:AW41" si="52">R38/R42</f>
        <v>0.3972187766855948</v>
      </c>
      <c r="S41" s="86">
        <f t="shared" si="52"/>
        <v>0.42601752314670954</v>
      </c>
      <c r="T41" s="86">
        <f t="shared" si="52"/>
        <v>0.43407320848069703</v>
      </c>
      <c r="U41" s="86">
        <f t="shared" si="52"/>
        <v>-1.969119752807295</v>
      </c>
      <c r="V41" s="86">
        <f t="shared" si="52"/>
        <v>0.22790096450233666</v>
      </c>
      <c r="W41" s="86">
        <f t="shared" si="52"/>
        <v>0.47241689241425255</v>
      </c>
      <c r="X41" s="86">
        <f t="shared" si="52"/>
        <v>0.51080365366902047</v>
      </c>
      <c r="Y41" s="86">
        <f t="shared" si="52"/>
        <v>0.43390048491131833</v>
      </c>
      <c r="Z41" s="86">
        <f t="shared" si="52"/>
        <v>-7.4292271869016074E-2</v>
      </c>
      <c r="AA41" s="86">
        <f t="shared" si="52"/>
        <v>-5.2163936604977232</v>
      </c>
      <c r="AB41" s="86">
        <f t="shared" si="52"/>
        <v>-5.4476987170131741</v>
      </c>
      <c r="AC41" s="86">
        <f t="shared" si="52"/>
        <v>-1.5750102835608986</v>
      </c>
      <c r="AD41" s="86">
        <f t="shared" si="52"/>
        <v>-0.57362348338664038</v>
      </c>
      <c r="AE41" s="86">
        <f t="shared" si="52"/>
        <v>-3.1088699028100573</v>
      </c>
      <c r="AF41" s="86">
        <f t="shared" si="52"/>
        <v>-0.77780194717448781</v>
      </c>
      <c r="AG41" s="86">
        <f t="shared" si="52"/>
        <v>-1.0956761850785219</v>
      </c>
      <c r="AH41" s="86">
        <f t="shared" si="52"/>
        <v>-0.60025147183057093</v>
      </c>
      <c r="AI41" s="86">
        <f t="shared" si="52"/>
        <v>-0.41742282002132725</v>
      </c>
      <c r="AJ41" s="86">
        <f t="shared" si="52"/>
        <v>-0.38573444297827314</v>
      </c>
      <c r="AK41" s="86">
        <f t="shared" si="52"/>
        <v>5.613221412940525E-2</v>
      </c>
      <c r="AL41" s="86">
        <f t="shared" si="52"/>
        <v>-0.37183497263305121</v>
      </c>
      <c r="AM41" s="86">
        <f t="shared" si="52"/>
        <v>-0.2735024603748889</v>
      </c>
      <c r="AN41" s="86">
        <f t="shared" si="52"/>
        <v>-0.13888079749845397</v>
      </c>
      <c r="AO41" s="86">
        <f t="shared" si="52"/>
        <v>-6.8909291264251535E-2</v>
      </c>
      <c r="AP41" s="86">
        <f t="shared" si="52"/>
        <v>-1.0732900414994907E-2</v>
      </c>
      <c r="AQ41" s="86">
        <f t="shared" si="52"/>
        <v>2.345993289250645E-2</v>
      </c>
      <c r="AR41" s="86">
        <f t="shared" si="52"/>
        <v>5.8197415846697104E-2</v>
      </c>
      <c r="AS41" s="86">
        <f t="shared" si="52"/>
        <v>9.3586066335841211E-2</v>
      </c>
      <c r="AT41" s="86">
        <f t="shared" si="52"/>
        <v>0.10874962151645143</v>
      </c>
      <c r="AU41" s="86">
        <f t="shared" si="52"/>
        <v>0.11548330303802544</v>
      </c>
      <c r="AV41" s="86">
        <f t="shared" si="52"/>
        <v>0.12245446026179774</v>
      </c>
      <c r="AW41" s="86">
        <f t="shared" si="52"/>
        <v>0.12965615071318129</v>
      </c>
      <c r="AX41" s="85"/>
      <c r="AY41" s="85"/>
      <c r="AZ41" s="85"/>
      <c r="BA41" s="85"/>
      <c r="BB41" s="85"/>
      <c r="BC41" s="85"/>
      <c r="BD41" s="85"/>
      <c r="BE41" s="85"/>
      <c r="BF41" s="2">
        <f t="shared" si="10"/>
        <v>35</v>
      </c>
    </row>
    <row r="42" spans="1:58" ht="11.25" customHeight="1" outlineLevel="1">
      <c r="A42" s="50"/>
      <c r="B42" s="48" t="s">
        <v>182</v>
      </c>
      <c r="C42" s="29">
        <f t="shared" ref="C42:K42" si="53">AVERAGEIFS($N42:$AX42,$N$4:$AX$4,C$4)</f>
        <v>150.81524999999999</v>
      </c>
      <c r="D42" s="31">
        <f t="shared" si="53"/>
        <v>160.36849999999998</v>
      </c>
      <c r="E42" s="31">
        <f t="shared" si="53"/>
        <v>157.18700000000001</v>
      </c>
      <c r="F42" s="31">
        <f t="shared" si="53"/>
        <v>150.45849999999999</v>
      </c>
      <c r="G42" s="31">
        <f t="shared" si="53"/>
        <v>151.55699999999999</v>
      </c>
      <c r="H42" s="31">
        <f t="shared" si="53"/>
        <v>152.93125000000001</v>
      </c>
      <c r="I42" s="31">
        <f t="shared" si="53"/>
        <v>154.03109059692369</v>
      </c>
      <c r="J42" s="31">
        <f t="shared" si="53"/>
        <v>156.74547170782478</v>
      </c>
      <c r="K42" s="31">
        <f t="shared" si="53"/>
        <v>158.71019107943243</v>
      </c>
      <c r="L42" s="30"/>
      <c r="M42" s="29"/>
      <c r="N42" s="84">
        <v>127.34399999999999</v>
      </c>
      <c r="O42" s="84">
        <v>158.63200000000001</v>
      </c>
      <c r="P42" s="84">
        <v>158.57599999999999</v>
      </c>
      <c r="Q42" s="84">
        <v>158.709</v>
      </c>
      <c r="R42" s="220">
        <v>160.43299999999999</v>
      </c>
      <c r="S42" s="220">
        <v>160.93</v>
      </c>
      <c r="T42" s="220">
        <v>160.88300000000001</v>
      </c>
      <c r="U42" s="220">
        <v>159.22800000000001</v>
      </c>
      <c r="V42" s="220">
        <v>160.91200000000001</v>
      </c>
      <c r="W42" s="220">
        <v>159.101</v>
      </c>
      <c r="X42" s="220">
        <v>156.33600000000001</v>
      </c>
      <c r="Y42" s="220">
        <v>152.399</v>
      </c>
      <c r="Z42" s="220">
        <v>149.881</v>
      </c>
      <c r="AA42" s="220">
        <v>150.48500000000001</v>
      </c>
      <c r="AB42" s="220">
        <v>150.74199999999999</v>
      </c>
      <c r="AC42" s="220">
        <v>150.726</v>
      </c>
      <c r="AD42" s="220">
        <v>151.32400000000001</v>
      </c>
      <c r="AE42" s="220">
        <v>151.45599999999999</v>
      </c>
      <c r="AF42" s="220">
        <v>151.70699999999999</v>
      </c>
      <c r="AG42" s="220">
        <v>151.74100000000001</v>
      </c>
      <c r="AH42" s="220">
        <v>152.70099999999999</v>
      </c>
      <c r="AI42" s="220">
        <v>152.857</v>
      </c>
      <c r="AJ42" s="220">
        <v>153.08199999999999</v>
      </c>
      <c r="AK42" s="220">
        <v>153.08500000000001</v>
      </c>
      <c r="AL42" s="219">
        <f t="shared" ref="AL42:AW42" si="54">AL268</f>
        <v>153.45467587125</v>
      </c>
      <c r="AM42" s="219">
        <f t="shared" si="54"/>
        <v>153.8383125609281</v>
      </c>
      <c r="AN42" s="219">
        <f t="shared" si="54"/>
        <v>154.22290834233041</v>
      </c>
      <c r="AO42" s="219">
        <f t="shared" si="54"/>
        <v>154.60846561318624</v>
      </c>
      <c r="AP42" s="219">
        <f t="shared" si="54"/>
        <v>154.9949867772192</v>
      </c>
      <c r="AQ42" s="219">
        <f t="shared" si="54"/>
        <v>156.93629898660387</v>
      </c>
      <c r="AR42" s="219">
        <f t="shared" si="54"/>
        <v>157.32863973407038</v>
      </c>
      <c r="AS42" s="219">
        <f t="shared" si="54"/>
        <v>157.72196133340557</v>
      </c>
      <c r="AT42" s="219">
        <f t="shared" si="54"/>
        <v>158.11626623673905</v>
      </c>
      <c r="AU42" s="219">
        <f t="shared" si="54"/>
        <v>158.51155690233085</v>
      </c>
      <c r="AV42" s="219">
        <f t="shared" si="54"/>
        <v>158.9078357945867</v>
      </c>
      <c r="AW42" s="219">
        <f t="shared" si="54"/>
        <v>159.30510538407316</v>
      </c>
      <c r="AX42" s="219"/>
      <c r="AY42" s="219"/>
      <c r="AZ42" s="219"/>
      <c r="BA42" s="219"/>
      <c r="BB42" s="219"/>
      <c r="BC42" s="219"/>
      <c r="BD42" s="219"/>
      <c r="BE42" s="219"/>
      <c r="BF42" s="2">
        <f t="shared" si="10"/>
        <v>36</v>
      </c>
    </row>
    <row r="43" spans="1:58" ht="11.25" customHeight="1" outlineLevel="1">
      <c r="A43" s="50"/>
      <c r="B43" s="48" t="s">
        <v>181</v>
      </c>
      <c r="C43" s="86">
        <f t="shared" ref="C43:K43" si="55">SUMIFS($N43:$AX43,$N$4:$AX$4,C$4)</f>
        <v>0</v>
      </c>
      <c r="D43" s="86">
        <f t="shared" si="55"/>
        <v>0</v>
      </c>
      <c r="E43" s="86">
        <f t="shared" si="55"/>
        <v>0.24</v>
      </c>
      <c r="F43" s="86">
        <f t="shared" si="55"/>
        <v>0.32</v>
      </c>
      <c r="G43" s="86">
        <f t="shared" si="55"/>
        <v>0</v>
      </c>
      <c r="H43" s="86">
        <f t="shared" si="55"/>
        <v>0</v>
      </c>
      <c r="I43" s="86">
        <f t="shared" si="55"/>
        <v>0</v>
      </c>
      <c r="J43" s="86">
        <f t="shared" si="55"/>
        <v>0</v>
      </c>
      <c r="K43" s="86">
        <f t="shared" si="55"/>
        <v>0</v>
      </c>
      <c r="L43" s="218"/>
      <c r="M43" s="3"/>
      <c r="N43" s="217">
        <v>0</v>
      </c>
      <c r="O43" s="217">
        <v>0</v>
      </c>
      <c r="P43" s="217">
        <v>0</v>
      </c>
      <c r="Q43" s="217">
        <v>0</v>
      </c>
      <c r="R43" s="217">
        <v>0</v>
      </c>
      <c r="S43" s="217">
        <v>0</v>
      </c>
      <c r="T43" s="217">
        <v>0</v>
      </c>
      <c r="U43" s="217">
        <v>0</v>
      </c>
      <c r="V43" s="217">
        <v>0</v>
      </c>
      <c r="W43" s="217">
        <v>0.08</v>
      </c>
      <c r="X43" s="217">
        <v>0.08</v>
      </c>
      <c r="Y43" s="217">
        <v>0.08</v>
      </c>
      <c r="Z43" s="217">
        <v>0.08</v>
      </c>
      <c r="AA43" s="217">
        <v>0.08</v>
      </c>
      <c r="AB43" s="217">
        <v>0.08</v>
      </c>
      <c r="AC43" s="217">
        <v>0.08</v>
      </c>
      <c r="AD43" s="217">
        <v>0</v>
      </c>
      <c r="AE43" s="217">
        <v>0</v>
      </c>
      <c r="AF43" s="217">
        <v>0</v>
      </c>
      <c r="AG43" s="217">
        <v>0</v>
      </c>
      <c r="AH43" s="217">
        <v>0</v>
      </c>
      <c r="AI43" s="217">
        <v>0</v>
      </c>
      <c r="AJ43" s="217">
        <v>0</v>
      </c>
      <c r="AK43" s="217">
        <v>0</v>
      </c>
      <c r="AL43" s="217">
        <v>0</v>
      </c>
      <c r="AM43" s="217">
        <v>0</v>
      </c>
      <c r="AN43" s="217">
        <v>0</v>
      </c>
      <c r="AO43" s="217">
        <v>0</v>
      </c>
      <c r="AP43" s="217">
        <v>0</v>
      </c>
      <c r="AQ43" s="217">
        <v>0</v>
      </c>
      <c r="AR43" s="217">
        <v>0</v>
      </c>
      <c r="AS43" s="217">
        <v>0</v>
      </c>
      <c r="AT43" s="217">
        <v>0</v>
      </c>
      <c r="AU43" s="217">
        <v>0</v>
      </c>
      <c r="AV43" s="217">
        <v>0</v>
      </c>
      <c r="AW43" s="217">
        <v>0</v>
      </c>
      <c r="AX43" s="216"/>
      <c r="AY43" s="216"/>
      <c r="AZ43" s="216"/>
      <c r="BA43" s="216"/>
      <c r="BB43" s="216"/>
      <c r="BC43" s="216"/>
      <c r="BD43" s="216"/>
      <c r="BE43" s="216"/>
      <c r="BF43" s="2">
        <f t="shared" si="10"/>
        <v>37</v>
      </c>
    </row>
    <row r="44" spans="1:58" ht="11.25" customHeight="1" outlineLevel="1">
      <c r="A44" s="50"/>
      <c r="B44" s="48"/>
      <c r="C44" s="48"/>
      <c r="D44" s="48"/>
      <c r="E44" s="16"/>
      <c r="F44" s="16"/>
      <c r="G44" s="16"/>
      <c r="H44" s="16"/>
      <c r="I44" s="16"/>
      <c r="J44" s="16"/>
      <c r="K44" s="16"/>
      <c r="L44" s="49"/>
      <c r="M44" s="3"/>
      <c r="N44" s="48"/>
      <c r="O44" s="48"/>
      <c r="P44" s="48"/>
      <c r="Q44" s="215"/>
      <c r="R44" s="215"/>
      <c r="S44" s="215"/>
      <c r="T44" s="215"/>
      <c r="U44" s="215"/>
      <c r="V44" s="215"/>
      <c r="W44" s="215"/>
      <c r="X44" s="215"/>
      <c r="Y44" s="215"/>
      <c r="Z44" s="215"/>
      <c r="AA44" s="215"/>
      <c r="AB44" s="215"/>
      <c r="AC44" s="215"/>
      <c r="AD44" s="215"/>
      <c r="AE44" s="215"/>
      <c r="AF44" s="215"/>
      <c r="AG44" s="215"/>
      <c r="AH44" s="215"/>
      <c r="AI44" s="215"/>
      <c r="AJ44" s="215"/>
      <c r="AK44" s="215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5"/>
      <c r="AY44" s="5"/>
      <c r="AZ44" s="5"/>
      <c r="BA44" s="5"/>
      <c r="BB44" s="5"/>
      <c r="BC44" s="5"/>
      <c r="BD44" s="5"/>
      <c r="BE44" s="5"/>
      <c r="BF44" s="2">
        <f t="shared" si="10"/>
        <v>38</v>
      </c>
    </row>
    <row r="45" spans="1:58" ht="11.25" customHeight="1">
      <c r="A45" s="214" t="s">
        <v>5</v>
      </c>
      <c r="B45" s="213" t="s">
        <v>180</v>
      </c>
      <c r="C45" s="211">
        <f t="shared" ref="C45:K45" si="56">C$7</f>
        <v>2012</v>
      </c>
      <c r="D45" s="211">
        <f t="shared" si="56"/>
        <v>2013</v>
      </c>
      <c r="E45" s="211">
        <f t="shared" si="56"/>
        <v>2014</v>
      </c>
      <c r="F45" s="211">
        <f t="shared" si="56"/>
        <v>2015</v>
      </c>
      <c r="G45" s="211">
        <f t="shared" si="56"/>
        <v>2016</v>
      </c>
      <c r="H45" s="211">
        <f t="shared" si="56"/>
        <v>2017</v>
      </c>
      <c r="I45" s="211" t="str">
        <f t="shared" si="56"/>
        <v>2018E</v>
      </c>
      <c r="J45" s="211" t="str">
        <f t="shared" si="56"/>
        <v>2019E</v>
      </c>
      <c r="K45" s="211" t="str">
        <f t="shared" si="56"/>
        <v>2020E</v>
      </c>
      <c r="L45" s="212"/>
      <c r="M45" s="3"/>
      <c r="N45" s="211" t="str">
        <f>N$7</f>
        <v>1Q12</v>
      </c>
      <c r="O45" s="211" t="str">
        <f>O$7</f>
        <v>2Q12</v>
      </c>
      <c r="P45" s="211" t="str">
        <f>P$7</f>
        <v>3Q12</v>
      </c>
      <c r="Q45" s="211" t="str">
        <f>Q$7</f>
        <v>4Q12</v>
      </c>
      <c r="R45" s="211" t="str">
        <f t="shared" ref="R45:AW45" si="57">R$7</f>
        <v>1Q13</v>
      </c>
      <c r="S45" s="211" t="str">
        <f t="shared" si="57"/>
        <v>2Q13</v>
      </c>
      <c r="T45" s="211" t="str">
        <f t="shared" si="57"/>
        <v>3Q13</v>
      </c>
      <c r="U45" s="211" t="str">
        <f t="shared" si="57"/>
        <v>4Q13</v>
      </c>
      <c r="V45" s="211" t="str">
        <f t="shared" si="57"/>
        <v>1Q14</v>
      </c>
      <c r="W45" s="211" t="str">
        <f t="shared" si="57"/>
        <v>2Q14</v>
      </c>
      <c r="X45" s="211" t="str">
        <f t="shared" si="57"/>
        <v>3Q14</v>
      </c>
      <c r="Y45" s="211" t="str">
        <f t="shared" si="57"/>
        <v>4Q14</v>
      </c>
      <c r="Z45" s="211" t="str">
        <f t="shared" si="57"/>
        <v>1Q15</v>
      </c>
      <c r="AA45" s="211" t="str">
        <f t="shared" si="57"/>
        <v>2Q15</v>
      </c>
      <c r="AB45" s="211" t="str">
        <f t="shared" si="57"/>
        <v>3Q15</v>
      </c>
      <c r="AC45" s="211" t="str">
        <f t="shared" si="57"/>
        <v>4Q15</v>
      </c>
      <c r="AD45" s="211" t="str">
        <f t="shared" si="57"/>
        <v>1Q16</v>
      </c>
      <c r="AE45" s="211" t="str">
        <f t="shared" si="57"/>
        <v>2Q16</v>
      </c>
      <c r="AF45" s="211" t="str">
        <f t="shared" si="57"/>
        <v>3Q16</v>
      </c>
      <c r="AG45" s="211" t="str">
        <f t="shared" si="57"/>
        <v>4Q16</v>
      </c>
      <c r="AH45" s="211" t="str">
        <f t="shared" si="57"/>
        <v>1Q17</v>
      </c>
      <c r="AI45" s="211" t="str">
        <f t="shared" si="57"/>
        <v>2Q17</v>
      </c>
      <c r="AJ45" s="211" t="str">
        <f t="shared" si="57"/>
        <v>3Q17</v>
      </c>
      <c r="AK45" s="211" t="str">
        <f t="shared" si="57"/>
        <v>4Q17</v>
      </c>
      <c r="AL45" s="211" t="str">
        <f t="shared" si="57"/>
        <v>1Q18E</v>
      </c>
      <c r="AM45" s="211" t="str">
        <f t="shared" si="57"/>
        <v>2Q18E</v>
      </c>
      <c r="AN45" s="211" t="str">
        <f t="shared" si="57"/>
        <v>3Q18E</v>
      </c>
      <c r="AO45" s="211" t="str">
        <f t="shared" si="57"/>
        <v>4Q18E</v>
      </c>
      <c r="AP45" s="211" t="str">
        <f t="shared" si="57"/>
        <v>1Q19E</v>
      </c>
      <c r="AQ45" s="211" t="str">
        <f t="shared" si="57"/>
        <v>2Q19E</v>
      </c>
      <c r="AR45" s="211" t="str">
        <f t="shared" si="57"/>
        <v>3Q19E</v>
      </c>
      <c r="AS45" s="211" t="str">
        <f t="shared" si="57"/>
        <v>4Q19E</v>
      </c>
      <c r="AT45" s="211" t="str">
        <f t="shared" si="57"/>
        <v>1Q20E</v>
      </c>
      <c r="AU45" s="211" t="str">
        <f t="shared" si="57"/>
        <v>2Q20E</v>
      </c>
      <c r="AV45" s="211" t="str">
        <f t="shared" si="57"/>
        <v>3Q20E</v>
      </c>
      <c r="AW45" s="211" t="str">
        <f t="shared" si="57"/>
        <v>4Q20E</v>
      </c>
      <c r="AX45" s="210"/>
      <c r="AY45" s="210"/>
      <c r="AZ45" s="210"/>
      <c r="BA45" s="210"/>
      <c r="BB45" s="210"/>
      <c r="BC45" s="210"/>
      <c r="BD45" s="210"/>
      <c r="BE45" s="210"/>
      <c r="BF45" s="2">
        <f t="shared" si="10"/>
        <v>39</v>
      </c>
    </row>
    <row r="46" spans="1:58" ht="11.25" customHeight="1" outlineLevel="1">
      <c r="A46" s="50"/>
      <c r="B46" s="150" t="s">
        <v>179</v>
      </c>
      <c r="C46" s="317"/>
      <c r="D46" s="209">
        <f t="shared" ref="D46:K46" si="58">D15/C15-1</f>
        <v>9.5786665172234997E-3</v>
      </c>
      <c r="E46" s="308">
        <f t="shared" si="58"/>
        <v>-1.1969667532846229E-2</v>
      </c>
      <c r="F46" s="308">
        <f t="shared" si="58"/>
        <v>-0.39611734306685953</v>
      </c>
      <c r="G46" s="308">
        <f t="shared" si="58"/>
        <v>-0.47302923866095614</v>
      </c>
      <c r="H46" s="308">
        <f t="shared" si="58"/>
        <v>0.29242431452221895</v>
      </c>
      <c r="I46" s="308">
        <f t="shared" si="58"/>
        <v>0.19048870937811491</v>
      </c>
      <c r="J46" s="308">
        <f t="shared" si="58"/>
        <v>0.21435342169216232</v>
      </c>
      <c r="K46" s="308">
        <f t="shared" si="58"/>
        <v>5.1494724179719675E-2</v>
      </c>
      <c r="L46" s="309"/>
      <c r="M46" s="45"/>
      <c r="N46" s="317"/>
      <c r="O46" s="209">
        <f t="shared" ref="O46:AW46" si="59">O15/N15-1</f>
        <v>0.28596547298045061</v>
      </c>
      <c r="P46" s="209">
        <f t="shared" si="59"/>
        <v>-5.1196836853615202E-2</v>
      </c>
      <c r="Q46" s="209">
        <f t="shared" si="59"/>
        <v>-1.2020361712857808E-3</v>
      </c>
      <c r="R46" s="209">
        <f t="shared" si="59"/>
        <v>-3.6297991847210498E-2</v>
      </c>
      <c r="S46" s="209">
        <f t="shared" si="59"/>
        <v>2.1342534736441765E-2</v>
      </c>
      <c r="T46" s="209">
        <f t="shared" si="59"/>
        <v>2.4921683209552681E-2</v>
      </c>
      <c r="U46" s="209">
        <f t="shared" si="59"/>
        <v>-5.0982025298351608E-2</v>
      </c>
      <c r="V46" s="209">
        <f t="shared" si="59"/>
        <v>-5.9040776867724243E-2</v>
      </c>
      <c r="W46" s="209">
        <f t="shared" si="59"/>
        <v>4.3464497492976095E-2</v>
      </c>
      <c r="X46" s="209">
        <f t="shared" si="59"/>
        <v>9.1620077432030378E-2</v>
      </c>
      <c r="Y46" s="209">
        <f t="shared" si="59"/>
        <v>-2.5144206989758944E-2</v>
      </c>
      <c r="Z46" s="209">
        <f t="shared" si="59"/>
        <v>-0.22177603412787406</v>
      </c>
      <c r="AA46" s="209">
        <f t="shared" si="59"/>
        <v>-0.22507972329882742</v>
      </c>
      <c r="AB46" s="209">
        <f t="shared" si="59"/>
        <v>-0.15389766792724668</v>
      </c>
      <c r="AC46" s="209">
        <f t="shared" si="59"/>
        <v>-0.13160380182109621</v>
      </c>
      <c r="AD46" s="209">
        <f t="shared" si="59"/>
        <v>-0.20893633317376725</v>
      </c>
      <c r="AE46" s="209">
        <f t="shared" si="59"/>
        <v>-0.13763606393098593</v>
      </c>
      <c r="AF46" s="209">
        <f t="shared" si="59"/>
        <v>-8.4334677815483094E-2</v>
      </c>
      <c r="AG46" s="209">
        <f t="shared" si="59"/>
        <v>8.6421948041995433E-2</v>
      </c>
      <c r="AH46" s="209">
        <f t="shared" si="59"/>
        <v>0.13125179872354131</v>
      </c>
      <c r="AI46" s="209">
        <f t="shared" si="59"/>
        <v>0.17242652193866337</v>
      </c>
      <c r="AJ46" s="209">
        <f t="shared" si="59"/>
        <v>7.6501697626726317E-2</v>
      </c>
      <c r="AK46" s="209">
        <f t="shared" si="59"/>
        <v>-1.7757875536777434E-2</v>
      </c>
      <c r="AL46" s="295">
        <f t="shared" si="59"/>
        <v>-2.4513291606561238E-2</v>
      </c>
      <c r="AM46" s="295">
        <f t="shared" si="59"/>
        <v>9.0311686180662543E-2</v>
      </c>
      <c r="AN46" s="295">
        <f t="shared" si="59"/>
        <v>0.11602797475885285</v>
      </c>
      <c r="AO46" s="295">
        <f t="shared" si="59"/>
        <v>6.3713399961957462E-2</v>
      </c>
      <c r="AP46" s="295">
        <f t="shared" si="59"/>
        <v>4.0958421736347228E-2</v>
      </c>
      <c r="AQ46" s="295">
        <f t="shared" si="59"/>
        <v>2.4100288221696964E-2</v>
      </c>
      <c r="AR46" s="295">
        <f t="shared" si="59"/>
        <v>2.4170602403414509E-2</v>
      </c>
      <c r="AS46" s="295">
        <f t="shared" si="59"/>
        <v>2.4242207253660331E-2</v>
      </c>
      <c r="AT46" s="295">
        <f t="shared" si="59"/>
        <v>6.0590229866743783E-3</v>
      </c>
      <c r="AU46" s="295">
        <f t="shared" si="59"/>
        <v>5.6996646798253003E-3</v>
      </c>
      <c r="AV46" s="295">
        <f t="shared" si="59"/>
        <v>5.82184037297373E-3</v>
      </c>
      <c r="AW46" s="295">
        <f t="shared" si="59"/>
        <v>5.9469964008249665E-3</v>
      </c>
      <c r="AX46" s="208"/>
      <c r="AY46" s="208"/>
      <c r="AZ46" s="208"/>
      <c r="BA46" s="208"/>
      <c r="BB46" s="208"/>
      <c r="BC46" s="208"/>
      <c r="BD46" s="208"/>
      <c r="BE46" s="208"/>
      <c r="BF46" s="2">
        <f t="shared" si="10"/>
        <v>40</v>
      </c>
    </row>
    <row r="47" spans="1:58" ht="11.25" customHeight="1" outlineLevel="1">
      <c r="A47" s="50"/>
      <c r="B47" s="36" t="s">
        <v>9</v>
      </c>
      <c r="C47" s="314"/>
      <c r="D47" s="45">
        <f t="shared" ref="D47:K50" si="60">D11/C11-1</f>
        <v>8.186141567298777E-2</v>
      </c>
      <c r="E47" s="32">
        <f t="shared" si="60"/>
        <v>0.1017693204883876</v>
      </c>
      <c r="F47" s="32">
        <f t="shared" si="60"/>
        <v>-0.36110446620605741</v>
      </c>
      <c r="G47" s="32">
        <f t="shared" si="60"/>
        <v>-0.50269634709772082</v>
      </c>
      <c r="H47" s="32">
        <f t="shared" si="60"/>
        <v>5.4508908799766331E-4</v>
      </c>
      <c r="I47" s="32">
        <f t="shared" si="60"/>
        <v>0.12882590216895395</v>
      </c>
      <c r="J47" s="32">
        <f t="shared" si="60"/>
        <v>8.8288105850887311E-2</v>
      </c>
      <c r="K47" s="32">
        <f t="shared" si="60"/>
        <v>5.8764775039414019E-2</v>
      </c>
      <c r="L47" s="309"/>
      <c r="M47" s="45"/>
      <c r="N47" s="314"/>
      <c r="O47" s="45">
        <f t="shared" ref="O47:AK47" si="61">O11/N11-1</f>
        <v>4.6436096896338652E-2</v>
      </c>
      <c r="P47" s="45">
        <f t="shared" si="61"/>
        <v>-1.6492556144335091E-2</v>
      </c>
      <c r="Q47" s="45">
        <f t="shared" si="61"/>
        <v>-1.1314539054402162E-2</v>
      </c>
      <c r="R47" s="45">
        <f t="shared" si="61"/>
        <v>6.7574230447848826E-3</v>
      </c>
      <c r="S47" s="45">
        <f t="shared" si="61"/>
        <v>5.8990921697709364E-2</v>
      </c>
      <c r="T47" s="45">
        <f t="shared" si="61"/>
        <v>4.9167080449026956E-2</v>
      </c>
      <c r="U47" s="45">
        <f t="shared" si="61"/>
        <v>3.7439333339519987E-2</v>
      </c>
      <c r="V47" s="45">
        <f t="shared" si="61"/>
        <v>-1.5121359983183535E-2</v>
      </c>
      <c r="W47" s="45">
        <f t="shared" si="61"/>
        <v>2.6211343717360558E-2</v>
      </c>
      <c r="X47" s="45">
        <f t="shared" si="61"/>
        <v>5.8509084794364119E-2</v>
      </c>
      <c r="Y47" s="45">
        <f t="shared" si="61"/>
        <v>-3.1395796056922221E-3</v>
      </c>
      <c r="Z47" s="45">
        <f t="shared" si="61"/>
        <v>-0.16352908120258502</v>
      </c>
      <c r="AA47" s="45">
        <f t="shared" si="61"/>
        <v>-0.25463378438676632</v>
      </c>
      <c r="AB47" s="45">
        <f t="shared" si="61"/>
        <v>-0.12237842200847504</v>
      </c>
      <c r="AC47" s="45">
        <f t="shared" si="61"/>
        <v>-0.14437904288911363</v>
      </c>
      <c r="AD47" s="45">
        <f t="shared" si="61"/>
        <v>-0.20815492932514013</v>
      </c>
      <c r="AE47" s="45">
        <f t="shared" si="61"/>
        <v>-0.13800904977375572</v>
      </c>
      <c r="AF47" s="45">
        <f t="shared" si="61"/>
        <v>-0.21784776902887137</v>
      </c>
      <c r="AG47" s="45">
        <f t="shared" si="61"/>
        <v>0.16325503355704685</v>
      </c>
      <c r="AH47" s="45">
        <f t="shared" si="61"/>
        <v>-1.2966969565844533E-2</v>
      </c>
      <c r="AI47" s="45">
        <f t="shared" si="61"/>
        <v>5.7868509885870001E-3</v>
      </c>
      <c r="AJ47" s="45">
        <f t="shared" si="61"/>
        <v>0.1217400148197656</v>
      </c>
      <c r="AK47" s="45">
        <f t="shared" si="61"/>
        <v>2.6163769655208169E-2</v>
      </c>
      <c r="AL47" s="274">
        <f t="shared" ref="AL47:AW47" si="62">AL109</f>
        <v>2.1063792189432995E-3</v>
      </c>
      <c r="AM47" s="274">
        <f t="shared" si="62"/>
        <v>3.7371915466475114E-2</v>
      </c>
      <c r="AN47" s="274">
        <f t="shared" si="62"/>
        <v>2.5348152252264722E-2</v>
      </c>
      <c r="AO47" s="274">
        <f t="shared" si="62"/>
        <v>1.0383033238579475E-2</v>
      </c>
      <c r="AP47" s="274">
        <f t="shared" si="62"/>
        <v>2.232760403437184E-2</v>
      </c>
      <c r="AQ47" s="274">
        <f t="shared" si="62"/>
        <v>2.234507230944538E-2</v>
      </c>
      <c r="AR47" s="274">
        <f t="shared" si="62"/>
        <v>2.2362631311238834E-2</v>
      </c>
      <c r="AS47" s="274">
        <f t="shared" si="62"/>
        <v>2.2380280906252104E-2</v>
      </c>
      <c r="AT47" s="274">
        <f t="shared" si="62"/>
        <v>9.6143416605403154E-3</v>
      </c>
      <c r="AU47" s="274">
        <f t="shared" si="62"/>
        <v>9.7132420658980756E-3</v>
      </c>
      <c r="AV47" s="274">
        <f t="shared" si="62"/>
        <v>9.8121986465631306E-3</v>
      </c>
      <c r="AW47" s="274">
        <f t="shared" si="62"/>
        <v>9.9111920344283622E-3</v>
      </c>
      <c r="AX47" s="207"/>
      <c r="AY47" s="207"/>
      <c r="AZ47" s="207"/>
      <c r="BA47" s="207"/>
      <c r="BB47" s="207"/>
      <c r="BC47" s="207"/>
      <c r="BD47" s="207"/>
      <c r="BE47" s="207"/>
      <c r="BF47" s="2">
        <f t="shared" si="10"/>
        <v>41</v>
      </c>
    </row>
    <row r="48" spans="1:58" ht="11.25" customHeight="1" outlineLevel="1">
      <c r="A48" s="50"/>
      <c r="B48" s="36" t="s">
        <v>8</v>
      </c>
      <c r="C48" s="321"/>
      <c r="D48" s="32">
        <f t="shared" si="60"/>
        <v>1.7108151497795543E-3</v>
      </c>
      <c r="E48" s="32">
        <f t="shared" si="60"/>
        <v>8.216926869350849E-2</v>
      </c>
      <c r="F48" s="32">
        <f t="shared" si="60"/>
        <v>-0.45944971479897034</v>
      </c>
      <c r="G48" s="32">
        <f t="shared" si="60"/>
        <v>-0.43902104775170525</v>
      </c>
      <c r="H48" s="32">
        <f t="shared" si="60"/>
        <v>0.78481959672878898</v>
      </c>
      <c r="I48" s="32">
        <f t="shared" si="60"/>
        <v>0.28131710178649527</v>
      </c>
      <c r="J48" s="32">
        <f t="shared" si="60"/>
        <v>0.30139282709984139</v>
      </c>
      <c r="K48" s="32">
        <f t="shared" si="60"/>
        <v>2.989706929916669E-2</v>
      </c>
      <c r="L48" s="309"/>
      <c r="M48" s="45"/>
      <c r="N48" s="317"/>
      <c r="O48" s="45">
        <f t="shared" ref="O48:AK48" si="63">O12/N12-1</f>
        <v>0.69971323960582987</v>
      </c>
      <c r="P48" s="45">
        <f t="shared" si="63"/>
        <v>-0.11396409946799224</v>
      </c>
      <c r="Q48" s="45">
        <f t="shared" si="63"/>
        <v>-8.205245088961477E-3</v>
      </c>
      <c r="R48" s="45">
        <f t="shared" si="63"/>
        <v>1.9737251578740844E-2</v>
      </c>
      <c r="S48" s="45">
        <f t="shared" si="63"/>
        <v>-6.5183352387301885E-2</v>
      </c>
      <c r="T48" s="45">
        <f t="shared" si="63"/>
        <v>-5.0223999035692302E-4</v>
      </c>
      <c r="U48" s="45">
        <f t="shared" si="63"/>
        <v>-5.9110689017527029E-2</v>
      </c>
      <c r="V48" s="45">
        <f t="shared" si="63"/>
        <v>4.1090659538731478E-2</v>
      </c>
      <c r="W48" s="45">
        <f t="shared" si="63"/>
        <v>2.0957891847941834E-2</v>
      </c>
      <c r="X48" s="45">
        <f t="shared" si="63"/>
        <v>0.18289502773534849</v>
      </c>
      <c r="Y48" s="45">
        <f t="shared" si="63"/>
        <v>-3.6508519716511589E-3</v>
      </c>
      <c r="Z48" s="45">
        <f t="shared" si="63"/>
        <v>-0.25182358834438212</v>
      </c>
      <c r="AA48" s="45">
        <f t="shared" si="63"/>
        <v>-0.35507646897934997</v>
      </c>
      <c r="AB48" s="45">
        <f t="shared" si="63"/>
        <v>-0.1038950711909632</v>
      </c>
      <c r="AC48" s="45">
        <f t="shared" si="63"/>
        <v>-0.24169193226355101</v>
      </c>
      <c r="AD48" s="45">
        <f t="shared" si="63"/>
        <v>-0.13877999466905899</v>
      </c>
      <c r="AE48" s="45">
        <f t="shared" si="63"/>
        <v>-0.12515097530044095</v>
      </c>
      <c r="AF48" s="45">
        <f t="shared" si="63"/>
        <v>7.8770935259247832E-2</v>
      </c>
      <c r="AG48" s="45">
        <f t="shared" si="63"/>
        <v>0.20441202348386689</v>
      </c>
      <c r="AH48" s="45">
        <f t="shared" si="63"/>
        <v>0.36128119645632162</v>
      </c>
      <c r="AI48" s="45">
        <f t="shared" si="63"/>
        <v>0.2151439903599881</v>
      </c>
      <c r="AJ48" s="45">
        <f t="shared" si="63"/>
        <v>-2.7059687890187423E-3</v>
      </c>
      <c r="AK48" s="45">
        <f t="shared" si="63"/>
        <v>-6.314285139188025E-2</v>
      </c>
      <c r="AL48" s="274">
        <f t="shared" ref="AL48:AW48" si="64">AL113</f>
        <v>2.0000000000000018E-2</v>
      </c>
      <c r="AM48" s="274">
        <f t="shared" si="64"/>
        <v>0.14999999999999991</v>
      </c>
      <c r="AN48" s="274">
        <f t="shared" si="64"/>
        <v>0.19999999999999996</v>
      </c>
      <c r="AO48" s="274">
        <f t="shared" si="64"/>
        <v>0.10000000000000009</v>
      </c>
      <c r="AP48" s="274">
        <f t="shared" si="64"/>
        <v>5.0000000000000044E-2</v>
      </c>
      <c r="AQ48" s="274">
        <f t="shared" si="64"/>
        <v>2.0000000000000018E-2</v>
      </c>
      <c r="AR48" s="274">
        <f t="shared" si="64"/>
        <v>2.0000000000000018E-2</v>
      </c>
      <c r="AS48" s="274">
        <f t="shared" si="64"/>
        <v>2.0000000000000018E-2</v>
      </c>
      <c r="AT48" s="274">
        <f t="shared" si="64"/>
        <v>0</v>
      </c>
      <c r="AU48" s="274">
        <f t="shared" si="64"/>
        <v>0</v>
      </c>
      <c r="AV48" s="274">
        <f t="shared" si="64"/>
        <v>0</v>
      </c>
      <c r="AW48" s="274">
        <f t="shared" si="64"/>
        <v>0</v>
      </c>
      <c r="AX48" s="207"/>
      <c r="AY48" s="207"/>
      <c r="AZ48" s="207"/>
      <c r="BA48" s="207"/>
      <c r="BB48" s="207"/>
      <c r="BC48" s="207"/>
      <c r="BD48" s="207"/>
      <c r="BE48" s="207"/>
      <c r="BF48" s="2">
        <f t="shared" si="10"/>
        <v>42</v>
      </c>
    </row>
    <row r="49" spans="1:58" ht="11.25" customHeight="1" outlineLevel="1">
      <c r="A49" s="50"/>
      <c r="B49" s="36" t="s">
        <v>7</v>
      </c>
      <c r="C49" s="321"/>
      <c r="D49" s="32">
        <f t="shared" si="60"/>
        <v>-4.330604438149821E-2</v>
      </c>
      <c r="E49" s="32">
        <f t="shared" si="60"/>
        <v>-6.1912552618198391E-2</v>
      </c>
      <c r="F49" s="32">
        <f t="shared" si="60"/>
        <v>-0.4396732585724642</v>
      </c>
      <c r="G49" s="32">
        <f t="shared" si="60"/>
        <v>-0.5415109859377365</v>
      </c>
      <c r="H49" s="32">
        <f t="shared" si="60"/>
        <v>7.0053620226422142E-2</v>
      </c>
      <c r="I49" s="32">
        <f t="shared" si="60"/>
        <v>0.2682674668706293</v>
      </c>
      <c r="J49" s="32">
        <f t="shared" si="60"/>
        <v>0.14771844052243144</v>
      </c>
      <c r="K49" s="32">
        <f t="shared" si="60"/>
        <v>9.0827908683140501E-2</v>
      </c>
      <c r="L49" s="309"/>
      <c r="M49" s="45"/>
      <c r="N49" s="317"/>
      <c r="O49" s="45">
        <f t="shared" ref="O49:AK49" si="65">O13/N13-1</f>
        <v>0.16862171330439124</v>
      </c>
      <c r="P49" s="45">
        <f t="shared" si="65"/>
        <v>-9.6369700778266565E-2</v>
      </c>
      <c r="Q49" s="45">
        <f t="shared" si="65"/>
        <v>-1.2108551681342061E-2</v>
      </c>
      <c r="R49" s="45">
        <f t="shared" si="65"/>
        <v>-5.2634286472392766E-3</v>
      </c>
      <c r="S49" s="45">
        <f t="shared" si="65"/>
        <v>4.5427698103142067E-3</v>
      </c>
      <c r="T49" s="45">
        <f t="shared" si="65"/>
        <v>-2.5317964808462379E-2</v>
      </c>
      <c r="U49" s="45">
        <f t="shared" si="65"/>
        <v>-2.8777778395538745E-2</v>
      </c>
      <c r="V49" s="45">
        <f t="shared" si="65"/>
        <v>-8.0530669490797679E-2</v>
      </c>
      <c r="W49" s="45">
        <f t="shared" si="65"/>
        <v>7.0481111958534903E-2</v>
      </c>
      <c r="X49" s="45">
        <f t="shared" si="65"/>
        <v>1.4298758854936144E-2</v>
      </c>
      <c r="Y49" s="45">
        <f t="shared" si="65"/>
        <v>-1.9037079299183191E-2</v>
      </c>
      <c r="Z49" s="45">
        <f t="shared" si="65"/>
        <v>-0.26503932451271806</v>
      </c>
      <c r="AA49" s="45">
        <f t="shared" si="65"/>
        <v>-0.16990165785842393</v>
      </c>
      <c r="AB49" s="45">
        <f t="shared" si="65"/>
        <v>-0.21434388533323112</v>
      </c>
      <c r="AC49" s="45">
        <f t="shared" si="65"/>
        <v>-0.17304772531874801</v>
      </c>
      <c r="AD49" s="45">
        <f t="shared" si="65"/>
        <v>-0.22640299068728309</v>
      </c>
      <c r="AE49" s="45">
        <f t="shared" si="65"/>
        <v>-0.19005680735064234</v>
      </c>
      <c r="AF49" s="45">
        <f t="shared" si="65"/>
        <v>-8.7860101675767188E-2</v>
      </c>
      <c r="AG49" s="45">
        <f t="shared" si="65"/>
        <v>4.469100761192113E-2</v>
      </c>
      <c r="AH49" s="45">
        <f t="shared" si="65"/>
        <v>-0.15275273544594559</v>
      </c>
      <c r="AI49" s="45">
        <f t="shared" si="65"/>
        <v>0.29153851760075788</v>
      </c>
      <c r="AJ49" s="45">
        <f t="shared" si="65"/>
        <v>9.8492201431054305E-2</v>
      </c>
      <c r="AK49" s="45">
        <f t="shared" si="65"/>
        <v>0.21476785879403693</v>
      </c>
      <c r="AL49" s="274">
        <f t="shared" ref="AL49:AW49" si="66">AL115</f>
        <v>-7.2537361401253331E-2</v>
      </c>
      <c r="AM49" s="274">
        <f t="shared" si="66"/>
        <v>7.1483644050176709E-2</v>
      </c>
      <c r="AN49" s="274">
        <f t="shared" si="66"/>
        <v>3.2216825500912316E-2</v>
      </c>
      <c r="AO49" s="274">
        <f t="shared" si="66"/>
        <v>2.5202907250186701E-2</v>
      </c>
      <c r="AP49" s="274">
        <f t="shared" si="66"/>
        <v>3.5023670188890632E-2</v>
      </c>
      <c r="AQ49" s="274">
        <f t="shared" si="66"/>
        <v>3.5140048580071692E-2</v>
      </c>
      <c r="AR49" s="274">
        <f t="shared" si="66"/>
        <v>3.5256885682718009E-2</v>
      </c>
      <c r="AS49" s="274">
        <f t="shared" si="66"/>
        <v>3.5374163813441495E-2</v>
      </c>
      <c r="AT49" s="274">
        <f t="shared" si="66"/>
        <v>1.4015985163522426E-2</v>
      </c>
      <c r="AU49" s="274">
        <f t="shared" si="66"/>
        <v>1.4308855171949908E-2</v>
      </c>
      <c r="AV49" s="274">
        <f t="shared" si="66"/>
        <v>1.4606692542766808E-2</v>
      </c>
      <c r="AW49" s="274">
        <f t="shared" si="66"/>
        <v>1.4909478238388951E-2</v>
      </c>
      <c r="AX49" s="207"/>
      <c r="AY49" s="207"/>
      <c r="AZ49" s="207"/>
      <c r="BA49" s="207"/>
      <c r="BB49" s="207"/>
      <c r="BC49" s="207"/>
      <c r="BD49" s="207"/>
      <c r="BE49" s="207"/>
      <c r="BF49" s="2">
        <f t="shared" si="10"/>
        <v>43</v>
      </c>
    </row>
    <row r="50" spans="1:58" ht="11.25" customHeight="1" outlineLevel="1">
      <c r="A50" s="50"/>
      <c r="B50" s="36" t="s">
        <v>162</v>
      </c>
      <c r="C50" s="314"/>
      <c r="D50" s="45">
        <f t="shared" si="60"/>
        <v>6.252007528686776E-2</v>
      </c>
      <c r="E50" s="32">
        <f t="shared" si="60"/>
        <v>-0.24928356571566157</v>
      </c>
      <c r="F50" s="32">
        <f t="shared" si="60"/>
        <v>-0.14803612165914726</v>
      </c>
      <c r="G50" s="32">
        <f t="shared" si="60"/>
        <v>-0.39222530198815997</v>
      </c>
      <c r="H50" s="32">
        <f t="shared" si="60"/>
        <v>-4.1361691346207818E-2</v>
      </c>
      <c r="I50" s="32">
        <f t="shared" si="60"/>
        <v>-0.1612665146684189</v>
      </c>
      <c r="J50" s="32">
        <f t="shared" si="60"/>
        <v>7.8686407795055757E-2</v>
      </c>
      <c r="K50" s="32">
        <f t="shared" si="60"/>
        <v>9.0905559576195394E-2</v>
      </c>
      <c r="L50" s="309"/>
      <c r="M50" s="45"/>
      <c r="N50" s="314"/>
      <c r="O50" s="45">
        <f t="shared" ref="O50:AK50" si="67">O14/N14-1</f>
        <v>8.5536612341144735E-2</v>
      </c>
      <c r="P50" s="45">
        <f t="shared" si="67"/>
        <v>0.21569268230167893</v>
      </c>
      <c r="Q50" s="45">
        <f t="shared" si="67"/>
        <v>4.6225773636023426E-2</v>
      </c>
      <c r="R50" s="45">
        <f t="shared" si="67"/>
        <v>-0.25376969232861946</v>
      </c>
      <c r="S50" s="45">
        <f t="shared" si="67"/>
        <v>0.26255063462057771</v>
      </c>
      <c r="T50" s="45">
        <f t="shared" si="67"/>
        <v>0.15157559261853715</v>
      </c>
      <c r="U50" s="45">
        <f t="shared" si="67"/>
        <v>-0.16153792575050485</v>
      </c>
      <c r="V50" s="45">
        <f t="shared" si="67"/>
        <v>-0.27951397542186562</v>
      </c>
      <c r="W50" s="45">
        <f t="shared" si="67"/>
        <v>7.3407329971713065E-2</v>
      </c>
      <c r="X50" s="45">
        <f t="shared" si="67"/>
        <v>7.5433596379416601E-2</v>
      </c>
      <c r="Y50" s="45">
        <f t="shared" si="67"/>
        <v>-0.14176321747236664</v>
      </c>
      <c r="Z50" s="45">
        <f t="shared" si="67"/>
        <v>-0.10532236791062133</v>
      </c>
      <c r="AA50" s="45">
        <f t="shared" si="67"/>
        <v>0.10139183974331178</v>
      </c>
      <c r="AB50" s="45">
        <f t="shared" si="67"/>
        <v>-0.18056485075625761</v>
      </c>
      <c r="AC50" s="45">
        <f t="shared" si="67"/>
        <v>0.1642869496704269</v>
      </c>
      <c r="AD50" s="45">
        <f t="shared" si="67"/>
        <v>-0.27916515366586336</v>
      </c>
      <c r="AE50" s="45">
        <f t="shared" si="67"/>
        <v>-9.3228003892609768E-2</v>
      </c>
      <c r="AF50" s="45">
        <f t="shared" si="67"/>
        <v>-0.19076538471250715</v>
      </c>
      <c r="AG50" s="45">
        <f t="shared" si="67"/>
        <v>-0.16471377529527409</v>
      </c>
      <c r="AH50" s="45">
        <f t="shared" si="67"/>
        <v>0.1005865212193664</v>
      </c>
      <c r="AI50" s="45">
        <f t="shared" si="67"/>
        <v>7.8664652670524804E-2</v>
      </c>
      <c r="AJ50" s="45">
        <f t="shared" si="67"/>
        <v>0.30727232676694571</v>
      </c>
      <c r="AK50" s="45">
        <f t="shared" si="67"/>
        <v>-0.1952819401817415</v>
      </c>
      <c r="AL50" s="274">
        <f t="shared" ref="AL50:AW50" si="68">AL119</f>
        <v>-0.1260670056835177</v>
      </c>
      <c r="AM50" s="274">
        <f t="shared" si="68"/>
        <v>-4.4902918237461065E-2</v>
      </c>
      <c r="AN50" s="274">
        <f t="shared" si="68"/>
        <v>1.5564795113734764E-2</v>
      </c>
      <c r="AO50" s="274">
        <f t="shared" si="68"/>
        <v>1.5857486835021195E-2</v>
      </c>
      <c r="AP50" s="274">
        <f t="shared" si="68"/>
        <v>2.4798729048067125E-2</v>
      </c>
      <c r="AQ50" s="274">
        <f t="shared" si="68"/>
        <v>2.8908171985833508E-2</v>
      </c>
      <c r="AR50" s="274">
        <f t="shared" si="68"/>
        <v>2.9010834015425147E-2</v>
      </c>
      <c r="AS50" s="274">
        <f t="shared" si="68"/>
        <v>2.9114562294767277E-2</v>
      </c>
      <c r="AT50" s="274">
        <f t="shared" si="68"/>
        <v>2.1071740867918853E-2</v>
      </c>
      <c r="AU50" s="274">
        <f t="shared" si="68"/>
        <v>1.5817706453500335E-2</v>
      </c>
      <c r="AV50" s="274">
        <f t="shared" si="68"/>
        <v>1.5841658936314396E-2</v>
      </c>
      <c r="AW50" s="274">
        <f t="shared" si="68"/>
        <v>1.5865571728255201E-2</v>
      </c>
      <c r="AX50" s="207"/>
      <c r="AY50" s="207"/>
      <c r="AZ50" s="207"/>
      <c r="BA50" s="207"/>
      <c r="BB50" s="207"/>
      <c r="BC50" s="207"/>
      <c r="BD50" s="207"/>
      <c r="BE50" s="207"/>
      <c r="BF50" s="2">
        <f t="shared" si="10"/>
        <v>44</v>
      </c>
    </row>
    <row r="51" spans="1:58" ht="11.25" customHeight="1" outlineLevel="1">
      <c r="A51" s="50"/>
      <c r="B51" s="150" t="s">
        <v>178</v>
      </c>
      <c r="C51" s="209">
        <f t="shared" ref="C51:K51" si="69">+C23/C15</f>
        <v>0.26615256165188428</v>
      </c>
      <c r="D51" s="209">
        <f t="shared" si="69"/>
        <v>0.23500636624467885</v>
      </c>
      <c r="E51" s="209">
        <f t="shared" si="69"/>
        <v>0.26278633601821705</v>
      </c>
      <c r="F51" s="209">
        <f t="shared" si="69"/>
        <v>0.15331263071631177</v>
      </c>
      <c r="G51" s="209">
        <f t="shared" si="69"/>
        <v>2.7684619877838434E-2</v>
      </c>
      <c r="H51" s="209">
        <f t="shared" si="69"/>
        <v>9.5980098992783661E-2</v>
      </c>
      <c r="I51" s="209">
        <f t="shared" si="69"/>
        <v>0.1604223941141345</v>
      </c>
      <c r="J51" s="209">
        <f t="shared" si="69"/>
        <v>0.1886859148740348</v>
      </c>
      <c r="K51" s="209">
        <f t="shared" si="69"/>
        <v>0.19063362278840651</v>
      </c>
      <c r="L51" s="309"/>
      <c r="M51" s="45"/>
      <c r="N51" s="209">
        <f t="shared" ref="N51:AW51" si="70">+N23/N15</f>
        <v>0.25242000461298025</v>
      </c>
      <c r="O51" s="209">
        <f t="shared" si="70"/>
        <v>0.3012227754904413</v>
      </c>
      <c r="P51" s="209">
        <f t="shared" si="70"/>
        <v>0.26075114545231065</v>
      </c>
      <c r="Q51" s="209">
        <f t="shared" si="70"/>
        <v>0.24582197111471532</v>
      </c>
      <c r="R51" s="209">
        <f t="shared" si="70"/>
        <v>0.2405663160657309</v>
      </c>
      <c r="S51" s="209">
        <f t="shared" si="70"/>
        <v>0.2460229384339056</v>
      </c>
      <c r="T51" s="209">
        <f t="shared" si="70"/>
        <v>0.23277596193889524</v>
      </c>
      <c r="U51" s="209">
        <f t="shared" si="70"/>
        <v>0.22043373459797153</v>
      </c>
      <c r="V51" s="209">
        <f t="shared" si="70"/>
        <v>0.23920265154726977</v>
      </c>
      <c r="W51" s="209">
        <f t="shared" si="70"/>
        <v>0.28026313888648119</v>
      </c>
      <c r="X51" s="209">
        <f t="shared" si="70"/>
        <v>0.27499408614868498</v>
      </c>
      <c r="Y51" s="209">
        <f t="shared" si="70"/>
        <v>0.25507921936220657</v>
      </c>
      <c r="Z51" s="209">
        <f t="shared" si="70"/>
        <v>0.2006323352248878</v>
      </c>
      <c r="AA51" s="209">
        <f t="shared" si="70"/>
        <v>0.16262324419232846</v>
      </c>
      <c r="AB51" s="209">
        <f t="shared" si="70"/>
        <v>0.11344106046598249</v>
      </c>
      <c r="AC51" s="209">
        <f t="shared" si="70"/>
        <v>0.10344662517951174</v>
      </c>
      <c r="AD51" s="209">
        <f t="shared" si="70"/>
        <v>9.6673468350385955E-2</v>
      </c>
      <c r="AE51" s="209">
        <f t="shared" si="70"/>
        <v>6.2567539878351022E-2</v>
      </c>
      <c r="AF51" s="209">
        <f t="shared" si="70"/>
        <v>-4.4260862901371774E-2</v>
      </c>
      <c r="AG51" s="209">
        <f t="shared" si="70"/>
        <v>-2.1576217912182807E-2</v>
      </c>
      <c r="AH51" s="209">
        <f t="shared" si="70"/>
        <v>8.6223237623959861E-3</v>
      </c>
      <c r="AI51" s="209">
        <f t="shared" si="70"/>
        <v>8.8408485580809618E-2</v>
      </c>
      <c r="AJ51" s="209">
        <f t="shared" si="70"/>
        <v>0.12524578630868982</v>
      </c>
      <c r="AK51" s="209">
        <f t="shared" si="70"/>
        <v>0.14381250716738794</v>
      </c>
      <c r="AL51" s="209">
        <f t="shared" si="70"/>
        <v>0.12950736177152097</v>
      </c>
      <c r="AM51" s="209">
        <f t="shared" si="70"/>
        <v>0.1500418536814607</v>
      </c>
      <c r="AN51" s="209">
        <f t="shared" si="70"/>
        <v>0.17402831499543447</v>
      </c>
      <c r="AO51" s="209">
        <f t="shared" si="70"/>
        <v>0.18026030704071649</v>
      </c>
      <c r="AP51" s="209">
        <f t="shared" si="70"/>
        <v>0.18580555720835343</v>
      </c>
      <c r="AQ51" s="209">
        <f t="shared" si="70"/>
        <v>0.18768162318785395</v>
      </c>
      <c r="AR51" s="209">
        <f t="shared" si="70"/>
        <v>0.18956755642302153</v>
      </c>
      <c r="AS51" s="209">
        <f t="shared" si="70"/>
        <v>0.19146372002616097</v>
      </c>
      <c r="AT51" s="209">
        <f t="shared" si="70"/>
        <v>0.19110706022639118</v>
      </c>
      <c r="AU51" s="209">
        <f t="shared" si="70"/>
        <v>0.1907933278747807</v>
      </c>
      <c r="AV51" s="209">
        <f t="shared" si="70"/>
        <v>0.19047903201745295</v>
      </c>
      <c r="AW51" s="209">
        <f t="shared" si="70"/>
        <v>0.1901641950505967</v>
      </c>
      <c r="AX51" s="208"/>
      <c r="AY51" s="208"/>
      <c r="AZ51" s="208"/>
      <c r="BA51" s="208"/>
      <c r="BB51" s="208"/>
      <c r="BC51" s="208"/>
      <c r="BD51" s="208"/>
      <c r="BE51" s="208"/>
      <c r="BF51" s="2">
        <f t="shared" si="10"/>
        <v>45</v>
      </c>
    </row>
    <row r="52" spans="1:58" ht="11.25" customHeight="1" outlineLevel="1">
      <c r="A52" s="50"/>
      <c r="B52" s="36" t="s">
        <v>9</v>
      </c>
      <c r="C52" s="32">
        <f t="shared" ref="C52:K52" si="71">IFERROR(C18/C11,"NM")</f>
        <v>0.49984775490087302</v>
      </c>
      <c r="D52" s="32">
        <f t="shared" si="71"/>
        <v>0.49706743119375468</v>
      </c>
      <c r="E52" s="32">
        <f t="shared" si="71"/>
        <v>0.51729449293120422</v>
      </c>
      <c r="F52" s="32">
        <f t="shared" si="71"/>
        <v>0.43998488758019993</v>
      </c>
      <c r="G52" s="32">
        <f t="shared" si="71"/>
        <v>0.28581746329165664</v>
      </c>
      <c r="H52" s="32">
        <f t="shared" si="71"/>
        <v>0.38831420885968193</v>
      </c>
      <c r="I52" s="32">
        <f t="shared" si="71"/>
        <v>0.39999999999999997</v>
      </c>
      <c r="J52" s="32">
        <f t="shared" si="71"/>
        <v>0.41263820855197714</v>
      </c>
      <c r="K52" s="32">
        <f t="shared" si="71"/>
        <v>0.4200000000000001</v>
      </c>
      <c r="L52" s="309"/>
      <c r="M52" s="45"/>
      <c r="N52" s="32">
        <f t="shared" ref="N52:AK52" si="72">IFERROR(N18/N11,"NM")</f>
        <v>0.49319011179940536</v>
      </c>
      <c r="O52" s="32">
        <f t="shared" si="72"/>
        <v>0.48736815543779965</v>
      </c>
      <c r="P52" s="32">
        <f t="shared" si="72"/>
        <v>0.51591732432959436</v>
      </c>
      <c r="Q52" s="32">
        <f t="shared" si="72"/>
        <v>0.50297129392714246</v>
      </c>
      <c r="R52" s="32">
        <f t="shared" si="72"/>
        <v>0.50490517014728398</v>
      </c>
      <c r="S52" s="32">
        <f t="shared" si="72"/>
        <v>0.49492264703877875</v>
      </c>
      <c r="T52" s="32">
        <f t="shared" si="72"/>
        <v>0.48548176056272679</v>
      </c>
      <c r="U52" s="32">
        <f t="shared" si="72"/>
        <v>0.50340577214646376</v>
      </c>
      <c r="V52" s="32">
        <f t="shared" si="72"/>
        <v>0.50814222787339358</v>
      </c>
      <c r="W52" s="32">
        <f t="shared" si="72"/>
        <v>0.5057570956978874</v>
      </c>
      <c r="X52" s="32">
        <f t="shared" si="72"/>
        <v>0.52680557181318044</v>
      </c>
      <c r="Y52" s="32">
        <f t="shared" si="72"/>
        <v>0.52713952015701215</v>
      </c>
      <c r="Z52" s="32">
        <f t="shared" si="72"/>
        <v>0.48254528499591398</v>
      </c>
      <c r="AA52" s="32">
        <f t="shared" si="72"/>
        <v>0.46248066186856807</v>
      </c>
      <c r="AB52" s="32">
        <f t="shared" si="72"/>
        <v>0.43098347588828595</v>
      </c>
      <c r="AC52" s="32">
        <f t="shared" si="72"/>
        <v>0.34450635088410747</v>
      </c>
      <c r="AD52" s="32">
        <f t="shared" si="72"/>
        <v>0.3457239819004525</v>
      </c>
      <c r="AE52" s="32">
        <f t="shared" si="72"/>
        <v>0.29808398950131232</v>
      </c>
      <c r="AF52" s="32">
        <f t="shared" si="72"/>
        <v>0.26721476510067116</v>
      </c>
      <c r="AG52" s="32">
        <f t="shared" si="72"/>
        <v>0.21194288186932039</v>
      </c>
      <c r="AH52" s="330">
        <f t="shared" si="72"/>
        <v>0.38589235872630828</v>
      </c>
      <c r="AI52" s="32">
        <f t="shared" si="72"/>
        <v>0.33542069246080752</v>
      </c>
      <c r="AJ52" s="32">
        <f t="shared" si="72"/>
        <v>0.42747972955469776</v>
      </c>
      <c r="AK52" s="32">
        <f t="shared" si="72"/>
        <v>0.39818998813520817</v>
      </c>
      <c r="AL52" s="311">
        <v>0.4</v>
      </c>
      <c r="AM52" s="311">
        <v>0.4</v>
      </c>
      <c r="AN52" s="311">
        <v>0.4</v>
      </c>
      <c r="AO52" s="311">
        <v>0.4</v>
      </c>
      <c r="AP52" s="311">
        <f>+AO52+0.5%</f>
        <v>0.40500000000000003</v>
      </c>
      <c r="AQ52" s="311">
        <f>+AP52+0.5%</f>
        <v>0.41000000000000003</v>
      </c>
      <c r="AR52" s="311">
        <f>+AQ52+0.5%</f>
        <v>0.41500000000000004</v>
      </c>
      <c r="AS52" s="311">
        <f>+AR52+0.5%</f>
        <v>0.42000000000000004</v>
      </c>
      <c r="AT52" s="311">
        <f t="shared" ref="AT52:AW53" si="73">AS52</f>
        <v>0.42000000000000004</v>
      </c>
      <c r="AU52" s="311">
        <f t="shared" si="73"/>
        <v>0.42000000000000004</v>
      </c>
      <c r="AV52" s="311">
        <f t="shared" si="73"/>
        <v>0.42000000000000004</v>
      </c>
      <c r="AW52" s="311">
        <f t="shared" si="73"/>
        <v>0.42000000000000004</v>
      </c>
      <c r="AX52" s="207"/>
      <c r="AY52" s="207"/>
      <c r="AZ52" s="207"/>
      <c r="BA52" s="207"/>
      <c r="BB52" s="207"/>
      <c r="BC52" s="207"/>
      <c r="BD52" s="207"/>
      <c r="BE52" s="207"/>
      <c r="BF52" s="2">
        <f t="shared" si="10"/>
        <v>46</v>
      </c>
    </row>
    <row r="53" spans="1:58" ht="11.25" customHeight="1" outlineLevel="1">
      <c r="A53" s="50"/>
      <c r="B53" s="36" t="s">
        <v>8</v>
      </c>
      <c r="C53" s="32">
        <f t="shared" ref="C53:K53" si="74">IFERROR(C19/C12,"NM")</f>
        <v>0.23107485239749379</v>
      </c>
      <c r="D53" s="32">
        <f t="shared" si="74"/>
        <v>0.22538429164078</v>
      </c>
      <c r="E53" s="32">
        <f t="shared" si="74"/>
        <v>0.21244351538048414</v>
      </c>
      <c r="F53" s="32">
        <f t="shared" si="74"/>
        <v>6.6186019770475751E-2</v>
      </c>
      <c r="G53" s="32">
        <f t="shared" si="74"/>
        <v>-0.13877453646713045</v>
      </c>
      <c r="H53" s="32">
        <f t="shared" si="74"/>
        <v>0.10568626675206885</v>
      </c>
      <c r="I53" s="32">
        <f t="shared" si="74"/>
        <v>0.19852416798732173</v>
      </c>
      <c r="J53" s="32">
        <f t="shared" si="74"/>
        <v>0.23</v>
      </c>
      <c r="K53" s="32">
        <f t="shared" si="74"/>
        <v>0.23</v>
      </c>
      <c r="L53" s="309"/>
      <c r="M53" s="45"/>
      <c r="N53" s="32">
        <f t="shared" ref="N53:AK53" si="75">IFERROR(N19/N12,"NM")</f>
        <v>0.1318203921680802</v>
      </c>
      <c r="O53" s="32">
        <f t="shared" si="75"/>
        <v>0.27766640231062606</v>
      </c>
      <c r="P53" s="32">
        <f t="shared" si="75"/>
        <v>0.23814441801165259</v>
      </c>
      <c r="Q53" s="32">
        <f t="shared" si="75"/>
        <v>0.23737845252287321</v>
      </c>
      <c r="R53" s="32">
        <f t="shared" si="75"/>
        <v>0.24303786770833577</v>
      </c>
      <c r="S53" s="32">
        <f t="shared" si="75"/>
        <v>0.24718243365409723</v>
      </c>
      <c r="T53" s="32">
        <f t="shared" si="75"/>
        <v>0.2161571394114809</v>
      </c>
      <c r="U53" s="32">
        <f t="shared" si="75"/>
        <v>0.19193087113373164</v>
      </c>
      <c r="V53" s="32">
        <f t="shared" si="75"/>
        <v>0.17101290919956808</v>
      </c>
      <c r="W53" s="32">
        <f t="shared" si="75"/>
        <v>0.21889319881019373</v>
      </c>
      <c r="X53" s="32">
        <f t="shared" si="75"/>
        <v>0.24167195852598178</v>
      </c>
      <c r="Y53" s="32">
        <f t="shared" si="75"/>
        <v>0.21206701767100808</v>
      </c>
      <c r="Z53" s="32">
        <f t="shared" si="75"/>
        <v>0.16691263618544011</v>
      </c>
      <c r="AA53" s="32">
        <f t="shared" si="75"/>
        <v>4.9429456227386988E-2</v>
      </c>
      <c r="AB53" s="32">
        <f t="shared" si="75"/>
        <v>1.7402450146663784E-3</v>
      </c>
      <c r="AC53" s="32">
        <f t="shared" si="75"/>
        <v>-5.4011533035580872E-2</v>
      </c>
      <c r="AD53" s="32">
        <f t="shared" si="75"/>
        <v>-8.3519536203877046E-2</v>
      </c>
      <c r="AE53" s="32">
        <f t="shared" si="75"/>
        <v>-0.13199244130361631</v>
      </c>
      <c r="AF53" s="32">
        <f t="shared" si="75"/>
        <v>-0.17640895202444368</v>
      </c>
      <c r="AG53" s="32">
        <f t="shared" si="75"/>
        <v>-0.16135823294239532</v>
      </c>
      <c r="AH53" s="330">
        <f t="shared" si="75"/>
        <v>9.2692422150561754E-5</v>
      </c>
      <c r="AI53" s="32">
        <f t="shared" si="75"/>
        <v>0.12146347142874349</v>
      </c>
      <c r="AJ53" s="32">
        <f t="shared" si="75"/>
        <v>0.109707936635736</v>
      </c>
      <c r="AK53" s="32">
        <f t="shared" si="75"/>
        <v>0.17751375042970094</v>
      </c>
      <c r="AL53" s="311">
        <v>0.15</v>
      </c>
      <c r="AM53" s="311">
        <v>0.18</v>
      </c>
      <c r="AN53" s="311">
        <v>0.22</v>
      </c>
      <c r="AO53" s="311">
        <v>0.22500000000000001</v>
      </c>
      <c r="AP53" s="311">
        <v>0.23</v>
      </c>
      <c r="AQ53" s="311">
        <f>AP53</f>
        <v>0.23</v>
      </c>
      <c r="AR53" s="311">
        <f>AQ53</f>
        <v>0.23</v>
      </c>
      <c r="AS53" s="311">
        <f>AR53</f>
        <v>0.23</v>
      </c>
      <c r="AT53" s="311">
        <f t="shared" si="73"/>
        <v>0.23</v>
      </c>
      <c r="AU53" s="311">
        <f t="shared" si="73"/>
        <v>0.23</v>
      </c>
      <c r="AV53" s="311">
        <f t="shared" si="73"/>
        <v>0.23</v>
      </c>
      <c r="AW53" s="311">
        <f t="shared" si="73"/>
        <v>0.23</v>
      </c>
      <c r="AX53" s="207"/>
      <c r="AY53" s="207"/>
      <c r="AZ53" s="207"/>
      <c r="BA53" s="207"/>
      <c r="BB53" s="207"/>
      <c r="BC53" s="207"/>
      <c r="BD53" s="207"/>
      <c r="BE53" s="207"/>
      <c r="BF53" s="2">
        <f t="shared" si="10"/>
        <v>47</v>
      </c>
    </row>
    <row r="54" spans="1:58" ht="11.25" customHeight="1" outlineLevel="1">
      <c r="A54" s="50"/>
      <c r="B54" s="36" t="s">
        <v>7</v>
      </c>
      <c r="C54" s="32">
        <f t="shared" ref="C54:K54" si="76">IFERROR(C20/C13,"NM")</f>
        <v>0.24496853056605278</v>
      </c>
      <c r="D54" s="32">
        <f t="shared" si="76"/>
        <v>0.17115848238219925</v>
      </c>
      <c r="E54" s="32">
        <f t="shared" si="76"/>
        <v>0.16273947186585813</v>
      </c>
      <c r="F54" s="32">
        <f t="shared" si="76"/>
        <v>5.2188962077293101E-2</v>
      </c>
      <c r="G54" s="32">
        <f t="shared" si="76"/>
        <v>1.2845316554527288E-2</v>
      </c>
      <c r="H54" s="32">
        <f t="shared" si="76"/>
        <v>5.5984612949694319E-2</v>
      </c>
      <c r="I54" s="32">
        <f t="shared" si="76"/>
        <v>0.11811400722927329</v>
      </c>
      <c r="J54" s="32">
        <f t="shared" si="76"/>
        <v>0.14271649689250554</v>
      </c>
      <c r="K54" s="32">
        <f t="shared" si="76"/>
        <v>0.15000000000000002</v>
      </c>
      <c r="L54" s="309"/>
      <c r="M54" s="45"/>
      <c r="N54" s="32">
        <f t="shared" ref="N54:AK54" si="77">IFERROR(N20/N13,"NM")</f>
        <v>0.28664194259986842</v>
      </c>
      <c r="O54" s="32">
        <f t="shared" si="77"/>
        <v>0.28169865132692029</v>
      </c>
      <c r="P54" s="32">
        <f t="shared" si="77"/>
        <v>0.22342644997699726</v>
      </c>
      <c r="Q54" s="32">
        <f t="shared" si="77"/>
        <v>0.18568206616649655</v>
      </c>
      <c r="R54" s="32">
        <f t="shared" si="77"/>
        <v>0.19113928529628713</v>
      </c>
      <c r="S54" s="32">
        <f t="shared" si="77"/>
        <v>0.18093240775362673</v>
      </c>
      <c r="T54" s="32">
        <f t="shared" si="77"/>
        <v>0.17030095462607237</v>
      </c>
      <c r="U54" s="32">
        <f t="shared" si="77"/>
        <v>0.14070469702607552</v>
      </c>
      <c r="V54" s="32">
        <f t="shared" si="77"/>
        <v>0.14575622208040842</v>
      </c>
      <c r="W54" s="32">
        <f t="shared" si="77"/>
        <v>0.19633239888797124</v>
      </c>
      <c r="X54" s="32">
        <f t="shared" si="77"/>
        <v>0.15653697178555764</v>
      </c>
      <c r="Y54" s="32">
        <f t="shared" si="77"/>
        <v>0.15124520316934237</v>
      </c>
      <c r="Z54" s="32">
        <f t="shared" si="77"/>
        <v>6.5507080395595468E-2</v>
      </c>
      <c r="AA54" s="32">
        <f t="shared" si="77"/>
        <v>7.518299927183536E-2</v>
      </c>
      <c r="AB54" s="32">
        <f t="shared" si="77"/>
        <v>3.1981512307851762E-2</v>
      </c>
      <c r="AC54" s="32">
        <f t="shared" si="77"/>
        <v>1.6538736626333747E-2</v>
      </c>
      <c r="AD54" s="32">
        <f t="shared" si="77"/>
        <v>6.6310191009950809E-2</v>
      </c>
      <c r="AE54" s="32">
        <f t="shared" si="77"/>
        <v>-5.4603652796083443E-3</v>
      </c>
      <c r="AF54" s="32">
        <f t="shared" si="77"/>
        <v>-0.11586892013933696</v>
      </c>
      <c r="AG54" s="32">
        <f t="shared" si="77"/>
        <v>8.5990564872675271E-2</v>
      </c>
      <c r="AH54" s="330">
        <f t="shared" si="77"/>
        <v>-5.0375337074557242E-2</v>
      </c>
      <c r="AI54" s="32">
        <f t="shared" si="77"/>
        <v>6.0300656840394561E-2</v>
      </c>
      <c r="AJ54" s="32">
        <f t="shared" si="77"/>
        <v>6.7428313110661331E-2</v>
      </c>
      <c r="AK54" s="32">
        <f t="shared" si="77"/>
        <v>0.10504326056987238</v>
      </c>
      <c r="AL54" s="311">
        <v>9.5000000000000001E-2</v>
      </c>
      <c r="AM54" s="311">
        <v>0.12</v>
      </c>
      <c r="AN54" s="311">
        <f t="shared" ref="AN54:AS54" si="78">+AM54+0.5%</f>
        <v>0.125</v>
      </c>
      <c r="AO54" s="311">
        <f t="shared" si="78"/>
        <v>0.13</v>
      </c>
      <c r="AP54" s="311">
        <f t="shared" si="78"/>
        <v>0.13500000000000001</v>
      </c>
      <c r="AQ54" s="311">
        <f t="shared" si="78"/>
        <v>0.14000000000000001</v>
      </c>
      <c r="AR54" s="311">
        <f t="shared" si="78"/>
        <v>0.14500000000000002</v>
      </c>
      <c r="AS54" s="311">
        <f t="shared" si="78"/>
        <v>0.15000000000000002</v>
      </c>
      <c r="AT54" s="311">
        <f>AS54</f>
        <v>0.15000000000000002</v>
      </c>
      <c r="AU54" s="311">
        <f t="shared" ref="AU54:AW54" si="79">AT54</f>
        <v>0.15000000000000002</v>
      </c>
      <c r="AV54" s="311">
        <f t="shared" si="79"/>
        <v>0.15000000000000002</v>
      </c>
      <c r="AW54" s="311">
        <f t="shared" si="79"/>
        <v>0.15000000000000002</v>
      </c>
      <c r="AX54" s="207"/>
      <c r="AY54" s="207"/>
      <c r="AZ54" s="207"/>
      <c r="BA54" s="207"/>
      <c r="BB54" s="207"/>
      <c r="BC54" s="207"/>
      <c r="BD54" s="207"/>
      <c r="BE54" s="207"/>
      <c r="BF54" s="2">
        <f t="shared" si="10"/>
        <v>48</v>
      </c>
    </row>
    <row r="55" spans="1:58" ht="11.25" customHeight="1" outlineLevel="1">
      <c r="A55" s="50"/>
      <c r="B55" s="36" t="s">
        <v>162</v>
      </c>
      <c r="C55" s="32">
        <f t="shared" ref="C55:K55" si="80">IFERROR(C21/C14,"NM")</f>
        <v>0.13068375882040886</v>
      </c>
      <c r="D55" s="32">
        <f t="shared" si="80"/>
        <v>8.1689239191246571E-2</v>
      </c>
      <c r="E55" s="32">
        <f t="shared" si="80"/>
        <v>0.24006399276983745</v>
      </c>
      <c r="F55" s="32">
        <f t="shared" si="80"/>
        <v>0.12980571809875785</v>
      </c>
      <c r="G55" s="32">
        <f t="shared" si="80"/>
        <v>8.6164911885592041E-2</v>
      </c>
      <c r="H55" s="32">
        <f t="shared" si="80"/>
        <v>0.16616132324114791</v>
      </c>
      <c r="I55" s="32">
        <f t="shared" si="80"/>
        <v>0.10755701183245275</v>
      </c>
      <c r="J55" s="32">
        <f t="shared" si="80"/>
        <v>0.10000000000000002</v>
      </c>
      <c r="K55" s="32">
        <f t="shared" si="80"/>
        <v>9.9999999999999992E-2</v>
      </c>
      <c r="L55" s="309"/>
      <c r="M55" s="45"/>
      <c r="N55" s="32">
        <f t="shared" ref="N55:AK55" si="81">IFERROR(N21/N14,"NM")</f>
        <v>8.5627038946043135E-2</v>
      </c>
      <c r="O55" s="32">
        <f t="shared" si="81"/>
        <v>0.18838908112264513</v>
      </c>
      <c r="P55" s="32">
        <f t="shared" si="81"/>
        <v>0.12238497583293363</v>
      </c>
      <c r="Q55" s="32">
        <f t="shared" si="81"/>
        <v>0.12587976281040453</v>
      </c>
      <c r="R55" s="32">
        <f t="shared" si="81"/>
        <v>9.8771266540642732E-3</v>
      </c>
      <c r="S55" s="32">
        <f t="shared" si="81"/>
        <v>9.860487997903844E-2</v>
      </c>
      <c r="T55" s="32">
        <f t="shared" si="81"/>
        <v>0.11494509066425204</v>
      </c>
      <c r="U55" s="32">
        <f t="shared" si="81"/>
        <v>8.3415020463318362E-2</v>
      </c>
      <c r="V55" s="32">
        <f t="shared" si="81"/>
        <v>0.21906899520354201</v>
      </c>
      <c r="W55" s="32">
        <f t="shared" si="81"/>
        <v>0.29696518339229194</v>
      </c>
      <c r="X55" s="32">
        <f t="shared" si="81"/>
        <v>0.2535024637102144</v>
      </c>
      <c r="Y55" s="32">
        <f t="shared" si="81"/>
        <v>0.1839475521762744</v>
      </c>
      <c r="Z55" s="32">
        <f t="shared" si="81"/>
        <v>0.11031522351818931</v>
      </c>
      <c r="AA55" s="32">
        <f t="shared" si="81"/>
        <v>0.1570779563331155</v>
      </c>
      <c r="AB55" s="32">
        <f t="shared" si="81"/>
        <v>6.1417837308069261E-2</v>
      </c>
      <c r="AC55" s="32">
        <f t="shared" si="81"/>
        <v>0.17850658567986005</v>
      </c>
      <c r="AD55" s="32">
        <f t="shared" si="81"/>
        <v>0.15437632377354171</v>
      </c>
      <c r="AE55" s="32">
        <f t="shared" si="81"/>
        <v>0.19365672584025659</v>
      </c>
      <c r="AF55" s="32">
        <f t="shared" si="81"/>
        <v>1.0469161998970236E-2</v>
      </c>
      <c r="AG55" s="32">
        <f t="shared" si="81"/>
        <v>-9.3525851763299458E-2</v>
      </c>
      <c r="AH55" s="330">
        <f t="shared" si="81"/>
        <v>0.11700412416625651</v>
      </c>
      <c r="AI55" s="32">
        <f t="shared" si="81"/>
        <v>0.14673673610674054</v>
      </c>
      <c r="AJ55" s="32">
        <f t="shared" si="81"/>
        <v>0.25304206535475721</v>
      </c>
      <c r="AK55" s="32">
        <f t="shared" si="81"/>
        <v>0.11998205204905774</v>
      </c>
      <c r="AL55" s="311">
        <v>0.12</v>
      </c>
      <c r="AM55" s="311">
        <v>0.11</v>
      </c>
      <c r="AN55" s="311">
        <v>0.1</v>
      </c>
      <c r="AO55" s="311">
        <v>0.1</v>
      </c>
      <c r="AP55" s="311">
        <v>0.1</v>
      </c>
      <c r="AQ55" s="311">
        <v>0.1</v>
      </c>
      <c r="AR55" s="311">
        <v>0.1</v>
      </c>
      <c r="AS55" s="311">
        <v>0.1</v>
      </c>
      <c r="AT55" s="311">
        <v>0.1</v>
      </c>
      <c r="AU55" s="311">
        <v>0.1</v>
      </c>
      <c r="AV55" s="311">
        <v>0.1</v>
      </c>
      <c r="AW55" s="311">
        <v>0.1</v>
      </c>
      <c r="AX55" s="207"/>
      <c r="AY55" s="207"/>
      <c r="AZ55" s="207"/>
      <c r="BA55" s="207"/>
      <c r="BB55" s="207"/>
      <c r="BC55" s="207"/>
      <c r="BD55" s="207"/>
      <c r="BE55" s="207"/>
      <c r="BF55" s="2">
        <f t="shared" si="10"/>
        <v>49</v>
      </c>
    </row>
    <row r="56" spans="1:58" ht="11.25" customHeight="1" outlineLevel="1">
      <c r="A56" s="47"/>
      <c r="B56" s="150" t="s">
        <v>177</v>
      </c>
      <c r="C56" s="209">
        <f>C31/C15</f>
        <v>0.1546653858918037</v>
      </c>
      <c r="D56" s="308">
        <f>IF(ISERROR(D31/D15),"NM",D31/D15)</f>
        <v>0.10394303858950384</v>
      </c>
      <c r="E56" s="308">
        <f>IF(ISERROR(E31/E15),"NM",E31/E15)</f>
        <v>0.11995816198929823</v>
      </c>
      <c r="F56" s="308">
        <f t="shared" ref="F56:K56" si="82">F31/F15</f>
        <v>-6.9151586403141382E-2</v>
      </c>
      <c r="G56" s="308">
        <f t="shared" si="82"/>
        <v>-0.3240081183575429</v>
      </c>
      <c r="H56" s="308">
        <f t="shared" si="82"/>
        <v>-0.13811713078871937</v>
      </c>
      <c r="I56" s="308">
        <f t="shared" si="82"/>
        <v>-2.5567767989213636E-2</v>
      </c>
      <c r="J56" s="308">
        <f t="shared" si="82"/>
        <v>5.0551590583534714E-2</v>
      </c>
      <c r="K56" s="308">
        <f t="shared" si="82"/>
        <v>6.9605121530139341E-2</v>
      </c>
      <c r="L56" s="310"/>
      <c r="M56" s="209"/>
      <c r="N56" s="209">
        <f t="shared" ref="N56:AW56" si="83">N31/N15</f>
        <v>0.14630490972108018</v>
      </c>
      <c r="O56" s="209">
        <f t="shared" si="83"/>
        <v>0.19222741709891025</v>
      </c>
      <c r="P56" s="209">
        <f t="shared" si="83"/>
        <v>0.15211013296147638</v>
      </c>
      <c r="Q56" s="209">
        <f t="shared" si="83"/>
        <v>0.12444759036093452</v>
      </c>
      <c r="R56" s="209">
        <f t="shared" si="83"/>
        <v>0.11289860930937519</v>
      </c>
      <c r="S56" s="209">
        <f t="shared" si="83"/>
        <v>0.11716347061729926</v>
      </c>
      <c r="T56" s="209">
        <f t="shared" si="83"/>
        <v>0.10487247763152911</v>
      </c>
      <c r="U56" s="209">
        <f t="shared" si="83"/>
        <v>8.0356944975120081E-2</v>
      </c>
      <c r="V56" s="209">
        <f t="shared" si="83"/>
        <v>8.6277036944917063E-2</v>
      </c>
      <c r="W56" s="209">
        <f t="shared" si="83"/>
        <v>0.13492910490884402</v>
      </c>
      <c r="X56" s="209">
        <f t="shared" si="83"/>
        <v>0.13425765864423098</v>
      </c>
      <c r="Y56" s="209">
        <f t="shared" si="83"/>
        <v>0.12155340201217352</v>
      </c>
      <c r="Z56" s="209">
        <f t="shared" si="83"/>
        <v>2.3774714222636509E-2</v>
      </c>
      <c r="AA56" s="209">
        <f t="shared" si="83"/>
        <v>-6.0161736898973528E-2</v>
      </c>
      <c r="AB56" s="209">
        <f t="shared" si="83"/>
        <v>-0.13058616951226815</v>
      </c>
      <c r="AC56" s="209">
        <f t="shared" si="83"/>
        <v>-0.17384968884633797</v>
      </c>
      <c r="AD56" s="209">
        <f t="shared" si="83"/>
        <v>-0.23414493637642111</v>
      </c>
      <c r="AE56" s="209">
        <f t="shared" si="83"/>
        <v>-0.30804078917453287</v>
      </c>
      <c r="AF56" s="209">
        <f t="shared" si="83"/>
        <v>-0.42224538278795309</v>
      </c>
      <c r="AG56" s="209">
        <f t="shared" si="83"/>
        <v>-0.35438662821865707</v>
      </c>
      <c r="AH56" s="209">
        <f t="shared" si="83"/>
        <v>-0.27641319312808033</v>
      </c>
      <c r="AI56" s="209">
        <f t="shared" si="83"/>
        <v>-0.14159866232119611</v>
      </c>
      <c r="AJ56" s="209">
        <f t="shared" si="83"/>
        <v>-8.9664821581371845E-2</v>
      </c>
      <c r="AK56" s="209">
        <f t="shared" si="83"/>
        <v>-7.2597340672738583E-2</v>
      </c>
      <c r="AL56" s="209">
        <f t="shared" si="83"/>
        <v>-9.1178931170977501E-2</v>
      </c>
      <c r="AM56" s="209">
        <f t="shared" si="83"/>
        <v>-4.863230121098025E-2</v>
      </c>
      <c r="AN56" s="209">
        <f t="shared" si="83"/>
        <v>-3.5155321697000782E-4</v>
      </c>
      <c r="AO56" s="209">
        <f t="shared" si="83"/>
        <v>2.0845742535251954E-2</v>
      </c>
      <c r="AP56" s="209">
        <f t="shared" si="83"/>
        <v>3.7015615162658631E-2</v>
      </c>
      <c r="AQ56" s="209">
        <f t="shared" si="83"/>
        <v>4.6008277600518593E-2</v>
      </c>
      <c r="AR56" s="209">
        <f t="shared" si="83"/>
        <v>5.4786133327135583E-2</v>
      </c>
      <c r="AS56" s="209">
        <f t="shared" si="83"/>
        <v>6.3348412500307594E-2</v>
      </c>
      <c r="AT56" s="209">
        <f t="shared" si="83"/>
        <v>6.7223720249213456E-2</v>
      </c>
      <c r="AU56" s="209">
        <f t="shared" si="83"/>
        <v>6.8773231712418795E-2</v>
      </c>
      <c r="AV56" s="209">
        <f t="shared" si="83"/>
        <v>7.0369122361714082E-2</v>
      </c>
      <c r="AW56" s="209">
        <f t="shared" si="83"/>
        <v>7.2008104134518636E-2</v>
      </c>
      <c r="AX56" s="208"/>
      <c r="AY56" s="208"/>
      <c r="AZ56" s="208"/>
      <c r="BA56" s="208"/>
      <c r="BB56" s="208"/>
      <c r="BC56" s="208"/>
      <c r="BD56" s="208"/>
      <c r="BE56" s="208"/>
      <c r="BF56" s="2">
        <f t="shared" si="10"/>
        <v>50</v>
      </c>
    </row>
    <row r="57" spans="1:58" ht="11.25" customHeight="1" outlineLevel="1">
      <c r="A57" s="50"/>
      <c r="B57" s="36" t="s">
        <v>9</v>
      </c>
      <c r="C57" s="45">
        <f t="shared" ref="C57:K57" si="84">C26/C11</f>
        <v>0.30542947310293572</v>
      </c>
      <c r="D57" s="45">
        <f t="shared" si="84"/>
        <v>0.29516740328724389</v>
      </c>
      <c r="E57" s="32">
        <f t="shared" si="84"/>
        <v>0.31398745898951019</v>
      </c>
      <c r="F57" s="32">
        <f t="shared" si="84"/>
        <v>0.11120335183983544</v>
      </c>
      <c r="G57" s="32">
        <f t="shared" si="84"/>
        <v>-0.26396620447654412</v>
      </c>
      <c r="H57" s="32">
        <f t="shared" si="84"/>
        <v>-5.9075896353297686E-2</v>
      </c>
      <c r="I57" s="32">
        <f t="shared" si="84"/>
        <v>8.3800503146460717E-2</v>
      </c>
      <c r="J57" s="32">
        <f t="shared" si="84"/>
        <v>0.17202221614380966</v>
      </c>
      <c r="K57" s="32">
        <f t="shared" si="84"/>
        <v>0.21062821732385434</v>
      </c>
      <c r="L57" s="312"/>
      <c r="M57" s="45"/>
      <c r="N57" s="45">
        <f t="shared" ref="N57:AW57" si="85">N26/N11</f>
        <v>0.30222806656210227</v>
      </c>
      <c r="O57" s="45">
        <f t="shared" si="85"/>
        <v>0.29934897804693417</v>
      </c>
      <c r="P57" s="45">
        <f t="shared" si="85"/>
        <v>0.32203589864636034</v>
      </c>
      <c r="Q57" s="45">
        <f t="shared" si="85"/>
        <v>0.29803245846676046</v>
      </c>
      <c r="R57" s="45">
        <f t="shared" si="85"/>
        <v>0.29176869661148885</v>
      </c>
      <c r="S57" s="45">
        <f t="shared" si="85"/>
        <v>0.29030483589878397</v>
      </c>
      <c r="T57" s="45">
        <f t="shared" si="85"/>
        <v>0.2887965033732055</v>
      </c>
      <c r="U57" s="45">
        <f t="shared" si="85"/>
        <v>0.30872441198438222</v>
      </c>
      <c r="V57" s="45">
        <f t="shared" si="85"/>
        <v>0.30371463602924481</v>
      </c>
      <c r="W57" s="45">
        <f t="shared" si="85"/>
        <v>0.29625368392172824</v>
      </c>
      <c r="X57" s="45">
        <f t="shared" si="85"/>
        <v>0.32654136218457885</v>
      </c>
      <c r="Y57" s="45">
        <f t="shared" si="85"/>
        <v>0.32768721718745414</v>
      </c>
      <c r="Z57" s="45">
        <f t="shared" si="85"/>
        <v>0.23645962328097503</v>
      </c>
      <c r="AA57" s="45">
        <f t="shared" si="85"/>
        <v>0.1279881617004103</v>
      </c>
      <c r="AB57" s="45">
        <f t="shared" si="85"/>
        <v>5.7880376467702867E-2</v>
      </c>
      <c r="AC57" s="45">
        <f t="shared" si="85"/>
        <v>-7.2618642397749858E-2</v>
      </c>
      <c r="AD57" s="45">
        <f t="shared" si="85"/>
        <v>-0.1835067873303167</v>
      </c>
      <c r="AE57" s="45">
        <f t="shared" si="85"/>
        <v>-0.28397637795275593</v>
      </c>
      <c r="AF57" s="45">
        <f t="shared" si="85"/>
        <v>-0.39741610738255034</v>
      </c>
      <c r="AG57" s="45">
        <f t="shared" si="85"/>
        <v>-0.22984278090292803</v>
      </c>
      <c r="AH57" s="331">
        <f t="shared" si="85"/>
        <v>-0.12161155032076106</v>
      </c>
      <c r="AI57" s="45">
        <f t="shared" si="85"/>
        <v>-0.15303587255001672</v>
      </c>
      <c r="AJ57" s="45">
        <f t="shared" si="85"/>
        <v>1.5089500815998757E-2</v>
      </c>
      <c r="AK57" s="45">
        <f t="shared" si="85"/>
        <v>4.2915204604549017E-3</v>
      </c>
      <c r="AL57" s="45">
        <f t="shared" si="85"/>
        <v>3.2120663716947967E-2</v>
      </c>
      <c r="AM57" s="45">
        <f t="shared" si="85"/>
        <v>6.9657376163344678E-2</v>
      </c>
      <c r="AN57" s="45">
        <f t="shared" si="85"/>
        <v>0.10150726480422012</v>
      </c>
      <c r="AO57" s="45">
        <f t="shared" si="85"/>
        <v>0.12801461897427552</v>
      </c>
      <c r="AP57" s="45">
        <f t="shared" si="85"/>
        <v>0.14651554214006179</v>
      </c>
      <c r="AQ57" s="45">
        <f t="shared" si="85"/>
        <v>0.16345625393829974</v>
      </c>
      <c r="AR57" s="45">
        <f t="shared" si="85"/>
        <v>0.18003497745175503</v>
      </c>
      <c r="AS57" s="45">
        <f t="shared" si="85"/>
        <v>0.19624929791581019</v>
      </c>
      <c r="AT57" s="45">
        <f t="shared" si="85"/>
        <v>0.20440224297734605</v>
      </c>
      <c r="AU57" s="45">
        <f t="shared" si="85"/>
        <v>0.20848900467387935</v>
      </c>
      <c r="AV57" s="45">
        <f t="shared" si="85"/>
        <v>0.21262286260016183</v>
      </c>
      <c r="AW57" s="45">
        <f t="shared" si="85"/>
        <v>0.21679702482368318</v>
      </c>
      <c r="AX57" s="207"/>
      <c r="AY57" s="207"/>
      <c r="AZ57" s="207"/>
      <c r="BA57" s="207"/>
      <c r="BB57" s="207"/>
      <c r="BC57" s="207"/>
      <c r="BD57" s="207"/>
      <c r="BE57" s="207"/>
      <c r="BF57" s="2">
        <f t="shared" si="10"/>
        <v>51</v>
      </c>
    </row>
    <row r="58" spans="1:58" ht="11.25" customHeight="1" outlineLevel="1">
      <c r="A58" s="47"/>
      <c r="B58" s="36" t="s">
        <v>8</v>
      </c>
      <c r="C58" s="45">
        <f t="shared" ref="C58:K58" si="86">C27/C12</f>
        <v>0.12326150251854323</v>
      </c>
      <c r="D58" s="45">
        <f t="shared" si="86"/>
        <v>9.0415004910114824E-2</v>
      </c>
      <c r="E58" s="32">
        <f t="shared" si="86"/>
        <v>7.7320846528510845E-2</v>
      </c>
      <c r="F58" s="32">
        <f t="shared" si="86"/>
        <v>-0.17542255564394302</v>
      </c>
      <c r="G58" s="32">
        <f t="shared" si="86"/>
        <v>-0.53852451976754168</v>
      </c>
      <c r="H58" s="32">
        <f t="shared" si="86"/>
        <v>-0.10079524542255368</v>
      </c>
      <c r="I58" s="32">
        <f t="shared" si="86"/>
        <v>2.0707354273233766E-2</v>
      </c>
      <c r="J58" s="32">
        <f t="shared" si="86"/>
        <v>0.10181099355287504</v>
      </c>
      <c r="K58" s="32">
        <f t="shared" si="86"/>
        <v>0.11532992281642827</v>
      </c>
      <c r="L58" s="312"/>
      <c r="M58" s="209"/>
      <c r="N58" s="209"/>
      <c r="O58" s="209"/>
      <c r="P58" s="209"/>
      <c r="Q58" s="45">
        <f t="shared" ref="Q58:AW58" si="87">Q27/Q12</f>
        <v>0.11228090334132879</v>
      </c>
      <c r="R58" s="45">
        <f t="shared" si="87"/>
        <v>0.11669010265667878</v>
      </c>
      <c r="S58" s="45">
        <f t="shared" si="87"/>
        <v>0.11754675854310223</v>
      </c>
      <c r="T58" s="45">
        <f t="shared" si="87"/>
        <v>8.4061947258401659E-2</v>
      </c>
      <c r="U58" s="45">
        <f t="shared" si="87"/>
        <v>3.8428365052111009E-2</v>
      </c>
      <c r="V58" s="45">
        <f t="shared" si="87"/>
        <v>1.556901279121364E-2</v>
      </c>
      <c r="W58" s="45">
        <f t="shared" si="87"/>
        <v>7.975922501808827E-2</v>
      </c>
      <c r="X58" s="45">
        <f t="shared" si="87"/>
        <v>0.11634727906398866</v>
      </c>
      <c r="Y58" s="45">
        <f t="shared" si="87"/>
        <v>8.7402212606313812E-2</v>
      </c>
      <c r="Z58" s="45">
        <f t="shared" si="87"/>
        <v>-3.4929571044354283E-3</v>
      </c>
      <c r="AA58" s="45">
        <f t="shared" si="87"/>
        <v>-0.19565918458405304</v>
      </c>
      <c r="AB58" s="45">
        <f t="shared" si="87"/>
        <v>-0.26375311198205525</v>
      </c>
      <c r="AC58" s="45">
        <f t="shared" si="87"/>
        <v>-0.42147589049467238</v>
      </c>
      <c r="AD58" s="45">
        <f t="shared" si="87"/>
        <v>-0.4958859230629869</v>
      </c>
      <c r="AE58" s="45">
        <f t="shared" si="87"/>
        <v>-0.58855150871924966</v>
      </c>
      <c r="AF58" s="45">
        <f t="shared" si="87"/>
        <v>-0.58710466957815421</v>
      </c>
      <c r="AG58" s="45">
        <f t="shared" si="87"/>
        <v>-0.49719746576525126</v>
      </c>
      <c r="AH58" s="331">
        <f t="shared" si="87"/>
        <v>-0.23967333239014726</v>
      </c>
      <c r="AI58" s="45">
        <f t="shared" si="87"/>
        <v>-5.768049494337138E-2</v>
      </c>
      <c r="AJ58" s="45">
        <f t="shared" si="87"/>
        <v>-8.4052253376542346E-2</v>
      </c>
      <c r="AK58" s="45">
        <f t="shared" si="87"/>
        <v>-4.2488827775867995E-2</v>
      </c>
      <c r="AL58" s="45">
        <f t="shared" si="87"/>
        <v>-7.2296311207510081E-2</v>
      </c>
      <c r="AM58" s="45">
        <f t="shared" si="87"/>
        <v>-1.5090130388810373E-2</v>
      </c>
      <c r="AN58" s="45">
        <f t="shared" si="87"/>
        <v>5.6340686301388741E-2</v>
      </c>
      <c r="AO58" s="45">
        <f t="shared" si="87"/>
        <v>7.6699959440059029E-2</v>
      </c>
      <c r="AP58" s="45">
        <f t="shared" si="87"/>
        <v>9.2775729275995866E-2</v>
      </c>
      <c r="AQ58" s="45">
        <f t="shared" si="87"/>
        <v>9.8813899401008723E-2</v>
      </c>
      <c r="AR58" s="45">
        <f t="shared" si="87"/>
        <v>0.10468535013947726</v>
      </c>
      <c r="AS58" s="45">
        <f t="shared" si="87"/>
        <v>0.11038784155918659</v>
      </c>
      <c r="AT58" s="45">
        <f t="shared" si="87"/>
        <v>0.11363813583681791</v>
      </c>
      <c r="AU58" s="45">
        <f t="shared" si="87"/>
        <v>0.11473500580636974</v>
      </c>
      <c r="AV58" s="45">
        <f t="shared" si="87"/>
        <v>0.11587889405111226</v>
      </c>
      <c r="AW58" s="45">
        <f t="shared" si="87"/>
        <v>0.11706765557141319</v>
      </c>
      <c r="AX58" s="207"/>
      <c r="AY58" s="207"/>
      <c r="AZ58" s="207"/>
      <c r="BA58" s="207"/>
      <c r="BB58" s="207"/>
      <c r="BC58" s="207"/>
      <c r="BD58" s="207"/>
      <c r="BE58" s="207"/>
      <c r="BF58" s="2">
        <f t="shared" si="10"/>
        <v>52</v>
      </c>
    </row>
    <row r="59" spans="1:58" ht="11.25" customHeight="1" outlineLevel="1">
      <c r="A59" s="47"/>
      <c r="B59" s="36" t="s">
        <v>7</v>
      </c>
      <c r="C59" s="45">
        <f t="shared" ref="C59:K59" si="88">C28/C13</f>
        <v>0.15502088034996925</v>
      </c>
      <c r="D59" s="45">
        <f t="shared" si="88"/>
        <v>4.7716620951814365E-2</v>
      </c>
      <c r="E59" s="32">
        <f t="shared" si="88"/>
        <v>4.0956980421914417E-2</v>
      </c>
      <c r="F59" s="32">
        <f t="shared" si="88"/>
        <v>-0.11925220607105491</v>
      </c>
      <c r="G59" s="32">
        <f t="shared" si="88"/>
        <v>-0.26104266654419367</v>
      </c>
      <c r="H59" s="32">
        <f t="shared" si="88"/>
        <v>-0.15593337643281177</v>
      </c>
      <c r="I59" s="32">
        <f t="shared" si="88"/>
        <v>-3.5971162749592583E-2</v>
      </c>
      <c r="J59" s="32">
        <f t="shared" si="88"/>
        <v>2.1633763123890589E-2</v>
      </c>
      <c r="K59" s="32">
        <f t="shared" si="88"/>
        <v>4.7736860235139379E-2</v>
      </c>
      <c r="L59" s="312"/>
      <c r="M59" s="209"/>
      <c r="N59" s="209"/>
      <c r="O59" s="209"/>
      <c r="P59" s="209"/>
      <c r="Q59" s="45">
        <f t="shared" ref="Q59:AW59" si="89">Q28/Q13</f>
        <v>8.668141365296568E-2</v>
      </c>
      <c r="R59" s="45">
        <f t="shared" si="89"/>
        <v>7.715631864168733E-2</v>
      </c>
      <c r="S59" s="45">
        <f t="shared" si="89"/>
        <v>5.6480412717508525E-2</v>
      </c>
      <c r="T59" s="45">
        <f t="shared" si="89"/>
        <v>4.3664274078316037E-2</v>
      </c>
      <c r="U59" s="45">
        <f t="shared" si="89"/>
        <v>1.1672438961559379E-2</v>
      </c>
      <c r="V59" s="45">
        <f t="shared" si="89"/>
        <v>1.5608510903232837E-2</v>
      </c>
      <c r="W59" s="45">
        <f t="shared" si="89"/>
        <v>7.9487954960509019E-2</v>
      </c>
      <c r="X59" s="45">
        <f t="shared" si="89"/>
        <v>3.8343659419770464E-2</v>
      </c>
      <c r="Y59" s="45">
        <f t="shared" si="89"/>
        <v>2.8694765207377983E-2</v>
      </c>
      <c r="Z59" s="45">
        <f t="shared" si="89"/>
        <v>-9.0217879738655665E-2</v>
      </c>
      <c r="AA59" s="45">
        <f t="shared" si="89"/>
        <v>-0.10049151113325414</v>
      </c>
      <c r="AB59" s="45">
        <f t="shared" si="89"/>
        <v>-0.15191370784324487</v>
      </c>
      <c r="AC59" s="45">
        <f t="shared" si="89"/>
        <v>-0.162467464478215</v>
      </c>
      <c r="AD59" s="45">
        <f t="shared" si="89"/>
        <v>-0.15848869571847959</v>
      </c>
      <c r="AE59" s="45">
        <f t="shared" si="89"/>
        <v>-0.27597203916399921</v>
      </c>
      <c r="AF59" s="45">
        <f t="shared" si="89"/>
        <v>-0.39285253515675406</v>
      </c>
      <c r="AG59" s="45">
        <f t="shared" si="89"/>
        <v>-0.25208091486156048</v>
      </c>
      <c r="AH59" s="331">
        <f t="shared" si="89"/>
        <v>-0.35048465855258365</v>
      </c>
      <c r="AI59" s="45">
        <f t="shared" si="89"/>
        <v>-0.16759587386858679</v>
      </c>
      <c r="AJ59" s="45">
        <f t="shared" si="89"/>
        <v>-0.13119907944890222</v>
      </c>
      <c r="AK59" s="45">
        <f t="shared" si="89"/>
        <v>-5.4669857997073683E-2</v>
      </c>
      <c r="AL59" s="45">
        <f t="shared" si="89"/>
        <v>-7.6302563508643534E-2</v>
      </c>
      <c r="AM59" s="45">
        <f t="shared" si="89"/>
        <v>-3.6926033622281584E-2</v>
      </c>
      <c r="AN59" s="45">
        <f t="shared" si="89"/>
        <v>-2.3920373114958336E-2</v>
      </c>
      <c r="AO59" s="45">
        <f t="shared" si="89"/>
        <v>-1.1253939458715235E-2</v>
      </c>
      <c r="AP59" s="45">
        <f t="shared" si="89"/>
        <v>2.4043588683519291E-3</v>
      </c>
      <c r="AQ59" s="45">
        <f t="shared" si="89"/>
        <v>1.5092878593695406E-2</v>
      </c>
      <c r="AR59" s="45">
        <f t="shared" si="89"/>
        <v>2.7441708548943802E-2</v>
      </c>
      <c r="AS59" s="45">
        <f t="shared" si="89"/>
        <v>3.9457420098683464E-2</v>
      </c>
      <c r="AT59" s="45">
        <f t="shared" si="89"/>
        <v>4.3947688796525941E-2</v>
      </c>
      <c r="AU59" s="45">
        <f t="shared" si="89"/>
        <v>4.6429354473659035E-2</v>
      </c>
      <c r="AV59" s="45">
        <f t="shared" si="89"/>
        <v>4.8933436381390132E-2</v>
      </c>
      <c r="AW59" s="45">
        <f t="shared" si="89"/>
        <v>5.145546074922222E-2</v>
      </c>
      <c r="AX59" s="207"/>
      <c r="AY59" s="207"/>
      <c r="AZ59" s="207"/>
      <c r="BA59" s="207"/>
      <c r="BB59" s="207"/>
      <c r="BC59" s="207"/>
      <c r="BD59" s="207"/>
      <c r="BE59" s="207"/>
      <c r="BF59" s="2">
        <f t="shared" si="10"/>
        <v>53</v>
      </c>
    </row>
    <row r="60" spans="1:58" ht="11.25" customHeight="1" outlineLevel="1">
      <c r="A60" s="50"/>
      <c r="B60" s="36" t="s">
        <v>162</v>
      </c>
      <c r="C60" s="45">
        <f t="shared" ref="C60:K60" si="90">C29/C14</f>
        <v>5.6803796318501236E-2</v>
      </c>
      <c r="D60" s="45">
        <f t="shared" si="90"/>
        <v>2.5336125660179655E-2</v>
      </c>
      <c r="E60" s="32">
        <f t="shared" si="90"/>
        <v>0.12278157183151975</v>
      </c>
      <c r="F60" s="32">
        <f t="shared" si="90"/>
        <v>-3.1204017383567695E-3</v>
      </c>
      <c r="G60" s="32">
        <f t="shared" si="90"/>
        <v>-6.7690445357806439E-2</v>
      </c>
      <c r="H60" s="32">
        <f t="shared" si="90"/>
        <v>5.7851421691346508E-2</v>
      </c>
      <c r="I60" s="32">
        <f t="shared" si="90"/>
        <v>2.5739037661928334E-2</v>
      </c>
      <c r="J60" s="32">
        <f t="shared" si="90"/>
        <v>3.1591471089532003E-2</v>
      </c>
      <c r="K60" s="32">
        <f t="shared" si="90"/>
        <v>4.2228154403255121E-2</v>
      </c>
      <c r="L60" s="312"/>
      <c r="M60" s="45"/>
      <c r="N60" s="45">
        <f>N29/N14</f>
        <v>-1.3417916988376704E-2</v>
      </c>
      <c r="O60" s="45">
        <f>O29/O14</f>
        <v>9.781494297065231E-2</v>
      </c>
      <c r="P60" s="45">
        <f>P29/P14</f>
        <v>8.1488079864643348E-2</v>
      </c>
      <c r="Q60" s="45">
        <f t="shared" ref="Q60:AW60" si="91">Q29/Q14</f>
        <v>5.1826027376556116E-2</v>
      </c>
      <c r="R60" s="45">
        <f t="shared" si="91"/>
        <v>-4.3599783958952198E-2</v>
      </c>
      <c r="S60" s="45">
        <f t="shared" si="91"/>
        <v>4.5917576159436181E-2</v>
      </c>
      <c r="T60" s="45">
        <f t="shared" si="91"/>
        <v>6.1507743028952198E-2</v>
      </c>
      <c r="U60" s="45">
        <f t="shared" si="91"/>
        <v>1.7428433766967386E-2</v>
      </c>
      <c r="V60" s="45">
        <f t="shared" si="91"/>
        <v>0.10462274013036527</v>
      </c>
      <c r="W60" s="45">
        <f t="shared" si="91"/>
        <v>0.16764533176746921</v>
      </c>
      <c r="X60" s="45">
        <f t="shared" si="91"/>
        <v>0.10690504727660141</v>
      </c>
      <c r="Y60" s="45">
        <f t="shared" si="91"/>
        <v>0.11100162929629918</v>
      </c>
      <c r="Z60" s="45">
        <f t="shared" si="91"/>
        <v>-1.2522221740450071E-2</v>
      </c>
      <c r="AA60" s="45">
        <f t="shared" si="91"/>
        <v>2.7376443818057272E-2</v>
      </c>
      <c r="AB60" s="45">
        <f t="shared" si="91"/>
        <v>-7.3707169898341571E-2</v>
      </c>
      <c r="AC60" s="45">
        <f t="shared" si="91"/>
        <v>3.4488165582807928E-2</v>
      </c>
      <c r="AD60" s="45">
        <f t="shared" si="91"/>
        <v>2.069952487263152E-2</v>
      </c>
      <c r="AE60" s="45">
        <f t="shared" si="91"/>
        <v>4.4859978283376685E-2</v>
      </c>
      <c r="AF60" s="45">
        <f t="shared" si="91"/>
        <v>-0.15929976752531477</v>
      </c>
      <c r="AG60" s="45">
        <f t="shared" si="91"/>
        <v>-0.26873505678421994</v>
      </c>
      <c r="AH60" s="331">
        <f t="shared" si="91"/>
        <v>-2.5152322601449398E-2</v>
      </c>
      <c r="AI60" s="45">
        <f t="shared" si="91"/>
        <v>1.6851280760274402E-2</v>
      </c>
      <c r="AJ60" s="45">
        <f t="shared" si="91"/>
        <v>0.15640609014864296</v>
      </c>
      <c r="AK60" s="45">
        <f t="shared" si="91"/>
        <v>4.7502243493867786E-2</v>
      </c>
      <c r="AL60" s="45">
        <f t="shared" si="91"/>
        <v>3.7499116829907177E-2</v>
      </c>
      <c r="AM60" s="45">
        <f t="shared" si="91"/>
        <v>2.5213294334553375E-2</v>
      </c>
      <c r="AN60" s="45">
        <f t="shared" si="91"/>
        <v>1.8219422024270814E-2</v>
      </c>
      <c r="AO60" s="45">
        <f t="shared" si="91"/>
        <v>2.1715880343652263E-2</v>
      </c>
      <c r="AP60" s="45">
        <f t="shared" si="91"/>
        <v>2.5781178397255765E-2</v>
      </c>
      <c r="AQ60" s="45">
        <f t="shared" si="91"/>
        <v>2.9661273407764772E-2</v>
      </c>
      <c r="AR60" s="45">
        <f t="shared" si="91"/>
        <v>3.3397773488118482E-2</v>
      </c>
      <c r="AS60" s="45">
        <f t="shared" si="91"/>
        <v>3.6991567078890612E-2</v>
      </c>
      <c r="AT60" s="45">
        <f t="shared" si="91"/>
        <v>3.9968697776232347E-2</v>
      </c>
      <c r="AU60" s="45">
        <f t="shared" si="91"/>
        <v>4.1460535105990334E-2</v>
      </c>
      <c r="AV60" s="45">
        <f t="shared" si="91"/>
        <v>4.2945320734174647E-2</v>
      </c>
      <c r="AW60" s="45">
        <f t="shared" si="91"/>
        <v>4.442142615967809E-2</v>
      </c>
      <c r="AX60" s="207"/>
      <c r="AY60" s="207"/>
      <c r="AZ60" s="207"/>
      <c r="BA60" s="207"/>
      <c r="BB60" s="207"/>
      <c r="BC60" s="207"/>
      <c r="BD60" s="207"/>
      <c r="BE60" s="207"/>
      <c r="BF60" s="2">
        <f t="shared" si="10"/>
        <v>54</v>
      </c>
    </row>
    <row r="61" spans="1:58" ht="11.25" customHeight="1" outlineLevel="1">
      <c r="A61" s="47"/>
      <c r="B61" s="150" t="s">
        <v>176</v>
      </c>
      <c r="C61" s="308" t="str">
        <f>IFERROR(IF(ABS((C23-#REF!)/(C15-#REF!))&gt;2,"NM",(C23-#REF!)/(C15-#REF!)),"NM")</f>
        <v>NM</v>
      </c>
      <c r="D61" s="308" t="str">
        <f t="shared" ref="D61:K61" si="92">IFERROR(IF(ABS((D23-C23)/(D15-C15))&gt;2,"NM",(D23-C23)/(D15-C15)),"NM")</f>
        <v>NM</v>
      </c>
      <c r="E61" s="308" t="str">
        <f t="shared" si="92"/>
        <v>NM</v>
      </c>
      <c r="F61" s="308">
        <f t="shared" si="92"/>
        <v>0.4296794882094146</v>
      </c>
      <c r="G61" s="308">
        <f t="shared" si="92"/>
        <v>0.29326653442100525</v>
      </c>
      <c r="H61" s="308">
        <f t="shared" si="92"/>
        <v>0.32952934822854102</v>
      </c>
      <c r="I61" s="308">
        <f t="shared" si="92"/>
        <v>0.49872220900465736</v>
      </c>
      <c r="J61" s="308">
        <f t="shared" si="92"/>
        <v>0.32054068321307327</v>
      </c>
      <c r="K61" s="308">
        <f t="shared" si="92"/>
        <v>0.22845706869276952</v>
      </c>
      <c r="L61" s="312"/>
      <c r="M61" s="308"/>
      <c r="N61" s="308" t="str">
        <f>IFERROR(IF(ABS((N23-#REF!)/(N15-#REF!))&gt;2,"NM",(N23-#REF!)/(N15-#REF!)),"NM")</f>
        <v>NM</v>
      </c>
      <c r="O61" s="308">
        <f t="shared" ref="O61:AW61" si="93">IFERROR(IF(ABS((O23-N23)/(O15-N15))&gt;2,"NM",(O23-N23)/(O15-N15)),"NM")</f>
        <v>0.47188243719301809</v>
      </c>
      <c r="P61" s="308">
        <f t="shared" si="93"/>
        <v>1.051261507525056</v>
      </c>
      <c r="Q61" s="308" t="str">
        <f t="shared" si="93"/>
        <v>NM</v>
      </c>
      <c r="R61" s="308">
        <f t="shared" si="93"/>
        <v>0.38535821174709822</v>
      </c>
      <c r="S61" s="308">
        <f t="shared" si="93"/>
        <v>0.50169183791367022</v>
      </c>
      <c r="T61" s="308">
        <f t="shared" si="93"/>
        <v>-0.29876825133208695</v>
      </c>
      <c r="U61" s="308">
        <f t="shared" si="93"/>
        <v>0.46252351562757643</v>
      </c>
      <c r="V61" s="308">
        <f t="shared" si="93"/>
        <v>-7.869487529842803E-2</v>
      </c>
      <c r="W61" s="308">
        <f t="shared" si="93"/>
        <v>1.2249533966272221</v>
      </c>
      <c r="X61" s="308">
        <f t="shared" si="93"/>
        <v>0.21748428168791989</v>
      </c>
      <c r="Y61" s="308">
        <f t="shared" si="93"/>
        <v>1.0471052631578837</v>
      </c>
      <c r="Z61" s="308">
        <f t="shared" si="93"/>
        <v>0.44613624799629753</v>
      </c>
      <c r="AA61" s="308">
        <f t="shared" si="93"/>
        <v>0.33149270286896154</v>
      </c>
      <c r="AB61" s="308">
        <f t="shared" si="93"/>
        <v>0.43301824697407337</v>
      </c>
      <c r="AC61" s="308">
        <f t="shared" si="93"/>
        <v>0.17938998812321533</v>
      </c>
      <c r="AD61" s="308">
        <f t="shared" si="93"/>
        <v>0.12909079245213856</v>
      </c>
      <c r="AE61" s="308">
        <f t="shared" si="93"/>
        <v>0.31036544616791534</v>
      </c>
      <c r="AF61" s="308">
        <f t="shared" si="93"/>
        <v>1.2224588963589167</v>
      </c>
      <c r="AG61" s="308">
        <f t="shared" si="93"/>
        <v>0.24091086439896447</v>
      </c>
      <c r="AH61" s="308">
        <f t="shared" si="93"/>
        <v>0.2387032976482221</v>
      </c>
      <c r="AI61" s="308">
        <f t="shared" si="93"/>
        <v>0.5511340623734311</v>
      </c>
      <c r="AJ61" s="308">
        <f t="shared" si="93"/>
        <v>0.60676844359166915</v>
      </c>
      <c r="AK61" s="308">
        <f t="shared" si="93"/>
        <v>-0.90173603383041057</v>
      </c>
      <c r="AL61" s="308">
        <f t="shared" si="93"/>
        <v>0.71307425378524192</v>
      </c>
      <c r="AM61" s="308">
        <f t="shared" si="93"/>
        <v>0.37741543929763266</v>
      </c>
      <c r="AN61" s="308">
        <f t="shared" si="93"/>
        <v>0.38075829855178034</v>
      </c>
      <c r="AO61" s="308">
        <f t="shared" si="93"/>
        <v>0.27807320117292555</v>
      </c>
      <c r="AP61" s="308">
        <f t="shared" si="93"/>
        <v>0.32119285809929476</v>
      </c>
      <c r="AQ61" s="308">
        <f t="shared" si="93"/>
        <v>0.26552575360831682</v>
      </c>
      <c r="AR61" s="308">
        <f t="shared" si="93"/>
        <v>0.2675934659014364</v>
      </c>
      <c r="AS61" s="308">
        <f t="shared" si="93"/>
        <v>0.26968116876334763</v>
      </c>
      <c r="AT61" s="308">
        <f t="shared" si="93"/>
        <v>0.13224281750042602</v>
      </c>
      <c r="AU61" s="308">
        <f t="shared" si="93"/>
        <v>0.13574932630027617</v>
      </c>
      <c r="AV61" s="308">
        <f t="shared" si="93"/>
        <v>0.13649337847964602</v>
      </c>
      <c r="AW61" s="308">
        <f t="shared" si="93"/>
        <v>0.13722369439507998</v>
      </c>
      <c r="AX61" s="206"/>
      <c r="AY61" s="206"/>
      <c r="AZ61" s="206"/>
      <c r="BA61" s="206"/>
      <c r="BB61" s="206"/>
      <c r="BC61" s="206"/>
      <c r="BD61" s="206"/>
      <c r="BE61" s="206"/>
      <c r="BF61" s="2">
        <f t="shared" si="10"/>
        <v>55</v>
      </c>
    </row>
    <row r="62" spans="1:58" ht="11.25" customHeight="1" outlineLevel="1">
      <c r="A62" s="50"/>
      <c r="B62" s="36" t="s">
        <v>9</v>
      </c>
      <c r="C62" s="32" t="str">
        <f>IFERROR(IF(ABS((C18-#REF!)/(C11-#REF!))&gt;2,"NM",(C18-#REF!)/(C11-#REF!)),"NM")</f>
        <v>NM</v>
      </c>
      <c r="D62" s="32">
        <f t="shared" ref="D62:K65" si="94">IFERROR(IF(ABS((D18-C18)/(D11-C11))&gt;2,"NM",(D18-C18)/(D11-C11)),"NM")</f>
        <v>0.46310364392888559</v>
      </c>
      <c r="E62" s="32">
        <f t="shared" si="94"/>
        <v>0.7160485146774489</v>
      </c>
      <c r="F62" s="32">
        <f t="shared" si="94"/>
        <v>0.6540769650425956</v>
      </c>
      <c r="G62" s="32">
        <f t="shared" si="94"/>
        <v>0.59249847495728192</v>
      </c>
      <c r="H62" s="32" t="str">
        <f t="shared" si="94"/>
        <v>NM</v>
      </c>
      <c r="I62" s="32">
        <f t="shared" si="94"/>
        <v>0.49070994996792072</v>
      </c>
      <c r="J62" s="32">
        <f t="shared" si="94"/>
        <v>0.55578556039710836</v>
      </c>
      <c r="K62" s="32">
        <f t="shared" si="94"/>
        <v>0.54527558291655753</v>
      </c>
      <c r="L62" s="312"/>
      <c r="M62" s="32"/>
      <c r="N62" s="32" t="str">
        <f>IFERROR(IF(ABS((N18-#REF!)/(N11-#REF!))&gt;2,"NM",(N18-#REF!)/(N11-#REF!)),"NM")</f>
        <v>NM</v>
      </c>
      <c r="O62" s="32">
        <f t="shared" ref="O62:AW62" si="95">IFERROR(IF(ABS((O18-N18)/(O11-N11))&gt;2,"NM",(O18-N18)/(O11-N11)),"NM")</f>
        <v>0.36199249402934203</v>
      </c>
      <c r="P62" s="32">
        <f t="shared" si="95"/>
        <v>-1.2151162790697683</v>
      </c>
      <c r="Q62" s="32">
        <f t="shared" si="95"/>
        <v>1.6471655328797987</v>
      </c>
      <c r="R62" s="32">
        <f t="shared" si="95"/>
        <v>0.79109062980027356</v>
      </c>
      <c r="S62" s="32">
        <f t="shared" si="95"/>
        <v>0.32570130210609188</v>
      </c>
      <c r="T62" s="32">
        <f t="shared" si="95"/>
        <v>0.2934653465346535</v>
      </c>
      <c r="U62" s="32">
        <f t="shared" si="95"/>
        <v>0.9821539224191308</v>
      </c>
      <c r="V62" s="32">
        <f t="shared" si="95"/>
        <v>0.19491274770777633</v>
      </c>
      <c r="W62" s="32">
        <f t="shared" si="95"/>
        <v>0.41476091476091631</v>
      </c>
      <c r="X62" s="32">
        <f t="shared" si="95"/>
        <v>0.88655271517168366</v>
      </c>
      <c r="Y62" s="32">
        <f t="shared" si="95"/>
        <v>0.42077230359520706</v>
      </c>
      <c r="Z62" s="32">
        <f t="shared" si="95"/>
        <v>0.75524439657383191</v>
      </c>
      <c r="AA62" s="32">
        <f t="shared" si="95"/>
        <v>0.54127862332394794</v>
      </c>
      <c r="AB62" s="32">
        <f t="shared" si="95"/>
        <v>0.68835879960426605</v>
      </c>
      <c r="AC62" s="32">
        <f t="shared" si="95"/>
        <v>0.94346533602293281</v>
      </c>
      <c r="AD62" s="32">
        <f t="shared" si="95"/>
        <v>0.33987434374731013</v>
      </c>
      <c r="AE62" s="32">
        <f t="shared" si="95"/>
        <v>0.64327868852459025</v>
      </c>
      <c r="AF62" s="32">
        <f t="shared" si="95"/>
        <v>0.4089156626506022</v>
      </c>
      <c r="AG62" s="32">
        <f t="shared" si="95"/>
        <v>-0.12661870503597319</v>
      </c>
      <c r="AH62" s="32" t="str">
        <f t="shared" si="95"/>
        <v>NM</v>
      </c>
      <c r="AI62" s="32" t="str">
        <f t="shared" si="95"/>
        <v>NM</v>
      </c>
      <c r="AJ62" s="32">
        <f t="shared" si="95"/>
        <v>1.1836734693877544</v>
      </c>
      <c r="AK62" s="32">
        <f t="shared" si="95"/>
        <v>-0.72128712871287126</v>
      </c>
      <c r="AL62" s="32">
        <f t="shared" si="95"/>
        <v>1.2593000958772567</v>
      </c>
      <c r="AM62" s="32">
        <f t="shared" si="95"/>
        <v>0.39999999999999858</v>
      </c>
      <c r="AN62" s="32">
        <f t="shared" si="95"/>
        <v>0.4</v>
      </c>
      <c r="AO62" s="32">
        <f t="shared" si="95"/>
        <v>0.40000000000000163</v>
      </c>
      <c r="AP62" s="32">
        <f t="shared" si="95"/>
        <v>0.62893804513475371</v>
      </c>
      <c r="AQ62" s="32">
        <f t="shared" si="95"/>
        <v>0.63376298141968712</v>
      </c>
      <c r="AR62" s="32">
        <f t="shared" si="95"/>
        <v>0.63858728409062937</v>
      </c>
      <c r="AS62" s="32">
        <f t="shared" si="95"/>
        <v>0.64341095810836235</v>
      </c>
      <c r="AT62" s="32">
        <f t="shared" si="95"/>
        <v>0.41999999999999904</v>
      </c>
      <c r="AU62" s="32">
        <f t="shared" si="95"/>
        <v>0.42000000000000309</v>
      </c>
      <c r="AV62" s="32">
        <f t="shared" si="95"/>
        <v>0.41999999999999788</v>
      </c>
      <c r="AW62" s="32">
        <f t="shared" si="95"/>
        <v>0.4200000000000006</v>
      </c>
      <c r="AX62" s="161"/>
      <c r="AY62" s="161"/>
      <c r="AZ62" s="161"/>
      <c r="BA62" s="161"/>
      <c r="BB62" s="161"/>
      <c r="BC62" s="161"/>
      <c r="BD62" s="161"/>
      <c r="BE62" s="161"/>
      <c r="BF62" s="2">
        <f t="shared" si="10"/>
        <v>56</v>
      </c>
    </row>
    <row r="63" spans="1:58" ht="11.25" customHeight="1" outlineLevel="1">
      <c r="A63" s="47"/>
      <c r="B63" s="36" t="s">
        <v>8</v>
      </c>
      <c r="C63" s="32" t="str">
        <f>IFERROR(IF(ABS((C19-#REF!)/(C12-#REF!))&gt;2,"NM",(C19-#REF!)/(C12-#REF!)),"NM")</f>
        <v>NM</v>
      </c>
      <c r="D63" s="32" t="str">
        <f t="shared" si="94"/>
        <v>NM</v>
      </c>
      <c r="E63" s="32">
        <f t="shared" si="94"/>
        <v>5.4954268292683281E-2</v>
      </c>
      <c r="F63" s="32">
        <f t="shared" si="94"/>
        <v>0.38451790876512348</v>
      </c>
      <c r="G63" s="32">
        <f t="shared" si="94"/>
        <v>0.32808361825515669</v>
      </c>
      <c r="H63" s="32">
        <f t="shared" si="94"/>
        <v>0.41717288640088718</v>
      </c>
      <c r="I63" s="32">
        <f t="shared" si="94"/>
        <v>0.52853574796482305</v>
      </c>
      <c r="J63" s="32">
        <f t="shared" si="94"/>
        <v>0.3344345756850125</v>
      </c>
      <c r="K63" s="32">
        <f t="shared" si="94"/>
        <v>0.23000000000000023</v>
      </c>
      <c r="L63" s="312"/>
      <c r="M63" s="308"/>
      <c r="N63" s="32" t="str">
        <f>IFERROR(IF(ABS((N19-#REF!)/(N12-#REF!))&gt;2,"NM",(N19-#REF!)/(N12-#REF!)),"NM")</f>
        <v>NM</v>
      </c>
      <c r="O63" s="32">
        <f t="shared" ref="O63:AW63" si="96">IFERROR(IF(ABS((O19-N19)/(O12-N12))&gt;2,"NM",(O19-N19)/(O12-N12)),"NM")</f>
        <v>0.48610323312535447</v>
      </c>
      <c r="P63" s="32">
        <f t="shared" si="96"/>
        <v>0.58493770189201633</v>
      </c>
      <c r="Q63" s="32">
        <f t="shared" si="96"/>
        <v>0.33072916666666519</v>
      </c>
      <c r="R63" s="32">
        <f t="shared" si="96"/>
        <v>0.52977562158884084</v>
      </c>
      <c r="S63" s="32">
        <f t="shared" si="96"/>
        <v>0.18359923650376397</v>
      </c>
      <c r="T63" s="32" t="str">
        <f t="shared" si="96"/>
        <v>NM</v>
      </c>
      <c r="U63" s="32">
        <f t="shared" si="96"/>
        <v>0.60177668210991397</v>
      </c>
      <c r="V63" s="32">
        <f t="shared" si="96"/>
        <v>-0.33805562776189246</v>
      </c>
      <c r="W63" s="32" t="str">
        <f t="shared" si="96"/>
        <v>NM</v>
      </c>
      <c r="X63" s="32">
        <f t="shared" si="96"/>
        <v>0.36621749701240375</v>
      </c>
      <c r="Y63" s="32" t="str">
        <f t="shared" si="96"/>
        <v>NM</v>
      </c>
      <c r="Z63" s="32">
        <f t="shared" si="96"/>
        <v>0.34622221469806524</v>
      </c>
      <c r="AA63" s="32">
        <f t="shared" si="96"/>
        <v>0.38029672066693943</v>
      </c>
      <c r="AB63" s="32">
        <f t="shared" si="96"/>
        <v>0.46075346543073381</v>
      </c>
      <c r="AC63" s="32">
        <f t="shared" si="96"/>
        <v>0.17666136335821836</v>
      </c>
      <c r="AD63" s="32">
        <f t="shared" si="96"/>
        <v>0.12910479224246912</v>
      </c>
      <c r="AE63" s="32">
        <f t="shared" si="96"/>
        <v>0.25532299897460659</v>
      </c>
      <c r="AF63" s="32">
        <f t="shared" si="96"/>
        <v>-0.74027823419870653</v>
      </c>
      <c r="AG63" s="32">
        <f t="shared" si="96"/>
        <v>-8.7728909062451274E-2</v>
      </c>
      <c r="AH63" s="32">
        <f t="shared" si="96"/>
        <v>0.44697707762724948</v>
      </c>
      <c r="AI63" s="32">
        <f t="shared" si="96"/>
        <v>0.68560090702947862</v>
      </c>
      <c r="AJ63" s="32" t="str">
        <f t="shared" si="96"/>
        <v>NM</v>
      </c>
      <c r="AK63" s="32">
        <f t="shared" si="96"/>
        <v>-0.89633407714376789</v>
      </c>
      <c r="AL63" s="32">
        <f t="shared" si="96"/>
        <v>-1.2256875214850433</v>
      </c>
      <c r="AM63" s="32">
        <f t="shared" si="96"/>
        <v>0.38000000000000017</v>
      </c>
      <c r="AN63" s="32">
        <f t="shared" si="96"/>
        <v>0.4200000000000001</v>
      </c>
      <c r="AO63" s="32">
        <f t="shared" si="96"/>
        <v>0.2749999999999998</v>
      </c>
      <c r="AP63" s="32">
        <f t="shared" si="96"/>
        <v>0.33000000000000029</v>
      </c>
      <c r="AQ63" s="32">
        <f t="shared" si="96"/>
        <v>0.22999999999999962</v>
      </c>
      <c r="AR63" s="32">
        <f t="shared" si="96"/>
        <v>0.22999999999999993</v>
      </c>
      <c r="AS63" s="32">
        <f t="shared" si="96"/>
        <v>0.23</v>
      </c>
      <c r="AT63" s="32" t="str">
        <f t="shared" si="96"/>
        <v>NM</v>
      </c>
      <c r="AU63" s="32" t="str">
        <f t="shared" si="96"/>
        <v>NM</v>
      </c>
      <c r="AV63" s="32" t="str">
        <f t="shared" si="96"/>
        <v>NM</v>
      </c>
      <c r="AW63" s="32" t="str">
        <f t="shared" si="96"/>
        <v>NM</v>
      </c>
      <c r="AX63" s="161"/>
      <c r="AY63" s="161"/>
      <c r="AZ63" s="161"/>
      <c r="BA63" s="161"/>
      <c r="BB63" s="161"/>
      <c r="BC63" s="161"/>
      <c r="BD63" s="161"/>
      <c r="BE63" s="161"/>
      <c r="BF63" s="2">
        <f t="shared" si="10"/>
        <v>57</v>
      </c>
    </row>
    <row r="64" spans="1:58" ht="11.25" customHeight="1" outlineLevel="1">
      <c r="A64" s="47"/>
      <c r="B64" s="36" t="s">
        <v>7</v>
      </c>
      <c r="C64" s="32" t="str">
        <f>IFERROR(IF(ABS((C20-#REF!)/(C13-#REF!))&gt;2,"NM",(C20-#REF!)/(C13-#REF!)),"NM")</f>
        <v>NM</v>
      </c>
      <c r="D64" s="32">
        <f t="shared" si="94"/>
        <v>1.8755406128218863</v>
      </c>
      <c r="E64" s="32">
        <f t="shared" si="94"/>
        <v>0.29872175914545651</v>
      </c>
      <c r="F64" s="32">
        <f t="shared" si="94"/>
        <v>0.30362683698353965</v>
      </c>
      <c r="G64" s="32">
        <f t="shared" si="94"/>
        <v>8.5500620961019236E-2</v>
      </c>
      <c r="H64" s="32">
        <f t="shared" si="94"/>
        <v>0.67178856791640973</v>
      </c>
      <c r="I64" s="32">
        <f t="shared" si="94"/>
        <v>0.34970897103284398</v>
      </c>
      <c r="J64" s="32">
        <f t="shared" si="94"/>
        <v>0.30926638447743632</v>
      </c>
      <c r="K64" s="32">
        <f t="shared" si="94"/>
        <v>0.23019014434102519</v>
      </c>
      <c r="L64" s="312"/>
      <c r="M64" s="308"/>
      <c r="N64" s="32" t="str">
        <f>IFERROR(IF(ABS((N20-#REF!)/(N13-#REF!))&gt;2,"NM",(N20-#REF!)/(N13-#REF!)),"NM")</f>
        <v>NM</v>
      </c>
      <c r="O64" s="32">
        <f t="shared" ref="O64:AW64" si="97">IFERROR(IF(ABS((O20-N20)/(O13-N13))&gt;2,"NM",(O20-N20)/(O13-N13)),"NM")</f>
        <v>0.25238278698135652</v>
      </c>
      <c r="P64" s="32">
        <f t="shared" si="97"/>
        <v>0.82809991974317787</v>
      </c>
      <c r="Q64" s="32" t="str">
        <f t="shared" si="97"/>
        <v>NM</v>
      </c>
      <c r="R64" s="32">
        <f t="shared" si="97"/>
        <v>-0.84567901234567455</v>
      </c>
      <c r="S64" s="32" t="str">
        <f t="shared" si="97"/>
        <v>NM</v>
      </c>
      <c r="T64" s="32">
        <f t="shared" si="97"/>
        <v>0.59021832191780788</v>
      </c>
      <c r="U64" s="32">
        <f t="shared" si="97"/>
        <v>1.1691460587326143</v>
      </c>
      <c r="V64" s="32">
        <f t="shared" si="97"/>
        <v>8.3028256619868721E-2</v>
      </c>
      <c r="W64" s="32">
        <f t="shared" si="97"/>
        <v>0.91391722980433843</v>
      </c>
      <c r="X64" s="32" t="str">
        <f t="shared" si="97"/>
        <v>NM</v>
      </c>
      <c r="Y64" s="32">
        <f t="shared" si="97"/>
        <v>0.42921686746988064</v>
      </c>
      <c r="Z64" s="32">
        <f t="shared" si="97"/>
        <v>0.38899916192492612</v>
      </c>
      <c r="AA64" s="32">
        <f t="shared" si="97"/>
        <v>1.8232884727910976E-2</v>
      </c>
      <c r="AB64" s="32">
        <f t="shared" si="97"/>
        <v>0.23353373712089048</v>
      </c>
      <c r="AC64" s="32">
        <f t="shared" si="97"/>
        <v>0.10577871740662398</v>
      </c>
      <c r="AD64" s="32">
        <f t="shared" si="97"/>
        <v>-0.15352548444878633</v>
      </c>
      <c r="AE64" s="32">
        <f t="shared" si="97"/>
        <v>0.37216649949849556</v>
      </c>
      <c r="AF64" s="32">
        <f t="shared" si="97"/>
        <v>1.1407714974551322</v>
      </c>
      <c r="AG64" s="32" t="str">
        <f t="shared" si="97"/>
        <v>NM</v>
      </c>
      <c r="AH64" s="32">
        <f t="shared" si="97"/>
        <v>0.84234780499636253</v>
      </c>
      <c r="AI64" s="32">
        <f t="shared" si="97"/>
        <v>0.43992800359982021</v>
      </c>
      <c r="AJ64" s="32">
        <f t="shared" si="97"/>
        <v>0.13979603529276949</v>
      </c>
      <c r="AK64" s="32">
        <f t="shared" si="97"/>
        <v>0.28018561040949108</v>
      </c>
      <c r="AL64" s="32">
        <f t="shared" si="97"/>
        <v>0.23345638131660584</v>
      </c>
      <c r="AM64" s="32">
        <f t="shared" si="97"/>
        <v>0.46973035205720154</v>
      </c>
      <c r="AN64" s="32">
        <f t="shared" si="97"/>
        <v>0.28019840711364968</v>
      </c>
      <c r="AO64" s="32">
        <f t="shared" si="97"/>
        <v>0.32838981076133444</v>
      </c>
      <c r="AP64" s="32">
        <f t="shared" si="97"/>
        <v>0.27776059513562873</v>
      </c>
      <c r="AQ64" s="32">
        <f t="shared" si="97"/>
        <v>0.28228779418465377</v>
      </c>
      <c r="AR64" s="32">
        <f t="shared" si="97"/>
        <v>0.28681626945146965</v>
      </c>
      <c r="AS64" s="32">
        <f t="shared" si="97"/>
        <v>0.29134609729206129</v>
      </c>
      <c r="AT64" s="32">
        <f t="shared" si="97"/>
        <v>0.14999999999999963</v>
      </c>
      <c r="AU64" s="32">
        <f t="shared" si="97"/>
        <v>0.15</v>
      </c>
      <c r="AV64" s="32">
        <f t="shared" si="97"/>
        <v>0.15000000000000033</v>
      </c>
      <c r="AW64" s="32">
        <f t="shared" si="97"/>
        <v>0.15000000000000097</v>
      </c>
      <c r="AX64" s="161"/>
      <c r="AY64" s="161"/>
      <c r="AZ64" s="161"/>
      <c r="BA64" s="161"/>
      <c r="BB64" s="161"/>
      <c r="BC64" s="161"/>
      <c r="BD64" s="161"/>
      <c r="BE64" s="161"/>
      <c r="BF64" s="2">
        <f t="shared" si="10"/>
        <v>58</v>
      </c>
    </row>
    <row r="65" spans="1:58" ht="11.25" customHeight="1" outlineLevel="1">
      <c r="A65" s="50"/>
      <c r="B65" s="36" t="s">
        <v>162</v>
      </c>
      <c r="C65" s="32" t="str">
        <f>IFERROR(IF(ABS((C21-#REF!)/(C14-#REF!))&gt;2,"NM",(C21-#REF!)/(C14-#REF!)),"NM")</f>
        <v>NM</v>
      </c>
      <c r="D65" s="32">
        <f t="shared" si="94"/>
        <v>-0.70197135949414058</v>
      </c>
      <c r="E65" s="32">
        <f t="shared" si="94"/>
        <v>-0.39525568072695716</v>
      </c>
      <c r="F65" s="32">
        <f t="shared" si="94"/>
        <v>0.87461227906060834</v>
      </c>
      <c r="G65" s="32">
        <f t="shared" si="94"/>
        <v>0.1974295498167859</v>
      </c>
      <c r="H65" s="32">
        <f t="shared" si="94"/>
        <v>-1.76790879700528</v>
      </c>
      <c r="I65" s="32">
        <f t="shared" si="94"/>
        <v>0.47095738375214019</v>
      </c>
      <c r="J65" s="32">
        <f t="shared" si="94"/>
        <v>3.9603910736972043E-3</v>
      </c>
      <c r="K65" s="32">
        <f t="shared" si="94"/>
        <v>9.9999999999999589E-2</v>
      </c>
      <c r="L65" s="312"/>
      <c r="M65" s="32"/>
      <c r="N65" s="32" t="str">
        <f>IFERROR(IF(ABS((N21-#REF!)/(N14-#REF!))&gt;2,"NM",(N21-#REF!)/(N14-#REF!)),"NM")</f>
        <v>NM</v>
      </c>
      <c r="O65" s="32">
        <f t="shared" ref="O65:AW65" si="98">IFERROR(IF(ABS((O21-N21)/(O14-N14))&gt;2,"NM",(O21-N21)/(O14-N14)),"NM")</f>
        <v>1.3897698625681061</v>
      </c>
      <c r="P65" s="32">
        <f t="shared" si="98"/>
        <v>-0.18362496657853294</v>
      </c>
      <c r="Q65" s="32">
        <f t="shared" si="98"/>
        <v>0.20148232611174469</v>
      </c>
      <c r="R65" s="32">
        <f t="shared" si="98"/>
        <v>0.46699489785789439</v>
      </c>
      <c r="S65" s="32">
        <f t="shared" si="98"/>
        <v>0.43655018128519646</v>
      </c>
      <c r="T65" s="32">
        <f t="shared" si="98"/>
        <v>0.22274747759825017</v>
      </c>
      <c r="U65" s="32">
        <f t="shared" si="98"/>
        <v>0.27860181671840856</v>
      </c>
      <c r="V65" s="32">
        <f t="shared" si="98"/>
        <v>-0.26625190703572332</v>
      </c>
      <c r="W65" s="32">
        <f t="shared" si="98"/>
        <v>1.3581151832460756</v>
      </c>
      <c r="X65" s="32">
        <f t="shared" si="98"/>
        <v>-0.32266945130055008</v>
      </c>
      <c r="Y65" s="32">
        <f t="shared" si="98"/>
        <v>0.67458900892437679</v>
      </c>
      <c r="Z65" s="32">
        <f t="shared" si="98"/>
        <v>0.8094290976058941</v>
      </c>
      <c r="AA65" s="32">
        <f t="shared" si="98"/>
        <v>0.61828600752651341</v>
      </c>
      <c r="AB65" s="32">
        <f t="shared" si="98"/>
        <v>0.59120045349496342</v>
      </c>
      <c r="AC65" s="32">
        <f t="shared" si="98"/>
        <v>0.89121534682419024</v>
      </c>
      <c r="AD65" s="32">
        <f t="shared" si="98"/>
        <v>0.24081355130517051</v>
      </c>
      <c r="AE65" s="32">
        <f t="shared" si="98"/>
        <v>-0.22768021613655912</v>
      </c>
      <c r="AF65" s="32">
        <f t="shared" si="98"/>
        <v>0.97074591303196811</v>
      </c>
      <c r="AG65" s="32">
        <f t="shared" si="98"/>
        <v>0.53784219001610289</v>
      </c>
      <c r="AH65" s="32" t="str">
        <f t="shared" si="98"/>
        <v>NM</v>
      </c>
      <c r="AI65" s="32">
        <f t="shared" si="98"/>
        <v>0.5247033441208202</v>
      </c>
      <c r="AJ65" s="32">
        <f t="shared" si="98"/>
        <v>0.59900660556096075</v>
      </c>
      <c r="AK65" s="32">
        <f t="shared" si="98"/>
        <v>0.80135593220339019</v>
      </c>
      <c r="AL65" s="32">
        <f t="shared" si="98"/>
        <v>0.11985763165512703</v>
      </c>
      <c r="AM65" s="32">
        <f t="shared" si="98"/>
        <v>0.33270267484880994</v>
      </c>
      <c r="AN65" s="32">
        <f t="shared" si="98"/>
        <v>-0.54247553064002474</v>
      </c>
      <c r="AO65" s="32">
        <f t="shared" si="98"/>
        <v>9.9999999999999215E-2</v>
      </c>
      <c r="AP65" s="32">
        <f t="shared" si="98"/>
        <v>0.10000000000000013</v>
      </c>
      <c r="AQ65" s="32">
        <f t="shared" si="98"/>
        <v>0.1000000000000001</v>
      </c>
      <c r="AR65" s="32">
        <f t="shared" si="98"/>
        <v>0.1000000000000001</v>
      </c>
      <c r="AS65" s="32">
        <f t="shared" si="98"/>
        <v>9.9999999999999908E-2</v>
      </c>
      <c r="AT65" s="32">
        <f t="shared" si="98"/>
        <v>0.10000000000000026</v>
      </c>
      <c r="AU65" s="32">
        <f t="shared" si="98"/>
        <v>9.9999999999999492E-2</v>
      </c>
      <c r="AV65" s="32">
        <f t="shared" si="98"/>
        <v>0.10000000000000017</v>
      </c>
      <c r="AW65" s="32">
        <f t="shared" si="98"/>
        <v>9.9999999999999839E-2</v>
      </c>
      <c r="AX65" s="161"/>
      <c r="AY65" s="161"/>
      <c r="AZ65" s="161"/>
      <c r="BA65" s="161"/>
      <c r="BB65" s="161"/>
      <c r="BC65" s="161"/>
      <c r="BD65" s="161"/>
      <c r="BE65" s="161"/>
      <c r="BF65" s="2">
        <f t="shared" si="10"/>
        <v>59</v>
      </c>
    </row>
    <row r="66" spans="1:58" ht="11.25" hidden="1" customHeight="1" outlineLevel="2">
      <c r="A66" s="47"/>
      <c r="B66" s="150" t="s">
        <v>175</v>
      </c>
      <c r="C66" s="308" t="str">
        <f>IFERROR(IF(ABS((C31-#REF!)/(C15-#REF!))&gt;2,"NM",(C31-#REF!)/(C15-#REF!)),"NM")</f>
        <v>NM</v>
      </c>
      <c r="D66" s="308" t="str">
        <f t="shared" ref="D66:K66" si="99">IFERROR(IF(ABS((D31-C31)/(D15-C15))&gt;2,"NM",(D31-C31)/(D15-C15)),"NM")</f>
        <v>NM</v>
      </c>
      <c r="E66" s="308">
        <f t="shared" si="99"/>
        <v>-1.2180174631353691</v>
      </c>
      <c r="F66" s="308">
        <f t="shared" si="99"/>
        <v>0.40825681719841544</v>
      </c>
      <c r="G66" s="308">
        <f t="shared" si="99"/>
        <v>0.21476731268313742</v>
      </c>
      <c r="H66" s="308">
        <f t="shared" si="99"/>
        <v>0.49757210002146068</v>
      </c>
      <c r="I66" s="308">
        <f t="shared" si="99"/>
        <v>0.56527755385134948</v>
      </c>
      <c r="J66" s="308">
        <f t="shared" si="99"/>
        <v>0.40566306009888992</v>
      </c>
      <c r="K66" s="308">
        <f t="shared" si="99"/>
        <v>0.439614501133895</v>
      </c>
      <c r="L66" s="312"/>
      <c r="M66" s="308"/>
      <c r="N66" s="308" t="str">
        <f>IFERROR(IF(ABS((N31-#REF!)/(N15-#REF!))&gt;2,"NM",(N31-#REF!)/(N15-#REF!)),"NM")</f>
        <v>NM</v>
      </c>
      <c r="O66" s="308">
        <f t="shared" ref="O66:AW66" si="100">IFERROR(IF(ABS((O31-N31)/(O15-N15))&gt;2,"NM",(O31-N31)/(O15-N15)),"NM")</f>
        <v>0.35281501146548438</v>
      </c>
      <c r="P66" s="308">
        <f t="shared" si="100"/>
        <v>0.93569924906525881</v>
      </c>
      <c r="Q66" s="308" t="str">
        <f t="shared" si="100"/>
        <v>NM</v>
      </c>
      <c r="R66" s="308">
        <f t="shared" si="100"/>
        <v>0.43106995884773419</v>
      </c>
      <c r="S66" s="308">
        <f t="shared" si="100"/>
        <v>0.31699265494759066</v>
      </c>
      <c r="T66" s="308">
        <f t="shared" si="100"/>
        <v>-0.3883122275275061</v>
      </c>
      <c r="U66" s="308">
        <f t="shared" si="100"/>
        <v>0.5612231426779738</v>
      </c>
      <c r="V66" s="308">
        <f t="shared" si="100"/>
        <v>-1.3994204117178605E-2</v>
      </c>
      <c r="W66" s="308">
        <f t="shared" si="100"/>
        <v>1.2542810074998976</v>
      </c>
      <c r="X66" s="308">
        <f t="shared" si="100"/>
        <v>0.12692906557344713</v>
      </c>
      <c r="Y66" s="308">
        <f t="shared" si="100"/>
        <v>0.62680921052630945</v>
      </c>
      <c r="Z66" s="308">
        <f t="shared" si="100"/>
        <v>0.46466404734669581</v>
      </c>
      <c r="AA66" s="308">
        <f t="shared" si="100"/>
        <v>0.31275702224740987</v>
      </c>
      <c r="AB66" s="308">
        <f t="shared" si="100"/>
        <v>0.32701941712070748</v>
      </c>
      <c r="AC66" s="308">
        <f t="shared" si="100"/>
        <v>0.1548909610087687</v>
      </c>
      <c r="AD66" s="308">
        <f t="shared" si="100"/>
        <v>5.4436980488832956E-2</v>
      </c>
      <c r="AE66" s="308">
        <f t="shared" si="100"/>
        <v>0.22885230909922294</v>
      </c>
      <c r="AF66" s="308">
        <f t="shared" si="100"/>
        <v>0.93193769553351569</v>
      </c>
      <c r="AG66" s="308">
        <f t="shared" si="100"/>
        <v>0.43081616003972695</v>
      </c>
      <c r="AH66" s="308">
        <f t="shared" si="100"/>
        <v>0.31766198030869724</v>
      </c>
      <c r="AI66" s="308">
        <f t="shared" si="100"/>
        <v>0.64026789330556089</v>
      </c>
      <c r="AJ66" s="308">
        <f t="shared" si="100"/>
        <v>0.58919384889185589</v>
      </c>
      <c r="AK66" s="308">
        <f t="shared" si="100"/>
        <v>-1.0337191186289862</v>
      </c>
      <c r="AL66" s="308">
        <f t="shared" si="100"/>
        <v>0.66684209662381111</v>
      </c>
      <c r="AM66" s="308">
        <f t="shared" si="100"/>
        <v>0.42247649721058322</v>
      </c>
      <c r="AN66" s="308">
        <f t="shared" si="100"/>
        <v>0.41576144103596502</v>
      </c>
      <c r="AO66" s="308">
        <f t="shared" si="100"/>
        <v>0.35354335033641526</v>
      </c>
      <c r="AP66" s="308">
        <f t="shared" si="100"/>
        <v>0.43180310798876137</v>
      </c>
      <c r="AQ66" s="308">
        <f t="shared" si="100"/>
        <v>0.41914333536982934</v>
      </c>
      <c r="AR66" s="308">
        <f t="shared" si="100"/>
        <v>0.41794860566075609</v>
      </c>
      <c r="AS66" s="308">
        <f t="shared" si="100"/>
        <v>0.41654558978618217</v>
      </c>
      <c r="AT66" s="308">
        <f t="shared" si="100"/>
        <v>0.70681656507401225</v>
      </c>
      <c r="AU66" s="308">
        <f t="shared" si="100"/>
        <v>0.34063334107815546</v>
      </c>
      <c r="AV66" s="308">
        <f t="shared" si="100"/>
        <v>0.34449045634808484</v>
      </c>
      <c r="AW66" s="308">
        <f t="shared" si="100"/>
        <v>0.34760634942305274</v>
      </c>
      <c r="AX66" s="206"/>
      <c r="AY66" s="206"/>
      <c r="AZ66" s="206"/>
      <c r="BA66" s="206"/>
      <c r="BB66" s="206"/>
      <c r="BC66" s="206"/>
      <c r="BD66" s="206"/>
      <c r="BE66" s="206"/>
      <c r="BF66" s="2">
        <f t="shared" si="10"/>
        <v>60</v>
      </c>
    </row>
    <row r="67" spans="1:58" ht="11.25" hidden="1" customHeight="1" outlineLevel="2">
      <c r="A67" s="50"/>
      <c r="B67" s="36" t="s">
        <v>9</v>
      </c>
      <c r="C67" s="32" t="str">
        <f>IFERROR(IF(ABS((C26-#REF!)/(C11-#REF!))&gt;2,"NM",(C26-#REF!)/(C11-#REF!)),"NM")</f>
        <v>NM</v>
      </c>
      <c r="D67" s="32">
        <f t="shared" ref="D67:K70" si="101">IFERROR(IF(ABS((D26-C26)/(D11-C11))&gt;2,"NM",(D26-C26)/(D11-C11)),"NM")</f>
        <v>0.16980834699281308</v>
      </c>
      <c r="E67" s="32">
        <f t="shared" si="101"/>
        <v>0.49891603679615665</v>
      </c>
      <c r="F67" s="32">
        <f t="shared" si="101"/>
        <v>0.67276967440633584</v>
      </c>
      <c r="G67" s="32">
        <f t="shared" si="101"/>
        <v>0.48234826246237944</v>
      </c>
      <c r="H67" s="32" t="str">
        <f t="shared" si="101"/>
        <v>NM</v>
      </c>
      <c r="I67" s="32">
        <f t="shared" si="101"/>
        <v>1.1928662818000222</v>
      </c>
      <c r="J67" s="32">
        <f t="shared" si="101"/>
        <v>1.1712702139018474</v>
      </c>
      <c r="K67" s="32">
        <f t="shared" si="101"/>
        <v>0.86758642322443658</v>
      </c>
      <c r="L67" s="312"/>
      <c r="M67" s="32"/>
      <c r="N67" s="32" t="str">
        <f>IFERROR(IF(ABS((N26-#REF!)/(N11-#REF!))&gt;2,"NM",(N26-#REF!)/(N11-#REF!)),"NM")</f>
        <v>NM</v>
      </c>
      <c r="O67" s="32">
        <f t="shared" ref="O67:AW67" si="102">IFERROR(IF(ABS((O26-N26)/(O11-N11))&gt;2,"NM",(O26-N26)/(O11-N11)),"NM")</f>
        <v>0.23734789036733786</v>
      </c>
      <c r="P67" s="32">
        <f t="shared" si="102"/>
        <v>-1.0535495716034262</v>
      </c>
      <c r="Q67" s="32" t="str">
        <f t="shared" si="102"/>
        <v>NM</v>
      </c>
      <c r="R67" s="32">
        <f t="shared" si="102"/>
        <v>-0.63517665130567191</v>
      </c>
      <c r="S67" s="32">
        <f t="shared" si="102"/>
        <v>0.2654898191033821</v>
      </c>
      <c r="T67" s="32">
        <f t="shared" si="102"/>
        <v>0.25811881188118818</v>
      </c>
      <c r="U67" s="32">
        <f t="shared" si="102"/>
        <v>0.84099640599826431</v>
      </c>
      <c r="V67" s="32">
        <f t="shared" si="102"/>
        <v>0.63501922508133846</v>
      </c>
      <c r="W67" s="32">
        <f t="shared" si="102"/>
        <v>1.1607761607760423E-2</v>
      </c>
      <c r="X67" s="32">
        <f t="shared" si="102"/>
        <v>0.844199062169112</v>
      </c>
      <c r="Y67" s="32">
        <f t="shared" si="102"/>
        <v>-3.7283621837557415E-2</v>
      </c>
      <c r="Z67" s="32">
        <f t="shared" si="102"/>
        <v>0.79432733241011444</v>
      </c>
      <c r="AA67" s="32">
        <f t="shared" si="102"/>
        <v>0.55397822363110105</v>
      </c>
      <c r="AB67" s="32">
        <f t="shared" si="102"/>
        <v>0.63075739254699381</v>
      </c>
      <c r="AC67" s="32">
        <f t="shared" si="102"/>
        <v>0.83124535513324149</v>
      </c>
      <c r="AD67" s="32">
        <f t="shared" si="102"/>
        <v>0.34921249677252769</v>
      </c>
      <c r="AE67" s="32">
        <f t="shared" si="102"/>
        <v>0.44401639344262328</v>
      </c>
      <c r="AF67" s="32">
        <f t="shared" si="102"/>
        <v>0.123313253012048</v>
      </c>
      <c r="AG67" s="32">
        <f t="shared" si="102"/>
        <v>0.79660842754367955</v>
      </c>
      <c r="AH67" s="32" t="str">
        <f t="shared" si="102"/>
        <v>NM</v>
      </c>
      <c r="AI67" s="32" t="str">
        <f t="shared" si="102"/>
        <v>NM</v>
      </c>
      <c r="AJ67" s="32">
        <f t="shared" si="102"/>
        <v>1.3961093209213502</v>
      </c>
      <c r="AK67" s="32">
        <f t="shared" si="102"/>
        <v>-0.40841584158415922</v>
      </c>
      <c r="AL67" s="32" t="str">
        <f t="shared" si="102"/>
        <v>NM</v>
      </c>
      <c r="AM67" s="32">
        <f t="shared" si="102"/>
        <v>1.0740670238323105</v>
      </c>
      <c r="AN67" s="32">
        <f t="shared" si="102"/>
        <v>1.3580047137663924</v>
      </c>
      <c r="AO67" s="32" t="str">
        <f t="shared" si="102"/>
        <v>NM</v>
      </c>
      <c r="AP67" s="32">
        <f t="shared" si="102"/>
        <v>0.97512765552694425</v>
      </c>
      <c r="AQ67" s="32">
        <f t="shared" si="102"/>
        <v>0.92159708980737831</v>
      </c>
      <c r="AR67" s="32">
        <f t="shared" si="102"/>
        <v>0.92139333026434933</v>
      </c>
      <c r="AS67" s="32">
        <f t="shared" si="102"/>
        <v>0.92074067190592035</v>
      </c>
      <c r="AT67" s="32">
        <f t="shared" si="102"/>
        <v>1.0524005094626789</v>
      </c>
      <c r="AU67" s="32">
        <f t="shared" si="102"/>
        <v>0.62923026375166413</v>
      </c>
      <c r="AV67" s="32">
        <f t="shared" si="102"/>
        <v>0.63392068535983948</v>
      </c>
      <c r="AW67" s="32">
        <f t="shared" si="102"/>
        <v>0.63795345172184192</v>
      </c>
      <c r="AX67" s="161"/>
      <c r="AY67" s="161"/>
      <c r="AZ67" s="161"/>
      <c r="BA67" s="161"/>
      <c r="BB67" s="161"/>
      <c r="BC67" s="161"/>
      <c r="BD67" s="161"/>
      <c r="BE67" s="161"/>
      <c r="BF67" s="2">
        <f t="shared" si="10"/>
        <v>61</v>
      </c>
    </row>
    <row r="68" spans="1:58" ht="11.25" hidden="1" customHeight="1" outlineLevel="2">
      <c r="A68" s="47"/>
      <c r="B68" s="36" t="s">
        <v>8</v>
      </c>
      <c r="C68" s="32" t="str">
        <f>IFERROR(IF(ABS((C27-#REF!)/(C12-#REF!))&gt;2,"NM",(C27-#REF!)/(C12-#REF!)),"NM")</f>
        <v>NM</v>
      </c>
      <c r="D68" s="32" t="str">
        <f t="shared" si="101"/>
        <v>NM</v>
      </c>
      <c r="E68" s="32">
        <f t="shared" si="101"/>
        <v>-8.2035060975609697E-2</v>
      </c>
      <c r="F68" s="32">
        <f t="shared" si="101"/>
        <v>0.37467769261290995</v>
      </c>
      <c r="G68" s="32">
        <f t="shared" si="101"/>
        <v>0.28854736205475379</v>
      </c>
      <c r="H68" s="32">
        <f t="shared" si="101"/>
        <v>0.45694984168980934</v>
      </c>
      <c r="I68" s="32">
        <f t="shared" si="101"/>
        <v>0.45261355167178891</v>
      </c>
      <c r="J68" s="32">
        <f t="shared" si="101"/>
        <v>0.370907109940457</v>
      </c>
      <c r="K68" s="32">
        <f t="shared" si="101"/>
        <v>0.56751234672812645</v>
      </c>
      <c r="L68" s="312"/>
      <c r="M68" s="308"/>
      <c r="N68" s="32" t="str">
        <f>IFERROR(IF(ABS((N27-#REF!)/(N12-#REF!))&gt;2,"NM",(N27-#REF!)/(N12-#REF!)),"NM")</f>
        <v>NM</v>
      </c>
      <c r="O68" s="32">
        <f t="shared" ref="O68:AW68" si="103">IFERROR(IF(ABS((O27-N27)/(O12-N12))&gt;2,"NM",(O27-N27)/(O12-N12)),"NM")</f>
        <v>0.37095348326204808</v>
      </c>
      <c r="P68" s="32">
        <f t="shared" si="103"/>
        <v>0.60520535302261158</v>
      </c>
      <c r="Q68" s="32">
        <f t="shared" si="103"/>
        <v>1.5315393518518441</v>
      </c>
      <c r="R68" s="32">
        <f t="shared" si="103"/>
        <v>0.34008489993935637</v>
      </c>
      <c r="S68" s="32">
        <f t="shared" si="103"/>
        <v>0.10440450894947244</v>
      </c>
      <c r="T68" s="32" t="str">
        <f t="shared" si="103"/>
        <v>NM</v>
      </c>
      <c r="U68" s="32">
        <f t="shared" si="103"/>
        <v>0.81043056913333467</v>
      </c>
      <c r="V68" s="32">
        <f t="shared" si="103"/>
        <v>-0.5407460358721069</v>
      </c>
      <c r="W68" s="32" t="str">
        <f t="shared" si="103"/>
        <v>NM</v>
      </c>
      <c r="X68" s="32">
        <f t="shared" si="103"/>
        <v>0.31639675279185725</v>
      </c>
      <c r="Y68" s="32" t="str">
        <f t="shared" si="103"/>
        <v>NM</v>
      </c>
      <c r="Z68" s="32">
        <f t="shared" si="103"/>
        <v>0.35745484094872104</v>
      </c>
      <c r="AA68" s="32">
        <f t="shared" si="103"/>
        <v>0.34553755546461895</v>
      </c>
      <c r="AB68" s="32">
        <f t="shared" si="103"/>
        <v>0.39165745386512452</v>
      </c>
      <c r="AC68" s="32">
        <f t="shared" si="103"/>
        <v>0.23110186431689314</v>
      </c>
      <c r="AD68" s="32">
        <f t="shared" si="103"/>
        <v>4.0286691338361373E-2</v>
      </c>
      <c r="AE68" s="32">
        <f t="shared" si="103"/>
        <v>0.15187888292418117</v>
      </c>
      <c r="AF68" s="32">
        <f t="shared" si="103"/>
        <v>-0.56873699200350425</v>
      </c>
      <c r="AG68" s="32">
        <f t="shared" si="103"/>
        <v>-5.7364219752700278E-2</v>
      </c>
      <c r="AH68" s="32">
        <f t="shared" si="103"/>
        <v>0.47313468502417233</v>
      </c>
      <c r="AI68" s="32">
        <f t="shared" si="103"/>
        <v>0.78823129251700685</v>
      </c>
      <c r="AJ68" s="32" t="str">
        <f t="shared" si="103"/>
        <v>NM</v>
      </c>
      <c r="AK68" s="32">
        <f t="shared" si="103"/>
        <v>-0.70073318457124645</v>
      </c>
      <c r="AL68" s="32">
        <f t="shared" si="103"/>
        <v>-1.5626704827896114</v>
      </c>
      <c r="AM68" s="32">
        <f t="shared" si="103"/>
        <v>0.36628440840252147</v>
      </c>
      <c r="AN68" s="32">
        <f t="shared" si="103"/>
        <v>0.41349476975238425</v>
      </c>
      <c r="AO68" s="32">
        <f t="shared" si="103"/>
        <v>0.28029269082676189</v>
      </c>
      <c r="AP68" s="32">
        <f t="shared" si="103"/>
        <v>0.41429112599473267</v>
      </c>
      <c r="AQ68" s="32">
        <f t="shared" si="103"/>
        <v>0.40072240565165151</v>
      </c>
      <c r="AR68" s="32">
        <f t="shared" si="103"/>
        <v>0.39825788706290488</v>
      </c>
      <c r="AS68" s="32">
        <f t="shared" si="103"/>
        <v>0.39551241254465297</v>
      </c>
      <c r="AT68" s="32" t="str">
        <f t="shared" si="103"/>
        <v>NM</v>
      </c>
      <c r="AU68" s="32" t="str">
        <f t="shared" si="103"/>
        <v>NM</v>
      </c>
      <c r="AV68" s="32" t="str">
        <f t="shared" si="103"/>
        <v>NM</v>
      </c>
      <c r="AW68" s="32" t="str">
        <f t="shared" si="103"/>
        <v>NM</v>
      </c>
      <c r="AX68" s="161"/>
      <c r="AY68" s="161"/>
      <c r="AZ68" s="161"/>
      <c r="BA68" s="161"/>
      <c r="BB68" s="161"/>
      <c r="BC68" s="161"/>
      <c r="BD68" s="161"/>
      <c r="BE68" s="161"/>
      <c r="BF68" s="2">
        <f t="shared" si="10"/>
        <v>62</v>
      </c>
    </row>
    <row r="69" spans="1:58" ht="11.25" hidden="1" customHeight="1" outlineLevel="2">
      <c r="A69" s="47"/>
      <c r="B69" s="36" t="s">
        <v>7</v>
      </c>
      <c r="C69" s="32" t="str">
        <f>IFERROR(IF(ABS((C28-#REF!)/(C13-#REF!))&gt;2,"NM",(C28-#REF!)/(C13-#REF!)),"NM")</f>
        <v>NM</v>
      </c>
      <c r="D69" s="32" t="str">
        <f t="shared" si="101"/>
        <v>NM</v>
      </c>
      <c r="E69" s="32">
        <f t="shared" si="101"/>
        <v>0.15013743323873194</v>
      </c>
      <c r="F69" s="32">
        <f t="shared" si="101"/>
        <v>0.24513016963480039</v>
      </c>
      <c r="G69" s="32">
        <f t="shared" si="101"/>
        <v>7.9959364116475218E-4</v>
      </c>
      <c r="H69" s="32">
        <f t="shared" si="101"/>
        <v>1.3444785904527743</v>
      </c>
      <c r="I69" s="32">
        <f t="shared" si="101"/>
        <v>0.41120275320299071</v>
      </c>
      <c r="J69" s="32">
        <f t="shared" si="101"/>
        <v>0.41159811469539054</v>
      </c>
      <c r="K69" s="32">
        <f t="shared" si="101"/>
        <v>0.33512756965146284</v>
      </c>
      <c r="L69" s="312"/>
      <c r="M69" s="308"/>
      <c r="N69" s="32" t="str">
        <f>IFERROR(IF(ABS((N28-#REF!)/(N13-#REF!))&gt;2,"NM",(N28-#REF!)/(N13-#REF!)),"NM")</f>
        <v>NM</v>
      </c>
      <c r="O69" s="32">
        <f t="shared" ref="O69:AW69" si="104">IFERROR(IF(ABS((O28-N28)/(O13-N13))&gt;2,"NM",(O28-N28)/(O13-N13)),"NM")</f>
        <v>9.5026717365450014E-2</v>
      </c>
      <c r="P69" s="32">
        <f t="shared" si="104"/>
        <v>0.76274077046548927</v>
      </c>
      <c r="Q69" s="32" t="str">
        <f t="shared" si="104"/>
        <v>NM</v>
      </c>
      <c r="R69" s="32">
        <f t="shared" si="104"/>
        <v>1.886831275720148</v>
      </c>
      <c r="S69" s="32" t="str">
        <f t="shared" si="104"/>
        <v>NM</v>
      </c>
      <c r="T69" s="32">
        <f t="shared" si="104"/>
        <v>0.54987157534246589</v>
      </c>
      <c r="U69" s="32">
        <f t="shared" si="104"/>
        <v>1.1233578052550259</v>
      </c>
      <c r="V69" s="32">
        <f t="shared" si="104"/>
        <v>-3.3268171316865124E-2</v>
      </c>
      <c r="W69" s="32">
        <f t="shared" si="104"/>
        <v>0.98582218099907415</v>
      </c>
      <c r="X69" s="32" t="str">
        <f t="shared" si="104"/>
        <v>NM</v>
      </c>
      <c r="Y69" s="32">
        <f t="shared" si="104"/>
        <v>0.53554216867470006</v>
      </c>
      <c r="Z69" s="32">
        <f t="shared" si="104"/>
        <v>0.35844250363901009</v>
      </c>
      <c r="AA69" s="32">
        <f t="shared" si="104"/>
        <v>-4.0023405500292597E-2</v>
      </c>
      <c r="AB69" s="32">
        <f t="shared" si="104"/>
        <v>8.799141765192324E-2</v>
      </c>
      <c r="AC69" s="32">
        <f t="shared" si="104"/>
        <v>-0.10147991543340391</v>
      </c>
      <c r="AD69" s="32">
        <f t="shared" si="104"/>
        <v>-0.17606253053248624</v>
      </c>
      <c r="AE69" s="32">
        <f t="shared" si="104"/>
        <v>0.34217652958876627</v>
      </c>
      <c r="AF69" s="32">
        <f t="shared" si="104"/>
        <v>0.93744977230110083</v>
      </c>
      <c r="AG69" s="32" t="str">
        <f t="shared" si="104"/>
        <v>NM</v>
      </c>
      <c r="AH69" s="32">
        <f t="shared" si="104"/>
        <v>0.29371816638370141</v>
      </c>
      <c r="AI69" s="32">
        <f t="shared" si="104"/>
        <v>0.45972701364931784</v>
      </c>
      <c r="AJ69" s="32">
        <f t="shared" si="104"/>
        <v>0.23834078148275456</v>
      </c>
      <c r="AK69" s="32">
        <f t="shared" si="104"/>
        <v>0.30166475315729047</v>
      </c>
      <c r="AL69" s="32">
        <f t="shared" si="104"/>
        <v>0.2219258955044256</v>
      </c>
      <c r="AM69" s="32">
        <f t="shared" si="104"/>
        <v>0.51392067277564968</v>
      </c>
      <c r="AN69" s="32">
        <f t="shared" si="104"/>
        <v>0.37977118572453561</v>
      </c>
      <c r="AO69" s="32">
        <f t="shared" si="104"/>
        <v>0.49132433575789702</v>
      </c>
      <c r="AP69" s="32">
        <f t="shared" si="104"/>
        <v>0.39237771841076502</v>
      </c>
      <c r="AQ69" s="32">
        <f t="shared" si="104"/>
        <v>0.37617717523121469</v>
      </c>
      <c r="AR69" s="32">
        <f t="shared" si="104"/>
        <v>0.37769470781772035</v>
      </c>
      <c r="AS69" s="32">
        <f t="shared" si="104"/>
        <v>0.37913220684725268</v>
      </c>
      <c r="AT69" s="32">
        <f t="shared" si="104"/>
        <v>0.36431537222763732</v>
      </c>
      <c r="AU69" s="32">
        <f t="shared" si="104"/>
        <v>0.21986501003875278</v>
      </c>
      <c r="AV69" s="32">
        <f t="shared" si="104"/>
        <v>0.22036731166831233</v>
      </c>
      <c r="AW69" s="32">
        <f t="shared" si="104"/>
        <v>0.22061123719607073</v>
      </c>
      <c r="AX69" s="161"/>
      <c r="AY69" s="161"/>
      <c r="AZ69" s="161"/>
      <c r="BA69" s="161"/>
      <c r="BB69" s="161"/>
      <c r="BC69" s="161"/>
      <c r="BD69" s="161"/>
      <c r="BE69" s="161"/>
      <c r="BF69" s="2">
        <f t="shared" si="10"/>
        <v>63</v>
      </c>
    </row>
    <row r="70" spans="1:58" ht="11.25" hidden="1" customHeight="1" outlineLevel="2">
      <c r="A70" s="50"/>
      <c r="B70" s="36" t="s">
        <v>162</v>
      </c>
      <c r="C70" s="32" t="str">
        <f>IFERROR(IF(ABS((C29-#REF!)/(C14-#REF!))&gt;2,"NM",(C29-#REF!)/(C14-#REF!)),"NM")</f>
        <v>NM</v>
      </c>
      <c r="D70" s="32">
        <f t="shared" si="101"/>
        <v>-0.47798493583782692</v>
      </c>
      <c r="E70" s="32">
        <f t="shared" si="101"/>
        <v>-0.26812043525260765</v>
      </c>
      <c r="F70" s="32">
        <f t="shared" si="101"/>
        <v>0.84736103589188216</v>
      </c>
      <c r="G70" s="32">
        <f t="shared" si="101"/>
        <v>9.6934435526086202E-2</v>
      </c>
      <c r="H70" s="32" t="str">
        <f t="shared" si="101"/>
        <v>NM</v>
      </c>
      <c r="I70" s="32">
        <f t="shared" si="101"/>
        <v>0.22486521147082264</v>
      </c>
      <c r="J70" s="32">
        <f t="shared" si="101"/>
        <v>0.10596814670098889</v>
      </c>
      <c r="K70" s="32">
        <f t="shared" si="101"/>
        <v>0.15923621599279555</v>
      </c>
      <c r="L70" s="312"/>
      <c r="M70" s="32"/>
      <c r="N70" s="32" t="str">
        <f>IFERROR(IF(ABS((N29-#REF!)/(N14-#REF!))&gt;2,"NM",(N29-#REF!)/(N14-#REF!)),"NM")</f>
        <v>NM</v>
      </c>
      <c r="O70" s="32">
        <f t="shared" ref="O70:AW70" si="105">IFERROR(IF(ABS((O29-N29)/(O14-N14))&gt;2,"NM",(O29-N29)/(O14-N14)),"NM")</f>
        <v>1.3982272098885911</v>
      </c>
      <c r="P70" s="32">
        <f t="shared" si="105"/>
        <v>5.7930542764623831E-3</v>
      </c>
      <c r="Q70" s="32">
        <f t="shared" si="105"/>
        <v>-0.58985176738882483</v>
      </c>
      <c r="R70" s="32">
        <f t="shared" si="105"/>
        <v>0.33243334458319268</v>
      </c>
      <c r="S70" s="32">
        <f t="shared" si="105"/>
        <v>0.38687032322764808</v>
      </c>
      <c r="T70" s="32">
        <f t="shared" si="105"/>
        <v>0.16436181471812603</v>
      </c>
      <c r="U70" s="32">
        <f t="shared" si="105"/>
        <v>0.29030125330573775</v>
      </c>
      <c r="V70" s="32">
        <f t="shared" si="105"/>
        <v>-0.20732697984981474</v>
      </c>
      <c r="W70" s="32">
        <f t="shared" si="105"/>
        <v>1.0261780104712062</v>
      </c>
      <c r="X70" s="32">
        <f t="shared" si="105"/>
        <v>-0.69831023352952226</v>
      </c>
      <c r="Y70" s="32">
        <f t="shared" si="105"/>
        <v>8.2104274307186365E-2</v>
      </c>
      <c r="Z70" s="32">
        <f t="shared" si="105"/>
        <v>1.1602946593001853</v>
      </c>
      <c r="AA70" s="32">
        <f t="shared" si="105"/>
        <v>0.42088607594936678</v>
      </c>
      <c r="AB70" s="32">
        <f t="shared" si="105"/>
        <v>0.48611171674006876</v>
      </c>
      <c r="AC70" s="32">
        <f t="shared" si="105"/>
        <v>0.69306351620072537</v>
      </c>
      <c r="AD70" s="32">
        <f t="shared" si="105"/>
        <v>7.0091938392408501E-2</v>
      </c>
      <c r="AE70" s="32">
        <f t="shared" si="105"/>
        <v>-0.214294486061648</v>
      </c>
      <c r="AF70" s="32">
        <f t="shared" si="105"/>
        <v>0.91091402475345862</v>
      </c>
      <c r="AG70" s="32">
        <f t="shared" si="105"/>
        <v>0.3956616463010324</v>
      </c>
      <c r="AH70" s="32" t="str">
        <f t="shared" si="105"/>
        <v>NM</v>
      </c>
      <c r="AI70" s="32">
        <f t="shared" si="105"/>
        <v>0.55080906148867337</v>
      </c>
      <c r="AJ70" s="32">
        <f t="shared" si="105"/>
        <v>0.61057913871678027</v>
      </c>
      <c r="AK70" s="32">
        <f t="shared" si="105"/>
        <v>0.60517719568567041</v>
      </c>
      <c r="AL70" s="32">
        <f t="shared" si="105"/>
        <v>0.11684681458575576</v>
      </c>
      <c r="AM70" s="32">
        <f t="shared" si="105"/>
        <v>0.29882184757785107</v>
      </c>
      <c r="AN70" s="32">
        <f t="shared" si="105"/>
        <v>-0.431119760353466</v>
      </c>
      <c r="AO70" s="32">
        <f t="shared" si="105"/>
        <v>0.24220846884510019</v>
      </c>
      <c r="AP70" s="32">
        <f t="shared" si="105"/>
        <v>0.18971288819269655</v>
      </c>
      <c r="AQ70" s="32">
        <f t="shared" si="105"/>
        <v>0.16388266286160005</v>
      </c>
      <c r="AR70" s="32">
        <f t="shared" si="105"/>
        <v>0.16219448710093617</v>
      </c>
      <c r="AS70" s="32">
        <f t="shared" si="105"/>
        <v>0.16042785831992459</v>
      </c>
      <c r="AT70" s="32">
        <f t="shared" si="105"/>
        <v>0.18125416232341401</v>
      </c>
      <c r="AU70" s="32">
        <f t="shared" si="105"/>
        <v>0.13577492475176905</v>
      </c>
      <c r="AV70" s="32">
        <f t="shared" si="105"/>
        <v>0.13667197109026125</v>
      </c>
      <c r="AW70" s="32">
        <f t="shared" si="105"/>
        <v>0.13745970116080028</v>
      </c>
      <c r="AX70" s="161"/>
      <c r="AY70" s="161"/>
      <c r="AZ70" s="161"/>
      <c r="BA70" s="161"/>
      <c r="BB70" s="161"/>
      <c r="BC70" s="161"/>
      <c r="BD70" s="161"/>
      <c r="BE70" s="161"/>
      <c r="BF70" s="2">
        <f t="shared" si="10"/>
        <v>64</v>
      </c>
    </row>
    <row r="71" spans="1:58" ht="11.25" customHeight="1" outlineLevel="1" collapsed="1">
      <c r="A71" s="11"/>
      <c r="B71" s="17" t="s">
        <v>174</v>
      </c>
      <c r="C71" s="45">
        <f>(-C32)/AVERAGE(C226:C226)</f>
        <v>6.1956391387298984E-2</v>
      </c>
      <c r="D71" s="45">
        <f t="shared" ref="D71:K71" si="106">(-D32)/AVERAGE(C226:D226)</f>
        <v>5.9643505420539929E-2</v>
      </c>
      <c r="E71" s="45">
        <f t="shared" si="106"/>
        <v>5.8355789701018117E-2</v>
      </c>
      <c r="F71" s="45">
        <f t="shared" si="106"/>
        <v>5.9576315050827923E-2</v>
      </c>
      <c r="G71" s="45">
        <f t="shared" si="106"/>
        <v>6.3906132657209208E-2</v>
      </c>
      <c r="H71" s="45">
        <f t="shared" si="106"/>
        <v>7.4603089802528555E-2</v>
      </c>
      <c r="I71" s="45">
        <f t="shared" si="106"/>
        <v>8.2000000000000003E-2</v>
      </c>
      <c r="J71" s="45">
        <f t="shared" si="106"/>
        <v>8.2000000000000003E-2</v>
      </c>
      <c r="K71" s="45">
        <f t="shared" si="106"/>
        <v>8.2000000000000003E-2</v>
      </c>
      <c r="L71" s="312"/>
      <c r="M71" s="45"/>
      <c r="N71" s="45">
        <f>(4*-N32)/AVERAGE(N226:N226)</f>
        <v>5.9656503751798845E-2</v>
      </c>
      <c r="O71" s="45">
        <f t="shared" ref="O71:AK71" si="107">(4*-O32)/AVERAGE(N226:O226)</f>
        <v>6.0472268639391487E-2</v>
      </c>
      <c r="P71" s="45">
        <f t="shared" si="107"/>
        <v>5.7338548616713628E-2</v>
      </c>
      <c r="Q71" s="45">
        <f t="shared" si="107"/>
        <v>5.4322147465565115E-2</v>
      </c>
      <c r="R71" s="45">
        <f t="shared" si="107"/>
        <v>5.9560691241399226E-2</v>
      </c>
      <c r="S71" s="45">
        <f t="shared" si="107"/>
        <v>5.8815952915801634E-2</v>
      </c>
      <c r="T71" s="45">
        <f t="shared" si="107"/>
        <v>5.6401152737752161E-2</v>
      </c>
      <c r="U71" s="45">
        <f t="shared" si="107"/>
        <v>6.1047763623040069E-2</v>
      </c>
      <c r="V71" s="45">
        <f t="shared" si="107"/>
        <v>5.7410096890506787E-2</v>
      </c>
      <c r="W71" s="45">
        <f t="shared" si="107"/>
        <v>5.922583799526808E-2</v>
      </c>
      <c r="X71" s="45">
        <f t="shared" si="107"/>
        <v>5.8460298354572025E-2</v>
      </c>
      <c r="Y71" s="45">
        <f t="shared" si="107"/>
        <v>5.84831154065154E-2</v>
      </c>
      <c r="Z71" s="45">
        <f t="shared" si="107"/>
        <v>5.6383347975374649E-2</v>
      </c>
      <c r="AA71" s="45">
        <f t="shared" si="107"/>
        <v>6.1733953826616783E-2</v>
      </c>
      <c r="AB71" s="45">
        <f t="shared" si="107"/>
        <v>5.5047707749767992E-2</v>
      </c>
      <c r="AC71" s="45">
        <f t="shared" si="107"/>
        <v>6.4044140286229831E-2</v>
      </c>
      <c r="AD71" s="45">
        <f t="shared" si="107"/>
        <v>5.8910741478887023E-2</v>
      </c>
      <c r="AE71" s="45">
        <f t="shared" si="107"/>
        <v>5.7802223421423833E-2</v>
      </c>
      <c r="AF71" s="45">
        <f t="shared" si="107"/>
        <v>6.181937829230038E-2</v>
      </c>
      <c r="AG71" s="45">
        <f t="shared" si="107"/>
        <v>7.6097440172635811E-2</v>
      </c>
      <c r="AH71" s="45">
        <f t="shared" si="107"/>
        <v>7.5462597391483616E-2</v>
      </c>
      <c r="AI71" s="45">
        <f t="shared" si="107"/>
        <v>7.2536903028951188E-2</v>
      </c>
      <c r="AJ71" s="45">
        <f t="shared" si="107"/>
        <v>7.2548630331624411E-2</v>
      </c>
      <c r="AK71" s="45">
        <f t="shared" si="107"/>
        <v>7.738011348885511E-2</v>
      </c>
      <c r="AL71" s="313">
        <v>8.2000000000000003E-2</v>
      </c>
      <c r="AM71" s="313">
        <v>8.2000000000000003E-2</v>
      </c>
      <c r="AN71" s="313">
        <v>8.2000000000000003E-2</v>
      </c>
      <c r="AO71" s="313">
        <v>8.2000000000000003E-2</v>
      </c>
      <c r="AP71" s="313">
        <v>8.2000000000000003E-2</v>
      </c>
      <c r="AQ71" s="313">
        <v>8.2000000000000003E-2</v>
      </c>
      <c r="AR71" s="313">
        <v>8.2000000000000003E-2</v>
      </c>
      <c r="AS71" s="313">
        <v>8.2000000000000003E-2</v>
      </c>
      <c r="AT71" s="313">
        <v>8.2000000000000003E-2</v>
      </c>
      <c r="AU71" s="313">
        <v>8.2000000000000003E-2</v>
      </c>
      <c r="AV71" s="313">
        <v>8.2000000000000003E-2</v>
      </c>
      <c r="AW71" s="313">
        <v>8.2000000000000003E-2</v>
      </c>
      <c r="AX71" s="109"/>
      <c r="AY71" s="109"/>
      <c r="AZ71" s="109"/>
      <c r="BA71" s="109"/>
      <c r="BB71" s="109"/>
      <c r="BC71" s="109"/>
      <c r="BD71" s="109"/>
      <c r="BE71" s="109"/>
      <c r="BF71" s="2">
        <f t="shared" si="10"/>
        <v>65</v>
      </c>
    </row>
    <row r="72" spans="1:58" ht="11.25" customHeight="1" outlineLevel="1">
      <c r="A72" s="50"/>
      <c r="B72" s="48" t="s">
        <v>173</v>
      </c>
      <c r="C72" s="45">
        <f>-C35/C34</f>
        <v>0.36437924945870587</v>
      </c>
      <c r="D72" s="32">
        <f>IF(ISERROR(-D35/D34),"NM",-D35/D34)</f>
        <v>0.33584443212473436</v>
      </c>
      <c r="E72" s="32">
        <f>IF(ISERROR(-E35/E34),"NM",-E35/E34)</f>
        <v>0.36500003392214636</v>
      </c>
      <c r="F72" s="32">
        <f t="shared" ref="F72:K72" si="108">-F35/F34</f>
        <v>0.34664763661579334</v>
      </c>
      <c r="G72" s="32">
        <f t="shared" si="108"/>
        <v>0.30112656701712537</v>
      </c>
      <c r="H72" s="32">
        <f t="shared" si="108"/>
        <v>0.30194021174076852</v>
      </c>
      <c r="I72" s="32">
        <f t="shared" si="108"/>
        <v>0.19000000000000003</v>
      </c>
      <c r="J72" s="32">
        <f t="shared" si="108"/>
        <v>0.18999999999999995</v>
      </c>
      <c r="K72" s="32">
        <f t="shared" si="108"/>
        <v>0.18999999999999997</v>
      </c>
      <c r="L72" s="312"/>
      <c r="M72" s="45"/>
      <c r="N72" s="45">
        <f t="shared" ref="N72:AK72" si="109">-N35/N34</f>
        <v>0.35458286830357144</v>
      </c>
      <c r="O72" s="45">
        <f t="shared" si="109"/>
        <v>0.3699975577402872</v>
      </c>
      <c r="P72" s="45">
        <f t="shared" si="109"/>
        <v>0.36644691371152099</v>
      </c>
      <c r="Q72" s="45">
        <f t="shared" si="109"/>
        <v>0.36373010717765497</v>
      </c>
      <c r="R72" s="45">
        <f t="shared" si="109"/>
        <v>0.37000019771833037</v>
      </c>
      <c r="S72" s="45">
        <f t="shared" si="109"/>
        <v>0.36999531349071441</v>
      </c>
      <c r="T72" s="45">
        <f t="shared" si="109"/>
        <v>0.3084137138782706</v>
      </c>
      <c r="U72" s="45">
        <f t="shared" si="109"/>
        <v>0.26919349465459252</v>
      </c>
      <c r="V72" s="45">
        <f t="shared" si="109"/>
        <v>0.36999704404374817</v>
      </c>
      <c r="W72" s="45">
        <f t="shared" si="109"/>
        <v>0.36999848589893775</v>
      </c>
      <c r="X72" s="45">
        <f t="shared" si="109"/>
        <v>0.37000462891529085</v>
      </c>
      <c r="Y72" s="45">
        <f t="shared" si="109"/>
        <v>0.35042190170088805</v>
      </c>
      <c r="Z72" s="45">
        <f t="shared" si="109"/>
        <v>0.36999578592498983</v>
      </c>
      <c r="AA72" s="45">
        <f t="shared" si="109"/>
        <v>0.36549793753683041</v>
      </c>
      <c r="AB72" s="45">
        <f t="shared" si="109"/>
        <v>0.34000134255219278</v>
      </c>
      <c r="AC72" s="45">
        <f t="shared" si="109"/>
        <v>0.3399968899562868</v>
      </c>
      <c r="AD72" s="45">
        <f t="shared" si="109"/>
        <v>0.3400039012625905</v>
      </c>
      <c r="AE72" s="45">
        <f t="shared" si="109"/>
        <v>0.33999655209214119</v>
      </c>
      <c r="AF72" s="45">
        <f t="shared" si="109"/>
        <v>0.2884806642241628</v>
      </c>
      <c r="AG72" s="45">
        <f t="shared" si="109"/>
        <v>0.25331246530355628</v>
      </c>
      <c r="AH72" s="45">
        <f t="shared" si="109"/>
        <v>0.33300353356890461</v>
      </c>
      <c r="AI72" s="45">
        <f t="shared" si="109"/>
        <v>0.32602933188484512</v>
      </c>
      <c r="AJ72" s="45">
        <f t="shared" si="109"/>
        <v>0.32655552204942628</v>
      </c>
      <c r="AK72" s="45">
        <f t="shared" si="109"/>
        <v>0.17050355046853222</v>
      </c>
      <c r="AL72" s="313">
        <v>0.19</v>
      </c>
      <c r="AM72" s="313">
        <f t="shared" ref="AM72:AW72" si="110">AL72</f>
        <v>0.19</v>
      </c>
      <c r="AN72" s="313">
        <f t="shared" si="110"/>
        <v>0.19</v>
      </c>
      <c r="AO72" s="313">
        <f t="shared" si="110"/>
        <v>0.19</v>
      </c>
      <c r="AP72" s="313">
        <f t="shared" si="110"/>
        <v>0.19</v>
      </c>
      <c r="AQ72" s="313">
        <f t="shared" si="110"/>
        <v>0.19</v>
      </c>
      <c r="AR72" s="313">
        <f t="shared" si="110"/>
        <v>0.19</v>
      </c>
      <c r="AS72" s="313">
        <f t="shared" si="110"/>
        <v>0.19</v>
      </c>
      <c r="AT72" s="313">
        <f t="shared" si="110"/>
        <v>0.19</v>
      </c>
      <c r="AU72" s="313">
        <f t="shared" si="110"/>
        <v>0.19</v>
      </c>
      <c r="AV72" s="313">
        <f t="shared" si="110"/>
        <v>0.19</v>
      </c>
      <c r="AW72" s="313">
        <f t="shared" si="110"/>
        <v>0.19</v>
      </c>
      <c r="AX72" s="205"/>
      <c r="AY72" s="205"/>
      <c r="AZ72" s="205"/>
      <c r="BA72" s="205"/>
      <c r="BB72" s="205"/>
      <c r="BC72" s="205"/>
      <c r="BD72" s="205"/>
      <c r="BE72" s="205"/>
      <c r="BF72" s="2">
        <f t="shared" si="10"/>
        <v>66</v>
      </c>
    </row>
    <row r="73" spans="1:58" ht="11.25" customHeight="1" outlineLevel="1">
      <c r="A73" s="11"/>
      <c r="B73" s="17"/>
      <c r="C73" s="13"/>
      <c r="D73" s="13"/>
      <c r="E73" s="13"/>
      <c r="F73" s="13"/>
      <c r="G73" s="13"/>
      <c r="H73" s="13"/>
      <c r="I73" s="13"/>
      <c r="J73" s="13"/>
      <c r="K73" s="13"/>
      <c r="L73" s="15"/>
      <c r="M73" s="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09"/>
      <c r="AY73" s="109"/>
      <c r="AZ73" s="109"/>
      <c r="BA73" s="109"/>
      <c r="BB73" s="109"/>
      <c r="BC73" s="109"/>
      <c r="BD73" s="109"/>
      <c r="BE73" s="109"/>
      <c r="BF73" s="2">
        <f t="shared" si="10"/>
        <v>67</v>
      </c>
    </row>
    <row r="74" spans="1:58" ht="11.25" customHeight="1" outlineLevel="1">
      <c r="A74" s="50" t="s">
        <v>5</v>
      </c>
      <c r="B74" s="150" t="s">
        <v>239</v>
      </c>
      <c r="C74" s="48"/>
      <c r="D74" s="48"/>
      <c r="E74" s="48"/>
      <c r="F74" s="48"/>
      <c r="G74" s="48"/>
      <c r="H74" s="48"/>
      <c r="I74" s="48"/>
      <c r="J74" s="48"/>
      <c r="K74" s="48"/>
      <c r="L74" s="49"/>
      <c r="M74" s="3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51"/>
      <c r="AG74" s="51"/>
      <c r="AH74" s="51"/>
      <c r="AI74" s="51"/>
      <c r="AJ74" s="51"/>
      <c r="AK74" s="51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5"/>
      <c r="AY74" s="5"/>
      <c r="AZ74" s="5"/>
      <c r="BA74" s="5"/>
      <c r="BB74" s="5"/>
      <c r="BC74" s="5"/>
      <c r="BD74" s="5"/>
      <c r="BE74" s="5"/>
      <c r="BF74" s="2">
        <f t="shared" ref="BF74:BF137" si="111">BF73+1</f>
        <v>68</v>
      </c>
    </row>
    <row r="75" spans="1:58" ht="11.25" hidden="1" customHeight="1" outlineLevel="2">
      <c r="A75" s="50"/>
      <c r="B75" s="136" t="s">
        <v>172</v>
      </c>
      <c r="C75" s="48"/>
      <c r="D75" s="48"/>
      <c r="E75" s="48"/>
      <c r="F75" s="48"/>
      <c r="G75" s="48"/>
      <c r="H75" s="48"/>
      <c r="I75" s="48"/>
      <c r="J75" s="48"/>
      <c r="K75" s="48"/>
      <c r="L75" s="49"/>
      <c r="M75" s="3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51"/>
      <c r="AG75" s="51"/>
      <c r="AH75" s="51"/>
      <c r="AI75" s="51"/>
      <c r="AJ75" s="51"/>
      <c r="AK75" s="51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  <c r="AW75" s="79"/>
      <c r="AX75" s="5"/>
      <c r="AY75" s="5"/>
      <c r="AZ75" s="5"/>
      <c r="BA75" s="5"/>
      <c r="BB75" s="5"/>
      <c r="BC75" s="5"/>
      <c r="BD75" s="5"/>
      <c r="BE75" s="5"/>
      <c r="BF75" s="2">
        <f t="shared" si="111"/>
        <v>69</v>
      </c>
    </row>
    <row r="76" spans="1:58" ht="11.25" hidden="1" customHeight="1" outlineLevel="2">
      <c r="A76" s="50"/>
      <c r="B76" s="201" t="s">
        <v>9</v>
      </c>
      <c r="C76" s="164">
        <f t="shared" ref="C76:K81" si="112">SUMIFS($N76:$AX76,$N$4:$AX$4,C$4)</f>
        <v>-150.68700000000001</v>
      </c>
      <c r="D76" s="164">
        <f t="shared" si="112"/>
        <v>-169.29599999999999</v>
      </c>
      <c r="E76" s="162">
        <f t="shared" si="112"/>
        <v>-187.82500000000002</v>
      </c>
      <c r="F76" s="162">
        <f t="shared" si="112"/>
        <v>-194.06099999999998</v>
      </c>
      <c r="G76" s="162">
        <f t="shared" si="112"/>
        <v>-161.37799999999999</v>
      </c>
      <c r="H76" s="162">
        <f t="shared" si="112"/>
        <v>-131.39400000000001</v>
      </c>
      <c r="I76" s="51">
        <f t="shared" si="112"/>
        <v>-104.828</v>
      </c>
      <c r="J76" s="51">
        <f t="shared" si="112"/>
        <v>-86.812946604507246</v>
      </c>
      <c r="K76" s="51">
        <f t="shared" si="112"/>
        <v>-79.979308140774151</v>
      </c>
      <c r="L76" s="49"/>
      <c r="M76" s="3"/>
      <c r="N76" s="202">
        <v>-36.159999999999997</v>
      </c>
      <c r="O76" s="202">
        <v>-37.256</v>
      </c>
      <c r="P76" s="202">
        <v>-37.783999999999999</v>
      </c>
      <c r="Q76" s="202">
        <v>-39.487000000000023</v>
      </c>
      <c r="R76" s="202">
        <v>-41.344000000000001</v>
      </c>
      <c r="S76" s="202">
        <v>-42.033000000000001</v>
      </c>
      <c r="T76" s="202">
        <v>-42.39</v>
      </c>
      <c r="U76" s="202">
        <v>-43.528999999999989</v>
      </c>
      <c r="V76" s="202">
        <v>-45.017000000000003</v>
      </c>
      <c r="W76" s="202">
        <v>-47.344000000000001</v>
      </c>
      <c r="X76" s="202">
        <v>-47.904000000000003</v>
      </c>
      <c r="Y76" s="202">
        <v>-47.559999999999995</v>
      </c>
      <c r="Z76" s="202">
        <v>-49.084000000000003</v>
      </c>
      <c r="AA76" s="202">
        <v>-49.728999999999999</v>
      </c>
      <c r="AB76" s="202">
        <v>-48.680999999999997</v>
      </c>
      <c r="AC76" s="202">
        <v>-46.566999999999993</v>
      </c>
      <c r="AD76" s="202">
        <v>-46.783999999999999</v>
      </c>
      <c r="AE76" s="202">
        <v>-44.353000000000002</v>
      </c>
      <c r="AF76" s="202">
        <v>-39.612000000000002</v>
      </c>
      <c r="AG76" s="202">
        <f>-161.378-AF76-AE76-AD76</f>
        <v>-30.628999999999984</v>
      </c>
      <c r="AH76" s="200">
        <f t="shared" ref="AH76:AK76" si="113">+AH26-AH18</f>
        <v>-34.728999999999999</v>
      </c>
      <c r="AI76" s="200">
        <f t="shared" si="113"/>
        <v>-33.619</v>
      </c>
      <c r="AJ76" s="200">
        <f t="shared" si="113"/>
        <v>-31.838999999999999</v>
      </c>
      <c r="AK76" s="200">
        <f t="shared" si="113"/>
        <v>-31.207000000000001</v>
      </c>
      <c r="AL76" s="200">
        <f>+AK76+2</f>
        <v>-29.207000000000001</v>
      </c>
      <c r="AM76" s="200">
        <f>+AL76+2</f>
        <v>-27.207000000000001</v>
      </c>
      <c r="AN76" s="200">
        <f>+AM76+2</f>
        <v>-25.207000000000001</v>
      </c>
      <c r="AO76" s="200">
        <f>+AN76+2</f>
        <v>-23.207000000000001</v>
      </c>
      <c r="AP76" s="200">
        <f t="shared" ref="AP76" si="114">+AO76/AO$81*AP$81</f>
        <v>-22.547477536764699</v>
      </c>
      <c r="AQ76" s="200">
        <f t="shared" ref="AQ76" si="115">+AP76/AP$81*AQ$81</f>
        <v>-21.986445645519282</v>
      </c>
      <c r="AR76" s="200">
        <f t="shared" ref="AR76" si="116">+AQ76/AQ$81*AR$81</f>
        <v>-21.422454053201626</v>
      </c>
      <c r="AS76" s="200">
        <f t="shared" ref="AS76" si="117">+AR76/AR$81*AS$81</f>
        <v>-20.856569369021638</v>
      </c>
      <c r="AT76" s="200">
        <f t="shared" ref="AT76" si="118">+AS76/AS$81*AT$81</f>
        <v>-20.289821063875927</v>
      </c>
      <c r="AU76" s="200">
        <f t="shared" ref="AU76" si="119">+AT76/AT$81*AU$81</f>
        <v>-20.098561706073475</v>
      </c>
      <c r="AV76" s="200">
        <f t="shared" ref="AV76" si="120">+AU76/AU$81*AV$81</f>
        <v>-19.899103851304591</v>
      </c>
      <c r="AW76" s="200">
        <f t="shared" ref="AW76" si="121">+AV76/AV$81*AW$81</f>
        <v>-19.691821519520165</v>
      </c>
      <c r="AX76" s="5"/>
      <c r="AY76" s="5"/>
      <c r="AZ76" s="5"/>
      <c r="BA76" s="5"/>
      <c r="BB76" s="5"/>
      <c r="BC76" s="5"/>
      <c r="BD76" s="5"/>
      <c r="BE76" s="5"/>
      <c r="BF76" s="2">
        <f t="shared" si="111"/>
        <v>70</v>
      </c>
    </row>
    <row r="77" spans="1:58" ht="11.25" hidden="1" customHeight="1" outlineLevel="2">
      <c r="A77" s="50"/>
      <c r="B77" s="201" t="s">
        <v>8</v>
      </c>
      <c r="C77" s="164">
        <f t="shared" si="112"/>
        <v>-171.852</v>
      </c>
      <c r="D77" s="164">
        <f t="shared" si="112"/>
        <v>-215.506</v>
      </c>
      <c r="E77" s="162">
        <f t="shared" si="112"/>
        <v>-233.47900000000004</v>
      </c>
      <c r="F77" s="162">
        <f t="shared" si="112"/>
        <v>-225.667</v>
      </c>
      <c r="G77" s="162">
        <f t="shared" si="112"/>
        <v>-209.45499999999998</v>
      </c>
      <c r="H77" s="162">
        <f t="shared" si="112"/>
        <v>-193.09800000000001</v>
      </c>
      <c r="I77" s="51">
        <f t="shared" si="112"/>
        <v>-213.07183698080107</v>
      </c>
      <c r="J77" s="51">
        <f t="shared" si="112"/>
        <v>-199.89982614389925</v>
      </c>
      <c r="K77" s="51">
        <f t="shared" si="112"/>
        <v>-184.16434895691035</v>
      </c>
      <c r="L77" s="49"/>
      <c r="M77" s="3"/>
      <c r="N77" s="202">
        <v>-24.475999999999999</v>
      </c>
      <c r="O77" s="202">
        <v>-47.01</v>
      </c>
      <c r="P77" s="202">
        <v>-48.107999999999997</v>
      </c>
      <c r="Q77" s="202">
        <v>-52.25800000000001</v>
      </c>
      <c r="R77" s="202">
        <v>-53.822000000000003</v>
      </c>
      <c r="S77" s="202">
        <v>-51.622999999999998</v>
      </c>
      <c r="T77" s="202">
        <v>-52.576000000000001</v>
      </c>
      <c r="U77" s="202">
        <v>-57.485000000000014</v>
      </c>
      <c r="V77" s="202">
        <v>-60.603999999999999</v>
      </c>
      <c r="W77" s="202">
        <v>-55.381999999999998</v>
      </c>
      <c r="X77" s="202">
        <v>-59.009</v>
      </c>
      <c r="Y77" s="202">
        <v>-58.484000000000023</v>
      </c>
      <c r="Z77" s="202">
        <v>-59.811</v>
      </c>
      <c r="AA77" s="202">
        <v>-55.478999999999999</v>
      </c>
      <c r="AB77" s="202">
        <v>-53.853999999999999</v>
      </c>
      <c r="AC77" s="202">
        <v>-56.522999999999989</v>
      </c>
      <c r="AD77" s="202">
        <v>-54.627000000000002</v>
      </c>
      <c r="AE77" s="202">
        <v>-52.911999999999999</v>
      </c>
      <c r="AF77" s="202">
        <v>-51.345999999999997</v>
      </c>
      <c r="AG77" s="202">
        <f>-209.455-AF77-AE77-AD77</f>
        <v>-50.57</v>
      </c>
      <c r="AH77" s="200">
        <f t="shared" ref="AH77:AK77" si="122">+AH27-AH19</f>
        <v>-49.146999999999998</v>
      </c>
      <c r="AI77" s="200">
        <f t="shared" si="122"/>
        <v>-44.621000000000002</v>
      </c>
      <c r="AJ77" s="200">
        <f t="shared" si="122"/>
        <v>-48.131</v>
      </c>
      <c r="AK77" s="200">
        <f t="shared" si="122"/>
        <v>-51.198999999999998</v>
      </c>
      <c r="AL77" s="200">
        <f>+AL81-SUM(AL76,AL78:AL80)</f>
        <v>-52.767453495095985</v>
      </c>
      <c r="AM77" s="200">
        <f t="shared" ref="AM77:AW77" si="123">+AM81-SUM(AM76,AM78:AM80)</f>
        <v>-53.255813044010466</v>
      </c>
      <c r="AN77" s="200">
        <f t="shared" si="123"/>
        <v>-53.61097332319509</v>
      </c>
      <c r="AO77" s="200">
        <f t="shared" si="123"/>
        <v>-53.437597118499525</v>
      </c>
      <c r="AP77" s="200">
        <f t="shared" si="123"/>
        <v>-51.918947759212735</v>
      </c>
      <c r="AQ77" s="200">
        <f t="shared" si="123"/>
        <v>-50.627087709443167</v>
      </c>
      <c r="AR77" s="200">
        <f t="shared" si="123"/>
        <v>-49.328412504182168</v>
      </c>
      <c r="AS77" s="200">
        <f t="shared" si="123"/>
        <v>-48.025378171061149</v>
      </c>
      <c r="AT77" s="200">
        <f t="shared" si="123"/>
        <v>-46.720355221176668</v>
      </c>
      <c r="AU77" s="200">
        <f t="shared" si="123"/>
        <v>-46.279951872730507</v>
      </c>
      <c r="AV77" s="200">
        <f t="shared" si="123"/>
        <v>-45.820670255750287</v>
      </c>
      <c r="AW77" s="200">
        <f t="shared" si="123"/>
        <v>-45.343371607252884</v>
      </c>
      <c r="AX77" s="5"/>
      <c r="AY77" s="5"/>
      <c r="AZ77" s="5"/>
      <c r="BA77" s="5"/>
      <c r="BB77" s="5"/>
      <c r="BC77" s="5"/>
      <c r="BD77" s="5"/>
      <c r="BE77" s="5"/>
      <c r="BF77" s="2">
        <f t="shared" si="111"/>
        <v>71</v>
      </c>
    </row>
    <row r="78" spans="1:58" ht="11.25" hidden="1" customHeight="1" outlineLevel="2">
      <c r="A78" s="50"/>
      <c r="B78" s="203" t="s">
        <v>6</v>
      </c>
      <c r="C78" s="164">
        <f t="shared" si="112"/>
        <v>-135.91</v>
      </c>
      <c r="D78" s="164">
        <f t="shared" si="112"/>
        <v>-178.44200000000001</v>
      </c>
      <c r="E78" s="162">
        <f t="shared" si="112"/>
        <v>-165.14400000000001</v>
      </c>
      <c r="F78" s="162">
        <f t="shared" si="112"/>
        <v>-130.267</v>
      </c>
      <c r="G78" s="162">
        <f t="shared" si="112"/>
        <v>-95.415999999999997</v>
      </c>
      <c r="H78" s="162">
        <f t="shared" si="112"/>
        <v>-78.998999999999995</v>
      </c>
      <c r="I78" s="51">
        <f t="shared" si="112"/>
        <v>-72.849313418263804</v>
      </c>
      <c r="J78" s="51">
        <f t="shared" si="112"/>
        <v>-65.702545938170843</v>
      </c>
      <c r="K78" s="51">
        <f t="shared" si="112"/>
        <v>-60.53065093115395</v>
      </c>
      <c r="L78" s="49"/>
      <c r="M78" s="3"/>
      <c r="N78" s="202">
        <v>-27.721</v>
      </c>
      <c r="O78" s="202">
        <v>-37.115000000000002</v>
      </c>
      <c r="P78" s="202">
        <v>-34.509</v>
      </c>
      <c r="Q78" s="202">
        <v>-36.564999999999998</v>
      </c>
      <c r="R78" s="202">
        <v>-41.877000000000002</v>
      </c>
      <c r="S78" s="202">
        <v>-45.930999999999997</v>
      </c>
      <c r="T78" s="202">
        <v>-45.554000000000002</v>
      </c>
      <c r="U78" s="202">
        <v>-45.080000000000005</v>
      </c>
      <c r="V78" s="202">
        <v>-41.808</v>
      </c>
      <c r="W78" s="202">
        <v>-40.18</v>
      </c>
      <c r="X78" s="202">
        <v>-41.225000000000001</v>
      </c>
      <c r="Y78" s="202">
        <v>-41.931000000000004</v>
      </c>
      <c r="Z78" s="202">
        <v>-39.159999999999997</v>
      </c>
      <c r="AA78" s="202">
        <v>-36.670999999999999</v>
      </c>
      <c r="AB78" s="202">
        <v>-30.158999999999999</v>
      </c>
      <c r="AC78" s="202">
        <v>-24.277000000000008</v>
      </c>
      <c r="AD78" s="202">
        <v>-23.585000000000001</v>
      </c>
      <c r="AE78" s="202">
        <v>-22.986999999999998</v>
      </c>
      <c r="AF78" s="202">
        <v>-21.469000000000001</v>
      </c>
      <c r="AG78" s="202">
        <f>-95.416-AF78-AE78-AD78</f>
        <v>-27.375000000000007</v>
      </c>
      <c r="AH78" s="200">
        <f t="shared" ref="AH78:AK78" si="124">+AH28-AH20</f>
        <v>-20.589000000000002</v>
      </c>
      <c r="AI78" s="200">
        <f t="shared" si="124"/>
        <v>-20.192999999999998</v>
      </c>
      <c r="AJ78" s="200">
        <f t="shared" si="124"/>
        <v>-19.332999999999998</v>
      </c>
      <c r="AK78" s="200">
        <f t="shared" si="124"/>
        <v>-18.884</v>
      </c>
      <c r="AL78" s="200">
        <f t="shared" ref="AL78:AW78" si="125">+AK78/AK$81*AL$81</f>
        <v>-18.785107635383255</v>
      </c>
      <c r="AM78" s="200">
        <f t="shared" si="125"/>
        <v>-18.438703025545394</v>
      </c>
      <c r="AN78" s="200">
        <f t="shared" si="125"/>
        <v>-18.061774727995729</v>
      </c>
      <c r="AO78" s="200">
        <f t="shared" si="125"/>
        <v>-17.563728029339426</v>
      </c>
      <c r="AP78" s="200">
        <f t="shared" si="125"/>
        <v>-17.064582376152678</v>
      </c>
      <c r="AQ78" s="200">
        <f t="shared" si="125"/>
        <v>-16.639977233151843</v>
      </c>
      <c r="AR78" s="200">
        <f t="shared" si="125"/>
        <v>-16.213132102876433</v>
      </c>
      <c r="AS78" s="200">
        <f t="shared" si="125"/>
        <v>-15.784854225989891</v>
      </c>
      <c r="AT78" s="200">
        <f t="shared" si="125"/>
        <v>-15.355922735807258</v>
      </c>
      <c r="AU78" s="200">
        <f t="shared" si="125"/>
        <v>-15.211172128511684</v>
      </c>
      <c r="AV78" s="200">
        <f t="shared" si="125"/>
        <v>-15.060216661864716</v>
      </c>
      <c r="AW78" s="200">
        <f t="shared" si="125"/>
        <v>-14.903339404970291</v>
      </c>
      <c r="AX78" s="5"/>
      <c r="AY78" s="5"/>
      <c r="AZ78" s="5"/>
      <c r="BA78" s="5"/>
      <c r="BB78" s="5"/>
      <c r="BC78" s="5"/>
      <c r="BD78" s="5"/>
      <c r="BE78" s="5"/>
      <c r="BF78" s="2">
        <f t="shared" si="111"/>
        <v>72</v>
      </c>
    </row>
    <row r="79" spans="1:58" ht="11.25" hidden="1" customHeight="1" outlineLevel="2">
      <c r="A79" s="50"/>
      <c r="B79" s="201" t="s">
        <v>162</v>
      </c>
      <c r="C79" s="164">
        <f t="shared" si="112"/>
        <v>-50.832000000000008</v>
      </c>
      <c r="D79" s="164">
        <f t="shared" si="112"/>
        <v>-41.197000000000003</v>
      </c>
      <c r="E79" s="162">
        <f t="shared" si="112"/>
        <v>-64.366</v>
      </c>
      <c r="F79" s="162">
        <f t="shared" si="112"/>
        <v>-62.152000000000001</v>
      </c>
      <c r="G79" s="162">
        <f t="shared" si="112"/>
        <v>-43.722000000000001</v>
      </c>
      <c r="H79" s="162">
        <f t="shared" si="112"/>
        <v>-29.506000000000004</v>
      </c>
      <c r="I79" s="51">
        <f t="shared" si="112"/>
        <v>-18.694544208054779</v>
      </c>
      <c r="J79" s="51">
        <f t="shared" si="112"/>
        <v>-16.860545309064605</v>
      </c>
      <c r="K79" s="51">
        <f t="shared" si="112"/>
        <v>-15.533336920799201</v>
      </c>
      <c r="L79" s="49"/>
      <c r="M79" s="3"/>
      <c r="N79" s="202">
        <v>-14.239000000000001</v>
      </c>
      <c r="O79" s="202">
        <v>-14.135</v>
      </c>
      <c r="P79" s="202">
        <v>-7.7590000000000003</v>
      </c>
      <c r="Q79" s="202">
        <v>-14.699000000000002</v>
      </c>
      <c r="R79" s="202">
        <v>-7.9210000000000003</v>
      </c>
      <c r="S79" s="202">
        <v>-9.8529999999999998</v>
      </c>
      <c r="T79" s="202">
        <v>-11.507999999999999</v>
      </c>
      <c r="U79" s="202">
        <v>-11.915000000000006</v>
      </c>
      <c r="V79" s="202">
        <v>-14.888999999999999</v>
      </c>
      <c r="W79" s="202">
        <v>-18.059000000000001</v>
      </c>
      <c r="X79" s="202">
        <v>-22.015999999999998</v>
      </c>
      <c r="Y79" s="202">
        <v>-9.402000000000001</v>
      </c>
      <c r="Z79" s="202">
        <v>-14.164999999999999</v>
      </c>
      <c r="AA79" s="202">
        <v>-16.472999999999999</v>
      </c>
      <c r="AB79" s="202">
        <v>-14.063000000000001</v>
      </c>
      <c r="AC79" s="202">
        <v>-17.451000000000001</v>
      </c>
      <c r="AD79" s="202">
        <v>-11.676</v>
      </c>
      <c r="AE79" s="202">
        <v>-11.785</v>
      </c>
      <c r="AF79" s="202">
        <v>-10.881</v>
      </c>
      <c r="AG79" s="202">
        <f>-43.722-AF79-AE79-AD79</f>
        <v>-9.3800000000000008</v>
      </c>
      <c r="AH79" s="200">
        <f t="shared" ref="AH79:AK79" si="126">+AH29-AH21</f>
        <v>-8.3759999999999994</v>
      </c>
      <c r="AI79" s="200">
        <f t="shared" si="126"/>
        <v>-8.2550000000000008</v>
      </c>
      <c r="AJ79" s="200">
        <f t="shared" si="126"/>
        <v>-8.0290000000000017</v>
      </c>
      <c r="AK79" s="200">
        <f t="shared" si="126"/>
        <v>-4.8460000000000001</v>
      </c>
      <c r="AL79" s="200">
        <f t="shared" ref="AL79:AW79" si="127">+AK79/AK$81*AL$81</f>
        <v>-4.8206223046530008</v>
      </c>
      <c r="AM79" s="200">
        <f t="shared" si="127"/>
        <v>-4.7317281752696987</v>
      </c>
      <c r="AN79" s="200">
        <f t="shared" si="127"/>
        <v>-4.6350010766716441</v>
      </c>
      <c r="AO79" s="200">
        <f t="shared" si="127"/>
        <v>-4.5071926514604366</v>
      </c>
      <c r="AP79" s="200">
        <f t="shared" si="127"/>
        <v>-4.3791022132406212</v>
      </c>
      <c r="AQ79" s="200">
        <f t="shared" si="127"/>
        <v>-4.2701403130615248</v>
      </c>
      <c r="AR79" s="200">
        <f t="shared" si="127"/>
        <v>-4.1606035887809369</v>
      </c>
      <c r="AS79" s="200">
        <f t="shared" si="127"/>
        <v>-4.0506991939815205</v>
      </c>
      <c r="AT79" s="200">
        <f t="shared" si="127"/>
        <v>-3.9406270693561738</v>
      </c>
      <c r="AU79" s="200">
        <f t="shared" si="127"/>
        <v>-3.903481261108221</v>
      </c>
      <c r="AV79" s="200">
        <f t="shared" si="127"/>
        <v>-3.86474316582273</v>
      </c>
      <c r="AW79" s="200">
        <f t="shared" si="127"/>
        <v>-3.8244854245120763</v>
      </c>
      <c r="AX79" s="5"/>
      <c r="AY79" s="5"/>
      <c r="AZ79" s="5"/>
      <c r="BA79" s="5"/>
      <c r="BB79" s="5"/>
      <c r="BC79" s="5"/>
      <c r="BD79" s="5"/>
      <c r="BE79" s="5"/>
      <c r="BF79" s="2">
        <f t="shared" si="111"/>
        <v>73</v>
      </c>
    </row>
    <row r="80" spans="1:58" ht="11.25" hidden="1" customHeight="1" outlineLevel="2">
      <c r="A80" s="50"/>
      <c r="B80" s="201" t="s">
        <v>798</v>
      </c>
      <c r="C80" s="315">
        <f t="shared" si="112"/>
        <v>0</v>
      </c>
      <c r="D80" s="315">
        <f t="shared" si="112"/>
        <v>0</v>
      </c>
      <c r="E80" s="316">
        <f t="shared" si="112"/>
        <v>0</v>
      </c>
      <c r="F80" s="316">
        <f t="shared" si="112"/>
        <v>0</v>
      </c>
      <c r="G80" s="316">
        <f t="shared" si="112"/>
        <v>0</v>
      </c>
      <c r="H80" s="162">
        <f t="shared" si="112"/>
        <v>-5.7190000000000047</v>
      </c>
      <c r="I80" s="51">
        <f t="shared" si="112"/>
        <v>-5.5126916370842594</v>
      </c>
      <c r="J80" s="51">
        <f t="shared" si="112"/>
        <v>-4.9718776819342452</v>
      </c>
      <c r="K80" s="51">
        <f t="shared" si="112"/>
        <v>-4.5805073173384425</v>
      </c>
      <c r="L80" s="49"/>
      <c r="M80" s="3"/>
      <c r="N80" s="193">
        <v>0</v>
      </c>
      <c r="O80" s="193">
        <v>0</v>
      </c>
      <c r="P80" s="193">
        <v>0</v>
      </c>
      <c r="Q80" s="193">
        <v>0</v>
      </c>
      <c r="R80" s="193">
        <v>0</v>
      </c>
      <c r="S80" s="193">
        <v>0</v>
      </c>
      <c r="T80" s="193">
        <v>0</v>
      </c>
      <c r="U80" s="193">
        <v>0</v>
      </c>
      <c r="V80" s="193">
        <v>0</v>
      </c>
      <c r="W80" s="193">
        <v>0</v>
      </c>
      <c r="X80" s="193">
        <v>0</v>
      </c>
      <c r="Y80" s="193">
        <v>0</v>
      </c>
      <c r="Z80" s="193">
        <v>0</v>
      </c>
      <c r="AA80" s="193">
        <v>0</v>
      </c>
      <c r="AB80" s="193">
        <v>0</v>
      </c>
      <c r="AC80" s="193">
        <v>0</v>
      </c>
      <c r="AD80" s="193">
        <v>0</v>
      </c>
      <c r="AE80" s="193">
        <v>0</v>
      </c>
      <c r="AF80" s="193">
        <v>0</v>
      </c>
      <c r="AG80" s="193">
        <v>0</v>
      </c>
      <c r="AH80" s="200">
        <f>+AH30-AH22</f>
        <v>-1.4400000000000013</v>
      </c>
      <c r="AI80" s="200">
        <f t="shared" ref="AI80:AK80" si="128">+AI30-AI22</f>
        <v>-1.4310000000000009</v>
      </c>
      <c r="AJ80" s="200">
        <f t="shared" si="128"/>
        <v>-1.4190000000000005</v>
      </c>
      <c r="AK80" s="200">
        <f t="shared" si="128"/>
        <v>-1.429000000000002</v>
      </c>
      <c r="AL80" s="200">
        <f t="shared" ref="AL80:AW80" si="129">+AK80/AK$81*AL$81</f>
        <v>-1.4215165648677566</v>
      </c>
      <c r="AM80" s="200">
        <f t="shared" si="129"/>
        <v>-1.3953032526744549</v>
      </c>
      <c r="AN80" s="200">
        <f t="shared" si="129"/>
        <v>-1.3667801358984293</v>
      </c>
      <c r="AO80" s="200">
        <f t="shared" si="129"/>
        <v>-1.329091683643618</v>
      </c>
      <c r="AP80" s="200">
        <f t="shared" si="129"/>
        <v>-1.2913200707224219</v>
      </c>
      <c r="AQ80" s="200">
        <f t="shared" si="129"/>
        <v>-1.2591891265713842</v>
      </c>
      <c r="AR80" s="200">
        <f t="shared" si="129"/>
        <v>-1.2268886769228162</v>
      </c>
      <c r="AS80" s="200">
        <f t="shared" si="129"/>
        <v>-1.1944798077176231</v>
      </c>
      <c r="AT80" s="200">
        <f t="shared" si="129"/>
        <v>-1.1620214779426292</v>
      </c>
      <c r="AU80" s="200">
        <f t="shared" si="129"/>
        <v>-1.1510678337027767</v>
      </c>
      <c r="AV80" s="200">
        <f t="shared" si="129"/>
        <v>-1.1396446520760812</v>
      </c>
      <c r="AW80" s="200">
        <f t="shared" si="129"/>
        <v>-1.1277733536169552</v>
      </c>
      <c r="AX80" s="5"/>
      <c r="AY80" s="5"/>
      <c r="AZ80" s="5"/>
      <c r="BA80" s="5"/>
      <c r="BB80" s="5"/>
      <c r="BC80" s="5"/>
      <c r="BD80" s="5"/>
      <c r="BE80" s="5"/>
      <c r="BF80" s="2">
        <f t="shared" si="111"/>
        <v>74</v>
      </c>
    </row>
    <row r="81" spans="1:58" ht="11.25" hidden="1" customHeight="1" outlineLevel="2">
      <c r="A81" s="50"/>
      <c r="B81" s="204" t="s">
        <v>171</v>
      </c>
      <c r="C81" s="51">
        <f t="shared" si="112"/>
        <v>-509.28099999999995</v>
      </c>
      <c r="D81" s="51">
        <f t="shared" si="112"/>
        <v>-604.44100000000003</v>
      </c>
      <c r="E81" s="51">
        <f t="shared" si="112"/>
        <v>-650.81400000000008</v>
      </c>
      <c r="F81" s="51">
        <f t="shared" si="112"/>
        <v>-612.14700000000005</v>
      </c>
      <c r="G81" s="51">
        <f t="shared" si="112"/>
        <v>-509.971</v>
      </c>
      <c r="H81" s="51">
        <f t="shared" si="112"/>
        <v>-438.71600000000001</v>
      </c>
      <c r="I81" s="51">
        <f t="shared" si="112"/>
        <v>-414.95638624420394</v>
      </c>
      <c r="J81" s="51">
        <f t="shared" si="112"/>
        <v>-374.24774167757613</v>
      </c>
      <c r="K81" s="51">
        <f t="shared" si="112"/>
        <v>-344.78815226697611</v>
      </c>
      <c r="L81" s="108"/>
      <c r="M81" s="51"/>
      <c r="N81" s="40">
        <v>-102.596</v>
      </c>
      <c r="O81" s="40">
        <v>-135.51599999999999</v>
      </c>
      <c r="P81" s="40">
        <v>-128.16</v>
      </c>
      <c r="Q81" s="40">
        <v>-143.00899999999999</v>
      </c>
      <c r="R81" s="40">
        <v>-144.964</v>
      </c>
      <c r="S81" s="40">
        <v>-149.44</v>
      </c>
      <c r="T81" s="40">
        <v>-152.02799999999999</v>
      </c>
      <c r="U81" s="40">
        <f>-604.441-T81-S81-R81</f>
        <v>-158.00900000000001</v>
      </c>
      <c r="V81" s="40">
        <v>-162.31800000000001</v>
      </c>
      <c r="W81" s="40">
        <v>-160.965</v>
      </c>
      <c r="X81" s="40">
        <v>-170.154</v>
      </c>
      <c r="Y81" s="40">
        <v>-157.37700000000001</v>
      </c>
      <c r="Z81" s="40">
        <v>-162.22</v>
      </c>
      <c r="AA81" s="40">
        <v>-158.352</v>
      </c>
      <c r="AB81" s="40">
        <v>-146.75700000000001</v>
      </c>
      <c r="AC81" s="40">
        <v>-144.81800000000001</v>
      </c>
      <c r="AD81" s="40">
        <v>-136.672</v>
      </c>
      <c r="AE81" s="40">
        <v>-132.03700000000001</v>
      </c>
      <c r="AF81" s="40">
        <v>-123.30800000000001</v>
      </c>
      <c r="AG81" s="40">
        <v>-117.95399999999999</v>
      </c>
      <c r="AH81" s="40">
        <v>-114.28100000000001</v>
      </c>
      <c r="AI81" s="40">
        <v>-108.119</v>
      </c>
      <c r="AJ81" s="40">
        <v>-108.751</v>
      </c>
      <c r="AK81" s="40">
        <v>-107.565</v>
      </c>
      <c r="AL81" s="53">
        <f t="shared" ref="AL81:AW81" si="130">-AL82/4*AK202</f>
        <v>-107.0017</v>
      </c>
      <c r="AM81" s="53">
        <f t="shared" si="130"/>
        <v>-105.02854749750001</v>
      </c>
      <c r="AN81" s="53">
        <f t="shared" si="130"/>
        <v>-102.8815292637609</v>
      </c>
      <c r="AO81" s="53">
        <f t="shared" si="130"/>
        <v>-100.044609482943</v>
      </c>
      <c r="AP81" s="53">
        <f t="shared" si="130"/>
        <v>-97.201429956093151</v>
      </c>
      <c r="AQ81" s="53">
        <f t="shared" si="130"/>
        <v>-94.782840027747199</v>
      </c>
      <c r="AR81" s="53">
        <f t="shared" si="130"/>
        <v>-92.351490925963986</v>
      </c>
      <c r="AS81" s="53">
        <f t="shared" si="130"/>
        <v>-89.911980767771823</v>
      </c>
      <c r="AT81" s="53">
        <f t="shared" si="130"/>
        <v>-87.468747568158662</v>
      </c>
      <c r="AU81" s="53">
        <f t="shared" si="130"/>
        <v>-86.644234802126661</v>
      </c>
      <c r="AV81" s="53">
        <f t="shared" si="130"/>
        <v>-85.784378586818406</v>
      </c>
      <c r="AW81" s="53">
        <f t="shared" si="130"/>
        <v>-84.89079130987237</v>
      </c>
      <c r="AX81" s="53"/>
      <c r="AY81" s="53"/>
      <c r="AZ81" s="53"/>
      <c r="BA81" s="53"/>
      <c r="BB81" s="53"/>
      <c r="BC81" s="53"/>
      <c r="BD81" s="53"/>
      <c r="BE81" s="53"/>
      <c r="BF81" s="2">
        <f t="shared" si="111"/>
        <v>75</v>
      </c>
    </row>
    <row r="82" spans="1:58" ht="11.25" hidden="1" customHeight="1" outlineLevel="2">
      <c r="A82" s="50"/>
      <c r="B82" s="278" t="s">
        <v>241</v>
      </c>
      <c r="C82" s="34"/>
      <c r="D82" s="34">
        <f t="shared" ref="D82:K82" si="131">-D81/C202</f>
        <v>0.18568360970994285</v>
      </c>
      <c r="E82" s="34">
        <f t="shared" si="131"/>
        <v>0.21677946195349138</v>
      </c>
      <c r="F82" s="34">
        <f t="shared" si="131"/>
        <v>0.2239147952750693</v>
      </c>
      <c r="G82" s="34">
        <f t="shared" si="131"/>
        <v>0.24017951378308483</v>
      </c>
      <c r="H82" s="34">
        <f t="shared" si="131"/>
        <v>0.27328115413005771</v>
      </c>
      <c r="I82" s="34">
        <f t="shared" si="131"/>
        <v>0.31509038064200451</v>
      </c>
      <c r="J82" s="34">
        <f t="shared" si="131"/>
        <v>0.3320822310358153</v>
      </c>
      <c r="K82" s="34">
        <f t="shared" si="131"/>
        <v>0.35969325923919698</v>
      </c>
      <c r="L82" s="179"/>
      <c r="M82" s="34"/>
      <c r="N82" s="34"/>
      <c r="O82" s="34">
        <f t="shared" ref="O82:AK82" si="132">-O81*4/N202</f>
        <v>0.19595200827094578</v>
      </c>
      <c r="P82" s="34">
        <f t="shared" si="132"/>
        <v>0.17539387838960885</v>
      </c>
      <c r="Q82" s="34">
        <f t="shared" si="132"/>
        <v>0.18083674725513729</v>
      </c>
      <c r="R82" s="34">
        <f t="shared" si="132"/>
        <v>0.17813112477804879</v>
      </c>
      <c r="S82" s="34">
        <f t="shared" si="132"/>
        <v>0.18562735717956719</v>
      </c>
      <c r="T82" s="34">
        <f t="shared" si="132"/>
        <v>0.18828273495942913</v>
      </c>
      <c r="U82" s="34">
        <f t="shared" si="132"/>
        <v>0.19523252042565681</v>
      </c>
      <c r="V82" s="34">
        <f t="shared" si="132"/>
        <v>0.2162658375841135</v>
      </c>
      <c r="W82" s="34">
        <f t="shared" si="132"/>
        <v>0.23165889804972037</v>
      </c>
      <c r="X82" s="34">
        <f t="shared" si="132"/>
        <v>0.24711536087579747</v>
      </c>
      <c r="Y82" s="34">
        <f t="shared" si="132"/>
        <v>0.23293267202756526</v>
      </c>
      <c r="Z82" s="34">
        <f t="shared" si="132"/>
        <v>0.23735121197700376</v>
      </c>
      <c r="AA82" s="34">
        <f t="shared" si="132"/>
        <v>0.23542468642340747</v>
      </c>
      <c r="AB82" s="34">
        <f t="shared" si="132"/>
        <v>0.23847135372552081</v>
      </c>
      <c r="AC82" s="34">
        <f t="shared" si="132"/>
        <v>0.24413682943944437</v>
      </c>
      <c r="AD82" s="34">
        <f t="shared" si="132"/>
        <v>0.25747200925355967</v>
      </c>
      <c r="AE82" s="34">
        <f t="shared" si="132"/>
        <v>0.25569636431943799</v>
      </c>
      <c r="AF82" s="34">
        <f t="shared" si="132"/>
        <v>0.26387275011181233</v>
      </c>
      <c r="AG82" s="34">
        <f t="shared" si="132"/>
        <v>0.26903770676796768</v>
      </c>
      <c r="AH82" s="34">
        <f t="shared" si="132"/>
        <v>0.28474770535049665</v>
      </c>
      <c r="AI82" s="34">
        <f t="shared" si="132"/>
        <v>0.28578678660025031</v>
      </c>
      <c r="AJ82" s="34">
        <f t="shared" si="132"/>
        <v>0.29891511988103975</v>
      </c>
      <c r="AK82" s="34">
        <f t="shared" si="132"/>
        <v>0.31188204934906782</v>
      </c>
      <c r="AL82" s="277">
        <v>0.32500000000000001</v>
      </c>
      <c r="AM82" s="277">
        <f>AL82+0.5%</f>
        <v>0.33</v>
      </c>
      <c r="AN82" s="277">
        <f t="shared" ref="AN82:AW82" si="133">AM82+0.5%</f>
        <v>0.33500000000000002</v>
      </c>
      <c r="AO82" s="277">
        <f t="shared" si="133"/>
        <v>0.34</v>
      </c>
      <c r="AP82" s="277">
        <f t="shared" si="133"/>
        <v>0.34500000000000003</v>
      </c>
      <c r="AQ82" s="277">
        <f t="shared" si="133"/>
        <v>0.35000000000000003</v>
      </c>
      <c r="AR82" s="277">
        <f t="shared" si="133"/>
        <v>0.35500000000000004</v>
      </c>
      <c r="AS82" s="277">
        <f t="shared" si="133"/>
        <v>0.36000000000000004</v>
      </c>
      <c r="AT82" s="277">
        <f t="shared" si="133"/>
        <v>0.36500000000000005</v>
      </c>
      <c r="AU82" s="277">
        <f t="shared" si="133"/>
        <v>0.37000000000000005</v>
      </c>
      <c r="AV82" s="277">
        <f t="shared" si="133"/>
        <v>0.37500000000000006</v>
      </c>
      <c r="AW82" s="277">
        <f t="shared" si="133"/>
        <v>0.38000000000000006</v>
      </c>
      <c r="AX82" s="53"/>
      <c r="AY82" s="53"/>
      <c r="AZ82" s="53"/>
      <c r="BA82" s="53"/>
      <c r="BB82" s="53"/>
      <c r="BC82" s="53"/>
      <c r="BD82" s="53"/>
      <c r="BE82" s="53"/>
      <c r="BF82" s="2">
        <f t="shared" si="111"/>
        <v>76</v>
      </c>
    </row>
    <row r="83" spans="1:58" ht="11.25" hidden="1" customHeight="1" outlineLevel="2">
      <c r="A83" s="50"/>
      <c r="B83" s="136"/>
      <c r="C83" s="48"/>
      <c r="D83" s="48"/>
      <c r="E83" s="48"/>
      <c r="F83" s="48"/>
      <c r="G83" s="48"/>
      <c r="H83" s="48"/>
      <c r="I83" s="48"/>
      <c r="J83" s="48"/>
      <c r="K83" s="48"/>
      <c r="L83" s="49"/>
      <c r="M83" s="3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51"/>
      <c r="AG83" s="51"/>
      <c r="AH83" s="51"/>
      <c r="AI83" s="51"/>
      <c r="AJ83" s="51"/>
      <c r="AK83" s="51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5"/>
      <c r="AY83" s="5"/>
      <c r="AZ83" s="5"/>
      <c r="BA83" s="5"/>
      <c r="BB83" s="5"/>
      <c r="BC83" s="5"/>
      <c r="BD83" s="5"/>
      <c r="BE83" s="5"/>
      <c r="BF83" s="2">
        <f t="shared" si="111"/>
        <v>77</v>
      </c>
    </row>
    <row r="84" spans="1:58" ht="11.25" hidden="1" customHeight="1" outlineLevel="2">
      <c r="A84" s="50"/>
      <c r="B84" s="136" t="s">
        <v>170</v>
      </c>
      <c r="C84" s="48"/>
      <c r="D84" s="48"/>
      <c r="E84" s="48"/>
      <c r="F84" s="48"/>
      <c r="G84" s="48"/>
      <c r="H84" s="48"/>
      <c r="I84" s="48"/>
      <c r="J84" s="48"/>
      <c r="K84" s="48"/>
      <c r="L84" s="49"/>
      <c r="M84" s="3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51"/>
      <c r="AG84" s="51"/>
      <c r="AH84" s="51"/>
      <c r="AI84" s="51"/>
      <c r="AJ84" s="37"/>
      <c r="AK84" s="37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5"/>
      <c r="AY84" s="5"/>
      <c r="AZ84" s="5"/>
      <c r="BA84" s="5"/>
      <c r="BB84" s="5"/>
      <c r="BC84" s="5"/>
      <c r="BD84" s="5"/>
      <c r="BE84" s="5"/>
      <c r="BF84" s="2">
        <f t="shared" si="111"/>
        <v>78</v>
      </c>
    </row>
    <row r="85" spans="1:58" ht="11.25" hidden="1" customHeight="1" outlineLevel="2">
      <c r="A85" s="50"/>
      <c r="B85" s="201" t="s">
        <v>9</v>
      </c>
      <c r="C85" s="202">
        <v>-246.38900000000001</v>
      </c>
      <c r="D85" s="202">
        <v>-246.47900000000001</v>
      </c>
      <c r="E85" s="202">
        <v>-274.75200000000001</v>
      </c>
      <c r="F85" s="202">
        <v>-129.50399999999999</v>
      </c>
      <c r="G85" s="202">
        <v>-35.503999999999998</v>
      </c>
      <c r="H85" s="202">
        <v>-27.219000000000001</v>
      </c>
      <c r="I85" s="200"/>
      <c r="J85" s="200"/>
      <c r="K85" s="200"/>
      <c r="L85" s="49"/>
      <c r="M85" s="3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180"/>
      <c r="Z85" s="180"/>
      <c r="AA85" s="180"/>
      <c r="AB85" s="180"/>
      <c r="AC85" s="180"/>
      <c r="AD85" s="180"/>
      <c r="AE85" s="180"/>
      <c r="AF85" s="61"/>
      <c r="AG85" s="61"/>
      <c r="AH85" s="61"/>
      <c r="AI85" s="61"/>
      <c r="AJ85" s="61"/>
      <c r="AK85" s="61"/>
      <c r="AL85" s="182"/>
      <c r="AM85" s="182"/>
      <c r="AN85" s="182"/>
      <c r="AO85" s="182"/>
      <c r="AP85" s="182"/>
      <c r="AQ85" s="182"/>
      <c r="AR85" s="182"/>
      <c r="AS85" s="182"/>
      <c r="AT85" s="182"/>
      <c r="AU85" s="182"/>
      <c r="AV85" s="182"/>
      <c r="AW85" s="182"/>
      <c r="AX85" s="5"/>
      <c r="AY85" s="5"/>
      <c r="AZ85" s="5"/>
      <c r="BA85" s="5"/>
      <c r="BB85" s="5"/>
      <c r="BC85" s="5"/>
      <c r="BD85" s="5"/>
      <c r="BE85" s="5"/>
      <c r="BF85" s="2">
        <f t="shared" si="111"/>
        <v>79</v>
      </c>
    </row>
    <row r="86" spans="1:58" ht="11.25" hidden="1" customHeight="1" outlineLevel="2">
      <c r="A86" s="50"/>
      <c r="B86" s="201" t="s">
        <v>8</v>
      </c>
      <c r="C86" s="202">
        <v>-308.31700000000001</v>
      </c>
      <c r="D86" s="202">
        <v>-101.854</v>
      </c>
      <c r="E86" s="202">
        <v>-152.74199999999999</v>
      </c>
      <c r="F86" s="202">
        <v>-103.001</v>
      </c>
      <c r="G86" s="202">
        <v>-20.184999999999999</v>
      </c>
      <c r="H86" s="202">
        <v>-115.41500000000001</v>
      </c>
      <c r="I86" s="200"/>
      <c r="J86" s="200"/>
      <c r="K86" s="200"/>
      <c r="L86" s="49"/>
      <c r="M86" s="3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61"/>
      <c r="AG86" s="61"/>
      <c r="AH86" s="61"/>
      <c r="AI86" s="61"/>
      <c r="AJ86" s="61"/>
      <c r="AK86" s="61"/>
      <c r="AL86" s="182"/>
      <c r="AM86" s="182"/>
      <c r="AN86" s="182"/>
      <c r="AO86" s="182"/>
      <c r="AP86" s="182"/>
      <c r="AQ86" s="182"/>
      <c r="AR86" s="182"/>
      <c r="AS86" s="182"/>
      <c r="AT86" s="182"/>
      <c r="AU86" s="182"/>
      <c r="AV86" s="182"/>
      <c r="AW86" s="182"/>
      <c r="AX86" s="5"/>
      <c r="AY86" s="5"/>
      <c r="AZ86" s="5"/>
      <c r="BA86" s="5"/>
      <c r="BB86" s="5"/>
      <c r="BC86" s="5"/>
      <c r="BD86" s="5"/>
      <c r="BE86" s="5"/>
      <c r="BF86" s="2">
        <f t="shared" si="111"/>
        <v>80</v>
      </c>
    </row>
    <row r="87" spans="1:58" ht="11.25" hidden="1" customHeight="1" outlineLevel="2">
      <c r="A87" s="50"/>
      <c r="B87" s="203" t="s">
        <v>6</v>
      </c>
      <c r="C87" s="202">
        <v>-334.67</v>
      </c>
      <c r="D87" s="202">
        <v>-122.946</v>
      </c>
      <c r="E87" s="202">
        <v>-88.87</v>
      </c>
      <c r="F87" s="202">
        <v>-72.048000000000002</v>
      </c>
      <c r="G87" s="202">
        <v>-20.939</v>
      </c>
      <c r="H87" s="202">
        <v>-7.86</v>
      </c>
      <c r="I87" s="200"/>
      <c r="J87" s="200"/>
      <c r="K87" s="200"/>
      <c r="L87" s="49"/>
      <c r="M87" s="3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61"/>
      <c r="AG87" s="61"/>
      <c r="AH87" s="61"/>
      <c r="AI87" s="61"/>
      <c r="AJ87" s="61"/>
      <c r="AK87" s="61"/>
      <c r="AL87" s="182"/>
      <c r="AM87" s="182"/>
      <c r="AN87" s="182"/>
      <c r="AO87" s="182"/>
      <c r="AP87" s="182"/>
      <c r="AQ87" s="182"/>
      <c r="AR87" s="182"/>
      <c r="AS87" s="182"/>
      <c r="AT87" s="182"/>
      <c r="AU87" s="182"/>
      <c r="AV87" s="182"/>
      <c r="AW87" s="182"/>
      <c r="AX87" s="5"/>
      <c r="AY87" s="5"/>
      <c r="AZ87" s="5"/>
      <c r="BA87" s="5"/>
      <c r="BB87" s="5"/>
      <c r="BC87" s="5"/>
      <c r="BD87" s="5"/>
      <c r="BE87" s="5"/>
      <c r="BF87" s="2">
        <f t="shared" si="111"/>
        <v>81</v>
      </c>
    </row>
    <row r="88" spans="1:58" ht="11.25" hidden="1" customHeight="1" outlineLevel="2">
      <c r="A88" s="50"/>
      <c r="B88" s="201" t="s">
        <v>162</v>
      </c>
      <c r="C88" s="202">
        <v>-279.72899999999998</v>
      </c>
      <c r="D88" s="202">
        <v>-137.68100000000001</v>
      </c>
      <c r="E88" s="202">
        <v>-99.738</v>
      </c>
      <c r="F88" s="202">
        <v>-53.673000000000002</v>
      </c>
      <c r="G88" s="202">
        <v>-3.92</v>
      </c>
      <c r="H88" s="202">
        <v>-13.295999999999999</v>
      </c>
      <c r="I88" s="200"/>
      <c r="J88" s="200"/>
      <c r="K88" s="200"/>
      <c r="L88" s="49"/>
      <c r="M88" s="3"/>
      <c r="N88" s="180"/>
      <c r="O88" s="180"/>
      <c r="P88" s="180"/>
      <c r="Q88" s="180"/>
      <c r="R88" s="180"/>
      <c r="S88" s="180"/>
      <c r="T88" s="180"/>
      <c r="U88" s="180"/>
      <c r="V88" s="180"/>
      <c r="W88" s="180"/>
      <c r="X88" s="180"/>
      <c r="Y88" s="180"/>
      <c r="Z88" s="180"/>
      <c r="AA88" s="180"/>
      <c r="AB88" s="180"/>
      <c r="AC88" s="180"/>
      <c r="AD88" s="180"/>
      <c r="AE88" s="180"/>
      <c r="AF88" s="61"/>
      <c r="AG88" s="61"/>
      <c r="AH88" s="61"/>
      <c r="AI88" s="61"/>
      <c r="AJ88" s="61"/>
      <c r="AK88" s="61"/>
      <c r="AL88" s="182"/>
      <c r="AM88" s="182"/>
      <c r="AN88" s="182"/>
      <c r="AO88" s="182"/>
      <c r="AP88" s="182"/>
      <c r="AQ88" s="182"/>
      <c r="AR88" s="182"/>
      <c r="AS88" s="182"/>
      <c r="AT88" s="182"/>
      <c r="AU88" s="182"/>
      <c r="AV88" s="182"/>
      <c r="AW88" s="182"/>
      <c r="AX88" s="5"/>
      <c r="AY88" s="5"/>
      <c r="AZ88" s="5"/>
      <c r="BA88" s="5"/>
      <c r="BB88" s="5"/>
      <c r="BC88" s="5"/>
      <c r="BD88" s="5"/>
      <c r="BE88" s="5"/>
      <c r="BF88" s="2">
        <f t="shared" si="111"/>
        <v>82</v>
      </c>
    </row>
    <row r="89" spans="1:58" ht="11.25" hidden="1" customHeight="1" outlineLevel="2">
      <c r="A89" s="50"/>
      <c r="B89" s="201" t="s">
        <v>33</v>
      </c>
      <c r="C89" s="200">
        <f>C90-SUM(C85:C88)</f>
        <v>27.182999999999993</v>
      </c>
      <c r="D89" s="200">
        <f>D90-SUM(D85:D88)</f>
        <v>0</v>
      </c>
      <c r="E89" s="200">
        <f>E90-SUM(E85:E88)</f>
        <v>0</v>
      </c>
      <c r="F89" s="200">
        <f>F90-SUM(F85:F88)</f>
        <v>0</v>
      </c>
      <c r="G89" s="200">
        <f>G90-SUM(G85:G88)</f>
        <v>0</v>
      </c>
      <c r="H89" s="202">
        <v>-1.143</v>
      </c>
      <c r="I89" s="200"/>
      <c r="J89" s="200"/>
      <c r="K89" s="200"/>
      <c r="L89" s="49"/>
      <c r="M89" s="3"/>
      <c r="N89" s="180"/>
      <c r="O89" s="180"/>
      <c r="P89" s="180"/>
      <c r="Q89" s="180"/>
      <c r="R89" s="180"/>
      <c r="S89" s="180"/>
      <c r="T89" s="180"/>
      <c r="U89" s="180"/>
      <c r="V89" s="180"/>
      <c r="W89" s="180"/>
      <c r="X89" s="180"/>
      <c r="Y89" s="180"/>
      <c r="Z89" s="180"/>
      <c r="AA89" s="180"/>
      <c r="AB89" s="180"/>
      <c r="AC89" s="180"/>
      <c r="AD89" s="180"/>
      <c r="AE89" s="180"/>
      <c r="AF89" s="61"/>
      <c r="AG89" s="61"/>
      <c r="AH89" s="61"/>
      <c r="AI89" s="61"/>
      <c r="AJ89" s="61"/>
      <c r="AK89" s="61"/>
      <c r="AL89" s="182"/>
      <c r="AM89" s="182"/>
      <c r="AN89" s="182"/>
      <c r="AO89" s="182"/>
      <c r="AP89" s="182"/>
      <c r="AQ89" s="182"/>
      <c r="AR89" s="182"/>
      <c r="AS89" s="182"/>
      <c r="AT89" s="182"/>
      <c r="AU89" s="182"/>
      <c r="AV89" s="182"/>
      <c r="AW89" s="182"/>
      <c r="AX89" s="5"/>
      <c r="AY89" s="5"/>
      <c r="AZ89" s="5"/>
      <c r="BA89" s="5"/>
      <c r="BB89" s="5"/>
      <c r="BC89" s="5"/>
      <c r="BD89" s="5"/>
      <c r="BE89" s="5"/>
      <c r="BF89" s="2">
        <f t="shared" si="111"/>
        <v>83</v>
      </c>
    </row>
    <row r="90" spans="1:58" ht="11.25" hidden="1" customHeight="1" outlineLevel="2">
      <c r="A90" s="50"/>
      <c r="B90" s="136" t="s">
        <v>169</v>
      </c>
      <c r="C90" s="200">
        <f t="shared" ref="C90:H90" si="134">C180</f>
        <v>-1141.922</v>
      </c>
      <c r="D90" s="200">
        <f t="shared" si="134"/>
        <v>-608.96</v>
      </c>
      <c r="E90" s="200">
        <f t="shared" si="134"/>
        <v>-616.10199999999998</v>
      </c>
      <c r="F90" s="200">
        <f t="shared" si="134"/>
        <v>-358.226</v>
      </c>
      <c r="G90" s="200">
        <f t="shared" si="134"/>
        <v>-80.548000000000002</v>
      </c>
      <c r="H90" s="200">
        <f t="shared" si="134"/>
        <v>-164.93299999999999</v>
      </c>
      <c r="I90" s="48"/>
      <c r="J90" s="48"/>
      <c r="K90" s="48"/>
      <c r="L90" s="49"/>
      <c r="M90" s="3"/>
      <c r="N90" s="180"/>
      <c r="O90" s="180"/>
      <c r="P90" s="180"/>
      <c r="Q90" s="180"/>
      <c r="R90" s="180"/>
      <c r="S90" s="180"/>
      <c r="T90" s="180"/>
      <c r="U90" s="180"/>
      <c r="V90" s="180"/>
      <c r="W90" s="180"/>
      <c r="X90" s="180"/>
      <c r="Y90" s="180"/>
      <c r="Z90" s="180"/>
      <c r="AA90" s="180"/>
      <c r="AB90" s="180"/>
      <c r="AC90" s="180"/>
      <c r="AD90" s="180"/>
      <c r="AE90" s="180"/>
      <c r="AF90" s="61"/>
      <c r="AG90" s="61"/>
      <c r="AH90" s="61"/>
      <c r="AI90" s="61"/>
      <c r="AJ90" s="61"/>
      <c r="AK90" s="61"/>
      <c r="AL90" s="182"/>
      <c r="AM90" s="182"/>
      <c r="AN90" s="182"/>
      <c r="AO90" s="182"/>
      <c r="AP90" s="182"/>
      <c r="AQ90" s="182"/>
      <c r="AR90" s="182"/>
      <c r="AS90" s="182"/>
      <c r="AT90" s="182"/>
      <c r="AU90" s="182"/>
      <c r="AV90" s="182"/>
      <c r="AW90" s="182"/>
      <c r="AX90" s="5"/>
      <c r="AY90" s="5"/>
      <c r="AZ90" s="5"/>
      <c r="BA90" s="5"/>
      <c r="BB90" s="5"/>
      <c r="BC90" s="5"/>
      <c r="BD90" s="5"/>
      <c r="BE90" s="5"/>
      <c r="BF90" s="2">
        <f t="shared" si="111"/>
        <v>84</v>
      </c>
    </row>
    <row r="91" spans="1:58" ht="11.25" hidden="1" customHeight="1" outlineLevel="2">
      <c r="A91" s="50"/>
      <c r="B91" s="150"/>
      <c r="C91" s="48"/>
      <c r="D91" s="48"/>
      <c r="E91" s="48"/>
      <c r="F91" s="48"/>
      <c r="G91" s="48"/>
      <c r="H91" s="48"/>
      <c r="I91" s="48"/>
      <c r="J91" s="48"/>
      <c r="K91" s="48"/>
      <c r="L91" s="49"/>
      <c r="M91" s="3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51"/>
      <c r="AG91" s="51"/>
      <c r="AH91" s="51"/>
      <c r="AI91" s="51"/>
      <c r="AJ91" s="51"/>
      <c r="AK91" s="51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5"/>
      <c r="AY91" s="5"/>
      <c r="AZ91" s="5"/>
      <c r="BA91" s="5"/>
      <c r="BB91" s="5"/>
      <c r="BC91" s="5"/>
      <c r="BD91" s="5"/>
      <c r="BE91" s="5"/>
      <c r="BF91" s="2">
        <f t="shared" si="111"/>
        <v>85</v>
      </c>
    </row>
    <row r="92" spans="1:58" ht="11.25" customHeight="1" outlineLevel="1" collapsed="1">
      <c r="A92" s="50" t="s">
        <v>5</v>
      </c>
      <c r="B92" s="150" t="s">
        <v>270</v>
      </c>
      <c r="C92" s="48"/>
      <c r="D92" s="48"/>
      <c r="E92" s="48"/>
      <c r="F92" s="48"/>
      <c r="G92" s="48"/>
      <c r="H92" s="48"/>
      <c r="I92" s="48"/>
      <c r="J92" s="48"/>
      <c r="K92" s="48"/>
      <c r="L92" s="49"/>
      <c r="M92" s="3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5"/>
      <c r="AA92" s="48"/>
      <c r="AB92" s="48"/>
      <c r="AC92" s="48"/>
      <c r="AD92" s="45"/>
      <c r="AE92" s="45"/>
      <c r="AF92" s="45"/>
      <c r="AG92" s="45"/>
      <c r="AH92" s="45"/>
      <c r="AI92" s="45"/>
      <c r="AJ92" s="45"/>
      <c r="AK92" s="45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5"/>
      <c r="AY92" s="5"/>
      <c r="AZ92" s="5"/>
      <c r="BA92" s="5"/>
      <c r="BB92" s="5"/>
      <c r="BC92" s="5"/>
      <c r="BD92" s="5"/>
      <c r="BE92" s="5"/>
      <c r="BF92" s="2">
        <f t="shared" si="111"/>
        <v>86</v>
      </c>
    </row>
    <row r="93" spans="1:58" ht="11.25" customHeight="1" outlineLevel="1">
      <c r="A93" s="50"/>
      <c r="B93" s="175" t="s">
        <v>164</v>
      </c>
      <c r="C93" s="300">
        <f t="shared" ref="C93:K106" si="135">SUMIFS($N93:$AX93,$N$4:$AX$4,C$4)</f>
        <v>775.1</v>
      </c>
      <c r="D93" s="300">
        <f t="shared" si="135"/>
        <v>838.6</v>
      </c>
      <c r="E93" s="300">
        <f t="shared" si="135"/>
        <v>923.90000000000009</v>
      </c>
      <c r="F93" s="300">
        <f t="shared" si="135"/>
        <v>590.4</v>
      </c>
      <c r="G93" s="300">
        <f t="shared" si="135"/>
        <v>310.2</v>
      </c>
      <c r="H93" s="300">
        <f t="shared" si="135"/>
        <v>293.69</v>
      </c>
      <c r="I93" s="300">
        <f t="shared" si="135"/>
        <v>331.52487920800007</v>
      </c>
      <c r="J93" s="300">
        <f t="shared" si="135"/>
        <v>360.79458283571864</v>
      </c>
      <c r="K93" s="300">
        <f t="shared" si="135"/>
        <v>381.99659533149895</v>
      </c>
      <c r="L93" s="49"/>
      <c r="M93" s="3"/>
      <c r="N93" s="38">
        <f t="shared" ref="N93:AG93" si="136">SUM(N94:N96)</f>
        <v>189.3</v>
      </c>
      <c r="O93" s="38">
        <f t="shared" si="136"/>
        <v>198.2</v>
      </c>
      <c r="P93" s="38">
        <f t="shared" si="136"/>
        <v>194.89999999999998</v>
      </c>
      <c r="Q93" s="38">
        <f t="shared" si="136"/>
        <v>192.70000000000002</v>
      </c>
      <c r="R93" s="38">
        <f t="shared" si="136"/>
        <v>194</v>
      </c>
      <c r="S93" s="38">
        <f t="shared" si="136"/>
        <v>205.4</v>
      </c>
      <c r="T93" s="38">
        <f t="shared" si="136"/>
        <v>215.6</v>
      </c>
      <c r="U93" s="38">
        <f t="shared" si="136"/>
        <v>223.6</v>
      </c>
      <c r="V93" s="38">
        <f t="shared" si="136"/>
        <v>220.20000000000002</v>
      </c>
      <c r="W93" s="38">
        <f t="shared" si="136"/>
        <v>226</v>
      </c>
      <c r="X93" s="38">
        <f t="shared" si="136"/>
        <v>239.2</v>
      </c>
      <c r="Y93" s="38">
        <f t="shared" si="136"/>
        <v>238.5</v>
      </c>
      <c r="Z93" s="38">
        <f t="shared" si="136"/>
        <v>199.5</v>
      </c>
      <c r="AA93" s="38">
        <f t="shared" si="136"/>
        <v>148.69999999999999</v>
      </c>
      <c r="AB93" s="38">
        <f t="shared" si="136"/>
        <v>130.5</v>
      </c>
      <c r="AC93" s="38">
        <f t="shared" si="136"/>
        <v>111.7</v>
      </c>
      <c r="AD93" s="38">
        <f t="shared" si="136"/>
        <v>96.6</v>
      </c>
      <c r="AE93" s="38">
        <f t="shared" si="136"/>
        <v>80.699999999999989</v>
      </c>
      <c r="AF93" s="38">
        <f t="shared" si="136"/>
        <v>63.6</v>
      </c>
      <c r="AG93" s="38">
        <f t="shared" si="136"/>
        <v>69.3</v>
      </c>
      <c r="AH93" s="38">
        <f>AH11</f>
        <v>68.430999999999997</v>
      </c>
      <c r="AI93" s="38">
        <f>AI11</f>
        <v>68.826999999999998</v>
      </c>
      <c r="AJ93" s="38">
        <f>AJ11</f>
        <v>77.206000000000003</v>
      </c>
      <c r="AK93" s="38">
        <f>AK11</f>
        <v>79.225999999999999</v>
      </c>
      <c r="AL93" s="38">
        <f t="shared" ref="AL93:AW93" si="137">SUM(AL94:AL96)</f>
        <v>79.392880000000005</v>
      </c>
      <c r="AM93" s="38">
        <f t="shared" si="137"/>
        <v>82.359944000000013</v>
      </c>
      <c r="AN93" s="38">
        <f t="shared" si="137"/>
        <v>84.447616400000001</v>
      </c>
      <c r="AO93" s="38">
        <f t="shared" si="137"/>
        <v>85.324438808000011</v>
      </c>
      <c r="AP93" s="38">
        <f t="shared" si="137"/>
        <v>87.229529092160021</v>
      </c>
      <c r="AQ93" s="38">
        <f t="shared" si="137"/>
        <v>89.178679227243208</v>
      </c>
      <c r="AR93" s="38">
        <f t="shared" si="137"/>
        <v>91.172949151625289</v>
      </c>
      <c r="AS93" s="38">
        <f t="shared" si="137"/>
        <v>93.21342536469011</v>
      </c>
      <c r="AT93" s="38">
        <f t="shared" si="137"/>
        <v>94.109611083495523</v>
      </c>
      <c r="AU93" s="38">
        <f t="shared" si="137"/>
        <v>95.023720516677031</v>
      </c>
      <c r="AV93" s="38">
        <f t="shared" si="137"/>
        <v>95.956112138522172</v>
      </c>
      <c r="AW93" s="38">
        <f t="shared" si="137"/>
        <v>96.907151592804212</v>
      </c>
      <c r="AX93" s="39"/>
      <c r="AY93" s="39"/>
      <c r="AZ93" s="39"/>
      <c r="BA93" s="39"/>
      <c r="BB93" s="39"/>
      <c r="BC93" s="39"/>
      <c r="BD93" s="39"/>
      <c r="BE93" s="39"/>
      <c r="BF93" s="2">
        <f t="shared" si="111"/>
        <v>87</v>
      </c>
    </row>
    <row r="94" spans="1:58" ht="11.25" customHeight="1" outlineLevel="1">
      <c r="A94" s="50"/>
      <c r="B94" s="176" t="s">
        <v>158</v>
      </c>
      <c r="C94" s="200">
        <f t="shared" si="135"/>
        <v>341.1</v>
      </c>
      <c r="D94" s="200">
        <f t="shared" si="135"/>
        <v>288.10000000000002</v>
      </c>
      <c r="E94" s="200">
        <f t="shared" si="135"/>
        <v>323.20000000000005</v>
      </c>
      <c r="F94" s="200">
        <f t="shared" si="135"/>
        <v>163.1</v>
      </c>
      <c r="G94" s="200">
        <f t="shared" si="135"/>
        <v>64.5</v>
      </c>
      <c r="H94" s="200">
        <f t="shared" si="135"/>
        <v>117.85700000000001</v>
      </c>
      <c r="I94" s="200">
        <f t="shared" si="135"/>
        <v>168.27019120800003</v>
      </c>
      <c r="J94" s="200">
        <f t="shared" si="135"/>
        <v>187.99602743741522</v>
      </c>
      <c r="K94" s="200">
        <f t="shared" si="135"/>
        <v>193.6165576976797</v>
      </c>
      <c r="L94" s="49"/>
      <c r="M94" s="3"/>
      <c r="N94" s="181">
        <v>91</v>
      </c>
      <c r="O94" s="181">
        <v>89.5</v>
      </c>
      <c r="P94" s="181">
        <v>85</v>
      </c>
      <c r="Q94" s="181">
        <v>75.599999999999994</v>
      </c>
      <c r="R94" s="181">
        <v>73.900000000000006</v>
      </c>
      <c r="S94" s="181">
        <v>74</v>
      </c>
      <c r="T94" s="181">
        <v>72.900000000000006</v>
      </c>
      <c r="U94" s="181">
        <v>67.3</v>
      </c>
      <c r="V94" s="181">
        <v>67.400000000000006</v>
      </c>
      <c r="W94" s="181">
        <v>81.7</v>
      </c>
      <c r="X94" s="181">
        <v>85.9</v>
      </c>
      <c r="Y94" s="181">
        <v>88.2</v>
      </c>
      <c r="Z94" s="181">
        <v>62.5</v>
      </c>
      <c r="AA94" s="181">
        <v>38.200000000000003</v>
      </c>
      <c r="AB94" s="181">
        <v>33.4</v>
      </c>
      <c r="AC94" s="181">
        <v>29</v>
      </c>
      <c r="AD94" s="181">
        <v>19.899999999999999</v>
      </c>
      <c r="AE94" s="181">
        <v>11.7</v>
      </c>
      <c r="AF94" s="181">
        <v>15.2</v>
      </c>
      <c r="AG94" s="181">
        <v>17.7</v>
      </c>
      <c r="AH94" s="181">
        <v>21.161999999999999</v>
      </c>
      <c r="AI94" s="181">
        <v>27.77</v>
      </c>
      <c r="AJ94" s="181">
        <v>33.779000000000003</v>
      </c>
      <c r="AK94" s="181">
        <v>35.146000000000001</v>
      </c>
      <c r="AL94" s="299">
        <f t="shared" ref="AL94:AW94" si="138">+AK94*(1+AL110)</f>
        <v>37.957680000000003</v>
      </c>
      <c r="AM94" s="299">
        <f t="shared" si="138"/>
        <v>41.753448000000006</v>
      </c>
      <c r="AN94" s="299">
        <f t="shared" si="138"/>
        <v>43.841120400000008</v>
      </c>
      <c r="AO94" s="299">
        <f t="shared" si="138"/>
        <v>44.717942808000011</v>
      </c>
      <c r="AP94" s="299">
        <f t="shared" si="138"/>
        <v>45.612301664160015</v>
      </c>
      <c r="AQ94" s="299">
        <f t="shared" si="138"/>
        <v>46.524547697443218</v>
      </c>
      <c r="AR94" s="299">
        <f t="shared" si="138"/>
        <v>47.45503865139208</v>
      </c>
      <c r="AS94" s="299">
        <f t="shared" si="138"/>
        <v>48.404139424419924</v>
      </c>
      <c r="AT94" s="299">
        <f t="shared" si="138"/>
        <v>48.404139424419924</v>
      </c>
      <c r="AU94" s="299">
        <f t="shared" si="138"/>
        <v>48.404139424419924</v>
      </c>
      <c r="AV94" s="299">
        <f t="shared" si="138"/>
        <v>48.404139424419924</v>
      </c>
      <c r="AW94" s="299">
        <f t="shared" si="138"/>
        <v>48.404139424419924</v>
      </c>
      <c r="AX94" s="5"/>
      <c r="AY94" s="5"/>
      <c r="AZ94" s="5"/>
      <c r="BA94" s="5"/>
      <c r="BB94" s="5"/>
      <c r="BC94" s="5"/>
      <c r="BD94" s="5"/>
      <c r="BE94" s="5"/>
      <c r="BF94" s="2">
        <f t="shared" si="111"/>
        <v>88</v>
      </c>
    </row>
    <row r="95" spans="1:58" ht="11.25" customHeight="1" outlineLevel="1">
      <c r="A95" s="50"/>
      <c r="B95" s="176" t="s">
        <v>157</v>
      </c>
      <c r="C95" s="200">
        <f t="shared" si="135"/>
        <v>242</v>
      </c>
      <c r="D95" s="200">
        <f t="shared" si="135"/>
        <v>314.5</v>
      </c>
      <c r="E95" s="200">
        <f t="shared" si="135"/>
        <v>375.79999999999995</v>
      </c>
      <c r="F95" s="200">
        <f t="shared" si="135"/>
        <v>257.39999999999998</v>
      </c>
      <c r="G95" s="200">
        <f t="shared" si="135"/>
        <v>136.80000000000001</v>
      </c>
      <c r="H95" s="200">
        <f t="shared" si="135"/>
        <v>91.506</v>
      </c>
      <c r="I95" s="200">
        <f t="shared" si="135"/>
        <v>83.408775599999998</v>
      </c>
      <c r="J95" s="200">
        <f t="shared" si="135"/>
        <v>87.218468394023233</v>
      </c>
      <c r="K95" s="200">
        <f t="shared" si="135"/>
        <v>94.408075135634306</v>
      </c>
      <c r="L95" s="49"/>
      <c r="M95" s="3"/>
      <c r="N95" s="181">
        <v>50.8</v>
      </c>
      <c r="O95" s="181">
        <v>60.9</v>
      </c>
      <c r="P95" s="181">
        <v>61.6</v>
      </c>
      <c r="Q95" s="181">
        <v>68.7</v>
      </c>
      <c r="R95" s="181">
        <v>70</v>
      </c>
      <c r="S95" s="181">
        <v>75.3</v>
      </c>
      <c r="T95" s="181">
        <v>77.8</v>
      </c>
      <c r="U95" s="181">
        <v>91.4</v>
      </c>
      <c r="V95" s="181">
        <v>101.4</v>
      </c>
      <c r="W95" s="181">
        <v>92.8</v>
      </c>
      <c r="X95" s="181">
        <v>89.6</v>
      </c>
      <c r="Y95" s="181">
        <v>92</v>
      </c>
      <c r="Z95" s="181">
        <v>86.6</v>
      </c>
      <c r="AA95" s="181">
        <v>63.4</v>
      </c>
      <c r="AB95" s="181">
        <v>57.4</v>
      </c>
      <c r="AC95" s="181">
        <v>50</v>
      </c>
      <c r="AD95" s="181">
        <v>45.6</v>
      </c>
      <c r="AE95" s="181">
        <v>38.9</v>
      </c>
      <c r="AF95" s="181">
        <v>26.5</v>
      </c>
      <c r="AG95" s="181">
        <v>25.8</v>
      </c>
      <c r="AH95" s="181">
        <v>23.484999999999999</v>
      </c>
      <c r="AI95" s="181">
        <v>22.265999999999998</v>
      </c>
      <c r="AJ95" s="181">
        <v>23.234000000000002</v>
      </c>
      <c r="AK95" s="181">
        <v>22.521000000000001</v>
      </c>
      <c r="AL95" s="299">
        <f t="shared" ref="AL95:AW95" si="139">+AK95*(1+AL111)</f>
        <v>21.169740000000001</v>
      </c>
      <c r="AM95" s="299">
        <f t="shared" si="139"/>
        <v>20.7463452</v>
      </c>
      <c r="AN95" s="299">
        <f t="shared" si="139"/>
        <v>20.7463452</v>
      </c>
      <c r="AO95" s="299">
        <f t="shared" si="139"/>
        <v>20.7463452</v>
      </c>
      <c r="AP95" s="299">
        <f t="shared" si="139"/>
        <v>21.161272104000002</v>
      </c>
      <c r="AQ95" s="299">
        <f t="shared" si="139"/>
        <v>21.584497546080001</v>
      </c>
      <c r="AR95" s="299">
        <f t="shared" si="139"/>
        <v>22.016187497001603</v>
      </c>
      <c r="AS95" s="299">
        <f t="shared" si="139"/>
        <v>22.456511246941634</v>
      </c>
      <c r="AT95" s="299">
        <f t="shared" si="139"/>
        <v>22.905641471880468</v>
      </c>
      <c r="AU95" s="299">
        <f t="shared" si="139"/>
        <v>23.363754301318078</v>
      </c>
      <c r="AV95" s="299">
        <f t="shared" si="139"/>
        <v>23.83102938734444</v>
      </c>
      <c r="AW95" s="299">
        <f t="shared" si="139"/>
        <v>24.30764997509133</v>
      </c>
      <c r="AX95" s="5"/>
      <c r="AY95" s="5"/>
      <c r="AZ95" s="5"/>
      <c r="BA95" s="5"/>
      <c r="BB95" s="5"/>
      <c r="BC95" s="5"/>
      <c r="BD95" s="5"/>
      <c r="BE95" s="5"/>
      <c r="BF95" s="2">
        <f t="shared" si="111"/>
        <v>89</v>
      </c>
    </row>
    <row r="96" spans="1:58" ht="11.25" customHeight="1" outlineLevel="1">
      <c r="A96" s="50"/>
      <c r="B96" s="176" t="s">
        <v>156</v>
      </c>
      <c r="C96" s="200">
        <f t="shared" si="135"/>
        <v>192</v>
      </c>
      <c r="D96" s="200">
        <f t="shared" si="135"/>
        <v>236.00000000000003</v>
      </c>
      <c r="E96" s="200">
        <f t="shared" si="135"/>
        <v>224.90000000000003</v>
      </c>
      <c r="F96" s="200">
        <f t="shared" si="135"/>
        <v>169.89999999999998</v>
      </c>
      <c r="G96" s="200">
        <f t="shared" si="135"/>
        <v>108.89999999999999</v>
      </c>
      <c r="H96" s="200">
        <f t="shared" si="135"/>
        <v>84.326999999999998</v>
      </c>
      <c r="I96" s="200">
        <f t="shared" si="135"/>
        <v>79.845912400000003</v>
      </c>
      <c r="J96" s="200">
        <f t="shared" si="135"/>
        <v>85.580087004280159</v>
      </c>
      <c r="K96" s="200">
        <f t="shared" si="135"/>
        <v>93.971962498184922</v>
      </c>
      <c r="L96" s="49"/>
      <c r="M96" s="3"/>
      <c r="N96" s="181">
        <v>47.5</v>
      </c>
      <c r="O96" s="181">
        <v>47.8</v>
      </c>
      <c r="P96" s="181">
        <v>48.3</v>
      </c>
      <c r="Q96" s="181">
        <v>48.4</v>
      </c>
      <c r="R96" s="181">
        <v>50.1</v>
      </c>
      <c r="S96" s="181">
        <v>56.1</v>
      </c>
      <c r="T96" s="181">
        <v>64.900000000000006</v>
      </c>
      <c r="U96" s="181">
        <v>64.900000000000006</v>
      </c>
      <c r="V96" s="181">
        <v>51.4</v>
      </c>
      <c r="W96" s="181">
        <v>51.5</v>
      </c>
      <c r="X96" s="181">
        <v>63.7</v>
      </c>
      <c r="Y96" s="181">
        <v>58.3</v>
      </c>
      <c r="Z96" s="181">
        <v>50.4</v>
      </c>
      <c r="AA96" s="181">
        <v>47.1</v>
      </c>
      <c r="AB96" s="181">
        <v>39.700000000000003</v>
      </c>
      <c r="AC96" s="181">
        <v>32.700000000000003</v>
      </c>
      <c r="AD96" s="181">
        <v>31.1</v>
      </c>
      <c r="AE96" s="181">
        <v>30.1</v>
      </c>
      <c r="AF96" s="181">
        <v>21.9</v>
      </c>
      <c r="AG96" s="181">
        <v>25.8</v>
      </c>
      <c r="AH96" s="181">
        <v>23.783999999999999</v>
      </c>
      <c r="AI96" s="181">
        <v>18.791</v>
      </c>
      <c r="AJ96" s="181">
        <v>20.193000000000001</v>
      </c>
      <c r="AK96" s="181">
        <v>21.559000000000001</v>
      </c>
      <c r="AL96" s="299">
        <f t="shared" ref="AL96:AW96" si="140">+AK96*(1+AL112)</f>
        <v>20.265460000000001</v>
      </c>
      <c r="AM96" s="299">
        <f t="shared" si="140"/>
        <v>19.8601508</v>
      </c>
      <c r="AN96" s="299">
        <f t="shared" si="140"/>
        <v>19.8601508</v>
      </c>
      <c r="AO96" s="299">
        <f t="shared" si="140"/>
        <v>19.8601508</v>
      </c>
      <c r="AP96" s="299">
        <f t="shared" si="140"/>
        <v>20.455955324000001</v>
      </c>
      <c r="AQ96" s="299">
        <f t="shared" si="140"/>
        <v>21.069633983720003</v>
      </c>
      <c r="AR96" s="299">
        <f t="shared" si="140"/>
        <v>21.701723003231603</v>
      </c>
      <c r="AS96" s="299">
        <f t="shared" si="140"/>
        <v>22.352774693328552</v>
      </c>
      <c r="AT96" s="299">
        <f t="shared" si="140"/>
        <v>22.799830187195123</v>
      </c>
      <c r="AU96" s="299">
        <f t="shared" si="140"/>
        <v>23.255826790939025</v>
      </c>
      <c r="AV96" s="299">
        <f t="shared" si="140"/>
        <v>23.720943326757805</v>
      </c>
      <c r="AW96" s="299">
        <f t="shared" si="140"/>
        <v>24.195362193292961</v>
      </c>
      <c r="AX96" s="5"/>
      <c r="AY96" s="5"/>
      <c r="AZ96" s="5"/>
      <c r="BA96" s="5"/>
      <c r="BB96" s="5"/>
      <c r="BC96" s="5"/>
      <c r="BD96" s="5"/>
      <c r="BE96" s="5"/>
      <c r="BF96" s="2">
        <f t="shared" si="111"/>
        <v>90</v>
      </c>
    </row>
    <row r="97" spans="1:58" ht="11.25" customHeight="1" outlineLevel="1">
      <c r="A97" s="50"/>
      <c r="B97" s="175" t="s">
        <v>163</v>
      </c>
      <c r="C97" s="300">
        <f t="shared" si="135"/>
        <v>417.7</v>
      </c>
      <c r="D97" s="300">
        <f t="shared" si="135"/>
        <v>1596.7</v>
      </c>
      <c r="E97" s="300">
        <f t="shared" si="135"/>
        <v>1727.9</v>
      </c>
      <c r="F97" s="300">
        <f t="shared" si="135"/>
        <v>934.0920000000001</v>
      </c>
      <c r="G97" s="300">
        <f t="shared" si="135"/>
        <v>524</v>
      </c>
      <c r="H97" s="300">
        <f t="shared" si="135"/>
        <v>935.18299999999999</v>
      </c>
      <c r="I97" s="300">
        <f t="shared" si="135"/>
        <v>1198.2659712</v>
      </c>
      <c r="J97" s="300">
        <f t="shared" si="135"/>
        <v>1559.4147398775051</v>
      </c>
      <c r="K97" s="300">
        <f t="shared" si="135"/>
        <v>1606.0366704217649</v>
      </c>
      <c r="L97" s="49"/>
      <c r="M97" s="3"/>
      <c r="N97" s="38">
        <f t="shared" ref="N97:AG97" si="141">SUM(N98:N98)</f>
        <v>0</v>
      </c>
      <c r="O97" s="38">
        <f t="shared" si="141"/>
        <v>0</v>
      </c>
      <c r="P97" s="38">
        <f t="shared" si="141"/>
        <v>0</v>
      </c>
      <c r="Q97" s="38">
        <f t="shared" si="141"/>
        <v>417.7</v>
      </c>
      <c r="R97" s="38">
        <f t="shared" si="141"/>
        <v>426</v>
      </c>
      <c r="S97" s="38">
        <f t="shared" si="141"/>
        <v>398.2</v>
      </c>
      <c r="T97" s="38">
        <f t="shared" si="141"/>
        <v>398</v>
      </c>
      <c r="U97" s="38">
        <f t="shared" si="141"/>
        <v>374.5</v>
      </c>
      <c r="V97" s="38">
        <f t="shared" si="141"/>
        <v>389.9</v>
      </c>
      <c r="W97" s="38">
        <f t="shared" si="141"/>
        <v>398.1</v>
      </c>
      <c r="X97" s="38">
        <f t="shared" si="141"/>
        <v>470.8</v>
      </c>
      <c r="Y97" s="38">
        <f t="shared" si="141"/>
        <v>469.1</v>
      </c>
      <c r="Z97" s="38">
        <f t="shared" si="141"/>
        <v>350.99200000000002</v>
      </c>
      <c r="AA97" s="38">
        <f t="shared" si="141"/>
        <v>226.4</v>
      </c>
      <c r="AB97" s="38">
        <f t="shared" si="141"/>
        <v>202.9</v>
      </c>
      <c r="AC97" s="38">
        <f t="shared" si="141"/>
        <v>153.80000000000001</v>
      </c>
      <c r="AD97" s="38">
        <f t="shared" si="141"/>
        <v>132.5</v>
      </c>
      <c r="AE97" s="38">
        <f t="shared" si="141"/>
        <v>115.9</v>
      </c>
      <c r="AF97" s="38">
        <f t="shared" si="141"/>
        <v>125</v>
      </c>
      <c r="AG97" s="38">
        <f t="shared" si="141"/>
        <v>150.6</v>
      </c>
      <c r="AH97" s="38">
        <f>AH12</f>
        <v>204.97900000000001</v>
      </c>
      <c r="AI97" s="38">
        <f>AI12</f>
        <v>249.07900000000001</v>
      </c>
      <c r="AJ97" s="38">
        <f>AJ12</f>
        <v>248.405</v>
      </c>
      <c r="AK97" s="38">
        <f>AK12</f>
        <v>232.72</v>
      </c>
      <c r="AL97" s="38">
        <f t="shared" ref="AL97:AW97" si="142">SUM(AL98:AL98)</f>
        <v>237.37440000000001</v>
      </c>
      <c r="AM97" s="38">
        <f t="shared" si="142"/>
        <v>272.98055999999997</v>
      </c>
      <c r="AN97" s="38">
        <f t="shared" si="142"/>
        <v>327.57667199999997</v>
      </c>
      <c r="AO97" s="38">
        <f t="shared" si="142"/>
        <v>360.33433919999999</v>
      </c>
      <c r="AP97" s="38">
        <f t="shared" si="142"/>
        <v>378.35105615999998</v>
      </c>
      <c r="AQ97" s="38">
        <f t="shared" si="142"/>
        <v>385.91807728319998</v>
      </c>
      <c r="AR97" s="38">
        <f t="shared" si="142"/>
        <v>393.63643882886396</v>
      </c>
      <c r="AS97" s="38">
        <f t="shared" si="142"/>
        <v>401.50916760544123</v>
      </c>
      <c r="AT97" s="38">
        <f t="shared" si="142"/>
        <v>401.50916760544123</v>
      </c>
      <c r="AU97" s="38">
        <f t="shared" si="142"/>
        <v>401.50916760544123</v>
      </c>
      <c r="AV97" s="38">
        <f t="shared" si="142"/>
        <v>401.50916760544123</v>
      </c>
      <c r="AW97" s="38">
        <f t="shared" si="142"/>
        <v>401.50916760544123</v>
      </c>
      <c r="AX97" s="39"/>
      <c r="AY97" s="39"/>
      <c r="AZ97" s="39"/>
      <c r="BA97" s="39"/>
      <c r="BB97" s="39"/>
      <c r="BC97" s="39"/>
      <c r="BD97" s="39"/>
      <c r="BE97" s="39"/>
      <c r="BF97" s="2">
        <f t="shared" si="111"/>
        <v>91</v>
      </c>
    </row>
    <row r="98" spans="1:58" ht="11.25" customHeight="1" outlineLevel="1">
      <c r="A98" s="50"/>
      <c r="B98" s="176" t="s">
        <v>158</v>
      </c>
      <c r="C98" s="200">
        <f t="shared" si="135"/>
        <v>417.7</v>
      </c>
      <c r="D98" s="200">
        <f t="shared" si="135"/>
        <v>1596.7</v>
      </c>
      <c r="E98" s="200">
        <f t="shared" si="135"/>
        <v>1727.9</v>
      </c>
      <c r="F98" s="200">
        <f t="shared" si="135"/>
        <v>934.0920000000001</v>
      </c>
      <c r="G98" s="200">
        <f t="shared" si="135"/>
        <v>524</v>
      </c>
      <c r="H98" s="200">
        <f t="shared" si="135"/>
        <v>935.18299999999999</v>
      </c>
      <c r="I98" s="200">
        <f t="shared" si="135"/>
        <v>1198.2659712</v>
      </c>
      <c r="J98" s="200">
        <f t="shared" si="135"/>
        <v>1559.4147398775051</v>
      </c>
      <c r="K98" s="200">
        <f t="shared" si="135"/>
        <v>1606.0366704217649</v>
      </c>
      <c r="L98" s="49"/>
      <c r="M98" s="3"/>
      <c r="N98" s="48"/>
      <c r="O98" s="48"/>
      <c r="P98" s="48"/>
      <c r="Q98" s="181">
        <v>417.7</v>
      </c>
      <c r="R98" s="181">
        <v>426</v>
      </c>
      <c r="S98" s="181">
        <v>398.2</v>
      </c>
      <c r="T98" s="181">
        <v>398</v>
      </c>
      <c r="U98" s="181">
        <v>374.5</v>
      </c>
      <c r="V98" s="181">
        <v>389.9</v>
      </c>
      <c r="W98" s="181">
        <v>398.1</v>
      </c>
      <c r="X98" s="181">
        <v>470.8</v>
      </c>
      <c r="Y98" s="181">
        <v>469.1</v>
      </c>
      <c r="Z98" s="181">
        <v>350.99200000000002</v>
      </c>
      <c r="AA98" s="181">
        <v>226.4</v>
      </c>
      <c r="AB98" s="181">
        <v>202.9</v>
      </c>
      <c r="AC98" s="181">
        <v>153.80000000000001</v>
      </c>
      <c r="AD98" s="181">
        <v>132.5</v>
      </c>
      <c r="AE98" s="181">
        <v>115.9</v>
      </c>
      <c r="AF98" s="181">
        <v>125</v>
      </c>
      <c r="AG98" s="181">
        <v>150.6</v>
      </c>
      <c r="AH98" s="181">
        <v>204.97900000000001</v>
      </c>
      <c r="AI98" s="181">
        <v>249.07900000000001</v>
      </c>
      <c r="AJ98" s="181">
        <v>248.405</v>
      </c>
      <c r="AK98" s="181">
        <v>232.72</v>
      </c>
      <c r="AL98" s="299">
        <f t="shared" ref="AL98:AW98" si="143">+AK98*(1+AL114)</f>
        <v>237.37440000000001</v>
      </c>
      <c r="AM98" s="299">
        <f t="shared" si="143"/>
        <v>272.98055999999997</v>
      </c>
      <c r="AN98" s="299">
        <f t="shared" si="143"/>
        <v>327.57667199999997</v>
      </c>
      <c r="AO98" s="299">
        <f t="shared" si="143"/>
        <v>360.33433919999999</v>
      </c>
      <c r="AP98" s="299">
        <f t="shared" si="143"/>
        <v>378.35105615999998</v>
      </c>
      <c r="AQ98" s="299">
        <f t="shared" si="143"/>
        <v>385.91807728319998</v>
      </c>
      <c r="AR98" s="299">
        <f t="shared" si="143"/>
        <v>393.63643882886396</v>
      </c>
      <c r="AS98" s="299">
        <f t="shared" si="143"/>
        <v>401.50916760544123</v>
      </c>
      <c r="AT98" s="299">
        <f t="shared" si="143"/>
        <v>401.50916760544123</v>
      </c>
      <c r="AU98" s="299">
        <f t="shared" si="143"/>
        <v>401.50916760544123</v>
      </c>
      <c r="AV98" s="299">
        <f t="shared" si="143"/>
        <v>401.50916760544123</v>
      </c>
      <c r="AW98" s="299">
        <f t="shared" si="143"/>
        <v>401.50916760544123</v>
      </c>
      <c r="AX98" s="5"/>
      <c r="AY98" s="5"/>
      <c r="AZ98" s="5"/>
      <c r="BA98" s="5"/>
      <c r="BB98" s="5"/>
      <c r="BC98" s="5"/>
      <c r="BD98" s="5"/>
      <c r="BE98" s="5"/>
      <c r="BF98" s="2">
        <f t="shared" si="111"/>
        <v>92</v>
      </c>
    </row>
    <row r="99" spans="1:58" ht="11.25" customHeight="1" outlineLevel="1">
      <c r="A99" s="50"/>
      <c r="B99" s="175" t="s">
        <v>7</v>
      </c>
      <c r="C99" s="300">
        <f t="shared" si="135"/>
        <v>369.29999999999995</v>
      </c>
      <c r="D99" s="300">
        <f t="shared" si="135"/>
        <v>1445.6000000000001</v>
      </c>
      <c r="E99" s="300">
        <f t="shared" si="135"/>
        <v>1356</v>
      </c>
      <c r="F99" s="300">
        <f t="shared" si="135"/>
        <v>759.69999999999993</v>
      </c>
      <c r="G99" s="300">
        <f t="shared" si="135"/>
        <v>331.79999999999995</v>
      </c>
      <c r="H99" s="300">
        <f t="shared" si="135"/>
        <v>372.78100000000001</v>
      </c>
      <c r="I99" s="300">
        <f t="shared" si="135"/>
        <v>472.78601456750005</v>
      </c>
      <c r="J99" s="300">
        <f t="shared" si="135"/>
        <v>542.62522734022662</v>
      </c>
      <c r="K99" s="300">
        <f t="shared" si="135"/>
        <v>591.91074193825318</v>
      </c>
      <c r="L99" s="49"/>
      <c r="M99" s="3"/>
      <c r="N99" s="38">
        <f t="shared" ref="N99:AG99" si="144">SUM(N100:N102)</f>
        <v>0</v>
      </c>
      <c r="O99" s="38">
        <f t="shared" si="144"/>
        <v>0</v>
      </c>
      <c r="P99" s="38">
        <f t="shared" si="144"/>
        <v>0</v>
      </c>
      <c r="Q99" s="38">
        <f t="shared" si="144"/>
        <v>369.29999999999995</v>
      </c>
      <c r="R99" s="38">
        <f t="shared" si="144"/>
        <v>367.4</v>
      </c>
      <c r="S99" s="38">
        <f t="shared" si="144"/>
        <v>369.20000000000005</v>
      </c>
      <c r="T99" s="38">
        <f t="shared" si="144"/>
        <v>359.70000000000005</v>
      </c>
      <c r="U99" s="38">
        <f t="shared" si="144"/>
        <v>349.3</v>
      </c>
      <c r="V99" s="38">
        <f t="shared" si="144"/>
        <v>321.2</v>
      </c>
      <c r="W99" s="38">
        <f t="shared" si="144"/>
        <v>343.9</v>
      </c>
      <c r="X99" s="38">
        <f t="shared" si="144"/>
        <v>348.79999999999995</v>
      </c>
      <c r="Y99" s="38">
        <f t="shared" si="144"/>
        <v>342.1</v>
      </c>
      <c r="Z99" s="38">
        <f t="shared" si="144"/>
        <v>251.5</v>
      </c>
      <c r="AA99" s="38">
        <f t="shared" si="144"/>
        <v>208.7</v>
      </c>
      <c r="AB99" s="38">
        <f t="shared" si="144"/>
        <v>163.89999999999998</v>
      </c>
      <c r="AC99" s="38">
        <f t="shared" si="144"/>
        <v>135.6</v>
      </c>
      <c r="AD99" s="38">
        <f t="shared" si="144"/>
        <v>96.699999999999989</v>
      </c>
      <c r="AE99" s="38">
        <f t="shared" si="144"/>
        <v>80.5</v>
      </c>
      <c r="AF99" s="38">
        <f t="shared" si="144"/>
        <v>73.599999999999994</v>
      </c>
      <c r="AG99" s="38">
        <f t="shared" si="144"/>
        <v>81</v>
      </c>
      <c r="AH99" s="38">
        <f>AH13</f>
        <v>68.605000000000004</v>
      </c>
      <c r="AI99" s="38">
        <f>AI13</f>
        <v>88.605999999999995</v>
      </c>
      <c r="AJ99" s="38">
        <f>AJ13</f>
        <v>97.332999999999998</v>
      </c>
      <c r="AK99" s="38">
        <f>AK13</f>
        <v>118.23699999999999</v>
      </c>
      <c r="AL99" s="38">
        <f t="shared" ref="AL99:AW99" si="145">SUM(AL100:AL102)</f>
        <v>109.66040000000001</v>
      </c>
      <c r="AM99" s="38">
        <f t="shared" si="145"/>
        <v>117.499325</v>
      </c>
      <c r="AN99" s="38">
        <f t="shared" si="145"/>
        <v>121.28478024999998</v>
      </c>
      <c r="AO99" s="38">
        <f t="shared" si="145"/>
        <v>124.3415093175</v>
      </c>
      <c r="AP99" s="38">
        <f t="shared" si="145"/>
        <v>128.696405330625</v>
      </c>
      <c r="AQ99" s="38">
        <f t="shared" si="145"/>
        <v>133.21880326602377</v>
      </c>
      <c r="AR99" s="38">
        <f t="shared" si="145"/>
        <v>137.91568338356248</v>
      </c>
      <c r="AS99" s="38">
        <f t="shared" si="145"/>
        <v>142.79433536001534</v>
      </c>
      <c r="AT99" s="38">
        <f t="shared" si="145"/>
        <v>144.79573864585637</v>
      </c>
      <c r="AU99" s="38">
        <f t="shared" si="145"/>
        <v>146.86759989965543</v>
      </c>
      <c r="AV99" s="38">
        <f t="shared" si="145"/>
        <v>149.01284977588378</v>
      </c>
      <c r="AW99" s="38">
        <f t="shared" si="145"/>
        <v>151.23455361685765</v>
      </c>
      <c r="AX99" s="39"/>
      <c r="AY99" s="39"/>
      <c r="AZ99" s="39"/>
      <c r="BA99" s="39"/>
      <c r="BB99" s="39"/>
      <c r="BC99" s="39"/>
      <c r="BD99" s="39"/>
      <c r="BE99" s="39"/>
      <c r="BF99" s="2">
        <f t="shared" si="111"/>
        <v>93</v>
      </c>
    </row>
    <row r="100" spans="1:58" ht="11.25" customHeight="1" outlineLevel="1">
      <c r="A100" s="50"/>
      <c r="B100" s="176" t="s">
        <v>158</v>
      </c>
      <c r="C100" s="200">
        <f t="shared" si="135"/>
        <v>222.4</v>
      </c>
      <c r="D100" s="200">
        <f t="shared" si="135"/>
        <v>887.2</v>
      </c>
      <c r="E100" s="200">
        <f t="shared" si="135"/>
        <v>865.8</v>
      </c>
      <c r="F100" s="200">
        <f t="shared" si="135"/>
        <v>379.9</v>
      </c>
      <c r="G100" s="200">
        <f t="shared" si="135"/>
        <v>87.2</v>
      </c>
      <c r="H100" s="200">
        <f t="shared" si="135"/>
        <v>151.63</v>
      </c>
      <c r="I100" s="200">
        <f t="shared" si="135"/>
        <v>240.4577178875</v>
      </c>
      <c r="J100" s="200">
        <f t="shared" si="135"/>
        <v>280.07851572840536</v>
      </c>
      <c r="K100" s="200">
        <f t="shared" si="135"/>
        <v>292.61629323680455</v>
      </c>
      <c r="L100" s="49"/>
      <c r="M100" s="3"/>
      <c r="N100" s="48"/>
      <c r="O100" s="48"/>
      <c r="P100" s="48"/>
      <c r="Q100" s="181">
        <v>222.4</v>
      </c>
      <c r="R100" s="181">
        <v>216.7</v>
      </c>
      <c r="S100" s="181">
        <v>231.2</v>
      </c>
      <c r="T100" s="181">
        <v>225.1</v>
      </c>
      <c r="U100" s="181">
        <v>214.2</v>
      </c>
      <c r="V100" s="181">
        <v>202.3</v>
      </c>
      <c r="W100" s="181">
        <v>214.6</v>
      </c>
      <c r="X100" s="181">
        <v>225</v>
      </c>
      <c r="Y100" s="181">
        <v>223.9</v>
      </c>
      <c r="Z100" s="181">
        <v>144.9</v>
      </c>
      <c r="AA100" s="181">
        <v>100.3</v>
      </c>
      <c r="AB100" s="181">
        <v>86.3</v>
      </c>
      <c r="AC100" s="181">
        <v>48.4</v>
      </c>
      <c r="AD100" s="181">
        <v>27.5</v>
      </c>
      <c r="AE100" s="181">
        <v>20.399999999999999</v>
      </c>
      <c r="AF100" s="181">
        <v>19.3</v>
      </c>
      <c r="AG100" s="181">
        <v>20</v>
      </c>
      <c r="AH100" s="181">
        <v>23.434999999999999</v>
      </c>
      <c r="AI100" s="181">
        <v>33.061999999999998</v>
      </c>
      <c r="AJ100" s="181">
        <v>40.122999999999998</v>
      </c>
      <c r="AK100" s="181">
        <v>55.01</v>
      </c>
      <c r="AL100" s="299">
        <f t="shared" ref="AL100:AW100" si="146">+AK100*(1+AL116)</f>
        <v>52.259499999999996</v>
      </c>
      <c r="AM100" s="299">
        <f t="shared" si="146"/>
        <v>60.098424999999992</v>
      </c>
      <c r="AN100" s="299">
        <f t="shared" si="146"/>
        <v>63.103346249999994</v>
      </c>
      <c r="AO100" s="299">
        <f t="shared" si="146"/>
        <v>64.9964466375</v>
      </c>
      <c r="AP100" s="299">
        <f t="shared" si="146"/>
        <v>66.946340036625003</v>
      </c>
      <c r="AQ100" s="299">
        <f t="shared" si="146"/>
        <v>68.954730237723751</v>
      </c>
      <c r="AR100" s="299">
        <f t="shared" si="146"/>
        <v>71.023372144855472</v>
      </c>
      <c r="AS100" s="299">
        <f t="shared" si="146"/>
        <v>73.154073309201138</v>
      </c>
      <c r="AT100" s="299">
        <f t="shared" si="146"/>
        <v>73.154073309201138</v>
      </c>
      <c r="AU100" s="299">
        <f t="shared" si="146"/>
        <v>73.154073309201138</v>
      </c>
      <c r="AV100" s="299">
        <f t="shared" si="146"/>
        <v>73.154073309201138</v>
      </c>
      <c r="AW100" s="299">
        <f t="shared" si="146"/>
        <v>73.154073309201138</v>
      </c>
      <c r="AX100" s="5"/>
      <c r="AY100" s="5"/>
      <c r="AZ100" s="5"/>
      <c r="BA100" s="5"/>
      <c r="BB100" s="5"/>
      <c r="BC100" s="5"/>
      <c r="BD100" s="5"/>
      <c r="BE100" s="5"/>
      <c r="BF100" s="2">
        <f t="shared" si="111"/>
        <v>94</v>
      </c>
    </row>
    <row r="101" spans="1:58" ht="11.25" customHeight="1" outlineLevel="1">
      <c r="A101" s="50"/>
      <c r="B101" s="176" t="s">
        <v>157</v>
      </c>
      <c r="C101" s="200">
        <f t="shared" si="135"/>
        <v>56.8</v>
      </c>
      <c r="D101" s="200">
        <f t="shared" si="135"/>
        <v>207.8</v>
      </c>
      <c r="E101" s="200">
        <f t="shared" si="135"/>
        <v>138.6</v>
      </c>
      <c r="F101" s="200">
        <f t="shared" si="135"/>
        <v>74.3</v>
      </c>
      <c r="G101" s="200">
        <f t="shared" si="135"/>
        <v>68.400000000000006</v>
      </c>
      <c r="H101" s="200">
        <f t="shared" si="135"/>
        <v>74.034000000000006</v>
      </c>
      <c r="I101" s="200">
        <f t="shared" si="135"/>
        <v>73.864284000000012</v>
      </c>
      <c r="J101" s="200">
        <f t="shared" si="135"/>
        <v>78.790792202029465</v>
      </c>
      <c r="K101" s="200">
        <f t="shared" si="135"/>
        <v>91.809677678255653</v>
      </c>
      <c r="L101" s="49"/>
      <c r="M101" s="3"/>
      <c r="N101" s="48"/>
      <c r="O101" s="48"/>
      <c r="P101" s="48"/>
      <c r="Q101" s="181">
        <v>56.8</v>
      </c>
      <c r="R101" s="181">
        <v>53.9</v>
      </c>
      <c r="S101" s="181">
        <v>53.6</v>
      </c>
      <c r="T101" s="181">
        <v>52.5</v>
      </c>
      <c r="U101" s="181">
        <v>47.8</v>
      </c>
      <c r="V101" s="181">
        <v>34.6</v>
      </c>
      <c r="W101" s="181">
        <v>38.4</v>
      </c>
      <c r="X101" s="181">
        <v>37.200000000000003</v>
      </c>
      <c r="Y101" s="181">
        <v>28.4</v>
      </c>
      <c r="Z101" s="181">
        <v>25.6</v>
      </c>
      <c r="AA101" s="181">
        <v>22.3</v>
      </c>
      <c r="AB101" s="181">
        <v>12.3</v>
      </c>
      <c r="AC101" s="181">
        <v>14.1</v>
      </c>
      <c r="AD101" s="181">
        <v>16.399999999999999</v>
      </c>
      <c r="AE101" s="181">
        <v>15.6</v>
      </c>
      <c r="AF101" s="181">
        <v>14.2</v>
      </c>
      <c r="AG101" s="181">
        <v>22.2</v>
      </c>
      <c r="AH101" s="181">
        <v>17.745999999999999</v>
      </c>
      <c r="AI101" s="181">
        <v>19.937000000000001</v>
      </c>
      <c r="AJ101" s="181">
        <v>16.486999999999998</v>
      </c>
      <c r="AK101" s="181">
        <v>19.864000000000001</v>
      </c>
      <c r="AL101" s="299">
        <f t="shared" ref="AL101:AW101" si="147">+AK101*(1+AL117)</f>
        <v>18.374200000000002</v>
      </c>
      <c r="AM101" s="299">
        <f t="shared" si="147"/>
        <v>18.374200000000002</v>
      </c>
      <c r="AN101" s="299">
        <f t="shared" si="147"/>
        <v>18.374200000000002</v>
      </c>
      <c r="AO101" s="299">
        <f t="shared" si="147"/>
        <v>18.741684000000003</v>
      </c>
      <c r="AP101" s="299">
        <f t="shared" si="147"/>
        <v>19.116517680000005</v>
      </c>
      <c r="AQ101" s="299">
        <f t="shared" si="147"/>
        <v>19.498848033600005</v>
      </c>
      <c r="AR101" s="299">
        <f t="shared" si="147"/>
        <v>19.888824994272007</v>
      </c>
      <c r="AS101" s="299">
        <f t="shared" si="147"/>
        <v>20.286601494157448</v>
      </c>
      <c r="AT101" s="299">
        <f t="shared" si="147"/>
        <v>21.300931568865323</v>
      </c>
      <c r="AU101" s="299">
        <f t="shared" si="147"/>
        <v>22.365978147308589</v>
      </c>
      <c r="AV101" s="299">
        <f t="shared" si="147"/>
        <v>23.48427705467402</v>
      </c>
      <c r="AW101" s="299">
        <f t="shared" si="147"/>
        <v>24.658490907407721</v>
      </c>
      <c r="AX101" s="5"/>
      <c r="AY101" s="5"/>
      <c r="AZ101" s="5"/>
      <c r="BA101" s="5"/>
      <c r="BB101" s="5"/>
      <c r="BC101" s="5"/>
      <c r="BD101" s="5"/>
      <c r="BE101" s="5"/>
      <c r="BF101" s="2">
        <f t="shared" si="111"/>
        <v>95</v>
      </c>
    </row>
    <row r="102" spans="1:58" ht="11.25" customHeight="1" outlineLevel="1">
      <c r="A102" s="50"/>
      <c r="B102" s="176" t="s">
        <v>156</v>
      </c>
      <c r="C102" s="200">
        <f t="shared" si="135"/>
        <v>90.1</v>
      </c>
      <c r="D102" s="200">
        <f t="shared" si="135"/>
        <v>350.59999999999997</v>
      </c>
      <c r="E102" s="200">
        <f t="shared" si="135"/>
        <v>351.59999999999997</v>
      </c>
      <c r="F102" s="200">
        <f t="shared" si="135"/>
        <v>305.5</v>
      </c>
      <c r="G102" s="200">
        <f t="shared" si="135"/>
        <v>176.2</v>
      </c>
      <c r="H102" s="200">
        <f t="shared" si="135"/>
        <v>147.11699999999999</v>
      </c>
      <c r="I102" s="200">
        <f t="shared" si="135"/>
        <v>158.46401268</v>
      </c>
      <c r="J102" s="200">
        <f t="shared" si="135"/>
        <v>183.75591940979177</v>
      </c>
      <c r="K102" s="200">
        <f t="shared" si="135"/>
        <v>207.48477102319299</v>
      </c>
      <c r="L102" s="49"/>
      <c r="M102" s="3"/>
      <c r="N102" s="48"/>
      <c r="O102" s="48"/>
      <c r="P102" s="48"/>
      <c r="Q102" s="181">
        <v>90.1</v>
      </c>
      <c r="R102" s="181">
        <v>96.8</v>
      </c>
      <c r="S102" s="181">
        <v>84.4</v>
      </c>
      <c r="T102" s="181">
        <v>82.1</v>
      </c>
      <c r="U102" s="181">
        <v>87.3</v>
      </c>
      <c r="V102" s="181">
        <v>84.3</v>
      </c>
      <c r="W102" s="181">
        <v>90.9</v>
      </c>
      <c r="X102" s="181">
        <v>86.6</v>
      </c>
      <c r="Y102" s="181">
        <v>89.8</v>
      </c>
      <c r="Z102" s="181">
        <v>81</v>
      </c>
      <c r="AA102" s="181">
        <v>86.1</v>
      </c>
      <c r="AB102" s="181">
        <v>65.3</v>
      </c>
      <c r="AC102" s="181">
        <v>73.099999999999994</v>
      </c>
      <c r="AD102" s="181">
        <v>52.8</v>
      </c>
      <c r="AE102" s="181">
        <v>44.5</v>
      </c>
      <c r="AF102" s="181">
        <v>40.1</v>
      </c>
      <c r="AG102" s="181">
        <v>38.799999999999997</v>
      </c>
      <c r="AH102" s="181">
        <v>27.423999999999999</v>
      </c>
      <c r="AI102" s="181">
        <v>35.606999999999999</v>
      </c>
      <c r="AJ102" s="181">
        <v>40.722999999999999</v>
      </c>
      <c r="AK102" s="181">
        <v>43.363</v>
      </c>
      <c r="AL102" s="299">
        <f t="shared" ref="AL102:AW102" si="148">+AK102*(1+AL118)</f>
        <v>39.026699999999998</v>
      </c>
      <c r="AM102" s="299">
        <f t="shared" si="148"/>
        <v>39.026699999999998</v>
      </c>
      <c r="AN102" s="299">
        <f t="shared" si="148"/>
        <v>39.807234000000001</v>
      </c>
      <c r="AO102" s="299">
        <f t="shared" si="148"/>
        <v>40.603378679999999</v>
      </c>
      <c r="AP102" s="299">
        <f t="shared" si="148"/>
        <v>42.633547614000001</v>
      </c>
      <c r="AQ102" s="299">
        <f t="shared" si="148"/>
        <v>44.765224994700006</v>
      </c>
      <c r="AR102" s="299">
        <f t="shared" si="148"/>
        <v>47.00348624443501</v>
      </c>
      <c r="AS102" s="299">
        <f t="shared" si="148"/>
        <v>49.353660556656763</v>
      </c>
      <c r="AT102" s="299">
        <f t="shared" si="148"/>
        <v>50.340733767789899</v>
      </c>
      <c r="AU102" s="299">
        <f t="shared" si="148"/>
        <v>51.347548443145698</v>
      </c>
      <c r="AV102" s="299">
        <f t="shared" si="148"/>
        <v>52.37449941200861</v>
      </c>
      <c r="AW102" s="299">
        <f t="shared" si="148"/>
        <v>53.421989400248783</v>
      </c>
      <c r="AX102" s="5"/>
      <c r="AY102" s="5"/>
      <c r="AZ102" s="5"/>
      <c r="BA102" s="5"/>
      <c r="BB102" s="5"/>
      <c r="BC102" s="5"/>
      <c r="BD102" s="5"/>
      <c r="BE102" s="5"/>
      <c r="BF102" s="2">
        <f t="shared" si="111"/>
        <v>96</v>
      </c>
    </row>
    <row r="103" spans="1:58" ht="11.25" customHeight="1" outlineLevel="1">
      <c r="A103" s="50"/>
      <c r="B103" s="175" t="s">
        <v>162</v>
      </c>
      <c r="C103" s="300">
        <f t="shared" si="135"/>
        <v>198.4</v>
      </c>
      <c r="D103" s="300">
        <f t="shared" si="135"/>
        <v>731.1</v>
      </c>
      <c r="E103" s="300">
        <f t="shared" si="135"/>
        <v>548.80000000000007</v>
      </c>
      <c r="F103" s="300">
        <f t="shared" si="135"/>
        <v>467.6</v>
      </c>
      <c r="G103" s="300">
        <f t="shared" si="135"/>
        <v>284</v>
      </c>
      <c r="H103" s="300">
        <f t="shared" si="135"/>
        <v>272.42200000000003</v>
      </c>
      <c r="I103" s="300">
        <f t="shared" si="135"/>
        <v>228.48945354100002</v>
      </c>
      <c r="J103" s="300">
        <f t="shared" si="135"/>
        <v>246.46846785919661</v>
      </c>
      <c r="K103" s="300">
        <f t="shared" si="135"/>
        <v>268.87382184782439</v>
      </c>
      <c r="L103" s="49"/>
      <c r="M103" s="3"/>
      <c r="N103" s="38">
        <f t="shared" ref="N103:AG103" si="149">SUM(N104:N106)</f>
        <v>0</v>
      </c>
      <c r="O103" s="38">
        <f t="shared" si="149"/>
        <v>0</v>
      </c>
      <c r="P103" s="38">
        <f t="shared" si="149"/>
        <v>0</v>
      </c>
      <c r="Q103" s="38">
        <f t="shared" si="149"/>
        <v>198.4</v>
      </c>
      <c r="R103" s="38">
        <f t="shared" si="149"/>
        <v>148.1</v>
      </c>
      <c r="S103" s="38">
        <f t="shared" si="149"/>
        <v>187</v>
      </c>
      <c r="T103" s="38">
        <f t="shared" si="149"/>
        <v>215.4</v>
      </c>
      <c r="U103" s="38">
        <f t="shared" si="149"/>
        <v>180.60000000000002</v>
      </c>
      <c r="V103" s="38">
        <f t="shared" si="149"/>
        <v>130.1</v>
      </c>
      <c r="W103" s="38">
        <f t="shared" si="149"/>
        <v>139.60000000000002</v>
      </c>
      <c r="X103" s="38">
        <f t="shared" si="149"/>
        <v>150.19999999999999</v>
      </c>
      <c r="Y103" s="38">
        <f t="shared" si="149"/>
        <v>128.9</v>
      </c>
      <c r="Z103" s="38">
        <f t="shared" si="149"/>
        <v>115.30000000000001</v>
      </c>
      <c r="AA103" s="38">
        <f t="shared" si="149"/>
        <v>127</v>
      </c>
      <c r="AB103" s="38">
        <f t="shared" si="149"/>
        <v>104.10000000000001</v>
      </c>
      <c r="AC103" s="38">
        <f t="shared" si="149"/>
        <v>121.19999999999999</v>
      </c>
      <c r="AD103" s="38">
        <f t="shared" si="149"/>
        <v>87.3</v>
      </c>
      <c r="AE103" s="38">
        <f t="shared" si="149"/>
        <v>79.2</v>
      </c>
      <c r="AF103" s="38">
        <f t="shared" si="149"/>
        <v>64</v>
      </c>
      <c r="AG103" s="38">
        <f t="shared" si="149"/>
        <v>53.5</v>
      </c>
      <c r="AH103" s="38">
        <f>AH14</f>
        <v>58.920999999999999</v>
      </c>
      <c r="AI103" s="38">
        <f>AI14</f>
        <v>63.555999999999997</v>
      </c>
      <c r="AJ103" s="38">
        <f>AJ14</f>
        <v>83.084999999999994</v>
      </c>
      <c r="AK103" s="38">
        <f>AK14</f>
        <v>66.86</v>
      </c>
      <c r="AL103" s="38">
        <f t="shared" ref="AL103:AW103" si="150">SUM(AL104:AL106)</f>
        <v>58.431160000000006</v>
      </c>
      <c r="AM103" s="38">
        <f t="shared" si="150"/>
        <v>55.807430400000001</v>
      </c>
      <c r="AN103" s="38">
        <f t="shared" si="150"/>
        <v>56.676061620000013</v>
      </c>
      <c r="AO103" s="38">
        <f t="shared" si="150"/>
        <v>57.574801521000012</v>
      </c>
      <c r="AP103" s="38">
        <f t="shared" si="150"/>
        <v>59.002583423915539</v>
      </c>
      <c r="AQ103" s="38">
        <f t="shared" si="150"/>
        <v>60.708240253142577</v>
      </c>
      <c r="AR103" s="38">
        <f t="shared" si="150"/>
        <v>62.46943693449505</v>
      </c>
      <c r="AS103" s="38">
        <f t="shared" si="150"/>
        <v>64.288207247643442</v>
      </c>
      <c r="AT103" s="38">
        <f t="shared" si="150"/>
        <v>65.642871691628841</v>
      </c>
      <c r="AU103" s="38">
        <f t="shared" si="150"/>
        <v>66.681191366811817</v>
      </c>
      <c r="AV103" s="38">
        <f t="shared" si="150"/>
        <v>67.737532057911963</v>
      </c>
      <c r="AW103" s="38">
        <f t="shared" si="150"/>
        <v>68.812226731471753</v>
      </c>
      <c r="AX103" s="39"/>
      <c r="AY103" s="39"/>
      <c r="AZ103" s="39"/>
      <c r="BA103" s="39"/>
      <c r="BB103" s="39"/>
      <c r="BC103" s="39"/>
      <c r="BD103" s="39"/>
      <c r="BE103" s="39"/>
      <c r="BF103" s="2">
        <f t="shared" si="111"/>
        <v>97</v>
      </c>
    </row>
    <row r="104" spans="1:58" ht="11.25" customHeight="1" outlineLevel="1">
      <c r="A104" s="50"/>
      <c r="B104" s="176" t="s">
        <v>158</v>
      </c>
      <c r="C104" s="200">
        <f t="shared" si="135"/>
        <v>15</v>
      </c>
      <c r="D104" s="200">
        <f t="shared" si="135"/>
        <v>75.399999999999991</v>
      </c>
      <c r="E104" s="200">
        <f t="shared" si="135"/>
        <v>105.1</v>
      </c>
      <c r="F104" s="200">
        <f t="shared" si="135"/>
        <v>59.899999999999991</v>
      </c>
      <c r="G104" s="200">
        <f t="shared" si="135"/>
        <v>42</v>
      </c>
      <c r="H104" s="200">
        <f t="shared" si="135"/>
        <v>34.285000000000004</v>
      </c>
      <c r="I104" s="200">
        <f t="shared" si="135"/>
        <v>35.091165621000002</v>
      </c>
      <c r="J104" s="200">
        <f t="shared" si="135"/>
        <v>42.314306508294443</v>
      </c>
      <c r="K104" s="200">
        <f t="shared" si="135"/>
        <v>49.150979821722487</v>
      </c>
      <c r="L104" s="49"/>
      <c r="M104" s="3"/>
      <c r="N104" s="48"/>
      <c r="O104" s="48"/>
      <c r="P104" s="48"/>
      <c r="Q104" s="181">
        <v>15</v>
      </c>
      <c r="R104" s="181">
        <v>16.2</v>
      </c>
      <c r="S104" s="181">
        <v>19.899999999999999</v>
      </c>
      <c r="T104" s="181">
        <v>22.3</v>
      </c>
      <c r="U104" s="181">
        <v>17</v>
      </c>
      <c r="V104" s="181">
        <v>21.8</v>
      </c>
      <c r="W104" s="181">
        <v>27</v>
      </c>
      <c r="X104" s="181">
        <v>32.4</v>
      </c>
      <c r="Y104" s="181">
        <v>23.9</v>
      </c>
      <c r="Z104" s="181">
        <v>18</v>
      </c>
      <c r="AA104" s="181">
        <v>13.9</v>
      </c>
      <c r="AB104" s="181">
        <v>15.7</v>
      </c>
      <c r="AC104" s="181">
        <v>12.3</v>
      </c>
      <c r="AD104" s="181">
        <v>10.199999999999999</v>
      </c>
      <c r="AE104" s="181">
        <v>9.1</v>
      </c>
      <c r="AF104" s="181">
        <v>10.7</v>
      </c>
      <c r="AG104" s="181">
        <v>12</v>
      </c>
      <c r="AH104" s="181">
        <v>9.0850000000000009</v>
      </c>
      <c r="AI104" s="181">
        <v>7.9210000000000003</v>
      </c>
      <c r="AJ104" s="181">
        <v>9.1180000000000003</v>
      </c>
      <c r="AK104" s="181">
        <v>8.1609999999999996</v>
      </c>
      <c r="AL104" s="299">
        <f t="shared" ref="AL104:AW104" si="151">+AK104*(1+AL120)</f>
        <v>8.3242200000000004</v>
      </c>
      <c r="AM104" s="299">
        <f t="shared" si="151"/>
        <v>8.4907044000000003</v>
      </c>
      <c r="AN104" s="299">
        <f t="shared" si="151"/>
        <v>8.9152396200000013</v>
      </c>
      <c r="AO104" s="299">
        <f t="shared" si="151"/>
        <v>9.3610016010000017</v>
      </c>
      <c r="AP104" s="299">
        <f t="shared" si="151"/>
        <v>9.8245075055155358</v>
      </c>
      <c r="AQ104" s="299">
        <f t="shared" si="151"/>
        <v>10.310963702390577</v>
      </c>
      <c r="AR104" s="299">
        <f t="shared" si="151"/>
        <v>10.82150656532448</v>
      </c>
      <c r="AS104" s="299">
        <f t="shared" si="151"/>
        <v>11.357328735063847</v>
      </c>
      <c r="AT104" s="299">
        <f t="shared" si="151"/>
        <v>11.925195171817039</v>
      </c>
      <c r="AU104" s="299">
        <f t="shared" si="151"/>
        <v>12.16369907525338</v>
      </c>
      <c r="AV104" s="299">
        <f t="shared" si="151"/>
        <v>12.406973056758448</v>
      </c>
      <c r="AW104" s="299">
        <f t="shared" si="151"/>
        <v>12.655112517893617</v>
      </c>
      <c r="AX104" s="5"/>
      <c r="AY104" s="5"/>
      <c r="AZ104" s="5"/>
      <c r="BA104" s="5"/>
      <c r="BB104" s="5"/>
      <c r="BC104" s="5"/>
      <c r="BD104" s="5"/>
      <c r="BE104" s="5"/>
      <c r="BF104" s="2">
        <f t="shared" si="111"/>
        <v>98</v>
      </c>
    </row>
    <row r="105" spans="1:58" ht="11.25" customHeight="1" outlineLevel="1">
      <c r="A105" s="50"/>
      <c r="B105" s="176" t="s">
        <v>157</v>
      </c>
      <c r="C105" s="200">
        <f t="shared" si="135"/>
        <v>87.2</v>
      </c>
      <c r="D105" s="200">
        <f t="shared" si="135"/>
        <v>390.5</v>
      </c>
      <c r="E105" s="200">
        <f t="shared" si="135"/>
        <v>312.5</v>
      </c>
      <c r="F105" s="200">
        <f t="shared" si="135"/>
        <v>293.59999999999997</v>
      </c>
      <c r="G105" s="200">
        <f t="shared" si="135"/>
        <v>157.49999999999997</v>
      </c>
      <c r="H105" s="200">
        <f t="shared" si="135"/>
        <v>161.76499999999999</v>
      </c>
      <c r="I105" s="200">
        <f t="shared" si="135"/>
        <v>103.23791800000001</v>
      </c>
      <c r="J105" s="200">
        <f t="shared" si="135"/>
        <v>105.57154539894817</v>
      </c>
      <c r="K105" s="200">
        <f t="shared" si="135"/>
        <v>111.47333897585767</v>
      </c>
      <c r="L105" s="49"/>
      <c r="M105" s="3"/>
      <c r="N105" s="48"/>
      <c r="O105" s="48"/>
      <c r="P105" s="48"/>
      <c r="Q105" s="181">
        <v>87.2</v>
      </c>
      <c r="R105" s="181">
        <v>84.1</v>
      </c>
      <c r="S105" s="181">
        <v>96.2</v>
      </c>
      <c r="T105" s="181">
        <v>111.5</v>
      </c>
      <c r="U105" s="181">
        <v>98.7</v>
      </c>
      <c r="V105" s="181">
        <v>74.900000000000006</v>
      </c>
      <c r="W105" s="181">
        <v>80.400000000000006</v>
      </c>
      <c r="X105" s="181">
        <v>84</v>
      </c>
      <c r="Y105" s="181">
        <v>73.2</v>
      </c>
      <c r="Z105" s="181">
        <v>71.900000000000006</v>
      </c>
      <c r="AA105" s="181">
        <v>76.8</v>
      </c>
      <c r="AB105" s="181">
        <v>62.2</v>
      </c>
      <c r="AC105" s="181">
        <f>105.6-22.9</f>
        <v>82.699999999999989</v>
      </c>
      <c r="AD105" s="181">
        <v>51.4</v>
      </c>
      <c r="AE105" s="181">
        <v>49.8</v>
      </c>
      <c r="AF105" s="181">
        <v>32.700000000000003</v>
      </c>
      <c r="AG105" s="181">
        <v>23.6</v>
      </c>
      <c r="AH105" s="181">
        <v>33.716999999999999</v>
      </c>
      <c r="AI105" s="181">
        <v>42.03</v>
      </c>
      <c r="AJ105" s="181">
        <v>51.991</v>
      </c>
      <c r="AK105" s="181">
        <v>34.027000000000001</v>
      </c>
      <c r="AL105" s="299">
        <f t="shared" ref="AL105:AW105" si="152">+AK105*(1+AL121)</f>
        <v>27.902140000000003</v>
      </c>
      <c r="AM105" s="299">
        <f t="shared" si="152"/>
        <v>25.111926000000004</v>
      </c>
      <c r="AN105" s="299">
        <f t="shared" si="152"/>
        <v>25.111926000000004</v>
      </c>
      <c r="AO105" s="299">
        <f t="shared" si="152"/>
        <v>25.111926000000004</v>
      </c>
      <c r="AP105" s="299">
        <f t="shared" si="152"/>
        <v>25.614164520000003</v>
      </c>
      <c r="AQ105" s="299">
        <f t="shared" si="152"/>
        <v>26.126447810400002</v>
      </c>
      <c r="AR105" s="299">
        <f t="shared" si="152"/>
        <v>26.648976766608001</v>
      </c>
      <c r="AS105" s="299">
        <f t="shared" si="152"/>
        <v>27.181956301940161</v>
      </c>
      <c r="AT105" s="299">
        <f t="shared" si="152"/>
        <v>27.453775864959564</v>
      </c>
      <c r="AU105" s="299">
        <f t="shared" si="152"/>
        <v>27.728313623609161</v>
      </c>
      <c r="AV105" s="299">
        <f t="shared" si="152"/>
        <v>28.005596759845254</v>
      </c>
      <c r="AW105" s="299">
        <f t="shared" si="152"/>
        <v>28.285652727443708</v>
      </c>
      <c r="AX105" s="5"/>
      <c r="AY105" s="5"/>
      <c r="AZ105" s="5"/>
      <c r="BA105" s="5"/>
      <c r="BB105" s="5"/>
      <c r="BC105" s="5"/>
      <c r="BD105" s="5"/>
      <c r="BE105" s="5"/>
      <c r="BF105" s="2">
        <f t="shared" si="111"/>
        <v>99</v>
      </c>
    </row>
    <row r="106" spans="1:58" ht="11.25" customHeight="1" outlineLevel="1">
      <c r="A106" s="50"/>
      <c r="B106" s="176" t="s">
        <v>156</v>
      </c>
      <c r="C106" s="200">
        <f t="shared" si="135"/>
        <v>96.2</v>
      </c>
      <c r="D106" s="200">
        <f t="shared" si="135"/>
        <v>265.20000000000005</v>
      </c>
      <c r="E106" s="200">
        <f t="shared" si="135"/>
        <v>131.19999999999999</v>
      </c>
      <c r="F106" s="200">
        <f t="shared" si="135"/>
        <v>114.1</v>
      </c>
      <c r="G106" s="200">
        <f t="shared" si="135"/>
        <v>84.5</v>
      </c>
      <c r="H106" s="200">
        <f t="shared" si="135"/>
        <v>76.372</v>
      </c>
      <c r="I106" s="200">
        <f t="shared" si="135"/>
        <v>90.160369920000008</v>
      </c>
      <c r="J106" s="200">
        <f t="shared" si="135"/>
        <v>98.582615951954011</v>
      </c>
      <c r="K106" s="200">
        <f t="shared" si="135"/>
        <v>108.24950305024419</v>
      </c>
      <c r="L106" s="49"/>
      <c r="M106" s="3"/>
      <c r="N106" s="48"/>
      <c r="O106" s="48"/>
      <c r="P106" s="48"/>
      <c r="Q106" s="181">
        <v>96.2</v>
      </c>
      <c r="R106" s="181">
        <v>47.8</v>
      </c>
      <c r="S106" s="181">
        <v>70.900000000000006</v>
      </c>
      <c r="T106" s="181">
        <v>81.599999999999994</v>
      </c>
      <c r="U106" s="181">
        <v>64.900000000000006</v>
      </c>
      <c r="V106" s="181">
        <v>33.4</v>
      </c>
      <c r="W106" s="181">
        <v>32.200000000000003</v>
      </c>
      <c r="X106" s="181">
        <v>33.799999999999997</v>
      </c>
      <c r="Y106" s="181">
        <v>31.8</v>
      </c>
      <c r="Z106" s="181">
        <v>25.4</v>
      </c>
      <c r="AA106" s="181">
        <v>36.299999999999997</v>
      </c>
      <c r="AB106" s="181">
        <v>26.2</v>
      </c>
      <c r="AC106" s="181">
        <v>26.2</v>
      </c>
      <c r="AD106" s="181">
        <v>25.7</v>
      </c>
      <c r="AE106" s="181">
        <v>20.3</v>
      </c>
      <c r="AF106" s="181">
        <v>20.6</v>
      </c>
      <c r="AG106" s="181">
        <v>17.899999999999999</v>
      </c>
      <c r="AH106" s="181">
        <v>16.119</v>
      </c>
      <c r="AI106" s="181">
        <v>13.605</v>
      </c>
      <c r="AJ106" s="181">
        <v>21.975999999999999</v>
      </c>
      <c r="AK106" s="181">
        <v>24.672000000000001</v>
      </c>
      <c r="AL106" s="299">
        <f t="shared" ref="AL106:AW106" si="153">+AK106*(1+AL122)</f>
        <v>22.204800000000002</v>
      </c>
      <c r="AM106" s="299">
        <f t="shared" si="153"/>
        <v>22.204800000000002</v>
      </c>
      <c r="AN106" s="299">
        <f t="shared" si="153"/>
        <v>22.648896000000004</v>
      </c>
      <c r="AO106" s="299">
        <f t="shared" si="153"/>
        <v>23.101873920000006</v>
      </c>
      <c r="AP106" s="299">
        <f t="shared" si="153"/>
        <v>23.563911398400005</v>
      </c>
      <c r="AQ106" s="299">
        <f t="shared" si="153"/>
        <v>24.270828740352005</v>
      </c>
      <c r="AR106" s="299">
        <f t="shared" si="153"/>
        <v>24.998953602562565</v>
      </c>
      <c r="AS106" s="299">
        <f t="shared" si="153"/>
        <v>25.748922210639442</v>
      </c>
      <c r="AT106" s="299">
        <f t="shared" si="153"/>
        <v>26.263900654852232</v>
      </c>
      <c r="AU106" s="299">
        <f t="shared" si="153"/>
        <v>26.789178667949276</v>
      </c>
      <c r="AV106" s="299">
        <f t="shared" si="153"/>
        <v>27.324962241308263</v>
      </c>
      <c r="AW106" s="299">
        <f t="shared" si="153"/>
        <v>27.871461486134429</v>
      </c>
      <c r="AX106" s="5"/>
      <c r="AY106" s="5"/>
      <c r="AZ106" s="5"/>
      <c r="BA106" s="5"/>
      <c r="BB106" s="5"/>
      <c r="BC106" s="5"/>
      <c r="BD106" s="5"/>
      <c r="BE106" s="5"/>
      <c r="BF106" s="2">
        <f t="shared" si="111"/>
        <v>100</v>
      </c>
    </row>
    <row r="107" spans="1:58" ht="11.25" customHeight="1" outlineLevel="1">
      <c r="A107" s="50"/>
      <c r="B107" s="176"/>
      <c r="C107" s="48"/>
      <c r="D107" s="48"/>
      <c r="E107" s="48"/>
      <c r="F107" s="48"/>
      <c r="G107" s="48"/>
      <c r="H107" s="48"/>
      <c r="I107" s="48"/>
      <c r="J107" s="48"/>
      <c r="K107" s="48"/>
      <c r="L107" s="49"/>
      <c r="M107" s="3"/>
      <c r="N107" s="181"/>
      <c r="O107" s="181"/>
      <c r="P107" s="181"/>
      <c r="Q107" s="181"/>
      <c r="R107" s="181"/>
      <c r="S107" s="181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  <c r="AD107" s="181"/>
      <c r="AE107" s="181"/>
      <c r="AF107" s="181"/>
      <c r="AG107" s="181"/>
      <c r="AH107" s="181"/>
      <c r="AI107" s="181"/>
      <c r="AJ107" s="181"/>
      <c r="AK107" s="181"/>
      <c r="AL107" s="334"/>
      <c r="AM107" s="3"/>
      <c r="AN107" s="3"/>
      <c r="AO107" s="336"/>
      <c r="AP107" s="3"/>
      <c r="AQ107" s="3"/>
      <c r="AR107" s="3"/>
      <c r="AS107" s="3"/>
      <c r="AT107" s="3"/>
      <c r="AU107" s="3"/>
      <c r="AV107" s="3"/>
      <c r="AW107" s="3"/>
      <c r="AX107" s="5"/>
      <c r="AY107" s="5"/>
      <c r="AZ107" s="5"/>
      <c r="BA107" s="5"/>
      <c r="BB107" s="5"/>
      <c r="BC107" s="5"/>
      <c r="BD107" s="5"/>
      <c r="BE107" s="5"/>
      <c r="BF107" s="2">
        <f t="shared" si="111"/>
        <v>101</v>
      </c>
    </row>
    <row r="108" spans="1:58" ht="11.25" customHeight="1" outlineLevel="1">
      <c r="A108" s="50"/>
      <c r="B108" s="155" t="s">
        <v>160</v>
      </c>
      <c r="C108" s="48"/>
      <c r="D108" s="48"/>
      <c r="E108" s="48"/>
      <c r="F108" s="48"/>
      <c r="G108" s="48"/>
      <c r="H108" s="48"/>
      <c r="I108" s="48"/>
      <c r="J108" s="48"/>
      <c r="K108" s="48"/>
      <c r="L108" s="49"/>
      <c r="M108" s="3"/>
      <c r="N108" s="181"/>
      <c r="O108" s="181"/>
      <c r="P108" s="181"/>
      <c r="Q108" s="181"/>
      <c r="R108" s="181"/>
      <c r="S108" s="181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  <c r="AD108" s="181"/>
      <c r="AE108" s="181"/>
      <c r="AF108" s="181"/>
      <c r="AG108" s="181"/>
      <c r="AH108" s="181"/>
      <c r="AI108" s="181"/>
      <c r="AJ108" s="181"/>
      <c r="AK108" s="181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5"/>
      <c r="AY108" s="5"/>
      <c r="AZ108" s="5"/>
      <c r="BA108" s="5"/>
      <c r="BB108" s="5"/>
      <c r="BC108" s="5"/>
      <c r="BD108" s="5"/>
      <c r="BE108" s="5"/>
      <c r="BF108" s="2">
        <f t="shared" si="111"/>
        <v>102</v>
      </c>
    </row>
    <row r="109" spans="1:58" ht="11.25" customHeight="1" outlineLevel="1">
      <c r="A109" s="50"/>
      <c r="B109" s="175" t="s">
        <v>164</v>
      </c>
      <c r="C109" s="317"/>
      <c r="D109" s="317"/>
      <c r="E109" s="209">
        <f t="shared" ref="E109:K122" si="154">E93/D93-1</f>
        <v>0.10171714762699735</v>
      </c>
      <c r="F109" s="209">
        <f t="shared" si="154"/>
        <v>-0.36096980192661554</v>
      </c>
      <c r="G109" s="209">
        <f t="shared" si="154"/>
        <v>-0.47459349593495936</v>
      </c>
      <c r="H109" s="209">
        <f t="shared" si="154"/>
        <v>-5.3223726627981915E-2</v>
      </c>
      <c r="I109" s="209">
        <f t="shared" si="154"/>
        <v>0.12882590216895395</v>
      </c>
      <c r="J109" s="209">
        <f t="shared" si="154"/>
        <v>8.8288105850887311E-2</v>
      </c>
      <c r="K109" s="209">
        <f t="shared" si="154"/>
        <v>5.8764775039414241E-2</v>
      </c>
      <c r="L109" s="310"/>
      <c r="M109" s="45"/>
      <c r="N109" s="317"/>
      <c r="O109" s="209">
        <f t="shared" ref="O109:AW109" si="155">O93/N93-1</f>
        <v>4.7015319598520788E-2</v>
      </c>
      <c r="P109" s="209">
        <f t="shared" si="155"/>
        <v>-1.6649848637739662E-2</v>
      </c>
      <c r="Q109" s="209">
        <f t="shared" si="155"/>
        <v>-1.1287839917906384E-2</v>
      </c>
      <c r="R109" s="209">
        <f t="shared" si="155"/>
        <v>6.7462376751425968E-3</v>
      </c>
      <c r="S109" s="209">
        <f t="shared" si="155"/>
        <v>5.8762886597938158E-2</v>
      </c>
      <c r="T109" s="209">
        <f t="shared" si="155"/>
        <v>4.9659201557935573E-2</v>
      </c>
      <c r="U109" s="209">
        <f t="shared" si="155"/>
        <v>3.7105751391465658E-2</v>
      </c>
      <c r="V109" s="209">
        <f t="shared" si="155"/>
        <v>-1.5205724508050023E-2</v>
      </c>
      <c r="W109" s="209">
        <f t="shared" si="155"/>
        <v>2.6339691189827263E-2</v>
      </c>
      <c r="X109" s="209">
        <f t="shared" si="155"/>
        <v>5.8407079646017657E-2</v>
      </c>
      <c r="Y109" s="209">
        <f t="shared" si="155"/>
        <v>-2.9264214046822445E-3</v>
      </c>
      <c r="Z109" s="209">
        <f t="shared" si="155"/>
        <v>-0.16352201257861632</v>
      </c>
      <c r="AA109" s="209">
        <f t="shared" si="155"/>
        <v>-0.25463659147869677</v>
      </c>
      <c r="AB109" s="209">
        <f t="shared" si="155"/>
        <v>-0.12239408204438462</v>
      </c>
      <c r="AC109" s="209">
        <f t="shared" si="155"/>
        <v>-0.14406130268199235</v>
      </c>
      <c r="AD109" s="209">
        <f t="shared" si="155"/>
        <v>-0.13518352730528205</v>
      </c>
      <c r="AE109" s="209">
        <f t="shared" si="155"/>
        <v>-0.1645962732919255</v>
      </c>
      <c r="AF109" s="209">
        <f t="shared" si="155"/>
        <v>-0.21189591078066905</v>
      </c>
      <c r="AG109" s="209">
        <f t="shared" si="155"/>
        <v>8.9622641509433887E-2</v>
      </c>
      <c r="AH109" s="209">
        <f t="shared" si="155"/>
        <v>-1.2539682539682517E-2</v>
      </c>
      <c r="AI109" s="209">
        <f t="shared" si="155"/>
        <v>5.7868509885870001E-3</v>
      </c>
      <c r="AJ109" s="209">
        <f t="shared" si="155"/>
        <v>0.1217400148197656</v>
      </c>
      <c r="AK109" s="209">
        <f t="shared" si="155"/>
        <v>2.6163769655208169E-2</v>
      </c>
      <c r="AL109" s="209">
        <f t="shared" si="155"/>
        <v>2.1063792189432995E-3</v>
      </c>
      <c r="AM109" s="209">
        <f t="shared" si="155"/>
        <v>3.7371915466475114E-2</v>
      </c>
      <c r="AN109" s="209">
        <f t="shared" si="155"/>
        <v>2.5348152252264722E-2</v>
      </c>
      <c r="AO109" s="209">
        <f t="shared" si="155"/>
        <v>1.0383033238579475E-2</v>
      </c>
      <c r="AP109" s="209">
        <f t="shared" si="155"/>
        <v>2.232760403437184E-2</v>
      </c>
      <c r="AQ109" s="209">
        <f t="shared" si="155"/>
        <v>2.234507230944538E-2</v>
      </c>
      <c r="AR109" s="209">
        <f t="shared" si="155"/>
        <v>2.2362631311238834E-2</v>
      </c>
      <c r="AS109" s="209">
        <f t="shared" si="155"/>
        <v>2.2380280906252104E-2</v>
      </c>
      <c r="AT109" s="209">
        <f t="shared" si="155"/>
        <v>9.6143416605403154E-3</v>
      </c>
      <c r="AU109" s="209">
        <f t="shared" si="155"/>
        <v>9.7132420658980756E-3</v>
      </c>
      <c r="AV109" s="209">
        <f t="shared" si="155"/>
        <v>9.8121986465631306E-3</v>
      </c>
      <c r="AW109" s="209">
        <f t="shared" si="155"/>
        <v>9.9111920344283622E-3</v>
      </c>
      <c r="AX109" s="5"/>
      <c r="AY109" s="5"/>
      <c r="AZ109" s="5"/>
      <c r="BA109" s="5"/>
      <c r="BB109" s="5"/>
      <c r="BC109" s="5"/>
      <c r="BD109" s="5"/>
      <c r="BE109" s="5"/>
      <c r="BF109" s="2">
        <f t="shared" si="111"/>
        <v>103</v>
      </c>
    </row>
    <row r="110" spans="1:58" ht="11.25" customHeight="1" outlineLevel="1">
      <c r="A110" s="50"/>
      <c r="B110" s="176" t="s">
        <v>158</v>
      </c>
      <c r="C110" s="318"/>
      <c r="D110" s="318"/>
      <c r="E110" s="271">
        <f t="shared" si="154"/>
        <v>0.12183269698021526</v>
      </c>
      <c r="F110" s="271">
        <f t="shared" si="154"/>
        <v>-0.49535891089108919</v>
      </c>
      <c r="G110" s="271">
        <f t="shared" si="154"/>
        <v>-0.60453709380748011</v>
      </c>
      <c r="H110" s="271">
        <f t="shared" si="154"/>
        <v>0.82724031007751964</v>
      </c>
      <c r="I110" s="271">
        <f t="shared" si="154"/>
        <v>0.42774880752097899</v>
      </c>
      <c r="J110" s="271">
        <f t="shared" si="154"/>
        <v>0.1172271576314543</v>
      </c>
      <c r="K110" s="271">
        <f t="shared" si="154"/>
        <v>2.9897069299166912E-2</v>
      </c>
      <c r="L110" s="310"/>
      <c r="M110" s="45"/>
      <c r="N110" s="318"/>
      <c r="O110" s="271">
        <f t="shared" ref="O110:AK110" si="156">O94/N94-1</f>
        <v>-1.6483516483516536E-2</v>
      </c>
      <c r="P110" s="271">
        <f t="shared" si="156"/>
        <v>-5.027932960893855E-2</v>
      </c>
      <c r="Q110" s="271">
        <f t="shared" si="156"/>
        <v>-0.11058823529411776</v>
      </c>
      <c r="R110" s="271">
        <f t="shared" si="156"/>
        <v>-2.2486772486772333E-2</v>
      </c>
      <c r="S110" s="271">
        <f t="shared" si="156"/>
        <v>1.3531799729362692E-3</v>
      </c>
      <c r="T110" s="271">
        <f t="shared" si="156"/>
        <v>-1.4864864864864824E-2</v>
      </c>
      <c r="U110" s="271">
        <f t="shared" si="156"/>
        <v>-7.6817558299039912E-2</v>
      </c>
      <c r="V110" s="271">
        <f t="shared" si="156"/>
        <v>1.4858841010403356E-3</v>
      </c>
      <c r="W110" s="271">
        <f t="shared" si="156"/>
        <v>0.21216617210682487</v>
      </c>
      <c r="X110" s="271">
        <f t="shared" si="156"/>
        <v>5.1407588739290189E-2</v>
      </c>
      <c r="Y110" s="271">
        <f t="shared" si="156"/>
        <v>2.677532013969719E-2</v>
      </c>
      <c r="Z110" s="271">
        <f t="shared" si="156"/>
        <v>-0.29138321995464855</v>
      </c>
      <c r="AA110" s="271">
        <f t="shared" si="156"/>
        <v>-0.38879999999999992</v>
      </c>
      <c r="AB110" s="271">
        <f t="shared" si="156"/>
        <v>-0.12565445026178024</v>
      </c>
      <c r="AC110" s="271">
        <f t="shared" si="156"/>
        <v>-0.13173652694610771</v>
      </c>
      <c r="AD110" s="271">
        <f t="shared" si="156"/>
        <v>-0.31379310344827593</v>
      </c>
      <c r="AE110" s="271">
        <f t="shared" si="156"/>
        <v>-0.4120603015075377</v>
      </c>
      <c r="AF110" s="271">
        <f t="shared" si="156"/>
        <v>0.29914529914529919</v>
      </c>
      <c r="AG110" s="271">
        <f t="shared" si="156"/>
        <v>0.16447368421052633</v>
      </c>
      <c r="AH110" s="271">
        <f t="shared" si="156"/>
        <v>0.19559322033898296</v>
      </c>
      <c r="AI110" s="271">
        <f t="shared" si="156"/>
        <v>0.31225782062186935</v>
      </c>
      <c r="AJ110" s="271">
        <f t="shared" si="156"/>
        <v>0.21638458768455182</v>
      </c>
      <c r="AK110" s="271">
        <f t="shared" si="156"/>
        <v>4.0468930400544556E-2</v>
      </c>
      <c r="AL110" s="298">
        <v>0.08</v>
      </c>
      <c r="AM110" s="298">
        <v>0.1</v>
      </c>
      <c r="AN110" s="298">
        <v>0.05</v>
      </c>
      <c r="AO110" s="298">
        <v>0.02</v>
      </c>
      <c r="AP110" s="298">
        <v>0.02</v>
      </c>
      <c r="AQ110" s="298">
        <v>0.02</v>
      </c>
      <c r="AR110" s="298">
        <v>0.02</v>
      </c>
      <c r="AS110" s="298">
        <v>0.02</v>
      </c>
      <c r="AT110" s="298">
        <v>0</v>
      </c>
      <c r="AU110" s="298">
        <v>0</v>
      </c>
      <c r="AV110" s="298">
        <v>0</v>
      </c>
      <c r="AW110" s="298">
        <v>0</v>
      </c>
      <c r="AX110" s="5"/>
      <c r="AY110" s="5"/>
      <c r="AZ110" s="5"/>
      <c r="BA110" s="5"/>
      <c r="BB110" s="5"/>
      <c r="BC110" s="5"/>
      <c r="BD110" s="5"/>
      <c r="BE110" s="5"/>
      <c r="BF110" s="2">
        <f t="shared" si="111"/>
        <v>104</v>
      </c>
    </row>
    <row r="111" spans="1:58" ht="11.25" customHeight="1" outlineLevel="1">
      <c r="A111" s="50"/>
      <c r="B111" s="176" t="s">
        <v>157</v>
      </c>
      <c r="C111" s="318"/>
      <c r="D111" s="318"/>
      <c r="E111" s="271">
        <f t="shared" si="154"/>
        <v>0.19491255961844178</v>
      </c>
      <c r="F111" s="271">
        <f t="shared" si="154"/>
        <v>-0.31506120276742944</v>
      </c>
      <c r="G111" s="271">
        <f t="shared" si="154"/>
        <v>-0.46853146853146843</v>
      </c>
      <c r="H111" s="271">
        <f t="shared" si="154"/>
        <v>-0.33109649122807028</v>
      </c>
      <c r="I111" s="271">
        <f t="shared" si="154"/>
        <v>-8.8488453216182594E-2</v>
      </c>
      <c r="J111" s="271">
        <f t="shared" si="154"/>
        <v>4.5674963654822376E-2</v>
      </c>
      <c r="K111" s="271">
        <f t="shared" si="154"/>
        <v>8.2432159999999977E-2</v>
      </c>
      <c r="L111" s="310"/>
      <c r="M111" s="45"/>
      <c r="N111" s="318"/>
      <c r="O111" s="271">
        <f t="shared" ref="O111:AK111" si="157">O95/N95-1</f>
        <v>0.19881889763779537</v>
      </c>
      <c r="P111" s="271">
        <f t="shared" si="157"/>
        <v>1.1494252873563315E-2</v>
      </c>
      <c r="Q111" s="271">
        <f t="shared" si="157"/>
        <v>0.11525974025974017</v>
      </c>
      <c r="R111" s="271">
        <f t="shared" si="157"/>
        <v>1.8922852983988214E-2</v>
      </c>
      <c r="S111" s="271">
        <f t="shared" si="157"/>
        <v>7.5714285714285623E-2</v>
      </c>
      <c r="T111" s="271">
        <f t="shared" si="157"/>
        <v>3.3200531208499307E-2</v>
      </c>
      <c r="U111" s="271">
        <f t="shared" si="157"/>
        <v>0.1748071979434449</v>
      </c>
      <c r="V111" s="271">
        <f t="shared" si="157"/>
        <v>0.10940919037199115</v>
      </c>
      <c r="W111" s="271">
        <f t="shared" si="157"/>
        <v>-8.4812623274161836E-2</v>
      </c>
      <c r="X111" s="271">
        <f t="shared" si="157"/>
        <v>-3.4482758620689724E-2</v>
      </c>
      <c r="Y111" s="271">
        <f t="shared" si="157"/>
        <v>2.6785714285714413E-2</v>
      </c>
      <c r="Z111" s="271">
        <f t="shared" si="157"/>
        <v>-5.8695652173913149E-2</v>
      </c>
      <c r="AA111" s="271">
        <f t="shared" si="157"/>
        <v>-0.26789838337182448</v>
      </c>
      <c r="AB111" s="271">
        <f t="shared" si="157"/>
        <v>-9.4637223974763374E-2</v>
      </c>
      <c r="AC111" s="271">
        <f t="shared" si="157"/>
        <v>-0.12891986062717764</v>
      </c>
      <c r="AD111" s="271">
        <f t="shared" si="157"/>
        <v>-8.7999999999999967E-2</v>
      </c>
      <c r="AE111" s="271">
        <f t="shared" si="157"/>
        <v>-0.14692982456140358</v>
      </c>
      <c r="AF111" s="271">
        <f t="shared" si="157"/>
        <v>-0.3187660668380462</v>
      </c>
      <c r="AG111" s="271">
        <f t="shared" si="157"/>
        <v>-2.6415094339622636E-2</v>
      </c>
      <c r="AH111" s="271">
        <f t="shared" si="157"/>
        <v>-8.972868217054264E-2</v>
      </c>
      <c r="AI111" s="271">
        <f t="shared" si="157"/>
        <v>-5.1905471577602724E-2</v>
      </c>
      <c r="AJ111" s="271">
        <f t="shared" si="157"/>
        <v>4.3474355519626418E-2</v>
      </c>
      <c r="AK111" s="271">
        <f t="shared" si="157"/>
        <v>-3.0687785142463619E-2</v>
      </c>
      <c r="AL111" s="298">
        <v>-0.06</v>
      </c>
      <c r="AM111" s="298">
        <v>-0.02</v>
      </c>
      <c r="AN111" s="298">
        <v>0</v>
      </c>
      <c r="AO111" s="298">
        <v>0</v>
      </c>
      <c r="AP111" s="298">
        <v>0.02</v>
      </c>
      <c r="AQ111" s="298">
        <v>0.02</v>
      </c>
      <c r="AR111" s="298">
        <v>0.02</v>
      </c>
      <c r="AS111" s="298">
        <v>0.02</v>
      </c>
      <c r="AT111" s="298">
        <v>0.02</v>
      </c>
      <c r="AU111" s="298">
        <v>0.02</v>
      </c>
      <c r="AV111" s="298">
        <v>0.02</v>
      </c>
      <c r="AW111" s="298">
        <v>0.02</v>
      </c>
      <c r="AX111" s="5"/>
      <c r="AY111" s="5"/>
      <c r="AZ111" s="5"/>
      <c r="BA111" s="5"/>
      <c r="BB111" s="5"/>
      <c r="BC111" s="5"/>
      <c r="BD111" s="5"/>
      <c r="BE111" s="5"/>
      <c r="BF111" s="2">
        <f t="shared" si="111"/>
        <v>105</v>
      </c>
    </row>
    <row r="112" spans="1:58" ht="11.25" customHeight="1" outlineLevel="1">
      <c r="A112" s="50"/>
      <c r="B112" s="176" t="s">
        <v>156</v>
      </c>
      <c r="C112" s="318"/>
      <c r="D112" s="318"/>
      <c r="E112" s="271">
        <f t="shared" si="154"/>
        <v>-4.7033898305084754E-2</v>
      </c>
      <c r="F112" s="271">
        <f t="shared" si="154"/>
        <v>-0.24455313472654538</v>
      </c>
      <c r="G112" s="271">
        <f t="shared" si="154"/>
        <v>-0.35903472630959388</v>
      </c>
      <c r="H112" s="271">
        <f t="shared" si="154"/>
        <v>-0.22564738292011011</v>
      </c>
      <c r="I112" s="271">
        <f t="shared" si="154"/>
        <v>-5.3139416794146577E-2</v>
      </c>
      <c r="J112" s="271">
        <f t="shared" si="154"/>
        <v>7.1815506040609156E-2</v>
      </c>
      <c r="K112" s="271">
        <f t="shared" si="154"/>
        <v>9.8058739920246385E-2</v>
      </c>
      <c r="L112" s="310"/>
      <c r="M112" s="45"/>
      <c r="N112" s="318"/>
      <c r="O112" s="271">
        <f t="shared" ref="O112:AK112" si="158">O96/N96-1</f>
        <v>6.3157894736840525E-3</v>
      </c>
      <c r="P112" s="271">
        <f t="shared" si="158"/>
        <v>1.0460251046025215E-2</v>
      </c>
      <c r="Q112" s="271">
        <f t="shared" si="158"/>
        <v>2.0703933747412417E-3</v>
      </c>
      <c r="R112" s="271">
        <f t="shared" si="158"/>
        <v>3.512396694214881E-2</v>
      </c>
      <c r="S112" s="271">
        <f t="shared" si="158"/>
        <v>0.11976047904191622</v>
      </c>
      <c r="T112" s="271">
        <f t="shared" si="158"/>
        <v>0.15686274509803932</v>
      </c>
      <c r="U112" s="271">
        <f t="shared" si="158"/>
        <v>0</v>
      </c>
      <c r="V112" s="271">
        <f t="shared" si="158"/>
        <v>-0.20801232665639457</v>
      </c>
      <c r="W112" s="271">
        <f t="shared" si="158"/>
        <v>1.9455252918287869E-3</v>
      </c>
      <c r="X112" s="271">
        <f t="shared" si="158"/>
        <v>0.23689320388349522</v>
      </c>
      <c r="Y112" s="271">
        <f t="shared" si="158"/>
        <v>-8.4772370486656312E-2</v>
      </c>
      <c r="Z112" s="271">
        <f t="shared" si="158"/>
        <v>-0.13550600343053176</v>
      </c>
      <c r="AA112" s="271">
        <f t="shared" si="158"/>
        <v>-6.5476190476190466E-2</v>
      </c>
      <c r="AB112" s="271">
        <f t="shared" si="158"/>
        <v>-0.1571125265392781</v>
      </c>
      <c r="AC112" s="271">
        <f t="shared" si="158"/>
        <v>-0.17632241813602012</v>
      </c>
      <c r="AD112" s="271">
        <f t="shared" si="158"/>
        <v>-4.8929663608562768E-2</v>
      </c>
      <c r="AE112" s="271">
        <f t="shared" si="158"/>
        <v>-3.2154340836012874E-2</v>
      </c>
      <c r="AF112" s="271">
        <f t="shared" si="158"/>
        <v>-0.27242524916943534</v>
      </c>
      <c r="AG112" s="271">
        <f t="shared" si="158"/>
        <v>0.17808219178082196</v>
      </c>
      <c r="AH112" s="271">
        <f t="shared" si="158"/>
        <v>-7.8139534883721051E-2</v>
      </c>
      <c r="AI112" s="271">
        <f t="shared" si="158"/>
        <v>-0.20993104608139923</v>
      </c>
      <c r="AJ112" s="271">
        <f t="shared" si="158"/>
        <v>7.4610185727209899E-2</v>
      </c>
      <c r="AK112" s="271">
        <f t="shared" si="158"/>
        <v>6.7647204476798839E-2</v>
      </c>
      <c r="AL112" s="298">
        <v>-0.06</v>
      </c>
      <c r="AM112" s="298">
        <v>-0.02</v>
      </c>
      <c r="AN112" s="298">
        <v>0</v>
      </c>
      <c r="AO112" s="298">
        <v>0</v>
      </c>
      <c r="AP112" s="298">
        <v>0.03</v>
      </c>
      <c r="AQ112" s="298">
        <v>0.03</v>
      </c>
      <c r="AR112" s="298">
        <v>0.03</v>
      </c>
      <c r="AS112" s="298">
        <v>0.03</v>
      </c>
      <c r="AT112" s="298">
        <v>0.02</v>
      </c>
      <c r="AU112" s="298">
        <v>0.02</v>
      </c>
      <c r="AV112" s="298">
        <v>0.02</v>
      </c>
      <c r="AW112" s="298">
        <v>0.02</v>
      </c>
      <c r="AX112" s="5"/>
      <c r="AY112" s="5"/>
      <c r="AZ112" s="5"/>
      <c r="BA112" s="5"/>
      <c r="BB112" s="5"/>
      <c r="BC112" s="5"/>
      <c r="BD112" s="5"/>
      <c r="BE112" s="5"/>
      <c r="BF112" s="2">
        <f t="shared" si="111"/>
        <v>106</v>
      </c>
    </row>
    <row r="113" spans="1:58" ht="11.25" customHeight="1" outlineLevel="1">
      <c r="A113" s="50"/>
      <c r="B113" s="175" t="s">
        <v>163</v>
      </c>
      <c r="C113" s="317"/>
      <c r="D113" s="317"/>
      <c r="E113" s="209">
        <f t="shared" si="154"/>
        <v>8.216947454124135E-2</v>
      </c>
      <c r="F113" s="209">
        <f t="shared" si="154"/>
        <v>-0.45940621563747897</v>
      </c>
      <c r="G113" s="209">
        <f t="shared" si="154"/>
        <v>-0.43902741914072707</v>
      </c>
      <c r="H113" s="209">
        <f t="shared" si="154"/>
        <v>0.78470038167938938</v>
      </c>
      <c r="I113" s="209">
        <f t="shared" si="154"/>
        <v>0.28131710178649527</v>
      </c>
      <c r="J113" s="209">
        <f t="shared" si="154"/>
        <v>0.30139282709984139</v>
      </c>
      <c r="K113" s="209">
        <f t="shared" si="154"/>
        <v>2.989706929916669E-2</v>
      </c>
      <c r="L113" s="310"/>
      <c r="M113" s="45"/>
      <c r="N113" s="317"/>
      <c r="O113" s="317"/>
      <c r="P113" s="317"/>
      <c r="Q113" s="317"/>
      <c r="R113" s="209">
        <f t="shared" ref="R113:AW113" si="159">R97/Q97-1</f>
        <v>1.9870720612880088E-2</v>
      </c>
      <c r="S113" s="209">
        <f t="shared" si="159"/>
        <v>-6.5258215962441302E-2</v>
      </c>
      <c r="T113" s="209">
        <f t="shared" si="159"/>
        <v>-5.0226017076837604E-4</v>
      </c>
      <c r="U113" s="209">
        <f t="shared" si="159"/>
        <v>-5.9045226130653217E-2</v>
      </c>
      <c r="V113" s="209">
        <f t="shared" si="159"/>
        <v>4.1121495327102853E-2</v>
      </c>
      <c r="W113" s="209">
        <f t="shared" si="159"/>
        <v>2.1031033598358562E-2</v>
      </c>
      <c r="X113" s="209">
        <f t="shared" si="159"/>
        <v>0.18261743280582765</v>
      </c>
      <c r="Y113" s="209">
        <f t="shared" si="159"/>
        <v>-3.6108751062021716E-3</v>
      </c>
      <c r="Z113" s="209">
        <f t="shared" si="159"/>
        <v>-0.25177574078021747</v>
      </c>
      <c r="AA113" s="209">
        <f t="shared" si="159"/>
        <v>-0.3549710534713042</v>
      </c>
      <c r="AB113" s="209">
        <f t="shared" si="159"/>
        <v>-0.10379858657243812</v>
      </c>
      <c r="AC113" s="209">
        <f t="shared" si="159"/>
        <v>-0.24199112863479544</v>
      </c>
      <c r="AD113" s="209">
        <f t="shared" si="159"/>
        <v>-0.13849154746423931</v>
      </c>
      <c r="AE113" s="209">
        <f t="shared" si="159"/>
        <v>-0.12528301886792448</v>
      </c>
      <c r="AF113" s="209">
        <f t="shared" si="159"/>
        <v>7.8515962036238118E-2</v>
      </c>
      <c r="AG113" s="209">
        <f t="shared" si="159"/>
        <v>0.20479999999999987</v>
      </c>
      <c r="AH113" s="209">
        <f t="shared" si="159"/>
        <v>0.36108233731739725</v>
      </c>
      <c r="AI113" s="209">
        <f t="shared" si="159"/>
        <v>0.2151439903599881</v>
      </c>
      <c r="AJ113" s="209">
        <f t="shared" si="159"/>
        <v>-2.7059687890187423E-3</v>
      </c>
      <c r="AK113" s="209">
        <f t="shared" si="159"/>
        <v>-6.314285139188025E-2</v>
      </c>
      <c r="AL113" s="209">
        <f t="shared" si="159"/>
        <v>2.0000000000000018E-2</v>
      </c>
      <c r="AM113" s="209">
        <f t="shared" si="159"/>
        <v>0.14999999999999991</v>
      </c>
      <c r="AN113" s="209">
        <f t="shared" si="159"/>
        <v>0.19999999999999996</v>
      </c>
      <c r="AO113" s="209">
        <f t="shared" si="159"/>
        <v>0.10000000000000009</v>
      </c>
      <c r="AP113" s="209">
        <f t="shared" si="159"/>
        <v>5.0000000000000044E-2</v>
      </c>
      <c r="AQ113" s="209">
        <f t="shared" si="159"/>
        <v>2.0000000000000018E-2</v>
      </c>
      <c r="AR113" s="209">
        <f t="shared" si="159"/>
        <v>2.0000000000000018E-2</v>
      </c>
      <c r="AS113" s="209">
        <f t="shared" si="159"/>
        <v>2.0000000000000018E-2</v>
      </c>
      <c r="AT113" s="209">
        <f t="shared" si="159"/>
        <v>0</v>
      </c>
      <c r="AU113" s="209">
        <f t="shared" si="159"/>
        <v>0</v>
      </c>
      <c r="AV113" s="209">
        <f t="shared" si="159"/>
        <v>0</v>
      </c>
      <c r="AW113" s="209">
        <f t="shared" si="159"/>
        <v>0</v>
      </c>
      <c r="AX113" s="5"/>
      <c r="AY113" s="5"/>
      <c r="AZ113" s="5"/>
      <c r="BA113" s="5"/>
      <c r="BB113" s="5"/>
      <c r="BC113" s="5"/>
      <c r="BD113" s="5"/>
      <c r="BE113" s="5"/>
      <c r="BF113" s="2">
        <f t="shared" si="111"/>
        <v>107</v>
      </c>
    </row>
    <row r="114" spans="1:58" ht="11.25" customHeight="1" outlineLevel="1">
      <c r="A114" s="50"/>
      <c r="B114" s="176" t="s">
        <v>158</v>
      </c>
      <c r="C114" s="318"/>
      <c r="D114" s="318"/>
      <c r="E114" s="271">
        <f t="shared" si="154"/>
        <v>8.216947454124135E-2</v>
      </c>
      <c r="F114" s="271">
        <f t="shared" si="154"/>
        <v>-0.45940621563747897</v>
      </c>
      <c r="G114" s="271">
        <f t="shared" si="154"/>
        <v>-0.43902741914072707</v>
      </c>
      <c r="H114" s="271">
        <f t="shared" si="154"/>
        <v>0.78470038167938938</v>
      </c>
      <c r="I114" s="271">
        <f t="shared" si="154"/>
        <v>0.28131710178649527</v>
      </c>
      <c r="J114" s="271">
        <f t="shared" si="154"/>
        <v>0.30139282709984139</v>
      </c>
      <c r="K114" s="271">
        <f t="shared" si="154"/>
        <v>2.989706929916669E-2</v>
      </c>
      <c r="L114" s="310"/>
      <c r="M114" s="45"/>
      <c r="N114" s="318"/>
      <c r="O114" s="318"/>
      <c r="P114" s="318"/>
      <c r="Q114" s="318"/>
      <c r="R114" s="271">
        <f t="shared" ref="R114:AK114" si="160">R98/Q98-1</f>
        <v>1.9870720612880088E-2</v>
      </c>
      <c r="S114" s="271">
        <f t="shared" si="160"/>
        <v>-6.5258215962441302E-2</v>
      </c>
      <c r="T114" s="271">
        <f t="shared" si="160"/>
        <v>-5.0226017076837604E-4</v>
      </c>
      <c r="U114" s="271">
        <f t="shared" si="160"/>
        <v>-5.9045226130653217E-2</v>
      </c>
      <c r="V114" s="271">
        <f t="shared" si="160"/>
        <v>4.1121495327102853E-2</v>
      </c>
      <c r="W114" s="271">
        <f t="shared" si="160"/>
        <v>2.1031033598358562E-2</v>
      </c>
      <c r="X114" s="271">
        <f t="shared" si="160"/>
        <v>0.18261743280582765</v>
      </c>
      <c r="Y114" s="271">
        <f t="shared" si="160"/>
        <v>-3.6108751062021716E-3</v>
      </c>
      <c r="Z114" s="271">
        <f t="shared" si="160"/>
        <v>-0.25177574078021747</v>
      </c>
      <c r="AA114" s="271">
        <f t="shared" si="160"/>
        <v>-0.3549710534713042</v>
      </c>
      <c r="AB114" s="271">
        <f t="shared" si="160"/>
        <v>-0.10379858657243812</v>
      </c>
      <c r="AC114" s="271">
        <f t="shared" si="160"/>
        <v>-0.24199112863479544</v>
      </c>
      <c r="AD114" s="271">
        <f t="shared" si="160"/>
        <v>-0.13849154746423931</v>
      </c>
      <c r="AE114" s="271">
        <f t="shared" si="160"/>
        <v>-0.12528301886792448</v>
      </c>
      <c r="AF114" s="271">
        <f t="shared" si="160"/>
        <v>7.8515962036238118E-2</v>
      </c>
      <c r="AG114" s="271">
        <f t="shared" si="160"/>
        <v>0.20479999999999987</v>
      </c>
      <c r="AH114" s="271">
        <f t="shared" si="160"/>
        <v>0.36108233731739725</v>
      </c>
      <c r="AI114" s="271">
        <f t="shared" si="160"/>
        <v>0.2151439903599881</v>
      </c>
      <c r="AJ114" s="271">
        <f t="shared" si="160"/>
        <v>-2.7059687890187423E-3</v>
      </c>
      <c r="AK114" s="271">
        <f t="shared" si="160"/>
        <v>-6.314285139188025E-2</v>
      </c>
      <c r="AL114" s="274">
        <v>0.02</v>
      </c>
      <c r="AM114" s="274">
        <v>0.15</v>
      </c>
      <c r="AN114" s="274">
        <v>0.2</v>
      </c>
      <c r="AO114" s="274">
        <v>0.1</v>
      </c>
      <c r="AP114" s="274">
        <v>0.05</v>
      </c>
      <c r="AQ114" s="274">
        <v>0.02</v>
      </c>
      <c r="AR114" s="274">
        <v>0.02</v>
      </c>
      <c r="AS114" s="274">
        <v>0.02</v>
      </c>
      <c r="AT114" s="274">
        <v>0</v>
      </c>
      <c r="AU114" s="274">
        <v>0</v>
      </c>
      <c r="AV114" s="274">
        <v>0</v>
      </c>
      <c r="AW114" s="274">
        <v>0</v>
      </c>
      <c r="AX114" s="5"/>
      <c r="AY114" s="5"/>
      <c r="AZ114" s="5"/>
      <c r="BA114" s="5"/>
      <c r="BB114" s="5"/>
      <c r="BC114" s="5"/>
      <c r="BD114" s="5"/>
      <c r="BE114" s="5"/>
      <c r="BF114" s="2">
        <f t="shared" si="111"/>
        <v>108</v>
      </c>
    </row>
    <row r="115" spans="1:58" ht="11.25" customHeight="1" outlineLevel="1">
      <c r="A115" s="50"/>
      <c r="B115" s="175" t="s">
        <v>7</v>
      </c>
      <c r="C115" s="317"/>
      <c r="D115" s="317"/>
      <c r="E115" s="209">
        <f t="shared" si="154"/>
        <v>-6.198118428334265E-2</v>
      </c>
      <c r="F115" s="209">
        <f t="shared" si="154"/>
        <v>-0.43974926253687319</v>
      </c>
      <c r="G115" s="209">
        <f t="shared" si="154"/>
        <v>-0.56324865078320396</v>
      </c>
      <c r="H115" s="209">
        <f t="shared" si="154"/>
        <v>0.12351115129596169</v>
      </c>
      <c r="I115" s="209">
        <f t="shared" si="154"/>
        <v>0.2682674668706293</v>
      </c>
      <c r="J115" s="209">
        <f t="shared" si="154"/>
        <v>0.14771844052243122</v>
      </c>
      <c r="K115" s="209">
        <f t="shared" si="154"/>
        <v>9.0827908683140723E-2</v>
      </c>
      <c r="L115" s="310"/>
      <c r="M115" s="45"/>
      <c r="N115" s="317"/>
      <c r="O115" s="317"/>
      <c r="P115" s="317"/>
      <c r="Q115" s="317"/>
      <c r="R115" s="209">
        <f t="shared" ref="R115:AK115" si="161">R99/Q99-1</f>
        <v>-5.144868670457603E-3</v>
      </c>
      <c r="S115" s="209">
        <f t="shared" si="161"/>
        <v>4.8992923244421949E-3</v>
      </c>
      <c r="T115" s="209">
        <f t="shared" si="161"/>
        <v>-2.5731310942578522E-2</v>
      </c>
      <c r="U115" s="209">
        <f t="shared" si="161"/>
        <v>-2.8912983041423534E-2</v>
      </c>
      <c r="V115" s="209">
        <f t="shared" si="161"/>
        <v>-8.044660750071575E-2</v>
      </c>
      <c r="W115" s="209">
        <f t="shared" si="161"/>
        <v>7.0672478206724731E-2</v>
      </c>
      <c r="X115" s="209">
        <f t="shared" si="161"/>
        <v>1.4248328002326227E-2</v>
      </c>
      <c r="Y115" s="209">
        <f t="shared" si="161"/>
        <v>-1.9208715596330084E-2</v>
      </c>
      <c r="Z115" s="209">
        <f t="shared" si="161"/>
        <v>-0.26483484361297871</v>
      </c>
      <c r="AA115" s="209">
        <f t="shared" si="161"/>
        <v>-0.17017892644135191</v>
      </c>
      <c r="AB115" s="209">
        <f t="shared" si="161"/>
        <v>-0.21466219453761382</v>
      </c>
      <c r="AC115" s="209">
        <f t="shared" si="161"/>
        <v>-0.17266625991458195</v>
      </c>
      <c r="AD115" s="209">
        <f t="shared" si="161"/>
        <v>-0.28687315634218291</v>
      </c>
      <c r="AE115" s="209">
        <f t="shared" si="161"/>
        <v>-0.16752843846949317</v>
      </c>
      <c r="AF115" s="209">
        <f t="shared" si="161"/>
        <v>-8.5714285714285743E-2</v>
      </c>
      <c r="AG115" s="209">
        <f t="shared" si="161"/>
        <v>0.10054347826086962</v>
      </c>
      <c r="AH115" s="209">
        <f t="shared" si="161"/>
        <v>-0.15302469135802466</v>
      </c>
      <c r="AI115" s="209">
        <f t="shared" si="161"/>
        <v>0.29153851760075788</v>
      </c>
      <c r="AJ115" s="209">
        <f t="shared" si="161"/>
        <v>9.8492201431054305E-2</v>
      </c>
      <c r="AK115" s="209">
        <f t="shared" si="161"/>
        <v>0.21476785879403693</v>
      </c>
      <c r="AL115" s="209">
        <f t="shared" ref="AL115:AW115" si="162">AL99/AK99-1</f>
        <v>-7.2537361401253331E-2</v>
      </c>
      <c r="AM115" s="209">
        <f t="shared" si="162"/>
        <v>7.1483644050176709E-2</v>
      </c>
      <c r="AN115" s="209">
        <f t="shared" si="162"/>
        <v>3.2216825500912316E-2</v>
      </c>
      <c r="AO115" s="209">
        <f t="shared" si="162"/>
        <v>2.5202907250186701E-2</v>
      </c>
      <c r="AP115" s="209">
        <f t="shared" si="162"/>
        <v>3.5023670188890632E-2</v>
      </c>
      <c r="AQ115" s="209">
        <f t="shared" si="162"/>
        <v>3.5140048580071692E-2</v>
      </c>
      <c r="AR115" s="209">
        <f t="shared" si="162"/>
        <v>3.5256885682718009E-2</v>
      </c>
      <c r="AS115" s="209">
        <f t="shared" si="162"/>
        <v>3.5374163813441495E-2</v>
      </c>
      <c r="AT115" s="209">
        <f t="shared" si="162"/>
        <v>1.4015985163522426E-2</v>
      </c>
      <c r="AU115" s="209">
        <f t="shared" si="162"/>
        <v>1.4308855171949908E-2</v>
      </c>
      <c r="AV115" s="209">
        <f t="shared" si="162"/>
        <v>1.4606692542766808E-2</v>
      </c>
      <c r="AW115" s="209">
        <f t="shared" si="162"/>
        <v>1.4909478238388951E-2</v>
      </c>
      <c r="AX115" s="5"/>
      <c r="AY115" s="5"/>
      <c r="AZ115" s="5"/>
      <c r="BA115" s="5"/>
      <c r="BB115" s="5"/>
      <c r="BC115" s="5"/>
      <c r="BD115" s="5"/>
      <c r="BE115" s="5"/>
      <c r="BF115" s="2">
        <f t="shared" si="111"/>
        <v>109</v>
      </c>
    </row>
    <row r="116" spans="1:58" ht="11.25" customHeight="1" outlineLevel="1">
      <c r="A116" s="50"/>
      <c r="B116" s="176" t="s">
        <v>158</v>
      </c>
      <c r="C116" s="314"/>
      <c r="D116" s="318"/>
      <c r="E116" s="271">
        <f t="shared" si="154"/>
        <v>-2.412082957619488E-2</v>
      </c>
      <c r="F116" s="271">
        <f t="shared" si="154"/>
        <v>-0.56121506121506126</v>
      </c>
      <c r="G116" s="271">
        <f t="shared" si="154"/>
        <v>-0.77046591208212689</v>
      </c>
      <c r="H116" s="271">
        <f t="shared" si="154"/>
        <v>0.73887614678899061</v>
      </c>
      <c r="I116" s="271">
        <f t="shared" si="154"/>
        <v>0.5858188873408956</v>
      </c>
      <c r="J116" s="271">
        <f t="shared" si="154"/>
        <v>0.16477241067156045</v>
      </c>
      <c r="K116" s="271">
        <f t="shared" si="154"/>
        <v>4.4765224050805852E-2</v>
      </c>
      <c r="L116" s="310"/>
      <c r="M116" s="45"/>
      <c r="N116" s="314"/>
      <c r="O116" s="314"/>
      <c r="P116" s="314"/>
      <c r="Q116" s="318"/>
      <c r="R116" s="271">
        <f t="shared" ref="R116:AK116" si="163">R100/Q100-1</f>
        <v>-2.5629496402877816E-2</v>
      </c>
      <c r="S116" s="271">
        <f t="shared" si="163"/>
        <v>6.6912782648823166E-2</v>
      </c>
      <c r="T116" s="271">
        <f t="shared" si="163"/>
        <v>-2.6384083044982631E-2</v>
      </c>
      <c r="U116" s="271">
        <f t="shared" si="163"/>
        <v>-4.8422923145268748E-2</v>
      </c>
      <c r="V116" s="271">
        <f t="shared" si="163"/>
        <v>-5.5555555555555469E-2</v>
      </c>
      <c r="W116" s="271">
        <f t="shared" si="163"/>
        <v>6.0800790904597113E-2</v>
      </c>
      <c r="X116" s="271">
        <f t="shared" si="163"/>
        <v>4.8462255358807216E-2</v>
      </c>
      <c r="Y116" s="271">
        <f t="shared" si="163"/>
        <v>-4.8888888888888316E-3</v>
      </c>
      <c r="Z116" s="271">
        <f t="shared" si="163"/>
        <v>-0.35283608753907991</v>
      </c>
      <c r="AA116" s="271">
        <f t="shared" si="163"/>
        <v>-0.30779848171152524</v>
      </c>
      <c r="AB116" s="271">
        <f t="shared" si="163"/>
        <v>-0.13958125623130613</v>
      </c>
      <c r="AC116" s="271">
        <f t="shared" si="163"/>
        <v>-0.43916570104287367</v>
      </c>
      <c r="AD116" s="271">
        <f t="shared" si="163"/>
        <v>-0.43181818181818177</v>
      </c>
      <c r="AE116" s="271">
        <f t="shared" si="163"/>
        <v>-0.25818181818181818</v>
      </c>
      <c r="AF116" s="271">
        <f t="shared" si="163"/>
        <v>-5.39215686274509E-2</v>
      </c>
      <c r="AG116" s="271">
        <f t="shared" si="163"/>
        <v>3.6269430051813378E-2</v>
      </c>
      <c r="AH116" s="271">
        <f t="shared" si="163"/>
        <v>0.17174999999999985</v>
      </c>
      <c r="AI116" s="271">
        <f t="shared" si="163"/>
        <v>0.41079581822061018</v>
      </c>
      <c r="AJ116" s="271">
        <f t="shared" si="163"/>
        <v>0.21356844715988155</v>
      </c>
      <c r="AK116" s="271">
        <f t="shared" si="163"/>
        <v>0.37103407023403046</v>
      </c>
      <c r="AL116" s="298">
        <v>-0.05</v>
      </c>
      <c r="AM116" s="298">
        <v>0.15</v>
      </c>
      <c r="AN116" s="298">
        <v>0.05</v>
      </c>
      <c r="AO116" s="298">
        <v>0.03</v>
      </c>
      <c r="AP116" s="298">
        <v>0.03</v>
      </c>
      <c r="AQ116" s="298">
        <v>0.03</v>
      </c>
      <c r="AR116" s="298">
        <v>0.03</v>
      </c>
      <c r="AS116" s="298">
        <v>0.03</v>
      </c>
      <c r="AT116" s="298">
        <v>0</v>
      </c>
      <c r="AU116" s="298">
        <v>0</v>
      </c>
      <c r="AV116" s="298">
        <v>0</v>
      </c>
      <c r="AW116" s="298">
        <v>0</v>
      </c>
      <c r="AX116" s="5"/>
      <c r="AY116" s="5"/>
      <c r="AZ116" s="5"/>
      <c r="BA116" s="5"/>
      <c r="BB116" s="5"/>
      <c r="BC116" s="5"/>
      <c r="BD116" s="5"/>
      <c r="BE116" s="5"/>
      <c r="BF116" s="2">
        <f t="shared" si="111"/>
        <v>110</v>
      </c>
    </row>
    <row r="117" spans="1:58" ht="11.25" customHeight="1" outlineLevel="1">
      <c r="A117" s="50"/>
      <c r="B117" s="176" t="s">
        <v>157</v>
      </c>
      <c r="C117" s="314"/>
      <c r="D117" s="318"/>
      <c r="E117" s="271">
        <f t="shared" si="154"/>
        <v>-0.33301251203079896</v>
      </c>
      <c r="F117" s="271">
        <f t="shared" si="154"/>
        <v>-0.46392496392496396</v>
      </c>
      <c r="G117" s="271">
        <f t="shared" si="154"/>
        <v>-7.9407806191116981E-2</v>
      </c>
      <c r="H117" s="271">
        <f t="shared" si="154"/>
        <v>8.2368421052631646E-2</v>
      </c>
      <c r="I117" s="271">
        <f t="shared" si="154"/>
        <v>-2.2924061917496408E-3</v>
      </c>
      <c r="J117" s="271">
        <f t="shared" si="154"/>
        <v>6.6696757014925501E-2</v>
      </c>
      <c r="K117" s="271">
        <f t="shared" si="154"/>
        <v>0.16523359027593143</v>
      </c>
      <c r="L117" s="310"/>
      <c r="M117" s="45"/>
      <c r="N117" s="314"/>
      <c r="O117" s="314"/>
      <c r="P117" s="314"/>
      <c r="Q117" s="318"/>
      <c r="R117" s="271">
        <f t="shared" ref="R117:AK117" si="164">R101/Q101-1</f>
        <v>-5.1056338028169002E-2</v>
      </c>
      <c r="S117" s="271">
        <f t="shared" si="164"/>
        <v>-5.5658627087198376E-3</v>
      </c>
      <c r="T117" s="271">
        <f t="shared" si="164"/>
        <v>-2.0522388059701524E-2</v>
      </c>
      <c r="U117" s="271">
        <f t="shared" si="164"/>
        <v>-8.9523809523809561E-2</v>
      </c>
      <c r="V117" s="271">
        <f t="shared" si="164"/>
        <v>-0.2761506276150627</v>
      </c>
      <c r="W117" s="271">
        <f t="shared" si="164"/>
        <v>0.10982658959537561</v>
      </c>
      <c r="X117" s="271">
        <f t="shared" si="164"/>
        <v>-3.1249999999999889E-2</v>
      </c>
      <c r="Y117" s="271">
        <f t="shared" si="164"/>
        <v>-0.23655913978494636</v>
      </c>
      <c r="Z117" s="271">
        <f t="shared" si="164"/>
        <v>-9.8591549295774517E-2</v>
      </c>
      <c r="AA117" s="271">
        <f t="shared" si="164"/>
        <v>-0.12890625</v>
      </c>
      <c r="AB117" s="271">
        <f t="shared" si="164"/>
        <v>-0.44843049327354256</v>
      </c>
      <c r="AC117" s="271">
        <f t="shared" si="164"/>
        <v>0.14634146341463405</v>
      </c>
      <c r="AD117" s="271">
        <f t="shared" si="164"/>
        <v>0.16312056737588643</v>
      </c>
      <c r="AE117" s="271">
        <f t="shared" si="164"/>
        <v>-4.8780487804877981E-2</v>
      </c>
      <c r="AF117" s="271">
        <f t="shared" si="164"/>
        <v>-8.9743589743589758E-2</v>
      </c>
      <c r="AG117" s="271">
        <f t="shared" si="164"/>
        <v>0.56338028169014098</v>
      </c>
      <c r="AH117" s="271">
        <f t="shared" si="164"/>
        <v>-0.20063063063063069</v>
      </c>
      <c r="AI117" s="271">
        <f t="shared" si="164"/>
        <v>0.12346444269131096</v>
      </c>
      <c r="AJ117" s="271">
        <f t="shared" si="164"/>
        <v>-0.17304509203992591</v>
      </c>
      <c r="AK117" s="271">
        <f t="shared" si="164"/>
        <v>0.20482804633954044</v>
      </c>
      <c r="AL117" s="298">
        <v>-7.4999999999999997E-2</v>
      </c>
      <c r="AM117" s="298">
        <v>0</v>
      </c>
      <c r="AN117" s="298">
        <v>0</v>
      </c>
      <c r="AO117" s="298">
        <v>0.02</v>
      </c>
      <c r="AP117" s="298">
        <v>0.02</v>
      </c>
      <c r="AQ117" s="298">
        <v>0.02</v>
      </c>
      <c r="AR117" s="298">
        <v>0.02</v>
      </c>
      <c r="AS117" s="298">
        <v>0.02</v>
      </c>
      <c r="AT117" s="298">
        <v>0.05</v>
      </c>
      <c r="AU117" s="298">
        <v>0.05</v>
      </c>
      <c r="AV117" s="298">
        <v>0.05</v>
      </c>
      <c r="AW117" s="298">
        <v>0.05</v>
      </c>
      <c r="AX117" s="5"/>
      <c r="AY117" s="5"/>
      <c r="AZ117" s="5"/>
      <c r="BA117" s="5"/>
      <c r="BB117" s="5"/>
      <c r="BC117" s="5"/>
      <c r="BD117" s="5"/>
      <c r="BE117" s="5"/>
      <c r="BF117" s="2">
        <f t="shared" si="111"/>
        <v>111</v>
      </c>
    </row>
    <row r="118" spans="1:58" ht="11.25" customHeight="1" outlineLevel="1">
      <c r="A118" s="50"/>
      <c r="B118" s="176" t="s">
        <v>156</v>
      </c>
      <c r="C118" s="314"/>
      <c r="D118" s="318"/>
      <c r="E118" s="271">
        <f t="shared" si="154"/>
        <v>2.8522532800911993E-3</v>
      </c>
      <c r="F118" s="271">
        <f t="shared" si="154"/>
        <v>-0.13111490329920361</v>
      </c>
      <c r="G118" s="271">
        <f t="shared" si="154"/>
        <v>-0.42324058919803609</v>
      </c>
      <c r="H118" s="271">
        <f t="shared" si="154"/>
        <v>-0.16505675368898975</v>
      </c>
      <c r="I118" s="271">
        <f t="shared" si="154"/>
        <v>7.7129173922796168E-2</v>
      </c>
      <c r="J118" s="271">
        <f t="shared" si="154"/>
        <v>0.15960662804157244</v>
      </c>
      <c r="K118" s="271">
        <f t="shared" si="154"/>
        <v>0.12913244748586195</v>
      </c>
      <c r="L118" s="310"/>
      <c r="M118" s="45"/>
      <c r="N118" s="314"/>
      <c r="O118" s="314"/>
      <c r="P118" s="314"/>
      <c r="Q118" s="318"/>
      <c r="R118" s="271">
        <f t="shared" ref="R118:AK118" si="165">R102/Q102-1</f>
        <v>7.4361820199777995E-2</v>
      </c>
      <c r="S118" s="271">
        <f t="shared" si="165"/>
        <v>-0.12809917355371891</v>
      </c>
      <c r="T118" s="271">
        <f t="shared" si="165"/>
        <v>-2.7251184834123365E-2</v>
      </c>
      <c r="U118" s="271">
        <f t="shared" si="165"/>
        <v>6.3337393422655319E-2</v>
      </c>
      <c r="V118" s="271">
        <f t="shared" si="165"/>
        <v>-3.4364261168384869E-2</v>
      </c>
      <c r="W118" s="271">
        <f t="shared" si="165"/>
        <v>7.8291814946619409E-2</v>
      </c>
      <c r="X118" s="271">
        <f t="shared" si="165"/>
        <v>-4.7304730473047396E-2</v>
      </c>
      <c r="Y118" s="271">
        <f t="shared" si="165"/>
        <v>3.6951501154734556E-2</v>
      </c>
      <c r="Z118" s="271">
        <f t="shared" si="165"/>
        <v>-9.7995545657015515E-2</v>
      </c>
      <c r="AA118" s="271">
        <f t="shared" si="165"/>
        <v>6.2962962962962887E-2</v>
      </c>
      <c r="AB118" s="271">
        <f t="shared" si="165"/>
        <v>-0.2415795586527294</v>
      </c>
      <c r="AC118" s="271">
        <f t="shared" si="165"/>
        <v>0.11944869831546701</v>
      </c>
      <c r="AD118" s="271">
        <f t="shared" si="165"/>
        <v>-0.27770177838577292</v>
      </c>
      <c r="AE118" s="271">
        <f t="shared" si="165"/>
        <v>-0.15719696969696961</v>
      </c>
      <c r="AF118" s="271">
        <f t="shared" si="165"/>
        <v>-9.8876404494381953E-2</v>
      </c>
      <c r="AG118" s="271">
        <f t="shared" si="165"/>
        <v>-3.2418952618453956E-2</v>
      </c>
      <c r="AH118" s="271">
        <f t="shared" si="165"/>
        <v>-0.29319587628865973</v>
      </c>
      <c r="AI118" s="271">
        <f t="shared" si="165"/>
        <v>0.29838827304550763</v>
      </c>
      <c r="AJ118" s="271">
        <f t="shared" si="165"/>
        <v>0.14367961355913161</v>
      </c>
      <c r="AK118" s="271">
        <f t="shared" si="165"/>
        <v>6.4828229747317279E-2</v>
      </c>
      <c r="AL118" s="298">
        <v>-0.1</v>
      </c>
      <c r="AM118" s="298">
        <v>0</v>
      </c>
      <c r="AN118" s="298">
        <v>0.02</v>
      </c>
      <c r="AO118" s="298">
        <v>0.02</v>
      </c>
      <c r="AP118" s="298">
        <v>0.05</v>
      </c>
      <c r="AQ118" s="298">
        <v>0.05</v>
      </c>
      <c r="AR118" s="298">
        <v>0.05</v>
      </c>
      <c r="AS118" s="298">
        <v>0.05</v>
      </c>
      <c r="AT118" s="298">
        <v>0.02</v>
      </c>
      <c r="AU118" s="298">
        <v>0.02</v>
      </c>
      <c r="AV118" s="298">
        <v>0.02</v>
      </c>
      <c r="AW118" s="298">
        <v>0.02</v>
      </c>
      <c r="AX118" s="5"/>
      <c r="AY118" s="5"/>
      <c r="AZ118" s="5"/>
      <c r="BA118" s="5"/>
      <c r="BB118" s="5"/>
      <c r="BC118" s="5"/>
      <c r="BD118" s="5"/>
      <c r="BE118" s="5"/>
      <c r="BF118" s="2">
        <f t="shared" si="111"/>
        <v>112</v>
      </c>
    </row>
    <row r="119" spans="1:58" ht="11.25" customHeight="1" outlineLevel="1">
      <c r="A119" s="50"/>
      <c r="B119" s="175" t="s">
        <v>162</v>
      </c>
      <c r="C119" s="317"/>
      <c r="D119" s="317"/>
      <c r="E119" s="209">
        <f t="shared" si="154"/>
        <v>-0.24935029407741749</v>
      </c>
      <c r="F119" s="209">
        <f t="shared" si="154"/>
        <v>-0.1479591836734695</v>
      </c>
      <c r="G119" s="209">
        <f t="shared" si="154"/>
        <v>-0.3926432848588538</v>
      </c>
      <c r="H119" s="209">
        <f t="shared" si="154"/>
        <v>-4.0767605633802773E-2</v>
      </c>
      <c r="I119" s="209">
        <f t="shared" si="154"/>
        <v>-0.1612665146684189</v>
      </c>
      <c r="J119" s="209">
        <f t="shared" si="154"/>
        <v>7.8686407795055757E-2</v>
      </c>
      <c r="K119" s="209">
        <f t="shared" si="154"/>
        <v>9.0905559576195394E-2</v>
      </c>
      <c r="L119" s="310"/>
      <c r="M119" s="45"/>
      <c r="N119" s="317"/>
      <c r="O119" s="317"/>
      <c r="P119" s="317"/>
      <c r="Q119" s="317"/>
      <c r="R119" s="209">
        <f t="shared" ref="R119:AK119" si="166">R103/Q103-1</f>
        <v>-0.25352822580645162</v>
      </c>
      <c r="S119" s="209">
        <f t="shared" si="166"/>
        <v>0.26266036461850106</v>
      </c>
      <c r="T119" s="209">
        <f t="shared" si="166"/>
        <v>0.15187165775401068</v>
      </c>
      <c r="U119" s="209">
        <f t="shared" si="166"/>
        <v>-0.16155988857938708</v>
      </c>
      <c r="V119" s="209">
        <f t="shared" si="166"/>
        <v>-0.27962347729789605</v>
      </c>
      <c r="W119" s="209">
        <f t="shared" si="166"/>
        <v>7.3020753266718197E-2</v>
      </c>
      <c r="X119" s="209">
        <f t="shared" si="166"/>
        <v>7.5931232091690282E-2</v>
      </c>
      <c r="Y119" s="209">
        <f t="shared" si="166"/>
        <v>-0.14181091877496665</v>
      </c>
      <c r="Z119" s="209">
        <f t="shared" si="166"/>
        <v>-0.10550814584949564</v>
      </c>
      <c r="AA119" s="209">
        <f t="shared" si="166"/>
        <v>0.10147441457068496</v>
      </c>
      <c r="AB119" s="209">
        <f t="shared" si="166"/>
        <v>-0.18031496062992114</v>
      </c>
      <c r="AC119" s="209">
        <f t="shared" si="166"/>
        <v>0.16426512968299689</v>
      </c>
      <c r="AD119" s="209">
        <f t="shared" si="166"/>
        <v>-0.27970297029702962</v>
      </c>
      <c r="AE119" s="209">
        <f t="shared" si="166"/>
        <v>-9.2783505154639068E-2</v>
      </c>
      <c r="AF119" s="209">
        <f t="shared" si="166"/>
        <v>-0.19191919191919193</v>
      </c>
      <c r="AG119" s="209">
        <f t="shared" si="166"/>
        <v>-0.1640625</v>
      </c>
      <c r="AH119" s="209">
        <f t="shared" si="166"/>
        <v>0.10132710280373836</v>
      </c>
      <c r="AI119" s="209">
        <f t="shared" si="166"/>
        <v>7.8664652670524804E-2</v>
      </c>
      <c r="AJ119" s="209">
        <f t="shared" si="166"/>
        <v>0.30727232676694571</v>
      </c>
      <c r="AK119" s="209">
        <f t="shared" si="166"/>
        <v>-0.1952819401817415</v>
      </c>
      <c r="AL119" s="209">
        <f t="shared" ref="AL119:AW119" si="167">AL103/AK103-1</f>
        <v>-0.1260670056835177</v>
      </c>
      <c r="AM119" s="209">
        <f t="shared" si="167"/>
        <v>-4.4902918237461065E-2</v>
      </c>
      <c r="AN119" s="209">
        <f t="shared" si="167"/>
        <v>1.5564795113734764E-2</v>
      </c>
      <c r="AO119" s="209">
        <f t="shared" si="167"/>
        <v>1.5857486835021195E-2</v>
      </c>
      <c r="AP119" s="209">
        <f t="shared" si="167"/>
        <v>2.4798729048067125E-2</v>
      </c>
      <c r="AQ119" s="209">
        <f t="shared" si="167"/>
        <v>2.8908171985833508E-2</v>
      </c>
      <c r="AR119" s="209">
        <f t="shared" si="167"/>
        <v>2.9010834015425147E-2</v>
      </c>
      <c r="AS119" s="209">
        <f t="shared" si="167"/>
        <v>2.9114562294767277E-2</v>
      </c>
      <c r="AT119" s="209">
        <f t="shared" si="167"/>
        <v>2.1071740867918853E-2</v>
      </c>
      <c r="AU119" s="209">
        <f t="shared" si="167"/>
        <v>1.5817706453500335E-2</v>
      </c>
      <c r="AV119" s="209">
        <f t="shared" si="167"/>
        <v>1.5841658936314396E-2</v>
      </c>
      <c r="AW119" s="209">
        <f t="shared" si="167"/>
        <v>1.5865571728255201E-2</v>
      </c>
      <c r="AX119" s="5"/>
      <c r="AY119" s="5"/>
      <c r="AZ119" s="5"/>
      <c r="BA119" s="5"/>
      <c r="BB119" s="5"/>
      <c r="BC119" s="5"/>
      <c r="BD119" s="5"/>
      <c r="BE119" s="5"/>
      <c r="BF119" s="2">
        <f t="shared" si="111"/>
        <v>113</v>
      </c>
    </row>
    <row r="120" spans="1:58" ht="11.25" customHeight="1" outlineLevel="1">
      <c r="A120" s="50"/>
      <c r="B120" s="176" t="s">
        <v>158</v>
      </c>
      <c r="C120" s="314"/>
      <c r="D120" s="318"/>
      <c r="E120" s="271">
        <f t="shared" si="154"/>
        <v>0.39389920424403191</v>
      </c>
      <c r="F120" s="271">
        <f t="shared" si="154"/>
        <v>-0.43006660323501433</v>
      </c>
      <c r="G120" s="271">
        <f t="shared" si="154"/>
        <v>-0.29883138564273781</v>
      </c>
      <c r="H120" s="271">
        <f t="shared" si="154"/>
        <v>-0.18369047619047607</v>
      </c>
      <c r="I120" s="271">
        <f t="shared" si="154"/>
        <v>2.3513653813621138E-2</v>
      </c>
      <c r="J120" s="271">
        <f t="shared" si="154"/>
        <v>0.20583929771121134</v>
      </c>
      <c r="K120" s="271">
        <f t="shared" si="154"/>
        <v>0.16156883752987694</v>
      </c>
      <c r="L120" s="310"/>
      <c r="M120" s="45"/>
      <c r="N120" s="314"/>
      <c r="O120" s="314"/>
      <c r="P120" s="314"/>
      <c r="Q120" s="318"/>
      <c r="R120" s="271">
        <f t="shared" ref="R120:AK120" si="168">R104/Q104-1</f>
        <v>7.9999999999999849E-2</v>
      </c>
      <c r="S120" s="271">
        <f t="shared" si="168"/>
        <v>0.22839506172839497</v>
      </c>
      <c r="T120" s="271">
        <f t="shared" si="168"/>
        <v>0.12060301507537696</v>
      </c>
      <c r="U120" s="271">
        <f t="shared" si="168"/>
        <v>-0.2376681614349776</v>
      </c>
      <c r="V120" s="271">
        <f t="shared" si="168"/>
        <v>0.2823529411764707</v>
      </c>
      <c r="W120" s="271">
        <f t="shared" si="168"/>
        <v>0.23853211009174302</v>
      </c>
      <c r="X120" s="271">
        <f t="shared" si="168"/>
        <v>0.19999999999999996</v>
      </c>
      <c r="Y120" s="271">
        <f t="shared" si="168"/>
        <v>-0.26234567901234573</v>
      </c>
      <c r="Z120" s="271">
        <f t="shared" si="168"/>
        <v>-0.24686192468619239</v>
      </c>
      <c r="AA120" s="271">
        <f t="shared" si="168"/>
        <v>-0.22777777777777775</v>
      </c>
      <c r="AB120" s="271">
        <f t="shared" si="168"/>
        <v>0.1294964028776977</v>
      </c>
      <c r="AC120" s="271">
        <f t="shared" si="168"/>
        <v>-0.21656050955414008</v>
      </c>
      <c r="AD120" s="271">
        <f t="shared" si="168"/>
        <v>-0.17073170731707332</v>
      </c>
      <c r="AE120" s="271">
        <f t="shared" si="168"/>
        <v>-0.10784313725490191</v>
      </c>
      <c r="AF120" s="271">
        <f t="shared" si="168"/>
        <v>0.17582417582417587</v>
      </c>
      <c r="AG120" s="271">
        <f t="shared" si="168"/>
        <v>0.12149532710280386</v>
      </c>
      <c r="AH120" s="271">
        <f t="shared" si="168"/>
        <v>-0.24291666666666656</v>
      </c>
      <c r="AI120" s="271">
        <f t="shared" si="168"/>
        <v>-0.12812328013208596</v>
      </c>
      <c r="AJ120" s="271">
        <f t="shared" si="168"/>
        <v>0.15111728317131679</v>
      </c>
      <c r="AK120" s="271">
        <f t="shared" si="168"/>
        <v>-0.10495722746216285</v>
      </c>
      <c r="AL120" s="298">
        <v>0.02</v>
      </c>
      <c r="AM120" s="298">
        <v>0.02</v>
      </c>
      <c r="AN120" s="298">
        <v>0.05</v>
      </c>
      <c r="AO120" s="298">
        <v>0.05</v>
      </c>
      <c r="AP120" s="298">
        <v>4.9514563106796139E-2</v>
      </c>
      <c r="AQ120" s="298">
        <v>4.9514563106796139E-2</v>
      </c>
      <c r="AR120" s="298">
        <v>4.9514563106796139E-2</v>
      </c>
      <c r="AS120" s="298">
        <v>4.9514563106796139E-2</v>
      </c>
      <c r="AT120" s="298">
        <v>0.05</v>
      </c>
      <c r="AU120" s="298">
        <v>0.02</v>
      </c>
      <c r="AV120" s="298">
        <v>0.02</v>
      </c>
      <c r="AW120" s="298">
        <v>0.02</v>
      </c>
      <c r="AX120" s="5"/>
      <c r="AY120" s="5"/>
      <c r="AZ120" s="5"/>
      <c r="BA120" s="5"/>
      <c r="BB120" s="5"/>
      <c r="BC120" s="5"/>
      <c r="BD120" s="5"/>
      <c r="BE120" s="5"/>
      <c r="BF120" s="2">
        <f t="shared" si="111"/>
        <v>114</v>
      </c>
    </row>
    <row r="121" spans="1:58" ht="11.25" customHeight="1" outlineLevel="1">
      <c r="A121" s="50"/>
      <c r="B121" s="176" t="s">
        <v>157</v>
      </c>
      <c r="C121" s="314"/>
      <c r="D121" s="318"/>
      <c r="E121" s="271">
        <f t="shared" si="154"/>
        <v>-0.19974391805377723</v>
      </c>
      <c r="F121" s="271">
        <f t="shared" si="154"/>
        <v>-6.0480000000000089E-2</v>
      </c>
      <c r="G121" s="271">
        <f t="shared" si="154"/>
        <v>-0.46355585831062673</v>
      </c>
      <c r="H121" s="271">
        <f t="shared" si="154"/>
        <v>2.7079365079365258E-2</v>
      </c>
      <c r="I121" s="271">
        <f t="shared" si="154"/>
        <v>-0.36180312181250573</v>
      </c>
      <c r="J121" s="271">
        <f t="shared" si="154"/>
        <v>2.2604363243243331E-2</v>
      </c>
      <c r="K121" s="271">
        <f t="shared" si="154"/>
        <v>5.5903260245049768E-2</v>
      </c>
      <c r="L121" s="310"/>
      <c r="M121" s="45"/>
      <c r="N121" s="314"/>
      <c r="O121" s="314"/>
      <c r="P121" s="314"/>
      <c r="Q121" s="318"/>
      <c r="R121" s="271">
        <f t="shared" ref="R121:AK121" si="169">R105/Q105-1</f>
        <v>-3.5550458715596478E-2</v>
      </c>
      <c r="S121" s="271">
        <f t="shared" si="169"/>
        <v>0.14387633769322239</v>
      </c>
      <c r="T121" s="271">
        <f t="shared" si="169"/>
        <v>0.15904365904365902</v>
      </c>
      <c r="U121" s="271">
        <f t="shared" si="169"/>
        <v>-0.11479820627802684</v>
      </c>
      <c r="V121" s="271">
        <f t="shared" si="169"/>
        <v>-0.24113475177304966</v>
      </c>
      <c r="W121" s="271">
        <f t="shared" si="169"/>
        <v>7.3431241655540713E-2</v>
      </c>
      <c r="X121" s="271">
        <f t="shared" si="169"/>
        <v>4.4776119402984982E-2</v>
      </c>
      <c r="Y121" s="271">
        <f t="shared" si="169"/>
        <v>-0.12857142857142856</v>
      </c>
      <c r="Z121" s="271">
        <f t="shared" si="169"/>
        <v>-1.7759562841530019E-2</v>
      </c>
      <c r="AA121" s="271">
        <f t="shared" si="169"/>
        <v>6.8150208623087405E-2</v>
      </c>
      <c r="AB121" s="271">
        <f t="shared" si="169"/>
        <v>-0.19010416666666663</v>
      </c>
      <c r="AC121" s="271">
        <f t="shared" si="169"/>
        <v>0.32958199356913154</v>
      </c>
      <c r="AD121" s="271">
        <f t="shared" si="169"/>
        <v>-0.37847642079806521</v>
      </c>
      <c r="AE121" s="271">
        <f t="shared" si="169"/>
        <v>-3.1128404669260701E-2</v>
      </c>
      <c r="AF121" s="271">
        <f t="shared" si="169"/>
        <v>-0.34337349397590355</v>
      </c>
      <c r="AG121" s="271">
        <f t="shared" si="169"/>
        <v>-0.27828746177370034</v>
      </c>
      <c r="AH121" s="271">
        <f t="shared" si="169"/>
        <v>0.42868644067796602</v>
      </c>
      <c r="AI121" s="271">
        <f t="shared" si="169"/>
        <v>0.24655218435803916</v>
      </c>
      <c r="AJ121" s="271">
        <f t="shared" si="169"/>
        <v>0.23699738282179394</v>
      </c>
      <c r="AK121" s="271">
        <f t="shared" si="169"/>
        <v>-0.34552134023196324</v>
      </c>
      <c r="AL121" s="298">
        <v>-0.18</v>
      </c>
      <c r="AM121" s="298">
        <v>-0.1</v>
      </c>
      <c r="AN121" s="298">
        <v>0</v>
      </c>
      <c r="AO121" s="298">
        <v>0</v>
      </c>
      <c r="AP121" s="298">
        <v>0.02</v>
      </c>
      <c r="AQ121" s="298">
        <v>0.02</v>
      </c>
      <c r="AR121" s="298">
        <v>0.02</v>
      </c>
      <c r="AS121" s="298">
        <v>0.02</v>
      </c>
      <c r="AT121" s="298">
        <v>0.01</v>
      </c>
      <c r="AU121" s="298">
        <v>0.01</v>
      </c>
      <c r="AV121" s="298">
        <v>0.01</v>
      </c>
      <c r="AW121" s="298">
        <v>0.01</v>
      </c>
      <c r="AX121" s="5"/>
      <c r="AY121" s="5"/>
      <c r="AZ121" s="5"/>
      <c r="BA121" s="5"/>
      <c r="BB121" s="5"/>
      <c r="BC121" s="5"/>
      <c r="BD121" s="5"/>
      <c r="BE121" s="5"/>
      <c r="BF121" s="2">
        <f t="shared" si="111"/>
        <v>115</v>
      </c>
    </row>
    <row r="122" spans="1:58" ht="11.25" customHeight="1" outlineLevel="1">
      <c r="A122" s="50"/>
      <c r="B122" s="176" t="s">
        <v>156</v>
      </c>
      <c r="C122" s="314"/>
      <c r="D122" s="318"/>
      <c r="E122" s="271">
        <f t="shared" si="154"/>
        <v>-0.5052790346907996</v>
      </c>
      <c r="F122" s="271">
        <f t="shared" si="154"/>
        <v>-0.13033536585365846</v>
      </c>
      <c r="G122" s="271">
        <f t="shared" si="154"/>
        <v>-0.2594215600350569</v>
      </c>
      <c r="H122" s="271">
        <f t="shared" si="154"/>
        <v>-9.6189349112426048E-2</v>
      </c>
      <c r="I122" s="271">
        <f t="shared" si="154"/>
        <v>0.18054221337663034</v>
      </c>
      <c r="J122" s="271">
        <f t="shared" si="154"/>
        <v>9.3414058077036843E-2</v>
      </c>
      <c r="K122" s="271">
        <f t="shared" si="154"/>
        <v>9.8058739920246163E-2</v>
      </c>
      <c r="L122" s="310"/>
      <c r="M122" s="45"/>
      <c r="N122" s="314"/>
      <c r="O122" s="314"/>
      <c r="P122" s="314"/>
      <c r="Q122" s="318"/>
      <c r="R122" s="271">
        <f t="shared" ref="R122:AK122" si="170">R106/Q106-1</f>
        <v>-0.50311850311850315</v>
      </c>
      <c r="S122" s="271">
        <f t="shared" si="170"/>
        <v>0.48326359832636001</v>
      </c>
      <c r="T122" s="271">
        <f t="shared" si="170"/>
        <v>0.15091678420310273</v>
      </c>
      <c r="U122" s="271">
        <f t="shared" si="170"/>
        <v>-0.20465686274509787</v>
      </c>
      <c r="V122" s="271">
        <f t="shared" si="170"/>
        <v>-0.48536209553158716</v>
      </c>
      <c r="W122" s="271">
        <f t="shared" si="170"/>
        <v>-3.5928143712574689E-2</v>
      </c>
      <c r="X122" s="271">
        <f t="shared" si="170"/>
        <v>4.9689440993788692E-2</v>
      </c>
      <c r="Y122" s="271">
        <f t="shared" si="170"/>
        <v>-5.9171597633135953E-2</v>
      </c>
      <c r="Z122" s="271">
        <f t="shared" si="170"/>
        <v>-0.20125786163522019</v>
      </c>
      <c r="AA122" s="271">
        <f t="shared" si="170"/>
        <v>0.42913385826771644</v>
      </c>
      <c r="AB122" s="271">
        <f t="shared" si="170"/>
        <v>-0.27823691460055089</v>
      </c>
      <c r="AC122" s="271">
        <f t="shared" si="170"/>
        <v>0</v>
      </c>
      <c r="AD122" s="271">
        <f t="shared" si="170"/>
        <v>-1.9083969465648831E-2</v>
      </c>
      <c r="AE122" s="271">
        <f t="shared" si="170"/>
        <v>-0.21011673151750965</v>
      </c>
      <c r="AF122" s="271">
        <f t="shared" si="170"/>
        <v>1.4778325123152802E-2</v>
      </c>
      <c r="AG122" s="271">
        <f t="shared" si="170"/>
        <v>-0.13106796116504871</v>
      </c>
      <c r="AH122" s="271">
        <f t="shared" si="170"/>
        <v>-9.9497206703910601E-2</v>
      </c>
      <c r="AI122" s="271">
        <f t="shared" si="170"/>
        <v>-0.155965010236367</v>
      </c>
      <c r="AJ122" s="271">
        <f t="shared" si="170"/>
        <v>0.61528849687614828</v>
      </c>
      <c r="AK122" s="271">
        <f t="shared" si="170"/>
        <v>0.12267928649435755</v>
      </c>
      <c r="AL122" s="298">
        <v>-0.1</v>
      </c>
      <c r="AM122" s="298">
        <v>0</v>
      </c>
      <c r="AN122" s="298">
        <v>0.02</v>
      </c>
      <c r="AO122" s="298">
        <v>0.02</v>
      </c>
      <c r="AP122" s="298">
        <v>0.02</v>
      </c>
      <c r="AQ122" s="298">
        <v>0.03</v>
      </c>
      <c r="AR122" s="298">
        <v>0.03</v>
      </c>
      <c r="AS122" s="298">
        <v>0.03</v>
      </c>
      <c r="AT122" s="298">
        <v>0.02</v>
      </c>
      <c r="AU122" s="298">
        <v>0.02</v>
      </c>
      <c r="AV122" s="298">
        <v>0.02</v>
      </c>
      <c r="AW122" s="298">
        <v>0.02</v>
      </c>
      <c r="AX122" s="5"/>
      <c r="AY122" s="5"/>
      <c r="AZ122" s="5"/>
      <c r="BA122" s="5"/>
      <c r="BB122" s="5"/>
      <c r="BC122" s="5"/>
      <c r="BD122" s="5"/>
      <c r="BE122" s="5"/>
      <c r="BF122" s="2">
        <f t="shared" si="111"/>
        <v>116</v>
      </c>
    </row>
    <row r="123" spans="1:58" ht="11.25" customHeight="1" outlineLevel="1">
      <c r="A123" s="50"/>
      <c r="B123" s="176"/>
      <c r="C123" s="48"/>
      <c r="D123" s="48"/>
      <c r="E123" s="48"/>
      <c r="F123" s="48"/>
      <c r="G123" s="48"/>
      <c r="H123" s="48"/>
      <c r="I123" s="48"/>
      <c r="J123" s="48"/>
      <c r="K123" s="48"/>
      <c r="L123" s="49"/>
      <c r="M123" s="3"/>
      <c r="N123" s="48"/>
      <c r="O123" s="48"/>
      <c r="P123" s="48"/>
      <c r="Q123" s="178"/>
      <c r="R123" s="178"/>
      <c r="S123" s="178"/>
      <c r="T123" s="178"/>
      <c r="U123" s="178"/>
      <c r="V123" s="178"/>
      <c r="W123" s="178"/>
      <c r="X123" s="178"/>
      <c r="Y123" s="178"/>
      <c r="Z123" s="178"/>
      <c r="AA123" s="178"/>
      <c r="AB123" s="178"/>
      <c r="AC123" s="178"/>
      <c r="AD123" s="178"/>
      <c r="AE123" s="178"/>
      <c r="AF123" s="178"/>
      <c r="AG123" s="178"/>
      <c r="AH123" s="178"/>
      <c r="AI123" s="178"/>
      <c r="AJ123" s="178"/>
      <c r="AK123" s="178"/>
      <c r="AL123" s="178"/>
      <c r="AM123" s="178"/>
      <c r="AN123" s="178"/>
      <c r="AO123" s="178"/>
      <c r="AP123" s="178"/>
      <c r="AQ123" s="178"/>
      <c r="AR123" s="178"/>
      <c r="AS123" s="178"/>
      <c r="AT123" s="178"/>
      <c r="AU123" s="178"/>
      <c r="AV123" s="178"/>
      <c r="AW123" s="178"/>
      <c r="AX123" s="5"/>
      <c r="AY123" s="5"/>
      <c r="AZ123" s="5"/>
      <c r="BA123" s="5"/>
      <c r="BB123" s="5"/>
      <c r="BC123" s="5"/>
      <c r="BD123" s="5"/>
      <c r="BE123" s="5"/>
      <c r="BF123" s="2">
        <f t="shared" si="111"/>
        <v>117</v>
      </c>
    </row>
    <row r="124" spans="1:58" ht="11.25" customHeight="1" outlineLevel="1" collapsed="1">
      <c r="A124" s="50"/>
      <c r="B124" s="177" t="s">
        <v>161</v>
      </c>
      <c r="C124" s="38">
        <f>SUM(C125:C127)</f>
        <v>4568.0680000000002</v>
      </c>
      <c r="D124" s="38">
        <f t="shared" ref="D124:K127" si="171">SUMIFS($N124:$AX124,$N$4:$AX$4,D$4)</f>
        <v>4612</v>
      </c>
      <c r="E124" s="38">
        <f t="shared" si="171"/>
        <v>4556.6000000000004</v>
      </c>
      <c r="F124" s="38">
        <f t="shared" si="171"/>
        <v>2751.7919999999995</v>
      </c>
      <c r="G124" s="38">
        <f t="shared" si="171"/>
        <v>1450</v>
      </c>
      <c r="H124" s="38">
        <f t="shared" si="171"/>
        <v>1874.076</v>
      </c>
      <c r="I124" s="38">
        <f t="shared" si="171"/>
        <v>2231.0663185164999</v>
      </c>
      <c r="J124" s="38">
        <f t="shared" si="171"/>
        <v>2709.3030179126467</v>
      </c>
      <c r="K124" s="38">
        <f t="shared" si="171"/>
        <v>2848.8178295393418</v>
      </c>
      <c r="L124" s="49"/>
      <c r="M124" s="3"/>
      <c r="N124" s="323">
        <v>189.3</v>
      </c>
      <c r="O124" s="323">
        <v>1243.4000000000001</v>
      </c>
      <c r="P124" s="323">
        <v>1179.6999999999998</v>
      </c>
      <c r="Q124" s="323">
        <v>1178.0999999999999</v>
      </c>
      <c r="R124" s="38">
        <f t="shared" ref="R124:AW124" si="172">+R93+R97+R99+R103</f>
        <v>1135.5</v>
      </c>
      <c r="S124" s="38">
        <f t="shared" si="172"/>
        <v>1159.8000000000002</v>
      </c>
      <c r="T124" s="38">
        <f t="shared" si="172"/>
        <v>1188.7</v>
      </c>
      <c r="U124" s="38">
        <f t="shared" si="172"/>
        <v>1128</v>
      </c>
      <c r="V124" s="38">
        <f t="shared" si="172"/>
        <v>1061.3999999999999</v>
      </c>
      <c r="W124" s="38">
        <f t="shared" si="172"/>
        <v>1107.5999999999999</v>
      </c>
      <c r="X124" s="38">
        <f t="shared" si="172"/>
        <v>1209</v>
      </c>
      <c r="Y124" s="38">
        <f t="shared" si="172"/>
        <v>1178.6000000000001</v>
      </c>
      <c r="Z124" s="38">
        <f t="shared" si="172"/>
        <v>917.29199999999992</v>
      </c>
      <c r="AA124" s="38">
        <f t="shared" si="172"/>
        <v>710.8</v>
      </c>
      <c r="AB124" s="38">
        <f t="shared" si="172"/>
        <v>601.4</v>
      </c>
      <c r="AC124" s="38">
        <f t="shared" si="172"/>
        <v>522.29999999999995</v>
      </c>
      <c r="AD124" s="38">
        <f t="shared" si="172"/>
        <v>413.09999999999997</v>
      </c>
      <c r="AE124" s="38">
        <f t="shared" si="172"/>
        <v>356.3</v>
      </c>
      <c r="AF124" s="38">
        <f t="shared" si="172"/>
        <v>326.2</v>
      </c>
      <c r="AG124" s="38">
        <f t="shared" si="172"/>
        <v>354.4</v>
      </c>
      <c r="AH124" s="38">
        <f t="shared" si="172"/>
        <v>400.93600000000004</v>
      </c>
      <c r="AI124" s="38">
        <f t="shared" si="172"/>
        <v>470.06799999999998</v>
      </c>
      <c r="AJ124" s="38">
        <f t="shared" si="172"/>
        <v>506.02899999999994</v>
      </c>
      <c r="AK124" s="38">
        <f t="shared" si="172"/>
        <v>497.04300000000001</v>
      </c>
      <c r="AL124" s="38">
        <f t="shared" si="172"/>
        <v>484.85883999999999</v>
      </c>
      <c r="AM124" s="38">
        <f t="shared" si="172"/>
        <v>528.64725940000005</v>
      </c>
      <c r="AN124" s="38">
        <f t="shared" si="172"/>
        <v>589.98513027000001</v>
      </c>
      <c r="AO124" s="38">
        <f t="shared" si="172"/>
        <v>627.57508884650008</v>
      </c>
      <c r="AP124" s="38">
        <f t="shared" si="172"/>
        <v>653.2795740067005</v>
      </c>
      <c r="AQ124" s="38">
        <f t="shared" si="172"/>
        <v>669.02380002960945</v>
      </c>
      <c r="AR124" s="38">
        <f t="shared" si="172"/>
        <v>685.19450829854679</v>
      </c>
      <c r="AS124" s="38">
        <f t="shared" si="172"/>
        <v>701.80513557779011</v>
      </c>
      <c r="AT124" s="38">
        <f t="shared" si="172"/>
        <v>706.05738902642202</v>
      </c>
      <c r="AU124" s="38">
        <f t="shared" si="172"/>
        <v>710.0816793885856</v>
      </c>
      <c r="AV124" s="38">
        <f t="shared" si="172"/>
        <v>714.21566157775908</v>
      </c>
      <c r="AW124" s="38">
        <f t="shared" si="172"/>
        <v>718.46309954657477</v>
      </c>
      <c r="AX124" s="5"/>
      <c r="AY124" s="5"/>
      <c r="AZ124" s="5"/>
      <c r="BA124" s="5"/>
      <c r="BB124" s="5"/>
      <c r="BC124" s="5"/>
      <c r="BD124" s="5"/>
      <c r="BE124" s="5"/>
      <c r="BF124" s="2">
        <f t="shared" si="111"/>
        <v>118</v>
      </c>
    </row>
    <row r="125" spans="1:58" ht="11.25" customHeight="1" outlineLevel="1">
      <c r="A125" s="50"/>
      <c r="B125" s="176" t="s">
        <v>158</v>
      </c>
      <c r="C125" s="40">
        <v>3043.5990000000002</v>
      </c>
      <c r="D125" s="51">
        <f t="shared" si="171"/>
        <v>2847.3999999999996</v>
      </c>
      <c r="E125" s="51">
        <f t="shared" si="171"/>
        <v>3021.9999999999995</v>
      </c>
      <c r="F125" s="51">
        <f t="shared" si="171"/>
        <v>1536.992</v>
      </c>
      <c r="G125" s="51">
        <f t="shared" si="171"/>
        <v>717.69999999999993</v>
      </c>
      <c r="H125" s="51">
        <f t="shared" si="171"/>
        <v>1238.9549999999999</v>
      </c>
      <c r="I125" s="51">
        <f t="shared" si="171"/>
        <v>1642.0850459164999</v>
      </c>
      <c r="J125" s="51">
        <f t="shared" si="171"/>
        <v>2069.8035895516205</v>
      </c>
      <c r="K125" s="51">
        <f t="shared" si="171"/>
        <v>2141.4205011779718</v>
      </c>
      <c r="L125" s="49"/>
      <c r="M125" s="3"/>
      <c r="N125" s="40">
        <v>91</v>
      </c>
      <c r="O125" s="40">
        <v>883</v>
      </c>
      <c r="P125" s="40">
        <v>787.6</v>
      </c>
      <c r="Q125" s="40">
        <v>730.69999999999993</v>
      </c>
      <c r="R125" s="51">
        <f t="shared" ref="R125:AW125" si="173">+R94+R98+R100+R104</f>
        <v>732.8</v>
      </c>
      <c r="S125" s="51">
        <f t="shared" si="173"/>
        <v>723.3</v>
      </c>
      <c r="T125" s="51">
        <f t="shared" si="173"/>
        <v>718.3</v>
      </c>
      <c r="U125" s="51">
        <f t="shared" si="173"/>
        <v>673</v>
      </c>
      <c r="V125" s="51">
        <f t="shared" si="173"/>
        <v>681.39999999999986</v>
      </c>
      <c r="W125" s="51">
        <f t="shared" si="173"/>
        <v>721.4</v>
      </c>
      <c r="X125" s="51">
        <f t="shared" si="173"/>
        <v>814.1</v>
      </c>
      <c r="Y125" s="51">
        <f t="shared" si="173"/>
        <v>805.1</v>
      </c>
      <c r="Z125" s="51">
        <f t="shared" si="173"/>
        <v>576.39200000000005</v>
      </c>
      <c r="AA125" s="51">
        <f t="shared" si="173"/>
        <v>378.8</v>
      </c>
      <c r="AB125" s="51">
        <f t="shared" si="173"/>
        <v>338.3</v>
      </c>
      <c r="AC125" s="51">
        <f t="shared" si="173"/>
        <v>243.50000000000003</v>
      </c>
      <c r="AD125" s="51">
        <f t="shared" si="173"/>
        <v>190.1</v>
      </c>
      <c r="AE125" s="51">
        <f t="shared" si="173"/>
        <v>157.1</v>
      </c>
      <c r="AF125" s="51">
        <f t="shared" si="173"/>
        <v>170.2</v>
      </c>
      <c r="AG125" s="51">
        <f t="shared" si="173"/>
        <v>200.29999999999998</v>
      </c>
      <c r="AH125" s="51">
        <f t="shared" si="173"/>
        <v>258.661</v>
      </c>
      <c r="AI125" s="51">
        <f t="shared" si="173"/>
        <v>317.83199999999999</v>
      </c>
      <c r="AJ125" s="51">
        <f t="shared" si="173"/>
        <v>331.42500000000001</v>
      </c>
      <c r="AK125" s="51">
        <f t="shared" si="173"/>
        <v>331.03699999999998</v>
      </c>
      <c r="AL125" s="51">
        <f t="shared" si="173"/>
        <v>335.91580000000005</v>
      </c>
      <c r="AM125" s="51">
        <f t="shared" si="173"/>
        <v>383.32313739999995</v>
      </c>
      <c r="AN125" s="51">
        <f t="shared" si="173"/>
        <v>443.43637827000003</v>
      </c>
      <c r="AO125" s="51">
        <f t="shared" si="173"/>
        <v>479.40973024650003</v>
      </c>
      <c r="AP125" s="51">
        <f t="shared" si="173"/>
        <v>500.7342053663005</v>
      </c>
      <c r="AQ125" s="51">
        <f t="shared" si="173"/>
        <v>511.70831892075751</v>
      </c>
      <c r="AR125" s="51">
        <f t="shared" si="173"/>
        <v>522.93635619043607</v>
      </c>
      <c r="AS125" s="51">
        <f t="shared" si="173"/>
        <v>534.42470907412621</v>
      </c>
      <c r="AT125" s="51">
        <f t="shared" si="173"/>
        <v>534.99257551087931</v>
      </c>
      <c r="AU125" s="51">
        <f t="shared" si="173"/>
        <v>535.23107941431567</v>
      </c>
      <c r="AV125" s="51">
        <f t="shared" si="173"/>
        <v>535.4743533958208</v>
      </c>
      <c r="AW125" s="51">
        <f t="shared" si="173"/>
        <v>535.72249285695591</v>
      </c>
      <c r="AX125" s="5"/>
      <c r="AY125" s="5"/>
      <c r="AZ125" s="5"/>
      <c r="BA125" s="5"/>
      <c r="BB125" s="5"/>
      <c r="BC125" s="5"/>
      <c r="BD125" s="5"/>
      <c r="BE125" s="5"/>
      <c r="BF125" s="2">
        <f t="shared" si="111"/>
        <v>119</v>
      </c>
    </row>
    <row r="126" spans="1:58" ht="11.25" customHeight="1" outlineLevel="1">
      <c r="A126" s="50"/>
      <c r="B126" s="176" t="s">
        <v>157</v>
      </c>
      <c r="C126" s="40">
        <v>725.92899999999997</v>
      </c>
      <c r="D126" s="51">
        <f t="shared" si="171"/>
        <v>912.80000000000007</v>
      </c>
      <c r="E126" s="51">
        <f t="shared" si="171"/>
        <v>826.9</v>
      </c>
      <c r="F126" s="51">
        <f t="shared" si="171"/>
        <v>625.29999999999995</v>
      </c>
      <c r="G126" s="51">
        <f t="shared" si="171"/>
        <v>362.70000000000005</v>
      </c>
      <c r="H126" s="51">
        <f t="shared" si="171"/>
        <v>327.30499999999995</v>
      </c>
      <c r="I126" s="51">
        <f t="shared" si="171"/>
        <v>260.51097760000005</v>
      </c>
      <c r="J126" s="51">
        <f t="shared" si="171"/>
        <v>271.58080599500084</v>
      </c>
      <c r="K126" s="51">
        <f t="shared" si="171"/>
        <v>297.69109178974765</v>
      </c>
      <c r="L126" s="49"/>
      <c r="M126" s="3"/>
      <c r="N126" s="40">
        <v>50.8</v>
      </c>
      <c r="O126" s="40">
        <v>170.8</v>
      </c>
      <c r="P126" s="40">
        <v>189.4</v>
      </c>
      <c r="Q126" s="40">
        <v>212.7</v>
      </c>
      <c r="R126" s="51">
        <f t="shared" ref="R126:AW126" si="174">+R95+R101+R105</f>
        <v>208</v>
      </c>
      <c r="S126" s="51">
        <f t="shared" si="174"/>
        <v>225.10000000000002</v>
      </c>
      <c r="T126" s="51">
        <f t="shared" si="174"/>
        <v>241.8</v>
      </c>
      <c r="U126" s="51">
        <f t="shared" si="174"/>
        <v>237.89999999999998</v>
      </c>
      <c r="V126" s="51">
        <f t="shared" si="174"/>
        <v>210.9</v>
      </c>
      <c r="W126" s="51">
        <f t="shared" si="174"/>
        <v>211.6</v>
      </c>
      <c r="X126" s="51">
        <f t="shared" si="174"/>
        <v>210.8</v>
      </c>
      <c r="Y126" s="51">
        <f t="shared" si="174"/>
        <v>193.60000000000002</v>
      </c>
      <c r="Z126" s="51">
        <f t="shared" si="174"/>
        <v>184.1</v>
      </c>
      <c r="AA126" s="51">
        <f t="shared" si="174"/>
        <v>162.5</v>
      </c>
      <c r="AB126" s="51">
        <f t="shared" si="174"/>
        <v>131.9</v>
      </c>
      <c r="AC126" s="51">
        <f t="shared" si="174"/>
        <v>146.79999999999998</v>
      </c>
      <c r="AD126" s="51">
        <f t="shared" si="174"/>
        <v>113.4</v>
      </c>
      <c r="AE126" s="51">
        <f t="shared" si="174"/>
        <v>104.3</v>
      </c>
      <c r="AF126" s="51">
        <f t="shared" si="174"/>
        <v>73.400000000000006</v>
      </c>
      <c r="AG126" s="51">
        <f t="shared" si="174"/>
        <v>71.599999999999994</v>
      </c>
      <c r="AH126" s="51">
        <f t="shared" si="174"/>
        <v>74.947999999999993</v>
      </c>
      <c r="AI126" s="51">
        <f t="shared" si="174"/>
        <v>84.233000000000004</v>
      </c>
      <c r="AJ126" s="51">
        <f t="shared" si="174"/>
        <v>91.712000000000003</v>
      </c>
      <c r="AK126" s="51">
        <f t="shared" si="174"/>
        <v>76.412000000000006</v>
      </c>
      <c r="AL126" s="51">
        <f t="shared" si="174"/>
        <v>67.446080000000009</v>
      </c>
      <c r="AM126" s="51">
        <f t="shared" si="174"/>
        <v>64.232471200000006</v>
      </c>
      <c r="AN126" s="51">
        <f t="shared" si="174"/>
        <v>64.232471200000006</v>
      </c>
      <c r="AO126" s="51">
        <f t="shared" si="174"/>
        <v>64.599955200000011</v>
      </c>
      <c r="AP126" s="51">
        <f t="shared" si="174"/>
        <v>65.891954304000009</v>
      </c>
      <c r="AQ126" s="51">
        <f t="shared" si="174"/>
        <v>67.209793390080009</v>
      </c>
      <c r="AR126" s="51">
        <f t="shared" si="174"/>
        <v>68.553989257881611</v>
      </c>
      <c r="AS126" s="51">
        <f t="shared" si="174"/>
        <v>69.925069043039244</v>
      </c>
      <c r="AT126" s="51">
        <f t="shared" si="174"/>
        <v>71.660348905705362</v>
      </c>
      <c r="AU126" s="51">
        <f t="shared" si="174"/>
        <v>73.458046072235817</v>
      </c>
      <c r="AV126" s="51">
        <f t="shared" si="174"/>
        <v>75.320903201863715</v>
      </c>
      <c r="AW126" s="51">
        <f t="shared" si="174"/>
        <v>77.251793609942752</v>
      </c>
      <c r="AX126" s="5"/>
      <c r="AY126" s="5"/>
      <c r="AZ126" s="5"/>
      <c r="BA126" s="5"/>
      <c r="BB126" s="5"/>
      <c r="BC126" s="5"/>
      <c r="BD126" s="5"/>
      <c r="BE126" s="5"/>
      <c r="BF126" s="2">
        <f t="shared" si="111"/>
        <v>120</v>
      </c>
    </row>
    <row r="127" spans="1:58" ht="11.25" customHeight="1" outlineLevel="1">
      <c r="A127" s="50"/>
      <c r="B127" s="176" t="s">
        <v>156</v>
      </c>
      <c r="C127" s="40">
        <v>798.54</v>
      </c>
      <c r="D127" s="51">
        <f t="shared" si="171"/>
        <v>851.80000000000007</v>
      </c>
      <c r="E127" s="51">
        <f t="shared" si="171"/>
        <v>707.7</v>
      </c>
      <c r="F127" s="51">
        <f t="shared" si="171"/>
        <v>589.5</v>
      </c>
      <c r="G127" s="51">
        <f t="shared" si="171"/>
        <v>369.6</v>
      </c>
      <c r="H127" s="51">
        <f t="shared" si="171"/>
        <v>307.81599999999997</v>
      </c>
      <c r="I127" s="51">
        <f t="shared" si="171"/>
        <v>328.47029499999996</v>
      </c>
      <c r="J127" s="51">
        <f t="shared" si="171"/>
        <v>367.91862236602594</v>
      </c>
      <c r="K127" s="51">
        <f t="shared" si="171"/>
        <v>409.70623657162213</v>
      </c>
      <c r="L127" s="49"/>
      <c r="M127" s="3"/>
      <c r="N127" s="40">
        <v>47.5</v>
      </c>
      <c r="O127" s="40">
        <v>189.60000000000002</v>
      </c>
      <c r="P127" s="40">
        <v>202.7</v>
      </c>
      <c r="Q127" s="40">
        <v>234.7</v>
      </c>
      <c r="R127" s="51">
        <f t="shared" ref="R127:AW127" si="175">+R96+R102+R106</f>
        <v>194.7</v>
      </c>
      <c r="S127" s="51">
        <f t="shared" si="175"/>
        <v>211.4</v>
      </c>
      <c r="T127" s="51">
        <f t="shared" si="175"/>
        <v>228.6</v>
      </c>
      <c r="U127" s="51">
        <f t="shared" si="175"/>
        <v>217.1</v>
      </c>
      <c r="V127" s="51">
        <f t="shared" si="175"/>
        <v>169.1</v>
      </c>
      <c r="W127" s="51">
        <f t="shared" si="175"/>
        <v>174.60000000000002</v>
      </c>
      <c r="X127" s="51">
        <f t="shared" si="175"/>
        <v>184.10000000000002</v>
      </c>
      <c r="Y127" s="51">
        <f t="shared" si="175"/>
        <v>179.9</v>
      </c>
      <c r="Z127" s="51">
        <f t="shared" si="175"/>
        <v>156.80000000000001</v>
      </c>
      <c r="AA127" s="51">
        <f t="shared" si="175"/>
        <v>169.5</v>
      </c>
      <c r="AB127" s="51">
        <f t="shared" si="175"/>
        <v>131.19999999999999</v>
      </c>
      <c r="AC127" s="51">
        <f t="shared" si="175"/>
        <v>132</v>
      </c>
      <c r="AD127" s="51">
        <f t="shared" si="175"/>
        <v>109.60000000000001</v>
      </c>
      <c r="AE127" s="51">
        <f t="shared" si="175"/>
        <v>94.899999999999991</v>
      </c>
      <c r="AF127" s="51">
        <f t="shared" si="175"/>
        <v>82.6</v>
      </c>
      <c r="AG127" s="51">
        <f t="shared" si="175"/>
        <v>82.5</v>
      </c>
      <c r="AH127" s="51">
        <f t="shared" si="175"/>
        <v>67.326999999999998</v>
      </c>
      <c r="AI127" s="51">
        <f t="shared" si="175"/>
        <v>68.003</v>
      </c>
      <c r="AJ127" s="51">
        <f t="shared" si="175"/>
        <v>82.891999999999996</v>
      </c>
      <c r="AK127" s="51">
        <f t="shared" si="175"/>
        <v>89.593999999999994</v>
      </c>
      <c r="AL127" s="51">
        <f t="shared" si="175"/>
        <v>81.496960000000001</v>
      </c>
      <c r="AM127" s="51">
        <f t="shared" si="175"/>
        <v>81.091650799999996</v>
      </c>
      <c r="AN127" s="51">
        <f t="shared" si="175"/>
        <v>82.316280800000001</v>
      </c>
      <c r="AO127" s="51">
        <f t="shared" si="175"/>
        <v>83.565403400000008</v>
      </c>
      <c r="AP127" s="51">
        <f t="shared" si="175"/>
        <v>86.653414336400004</v>
      </c>
      <c r="AQ127" s="51">
        <f t="shared" si="175"/>
        <v>90.105687718772018</v>
      </c>
      <c r="AR127" s="51">
        <f t="shared" si="175"/>
        <v>93.704162850229181</v>
      </c>
      <c r="AS127" s="51">
        <f t="shared" si="175"/>
        <v>97.455357460624754</v>
      </c>
      <c r="AT127" s="51">
        <f t="shared" si="175"/>
        <v>99.404464609837262</v>
      </c>
      <c r="AU127" s="51">
        <f t="shared" si="175"/>
        <v>101.392553902034</v>
      </c>
      <c r="AV127" s="51">
        <f t="shared" si="175"/>
        <v>103.42040498007469</v>
      </c>
      <c r="AW127" s="51">
        <f t="shared" si="175"/>
        <v>105.48881307967616</v>
      </c>
      <c r="AX127" s="5"/>
      <c r="AY127" s="5"/>
      <c r="AZ127" s="5"/>
      <c r="BA127" s="5"/>
      <c r="BB127" s="5"/>
      <c r="BC127" s="5"/>
      <c r="BD127" s="5"/>
      <c r="BE127" s="5"/>
      <c r="BF127" s="2">
        <f t="shared" si="111"/>
        <v>121</v>
      </c>
    </row>
    <row r="128" spans="1:58" ht="11.25" customHeight="1" outlineLevel="1">
      <c r="A128" s="50"/>
      <c r="B128" s="175" t="s">
        <v>160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49"/>
      <c r="M128" s="3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200"/>
      <c r="AK128" s="200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"/>
      <c r="AY128" s="5"/>
      <c r="AZ128" s="5"/>
      <c r="BA128" s="5"/>
      <c r="BB128" s="5"/>
      <c r="BC128" s="5"/>
      <c r="BD128" s="5"/>
      <c r="BE128" s="5"/>
      <c r="BF128" s="2">
        <f t="shared" si="111"/>
        <v>122</v>
      </c>
    </row>
    <row r="129" spans="1:58" ht="11.25" customHeight="1" outlineLevel="1">
      <c r="A129" s="50"/>
      <c r="B129" s="176" t="s">
        <v>158</v>
      </c>
      <c r="C129" s="314"/>
      <c r="D129" s="45">
        <f t="shared" ref="D129:K129" si="176">+D125/C125-1</f>
        <v>-6.4462828381794179E-2</v>
      </c>
      <c r="E129" s="45">
        <f t="shared" si="176"/>
        <v>6.1319098124604787E-2</v>
      </c>
      <c r="F129" s="45">
        <f t="shared" si="176"/>
        <v>-0.49139907346128386</v>
      </c>
      <c r="G129" s="45">
        <f t="shared" si="176"/>
        <v>-0.53304896837459137</v>
      </c>
      <c r="H129" s="45">
        <f t="shared" si="176"/>
        <v>0.726285355998328</v>
      </c>
      <c r="I129" s="45">
        <f t="shared" si="176"/>
        <v>0.32537908634010115</v>
      </c>
      <c r="J129" s="45">
        <f t="shared" si="176"/>
        <v>0.26047283281627909</v>
      </c>
      <c r="K129" s="45">
        <f t="shared" si="176"/>
        <v>3.4600824922651485E-2</v>
      </c>
      <c r="L129" s="49"/>
      <c r="M129" s="3"/>
      <c r="N129" s="314"/>
      <c r="O129" s="45">
        <f t="shared" ref="O129:AW129" si="177">+O125/N125-1</f>
        <v>8.7032967032967026</v>
      </c>
      <c r="P129" s="45">
        <f t="shared" si="177"/>
        <v>-0.10804077010192525</v>
      </c>
      <c r="Q129" s="45">
        <f t="shared" si="177"/>
        <v>-7.2244794311833505E-2</v>
      </c>
      <c r="R129" s="45">
        <f t="shared" si="177"/>
        <v>2.8739564800877027E-3</v>
      </c>
      <c r="S129" s="45">
        <f t="shared" si="177"/>
        <v>-1.2963973799126616E-2</v>
      </c>
      <c r="T129" s="45">
        <f t="shared" si="177"/>
        <v>-6.912760956726105E-3</v>
      </c>
      <c r="U129" s="45">
        <f t="shared" si="177"/>
        <v>-6.3065571488236105E-2</v>
      </c>
      <c r="V129" s="45">
        <f t="shared" si="177"/>
        <v>1.2481426448736732E-2</v>
      </c>
      <c r="W129" s="45">
        <f t="shared" si="177"/>
        <v>5.870267097152948E-2</v>
      </c>
      <c r="X129" s="45">
        <f t="shared" si="177"/>
        <v>0.12850013861935139</v>
      </c>
      <c r="Y129" s="45">
        <f t="shared" si="177"/>
        <v>-1.1055152929615564E-2</v>
      </c>
      <c r="Z129" s="45">
        <f t="shared" si="177"/>
        <v>-0.28407402807104698</v>
      </c>
      <c r="AA129" s="45">
        <f t="shared" si="177"/>
        <v>-0.34280836652833491</v>
      </c>
      <c r="AB129" s="45">
        <f t="shared" si="177"/>
        <v>-0.10691657866948256</v>
      </c>
      <c r="AC129" s="45">
        <f t="shared" si="177"/>
        <v>-0.2802246526751403</v>
      </c>
      <c r="AD129" s="45">
        <f t="shared" si="177"/>
        <v>-0.21930184804928143</v>
      </c>
      <c r="AE129" s="45">
        <f t="shared" si="177"/>
        <v>-0.17359284587059443</v>
      </c>
      <c r="AF129" s="45">
        <f t="shared" si="177"/>
        <v>8.3386378103118997E-2</v>
      </c>
      <c r="AG129" s="45">
        <f t="shared" si="177"/>
        <v>0.17685076380728559</v>
      </c>
      <c r="AH129" s="45">
        <f t="shared" si="177"/>
        <v>0.29136794807788324</v>
      </c>
      <c r="AI129" s="45">
        <f t="shared" si="177"/>
        <v>0.22875887744963475</v>
      </c>
      <c r="AJ129" s="45">
        <f t="shared" si="177"/>
        <v>4.2767877369176199E-2</v>
      </c>
      <c r="AK129" s="45">
        <f t="shared" si="177"/>
        <v>-1.170702270498758E-3</v>
      </c>
      <c r="AL129" s="45">
        <f t="shared" si="177"/>
        <v>1.4737929596993826E-2</v>
      </c>
      <c r="AM129" s="45">
        <f t="shared" si="177"/>
        <v>0.14112863223462524</v>
      </c>
      <c r="AN129" s="45">
        <f t="shared" si="177"/>
        <v>0.15682132124279136</v>
      </c>
      <c r="AO129" s="45">
        <f t="shared" si="177"/>
        <v>8.1124043356218589E-2</v>
      </c>
      <c r="AP129" s="45">
        <f t="shared" si="177"/>
        <v>4.4480689010704788E-2</v>
      </c>
      <c r="AQ129" s="45">
        <f t="shared" si="177"/>
        <v>2.1916045352701863E-2</v>
      </c>
      <c r="AR129" s="45">
        <f t="shared" si="177"/>
        <v>2.1942260570161576E-2</v>
      </c>
      <c r="AS129" s="45">
        <f t="shared" si="177"/>
        <v>2.196893130051647E-2</v>
      </c>
      <c r="AT129" s="45">
        <f t="shared" si="177"/>
        <v>1.0625751899400182E-3</v>
      </c>
      <c r="AU129" s="45">
        <f t="shared" si="177"/>
        <v>4.458078753870609E-4</v>
      </c>
      <c r="AV129" s="45">
        <f t="shared" si="177"/>
        <v>4.5452140367352456E-4</v>
      </c>
      <c r="AW129" s="45">
        <f t="shared" si="177"/>
        <v>4.6340120598031831E-4</v>
      </c>
      <c r="AX129" s="5"/>
      <c r="AY129" s="5"/>
      <c r="AZ129" s="5"/>
      <c r="BA129" s="5"/>
      <c r="BB129" s="5"/>
      <c r="BC129" s="5"/>
      <c r="BD129" s="5"/>
      <c r="BE129" s="5"/>
      <c r="BF129" s="2">
        <f t="shared" si="111"/>
        <v>123</v>
      </c>
    </row>
    <row r="130" spans="1:58" ht="11.25" customHeight="1" outlineLevel="1">
      <c r="A130" s="50"/>
      <c r="B130" s="176" t="s">
        <v>157</v>
      </c>
      <c r="C130" s="314"/>
      <c r="D130" s="45">
        <f t="shared" ref="D130:K130" si="178">+D126/C126-1</f>
        <v>0.25742324662604754</v>
      </c>
      <c r="E130" s="45">
        <f t="shared" si="178"/>
        <v>-9.4106047326906306E-2</v>
      </c>
      <c r="F130" s="45">
        <f t="shared" si="178"/>
        <v>-0.24380215261821259</v>
      </c>
      <c r="G130" s="45">
        <f t="shared" si="178"/>
        <v>-0.41995841995841987</v>
      </c>
      <c r="H130" s="45">
        <f t="shared" si="178"/>
        <v>-9.758753791011876E-2</v>
      </c>
      <c r="I130" s="45">
        <f t="shared" si="178"/>
        <v>-0.20407272238432017</v>
      </c>
      <c r="J130" s="45">
        <f t="shared" si="178"/>
        <v>4.2492752117332611E-2</v>
      </c>
      <c r="K130" s="45">
        <f t="shared" si="178"/>
        <v>9.6141867239422751E-2</v>
      </c>
      <c r="L130" s="49"/>
      <c r="M130" s="3"/>
      <c r="N130" s="314"/>
      <c r="O130" s="45">
        <f t="shared" ref="O130:AW130" si="179">+O126/N126-1</f>
        <v>2.3622047244094491</v>
      </c>
      <c r="P130" s="45">
        <f t="shared" si="179"/>
        <v>0.1088992974238876</v>
      </c>
      <c r="Q130" s="45">
        <f t="shared" si="179"/>
        <v>0.12302006335797255</v>
      </c>
      <c r="R130" s="45">
        <f t="shared" si="179"/>
        <v>-2.2096850023507253E-2</v>
      </c>
      <c r="S130" s="45">
        <f t="shared" si="179"/>
        <v>8.2211538461538503E-2</v>
      </c>
      <c r="T130" s="45">
        <f t="shared" si="179"/>
        <v>7.4189249222567755E-2</v>
      </c>
      <c r="U130" s="45">
        <f t="shared" si="179"/>
        <v>-1.6129032258064613E-2</v>
      </c>
      <c r="V130" s="45">
        <f t="shared" si="179"/>
        <v>-0.11349306431273631</v>
      </c>
      <c r="W130" s="45">
        <f t="shared" si="179"/>
        <v>3.3191085822663613E-3</v>
      </c>
      <c r="X130" s="45">
        <f t="shared" si="179"/>
        <v>-3.780718336483857E-3</v>
      </c>
      <c r="Y130" s="45">
        <f t="shared" si="179"/>
        <v>-8.1593927893738094E-2</v>
      </c>
      <c r="Z130" s="45">
        <f t="shared" si="179"/>
        <v>-4.9070247933884481E-2</v>
      </c>
      <c r="AA130" s="45">
        <f t="shared" si="179"/>
        <v>-0.11732753938077134</v>
      </c>
      <c r="AB130" s="45">
        <f t="shared" si="179"/>
        <v>-0.18830769230769229</v>
      </c>
      <c r="AC130" s="45">
        <f t="shared" si="179"/>
        <v>0.11296436694465495</v>
      </c>
      <c r="AD130" s="45">
        <f t="shared" si="179"/>
        <v>-0.22752043596730231</v>
      </c>
      <c r="AE130" s="45">
        <f t="shared" si="179"/>
        <v>-8.0246913580246937E-2</v>
      </c>
      <c r="AF130" s="45">
        <f t="shared" si="179"/>
        <v>-0.29626078619367202</v>
      </c>
      <c r="AG130" s="45">
        <f t="shared" si="179"/>
        <v>-2.4523160762942919E-2</v>
      </c>
      <c r="AH130" s="45">
        <f t="shared" si="179"/>
        <v>4.6759776536312803E-2</v>
      </c>
      <c r="AI130" s="45">
        <f t="shared" si="179"/>
        <v>0.12388589421999274</v>
      </c>
      <c r="AJ130" s="45">
        <f t="shared" si="179"/>
        <v>8.8789429321049829E-2</v>
      </c>
      <c r="AK130" s="45">
        <f t="shared" si="179"/>
        <v>-0.16682658757850655</v>
      </c>
      <c r="AL130" s="45">
        <f t="shared" si="179"/>
        <v>-0.11733654399832483</v>
      </c>
      <c r="AM130" s="45">
        <f t="shared" si="179"/>
        <v>-4.7647080453007806E-2</v>
      </c>
      <c r="AN130" s="45">
        <f t="shared" si="179"/>
        <v>0</v>
      </c>
      <c r="AO130" s="45">
        <f t="shared" si="179"/>
        <v>5.721156186810461E-3</v>
      </c>
      <c r="AP130" s="45">
        <f t="shared" si="179"/>
        <v>2.0000000000000018E-2</v>
      </c>
      <c r="AQ130" s="45">
        <f t="shared" si="179"/>
        <v>2.0000000000000018E-2</v>
      </c>
      <c r="AR130" s="45">
        <f t="shared" si="179"/>
        <v>2.0000000000000018E-2</v>
      </c>
      <c r="AS130" s="45">
        <f t="shared" si="179"/>
        <v>2.0000000000000018E-2</v>
      </c>
      <c r="AT130" s="45">
        <f t="shared" si="179"/>
        <v>2.4816276714693553E-2</v>
      </c>
      <c r="AU130" s="45">
        <f t="shared" si="179"/>
        <v>2.5086357992702091E-2</v>
      </c>
      <c r="AV130" s="45">
        <f t="shared" si="179"/>
        <v>2.5359470190590594E-2</v>
      </c>
      <c r="AW130" s="45">
        <f t="shared" si="179"/>
        <v>2.563551850811141E-2</v>
      </c>
      <c r="AX130" s="5"/>
      <c r="AY130" s="5"/>
      <c r="AZ130" s="5"/>
      <c r="BA130" s="5"/>
      <c r="BB130" s="5"/>
      <c r="BC130" s="5"/>
      <c r="BD130" s="5"/>
      <c r="BE130" s="5"/>
      <c r="BF130" s="2">
        <f t="shared" si="111"/>
        <v>124</v>
      </c>
    </row>
    <row r="131" spans="1:58" ht="11.25" customHeight="1" outlineLevel="1">
      <c r="A131" s="50"/>
      <c r="B131" s="176" t="s">
        <v>156</v>
      </c>
      <c r="C131" s="314"/>
      <c r="D131" s="45">
        <f t="shared" ref="D131:K131" si="180">+D127/C127-1</f>
        <v>6.6696721516768198E-2</v>
      </c>
      <c r="E131" s="45">
        <f t="shared" si="180"/>
        <v>-0.16917116694059642</v>
      </c>
      <c r="F131" s="45">
        <f t="shared" si="180"/>
        <v>-0.16701992369648166</v>
      </c>
      <c r="G131" s="45">
        <f t="shared" si="180"/>
        <v>-0.3730279898218829</v>
      </c>
      <c r="H131" s="45">
        <f t="shared" si="180"/>
        <v>-0.16716450216450229</v>
      </c>
      <c r="I131" s="45">
        <f t="shared" si="180"/>
        <v>6.709948475712757E-2</v>
      </c>
      <c r="J131" s="45">
        <f t="shared" si="180"/>
        <v>0.12009709239012301</v>
      </c>
      <c r="K131" s="45">
        <f t="shared" si="180"/>
        <v>0.11357841562046178</v>
      </c>
      <c r="L131" s="49"/>
      <c r="M131" s="3"/>
      <c r="N131" s="314"/>
      <c r="O131" s="45">
        <f t="shared" ref="O131:AW131" si="181">+O127/N127-1</f>
        <v>2.9915789473684216</v>
      </c>
      <c r="P131" s="45">
        <f t="shared" si="181"/>
        <v>6.9092827004219259E-2</v>
      </c>
      <c r="Q131" s="45">
        <f t="shared" si="181"/>
        <v>0.15786877158362111</v>
      </c>
      <c r="R131" s="45">
        <f t="shared" si="181"/>
        <v>-0.1704303365999148</v>
      </c>
      <c r="S131" s="45">
        <f t="shared" si="181"/>
        <v>8.5772984078068992E-2</v>
      </c>
      <c r="T131" s="45">
        <f t="shared" si="181"/>
        <v>8.1362346263008423E-2</v>
      </c>
      <c r="U131" s="45">
        <f t="shared" si="181"/>
        <v>-5.0306211723534555E-2</v>
      </c>
      <c r="V131" s="45">
        <f t="shared" si="181"/>
        <v>-0.22109626900046064</v>
      </c>
      <c r="W131" s="45">
        <f t="shared" si="181"/>
        <v>3.2525133057362599E-2</v>
      </c>
      <c r="X131" s="45">
        <f t="shared" si="181"/>
        <v>5.4410080183276088E-2</v>
      </c>
      <c r="Y131" s="45">
        <f t="shared" si="181"/>
        <v>-2.2813688212927841E-2</v>
      </c>
      <c r="Z131" s="45">
        <f t="shared" si="181"/>
        <v>-0.12840466926070038</v>
      </c>
      <c r="AA131" s="45">
        <f t="shared" si="181"/>
        <v>8.0994897959183687E-2</v>
      </c>
      <c r="AB131" s="45">
        <f t="shared" si="181"/>
        <v>-0.22595870206489688</v>
      </c>
      <c r="AC131" s="45">
        <f t="shared" si="181"/>
        <v>6.0975609756097615E-3</v>
      </c>
      <c r="AD131" s="45">
        <f t="shared" si="181"/>
        <v>-0.16969696969696968</v>
      </c>
      <c r="AE131" s="45">
        <f t="shared" si="181"/>
        <v>-0.13412408759124106</v>
      </c>
      <c r="AF131" s="45">
        <f t="shared" si="181"/>
        <v>-0.12961011591148575</v>
      </c>
      <c r="AG131" s="45">
        <f t="shared" si="181"/>
        <v>-1.210653753026536E-3</v>
      </c>
      <c r="AH131" s="45">
        <f t="shared" si="181"/>
        <v>-0.18391515151515159</v>
      </c>
      <c r="AI131" s="45">
        <f t="shared" si="181"/>
        <v>1.0040548368410951E-2</v>
      </c>
      <c r="AJ131" s="45">
        <f t="shared" si="181"/>
        <v>0.21894622296075172</v>
      </c>
      <c r="AK131" s="45">
        <f t="shared" si="181"/>
        <v>8.0852193215267931E-2</v>
      </c>
      <c r="AL131" s="45">
        <f t="shared" si="181"/>
        <v>-9.0374801884054667E-2</v>
      </c>
      <c r="AM131" s="45">
        <f t="shared" si="181"/>
        <v>-4.9733045257148722E-3</v>
      </c>
      <c r="AN131" s="45">
        <f t="shared" si="181"/>
        <v>1.51018013311921E-2</v>
      </c>
      <c r="AO131" s="45">
        <f t="shared" si="181"/>
        <v>1.5174672468924344E-2</v>
      </c>
      <c r="AP131" s="45">
        <f t="shared" si="181"/>
        <v>3.6953222395381902E-2</v>
      </c>
      <c r="AQ131" s="45">
        <f t="shared" si="181"/>
        <v>3.9840015639428072E-2</v>
      </c>
      <c r="AR131" s="45">
        <f t="shared" si="181"/>
        <v>3.9936159664951676E-2</v>
      </c>
      <c r="AS131" s="45">
        <f t="shared" si="181"/>
        <v>4.0032315494790138E-2</v>
      </c>
      <c r="AT131" s="45">
        <f t="shared" si="181"/>
        <v>2.000000000000024E-2</v>
      </c>
      <c r="AU131" s="45">
        <f t="shared" si="181"/>
        <v>1.9999999999999796E-2</v>
      </c>
      <c r="AV131" s="45">
        <f t="shared" si="181"/>
        <v>2.000000000000024E-2</v>
      </c>
      <c r="AW131" s="45">
        <f t="shared" si="181"/>
        <v>1.9999999999999796E-2</v>
      </c>
      <c r="AX131" s="5"/>
      <c r="AY131" s="5"/>
      <c r="AZ131" s="5"/>
      <c r="BA131" s="5"/>
      <c r="BB131" s="5"/>
      <c r="BC131" s="5"/>
      <c r="BD131" s="5"/>
      <c r="BE131" s="5"/>
      <c r="BF131" s="2">
        <f t="shared" si="111"/>
        <v>125</v>
      </c>
    </row>
    <row r="132" spans="1:58" ht="11.25" customHeight="1" outlineLevel="1">
      <c r="A132" s="50"/>
      <c r="B132" s="175" t="s">
        <v>10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49"/>
      <c r="M132" s="3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"/>
      <c r="AY132" s="5"/>
      <c r="AZ132" s="5"/>
      <c r="BA132" s="5"/>
      <c r="BB132" s="5"/>
      <c r="BC132" s="5"/>
      <c r="BD132" s="5"/>
      <c r="BE132" s="5"/>
      <c r="BF132" s="2">
        <f t="shared" si="111"/>
        <v>126</v>
      </c>
    </row>
    <row r="133" spans="1:58" ht="11.25" customHeight="1" outlineLevel="1">
      <c r="A133" s="50"/>
      <c r="B133" s="176" t="s">
        <v>158</v>
      </c>
      <c r="C133" s="45">
        <f t="shared" ref="C133:K133" si="182">+C125/C$124</f>
        <v>0.66627707818710225</v>
      </c>
      <c r="D133" s="45">
        <f t="shared" si="182"/>
        <v>0.61738941890719856</v>
      </c>
      <c r="E133" s="45">
        <f t="shared" si="182"/>
        <v>0.663213799762981</v>
      </c>
      <c r="F133" s="45">
        <f t="shared" si="182"/>
        <v>0.55854221540000126</v>
      </c>
      <c r="G133" s="45">
        <f t="shared" si="182"/>
        <v>0.49496551724137927</v>
      </c>
      <c r="H133" s="45">
        <f t="shared" si="182"/>
        <v>0.66110179096258637</v>
      </c>
      <c r="I133" s="45">
        <f t="shared" si="182"/>
        <v>0.73600906987308623</v>
      </c>
      <c r="J133" s="45">
        <f t="shared" si="182"/>
        <v>0.76396164469867167</v>
      </c>
      <c r="K133" s="45">
        <f t="shared" si="182"/>
        <v>0.75168741187085408</v>
      </c>
      <c r="L133" s="49"/>
      <c r="M133" s="3"/>
      <c r="N133" s="45">
        <f t="shared" ref="N133:AW133" si="183">+N125/N$124</f>
        <v>0.48071843634442679</v>
      </c>
      <c r="O133" s="45">
        <f t="shared" si="183"/>
        <v>0.71014958983432519</v>
      </c>
      <c r="P133" s="45">
        <f t="shared" si="183"/>
        <v>0.66762736288887015</v>
      </c>
      <c r="Q133" s="45">
        <f t="shared" si="183"/>
        <v>0.62023597317714962</v>
      </c>
      <c r="R133" s="45">
        <f t="shared" si="183"/>
        <v>0.64535446939674146</v>
      </c>
      <c r="S133" s="45">
        <f t="shared" si="183"/>
        <v>0.62364200724262786</v>
      </c>
      <c r="T133" s="45">
        <f t="shared" si="183"/>
        <v>0.60427357617565403</v>
      </c>
      <c r="U133" s="45">
        <f t="shared" si="183"/>
        <v>0.59663120567375882</v>
      </c>
      <c r="V133" s="45">
        <f t="shared" si="183"/>
        <v>0.64198228754475217</v>
      </c>
      <c r="W133" s="45">
        <f t="shared" si="183"/>
        <v>0.65131816540267251</v>
      </c>
      <c r="X133" s="45">
        <f t="shared" si="183"/>
        <v>0.67336641852770884</v>
      </c>
      <c r="Y133" s="45">
        <f t="shared" si="183"/>
        <v>0.68309859154929575</v>
      </c>
      <c r="Z133" s="45">
        <f t="shared" si="183"/>
        <v>0.62836261517597458</v>
      </c>
      <c r="AA133" s="45">
        <f t="shared" si="183"/>
        <v>0.53292065278559375</v>
      </c>
      <c r="AB133" s="45">
        <f t="shared" si="183"/>
        <v>0.56252078483538415</v>
      </c>
      <c r="AC133" s="45">
        <f t="shared" si="183"/>
        <v>0.4662071606356501</v>
      </c>
      <c r="AD133" s="45">
        <f t="shared" si="183"/>
        <v>0.46017913338174776</v>
      </c>
      <c r="AE133" s="45">
        <f t="shared" si="183"/>
        <v>0.44092057255122086</v>
      </c>
      <c r="AF133" s="45">
        <f t="shared" si="183"/>
        <v>0.52176578786020844</v>
      </c>
      <c r="AG133" s="45">
        <f t="shared" si="183"/>
        <v>0.56518058690744921</v>
      </c>
      <c r="AH133" s="45">
        <f t="shared" si="183"/>
        <v>0.64514286569427537</v>
      </c>
      <c r="AI133" s="45">
        <f t="shared" si="183"/>
        <v>0.67614047329322569</v>
      </c>
      <c r="AJ133" s="45">
        <f t="shared" si="183"/>
        <v>0.65495258176902915</v>
      </c>
      <c r="AK133" s="45">
        <f t="shared" si="183"/>
        <v>0.66601279969741045</v>
      </c>
      <c r="AL133" s="45">
        <f t="shared" si="183"/>
        <v>0.69281154077751794</v>
      </c>
      <c r="AM133" s="45">
        <f t="shared" si="183"/>
        <v>0.72510190979720779</v>
      </c>
      <c r="AN133" s="45">
        <f t="shared" si="183"/>
        <v>0.75160602448923819</v>
      </c>
      <c r="AO133" s="45">
        <f t="shared" si="183"/>
        <v>0.76390815818975233</v>
      </c>
      <c r="AP133" s="45">
        <f t="shared" si="183"/>
        <v>0.76649297680500361</v>
      </c>
      <c r="AQ133" s="45">
        <f t="shared" si="183"/>
        <v>0.7648581693179084</v>
      </c>
      <c r="AR133" s="45">
        <f t="shared" si="183"/>
        <v>0.7631940271806541</v>
      </c>
      <c r="AS133" s="45">
        <f t="shared" si="183"/>
        <v>0.76150014011245293</v>
      </c>
      <c r="AT133" s="45">
        <f t="shared" si="183"/>
        <v>0.75771825892025169</v>
      </c>
      <c r="AU133" s="45">
        <f t="shared" si="183"/>
        <v>0.75375987713860648</v>
      </c>
      <c r="AV133" s="45">
        <f t="shared" si="183"/>
        <v>0.74973762436532887</v>
      </c>
      <c r="AW133" s="45">
        <f t="shared" si="183"/>
        <v>0.74565067182302436</v>
      </c>
      <c r="AX133" s="5"/>
      <c r="AY133" s="5"/>
      <c r="AZ133" s="5"/>
      <c r="BA133" s="5"/>
      <c r="BB133" s="5"/>
      <c r="BC133" s="5"/>
      <c r="BD133" s="5"/>
      <c r="BE133" s="5"/>
      <c r="BF133" s="2">
        <f t="shared" si="111"/>
        <v>127</v>
      </c>
    </row>
    <row r="134" spans="1:58" ht="11.25" customHeight="1" outlineLevel="1">
      <c r="A134" s="50"/>
      <c r="B134" s="176" t="s">
        <v>157</v>
      </c>
      <c r="C134" s="45">
        <f t="shared" ref="C134:K134" si="184">+C126/C$124</f>
        <v>0.15891379025005756</v>
      </c>
      <c r="D134" s="45">
        <f t="shared" si="184"/>
        <v>0.19791847354726802</v>
      </c>
      <c r="E134" s="45">
        <f t="shared" si="184"/>
        <v>0.18147302813501293</v>
      </c>
      <c r="F134" s="45">
        <f t="shared" si="184"/>
        <v>0.22723374441091482</v>
      </c>
      <c r="G134" s="45">
        <f t="shared" si="184"/>
        <v>0.25013793103448279</v>
      </c>
      <c r="H134" s="45">
        <f t="shared" si="184"/>
        <v>0.17464873356256627</v>
      </c>
      <c r="I134" s="45">
        <f t="shared" si="184"/>
        <v>0.11676523258762711</v>
      </c>
      <c r="J134" s="45">
        <f t="shared" si="184"/>
        <v>0.1002401002026851</v>
      </c>
      <c r="K134" s="45">
        <f t="shared" si="184"/>
        <v>0.10449635940318611</v>
      </c>
      <c r="L134" s="49"/>
      <c r="M134" s="3"/>
      <c r="N134" s="45">
        <f t="shared" ref="N134:AW134" si="185">+N126/N$124</f>
        <v>0.26835710512414157</v>
      </c>
      <c r="O134" s="45">
        <f t="shared" si="185"/>
        <v>0.13736528872446518</v>
      </c>
      <c r="P134" s="45">
        <f t="shared" si="185"/>
        <v>0.16054929219293043</v>
      </c>
      <c r="Q134" s="45">
        <f t="shared" si="185"/>
        <v>0.18054494525082762</v>
      </c>
      <c r="R134" s="45">
        <f t="shared" si="185"/>
        <v>0.18317921620431529</v>
      </c>
      <c r="S134" s="45">
        <f t="shared" si="185"/>
        <v>0.19408518710122433</v>
      </c>
      <c r="T134" s="45">
        <f t="shared" si="185"/>
        <v>0.20341549591991251</v>
      </c>
      <c r="U134" s="45">
        <f t="shared" si="185"/>
        <v>0.21090425531914891</v>
      </c>
      <c r="V134" s="45">
        <f t="shared" si="185"/>
        <v>0.19869983041266256</v>
      </c>
      <c r="W134" s="45">
        <f t="shared" si="185"/>
        <v>0.19104369808595162</v>
      </c>
      <c r="X134" s="45">
        <f t="shared" si="185"/>
        <v>0.17435897435897438</v>
      </c>
      <c r="Y134" s="45">
        <f t="shared" si="185"/>
        <v>0.16426268454098084</v>
      </c>
      <c r="Z134" s="45">
        <f t="shared" si="185"/>
        <v>0.2006994501205723</v>
      </c>
      <c r="AA134" s="45">
        <f t="shared" si="185"/>
        <v>0.22861564434440068</v>
      </c>
      <c r="AB134" s="45">
        <f t="shared" si="185"/>
        <v>0.21932158297306287</v>
      </c>
      <c r="AC134" s="45">
        <f t="shared" si="185"/>
        <v>0.28106452230518858</v>
      </c>
      <c r="AD134" s="45">
        <f t="shared" si="185"/>
        <v>0.27450980392156865</v>
      </c>
      <c r="AE134" s="45">
        <f t="shared" si="185"/>
        <v>0.29273084479371314</v>
      </c>
      <c r="AF134" s="45">
        <f t="shared" si="185"/>
        <v>0.2250153280196199</v>
      </c>
      <c r="AG134" s="45">
        <f t="shared" si="185"/>
        <v>0.2020316027088036</v>
      </c>
      <c r="AH134" s="45">
        <f t="shared" si="185"/>
        <v>0.1869325777680228</v>
      </c>
      <c r="AI134" s="45">
        <f t="shared" si="185"/>
        <v>0.17919322310814606</v>
      </c>
      <c r="AJ134" s="45">
        <f t="shared" si="185"/>
        <v>0.18123862466380389</v>
      </c>
      <c r="AK134" s="45">
        <f t="shared" si="185"/>
        <v>0.15373317801477943</v>
      </c>
      <c r="AL134" s="45">
        <f t="shared" si="185"/>
        <v>0.13910456907416602</v>
      </c>
      <c r="AM134" s="45">
        <f t="shared" si="185"/>
        <v>0.12150346011989559</v>
      </c>
      <c r="AN134" s="45">
        <f t="shared" si="185"/>
        <v>0.10887133913121631</v>
      </c>
      <c r="AO134" s="45">
        <f t="shared" si="185"/>
        <v>0.10293581811658023</v>
      </c>
      <c r="AP134" s="45">
        <f t="shared" si="185"/>
        <v>0.10086333160528937</v>
      </c>
      <c r="AQ134" s="45">
        <f t="shared" si="185"/>
        <v>0.10045949544262171</v>
      </c>
      <c r="AR134" s="45">
        <f t="shared" si="185"/>
        <v>0.10005040674962894</v>
      </c>
      <c r="AS134" s="45">
        <f t="shared" si="185"/>
        <v>9.9636017889026332E-2</v>
      </c>
      <c r="AT134" s="45">
        <f t="shared" si="185"/>
        <v>0.10149366045799386</v>
      </c>
      <c r="AU134" s="45">
        <f t="shared" si="185"/>
        <v>0.10345013567380969</v>
      </c>
      <c r="AV134" s="45">
        <f t="shared" si="185"/>
        <v>0.10545960730610957</v>
      </c>
      <c r="AW134" s="45">
        <f t="shared" si="185"/>
        <v>0.10752367610625611</v>
      </c>
      <c r="AX134" s="5"/>
      <c r="AY134" s="5"/>
      <c r="AZ134" s="5"/>
      <c r="BA134" s="5"/>
      <c r="BB134" s="5"/>
      <c r="BC134" s="5"/>
      <c r="BD134" s="5"/>
      <c r="BE134" s="5"/>
      <c r="BF134" s="2">
        <f t="shared" si="111"/>
        <v>128</v>
      </c>
    </row>
    <row r="135" spans="1:58" ht="11.25" customHeight="1" outlineLevel="1">
      <c r="A135" s="50"/>
      <c r="B135" s="176" t="s">
        <v>156</v>
      </c>
      <c r="C135" s="45">
        <f t="shared" ref="C135:K135" si="186">+C127/C$124</f>
        <v>0.17480913156284011</v>
      </c>
      <c r="D135" s="45">
        <f t="shared" si="186"/>
        <v>0.18469210754553342</v>
      </c>
      <c r="E135" s="45">
        <f t="shared" si="186"/>
        <v>0.15531317210200588</v>
      </c>
      <c r="F135" s="45">
        <f t="shared" si="186"/>
        <v>0.21422404018908411</v>
      </c>
      <c r="G135" s="45">
        <f t="shared" si="186"/>
        <v>0.25489655172413794</v>
      </c>
      <c r="H135" s="45">
        <f t="shared" si="186"/>
        <v>0.16424947547484733</v>
      </c>
      <c r="I135" s="45">
        <f t="shared" si="186"/>
        <v>0.14722569753928663</v>
      </c>
      <c r="J135" s="45">
        <f t="shared" si="186"/>
        <v>0.13579825509864338</v>
      </c>
      <c r="K135" s="45">
        <f t="shared" si="186"/>
        <v>0.14381622872595973</v>
      </c>
      <c r="L135" s="49"/>
      <c r="M135" s="3"/>
      <c r="N135" s="45">
        <f t="shared" ref="N135:AW135" si="187">+N127/N$124</f>
        <v>0.25092445853143158</v>
      </c>
      <c r="O135" s="45">
        <f t="shared" si="187"/>
        <v>0.1524851214412096</v>
      </c>
      <c r="P135" s="45">
        <f t="shared" si="187"/>
        <v>0.17182334491819956</v>
      </c>
      <c r="Q135" s="45">
        <f t="shared" si="187"/>
        <v>0.19921908157202275</v>
      </c>
      <c r="R135" s="45">
        <f t="shared" si="187"/>
        <v>0.17146631439894319</v>
      </c>
      <c r="S135" s="45">
        <f t="shared" si="187"/>
        <v>0.18227280565614759</v>
      </c>
      <c r="T135" s="45">
        <f t="shared" si="187"/>
        <v>0.19231092790443341</v>
      </c>
      <c r="U135" s="45">
        <f t="shared" si="187"/>
        <v>0.19246453900709221</v>
      </c>
      <c r="V135" s="45">
        <f t="shared" si="187"/>
        <v>0.15931788204258529</v>
      </c>
      <c r="W135" s="45">
        <f t="shared" si="187"/>
        <v>0.15763813651137598</v>
      </c>
      <c r="X135" s="45">
        <f t="shared" si="187"/>
        <v>0.15227460711331681</v>
      </c>
      <c r="Y135" s="45">
        <f t="shared" si="187"/>
        <v>0.15263872390972338</v>
      </c>
      <c r="Z135" s="45">
        <f t="shared" si="187"/>
        <v>0.17093793470345323</v>
      </c>
      <c r="AA135" s="45">
        <f t="shared" si="187"/>
        <v>0.23846370287000565</v>
      </c>
      <c r="AB135" s="45">
        <f t="shared" si="187"/>
        <v>0.21815763219155304</v>
      </c>
      <c r="AC135" s="45">
        <f t="shared" si="187"/>
        <v>0.25272831705916143</v>
      </c>
      <c r="AD135" s="45">
        <f t="shared" si="187"/>
        <v>0.26531106269668364</v>
      </c>
      <c r="AE135" s="45">
        <f t="shared" si="187"/>
        <v>0.26634858265506595</v>
      </c>
      <c r="AF135" s="45">
        <f t="shared" si="187"/>
        <v>0.25321888412017168</v>
      </c>
      <c r="AG135" s="45">
        <f t="shared" si="187"/>
        <v>0.23278781038374718</v>
      </c>
      <c r="AH135" s="45">
        <f t="shared" si="187"/>
        <v>0.16792455653770175</v>
      </c>
      <c r="AI135" s="45">
        <f t="shared" si="187"/>
        <v>0.14466630359862828</v>
      </c>
      <c r="AJ135" s="45">
        <f t="shared" si="187"/>
        <v>0.1638087935671671</v>
      </c>
      <c r="AK135" s="45">
        <f t="shared" si="187"/>
        <v>0.1802540222878101</v>
      </c>
      <c r="AL135" s="45">
        <f t="shared" si="187"/>
        <v>0.16808389014831618</v>
      </c>
      <c r="AM135" s="45">
        <f t="shared" si="187"/>
        <v>0.15339463008289642</v>
      </c>
      <c r="AN135" s="45">
        <f t="shared" si="187"/>
        <v>0.13952263637954551</v>
      </c>
      <c r="AO135" s="45">
        <f t="shared" si="187"/>
        <v>0.13315602369366744</v>
      </c>
      <c r="AP135" s="45">
        <f t="shared" si="187"/>
        <v>0.13264369158970707</v>
      </c>
      <c r="AQ135" s="45">
        <f t="shared" si="187"/>
        <v>0.13468233523947004</v>
      </c>
      <c r="AR135" s="45">
        <f t="shared" si="187"/>
        <v>0.13675556606971701</v>
      </c>
      <c r="AS135" s="45">
        <f t="shared" si="187"/>
        <v>0.13886384199852086</v>
      </c>
      <c r="AT135" s="45">
        <f t="shared" si="187"/>
        <v>0.14078808062175432</v>
      </c>
      <c r="AU135" s="45">
        <f t="shared" si="187"/>
        <v>0.14278998718758362</v>
      </c>
      <c r="AV135" s="45">
        <f t="shared" si="187"/>
        <v>0.14480276832856173</v>
      </c>
      <c r="AW135" s="45">
        <f t="shared" si="187"/>
        <v>0.1468256520707196</v>
      </c>
      <c r="AX135" s="5"/>
      <c r="AY135" s="5"/>
      <c r="AZ135" s="5"/>
      <c r="BA135" s="5"/>
      <c r="BB135" s="5"/>
      <c r="BC135" s="5"/>
      <c r="BD135" s="5"/>
      <c r="BE135" s="5"/>
      <c r="BF135" s="2">
        <f t="shared" si="111"/>
        <v>129</v>
      </c>
    </row>
    <row r="136" spans="1:58" ht="11.25" customHeight="1" outlineLevel="1">
      <c r="A136" s="50"/>
      <c r="B136" s="175" t="s">
        <v>159</v>
      </c>
      <c r="C136" s="174"/>
      <c r="D136" s="174"/>
      <c r="E136" s="174"/>
      <c r="F136" s="174"/>
      <c r="G136" s="174"/>
      <c r="H136" s="174"/>
      <c r="I136" s="174"/>
      <c r="J136" s="174"/>
      <c r="K136" s="174"/>
      <c r="L136" s="49"/>
      <c r="M136" s="3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174"/>
      <c r="AH136" s="174"/>
      <c r="AI136" s="174"/>
      <c r="AJ136" s="174"/>
      <c r="AK136" s="174"/>
      <c r="AL136" s="174"/>
      <c r="AM136" s="174"/>
      <c r="AN136" s="174"/>
      <c r="AO136" s="174"/>
      <c r="AP136" s="174"/>
      <c r="AQ136" s="174"/>
      <c r="AR136" s="174"/>
      <c r="AS136" s="174"/>
      <c r="AT136" s="174"/>
      <c r="AU136" s="174"/>
      <c r="AV136" s="174"/>
      <c r="AW136" s="174"/>
      <c r="AX136" s="5"/>
      <c r="AY136" s="5"/>
      <c r="AZ136" s="5"/>
      <c r="BA136" s="5"/>
      <c r="BB136" s="5"/>
      <c r="BC136" s="5"/>
      <c r="BD136" s="5"/>
      <c r="BE136" s="5"/>
      <c r="BF136" s="2">
        <f t="shared" si="111"/>
        <v>130</v>
      </c>
    </row>
    <row r="137" spans="1:58" ht="11.25" customHeight="1" outlineLevel="1">
      <c r="A137" s="50"/>
      <c r="B137" s="176" t="s">
        <v>158</v>
      </c>
      <c r="C137" s="301">
        <f t="shared" ref="C137:K137" si="188">+C125/C154*1000</f>
        <v>1641.5801301643235</v>
      </c>
      <c r="D137" s="301">
        <f t="shared" si="188"/>
        <v>1688.2694013276378</v>
      </c>
      <c r="E137" s="301">
        <f t="shared" si="188"/>
        <v>1687.4864762365664</v>
      </c>
      <c r="F137" s="301">
        <f t="shared" si="188"/>
        <v>1638.9773666391191</v>
      </c>
      <c r="G137" s="301">
        <f t="shared" si="188"/>
        <v>1480.1244264182719</v>
      </c>
      <c r="H137" s="301">
        <f t="shared" si="188"/>
        <v>1454.3432327737996</v>
      </c>
      <c r="I137" s="301">
        <f t="shared" si="188"/>
        <v>1558.4672821255338</v>
      </c>
      <c r="J137" s="301">
        <f t="shared" si="188"/>
        <v>1827.6411386769275</v>
      </c>
      <c r="K137" s="301">
        <f t="shared" si="188"/>
        <v>1862.104783633019</v>
      </c>
      <c r="L137" s="49"/>
      <c r="M137" s="3"/>
      <c r="N137" s="301">
        <f t="shared" ref="N137:AW137" si="189">+N125/N154*1000</f>
        <v>47.142931150598351</v>
      </c>
      <c r="O137" s="301">
        <f t="shared" si="189"/>
        <v>463.9188798697034</v>
      </c>
      <c r="P137" s="301">
        <f t="shared" si="189"/>
        <v>428.43543459142882</v>
      </c>
      <c r="Q137" s="301">
        <f t="shared" si="189"/>
        <v>418.907298056527</v>
      </c>
      <c r="R137" s="301">
        <f t="shared" si="189"/>
        <v>433.84478760668992</v>
      </c>
      <c r="S137" s="301">
        <f t="shared" si="189"/>
        <v>428.57989334386718</v>
      </c>
      <c r="T137" s="301">
        <f t="shared" si="189"/>
        <v>425.36098143524049</v>
      </c>
      <c r="U137" s="301">
        <f t="shared" si="189"/>
        <v>400.3847183524536</v>
      </c>
      <c r="V137" s="301">
        <f t="shared" si="189"/>
        <v>399.07074808683421</v>
      </c>
      <c r="W137" s="301">
        <f t="shared" si="189"/>
        <v>404.79196476166425</v>
      </c>
      <c r="X137" s="301">
        <f t="shared" si="189"/>
        <v>444.88769878135417</v>
      </c>
      <c r="Y137" s="301">
        <f t="shared" si="189"/>
        <v>436.65256535415989</v>
      </c>
      <c r="Z137" s="301">
        <f t="shared" si="189"/>
        <v>435.41812504721372</v>
      </c>
      <c r="AA137" s="301">
        <f t="shared" si="189"/>
        <v>433.17006232251424</v>
      </c>
      <c r="AB137" s="301">
        <f t="shared" si="189"/>
        <v>407.79507785032649</v>
      </c>
      <c r="AC137" s="301">
        <f t="shared" si="189"/>
        <v>336.66697391464646</v>
      </c>
      <c r="AD137" s="301">
        <f t="shared" si="189"/>
        <v>361.37249310902007</v>
      </c>
      <c r="AE137" s="301">
        <f t="shared" si="189"/>
        <v>399.00101591601754</v>
      </c>
      <c r="AF137" s="301">
        <f t="shared" si="189"/>
        <v>371.69687704739016</v>
      </c>
      <c r="AG137" s="301">
        <f t="shared" si="189"/>
        <v>356.4796962596032</v>
      </c>
      <c r="AH137" s="301">
        <f t="shared" si="189"/>
        <v>361.48557054014384</v>
      </c>
      <c r="AI137" s="301">
        <f t="shared" si="189"/>
        <v>366.2151210800223</v>
      </c>
      <c r="AJ137" s="301">
        <f t="shared" si="189"/>
        <v>358.49107625743653</v>
      </c>
      <c r="AK137" s="301">
        <f>+AK125/AK154*1000</f>
        <v>367.9551685809559</v>
      </c>
      <c r="AL137" s="301">
        <f t="shared" si="189"/>
        <v>341.16448437500003</v>
      </c>
      <c r="AM137" s="301">
        <f t="shared" si="189"/>
        <v>366.81639942583729</v>
      </c>
      <c r="AN137" s="301">
        <f t="shared" si="189"/>
        <v>410.5892391388889</v>
      </c>
      <c r="AO137" s="301">
        <f t="shared" si="189"/>
        <v>433.854959499095</v>
      </c>
      <c r="AP137" s="301">
        <f t="shared" si="189"/>
        <v>449.08897342269103</v>
      </c>
      <c r="AQ137" s="301">
        <f t="shared" si="189"/>
        <v>454.85183904067333</v>
      </c>
      <c r="AR137" s="301">
        <f t="shared" si="189"/>
        <v>458.71610192143515</v>
      </c>
      <c r="AS137" s="301">
        <f t="shared" si="189"/>
        <v>464.71713832532714</v>
      </c>
      <c r="AT137" s="301">
        <f t="shared" si="189"/>
        <v>465.21093522685157</v>
      </c>
      <c r="AU137" s="301">
        <f t="shared" si="189"/>
        <v>465.41832992549189</v>
      </c>
      <c r="AV137" s="301">
        <f t="shared" si="189"/>
        <v>465.62987251810506</v>
      </c>
      <c r="AW137" s="301">
        <f t="shared" si="189"/>
        <v>465.84564596257036</v>
      </c>
      <c r="AX137" s="5"/>
      <c r="AY137" s="5"/>
      <c r="AZ137" s="5"/>
      <c r="BA137" s="5"/>
      <c r="BB137" s="5"/>
      <c r="BC137" s="5"/>
      <c r="BD137" s="5"/>
      <c r="BE137" s="5"/>
      <c r="BF137" s="2">
        <f t="shared" si="111"/>
        <v>131</v>
      </c>
    </row>
    <row r="138" spans="1:58" ht="11.25" customHeight="1" outlineLevel="1">
      <c r="A138" s="50"/>
      <c r="B138" s="176" t="s">
        <v>771</v>
      </c>
      <c r="C138" s="301">
        <f t="shared" ref="C138:K138" si="190">+C126/C156*1000</f>
        <v>15873.08309037901</v>
      </c>
      <c r="D138" s="301">
        <f t="shared" si="190"/>
        <v>16932.447055186272</v>
      </c>
      <c r="E138" s="301">
        <f t="shared" si="190"/>
        <v>14946.226841391777</v>
      </c>
      <c r="F138" s="301">
        <f t="shared" si="190"/>
        <v>18137.781000725161</v>
      </c>
      <c r="G138" s="301">
        <f t="shared" si="190"/>
        <v>16359.330952828419</v>
      </c>
      <c r="H138" s="301">
        <f t="shared" si="190"/>
        <v>16433.723849372385</v>
      </c>
      <c r="I138" s="301">
        <f t="shared" si="190"/>
        <v>13190.429245569623</v>
      </c>
      <c r="J138" s="301">
        <f t="shared" si="190"/>
        <v>12486.473838850614</v>
      </c>
      <c r="K138" s="301">
        <f t="shared" si="190"/>
        <v>12534.361759568321</v>
      </c>
      <c r="L138" s="49"/>
      <c r="M138" s="3"/>
      <c r="N138" s="301">
        <f t="shared" ref="N138:AW138" si="191">+N126/N156*1000</f>
        <v>1198.1132075471698</v>
      </c>
      <c r="O138" s="301">
        <f t="shared" si="191"/>
        <v>3763.4961439588692</v>
      </c>
      <c r="P138" s="301">
        <f t="shared" si="191"/>
        <v>3911.8760757314981</v>
      </c>
      <c r="Q138" s="301">
        <f t="shared" si="191"/>
        <v>4551.3552068473618</v>
      </c>
      <c r="R138" s="301">
        <f t="shared" si="191"/>
        <v>4164.1641641641645</v>
      </c>
      <c r="S138" s="301">
        <f t="shared" si="191"/>
        <v>4553.6075522589354</v>
      </c>
      <c r="T138" s="301">
        <f t="shared" si="191"/>
        <v>4138.0490587564173</v>
      </c>
      <c r="U138" s="301">
        <f t="shared" si="191"/>
        <v>4114.7304698760445</v>
      </c>
      <c r="V138" s="301">
        <f t="shared" si="191"/>
        <v>3914.0117537890505</v>
      </c>
      <c r="W138" s="301">
        <f t="shared" si="191"/>
        <v>3892.0907418761494</v>
      </c>
      <c r="X138" s="301">
        <f t="shared" si="191"/>
        <v>3575.911789652248</v>
      </c>
      <c r="Y138" s="301">
        <f t="shared" si="191"/>
        <v>3578.5582255083182</v>
      </c>
      <c r="Z138" s="301">
        <f t="shared" si="191"/>
        <v>3875.7894736842104</v>
      </c>
      <c r="AA138" s="301">
        <f t="shared" si="191"/>
        <v>5392.6991150442473</v>
      </c>
      <c r="AB138" s="301">
        <f t="shared" si="191"/>
        <v>4211.814795103779</v>
      </c>
      <c r="AC138" s="301">
        <f t="shared" si="191"/>
        <v>5070.8117443868741</v>
      </c>
      <c r="AD138" s="301">
        <f t="shared" si="191"/>
        <v>4333.7579617834399</v>
      </c>
      <c r="AE138" s="301">
        <f t="shared" si="191"/>
        <v>4632.124352331607</v>
      </c>
      <c r="AF138" s="301">
        <f t="shared" si="191"/>
        <v>4089.1364902506966</v>
      </c>
      <c r="AG138" s="301">
        <f t="shared" si="191"/>
        <v>3247.1655328798183</v>
      </c>
      <c r="AH138" s="301">
        <f t="shared" si="191"/>
        <v>3707.238252267106</v>
      </c>
      <c r="AI138" s="301">
        <f t="shared" si="191"/>
        <v>4049.6634615384614</v>
      </c>
      <c r="AJ138" s="301">
        <f t="shared" si="191"/>
        <v>4869.6637168141597</v>
      </c>
      <c r="AK138" s="301">
        <f>+AK126/AK156*1000</f>
        <v>3855.9461732548366</v>
      </c>
      <c r="AL138" s="301">
        <f t="shared" si="191"/>
        <v>3549.7936842105269</v>
      </c>
      <c r="AM138" s="301">
        <f t="shared" si="191"/>
        <v>3293.9728820512823</v>
      </c>
      <c r="AN138" s="301">
        <f t="shared" si="191"/>
        <v>3211.6235600000005</v>
      </c>
      <c r="AO138" s="301">
        <f t="shared" si="191"/>
        <v>3151.217326829269</v>
      </c>
      <c r="AP138" s="301">
        <f t="shared" si="191"/>
        <v>3137.7121097142863</v>
      </c>
      <c r="AQ138" s="301">
        <f t="shared" si="191"/>
        <v>3126.0369018641863</v>
      </c>
      <c r="AR138" s="301">
        <f t="shared" si="191"/>
        <v>3116.0904208128004</v>
      </c>
      <c r="AS138" s="301">
        <f t="shared" si="191"/>
        <v>3107.7808463572997</v>
      </c>
      <c r="AT138" s="301">
        <f t="shared" si="191"/>
        <v>3115.6673437263198</v>
      </c>
      <c r="AU138" s="301">
        <f t="shared" si="191"/>
        <v>3125.874300946205</v>
      </c>
      <c r="AV138" s="301">
        <f t="shared" si="191"/>
        <v>3138.3709667443218</v>
      </c>
      <c r="AW138" s="301">
        <f t="shared" si="191"/>
        <v>3153.1344330588881</v>
      </c>
      <c r="AX138" s="5"/>
      <c r="AY138" s="5"/>
      <c r="AZ138" s="5"/>
      <c r="BA138" s="5"/>
      <c r="BB138" s="5"/>
      <c r="BC138" s="5"/>
      <c r="BD138" s="5"/>
      <c r="BE138" s="5"/>
      <c r="BF138" s="2">
        <f t="shared" ref="BF138:BF201" si="192">BF137+1</f>
        <v>132</v>
      </c>
    </row>
    <row r="139" spans="1:58" ht="11.25" customHeight="1" outlineLevel="1">
      <c r="A139" s="50"/>
      <c r="B139" s="176" t="s">
        <v>770</v>
      </c>
      <c r="C139" s="301">
        <f t="shared" ref="C139:K139" si="193">+C127/C158*1000</f>
        <v>646.89664483899276</v>
      </c>
      <c r="D139" s="301">
        <f t="shared" si="193"/>
        <v>657.08408331190537</v>
      </c>
      <c r="E139" s="301">
        <f t="shared" si="193"/>
        <v>529.41836543856368</v>
      </c>
      <c r="F139" s="301">
        <f t="shared" si="193"/>
        <v>505.28571428571422</v>
      </c>
      <c r="G139" s="301">
        <f t="shared" si="193"/>
        <v>387.04948075748325</v>
      </c>
      <c r="H139" s="301">
        <f t="shared" si="193"/>
        <v>324.61481676773002</v>
      </c>
      <c r="I139" s="301">
        <f t="shared" si="193"/>
        <v>334.15085961342822</v>
      </c>
      <c r="J139" s="301">
        <f t="shared" si="193"/>
        <v>357.02923082583789</v>
      </c>
      <c r="K139" s="301">
        <f t="shared" si="193"/>
        <v>379.97332397089929</v>
      </c>
      <c r="L139" s="49"/>
      <c r="M139" s="3"/>
      <c r="N139" s="301">
        <f t="shared" ref="N139:AW139" si="194">+N127/N158*1000</f>
        <v>39.949537426408746</v>
      </c>
      <c r="O139" s="301">
        <f t="shared" si="194"/>
        <v>154.22993492407807</v>
      </c>
      <c r="P139" s="301">
        <f t="shared" si="194"/>
        <v>160.91558613389788</v>
      </c>
      <c r="Q139" s="301">
        <f t="shared" si="194"/>
        <v>186.31913204551469</v>
      </c>
      <c r="R139" s="301">
        <f t="shared" si="194"/>
        <v>152.82574568288854</v>
      </c>
      <c r="S139" s="301">
        <f t="shared" si="194"/>
        <v>161.90962471279039</v>
      </c>
      <c r="T139" s="301">
        <f t="shared" si="194"/>
        <v>177.8526970954357</v>
      </c>
      <c r="U139" s="301">
        <f t="shared" si="194"/>
        <v>164.42817470335771</v>
      </c>
      <c r="V139" s="301">
        <f t="shared" si="194"/>
        <v>126.47718773373224</v>
      </c>
      <c r="W139" s="301">
        <f t="shared" si="194"/>
        <v>129.55725946079647</v>
      </c>
      <c r="X139" s="301">
        <f t="shared" si="194"/>
        <v>136.57270029673595</v>
      </c>
      <c r="Y139" s="301">
        <f t="shared" si="194"/>
        <v>136.87547552624906</v>
      </c>
      <c r="Z139" s="301">
        <f t="shared" si="194"/>
        <v>124.31289640591964</v>
      </c>
      <c r="AA139" s="301">
        <f t="shared" si="194"/>
        <v>145.03707929264118</v>
      </c>
      <c r="AB139" s="301">
        <f t="shared" si="194"/>
        <v>115.93519882179675</v>
      </c>
      <c r="AC139" s="301">
        <f t="shared" si="194"/>
        <v>119.45701357466064</v>
      </c>
      <c r="AD139" s="301">
        <f t="shared" si="194"/>
        <v>107.87401574803151</v>
      </c>
      <c r="AE139" s="301">
        <f t="shared" si="194"/>
        <v>100.67185289957567</v>
      </c>
      <c r="AF139" s="301">
        <f t="shared" si="194"/>
        <v>88.216447134211464</v>
      </c>
      <c r="AG139" s="301">
        <f t="shared" si="194"/>
        <v>89.221341023792363</v>
      </c>
      <c r="AH139" s="301">
        <f t="shared" si="194"/>
        <v>71.700745473908412</v>
      </c>
      <c r="AI139" s="301">
        <f t="shared" si="194"/>
        <v>71.009049773755663</v>
      </c>
      <c r="AJ139" s="301">
        <f t="shared" si="194"/>
        <v>87.500351864883882</v>
      </c>
      <c r="AK139" s="301">
        <f>+AK127/AK158*1000</f>
        <v>94.408851422550057</v>
      </c>
      <c r="AL139" s="301">
        <f t="shared" si="194"/>
        <v>84.89266666666667</v>
      </c>
      <c r="AM139" s="301">
        <f t="shared" si="194"/>
        <v>83.213597537198567</v>
      </c>
      <c r="AN139" s="301">
        <f t="shared" si="194"/>
        <v>83.06385549949546</v>
      </c>
      <c r="AO139" s="301">
        <f t="shared" si="194"/>
        <v>83.025736115250879</v>
      </c>
      <c r="AP139" s="301">
        <f t="shared" si="194"/>
        <v>85.41489831089207</v>
      </c>
      <c r="AQ139" s="301">
        <f t="shared" si="194"/>
        <v>88.036822392547165</v>
      </c>
      <c r="AR139" s="301">
        <f t="shared" si="194"/>
        <v>90.491707243099157</v>
      </c>
      <c r="AS139" s="301">
        <f t="shared" si="194"/>
        <v>92.947408164639725</v>
      </c>
      <c r="AT139" s="301">
        <f t="shared" si="194"/>
        <v>93.822052486868571</v>
      </c>
      <c r="AU139" s="301">
        <f t="shared" si="194"/>
        <v>94.626741859107781</v>
      </c>
      <c r="AV139" s="301">
        <f t="shared" si="194"/>
        <v>95.362291360142635</v>
      </c>
      <c r="AW139" s="301">
        <f t="shared" si="194"/>
        <v>96.117369548679875</v>
      </c>
      <c r="AX139" s="5"/>
      <c r="AY139" s="5"/>
      <c r="AZ139" s="5"/>
      <c r="BA139" s="5"/>
      <c r="BB139" s="5"/>
      <c r="BC139" s="5"/>
      <c r="BD139" s="5"/>
      <c r="BE139" s="5"/>
      <c r="BF139" s="2">
        <f t="shared" si="192"/>
        <v>133</v>
      </c>
    </row>
    <row r="140" spans="1:58" ht="11.25" customHeight="1" outlineLevel="1">
      <c r="A140" s="50"/>
      <c r="B140" s="176" t="s">
        <v>768</v>
      </c>
      <c r="C140" s="61"/>
      <c r="D140" s="61"/>
      <c r="E140" s="61"/>
      <c r="F140" s="301">
        <f t="shared" ref="F140:K140" si="195">F126*1000/F160</f>
        <v>13565.462631521857</v>
      </c>
      <c r="G140" s="301">
        <f t="shared" si="195"/>
        <v>10876.377539545696</v>
      </c>
      <c r="H140" s="301">
        <f t="shared" si="195"/>
        <v>15666.148139284431</v>
      </c>
      <c r="I140" s="301">
        <f t="shared" si="195"/>
        <v>13398.473046459798</v>
      </c>
      <c r="J140" s="301">
        <f t="shared" si="195"/>
        <v>13579.040299750041</v>
      </c>
      <c r="K140" s="301">
        <f t="shared" si="195"/>
        <v>14168.352172001587</v>
      </c>
      <c r="L140" s="49"/>
      <c r="M140" s="3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301">
        <f t="shared" ref="AD140:AW140" si="196">AD126*1000/AD160</f>
        <v>2821.597412291615</v>
      </c>
      <c r="AE140" s="301">
        <f t="shared" si="196"/>
        <v>2975.7489300998577</v>
      </c>
      <c r="AF140" s="301">
        <f t="shared" si="196"/>
        <v>2406.5573770491801</v>
      </c>
      <c r="AG140" s="301">
        <f t="shared" si="196"/>
        <v>2589.5117540687161</v>
      </c>
      <c r="AH140" s="301">
        <f t="shared" si="196"/>
        <v>3014.8028962188255</v>
      </c>
      <c r="AI140" s="301">
        <f t="shared" si="196"/>
        <v>3984.5316934720909</v>
      </c>
      <c r="AJ140" s="301">
        <f t="shared" si="196"/>
        <v>4826.9473684210525</v>
      </c>
      <c r="AK140" s="301">
        <f>AK126*1000/AK160</f>
        <v>4114.8088314485731</v>
      </c>
      <c r="AL140" s="301">
        <f t="shared" si="196"/>
        <v>3690.9565851878883</v>
      </c>
      <c r="AM140" s="301">
        <f t="shared" si="196"/>
        <v>3293.9728820512823</v>
      </c>
      <c r="AN140" s="301">
        <f t="shared" si="196"/>
        <v>3211.6235600000005</v>
      </c>
      <c r="AO140" s="301">
        <f t="shared" si="196"/>
        <v>3229.9977600000007</v>
      </c>
      <c r="AP140" s="301">
        <f t="shared" si="196"/>
        <v>3294.5977152000005</v>
      </c>
      <c r="AQ140" s="301">
        <f t="shared" si="196"/>
        <v>3360.4896695040006</v>
      </c>
      <c r="AR140" s="301">
        <f t="shared" si="196"/>
        <v>3427.6994628940802</v>
      </c>
      <c r="AS140" s="301">
        <f t="shared" si="196"/>
        <v>3496.2534521519619</v>
      </c>
      <c r="AT140" s="301">
        <f t="shared" si="196"/>
        <v>3412.3975669383508</v>
      </c>
      <c r="AU140" s="301">
        <f t="shared" si="196"/>
        <v>3490.6956619182552</v>
      </c>
      <c r="AV140" s="301">
        <f t="shared" si="196"/>
        <v>3586.7096762792244</v>
      </c>
      <c r="AW140" s="301">
        <f t="shared" si="196"/>
        <v>3678.6568385687024</v>
      </c>
      <c r="AX140" s="5"/>
      <c r="AY140" s="5"/>
      <c r="AZ140" s="5"/>
      <c r="BA140" s="5"/>
      <c r="BB140" s="5"/>
      <c r="BC140" s="5"/>
      <c r="BD140" s="5"/>
      <c r="BE140" s="5"/>
      <c r="BF140" s="2">
        <f t="shared" si="192"/>
        <v>134</v>
      </c>
    </row>
    <row r="141" spans="1:58" ht="11.25" customHeight="1" outlineLevel="1">
      <c r="A141" s="50"/>
      <c r="B141" s="176" t="s">
        <v>769</v>
      </c>
      <c r="C141" s="61"/>
      <c r="D141" s="61"/>
      <c r="E141" s="61"/>
      <c r="F141" s="301">
        <f t="shared" ref="F141:K141" si="197">F127*1000/F162</f>
        <v>3278.0504080185733</v>
      </c>
      <c r="G141" s="301">
        <f t="shared" si="197"/>
        <v>2893.603695294762</v>
      </c>
      <c r="H141" s="301">
        <f t="shared" si="197"/>
        <v>2740.4050745604277</v>
      </c>
      <c r="I141" s="301">
        <f t="shared" si="197"/>
        <v>2726.4924015555566</v>
      </c>
      <c r="J141" s="301">
        <f t="shared" si="197"/>
        <v>2734.5303672096843</v>
      </c>
      <c r="K141" s="301">
        <f t="shared" si="197"/>
        <v>2741.0329590983424</v>
      </c>
      <c r="L141" s="49"/>
      <c r="M141" s="3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301">
        <f t="shared" ref="AD141:AW141" si="198">AD127*1000/AD162</f>
        <v>789.34101548433591</v>
      </c>
      <c r="AE141" s="301">
        <f t="shared" si="198"/>
        <v>731.01217069788902</v>
      </c>
      <c r="AF141" s="301">
        <f t="shared" si="198"/>
        <v>656.02414423000562</v>
      </c>
      <c r="AG141" s="301">
        <f t="shared" si="198"/>
        <v>709.12841670964417</v>
      </c>
      <c r="AH141" s="301">
        <f t="shared" si="198"/>
        <v>612.89940828402382</v>
      </c>
      <c r="AI141" s="301">
        <f t="shared" si="198"/>
        <v>596.83166578901182</v>
      </c>
      <c r="AJ141" s="301">
        <f t="shared" si="198"/>
        <v>731.16344712004957</v>
      </c>
      <c r="AK141" s="301">
        <f>AK127*1000/AK162</f>
        <v>798.94774389156396</v>
      </c>
      <c r="AL141" s="301">
        <f t="shared" si="198"/>
        <v>726.35436720142616</v>
      </c>
      <c r="AM141" s="301">
        <f t="shared" si="198"/>
        <v>689.22253070023044</v>
      </c>
      <c r="AN141" s="301">
        <f t="shared" si="198"/>
        <v>654.3786406934787</v>
      </c>
      <c r="AO141" s="301">
        <f t="shared" si="198"/>
        <v>661.93268008093332</v>
      </c>
      <c r="AP141" s="301">
        <f t="shared" si="198"/>
        <v>676.78592853401392</v>
      </c>
      <c r="AQ141" s="301">
        <f t="shared" si="198"/>
        <v>678.23729340989405</v>
      </c>
      <c r="AR141" s="301">
        <f t="shared" si="198"/>
        <v>683.74414922202095</v>
      </c>
      <c r="AS141" s="301">
        <f t="shared" si="198"/>
        <v>694.88501525862637</v>
      </c>
      <c r="AT141" s="301">
        <f t="shared" si="198"/>
        <v>688.70055270013484</v>
      </c>
      <c r="AU141" s="301">
        <f t="shared" si="198"/>
        <v>691.78695927616934</v>
      </c>
      <c r="AV141" s="301">
        <f t="shared" si="198"/>
        <v>679.70525281513039</v>
      </c>
      <c r="AW141" s="301">
        <f t="shared" si="198"/>
        <v>681.32598182354457</v>
      </c>
      <c r="AX141" s="5"/>
      <c r="AY141" s="5"/>
      <c r="AZ141" s="5"/>
      <c r="BA141" s="5"/>
      <c r="BB141" s="5"/>
      <c r="BC141" s="5"/>
      <c r="BD141" s="5"/>
      <c r="BE141" s="5"/>
      <c r="BF141" s="2">
        <f t="shared" si="192"/>
        <v>135</v>
      </c>
    </row>
    <row r="142" spans="1:58" ht="11.25" customHeight="1" outlineLevel="1">
      <c r="A142" s="50"/>
      <c r="B142" s="175"/>
      <c r="C142" s="48"/>
      <c r="D142" s="48"/>
      <c r="E142" s="48"/>
      <c r="F142" s="48"/>
      <c r="G142" s="48"/>
      <c r="H142" s="48"/>
      <c r="I142" s="48"/>
      <c r="J142" s="48"/>
      <c r="K142" s="48"/>
      <c r="L142" s="49"/>
      <c r="M142" s="3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174"/>
      <c r="Y142" s="174"/>
      <c r="Z142" s="174"/>
      <c r="AA142" s="174"/>
      <c r="AB142" s="174"/>
      <c r="AC142" s="174"/>
      <c r="AD142" s="174"/>
      <c r="AE142" s="174"/>
      <c r="AF142" s="174"/>
      <c r="AG142" s="174"/>
      <c r="AH142" s="174"/>
      <c r="AI142" s="174"/>
      <c r="AJ142" s="174"/>
      <c r="AK142" s="174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5"/>
      <c r="AY142" s="5"/>
      <c r="AZ142" s="5"/>
      <c r="BA142" s="5"/>
      <c r="BB142" s="5"/>
      <c r="BC142" s="5"/>
      <c r="BD142" s="5"/>
      <c r="BE142" s="5"/>
      <c r="BF142" s="2">
        <f t="shared" si="192"/>
        <v>136</v>
      </c>
    </row>
    <row r="143" spans="1:58" ht="11.25" customHeight="1" outlineLevel="1">
      <c r="A143" s="11" t="s">
        <v>5</v>
      </c>
      <c r="B143" s="35" t="s">
        <v>155</v>
      </c>
      <c r="C143" s="3"/>
      <c r="D143" s="3"/>
      <c r="E143" s="3"/>
      <c r="F143" s="3"/>
      <c r="G143" s="3"/>
      <c r="H143" s="3"/>
      <c r="I143" s="3"/>
      <c r="J143" s="3"/>
      <c r="K143" s="3"/>
      <c r="L143" s="55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  <c r="AK143" s="45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5"/>
      <c r="AY143" s="5"/>
      <c r="AZ143" s="5"/>
      <c r="BA143" s="5"/>
      <c r="BB143" s="5"/>
      <c r="BC143" s="5"/>
      <c r="BD143" s="5"/>
      <c r="BE143" s="5"/>
      <c r="BF143" s="2">
        <f t="shared" si="192"/>
        <v>137</v>
      </c>
    </row>
    <row r="144" spans="1:58" ht="11.25" hidden="1" customHeight="1" outlineLevel="2">
      <c r="A144" s="166"/>
      <c r="B144" s="36" t="s">
        <v>154</v>
      </c>
      <c r="C144" s="164">
        <f t="shared" ref="C144:K144" si="199">C15</f>
        <v>4568.0680000000002</v>
      </c>
      <c r="D144" s="164">
        <f t="shared" si="199"/>
        <v>4611.8240000000005</v>
      </c>
      <c r="E144" s="164">
        <f t="shared" si="199"/>
        <v>4556.6219999999994</v>
      </c>
      <c r="F144" s="164">
        <f t="shared" si="199"/>
        <v>2751.665</v>
      </c>
      <c r="G144" s="164">
        <f t="shared" si="199"/>
        <v>1450.047</v>
      </c>
      <c r="H144" s="164">
        <f t="shared" si="199"/>
        <v>1874.076</v>
      </c>
      <c r="I144" s="164">
        <f t="shared" si="199"/>
        <v>2231.0663185164999</v>
      </c>
      <c r="J144" s="164">
        <f t="shared" si="199"/>
        <v>2709.3030179126472</v>
      </c>
      <c r="K144" s="164">
        <f t="shared" si="199"/>
        <v>2848.8178295393413</v>
      </c>
      <c r="L144" s="170"/>
      <c r="M144" s="164"/>
      <c r="N144" s="164">
        <f t="shared" ref="N144:AW144" si="200">N15</f>
        <v>966.8370000000001</v>
      </c>
      <c r="O144" s="164">
        <f t="shared" si="200"/>
        <v>1243.319</v>
      </c>
      <c r="P144" s="164">
        <f t="shared" si="200"/>
        <v>1179.665</v>
      </c>
      <c r="Q144" s="164">
        <f t="shared" si="200"/>
        <v>1178.2470000000001</v>
      </c>
      <c r="R144" s="164">
        <f t="shared" si="200"/>
        <v>1135.4789999999998</v>
      </c>
      <c r="S144" s="164">
        <f t="shared" si="200"/>
        <v>1159.713</v>
      </c>
      <c r="T144" s="164">
        <f t="shared" si="200"/>
        <v>1188.615</v>
      </c>
      <c r="U144" s="164">
        <f t="shared" si="200"/>
        <v>1128.0169999999998</v>
      </c>
      <c r="V144" s="164">
        <f t="shared" si="200"/>
        <v>1061.4180000000001</v>
      </c>
      <c r="W144" s="164">
        <f t="shared" si="200"/>
        <v>1107.5519999999999</v>
      </c>
      <c r="X144" s="164">
        <f t="shared" si="200"/>
        <v>1209.0260000000001</v>
      </c>
      <c r="Y144" s="164">
        <f t="shared" si="200"/>
        <v>1178.6259999999997</v>
      </c>
      <c r="Z144" s="164">
        <f t="shared" si="200"/>
        <v>917.23500000000013</v>
      </c>
      <c r="AA144" s="164">
        <f t="shared" si="200"/>
        <v>710.78400000000011</v>
      </c>
      <c r="AB144" s="164">
        <f t="shared" si="200"/>
        <v>601.39599999999996</v>
      </c>
      <c r="AC144" s="164">
        <f t="shared" si="200"/>
        <v>522.25</v>
      </c>
      <c r="AD144" s="164">
        <f t="shared" si="200"/>
        <v>413.13300000000004</v>
      </c>
      <c r="AE144" s="164">
        <f t="shared" si="200"/>
        <v>356.27100000000002</v>
      </c>
      <c r="AF144" s="164">
        <f t="shared" si="200"/>
        <v>326.22500000000002</v>
      </c>
      <c r="AG144" s="164">
        <f t="shared" si="200"/>
        <v>354.41800000000001</v>
      </c>
      <c r="AH144" s="164">
        <f t="shared" si="200"/>
        <v>400.93600000000004</v>
      </c>
      <c r="AI144" s="164">
        <f t="shared" si="200"/>
        <v>470.06799999999998</v>
      </c>
      <c r="AJ144" s="164">
        <f t="shared" si="200"/>
        <v>506.02899999999994</v>
      </c>
      <c r="AK144" s="164">
        <f t="shared" si="200"/>
        <v>497.04300000000001</v>
      </c>
      <c r="AL144" s="164">
        <f t="shared" si="200"/>
        <v>484.85883999999999</v>
      </c>
      <c r="AM144" s="164">
        <f t="shared" si="200"/>
        <v>528.64725940000005</v>
      </c>
      <c r="AN144" s="164">
        <f t="shared" si="200"/>
        <v>589.98513027000001</v>
      </c>
      <c r="AO144" s="164">
        <f t="shared" si="200"/>
        <v>627.57508884650008</v>
      </c>
      <c r="AP144" s="164">
        <f t="shared" si="200"/>
        <v>653.27957400670061</v>
      </c>
      <c r="AQ144" s="164">
        <f t="shared" si="200"/>
        <v>669.02380002960956</v>
      </c>
      <c r="AR144" s="164">
        <f t="shared" si="200"/>
        <v>685.19450829854679</v>
      </c>
      <c r="AS144" s="164">
        <f t="shared" si="200"/>
        <v>701.80513557779011</v>
      </c>
      <c r="AT144" s="164">
        <f t="shared" si="200"/>
        <v>706.05738902642202</v>
      </c>
      <c r="AU144" s="164">
        <f t="shared" si="200"/>
        <v>710.0816793885856</v>
      </c>
      <c r="AV144" s="164">
        <f t="shared" si="200"/>
        <v>714.21566157775908</v>
      </c>
      <c r="AW144" s="164">
        <f t="shared" si="200"/>
        <v>718.46309954657477</v>
      </c>
      <c r="AX144" s="162"/>
      <c r="AY144" s="162"/>
      <c r="AZ144" s="162"/>
      <c r="BA144" s="162"/>
      <c r="BB144" s="162"/>
      <c r="BC144" s="162"/>
      <c r="BD144" s="162"/>
      <c r="BE144" s="162"/>
      <c r="BF144" s="2">
        <f t="shared" si="192"/>
        <v>138</v>
      </c>
    </row>
    <row r="145" spans="1:58" ht="11.25" hidden="1" customHeight="1" outlineLevel="2">
      <c r="A145" s="166"/>
      <c r="B145" s="36" t="s">
        <v>153</v>
      </c>
      <c r="C145" s="164">
        <f t="shared" ref="C145:K145" si="201">-C31</f>
        <v>-706.52200000000005</v>
      </c>
      <c r="D145" s="164">
        <f t="shared" si="201"/>
        <v>-479.36700000000002</v>
      </c>
      <c r="E145" s="164">
        <f t="shared" si="201"/>
        <v>-546.60400000000004</v>
      </c>
      <c r="F145" s="164">
        <f t="shared" si="201"/>
        <v>190.28200000000001</v>
      </c>
      <c r="G145" s="164">
        <f t="shared" si="201"/>
        <v>469.827</v>
      </c>
      <c r="H145" s="164">
        <f t="shared" si="201"/>
        <v>258.84200000000004</v>
      </c>
      <c r="I145" s="164">
        <f t="shared" si="201"/>
        <v>57.043386000378881</v>
      </c>
      <c r="J145" s="164">
        <f t="shared" si="201"/>
        <v>-136.95957692825516</v>
      </c>
      <c r="K145" s="164">
        <f t="shared" si="201"/>
        <v>-198.29231124231364</v>
      </c>
      <c r="L145" s="170"/>
      <c r="M145" s="164"/>
      <c r="N145" s="164">
        <f t="shared" ref="N145:AW145" si="202">-N31</f>
        <v>-141.453</v>
      </c>
      <c r="O145" s="164">
        <f t="shared" si="202"/>
        <v>-239</v>
      </c>
      <c r="P145" s="164">
        <f t="shared" si="202"/>
        <v>-179.43900000000002</v>
      </c>
      <c r="Q145" s="164">
        <f t="shared" si="202"/>
        <v>-146.63000000000002</v>
      </c>
      <c r="R145" s="164">
        <f t="shared" si="202"/>
        <v>-128.19400000000002</v>
      </c>
      <c r="S145" s="164">
        <f t="shared" si="202"/>
        <v>-135.87599999999998</v>
      </c>
      <c r="T145" s="164">
        <f t="shared" si="202"/>
        <v>-124.65299999999998</v>
      </c>
      <c r="U145" s="164">
        <f t="shared" si="202"/>
        <v>-90.64400000000002</v>
      </c>
      <c r="V145" s="164">
        <f t="shared" si="202"/>
        <v>-91.575999999999993</v>
      </c>
      <c r="W145" s="164">
        <f t="shared" si="202"/>
        <v>-149.441</v>
      </c>
      <c r="X145" s="164">
        <f t="shared" si="202"/>
        <v>-162.321</v>
      </c>
      <c r="Y145" s="164">
        <f t="shared" si="202"/>
        <v>-143.26599999999999</v>
      </c>
      <c r="Z145" s="164">
        <f t="shared" si="202"/>
        <v>-21.807000000000002</v>
      </c>
      <c r="AA145" s="164">
        <f t="shared" si="202"/>
        <v>42.762000000000008</v>
      </c>
      <c r="AB145" s="164">
        <f t="shared" si="202"/>
        <v>78.534000000000006</v>
      </c>
      <c r="AC145" s="164">
        <f t="shared" si="202"/>
        <v>90.793000000000006</v>
      </c>
      <c r="AD145" s="164">
        <f t="shared" si="202"/>
        <v>96.73299999999999</v>
      </c>
      <c r="AE145" s="164">
        <f t="shared" si="202"/>
        <v>109.74600000000001</v>
      </c>
      <c r="AF145" s="164">
        <f t="shared" si="202"/>
        <v>137.74700000000001</v>
      </c>
      <c r="AG145" s="164">
        <f t="shared" si="202"/>
        <v>125.601</v>
      </c>
      <c r="AH145" s="164">
        <f t="shared" si="202"/>
        <v>110.82400000000001</v>
      </c>
      <c r="AI145" s="164">
        <f t="shared" si="202"/>
        <v>66.561000000000007</v>
      </c>
      <c r="AJ145" s="164">
        <f t="shared" si="202"/>
        <v>45.373000000000005</v>
      </c>
      <c r="AK145" s="164">
        <f t="shared" si="202"/>
        <v>36.084000000000003</v>
      </c>
      <c r="AL145" s="164">
        <f t="shared" si="202"/>
        <v>44.208910799999991</v>
      </c>
      <c r="AM145" s="164">
        <f t="shared" si="202"/>
        <v>25.709332753500014</v>
      </c>
      <c r="AN145" s="164">
        <f t="shared" si="202"/>
        <v>0.20741117051088764</v>
      </c>
      <c r="AO145" s="164">
        <f t="shared" si="202"/>
        <v>-13.082268723632012</v>
      </c>
      <c r="AP145" s="164">
        <f t="shared" si="202"/>
        <v>-24.181545305057597</v>
      </c>
      <c r="AQ145" s="164">
        <f t="shared" si="202"/>
        <v>-30.780632713116116</v>
      </c>
      <c r="AR145" s="164">
        <f t="shared" si="202"/>
        <v>-37.539157686665291</v>
      </c>
      <c r="AS145" s="164">
        <f t="shared" si="202"/>
        <v>-44.458241223416145</v>
      </c>
      <c r="AT145" s="164">
        <f t="shared" si="202"/>
        <v>-47.463804399802271</v>
      </c>
      <c r="AU145" s="164">
        <f t="shared" si="202"/>
        <v>-48.834611871334673</v>
      </c>
      <c r="AV145" s="164">
        <f t="shared" si="202"/>
        <v>-50.258729282217899</v>
      </c>
      <c r="AW145" s="164">
        <f t="shared" si="202"/>
        <v>-51.735165688958787</v>
      </c>
      <c r="AX145" s="162"/>
      <c r="AY145" s="162"/>
      <c r="AZ145" s="162"/>
      <c r="BA145" s="162"/>
      <c r="BB145" s="162"/>
      <c r="BC145" s="162"/>
      <c r="BD145" s="162"/>
      <c r="BE145" s="162"/>
      <c r="BF145" s="2">
        <f t="shared" si="192"/>
        <v>139</v>
      </c>
    </row>
    <row r="146" spans="1:58" ht="11.25" hidden="1" customHeight="1" outlineLevel="2">
      <c r="A146" s="166"/>
      <c r="B146" s="36" t="s">
        <v>152</v>
      </c>
      <c r="C146" s="164">
        <f t="shared" ref="C146:K146" si="203">C81</f>
        <v>-509.28099999999995</v>
      </c>
      <c r="D146" s="164">
        <f t="shared" si="203"/>
        <v>-604.44100000000003</v>
      </c>
      <c r="E146" s="164">
        <f t="shared" si="203"/>
        <v>-650.81400000000008</v>
      </c>
      <c r="F146" s="164">
        <f t="shared" si="203"/>
        <v>-612.14700000000005</v>
      </c>
      <c r="G146" s="164">
        <f t="shared" si="203"/>
        <v>-509.971</v>
      </c>
      <c r="H146" s="164">
        <f t="shared" si="203"/>
        <v>-438.71600000000001</v>
      </c>
      <c r="I146" s="164">
        <f t="shared" si="203"/>
        <v>-414.95638624420394</v>
      </c>
      <c r="J146" s="164">
        <f t="shared" si="203"/>
        <v>-374.24774167757613</v>
      </c>
      <c r="K146" s="164">
        <f t="shared" si="203"/>
        <v>-344.78815226697611</v>
      </c>
      <c r="L146" s="170"/>
      <c r="M146" s="164"/>
      <c r="N146" s="164">
        <f t="shared" ref="N146:AW146" si="204">N81</f>
        <v>-102.596</v>
      </c>
      <c r="O146" s="164">
        <f t="shared" si="204"/>
        <v>-135.51599999999999</v>
      </c>
      <c r="P146" s="164">
        <f t="shared" si="204"/>
        <v>-128.16</v>
      </c>
      <c r="Q146" s="164">
        <f t="shared" si="204"/>
        <v>-143.00899999999999</v>
      </c>
      <c r="R146" s="164">
        <f t="shared" si="204"/>
        <v>-144.964</v>
      </c>
      <c r="S146" s="164">
        <f t="shared" si="204"/>
        <v>-149.44</v>
      </c>
      <c r="T146" s="164">
        <f t="shared" si="204"/>
        <v>-152.02799999999999</v>
      </c>
      <c r="U146" s="164">
        <f t="shared" si="204"/>
        <v>-158.00900000000001</v>
      </c>
      <c r="V146" s="164">
        <f t="shared" si="204"/>
        <v>-162.31800000000001</v>
      </c>
      <c r="W146" s="164">
        <f t="shared" si="204"/>
        <v>-160.965</v>
      </c>
      <c r="X146" s="164">
        <f t="shared" si="204"/>
        <v>-170.154</v>
      </c>
      <c r="Y146" s="164">
        <f t="shared" si="204"/>
        <v>-157.37700000000001</v>
      </c>
      <c r="Z146" s="164">
        <f t="shared" si="204"/>
        <v>-162.22</v>
      </c>
      <c r="AA146" s="164">
        <f t="shared" si="204"/>
        <v>-158.352</v>
      </c>
      <c r="AB146" s="164">
        <f t="shared" si="204"/>
        <v>-146.75700000000001</v>
      </c>
      <c r="AC146" s="164">
        <f t="shared" si="204"/>
        <v>-144.81800000000001</v>
      </c>
      <c r="AD146" s="164">
        <f t="shared" si="204"/>
        <v>-136.672</v>
      </c>
      <c r="AE146" s="164">
        <f t="shared" si="204"/>
        <v>-132.03700000000001</v>
      </c>
      <c r="AF146" s="164">
        <f t="shared" si="204"/>
        <v>-123.30800000000001</v>
      </c>
      <c r="AG146" s="164">
        <f t="shared" si="204"/>
        <v>-117.95399999999999</v>
      </c>
      <c r="AH146" s="164">
        <f t="shared" si="204"/>
        <v>-114.28100000000001</v>
      </c>
      <c r="AI146" s="164">
        <f t="shared" si="204"/>
        <v>-108.119</v>
      </c>
      <c r="AJ146" s="164">
        <f t="shared" si="204"/>
        <v>-108.751</v>
      </c>
      <c r="AK146" s="164">
        <f t="shared" si="204"/>
        <v>-107.565</v>
      </c>
      <c r="AL146" s="164">
        <f t="shared" si="204"/>
        <v>-107.0017</v>
      </c>
      <c r="AM146" s="164">
        <f t="shared" si="204"/>
        <v>-105.02854749750001</v>
      </c>
      <c r="AN146" s="164">
        <f t="shared" si="204"/>
        <v>-102.8815292637609</v>
      </c>
      <c r="AO146" s="164">
        <f t="shared" si="204"/>
        <v>-100.044609482943</v>
      </c>
      <c r="AP146" s="164">
        <f t="shared" si="204"/>
        <v>-97.201429956093151</v>
      </c>
      <c r="AQ146" s="164">
        <f t="shared" si="204"/>
        <v>-94.782840027747199</v>
      </c>
      <c r="AR146" s="164">
        <f t="shared" si="204"/>
        <v>-92.351490925963986</v>
      </c>
      <c r="AS146" s="164">
        <f t="shared" si="204"/>
        <v>-89.911980767771823</v>
      </c>
      <c r="AT146" s="164">
        <f t="shared" si="204"/>
        <v>-87.468747568158662</v>
      </c>
      <c r="AU146" s="164">
        <f t="shared" si="204"/>
        <v>-86.644234802126661</v>
      </c>
      <c r="AV146" s="164">
        <f t="shared" si="204"/>
        <v>-85.784378586818406</v>
      </c>
      <c r="AW146" s="164">
        <f t="shared" si="204"/>
        <v>-84.89079130987237</v>
      </c>
      <c r="AX146" s="162"/>
      <c r="AY146" s="162"/>
      <c r="AZ146" s="162"/>
      <c r="BA146" s="162"/>
      <c r="BB146" s="162"/>
      <c r="BC146" s="162"/>
      <c r="BD146" s="162"/>
      <c r="BE146" s="162"/>
      <c r="BF146" s="2">
        <f t="shared" si="192"/>
        <v>140</v>
      </c>
    </row>
    <row r="147" spans="1:58" ht="11.25" hidden="1" customHeight="1" outlineLevel="2">
      <c r="A147" s="166"/>
      <c r="B147" s="36" t="s">
        <v>151</v>
      </c>
      <c r="C147" s="164">
        <f t="shared" ref="C147:H148" si="205">SUMIFS($N147:$AX147,$N$4:$AX$4,C$4)</f>
        <v>-662.79200000000003</v>
      </c>
      <c r="D147" s="164">
        <f t="shared" si="205"/>
        <v>-633.87699999999995</v>
      </c>
      <c r="E147" s="164">
        <f t="shared" si="205"/>
        <v>-624.37100000000009</v>
      </c>
      <c r="F147" s="164">
        <f t="shared" si="205"/>
        <v>-510.70800000000003</v>
      </c>
      <c r="G147" s="164">
        <f t="shared" si="205"/>
        <v>-342.767</v>
      </c>
      <c r="H147" s="164">
        <f t="shared" si="205"/>
        <v>-295.50699999999995</v>
      </c>
      <c r="I147" s="164">
        <f t="shared" ref="I147:K148" si="206">SUMIFS($N147:$BF147,$N$4:$BF$4,I$4)</f>
        <v>-312.65087699999998</v>
      </c>
      <c r="J147" s="164">
        <f t="shared" si="206"/>
        <v>-333.5198621283883</v>
      </c>
      <c r="K147" s="164">
        <f t="shared" si="206"/>
        <v>-361.01262476653358</v>
      </c>
      <c r="L147" s="173"/>
      <c r="M147" s="164"/>
      <c r="N147" s="172">
        <f>-176.021+29.047</f>
        <v>-146.97399999999999</v>
      </c>
      <c r="O147" s="172">
        <v>-157.51900000000001</v>
      </c>
      <c r="P147" s="172">
        <v>-163.458</v>
      </c>
      <c r="Q147" s="172">
        <f>-662.792-N147-O147-P147</f>
        <v>-194.84099999999998</v>
      </c>
      <c r="R147" s="172">
        <v>-150.16399999999999</v>
      </c>
      <c r="S147" s="172">
        <v>-156.96700000000001</v>
      </c>
      <c r="T147" s="172">
        <v>-157.904</v>
      </c>
      <c r="U147" s="172">
        <v>-168.84200000000001</v>
      </c>
      <c r="V147" s="172">
        <v>-155.91900000000001</v>
      </c>
      <c r="W147" s="172">
        <v>-146.85300000000001</v>
      </c>
      <c r="X147" s="172">
        <v>-154.85900000000001</v>
      </c>
      <c r="Y147" s="172">
        <v>-166.74</v>
      </c>
      <c r="Z147" s="172">
        <v>-150.96199999999999</v>
      </c>
      <c r="AA147" s="172">
        <v>-129.661</v>
      </c>
      <c r="AB147" s="172">
        <f>-123.189</f>
        <v>-123.18899999999999</v>
      </c>
      <c r="AC147" s="172">
        <v>-106.896</v>
      </c>
      <c r="AD147" s="172">
        <f>-103.155+8</f>
        <v>-95.155000000000001</v>
      </c>
      <c r="AE147" s="172">
        <v>-82.747</v>
      </c>
      <c r="AF147" s="172">
        <f>-86.743</f>
        <v>-86.742999999999995</v>
      </c>
      <c r="AG147" s="172">
        <v>-78.122</v>
      </c>
      <c r="AH147" s="172">
        <v>-75.492999999999995</v>
      </c>
      <c r="AI147" s="172">
        <v>-76.707999999999998</v>
      </c>
      <c r="AJ147" s="172">
        <v>-74.372</v>
      </c>
      <c r="AK147" s="172">
        <v>-68.933999999999997</v>
      </c>
      <c r="AL147" s="172">
        <v>-77</v>
      </c>
      <c r="AM147" s="172">
        <f>AL147*1.01</f>
        <v>-77.77</v>
      </c>
      <c r="AN147" s="172">
        <f>AM147*1.01</f>
        <v>-78.547699999999992</v>
      </c>
      <c r="AO147" s="172">
        <f>AN147*1.01</f>
        <v>-79.333176999999992</v>
      </c>
      <c r="AP147" s="172">
        <f t="shared" ref="AP147:AW147" si="207">AO147*1.02</f>
        <v>-80.919840539999996</v>
      </c>
      <c r="AQ147" s="172">
        <f t="shared" si="207"/>
        <v>-82.538237350800003</v>
      </c>
      <c r="AR147" s="172">
        <f t="shared" si="207"/>
        <v>-84.189002097816001</v>
      </c>
      <c r="AS147" s="172">
        <f t="shared" si="207"/>
        <v>-85.872782139772326</v>
      </c>
      <c r="AT147" s="172">
        <f t="shared" si="207"/>
        <v>-87.590237782567769</v>
      </c>
      <c r="AU147" s="172">
        <f t="shared" si="207"/>
        <v>-89.342042538219133</v>
      </c>
      <c r="AV147" s="172">
        <f t="shared" si="207"/>
        <v>-91.12888338898351</v>
      </c>
      <c r="AW147" s="172">
        <f t="shared" si="207"/>
        <v>-92.951461056763179</v>
      </c>
      <c r="AX147" s="171"/>
      <c r="AY147" s="171"/>
      <c r="AZ147" s="171"/>
      <c r="BA147" s="171"/>
      <c r="BB147" s="171"/>
      <c r="BC147" s="171"/>
      <c r="BD147" s="171"/>
      <c r="BE147" s="171"/>
      <c r="BF147" s="2">
        <f t="shared" si="192"/>
        <v>141</v>
      </c>
    </row>
    <row r="148" spans="1:58" ht="11.25" hidden="1" customHeight="1" outlineLevel="2">
      <c r="A148" s="166"/>
      <c r="B148" s="36" t="s">
        <v>33</v>
      </c>
      <c r="C148" s="164">
        <f t="shared" si="205"/>
        <v>0</v>
      </c>
      <c r="D148" s="164">
        <f t="shared" si="205"/>
        <v>0</v>
      </c>
      <c r="E148" s="164">
        <f t="shared" si="205"/>
        <v>0</v>
      </c>
      <c r="F148" s="164">
        <f t="shared" si="205"/>
        <v>0</v>
      </c>
      <c r="G148" s="164">
        <f t="shared" si="205"/>
        <v>0</v>
      </c>
      <c r="H148" s="164">
        <f t="shared" si="205"/>
        <v>0</v>
      </c>
      <c r="I148" s="164">
        <f t="shared" si="206"/>
        <v>0</v>
      </c>
      <c r="J148" s="164">
        <f t="shared" si="206"/>
        <v>0</v>
      </c>
      <c r="K148" s="164">
        <f t="shared" si="206"/>
        <v>0</v>
      </c>
      <c r="L148" s="170"/>
      <c r="M148" s="164"/>
      <c r="N148" s="169">
        <v>0</v>
      </c>
      <c r="O148" s="169">
        <v>0</v>
      </c>
      <c r="P148" s="169">
        <v>0</v>
      </c>
      <c r="Q148" s="169">
        <v>0</v>
      </c>
      <c r="R148" s="169">
        <v>0</v>
      </c>
      <c r="S148" s="169">
        <v>0</v>
      </c>
      <c r="T148" s="169">
        <v>0</v>
      </c>
      <c r="U148" s="169">
        <v>0</v>
      </c>
      <c r="V148" s="169">
        <v>0</v>
      </c>
      <c r="W148" s="169">
        <v>0</v>
      </c>
      <c r="X148" s="169">
        <v>0</v>
      </c>
      <c r="Y148" s="169">
        <v>0</v>
      </c>
      <c r="Z148" s="169">
        <v>0</v>
      </c>
      <c r="AA148" s="169">
        <v>0</v>
      </c>
      <c r="AB148" s="169">
        <v>0</v>
      </c>
      <c r="AC148" s="169">
        <v>0</v>
      </c>
      <c r="AD148" s="169">
        <v>0</v>
      </c>
      <c r="AE148" s="169">
        <v>0</v>
      </c>
      <c r="AF148" s="169">
        <v>0</v>
      </c>
      <c r="AG148" s="169">
        <v>0</v>
      </c>
      <c r="AH148" s="169">
        <v>0</v>
      </c>
      <c r="AI148" s="169">
        <v>0</v>
      </c>
      <c r="AJ148" s="169">
        <v>0</v>
      </c>
      <c r="AK148" s="169">
        <v>0</v>
      </c>
      <c r="AL148" s="168">
        <v>0</v>
      </c>
      <c r="AM148" s="168">
        <v>0</v>
      </c>
      <c r="AN148" s="168">
        <v>0</v>
      </c>
      <c r="AO148" s="168">
        <v>0</v>
      </c>
      <c r="AP148" s="168">
        <v>0</v>
      </c>
      <c r="AQ148" s="168">
        <v>0</v>
      </c>
      <c r="AR148" s="168">
        <v>0</v>
      </c>
      <c r="AS148" s="168">
        <v>0</v>
      </c>
      <c r="AT148" s="168">
        <v>0</v>
      </c>
      <c r="AU148" s="168">
        <v>0</v>
      </c>
      <c r="AV148" s="168">
        <v>0</v>
      </c>
      <c r="AW148" s="168">
        <v>0</v>
      </c>
      <c r="AX148" s="167"/>
      <c r="AY148" s="167"/>
      <c r="AZ148" s="167"/>
      <c r="BA148" s="167"/>
      <c r="BB148" s="167"/>
      <c r="BC148" s="167"/>
      <c r="BD148" s="167"/>
      <c r="BE148" s="167"/>
      <c r="BF148" s="2">
        <f t="shared" si="192"/>
        <v>142</v>
      </c>
    </row>
    <row r="149" spans="1:58" ht="11.25" hidden="1" customHeight="1" outlineLevel="2">
      <c r="A149" s="166"/>
      <c r="B149" s="36" t="s">
        <v>150</v>
      </c>
      <c r="C149" s="163">
        <f t="shared" ref="C149:K149" si="208">SUM(C144:C148)</f>
        <v>2689.4730000000004</v>
      </c>
      <c r="D149" s="163">
        <f t="shared" si="208"/>
        <v>2894.1390000000006</v>
      </c>
      <c r="E149" s="163">
        <f t="shared" si="208"/>
        <v>2734.8329999999987</v>
      </c>
      <c r="F149" s="163">
        <f t="shared" si="208"/>
        <v>1819.0920000000001</v>
      </c>
      <c r="G149" s="163">
        <f t="shared" si="208"/>
        <v>1067.136</v>
      </c>
      <c r="H149" s="163">
        <f t="shared" si="208"/>
        <v>1398.6950000000002</v>
      </c>
      <c r="I149" s="163">
        <f t="shared" si="208"/>
        <v>1560.502441272675</v>
      </c>
      <c r="J149" s="163">
        <f t="shared" si="208"/>
        <v>1864.5758371784279</v>
      </c>
      <c r="K149" s="163">
        <f t="shared" si="208"/>
        <v>1944.7247412635184</v>
      </c>
      <c r="L149" s="165"/>
      <c r="M149" s="164"/>
      <c r="N149" s="163">
        <f>SUM(N144:N148)</f>
        <v>575.81400000000008</v>
      </c>
      <c r="O149" s="163">
        <f>SUM(O144:O148)</f>
        <v>711.28399999999999</v>
      </c>
      <c r="P149" s="163">
        <f>SUM(P144:P148)</f>
        <v>708.60799999999995</v>
      </c>
      <c r="Q149" s="163">
        <f>SUM(Q144:Q148)</f>
        <v>693.76699999999994</v>
      </c>
      <c r="R149" s="163">
        <f t="shared" ref="R149:AW149" si="209">SUM(R144:R148)</f>
        <v>712.15699999999993</v>
      </c>
      <c r="S149" s="163">
        <f t="shared" si="209"/>
        <v>717.43</v>
      </c>
      <c r="T149" s="163">
        <f t="shared" si="209"/>
        <v>754.03</v>
      </c>
      <c r="U149" s="163">
        <f t="shared" si="209"/>
        <v>710.52199999999982</v>
      </c>
      <c r="V149" s="163">
        <f t="shared" si="209"/>
        <v>651.60500000000013</v>
      </c>
      <c r="W149" s="163">
        <f t="shared" si="209"/>
        <v>650.29299999999989</v>
      </c>
      <c r="X149" s="163">
        <f t="shared" si="209"/>
        <v>721.69200000000012</v>
      </c>
      <c r="Y149" s="163">
        <f t="shared" si="209"/>
        <v>711.24299999999971</v>
      </c>
      <c r="Z149" s="163">
        <f t="shared" si="209"/>
        <v>582.24600000000009</v>
      </c>
      <c r="AA149" s="163">
        <f t="shared" si="209"/>
        <v>465.53300000000019</v>
      </c>
      <c r="AB149" s="163">
        <f t="shared" si="209"/>
        <v>409.98400000000004</v>
      </c>
      <c r="AC149" s="163">
        <f t="shared" si="209"/>
        <v>361.32900000000001</v>
      </c>
      <c r="AD149" s="163">
        <f t="shared" si="209"/>
        <v>278.0390000000001</v>
      </c>
      <c r="AE149" s="163">
        <f t="shared" si="209"/>
        <v>251.233</v>
      </c>
      <c r="AF149" s="163">
        <f t="shared" si="209"/>
        <v>253.92100000000005</v>
      </c>
      <c r="AG149" s="163">
        <f t="shared" si="209"/>
        <v>283.94299999999998</v>
      </c>
      <c r="AH149" s="163">
        <f t="shared" si="209"/>
        <v>321.98600000000005</v>
      </c>
      <c r="AI149" s="163">
        <f t="shared" si="209"/>
        <v>351.80200000000002</v>
      </c>
      <c r="AJ149" s="163">
        <f t="shared" si="209"/>
        <v>368.27899999999994</v>
      </c>
      <c r="AK149" s="163">
        <f>SUM(AK144:AK148)</f>
        <v>356.62799999999993</v>
      </c>
      <c r="AL149" s="163">
        <f t="shared" si="209"/>
        <v>345.06605079999997</v>
      </c>
      <c r="AM149" s="163">
        <f t="shared" si="209"/>
        <v>371.55804465600005</v>
      </c>
      <c r="AN149" s="163">
        <f t="shared" si="209"/>
        <v>408.76331217674999</v>
      </c>
      <c r="AO149" s="163">
        <f t="shared" si="209"/>
        <v>435.11503363992517</v>
      </c>
      <c r="AP149" s="163">
        <f t="shared" si="209"/>
        <v>450.9767582055498</v>
      </c>
      <c r="AQ149" s="163">
        <f t="shared" si="209"/>
        <v>460.92208993794628</v>
      </c>
      <c r="AR149" s="163">
        <f t="shared" si="209"/>
        <v>471.11485758810159</v>
      </c>
      <c r="AS149" s="163">
        <f t="shared" si="209"/>
        <v>481.56213144682977</v>
      </c>
      <c r="AT149" s="163">
        <f t="shared" si="209"/>
        <v>483.53459927589336</v>
      </c>
      <c r="AU149" s="163">
        <f t="shared" si="209"/>
        <v>485.26079017690512</v>
      </c>
      <c r="AV149" s="163">
        <f t="shared" si="209"/>
        <v>487.04367031973919</v>
      </c>
      <c r="AW149" s="163">
        <f t="shared" si="209"/>
        <v>488.88568149098046</v>
      </c>
      <c r="AX149" s="162"/>
      <c r="AY149" s="162"/>
      <c r="AZ149" s="162"/>
      <c r="BA149" s="162"/>
      <c r="BB149" s="162"/>
      <c r="BC149" s="162"/>
      <c r="BD149" s="162"/>
      <c r="BE149" s="162"/>
      <c r="BF149" s="2">
        <f t="shared" si="192"/>
        <v>143</v>
      </c>
    </row>
    <row r="150" spans="1:58" ht="11.25" hidden="1" customHeight="1" outlineLevel="2">
      <c r="A150" s="11"/>
      <c r="B150" s="17" t="s">
        <v>149</v>
      </c>
      <c r="C150" s="63">
        <f>-C147/C144</f>
        <v>0.14509241105867951</v>
      </c>
      <c r="D150" s="161">
        <f t="shared" ref="D150:K150" si="210">IF(ISERROR(-D147/D144),"NM",-D147/D144)</f>
        <v>0.13744605171402896</v>
      </c>
      <c r="E150" s="161">
        <f t="shared" si="210"/>
        <v>0.13702497156885082</v>
      </c>
      <c r="F150" s="161">
        <f t="shared" si="210"/>
        <v>0.1855996278616765</v>
      </c>
      <c r="G150" s="161">
        <f t="shared" si="210"/>
        <v>0.23638337240103252</v>
      </c>
      <c r="H150" s="161">
        <f t="shared" si="210"/>
        <v>0.15768143874634749</v>
      </c>
      <c r="I150" s="161">
        <f t="shared" si="210"/>
        <v>0.14013517859383515</v>
      </c>
      <c r="J150" s="161">
        <f t="shared" si="210"/>
        <v>0.12310172022963493</v>
      </c>
      <c r="K150" s="161">
        <f t="shared" si="210"/>
        <v>0.12672366095971463</v>
      </c>
      <c r="L150" s="160"/>
      <c r="M150" s="3"/>
      <c r="N150" s="63">
        <f>-N147/N144</f>
        <v>0.15201528282430232</v>
      </c>
      <c r="O150" s="63">
        <f>-O147/O144</f>
        <v>0.1266923452468755</v>
      </c>
      <c r="P150" s="158">
        <f>-P147/P144</f>
        <v>0.13856306663332388</v>
      </c>
      <c r="Q150" s="158">
        <f>-Q147/Q144</f>
        <v>0.16536515688136696</v>
      </c>
      <c r="R150" s="158">
        <f t="shared" ref="R150:AW150" si="211">-R147/R144</f>
        <v>0.13224727185619461</v>
      </c>
      <c r="S150" s="158">
        <f t="shared" si="211"/>
        <v>0.1353498667342696</v>
      </c>
      <c r="T150" s="158">
        <f t="shared" si="211"/>
        <v>0.13284705308278963</v>
      </c>
      <c r="U150" s="158">
        <f t="shared" si="211"/>
        <v>0.14968036829232187</v>
      </c>
      <c r="V150" s="159">
        <f t="shared" si="211"/>
        <v>0.14689688699456763</v>
      </c>
      <c r="W150" s="159">
        <f t="shared" si="211"/>
        <v>0.13259242003987173</v>
      </c>
      <c r="X150" s="159">
        <f t="shared" si="211"/>
        <v>0.12808574836273165</v>
      </c>
      <c r="Y150" s="159">
        <f t="shared" si="211"/>
        <v>0.14146981315531817</v>
      </c>
      <c r="Z150" s="159">
        <f t="shared" si="211"/>
        <v>0.16458377624054901</v>
      </c>
      <c r="AA150" s="159">
        <f t="shared" si="211"/>
        <v>0.18241969430938229</v>
      </c>
      <c r="AB150" s="159">
        <f t="shared" si="211"/>
        <v>0.20483840930102629</v>
      </c>
      <c r="AC150" s="159">
        <f t="shared" si="211"/>
        <v>0.20468358066060316</v>
      </c>
      <c r="AD150" s="159">
        <f t="shared" si="211"/>
        <v>0.23032534317035916</v>
      </c>
      <c r="AE150" s="159">
        <f t="shared" si="211"/>
        <v>0.23225858966910021</v>
      </c>
      <c r="AF150" s="159">
        <f t="shared" si="211"/>
        <v>0.26589930262855388</v>
      </c>
      <c r="AG150" s="159">
        <f t="shared" si="211"/>
        <v>0.22042334192958596</v>
      </c>
      <c r="AH150" s="159">
        <f t="shared" si="211"/>
        <v>0.18829189696111098</v>
      </c>
      <c r="AI150" s="159">
        <f t="shared" si="211"/>
        <v>0.16318490090795373</v>
      </c>
      <c r="AJ150" s="159">
        <f t="shared" si="211"/>
        <v>0.14697181386837516</v>
      </c>
      <c r="AK150" s="159">
        <f>-AK147/AK144</f>
        <v>0.13868820202678642</v>
      </c>
      <c r="AL150" s="159">
        <f t="shared" si="211"/>
        <v>0.15880910823447089</v>
      </c>
      <c r="AM150" s="159">
        <f t="shared" si="211"/>
        <v>0.14711132729273349</v>
      </c>
      <c r="AN150" s="159">
        <f t="shared" si="211"/>
        <v>0.13313505030890105</v>
      </c>
      <c r="AO150" s="159">
        <f t="shared" si="211"/>
        <v>0.12641224677323715</v>
      </c>
      <c r="AP150" s="159">
        <f t="shared" si="211"/>
        <v>0.12386709115012068</v>
      </c>
      <c r="AQ150" s="159">
        <f t="shared" si="211"/>
        <v>0.12337115263634424</v>
      </c>
      <c r="AR150" s="159">
        <f t="shared" si="211"/>
        <v>0.12286876365496778</v>
      </c>
      <c r="AS150" s="159">
        <f t="shared" si="211"/>
        <v>0.12235986570413739</v>
      </c>
      <c r="AT150" s="159">
        <f t="shared" si="211"/>
        <v>0.12405540844681957</v>
      </c>
      <c r="AU150" s="159">
        <f t="shared" si="211"/>
        <v>0.1258193882922693</v>
      </c>
      <c r="AV150" s="159">
        <f t="shared" si="211"/>
        <v>0.12759295026893219</v>
      </c>
      <c r="AW150" s="159">
        <f t="shared" si="211"/>
        <v>0.12937541415199369</v>
      </c>
      <c r="AX150" s="158"/>
      <c r="AY150" s="158"/>
      <c r="AZ150" s="158"/>
      <c r="BA150" s="158"/>
      <c r="BB150" s="158"/>
      <c r="BC150" s="158"/>
      <c r="BD150" s="158"/>
      <c r="BE150" s="158"/>
      <c r="BF150" s="2">
        <f t="shared" si="192"/>
        <v>144</v>
      </c>
    </row>
    <row r="151" spans="1:58" ht="11.25" hidden="1" customHeight="1" outlineLevel="2">
      <c r="A151" s="11"/>
      <c r="B151" s="17" t="s">
        <v>148</v>
      </c>
      <c r="C151" s="45">
        <f t="shared" ref="C151:K151" si="212">+C149/C144</f>
        <v>0.58875502728943618</v>
      </c>
      <c r="D151" s="45">
        <f t="shared" si="212"/>
        <v>0.62754758204129213</v>
      </c>
      <c r="E151" s="45">
        <f t="shared" si="212"/>
        <v>0.60018869241293205</v>
      </c>
      <c r="F151" s="45">
        <f t="shared" si="212"/>
        <v>0.66108774142201177</v>
      </c>
      <c r="G151" s="45">
        <f t="shared" si="212"/>
        <v>0.73593200772112899</v>
      </c>
      <c r="H151" s="45">
        <f t="shared" si="212"/>
        <v>0.74633846226086886</v>
      </c>
      <c r="I151" s="45">
        <f t="shared" si="212"/>
        <v>0.69944242729203043</v>
      </c>
      <c r="J151" s="45">
        <f t="shared" si="212"/>
        <v>0.68821236489633042</v>
      </c>
      <c r="K151" s="45">
        <f t="shared" si="212"/>
        <v>0.682642716251879</v>
      </c>
      <c r="L151" s="55"/>
      <c r="M151" s="3"/>
      <c r="N151" s="45">
        <f>+N149/N144</f>
        <v>0.59556471256271737</v>
      </c>
      <c r="O151" s="45">
        <f>+O149/O144</f>
        <v>0.57208487926268325</v>
      </c>
      <c r="P151" s="45">
        <f>+P149/P144</f>
        <v>0.60068578791436544</v>
      </c>
      <c r="Q151" s="45">
        <f>+Q149/Q144</f>
        <v>0.58881287200391763</v>
      </c>
      <c r="R151" s="45">
        <f t="shared" ref="R151:AW151" si="213">+R149/R144</f>
        <v>0.62718641207807457</v>
      </c>
      <c r="S151" s="45">
        <f t="shared" si="213"/>
        <v>0.61862719483182471</v>
      </c>
      <c r="T151" s="45">
        <f t="shared" si="213"/>
        <v>0.63437698497831507</v>
      </c>
      <c r="U151" s="45">
        <f t="shared" si="213"/>
        <v>0.62988589710970666</v>
      </c>
      <c r="V151" s="157">
        <f t="shared" si="213"/>
        <v>0.61390046145816257</v>
      </c>
      <c r="W151" s="157">
        <f t="shared" si="213"/>
        <v>0.58714444107364705</v>
      </c>
      <c r="X151" s="157">
        <f t="shared" si="213"/>
        <v>0.5969201654885834</v>
      </c>
      <c r="Y151" s="157">
        <f t="shared" si="213"/>
        <v>0.60345096748247529</v>
      </c>
      <c r="Z151" s="157">
        <f t="shared" si="213"/>
        <v>0.63478388853456313</v>
      </c>
      <c r="AA151" s="157">
        <f t="shared" si="213"/>
        <v>0.65495706149828936</v>
      </c>
      <c r="AB151" s="157">
        <f t="shared" si="213"/>
        <v>0.6817205302329914</v>
      </c>
      <c r="AC151" s="157">
        <f t="shared" si="213"/>
        <v>0.69186979415988514</v>
      </c>
      <c r="AD151" s="157">
        <f t="shared" si="213"/>
        <v>0.67300118847925505</v>
      </c>
      <c r="AE151" s="157">
        <f t="shared" si="213"/>
        <v>0.70517387045254876</v>
      </c>
      <c r="AF151" s="157">
        <f t="shared" si="213"/>
        <v>0.77836156027281789</v>
      </c>
      <c r="AG151" s="157">
        <f t="shared" si="213"/>
        <v>0.80115287598259677</v>
      </c>
      <c r="AH151" s="157">
        <f t="shared" si="213"/>
        <v>0.80308577927649305</v>
      </c>
      <c r="AI151" s="157">
        <f t="shared" si="213"/>
        <v>0.74840661351123672</v>
      </c>
      <c r="AJ151" s="157">
        <f t="shared" si="213"/>
        <v>0.72778239982293502</v>
      </c>
      <c r="AK151" s="157">
        <f>+AK149/AK144</f>
        <v>0.71749929080582553</v>
      </c>
      <c r="AL151" s="157">
        <f t="shared" si="213"/>
        <v>0.71168352999400808</v>
      </c>
      <c r="AM151" s="157">
        <f t="shared" si="213"/>
        <v>0.70284681902580581</v>
      </c>
      <c r="AN151" s="157">
        <f t="shared" si="213"/>
        <v>0.69283663469566448</v>
      </c>
      <c r="AO151" s="157">
        <f t="shared" si="213"/>
        <v>0.69332744618604658</v>
      </c>
      <c r="AP151" s="157">
        <f t="shared" si="213"/>
        <v>0.69032735164152581</v>
      </c>
      <c r="AQ151" s="157">
        <f t="shared" si="213"/>
        <v>0.6889472241758019</v>
      </c>
      <c r="AR151" s="157">
        <f t="shared" si="213"/>
        <v>0.68756367992201073</v>
      </c>
      <c r="AS151" s="157">
        <f t="shared" si="213"/>
        <v>0.68617641426970155</v>
      </c>
      <c r="AT151" s="157">
        <f t="shared" si="213"/>
        <v>0.68483753132678926</v>
      </c>
      <c r="AU151" s="157">
        <f t="shared" si="213"/>
        <v>0.68338728383295</v>
      </c>
      <c r="AV151" s="157">
        <f t="shared" si="213"/>
        <v>0.68192801771361478</v>
      </c>
      <c r="AW151" s="157">
        <f t="shared" si="213"/>
        <v>0.68046039079740961</v>
      </c>
      <c r="AX151" s="156"/>
      <c r="AY151" s="156"/>
      <c r="AZ151" s="156"/>
      <c r="BA151" s="156"/>
      <c r="BB151" s="156"/>
      <c r="BC151" s="156"/>
      <c r="BD151" s="156"/>
      <c r="BE151" s="156"/>
      <c r="BF151" s="2">
        <f t="shared" si="192"/>
        <v>145</v>
      </c>
    </row>
    <row r="152" spans="1:58" ht="11.25" hidden="1" customHeight="1" outlineLevel="2">
      <c r="A152" s="11"/>
      <c r="B152" s="17"/>
      <c r="C152" s="3"/>
      <c r="D152" s="3"/>
      <c r="E152" s="3"/>
      <c r="F152" s="3"/>
      <c r="G152" s="3"/>
      <c r="H152" s="3"/>
      <c r="I152" s="3"/>
      <c r="J152" s="3"/>
      <c r="K152" s="3"/>
      <c r="L152" s="55"/>
      <c r="M152" s="3"/>
      <c r="N152" s="3"/>
      <c r="O152" s="3"/>
      <c r="P152" s="1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280"/>
      <c r="AC152" s="280"/>
      <c r="AD152" s="280"/>
      <c r="AE152" s="280"/>
      <c r="AF152" s="280"/>
      <c r="AG152" s="280"/>
      <c r="AH152" s="280"/>
      <c r="AI152" s="280"/>
      <c r="AJ152" s="280"/>
      <c r="AK152" s="280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5"/>
      <c r="AY152" s="5"/>
      <c r="AZ152" s="5"/>
      <c r="BA152" s="5"/>
      <c r="BB152" s="5"/>
      <c r="BC152" s="5"/>
      <c r="BD152" s="5"/>
      <c r="BE152" s="5"/>
      <c r="BF152" s="2">
        <f t="shared" si="192"/>
        <v>146</v>
      </c>
    </row>
    <row r="153" spans="1:58" ht="11.25" customHeight="1" outlineLevel="1" collapsed="1">
      <c r="A153" s="50" t="s">
        <v>5</v>
      </c>
      <c r="B153" s="155" t="s">
        <v>772</v>
      </c>
      <c r="C153" s="48"/>
      <c r="D153" s="48"/>
      <c r="E153" s="48"/>
      <c r="F153" s="48"/>
      <c r="G153" s="48"/>
      <c r="H153" s="48"/>
      <c r="I153" s="48"/>
      <c r="J153" s="48"/>
      <c r="K153" s="48"/>
      <c r="L153" s="49"/>
      <c r="M153" s="3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6"/>
      <c r="AF153" s="6"/>
      <c r="AG153" s="6"/>
      <c r="AH153" s="6"/>
      <c r="AI153" s="6"/>
      <c r="AJ153" s="6"/>
      <c r="AK153" s="6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5"/>
      <c r="AY153" s="5"/>
      <c r="AZ153" s="5"/>
      <c r="BA153" s="5"/>
      <c r="BB153" s="5"/>
      <c r="BC153" s="5"/>
      <c r="BD153" s="5"/>
      <c r="BE153" s="5"/>
      <c r="BF153" s="2">
        <f t="shared" si="192"/>
        <v>147</v>
      </c>
    </row>
    <row r="154" spans="1:58" ht="11.25" hidden="1" customHeight="1" outlineLevel="2">
      <c r="A154" s="50"/>
      <c r="B154" s="48" t="s">
        <v>147</v>
      </c>
      <c r="C154" s="152">
        <v>1854.0666666666668</v>
      </c>
      <c r="D154" s="152">
        <v>1686.5791666666667</v>
      </c>
      <c r="E154" s="152">
        <v>1790.8291666666664</v>
      </c>
      <c r="F154" s="152">
        <v>937.77500000000009</v>
      </c>
      <c r="G154" s="152">
        <v>484.89166666666665</v>
      </c>
      <c r="H154" s="152">
        <v>851.9</v>
      </c>
      <c r="I154" s="152">
        <v>1053.6538461538462</v>
      </c>
      <c r="J154" s="152">
        <v>1132.5</v>
      </c>
      <c r="K154" s="152">
        <v>1150</v>
      </c>
      <c r="L154" s="49"/>
      <c r="M154" s="3"/>
      <c r="N154" s="152">
        <v>1930.3</v>
      </c>
      <c r="O154" s="152">
        <v>1903.35</v>
      </c>
      <c r="P154" s="152">
        <v>1838.3166666666666</v>
      </c>
      <c r="Q154" s="152">
        <v>1744.2999999999997</v>
      </c>
      <c r="R154" s="152">
        <v>1689.0833333333335</v>
      </c>
      <c r="S154" s="152">
        <v>1687.6666666666667</v>
      </c>
      <c r="T154" s="152">
        <v>1688.6833333333332</v>
      </c>
      <c r="U154" s="152">
        <v>1680.8833333333332</v>
      </c>
      <c r="V154" s="152">
        <v>1707.4666666666665</v>
      </c>
      <c r="W154" s="152">
        <v>1782.15</v>
      </c>
      <c r="X154" s="152">
        <v>1829.8999999999999</v>
      </c>
      <c r="Y154" s="152">
        <v>1843.8</v>
      </c>
      <c r="Z154" s="152">
        <v>1323.7666666666669</v>
      </c>
      <c r="AA154" s="152">
        <v>874.48333333333335</v>
      </c>
      <c r="AB154" s="152">
        <v>829.58333333333337</v>
      </c>
      <c r="AC154" s="152">
        <v>723.26666666666688</v>
      </c>
      <c r="AD154" s="152">
        <v>526.04999999999995</v>
      </c>
      <c r="AE154" s="152">
        <v>393.73333333333335</v>
      </c>
      <c r="AF154" s="152">
        <v>457.90000000000003</v>
      </c>
      <c r="AG154" s="152">
        <v>561.88333333333321</v>
      </c>
      <c r="AH154" s="152">
        <v>715.55000000000018</v>
      </c>
      <c r="AI154" s="152">
        <v>867.88333333333321</v>
      </c>
      <c r="AJ154" s="152">
        <v>924.49999999999989</v>
      </c>
      <c r="AK154" s="152">
        <v>899.66666666666663</v>
      </c>
      <c r="AL154" s="152">
        <v>984.61538461538464</v>
      </c>
      <c r="AM154" s="152">
        <v>1045</v>
      </c>
      <c r="AN154" s="152">
        <v>1080</v>
      </c>
      <c r="AO154" s="152">
        <v>1105</v>
      </c>
      <c r="AP154" s="152">
        <v>1115</v>
      </c>
      <c r="AQ154" s="152">
        <v>1125</v>
      </c>
      <c r="AR154" s="152">
        <v>1140</v>
      </c>
      <c r="AS154" s="152">
        <v>1150</v>
      </c>
      <c r="AT154" s="152">
        <v>1150</v>
      </c>
      <c r="AU154" s="152">
        <v>1150</v>
      </c>
      <c r="AV154" s="152">
        <v>1150</v>
      </c>
      <c r="AW154" s="152">
        <v>1150</v>
      </c>
      <c r="AX154" s="151"/>
      <c r="AY154" s="151"/>
      <c r="AZ154" s="151"/>
      <c r="BA154" s="151"/>
      <c r="BB154" s="151"/>
      <c r="BC154" s="151"/>
      <c r="BD154" s="151"/>
      <c r="BE154" s="151"/>
      <c r="BF154" s="2">
        <f t="shared" si="192"/>
        <v>148</v>
      </c>
    </row>
    <row r="155" spans="1:58" ht="11.25" hidden="1" customHeight="1" outlineLevel="2">
      <c r="A155" s="50"/>
      <c r="B155" s="272" t="s">
        <v>256</v>
      </c>
      <c r="C155" s="13"/>
      <c r="D155" s="13">
        <f t="shared" ref="D155:K155" si="214">D154/C154-1</f>
        <v>-9.0335209089928536E-2</v>
      </c>
      <c r="E155" s="13">
        <f t="shared" si="214"/>
        <v>6.1811507019879919E-2</v>
      </c>
      <c r="F155" s="13">
        <f t="shared" si="214"/>
        <v>-0.47634591983694696</v>
      </c>
      <c r="G155" s="13">
        <f t="shared" si="214"/>
        <v>-0.4829338949463714</v>
      </c>
      <c r="H155" s="13">
        <f t="shared" si="214"/>
        <v>0.75688727722687199</v>
      </c>
      <c r="I155" s="13">
        <f t="shared" si="214"/>
        <v>0.23682808563663138</v>
      </c>
      <c r="J155" s="13">
        <f t="shared" si="214"/>
        <v>7.4831173571819676E-2</v>
      </c>
      <c r="K155" s="13">
        <f t="shared" si="214"/>
        <v>1.5452538631346657E-2</v>
      </c>
      <c r="L155" s="25"/>
      <c r="M155" s="3"/>
      <c r="N155" s="13"/>
      <c r="O155" s="13">
        <f>O154/N154-1</f>
        <v>-1.3961560379215698E-2</v>
      </c>
      <c r="P155" s="13">
        <f>P154/O154-1</f>
        <v>-3.4167826901690845E-2</v>
      </c>
      <c r="Q155" s="13">
        <f>Q154/P154-1</f>
        <v>-5.1142802745265281E-2</v>
      </c>
      <c r="R155" s="13">
        <f>R154/Q154-1</f>
        <v>-3.1655487397045379E-2</v>
      </c>
      <c r="S155" s="13">
        <f t="shared" ref="S155:AW155" si="215">S154/R154-1</f>
        <v>-8.3871922640488261E-4</v>
      </c>
      <c r="T155" s="13">
        <f t="shared" si="215"/>
        <v>6.0240963855417995E-4</v>
      </c>
      <c r="U155" s="13">
        <f t="shared" si="215"/>
        <v>-4.6189832315116641E-3</v>
      </c>
      <c r="V155" s="13">
        <f t="shared" si="215"/>
        <v>1.5815097220707397E-2</v>
      </c>
      <c r="W155" s="13">
        <f t="shared" si="215"/>
        <v>4.3739262845541305E-2</v>
      </c>
      <c r="X155" s="13">
        <f t="shared" si="215"/>
        <v>2.6793479785651941E-2</v>
      </c>
      <c r="Y155" s="13">
        <f t="shared" si="215"/>
        <v>7.5960434996449333E-3</v>
      </c>
      <c r="Z155" s="13">
        <f t="shared" si="215"/>
        <v>-0.28204432874136731</v>
      </c>
      <c r="AA155" s="13">
        <f t="shared" si="215"/>
        <v>-0.33939767834210466</v>
      </c>
      <c r="AB155" s="13">
        <f t="shared" si="215"/>
        <v>-5.1344603480150131E-2</v>
      </c>
      <c r="AC155" s="13">
        <f t="shared" si="215"/>
        <v>-0.12815670517327959</v>
      </c>
      <c r="AD155" s="13">
        <f t="shared" si="215"/>
        <v>-0.27267490091252677</v>
      </c>
      <c r="AE155" s="13">
        <f t="shared" si="215"/>
        <v>-0.25152868865443712</v>
      </c>
      <c r="AF155" s="13">
        <f t="shared" si="215"/>
        <v>0.16296986115814427</v>
      </c>
      <c r="AG155" s="13">
        <f t="shared" si="215"/>
        <v>0.22708742811385285</v>
      </c>
      <c r="AH155" s="13">
        <f t="shared" si="215"/>
        <v>0.27348500578411938</v>
      </c>
      <c r="AI155" s="13">
        <f t="shared" si="215"/>
        <v>0.21288985162928231</v>
      </c>
      <c r="AJ155" s="13">
        <f t="shared" si="215"/>
        <v>6.523534269199005E-2</v>
      </c>
      <c r="AK155" s="13">
        <f t="shared" si="215"/>
        <v>-2.6861366504416728E-2</v>
      </c>
      <c r="AL155" s="13">
        <f t="shared" si="215"/>
        <v>9.4422435659931025E-2</v>
      </c>
      <c r="AM155" s="13">
        <f t="shared" si="215"/>
        <v>6.1328124999999956E-2</v>
      </c>
      <c r="AN155" s="13">
        <f t="shared" si="215"/>
        <v>3.3492822966507241E-2</v>
      </c>
      <c r="AO155" s="13">
        <f t="shared" si="215"/>
        <v>2.314814814814814E-2</v>
      </c>
      <c r="AP155" s="13">
        <f t="shared" si="215"/>
        <v>9.0497737556560764E-3</v>
      </c>
      <c r="AQ155" s="13">
        <f t="shared" si="215"/>
        <v>8.9686098654708779E-3</v>
      </c>
      <c r="AR155" s="13">
        <f t="shared" si="215"/>
        <v>1.3333333333333419E-2</v>
      </c>
      <c r="AS155" s="13">
        <f t="shared" si="215"/>
        <v>8.7719298245614308E-3</v>
      </c>
      <c r="AT155" s="13">
        <f t="shared" si="215"/>
        <v>0</v>
      </c>
      <c r="AU155" s="13">
        <f t="shared" si="215"/>
        <v>0</v>
      </c>
      <c r="AV155" s="13">
        <f t="shared" si="215"/>
        <v>0</v>
      </c>
      <c r="AW155" s="13">
        <f t="shared" si="215"/>
        <v>0</v>
      </c>
      <c r="AX155" s="63"/>
      <c r="AY155" s="63"/>
      <c r="AZ155" s="63"/>
      <c r="BA155" s="63"/>
      <c r="BB155" s="63"/>
      <c r="BC155" s="63"/>
      <c r="BD155" s="63"/>
      <c r="BE155" s="63"/>
      <c r="BF155" s="2">
        <f t="shared" si="192"/>
        <v>149</v>
      </c>
    </row>
    <row r="156" spans="1:58" ht="11.25" hidden="1" customHeight="1" outlineLevel="2">
      <c r="A156" s="50"/>
      <c r="B156" s="48" t="s">
        <v>146</v>
      </c>
      <c r="C156" s="152">
        <v>45.733333333333327</v>
      </c>
      <c r="D156" s="152">
        <v>53.908333333333331</v>
      </c>
      <c r="E156" s="152">
        <v>55.324999999999996</v>
      </c>
      <c r="F156" s="152">
        <v>34.475000000000001</v>
      </c>
      <c r="G156" s="152">
        <v>22.170833333333334</v>
      </c>
      <c r="H156" s="152">
        <v>19.916666666666664</v>
      </c>
      <c r="I156" s="152">
        <v>19.75</v>
      </c>
      <c r="J156" s="152">
        <v>21.75</v>
      </c>
      <c r="K156" s="152">
        <v>23.75</v>
      </c>
      <c r="L156" s="154"/>
      <c r="M156" s="153"/>
      <c r="N156" s="152">
        <v>42.4</v>
      </c>
      <c r="O156" s="152">
        <v>45.383333333333333</v>
      </c>
      <c r="P156" s="152">
        <v>48.416666666666664</v>
      </c>
      <c r="Q156" s="152">
        <v>46.733333333333327</v>
      </c>
      <c r="R156" s="152">
        <v>49.949999999999996</v>
      </c>
      <c r="S156" s="152">
        <v>49.433333333333337</v>
      </c>
      <c r="T156" s="152">
        <v>58.433333333333337</v>
      </c>
      <c r="U156" s="152">
        <v>57.816666666666663</v>
      </c>
      <c r="V156" s="152">
        <v>53.883333333333333</v>
      </c>
      <c r="W156" s="152">
        <v>54.366666666666667</v>
      </c>
      <c r="X156" s="152">
        <v>58.949999999999996</v>
      </c>
      <c r="Y156" s="152">
        <v>54.1</v>
      </c>
      <c r="Z156" s="152">
        <v>47.5</v>
      </c>
      <c r="AA156" s="152">
        <v>30.133333333333336</v>
      </c>
      <c r="AB156" s="152">
        <v>31.316666666666666</v>
      </c>
      <c r="AC156" s="152">
        <v>28.95</v>
      </c>
      <c r="AD156" s="152">
        <v>26.166666666666668</v>
      </c>
      <c r="AE156" s="152">
        <v>22.516666666666666</v>
      </c>
      <c r="AF156" s="152">
        <v>17.95</v>
      </c>
      <c r="AG156" s="152">
        <v>22.05</v>
      </c>
      <c r="AH156" s="152">
        <v>20.216666666666665</v>
      </c>
      <c r="AI156" s="152">
        <v>20.8</v>
      </c>
      <c r="AJ156" s="152">
        <v>18.833333333333332</v>
      </c>
      <c r="AK156" s="152">
        <v>19.816666666666666</v>
      </c>
      <c r="AL156" s="152">
        <v>19</v>
      </c>
      <c r="AM156" s="152">
        <v>19.5</v>
      </c>
      <c r="AN156" s="152">
        <v>20</v>
      </c>
      <c r="AO156" s="152">
        <v>20.5</v>
      </c>
      <c r="AP156" s="152">
        <v>21</v>
      </c>
      <c r="AQ156" s="152">
        <v>21.5</v>
      </c>
      <c r="AR156" s="152">
        <v>22</v>
      </c>
      <c r="AS156" s="152">
        <v>22.5</v>
      </c>
      <c r="AT156" s="152">
        <v>23</v>
      </c>
      <c r="AU156" s="152">
        <v>23.5</v>
      </c>
      <c r="AV156" s="152">
        <v>24</v>
      </c>
      <c r="AW156" s="152">
        <v>24.5</v>
      </c>
      <c r="AX156" s="151"/>
      <c r="AY156" s="151"/>
      <c r="AZ156" s="151"/>
      <c r="BA156" s="151"/>
      <c r="BB156" s="151"/>
      <c r="BC156" s="151"/>
      <c r="BD156" s="151"/>
      <c r="BE156" s="151"/>
      <c r="BF156" s="2">
        <f t="shared" si="192"/>
        <v>150</v>
      </c>
    </row>
    <row r="157" spans="1:58" ht="11.25" hidden="1" customHeight="1" outlineLevel="2">
      <c r="A157" s="50"/>
      <c r="B157" s="272" t="s">
        <v>256</v>
      </c>
      <c r="C157" s="16"/>
      <c r="D157" s="16">
        <f t="shared" ref="D157:K157" si="216">IF(ISERROR(D156/C156-1),"NM",D156/C156-1)</f>
        <v>0.17875364431486895</v>
      </c>
      <c r="E157" s="16">
        <f t="shared" si="216"/>
        <v>2.6279177616324034E-2</v>
      </c>
      <c r="F157" s="16">
        <f t="shared" si="216"/>
        <v>-0.3768639855399909</v>
      </c>
      <c r="G157" s="16">
        <f t="shared" si="216"/>
        <v>-0.35690113608895335</v>
      </c>
      <c r="H157" s="16">
        <f t="shared" si="216"/>
        <v>-0.10167261792896087</v>
      </c>
      <c r="I157" s="16">
        <f t="shared" si="216"/>
        <v>-8.3682008368199945E-3</v>
      </c>
      <c r="J157" s="16">
        <f t="shared" si="216"/>
        <v>0.10126582278481022</v>
      </c>
      <c r="K157" s="16">
        <f t="shared" si="216"/>
        <v>9.1954022988505857E-2</v>
      </c>
      <c r="L157" s="15"/>
      <c r="M157" s="3"/>
      <c r="N157" s="13"/>
      <c r="O157" s="13">
        <f>O156/N156-1</f>
        <v>7.0361635220125729E-2</v>
      </c>
      <c r="P157" s="13">
        <f>P156/O156-1</f>
        <v>6.6838046272493568E-2</v>
      </c>
      <c r="Q157" s="13">
        <f>Q156/P156-1</f>
        <v>-3.4767641996557686E-2</v>
      </c>
      <c r="R157" s="13">
        <f>R156/Q156-1</f>
        <v>6.8830242510699025E-2</v>
      </c>
      <c r="S157" s="13">
        <f t="shared" ref="S157:AW157" si="217">S156/R156-1</f>
        <v>-1.0343677010343555E-2</v>
      </c>
      <c r="T157" s="13">
        <f t="shared" si="217"/>
        <v>0.18206338503034392</v>
      </c>
      <c r="U157" s="13">
        <f t="shared" si="217"/>
        <v>-1.0553337136337881E-2</v>
      </c>
      <c r="V157" s="13">
        <f t="shared" si="217"/>
        <v>-6.8031132891323121E-2</v>
      </c>
      <c r="W157" s="13">
        <f t="shared" si="217"/>
        <v>8.9699969068977037E-3</v>
      </c>
      <c r="X157" s="13">
        <f t="shared" si="217"/>
        <v>8.430410790925813E-2</v>
      </c>
      <c r="Y157" s="13">
        <f t="shared" si="217"/>
        <v>-8.2273112807463855E-2</v>
      </c>
      <c r="Z157" s="13">
        <f t="shared" si="217"/>
        <v>-0.12199630314232901</v>
      </c>
      <c r="AA157" s="13">
        <f t="shared" si="217"/>
        <v>-0.36561403508771928</v>
      </c>
      <c r="AB157" s="13">
        <f t="shared" si="217"/>
        <v>3.9269911504424604E-2</v>
      </c>
      <c r="AC157" s="13">
        <f t="shared" si="217"/>
        <v>-7.5572112825971316E-2</v>
      </c>
      <c r="AD157" s="13">
        <f t="shared" si="217"/>
        <v>-9.6142774899251493E-2</v>
      </c>
      <c r="AE157" s="13">
        <f t="shared" si="217"/>
        <v>-0.13949044585987269</v>
      </c>
      <c r="AF157" s="13">
        <f t="shared" si="217"/>
        <v>-0.20281273131014066</v>
      </c>
      <c r="AG157" s="13">
        <f t="shared" si="217"/>
        <v>0.22841225626740957</v>
      </c>
      <c r="AH157" s="13">
        <f t="shared" si="217"/>
        <v>-8.3144368858654727E-2</v>
      </c>
      <c r="AI157" s="13">
        <f t="shared" si="217"/>
        <v>2.8854080791426373E-2</v>
      </c>
      <c r="AJ157" s="13">
        <f t="shared" si="217"/>
        <v>-9.4551282051282159E-2</v>
      </c>
      <c r="AK157" s="13">
        <f t="shared" si="217"/>
        <v>5.2212389380531077E-2</v>
      </c>
      <c r="AL157" s="13">
        <f t="shared" si="217"/>
        <v>-4.1211101766190028E-2</v>
      </c>
      <c r="AM157" s="13">
        <f t="shared" si="217"/>
        <v>2.6315789473684292E-2</v>
      </c>
      <c r="AN157" s="13">
        <f t="shared" si="217"/>
        <v>2.564102564102555E-2</v>
      </c>
      <c r="AO157" s="13">
        <f t="shared" si="217"/>
        <v>2.4999999999999911E-2</v>
      </c>
      <c r="AP157" s="13">
        <f t="shared" si="217"/>
        <v>2.4390243902439046E-2</v>
      </c>
      <c r="AQ157" s="13">
        <f t="shared" si="217"/>
        <v>2.3809523809523725E-2</v>
      </c>
      <c r="AR157" s="13">
        <f t="shared" si="217"/>
        <v>2.3255813953488413E-2</v>
      </c>
      <c r="AS157" s="13">
        <f t="shared" si="217"/>
        <v>2.2727272727272707E-2</v>
      </c>
      <c r="AT157" s="13">
        <f t="shared" si="217"/>
        <v>2.2222222222222143E-2</v>
      </c>
      <c r="AU157" s="13">
        <f t="shared" si="217"/>
        <v>2.1739130434782705E-2</v>
      </c>
      <c r="AV157" s="13">
        <f t="shared" si="217"/>
        <v>2.1276595744680771E-2</v>
      </c>
      <c r="AW157" s="13">
        <f t="shared" si="217"/>
        <v>2.0833333333333259E-2</v>
      </c>
      <c r="AX157" s="63"/>
      <c r="AY157" s="63"/>
      <c r="AZ157" s="63"/>
      <c r="BA157" s="63"/>
      <c r="BB157" s="63"/>
      <c r="BC157" s="63"/>
      <c r="BD157" s="63"/>
      <c r="BE157" s="63"/>
      <c r="BF157" s="2">
        <f t="shared" si="192"/>
        <v>151</v>
      </c>
    </row>
    <row r="158" spans="1:58" ht="11.25" hidden="1" customHeight="1" outlineLevel="2">
      <c r="A158" s="50"/>
      <c r="B158" s="48" t="s">
        <v>145</v>
      </c>
      <c r="C158" s="152">
        <v>1234.4166666666665</v>
      </c>
      <c r="D158" s="152">
        <v>1296.3333333333335</v>
      </c>
      <c r="E158" s="152">
        <v>1336.75</v>
      </c>
      <c r="F158" s="152">
        <v>1166.6666666666667</v>
      </c>
      <c r="G158" s="152">
        <v>954.91666666666663</v>
      </c>
      <c r="H158" s="152">
        <v>948.25</v>
      </c>
      <c r="I158" s="152">
        <v>983</v>
      </c>
      <c r="J158" s="152">
        <v>1030.5</v>
      </c>
      <c r="K158" s="152">
        <v>1078.25</v>
      </c>
      <c r="L158" s="154"/>
      <c r="M158" s="153"/>
      <c r="N158" s="152">
        <v>1189</v>
      </c>
      <c r="O158" s="152">
        <v>1229.3333333333335</v>
      </c>
      <c r="P158" s="152">
        <v>1259.6666666666665</v>
      </c>
      <c r="Q158" s="152">
        <v>1259.6666666666665</v>
      </c>
      <c r="R158" s="152">
        <v>1274</v>
      </c>
      <c r="S158" s="152">
        <v>1305.6666666666667</v>
      </c>
      <c r="T158" s="152">
        <v>1285.3333333333333</v>
      </c>
      <c r="U158" s="152">
        <v>1320.3333333333335</v>
      </c>
      <c r="V158" s="152">
        <v>1337</v>
      </c>
      <c r="W158" s="152">
        <v>1347.6666666666665</v>
      </c>
      <c r="X158" s="152">
        <v>1348</v>
      </c>
      <c r="Y158" s="152">
        <v>1314.3333333333333</v>
      </c>
      <c r="Z158" s="152">
        <v>1261.3333333333335</v>
      </c>
      <c r="AA158" s="152">
        <v>1168.6666666666667</v>
      </c>
      <c r="AB158" s="152">
        <v>1131.6666666666667</v>
      </c>
      <c r="AC158" s="152">
        <v>1105</v>
      </c>
      <c r="AD158" s="152">
        <v>1015.9999999999999</v>
      </c>
      <c r="AE158" s="152">
        <v>942.66666666666663</v>
      </c>
      <c r="AF158" s="152">
        <v>936.33333333333326</v>
      </c>
      <c r="AG158" s="152">
        <v>924.66666666666663</v>
      </c>
      <c r="AH158" s="152">
        <v>939</v>
      </c>
      <c r="AI158" s="152">
        <v>957.66666666666663</v>
      </c>
      <c r="AJ158" s="152">
        <v>947.33333333333337</v>
      </c>
      <c r="AK158" s="152">
        <v>949</v>
      </c>
      <c r="AL158" s="152">
        <v>960</v>
      </c>
      <c r="AM158" s="152">
        <v>974.5</v>
      </c>
      <c r="AN158" s="152">
        <v>991</v>
      </c>
      <c r="AO158" s="152">
        <v>1006.5</v>
      </c>
      <c r="AP158" s="152">
        <v>1014.5</v>
      </c>
      <c r="AQ158" s="152">
        <v>1023.5</v>
      </c>
      <c r="AR158" s="152">
        <v>1035.5</v>
      </c>
      <c r="AS158" s="152">
        <v>1048.5</v>
      </c>
      <c r="AT158" s="152">
        <v>1059.5</v>
      </c>
      <c r="AU158" s="152">
        <v>1071.5</v>
      </c>
      <c r="AV158" s="152">
        <v>1084.5</v>
      </c>
      <c r="AW158" s="152">
        <v>1097.5</v>
      </c>
      <c r="AX158" s="151"/>
      <c r="AY158" s="151"/>
      <c r="AZ158" s="151"/>
      <c r="BA158" s="151"/>
      <c r="BB158" s="151"/>
      <c r="BC158" s="151"/>
      <c r="BD158" s="151"/>
      <c r="BE158" s="151"/>
      <c r="BF158" s="2">
        <f t="shared" si="192"/>
        <v>152</v>
      </c>
    </row>
    <row r="159" spans="1:58" ht="11.25" hidden="1" customHeight="1" outlineLevel="2">
      <c r="A159" s="50"/>
      <c r="B159" s="272" t="s">
        <v>256</v>
      </c>
      <c r="C159" s="16"/>
      <c r="D159" s="16">
        <f t="shared" ref="D159:K159" si="218">IF(ISERROR(D158/C158-1),"NM",D158/C158-1)</f>
        <v>5.0158644433943467E-2</v>
      </c>
      <c r="E159" s="16">
        <f t="shared" si="218"/>
        <v>3.1177680637695993E-2</v>
      </c>
      <c r="F159" s="16">
        <f t="shared" si="218"/>
        <v>-0.1272364565800137</v>
      </c>
      <c r="G159" s="16">
        <f t="shared" si="218"/>
        <v>-0.18150000000000011</v>
      </c>
      <c r="H159" s="16">
        <f t="shared" si="218"/>
        <v>-6.9814119905750038E-3</v>
      </c>
      <c r="I159" s="16">
        <f t="shared" si="218"/>
        <v>3.6646453994199746E-2</v>
      </c>
      <c r="J159" s="16">
        <f t="shared" si="218"/>
        <v>4.8321464903356981E-2</v>
      </c>
      <c r="K159" s="16">
        <f t="shared" si="218"/>
        <v>4.6336729742843197E-2</v>
      </c>
      <c r="L159" s="15"/>
      <c r="M159" s="3"/>
      <c r="N159" s="13"/>
      <c r="O159" s="13">
        <f>O158/N158-1</f>
        <v>3.3922063358564847E-2</v>
      </c>
      <c r="P159" s="13">
        <f>P158/O158-1</f>
        <v>2.4674620390455315E-2</v>
      </c>
      <c r="Q159" s="13">
        <f>Q158/P158-1</f>
        <v>0</v>
      </c>
      <c r="R159" s="13">
        <f>R158/Q158-1</f>
        <v>1.1378671606245172E-2</v>
      </c>
      <c r="S159" s="13">
        <f t="shared" ref="S159:AW159" si="219">S158/R158-1</f>
        <v>2.4856096284667784E-2</v>
      </c>
      <c r="T159" s="13">
        <f t="shared" si="219"/>
        <v>-1.5573142711258758E-2</v>
      </c>
      <c r="U159" s="13">
        <f t="shared" si="219"/>
        <v>2.7230290456431661E-2</v>
      </c>
      <c r="V159" s="13">
        <f t="shared" si="219"/>
        <v>1.2623074981065185E-2</v>
      </c>
      <c r="W159" s="13">
        <f t="shared" si="219"/>
        <v>7.9780603340811052E-3</v>
      </c>
      <c r="X159" s="13">
        <f t="shared" si="219"/>
        <v>2.4734108335411342E-4</v>
      </c>
      <c r="Y159" s="13">
        <f t="shared" si="219"/>
        <v>-2.4975272007913052E-2</v>
      </c>
      <c r="Z159" s="13">
        <f t="shared" si="219"/>
        <v>-4.0324625919350598E-2</v>
      </c>
      <c r="AA159" s="13">
        <f t="shared" si="219"/>
        <v>-7.3467230443974629E-2</v>
      </c>
      <c r="AB159" s="13">
        <f t="shared" si="219"/>
        <v>-3.1660011409013089E-2</v>
      </c>
      <c r="AC159" s="13">
        <f t="shared" si="219"/>
        <v>-2.3564064801178231E-2</v>
      </c>
      <c r="AD159" s="13">
        <f t="shared" si="219"/>
        <v>-8.0542986425339524E-2</v>
      </c>
      <c r="AE159" s="13">
        <f t="shared" si="219"/>
        <v>-7.2178477690288623E-2</v>
      </c>
      <c r="AF159" s="13">
        <f t="shared" si="219"/>
        <v>-6.7185289957567562E-3</v>
      </c>
      <c r="AG159" s="13">
        <f t="shared" si="219"/>
        <v>-1.2459950160199296E-2</v>
      </c>
      <c r="AH159" s="13">
        <f t="shared" si="219"/>
        <v>1.5501081470800315E-2</v>
      </c>
      <c r="AI159" s="13">
        <f t="shared" si="219"/>
        <v>1.9879304224352135E-2</v>
      </c>
      <c r="AJ159" s="13">
        <f t="shared" si="219"/>
        <v>-1.0790114862513023E-2</v>
      </c>
      <c r="AK159" s="13">
        <f t="shared" si="219"/>
        <v>1.7593244194229474E-3</v>
      </c>
      <c r="AL159" s="13">
        <f t="shared" si="219"/>
        <v>1.1591148577450028E-2</v>
      </c>
      <c r="AM159" s="13">
        <f t="shared" si="219"/>
        <v>1.5104166666666696E-2</v>
      </c>
      <c r="AN159" s="13">
        <f t="shared" si="219"/>
        <v>1.6931759876859909E-2</v>
      </c>
      <c r="AO159" s="13">
        <f t="shared" si="219"/>
        <v>1.5640766902119019E-2</v>
      </c>
      <c r="AP159" s="13">
        <f t="shared" si="219"/>
        <v>7.9483358171883456E-3</v>
      </c>
      <c r="AQ159" s="13">
        <f t="shared" si="219"/>
        <v>8.8713652045342428E-3</v>
      </c>
      <c r="AR159" s="13">
        <f t="shared" si="219"/>
        <v>1.172447484123107E-2</v>
      </c>
      <c r="AS159" s="13">
        <f t="shared" si="219"/>
        <v>1.2554321583776007E-2</v>
      </c>
      <c r="AT159" s="13">
        <f t="shared" si="219"/>
        <v>1.0491177873152013E-2</v>
      </c>
      <c r="AU159" s="13">
        <f t="shared" si="219"/>
        <v>1.1326097215667685E-2</v>
      </c>
      <c r="AV159" s="13">
        <f t="shared" si="219"/>
        <v>1.213252449836677E-2</v>
      </c>
      <c r="AW159" s="13">
        <f t="shared" si="219"/>
        <v>1.1987090825265057E-2</v>
      </c>
      <c r="AX159" s="63"/>
      <c r="AY159" s="63"/>
      <c r="AZ159" s="63"/>
      <c r="BA159" s="63"/>
      <c r="BB159" s="63"/>
      <c r="BC159" s="63"/>
      <c r="BD159" s="63"/>
      <c r="BE159" s="63"/>
      <c r="BF159" s="2">
        <f t="shared" si="192"/>
        <v>153</v>
      </c>
    </row>
    <row r="160" spans="1:58" ht="11.25" hidden="1" customHeight="1" outlineLevel="2">
      <c r="A160" s="50"/>
      <c r="B160" s="175" t="s">
        <v>261</v>
      </c>
      <c r="C160" s="16"/>
      <c r="D160" s="16"/>
      <c r="E160" s="16"/>
      <c r="F160" s="302">
        <f t="shared" ref="F160:K160" si="220">AVERAGEIFS($N160:$AX160,$N$4:$AX$4,F$4)</f>
        <v>46.094999999999999</v>
      </c>
      <c r="G160" s="302">
        <f t="shared" si="220"/>
        <v>33.347499999999997</v>
      </c>
      <c r="H160" s="302">
        <f t="shared" si="220"/>
        <v>20.892499999999998</v>
      </c>
      <c r="I160" s="302">
        <f t="shared" si="220"/>
        <v>19.443333333333335</v>
      </c>
      <c r="J160" s="302">
        <f t="shared" si="220"/>
        <v>20</v>
      </c>
      <c r="K160" s="302">
        <f t="shared" si="220"/>
        <v>21.010989010989011</v>
      </c>
      <c r="L160" s="15"/>
      <c r="M160" s="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287">
        <v>46.12</v>
      </c>
      <c r="AA160" s="287">
        <v>45.4</v>
      </c>
      <c r="AB160" s="287">
        <v>47.26</v>
      </c>
      <c r="AC160" s="287">
        <v>45.6</v>
      </c>
      <c r="AD160" s="287">
        <v>40.19</v>
      </c>
      <c r="AE160" s="287">
        <v>35.049999999999997</v>
      </c>
      <c r="AF160" s="287">
        <v>30.5</v>
      </c>
      <c r="AG160" s="287">
        <v>27.65</v>
      </c>
      <c r="AH160" s="287">
        <v>24.86</v>
      </c>
      <c r="AI160" s="287">
        <v>21.14</v>
      </c>
      <c r="AJ160" s="287">
        <v>19</v>
      </c>
      <c r="AK160" s="287">
        <v>18.57</v>
      </c>
      <c r="AL160" s="287">
        <v>18.273333333333333</v>
      </c>
      <c r="AM160" s="287">
        <v>19.5</v>
      </c>
      <c r="AN160" s="287">
        <v>20</v>
      </c>
      <c r="AO160" s="287">
        <v>20</v>
      </c>
      <c r="AP160" s="287">
        <v>20</v>
      </c>
      <c r="AQ160" s="287">
        <v>20</v>
      </c>
      <c r="AR160" s="287">
        <v>20</v>
      </c>
      <c r="AS160" s="287">
        <v>20</v>
      </c>
      <c r="AT160" s="287">
        <v>21</v>
      </c>
      <c r="AU160" s="287">
        <v>21.043956043956044</v>
      </c>
      <c r="AV160" s="287">
        <v>21</v>
      </c>
      <c r="AW160" s="287">
        <v>21</v>
      </c>
      <c r="AX160" s="63"/>
      <c r="AY160" s="63"/>
      <c r="AZ160" s="63"/>
      <c r="BA160" s="63"/>
      <c r="BB160" s="63"/>
      <c r="BC160" s="63"/>
      <c r="BD160" s="63"/>
      <c r="BE160" s="63"/>
      <c r="BF160" s="2">
        <f t="shared" si="192"/>
        <v>154</v>
      </c>
    </row>
    <row r="161" spans="1:58" ht="11.25" hidden="1" customHeight="1" outlineLevel="2">
      <c r="A161" s="50"/>
      <c r="B161" s="272" t="s">
        <v>256</v>
      </c>
      <c r="C161" s="16"/>
      <c r="D161" s="16"/>
      <c r="E161" s="16"/>
      <c r="F161" s="16" t="str">
        <f t="shared" ref="F161:K161" si="221">IF(ISERROR(F160/E160-1),"NM",F160/E160-1)</f>
        <v>NM</v>
      </c>
      <c r="G161" s="16">
        <f t="shared" si="221"/>
        <v>-0.27654843258487916</v>
      </c>
      <c r="H161" s="16">
        <f t="shared" si="221"/>
        <v>-0.37349126621185991</v>
      </c>
      <c r="I161" s="16">
        <f t="shared" si="221"/>
        <v>-6.9363009054285718E-2</v>
      </c>
      <c r="J161" s="16">
        <f t="shared" si="221"/>
        <v>2.8630207440424993E-2</v>
      </c>
      <c r="K161" s="16">
        <f t="shared" si="221"/>
        <v>5.0549450549450592E-2</v>
      </c>
      <c r="L161" s="15"/>
      <c r="M161" s="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>
        <f t="shared" ref="AA161:AW161" si="222">AA160/Z160-1</f>
        <v>-1.5611448395490002E-2</v>
      </c>
      <c r="AB161" s="13">
        <f t="shared" si="222"/>
        <v>4.096916299559461E-2</v>
      </c>
      <c r="AC161" s="13">
        <f t="shared" si="222"/>
        <v>-3.5124841303427745E-2</v>
      </c>
      <c r="AD161" s="13">
        <f t="shared" si="222"/>
        <v>-0.11864035087719305</v>
      </c>
      <c r="AE161" s="13">
        <f t="shared" si="222"/>
        <v>-0.12789251057476991</v>
      </c>
      <c r="AF161" s="13">
        <f t="shared" si="222"/>
        <v>-0.12981455064194003</v>
      </c>
      <c r="AG161" s="13">
        <f t="shared" si="222"/>
        <v>-9.3442622950819731E-2</v>
      </c>
      <c r="AH161" s="13">
        <f t="shared" si="222"/>
        <v>-0.10090415913200723</v>
      </c>
      <c r="AI161" s="13">
        <f t="shared" si="222"/>
        <v>-0.14963797264682221</v>
      </c>
      <c r="AJ161" s="13">
        <f t="shared" si="222"/>
        <v>-0.1012298959318827</v>
      </c>
      <c r="AK161" s="13">
        <f t="shared" si="222"/>
        <v>-2.2631578947368447E-2</v>
      </c>
      <c r="AL161" s="13">
        <f t="shared" si="222"/>
        <v>-1.5975587865733276E-2</v>
      </c>
      <c r="AM161" s="13">
        <f t="shared" si="222"/>
        <v>6.7128785114921596E-2</v>
      </c>
      <c r="AN161" s="13">
        <f t="shared" si="222"/>
        <v>2.564102564102555E-2</v>
      </c>
      <c r="AO161" s="13">
        <f t="shared" si="222"/>
        <v>0</v>
      </c>
      <c r="AP161" s="13">
        <f t="shared" si="222"/>
        <v>0</v>
      </c>
      <c r="AQ161" s="13">
        <f t="shared" si="222"/>
        <v>0</v>
      </c>
      <c r="AR161" s="13">
        <f t="shared" si="222"/>
        <v>0</v>
      </c>
      <c r="AS161" s="13">
        <f t="shared" si="222"/>
        <v>0</v>
      </c>
      <c r="AT161" s="13">
        <f t="shared" si="222"/>
        <v>5.0000000000000044E-2</v>
      </c>
      <c r="AU161" s="13">
        <f t="shared" si="222"/>
        <v>2.0931449502878952E-3</v>
      </c>
      <c r="AV161" s="13">
        <f t="shared" si="222"/>
        <v>-2.0887728459529908E-3</v>
      </c>
      <c r="AW161" s="13">
        <f t="shared" si="222"/>
        <v>0</v>
      </c>
      <c r="AX161" s="63"/>
      <c r="AY161" s="63"/>
      <c r="AZ161" s="63"/>
      <c r="BA161" s="63"/>
      <c r="BB161" s="63"/>
      <c r="BC161" s="63"/>
      <c r="BD161" s="63"/>
      <c r="BE161" s="63"/>
      <c r="BF161" s="2">
        <f t="shared" si="192"/>
        <v>155</v>
      </c>
    </row>
    <row r="162" spans="1:58" ht="11.25" hidden="1" customHeight="1" outlineLevel="2">
      <c r="A162" s="50"/>
      <c r="B162" s="175" t="s">
        <v>262</v>
      </c>
      <c r="C162" s="16"/>
      <c r="D162" s="16"/>
      <c r="E162" s="16"/>
      <c r="F162" s="302">
        <f t="shared" ref="F162:K162" si="223">AVERAGEIFS($N162:$AX162,$N$4:$AX$4,F$4)</f>
        <v>179.83249999999998</v>
      </c>
      <c r="G162" s="302">
        <f t="shared" si="223"/>
        <v>127.73000000000002</v>
      </c>
      <c r="H162" s="302">
        <f t="shared" si="223"/>
        <v>112.32499999999999</v>
      </c>
      <c r="I162" s="302">
        <f t="shared" si="223"/>
        <v>120.47357799808887</v>
      </c>
      <c r="J162" s="302">
        <f t="shared" si="223"/>
        <v>134.54545130594042</v>
      </c>
      <c r="K162" s="302">
        <f t="shared" si="223"/>
        <v>149.47147396082178</v>
      </c>
      <c r="L162" s="15"/>
      <c r="M162" s="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287">
        <v>202.92000000000002</v>
      </c>
      <c r="AA162" s="287">
        <v>187.02999999999997</v>
      </c>
      <c r="AB162" s="287">
        <v>172.09000000000003</v>
      </c>
      <c r="AC162" s="287">
        <v>157.29</v>
      </c>
      <c r="AD162" s="287">
        <v>138.84999999999997</v>
      </c>
      <c r="AE162" s="287">
        <v>129.82000000000005</v>
      </c>
      <c r="AF162" s="287">
        <v>125.91</v>
      </c>
      <c r="AG162" s="287">
        <v>116.34</v>
      </c>
      <c r="AH162" s="287">
        <v>109.84999999999998</v>
      </c>
      <c r="AI162" s="287">
        <v>113.93999999999998</v>
      </c>
      <c r="AJ162" s="287">
        <v>113.36999999999998</v>
      </c>
      <c r="AK162" s="287">
        <v>112.14000000000001</v>
      </c>
      <c r="AL162" s="287">
        <v>112.19999999999999</v>
      </c>
      <c r="AM162" s="287">
        <v>117.65670329670331</v>
      </c>
      <c r="AN162" s="287">
        <v>125.79304347826087</v>
      </c>
      <c r="AO162" s="287">
        <v>126.24456521739131</v>
      </c>
      <c r="AP162" s="287">
        <v>128.03666666666663</v>
      </c>
      <c r="AQ162" s="287">
        <v>132.85274725274724</v>
      </c>
      <c r="AR162" s="287">
        <v>137.04565217391306</v>
      </c>
      <c r="AS162" s="287">
        <v>140.24673913043478</v>
      </c>
      <c r="AT162" s="287">
        <v>144.33626373626373</v>
      </c>
      <c r="AU162" s="287">
        <v>146.56615384615384</v>
      </c>
      <c r="AV162" s="287">
        <v>152.15478260869565</v>
      </c>
      <c r="AW162" s="287">
        <v>154.82869565217393</v>
      </c>
      <c r="AX162" s="63"/>
      <c r="AY162" s="63"/>
      <c r="AZ162" s="63"/>
      <c r="BA162" s="63"/>
      <c r="BB162" s="63"/>
      <c r="BC162" s="63"/>
      <c r="BD162" s="63"/>
      <c r="BE162" s="63"/>
      <c r="BF162" s="2">
        <f t="shared" si="192"/>
        <v>156</v>
      </c>
    </row>
    <row r="163" spans="1:58" ht="11.25" hidden="1" customHeight="1" outlineLevel="2">
      <c r="A163" s="50"/>
      <c r="B163" s="272" t="s">
        <v>256</v>
      </c>
      <c r="C163" s="16"/>
      <c r="D163" s="16"/>
      <c r="E163" s="16"/>
      <c r="F163" s="16" t="str">
        <f t="shared" ref="F163:K163" si="224">IF(ISERROR(F162/E162-1),"NM",F162/E162-1)</f>
        <v>NM</v>
      </c>
      <c r="G163" s="16">
        <f t="shared" si="224"/>
        <v>-0.28972794127868973</v>
      </c>
      <c r="H163" s="16">
        <f t="shared" si="224"/>
        <v>-0.12060596570891746</v>
      </c>
      <c r="I163" s="16">
        <f t="shared" si="224"/>
        <v>7.2544651663377646E-2</v>
      </c>
      <c r="J163" s="16">
        <f t="shared" si="224"/>
        <v>0.11680464332249496</v>
      </c>
      <c r="K163" s="16">
        <f t="shared" si="224"/>
        <v>0.11093665753843562</v>
      </c>
      <c r="L163" s="15"/>
      <c r="M163" s="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>
        <f t="shared" ref="AA163:AW163" si="225">AA162/Z162-1</f>
        <v>-7.8306721860832096E-2</v>
      </c>
      <c r="AB163" s="13">
        <f t="shared" si="225"/>
        <v>-7.9880233117681332E-2</v>
      </c>
      <c r="AC163" s="13">
        <f t="shared" si="225"/>
        <v>-8.6001510837352746E-2</v>
      </c>
      <c r="AD163" s="13">
        <f t="shared" si="225"/>
        <v>-0.11723567931845658</v>
      </c>
      <c r="AE163" s="13">
        <f t="shared" si="225"/>
        <v>-6.5034209578681446E-2</v>
      </c>
      <c r="AF163" s="13">
        <f t="shared" si="225"/>
        <v>-3.0118625789555153E-2</v>
      </c>
      <c r="AG163" s="13">
        <f t="shared" si="225"/>
        <v>-7.6006671431975148E-2</v>
      </c>
      <c r="AH163" s="13">
        <f t="shared" si="225"/>
        <v>-5.57847687811589E-2</v>
      </c>
      <c r="AI163" s="13">
        <f t="shared" si="225"/>
        <v>3.7232589895311863E-2</v>
      </c>
      <c r="AJ163" s="13">
        <f t="shared" si="225"/>
        <v>-5.0026329647183676E-3</v>
      </c>
      <c r="AK163" s="13">
        <f t="shared" si="225"/>
        <v>-1.0849431066419335E-2</v>
      </c>
      <c r="AL163" s="13">
        <f t="shared" si="225"/>
        <v>5.3504547886551457E-4</v>
      </c>
      <c r="AM163" s="13">
        <f t="shared" si="225"/>
        <v>4.8633719221954808E-2</v>
      </c>
      <c r="AN163" s="13">
        <f t="shared" si="225"/>
        <v>6.9153222498845368E-2</v>
      </c>
      <c r="AO163" s="13">
        <f t="shared" si="225"/>
        <v>3.5894015014310554E-3</v>
      </c>
      <c r="AP163" s="13">
        <f t="shared" si="225"/>
        <v>1.419547404824395E-2</v>
      </c>
      <c r="AQ163" s="13">
        <f t="shared" si="225"/>
        <v>3.7614854490228833E-2</v>
      </c>
      <c r="AR163" s="13">
        <f t="shared" si="225"/>
        <v>3.1560543593343926E-2</v>
      </c>
      <c r="AS163" s="13">
        <f t="shared" si="225"/>
        <v>2.3357814755476491E-2</v>
      </c>
      <c r="AT163" s="13">
        <f t="shared" si="225"/>
        <v>2.9159498689132146E-2</v>
      </c>
      <c r="AU163" s="13">
        <f t="shared" si="225"/>
        <v>1.5449271390068908E-2</v>
      </c>
      <c r="AV163" s="13">
        <f t="shared" si="225"/>
        <v>3.813041835298514E-2</v>
      </c>
      <c r="AW163" s="13">
        <f t="shared" si="225"/>
        <v>1.7573637828755651E-2</v>
      </c>
      <c r="AX163" s="63"/>
      <c r="AY163" s="63"/>
      <c r="AZ163" s="63"/>
      <c r="BA163" s="63"/>
      <c r="BB163" s="63"/>
      <c r="BC163" s="63"/>
      <c r="BD163" s="63"/>
      <c r="BE163" s="63"/>
      <c r="BF163" s="2">
        <f t="shared" si="192"/>
        <v>157</v>
      </c>
    </row>
    <row r="164" spans="1:58" ht="11.25" hidden="1" customHeight="1" outlineLevel="2">
      <c r="A164" s="50"/>
      <c r="B164" s="48"/>
      <c r="C164" s="16"/>
      <c r="D164" s="16"/>
      <c r="E164" s="16"/>
      <c r="F164" s="16"/>
      <c r="G164" s="16"/>
      <c r="H164" s="16"/>
      <c r="I164" s="16"/>
      <c r="J164" s="16"/>
      <c r="K164" s="16"/>
      <c r="L164" s="15"/>
      <c r="M164" s="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63"/>
      <c r="AY164" s="63"/>
      <c r="AZ164" s="63"/>
      <c r="BA164" s="63"/>
      <c r="BB164" s="63"/>
      <c r="BC164" s="63"/>
      <c r="BD164" s="63"/>
      <c r="BE164" s="63"/>
      <c r="BF164" s="2">
        <f t="shared" si="192"/>
        <v>158</v>
      </c>
    </row>
    <row r="165" spans="1:58" ht="11.25" customHeight="1" outlineLevel="1" collapsed="1">
      <c r="A165" s="50"/>
      <c r="B165" s="48"/>
      <c r="C165" s="48"/>
      <c r="D165" s="149"/>
      <c r="E165" s="149"/>
      <c r="F165" s="149"/>
      <c r="G165" s="149"/>
      <c r="H165" s="149"/>
      <c r="I165" s="149"/>
      <c r="J165" s="149"/>
      <c r="K165" s="149"/>
      <c r="L165" s="49"/>
      <c r="M165" s="3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6"/>
      <c r="AF165" s="6"/>
      <c r="AG165" s="6"/>
      <c r="AH165" s="6"/>
      <c r="AI165" s="6"/>
      <c r="AJ165" s="6"/>
      <c r="AK165" s="6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5"/>
      <c r="AY165" s="5"/>
      <c r="AZ165" s="5"/>
      <c r="BA165" s="5"/>
      <c r="BB165" s="5"/>
      <c r="BC165" s="5"/>
      <c r="BD165" s="5"/>
      <c r="BE165" s="5"/>
      <c r="BF165" s="2">
        <f t="shared" si="192"/>
        <v>159</v>
      </c>
    </row>
    <row r="166" spans="1:58" ht="11.25" customHeight="1">
      <c r="A166" s="50" t="s">
        <v>5</v>
      </c>
      <c r="B166" s="150" t="s">
        <v>144</v>
      </c>
      <c r="C166" s="48"/>
      <c r="D166" s="149"/>
      <c r="E166" s="149"/>
      <c r="F166" s="149"/>
      <c r="G166" s="149"/>
      <c r="H166" s="149"/>
      <c r="I166" s="149"/>
      <c r="J166" s="149"/>
      <c r="K166" s="149"/>
      <c r="L166" s="49"/>
      <c r="M166" s="3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6"/>
      <c r="AF166" s="6"/>
      <c r="AG166" s="6"/>
      <c r="AH166" s="6"/>
      <c r="AI166" s="6"/>
      <c r="AJ166" s="6"/>
      <c r="AK166" s="6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5"/>
      <c r="AY166" s="5"/>
      <c r="AZ166" s="5"/>
      <c r="BA166" s="5"/>
      <c r="BB166" s="5"/>
      <c r="BC166" s="5"/>
      <c r="BD166" s="5"/>
      <c r="BE166" s="5"/>
      <c r="BF166" s="2">
        <f t="shared" si="192"/>
        <v>160</v>
      </c>
    </row>
    <row r="167" spans="1:58" ht="11.25" customHeight="1" outlineLevel="1">
      <c r="A167" s="11"/>
      <c r="B167" s="139" t="s">
        <v>125</v>
      </c>
      <c r="C167" s="115">
        <f t="shared" ref="C167:K167" si="226">C$7</f>
        <v>2012</v>
      </c>
      <c r="D167" s="115">
        <f t="shared" si="226"/>
        <v>2013</v>
      </c>
      <c r="E167" s="115">
        <f t="shared" si="226"/>
        <v>2014</v>
      </c>
      <c r="F167" s="115">
        <f t="shared" si="226"/>
        <v>2015</v>
      </c>
      <c r="G167" s="115">
        <f t="shared" si="226"/>
        <v>2016</v>
      </c>
      <c r="H167" s="115">
        <f t="shared" si="226"/>
        <v>2017</v>
      </c>
      <c r="I167" s="115" t="str">
        <f t="shared" si="226"/>
        <v>2018E</v>
      </c>
      <c r="J167" s="115" t="str">
        <f t="shared" si="226"/>
        <v>2019E</v>
      </c>
      <c r="K167" s="115" t="str">
        <f t="shared" si="226"/>
        <v>2020E</v>
      </c>
      <c r="L167" s="116"/>
      <c r="M167" s="3"/>
      <c r="N167" s="115" t="str">
        <f>N$7</f>
        <v>1Q12</v>
      </c>
      <c r="O167" s="115" t="str">
        <f>O$7</f>
        <v>2Q12</v>
      </c>
      <c r="P167" s="115" t="str">
        <f>P$7</f>
        <v>3Q12</v>
      </c>
      <c r="Q167" s="115" t="str">
        <f>Q$7</f>
        <v>4Q12</v>
      </c>
      <c r="R167" s="115" t="str">
        <f t="shared" ref="R167:AW167" si="227">R$7</f>
        <v>1Q13</v>
      </c>
      <c r="S167" s="115" t="str">
        <f t="shared" si="227"/>
        <v>2Q13</v>
      </c>
      <c r="T167" s="115" t="str">
        <f t="shared" si="227"/>
        <v>3Q13</v>
      </c>
      <c r="U167" s="115" t="str">
        <f t="shared" si="227"/>
        <v>4Q13</v>
      </c>
      <c r="V167" s="115" t="str">
        <f t="shared" si="227"/>
        <v>1Q14</v>
      </c>
      <c r="W167" s="115" t="str">
        <f t="shared" si="227"/>
        <v>2Q14</v>
      </c>
      <c r="X167" s="115" t="str">
        <f t="shared" si="227"/>
        <v>3Q14</v>
      </c>
      <c r="Y167" s="115" t="str">
        <f t="shared" si="227"/>
        <v>4Q14</v>
      </c>
      <c r="Z167" s="115" t="str">
        <f t="shared" si="227"/>
        <v>1Q15</v>
      </c>
      <c r="AA167" s="115" t="str">
        <f t="shared" si="227"/>
        <v>2Q15</v>
      </c>
      <c r="AB167" s="115" t="str">
        <f t="shared" si="227"/>
        <v>3Q15</v>
      </c>
      <c r="AC167" s="115" t="str">
        <f t="shared" si="227"/>
        <v>4Q15</v>
      </c>
      <c r="AD167" s="115" t="str">
        <f t="shared" si="227"/>
        <v>1Q16</v>
      </c>
      <c r="AE167" s="115" t="str">
        <f t="shared" si="227"/>
        <v>2Q16</v>
      </c>
      <c r="AF167" s="115" t="str">
        <f t="shared" si="227"/>
        <v>3Q16</v>
      </c>
      <c r="AG167" s="115" t="str">
        <f t="shared" si="227"/>
        <v>4Q16</v>
      </c>
      <c r="AH167" s="115" t="str">
        <f t="shared" si="227"/>
        <v>1Q17</v>
      </c>
      <c r="AI167" s="115" t="str">
        <f t="shared" si="227"/>
        <v>2Q17</v>
      </c>
      <c r="AJ167" s="115" t="str">
        <f t="shared" si="227"/>
        <v>3Q17</v>
      </c>
      <c r="AK167" s="115" t="str">
        <f t="shared" si="227"/>
        <v>4Q17</v>
      </c>
      <c r="AL167" s="115" t="str">
        <f t="shared" si="227"/>
        <v>1Q18E</v>
      </c>
      <c r="AM167" s="115" t="str">
        <f t="shared" si="227"/>
        <v>2Q18E</v>
      </c>
      <c r="AN167" s="115" t="str">
        <f t="shared" si="227"/>
        <v>3Q18E</v>
      </c>
      <c r="AO167" s="115" t="str">
        <f t="shared" si="227"/>
        <v>4Q18E</v>
      </c>
      <c r="AP167" s="115" t="str">
        <f t="shared" si="227"/>
        <v>1Q19E</v>
      </c>
      <c r="AQ167" s="115" t="str">
        <f t="shared" si="227"/>
        <v>2Q19E</v>
      </c>
      <c r="AR167" s="115" t="str">
        <f t="shared" si="227"/>
        <v>3Q19E</v>
      </c>
      <c r="AS167" s="115" t="str">
        <f t="shared" si="227"/>
        <v>4Q19E</v>
      </c>
      <c r="AT167" s="115" t="str">
        <f t="shared" si="227"/>
        <v>1Q20E</v>
      </c>
      <c r="AU167" s="115" t="str">
        <f t="shared" si="227"/>
        <v>2Q20E</v>
      </c>
      <c r="AV167" s="115" t="str">
        <f t="shared" si="227"/>
        <v>3Q20E</v>
      </c>
      <c r="AW167" s="115" t="str">
        <f t="shared" si="227"/>
        <v>4Q20E</v>
      </c>
      <c r="AX167" s="114"/>
      <c r="AY167" s="114"/>
      <c r="AZ167" s="114"/>
      <c r="BA167" s="114"/>
      <c r="BB167" s="114"/>
      <c r="BC167" s="114"/>
      <c r="BD167" s="114"/>
      <c r="BE167" s="114"/>
      <c r="BF167" s="2">
        <f t="shared" si="192"/>
        <v>161</v>
      </c>
    </row>
    <row r="168" spans="1:58" ht="11.25" customHeight="1" outlineLevel="1">
      <c r="A168" s="11"/>
      <c r="B168" s="143" t="s">
        <v>143</v>
      </c>
      <c r="C168" s="114"/>
      <c r="D168" s="148"/>
      <c r="E168" s="148"/>
      <c r="F168" s="148"/>
      <c r="G168" s="148"/>
      <c r="H168" s="148"/>
      <c r="I168" s="148"/>
      <c r="J168" s="148"/>
      <c r="K168" s="148"/>
      <c r="L168" s="116"/>
      <c r="M168" s="3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5"/>
      <c r="AY168" s="5"/>
      <c r="AZ168" s="5"/>
      <c r="BA168" s="5"/>
      <c r="BB168" s="5"/>
      <c r="BC168" s="5"/>
      <c r="BD168" s="5"/>
      <c r="BE168" s="5"/>
      <c r="BF168" s="2">
        <f t="shared" si="192"/>
        <v>162</v>
      </c>
    </row>
    <row r="169" spans="1:58" ht="11.25" customHeight="1" outlineLevel="1">
      <c r="A169" s="11"/>
      <c r="B169" s="3" t="s">
        <v>142</v>
      </c>
      <c r="C169" s="51">
        <f t="shared" ref="C169:K169" si="228">C38</f>
        <v>365.83500000000009</v>
      </c>
      <c r="D169" s="51">
        <f t="shared" si="228"/>
        <v>-111.41799999999995</v>
      </c>
      <c r="E169" s="51">
        <f t="shared" si="228"/>
        <v>257.81700000000006</v>
      </c>
      <c r="F169" s="51">
        <f t="shared" si="228"/>
        <v>-1854.7159999999999</v>
      </c>
      <c r="G169" s="51">
        <f t="shared" si="228"/>
        <v>-841.91700000000014</v>
      </c>
      <c r="H169" s="51">
        <f t="shared" si="228"/>
        <v>-205.92099999999999</v>
      </c>
      <c r="I169" s="51">
        <f t="shared" si="228"/>
        <v>-131.2075324803069</v>
      </c>
      <c r="J169" s="51">
        <f t="shared" si="228"/>
        <v>25.934867491886685</v>
      </c>
      <c r="K169" s="51">
        <f t="shared" si="228"/>
        <v>75.614382286274065</v>
      </c>
      <c r="L169" s="108"/>
      <c r="M169" s="51"/>
      <c r="N169" s="51">
        <f t="shared" ref="N169:W169" si="229">N38</f>
        <v>53.820000000000022</v>
      </c>
      <c r="O169" s="51">
        <f t="shared" si="229"/>
        <v>141.85300000000004</v>
      </c>
      <c r="P169" s="51">
        <f t="shared" si="229"/>
        <v>93.887000000000043</v>
      </c>
      <c r="Q169" s="51">
        <f t="shared" si="229"/>
        <v>76.275000000000034</v>
      </c>
      <c r="R169" s="51">
        <f t="shared" si="229"/>
        <v>63.727000000000025</v>
      </c>
      <c r="S169" s="51">
        <f t="shared" si="229"/>
        <v>68.558999999999969</v>
      </c>
      <c r="T169" s="51">
        <f t="shared" si="229"/>
        <v>69.83499999999998</v>
      </c>
      <c r="U169" s="51">
        <f t="shared" si="229"/>
        <v>-313.53899999999999</v>
      </c>
      <c r="V169" s="51">
        <f t="shared" si="229"/>
        <v>36.671999999999997</v>
      </c>
      <c r="W169" s="51">
        <f t="shared" si="229"/>
        <v>75.161999999999992</v>
      </c>
      <c r="X169" s="40">
        <f>191.691-W169-V169</f>
        <v>79.857000000000014</v>
      </c>
      <c r="Y169" s="40">
        <f t="shared" ref="Y169:AW169" si="230">Y38</f>
        <v>66.126000000000005</v>
      </c>
      <c r="Z169" s="68">
        <f t="shared" si="230"/>
        <v>-11.134999999999998</v>
      </c>
      <c r="AA169" s="51">
        <f t="shared" si="230"/>
        <v>-784.98899999999992</v>
      </c>
      <c r="AB169" s="51">
        <f t="shared" si="230"/>
        <v>-821.19699999999989</v>
      </c>
      <c r="AC169" s="51">
        <f t="shared" si="230"/>
        <v>-237.39499999999998</v>
      </c>
      <c r="AD169" s="51">
        <f t="shared" si="230"/>
        <v>-86.802999999999983</v>
      </c>
      <c r="AE169" s="51">
        <f t="shared" si="230"/>
        <v>-470.85700000000003</v>
      </c>
      <c r="AF169" s="51">
        <f t="shared" si="230"/>
        <v>-117.99800000000002</v>
      </c>
      <c r="AG169" s="51">
        <f t="shared" si="230"/>
        <v>-166.25900000000001</v>
      </c>
      <c r="AH169" s="51">
        <f t="shared" si="230"/>
        <v>-91.659000000000006</v>
      </c>
      <c r="AI169" s="51">
        <f t="shared" si="230"/>
        <v>-63.806000000000019</v>
      </c>
      <c r="AJ169" s="51">
        <f t="shared" si="230"/>
        <v>-59.049000000000007</v>
      </c>
      <c r="AK169" s="51">
        <f t="shared" si="230"/>
        <v>8.5930000000000035</v>
      </c>
      <c r="AL169" s="53">
        <f t="shared" si="230"/>
        <v>-57.059815202999992</v>
      </c>
      <c r="AM169" s="53">
        <f t="shared" si="230"/>
        <v>-42.075156985335013</v>
      </c>
      <c r="AN169" s="53">
        <f t="shared" si="230"/>
        <v>-21.418600503113819</v>
      </c>
      <c r="AO169" s="53">
        <f t="shared" si="230"/>
        <v>-10.653959788858069</v>
      </c>
      <c r="AP169" s="53">
        <f t="shared" si="230"/>
        <v>-1.6635457579033459</v>
      </c>
      <c r="AQ169" s="53">
        <f t="shared" si="230"/>
        <v>3.681715042624055</v>
      </c>
      <c r="AR169" s="53">
        <f t="shared" si="230"/>
        <v>9.1561202711988869</v>
      </c>
      <c r="AS169" s="53">
        <f t="shared" si="230"/>
        <v>14.760577935967078</v>
      </c>
      <c r="AT169" s="53">
        <f t="shared" si="230"/>
        <v>17.19508410883984</v>
      </c>
      <c r="AU169" s="53">
        <f t="shared" si="230"/>
        <v>18.305438160781087</v>
      </c>
      <c r="AV169" s="53">
        <f t="shared" si="230"/>
        <v>19.458973263596498</v>
      </c>
      <c r="AW169" s="53">
        <f t="shared" si="230"/>
        <v>20.654886753056619</v>
      </c>
      <c r="AX169" s="53"/>
      <c r="AY169" s="53"/>
      <c r="AZ169" s="53"/>
      <c r="BA169" s="53"/>
      <c r="BB169" s="53"/>
      <c r="BC169" s="53"/>
      <c r="BD169" s="53"/>
      <c r="BE169" s="53"/>
      <c r="BF169" s="2">
        <f t="shared" si="192"/>
        <v>163</v>
      </c>
    </row>
    <row r="170" spans="1:58" ht="11.25" customHeight="1" outlineLevel="1">
      <c r="A170" s="11"/>
      <c r="B170" s="3" t="s">
        <v>141</v>
      </c>
      <c r="C170" s="51">
        <f t="shared" ref="C170:H173" si="231">SUMIFS($N170:$AX170,$N$4:$AX$4,C$4)</f>
        <v>510.52600000000007</v>
      </c>
      <c r="D170" s="51">
        <f t="shared" si="231"/>
        <v>604.44100000000003</v>
      </c>
      <c r="E170" s="51">
        <f t="shared" si="231"/>
        <v>652.14300000000003</v>
      </c>
      <c r="F170" s="51">
        <f t="shared" si="231"/>
        <v>612.14700000000005</v>
      </c>
      <c r="G170" s="51">
        <f t="shared" si="231"/>
        <v>509.971</v>
      </c>
      <c r="H170" s="51">
        <f t="shared" si="231"/>
        <v>438.71600000000001</v>
      </c>
      <c r="I170" s="51">
        <f t="shared" ref="I170:K173" si="232">SUMIFS($N170:$BF170,$N$4:$BF$4,I$4)</f>
        <v>414.95638624420394</v>
      </c>
      <c r="J170" s="51">
        <f t="shared" si="232"/>
        <v>374.24774167757613</v>
      </c>
      <c r="K170" s="51">
        <f t="shared" si="232"/>
        <v>344.78815226697611</v>
      </c>
      <c r="L170" s="108"/>
      <c r="M170" s="51"/>
      <c r="N170" s="51">
        <v>103.84099999999999</v>
      </c>
      <c r="O170" s="51">
        <f>239.357-N170</f>
        <v>135.51600000000002</v>
      </c>
      <c r="P170" s="51">
        <f t="shared" ref="P170:W170" si="233">-P81</f>
        <v>128.16</v>
      </c>
      <c r="Q170" s="51">
        <f t="shared" si="233"/>
        <v>143.00899999999999</v>
      </c>
      <c r="R170" s="51">
        <f t="shared" si="233"/>
        <v>144.964</v>
      </c>
      <c r="S170" s="51">
        <f t="shared" si="233"/>
        <v>149.44</v>
      </c>
      <c r="T170" s="51">
        <f t="shared" si="233"/>
        <v>152.02799999999999</v>
      </c>
      <c r="U170" s="51">
        <f t="shared" si="233"/>
        <v>158.00900000000001</v>
      </c>
      <c r="V170" s="51">
        <f t="shared" si="233"/>
        <v>162.31800000000001</v>
      </c>
      <c r="W170" s="51">
        <f t="shared" si="233"/>
        <v>160.965</v>
      </c>
      <c r="X170" s="40">
        <f>494.801-W170-V170</f>
        <v>171.518</v>
      </c>
      <c r="Y170" s="40">
        <f>652.143-X170-W170-V170</f>
        <v>157.34199999999996</v>
      </c>
      <c r="Z170" s="40">
        <v>162.22300000000001</v>
      </c>
      <c r="AA170" s="40">
        <f>320.572-Z170</f>
        <v>158.34899999999999</v>
      </c>
      <c r="AB170" s="40">
        <f>467.329-AA170-Z170</f>
        <v>146.75700000000001</v>
      </c>
      <c r="AC170" s="40">
        <f>612.147-AB170-AA170-Z170</f>
        <v>144.81800000000004</v>
      </c>
      <c r="AD170" s="51">
        <f t="shared" ref="AD170:AW170" si="234">-AD81</f>
        <v>136.672</v>
      </c>
      <c r="AE170" s="51">
        <f t="shared" si="234"/>
        <v>132.03700000000001</v>
      </c>
      <c r="AF170" s="51">
        <f t="shared" si="234"/>
        <v>123.30800000000001</v>
      </c>
      <c r="AG170" s="51">
        <f t="shared" si="234"/>
        <v>117.95399999999999</v>
      </c>
      <c r="AH170" s="51">
        <f t="shared" si="234"/>
        <v>114.28100000000001</v>
      </c>
      <c r="AI170" s="51">
        <f t="shared" si="234"/>
        <v>108.119</v>
      </c>
      <c r="AJ170" s="51">
        <f t="shared" si="234"/>
        <v>108.751</v>
      </c>
      <c r="AK170" s="51">
        <f t="shared" si="234"/>
        <v>107.565</v>
      </c>
      <c r="AL170" s="53">
        <f t="shared" si="234"/>
        <v>107.0017</v>
      </c>
      <c r="AM170" s="53">
        <f t="shared" si="234"/>
        <v>105.02854749750001</v>
      </c>
      <c r="AN170" s="53">
        <f t="shared" si="234"/>
        <v>102.8815292637609</v>
      </c>
      <c r="AO170" s="53">
        <f t="shared" si="234"/>
        <v>100.044609482943</v>
      </c>
      <c r="AP170" s="53">
        <f t="shared" si="234"/>
        <v>97.201429956093151</v>
      </c>
      <c r="AQ170" s="53">
        <f t="shared" si="234"/>
        <v>94.782840027747199</v>
      </c>
      <c r="AR170" s="53">
        <f t="shared" si="234"/>
        <v>92.351490925963986</v>
      </c>
      <c r="AS170" s="53">
        <f t="shared" si="234"/>
        <v>89.911980767771823</v>
      </c>
      <c r="AT170" s="53">
        <f t="shared" si="234"/>
        <v>87.468747568158662</v>
      </c>
      <c r="AU170" s="53">
        <f t="shared" si="234"/>
        <v>86.644234802126661</v>
      </c>
      <c r="AV170" s="53">
        <f t="shared" si="234"/>
        <v>85.784378586818406</v>
      </c>
      <c r="AW170" s="53">
        <f t="shared" si="234"/>
        <v>84.89079130987237</v>
      </c>
      <c r="AX170" s="53"/>
      <c r="AY170" s="53"/>
      <c r="AZ170" s="53"/>
      <c r="BA170" s="53"/>
      <c r="BB170" s="53"/>
      <c r="BC170" s="53"/>
      <c r="BD170" s="53"/>
      <c r="BE170" s="53"/>
      <c r="BF170" s="2">
        <f t="shared" si="192"/>
        <v>164</v>
      </c>
    </row>
    <row r="171" spans="1:58" ht="11.25" customHeight="1" outlineLevel="1">
      <c r="A171" s="11"/>
      <c r="B171" s="3" t="s">
        <v>140</v>
      </c>
      <c r="C171" s="51">
        <f t="shared" si="231"/>
        <v>11.218000000000002</v>
      </c>
      <c r="D171" s="51">
        <f t="shared" si="231"/>
        <v>0.88400000000000034</v>
      </c>
      <c r="E171" s="51">
        <f t="shared" si="231"/>
        <v>-49.567000000000007</v>
      </c>
      <c r="F171" s="51">
        <f t="shared" si="231"/>
        <v>-288.67099999999999</v>
      </c>
      <c r="G171" s="51">
        <f t="shared" si="231"/>
        <v>-142.52000000000001</v>
      </c>
      <c r="H171" s="51">
        <f t="shared" si="231"/>
        <v>-182.553</v>
      </c>
      <c r="I171" s="51">
        <f t="shared" si="232"/>
        <v>-39.584772092433937</v>
      </c>
      <c r="J171" s="51">
        <f t="shared" si="232"/>
        <v>-8.1983432375858527</v>
      </c>
      <c r="K171" s="51">
        <f t="shared" si="232"/>
        <v>-3.9963876598239736</v>
      </c>
      <c r="L171" s="108"/>
      <c r="M171" s="51"/>
      <c r="N171" s="40">
        <v>-10.978999999999999</v>
      </c>
      <c r="O171" s="40">
        <f>-11.395-N171</f>
        <v>-0.41600000000000037</v>
      </c>
      <c r="P171" s="40">
        <f>-14.745-N171-O171</f>
        <v>-3.3499999999999996</v>
      </c>
      <c r="Q171" s="40">
        <f>11.218-N171-O171-P171</f>
        <v>25.963000000000001</v>
      </c>
      <c r="R171" s="40">
        <v>19.724</v>
      </c>
      <c r="S171" s="40">
        <f>26.188-R171</f>
        <v>6.4639999999999986</v>
      </c>
      <c r="T171" s="40">
        <f>113.207-S171-R171</f>
        <v>87.018999999999991</v>
      </c>
      <c r="U171" s="40">
        <f>0.884-T171-S171-R171</f>
        <v>-112.32299999999999</v>
      </c>
      <c r="V171" s="40">
        <v>6.4950000000000001</v>
      </c>
      <c r="W171" s="129">
        <f>-10.769-V171</f>
        <v>-17.263999999999999</v>
      </c>
      <c r="X171" s="129">
        <f>-15.767-W171-V171</f>
        <v>-4.9980000000000002</v>
      </c>
      <c r="Y171" s="129">
        <f>-49.567-X171-W171-V171</f>
        <v>-33.800000000000004</v>
      </c>
      <c r="Z171" s="129">
        <v>-4.7670000000000003</v>
      </c>
      <c r="AA171" s="129">
        <f>-140.031-Z171</f>
        <v>-135.26400000000001</v>
      </c>
      <c r="AB171" s="129">
        <f>-195.308-AA171-Z171</f>
        <v>-55.27699999999998</v>
      </c>
      <c r="AC171" s="129">
        <f>-288.671-AB171-AA171-Z171</f>
        <v>-93.363</v>
      </c>
      <c r="AD171" s="129">
        <v>-55.371000000000002</v>
      </c>
      <c r="AE171" s="129">
        <f>-137.753-AD171</f>
        <v>-82.381999999999977</v>
      </c>
      <c r="AF171" s="129">
        <f>-186.232-AE171-AD171</f>
        <v>-48.479000000000021</v>
      </c>
      <c r="AG171" s="129">
        <f>-142.52-AF171-AE171-AD171</f>
        <v>43.711999999999982</v>
      </c>
      <c r="AH171" s="129">
        <v>-29.747</v>
      </c>
      <c r="AI171" s="129">
        <f>-61.322-AH171</f>
        <v>-31.575000000000003</v>
      </c>
      <c r="AJ171" s="129">
        <f>-92.999-AI171-AH171</f>
        <v>-31.676999999999992</v>
      </c>
      <c r="AK171" s="129">
        <f>-182.553-AJ171-AI171-AH171</f>
        <v>-89.554000000000002</v>
      </c>
      <c r="AL171" s="53">
        <f t="shared" ref="AL171:AW171" si="235">(AK197-AL197+AL214-AK214)</f>
        <v>-15.418395721999993</v>
      </c>
      <c r="AM171" s="53">
        <f t="shared" si="235"/>
        <v>-11.939010456625937</v>
      </c>
      <c r="AN171" s="53">
        <f t="shared" si="235"/>
        <v>-7.4090848577083932</v>
      </c>
      <c r="AO171" s="53">
        <f t="shared" si="235"/>
        <v>-4.8182810560996145</v>
      </c>
      <c r="AP171" s="53">
        <f t="shared" si="235"/>
        <v>-2.4181793388242809</v>
      </c>
      <c r="AQ171" s="53">
        <f t="shared" si="235"/>
        <v>-1.97750457945547</v>
      </c>
      <c r="AR171" s="53">
        <f t="shared" si="235"/>
        <v>-1.926778055734232</v>
      </c>
      <c r="AS171" s="53">
        <f t="shared" si="235"/>
        <v>-1.8758812635718698</v>
      </c>
      <c r="AT171" s="53">
        <f t="shared" si="235"/>
        <v>-1.013837108680498</v>
      </c>
      <c r="AU171" s="53">
        <f t="shared" si="235"/>
        <v>-1.0042803051132481</v>
      </c>
      <c r="AV171" s="53">
        <f t="shared" si="235"/>
        <v>-0.99431384093666253</v>
      </c>
      <c r="AW171" s="53">
        <f t="shared" si="235"/>
        <v>-0.98395640509356497</v>
      </c>
      <c r="AX171" s="53"/>
      <c r="AY171" s="53"/>
      <c r="AZ171" s="53"/>
      <c r="BA171" s="53"/>
      <c r="BB171" s="53"/>
      <c r="BC171" s="53"/>
      <c r="BD171" s="53"/>
      <c r="BE171" s="53"/>
      <c r="BF171" s="2">
        <f t="shared" si="192"/>
        <v>165</v>
      </c>
    </row>
    <row r="172" spans="1:58" ht="11.25" customHeight="1" outlineLevel="1">
      <c r="A172" s="11"/>
      <c r="B172" s="3" t="s">
        <v>139</v>
      </c>
      <c r="C172" s="51">
        <f t="shared" si="231"/>
        <v>36.57</v>
      </c>
      <c r="D172" s="51">
        <f t="shared" si="231"/>
        <v>35.832000000000001</v>
      </c>
      <c r="E172" s="51">
        <f t="shared" si="231"/>
        <v>42.747999999999998</v>
      </c>
      <c r="F172" s="51">
        <f t="shared" si="231"/>
        <v>46.484999999999999</v>
      </c>
      <c r="G172" s="51">
        <f t="shared" si="231"/>
        <v>41.779000000000003</v>
      </c>
      <c r="H172" s="51">
        <f t="shared" si="231"/>
        <v>36.503</v>
      </c>
      <c r="I172" s="51">
        <f t="shared" si="232"/>
        <v>40</v>
      </c>
      <c r="J172" s="51">
        <f t="shared" si="232"/>
        <v>40</v>
      </c>
      <c r="K172" s="51">
        <f t="shared" si="232"/>
        <v>40</v>
      </c>
      <c r="L172" s="108"/>
      <c r="M172" s="51"/>
      <c r="N172" s="40">
        <v>10.590999999999999</v>
      </c>
      <c r="O172" s="40">
        <f>13.725-N172</f>
        <v>3.1340000000000003</v>
      </c>
      <c r="P172" s="40">
        <f>27.845-N172-O172</f>
        <v>14.119999999999997</v>
      </c>
      <c r="Q172" s="40">
        <f>36.57-N172-O172-P172</f>
        <v>8.7250000000000014</v>
      </c>
      <c r="R172" s="40">
        <f>7.979+-0.264</f>
        <v>7.7149999999999999</v>
      </c>
      <c r="S172" s="40">
        <f>17.417+-0.297-R172</f>
        <v>9.4050000000000011</v>
      </c>
      <c r="T172" s="40">
        <f>26.788-S172-R172</f>
        <v>9.6679999999999993</v>
      </c>
      <c r="U172" s="40">
        <f>35.832-T172-S172-R172</f>
        <v>9.0440000000000005</v>
      </c>
      <c r="V172" s="40">
        <v>11.116</v>
      </c>
      <c r="W172" s="129">
        <f>22.118-V172</f>
        <v>11.001999999999999</v>
      </c>
      <c r="X172" s="129">
        <f>32.899-W172-V172</f>
        <v>10.781000000000002</v>
      </c>
      <c r="Y172" s="129">
        <f>42.748-X172-W172-V172</f>
        <v>9.8489999999999966</v>
      </c>
      <c r="Z172" s="129">
        <v>11.816000000000001</v>
      </c>
      <c r="AA172" s="129">
        <f>24.943-Z172</f>
        <v>13.127000000000001</v>
      </c>
      <c r="AB172" s="129">
        <f>34.721-AA172-Z172</f>
        <v>9.7779999999999934</v>
      </c>
      <c r="AC172" s="129">
        <f>46.485-AB172-AA172-Z172</f>
        <v>11.764000000000005</v>
      </c>
      <c r="AD172" s="129">
        <v>10.782999999999999</v>
      </c>
      <c r="AE172" s="129">
        <f>22.496-AD172</f>
        <v>11.712999999999999</v>
      </c>
      <c r="AF172" s="129">
        <f>34.167-AE172-AD172</f>
        <v>11.671000000000001</v>
      </c>
      <c r="AG172" s="129">
        <f>41.779-AF172-AE172-AD172</f>
        <v>7.6120000000000037</v>
      </c>
      <c r="AH172" s="129">
        <v>10.691000000000001</v>
      </c>
      <c r="AI172" s="129">
        <f>20.027-AH172</f>
        <v>9.3360000000000003</v>
      </c>
      <c r="AJ172" s="129">
        <f>29.78-AI172-AH172</f>
        <v>9.7530000000000019</v>
      </c>
      <c r="AK172" s="129">
        <f>36.503-AJ172-AI172-AH172</f>
        <v>6.7230000000000008</v>
      </c>
      <c r="AL172" s="129">
        <v>10</v>
      </c>
      <c r="AM172" s="129">
        <f t="shared" ref="AM172:AW172" si="236">AL172</f>
        <v>10</v>
      </c>
      <c r="AN172" s="129">
        <f t="shared" si="236"/>
        <v>10</v>
      </c>
      <c r="AO172" s="129">
        <f t="shared" si="236"/>
        <v>10</v>
      </c>
      <c r="AP172" s="129">
        <f t="shared" si="236"/>
        <v>10</v>
      </c>
      <c r="AQ172" s="129">
        <f t="shared" si="236"/>
        <v>10</v>
      </c>
      <c r="AR172" s="129">
        <f t="shared" si="236"/>
        <v>10</v>
      </c>
      <c r="AS172" s="129">
        <f t="shared" si="236"/>
        <v>10</v>
      </c>
      <c r="AT172" s="129">
        <f t="shared" si="236"/>
        <v>10</v>
      </c>
      <c r="AU172" s="129">
        <f t="shared" si="236"/>
        <v>10</v>
      </c>
      <c r="AV172" s="129">
        <f t="shared" si="236"/>
        <v>10</v>
      </c>
      <c r="AW172" s="129">
        <f t="shared" si="236"/>
        <v>10</v>
      </c>
      <c r="AX172" s="53"/>
      <c r="AY172" s="53"/>
      <c r="AZ172" s="53"/>
      <c r="BA172" s="53"/>
      <c r="BB172" s="53"/>
      <c r="BC172" s="53"/>
      <c r="BD172" s="53"/>
      <c r="BE172" s="53"/>
      <c r="BF172" s="2">
        <f t="shared" si="192"/>
        <v>166</v>
      </c>
    </row>
    <row r="173" spans="1:58" ht="11.25" customHeight="1" outlineLevel="1">
      <c r="A173" s="11"/>
      <c r="B173" s="3" t="s">
        <v>33</v>
      </c>
      <c r="C173" s="51">
        <f t="shared" si="231"/>
        <v>6.702</v>
      </c>
      <c r="D173" s="51">
        <f t="shared" si="231"/>
        <v>461.7820000000001</v>
      </c>
      <c r="E173" s="51">
        <f t="shared" si="231"/>
        <v>-11.469999999999999</v>
      </c>
      <c r="F173" s="51">
        <f t="shared" si="231"/>
        <v>1780.7669999999996</v>
      </c>
      <c r="G173" s="51">
        <f t="shared" si="231"/>
        <v>517.47900000000004</v>
      </c>
      <c r="H173" s="51">
        <f t="shared" si="231"/>
        <v>122.71764044943822</v>
      </c>
      <c r="I173" s="51">
        <f t="shared" si="232"/>
        <v>0</v>
      </c>
      <c r="J173" s="51">
        <f t="shared" si="232"/>
        <v>0</v>
      </c>
      <c r="K173" s="51">
        <f t="shared" si="232"/>
        <v>0</v>
      </c>
      <c r="L173" s="108"/>
      <c r="M173" s="51"/>
      <c r="N173" s="40">
        <f>-0.843+0.621+2.921+2.21+6.649+3.481</f>
        <v>15.039</v>
      </c>
      <c r="O173" s="40">
        <f>2.954+6.222+6.649+4.846+1.412+-17.88+-1.279-N173</f>
        <v>-12.115</v>
      </c>
      <c r="P173" s="40">
        <f>-1.537+-17.88+1.455+3.34+7.439+6.649+3.46+1.582-N173-O173</f>
        <v>1.584000000000005</v>
      </c>
      <c r="Q173" s="40">
        <f>-1.555+-17.88+1.607+3.36+9.856+6.649+3.46+1.205-N173-O173-P173</f>
        <v>2.1939999999999955</v>
      </c>
      <c r="R173" s="40">
        <f>-0.098+2.394+-0.223</f>
        <v>2.0730000000000004</v>
      </c>
      <c r="S173" s="40">
        <f>0.884+-0.626+4.691+-2.501-R173</f>
        <v>0.37499999999999956</v>
      </c>
      <c r="T173" s="40">
        <f>T179-SUM(T175:T178,T169:T172)</f>
        <v>14.888000000000204</v>
      </c>
      <c r="U173" s="40">
        <f>U179-SUM(U175:U178,U169:U172)</f>
        <v>444.44599999999991</v>
      </c>
      <c r="V173" s="40">
        <f>V179-SUM(V175:V178,V169:V172)</f>
        <v>-2.5520000000000209</v>
      </c>
      <c r="W173" s="129">
        <f>W179-SUM(W175:W178,W169:W172)</f>
        <v>-11.993999999999971</v>
      </c>
      <c r="X173" s="129">
        <f>-20.884+6.126-W173-V173</f>
        <v>-0.21200000000000685</v>
      </c>
      <c r="Y173" s="129">
        <f>8.11-12.777-6.803-X173-W173-V173</f>
        <v>3.2880000000000003</v>
      </c>
      <c r="Z173" s="129">
        <f>1.955+2.726</f>
        <v>4.681</v>
      </c>
      <c r="AA173" s="130">
        <f t="shared" ref="AA173:AK173" si="237">AA179-SUM(AA175:AA178,AA169:AA172)</f>
        <v>806.59400000000005</v>
      </c>
      <c r="AB173" s="130">
        <f t="shared" si="237"/>
        <v>770.33999999999969</v>
      </c>
      <c r="AC173" s="130">
        <f t="shared" si="237"/>
        <v>199.15199999999982</v>
      </c>
      <c r="AD173" s="130">
        <f t="shared" si="237"/>
        <v>-6.3000000000023704E-2</v>
      </c>
      <c r="AE173" s="130">
        <f t="shared" si="237"/>
        <v>452.37799999999999</v>
      </c>
      <c r="AF173" s="130">
        <f t="shared" si="237"/>
        <v>-0.2459999999999809</v>
      </c>
      <c r="AG173" s="130">
        <f t="shared" si="237"/>
        <v>65.410000000000053</v>
      </c>
      <c r="AH173" s="130">
        <f t="shared" si="237"/>
        <v>-1.4299999999999926</v>
      </c>
      <c r="AI173" s="130">
        <f t="shared" si="237"/>
        <v>-0.17299999999998761</v>
      </c>
      <c r="AJ173" s="130">
        <f t="shared" si="237"/>
        <v>9.1480000000000175</v>
      </c>
      <c r="AK173" s="130">
        <f t="shared" si="237"/>
        <v>115.17264044943819</v>
      </c>
      <c r="AL173" s="128">
        <v>0</v>
      </c>
      <c r="AM173" s="128">
        <v>0</v>
      </c>
      <c r="AN173" s="128">
        <v>0</v>
      </c>
      <c r="AO173" s="128">
        <v>0</v>
      </c>
      <c r="AP173" s="128">
        <v>0</v>
      </c>
      <c r="AQ173" s="128">
        <v>0</v>
      </c>
      <c r="AR173" s="128">
        <v>0</v>
      </c>
      <c r="AS173" s="128">
        <v>0</v>
      </c>
      <c r="AT173" s="128">
        <v>0</v>
      </c>
      <c r="AU173" s="128">
        <v>0</v>
      </c>
      <c r="AV173" s="128">
        <v>0</v>
      </c>
      <c r="AW173" s="128">
        <v>0</v>
      </c>
      <c r="AX173" s="127"/>
      <c r="AY173" s="127"/>
      <c r="AZ173" s="127"/>
      <c r="BA173" s="127"/>
      <c r="BB173" s="127"/>
      <c r="BC173" s="127"/>
      <c r="BD173" s="127"/>
      <c r="BE173" s="127"/>
      <c r="BF173" s="2">
        <f t="shared" si="192"/>
        <v>167</v>
      </c>
    </row>
    <row r="174" spans="1:58" ht="11.25" customHeight="1" outlineLevel="1">
      <c r="A174" s="11"/>
      <c r="B174" s="147" t="s">
        <v>138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108"/>
      <c r="M174" s="51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3"/>
      <c r="AM174" s="19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5"/>
      <c r="AY174" s="5"/>
      <c r="AZ174" s="5"/>
      <c r="BA174" s="5"/>
      <c r="BB174" s="5"/>
      <c r="BC174" s="5"/>
      <c r="BD174" s="5"/>
      <c r="BE174" s="5"/>
      <c r="BF174" s="2">
        <f t="shared" si="192"/>
        <v>168</v>
      </c>
    </row>
    <row r="175" spans="1:58" ht="11.25" customHeight="1" outlineLevel="1">
      <c r="A175" s="11"/>
      <c r="B175" s="3" t="s">
        <v>137</v>
      </c>
      <c r="C175" s="51">
        <f t="shared" ref="C175:H178" si="238">SUMIFS($N175:$AX175,$N$4:$AX$4,C$4)</f>
        <v>-42.945999999999998</v>
      </c>
      <c r="D175" s="51">
        <f t="shared" si="238"/>
        <v>85.421999999999997</v>
      </c>
      <c r="E175" s="51">
        <f t="shared" si="238"/>
        <v>-9.4869999999999948</v>
      </c>
      <c r="F175" s="51">
        <f t="shared" si="238"/>
        <v>501.26900000000006</v>
      </c>
      <c r="G175" s="51">
        <f t="shared" si="238"/>
        <v>128.08600000000001</v>
      </c>
      <c r="H175" s="51">
        <f t="shared" si="238"/>
        <v>-93.308999999999997</v>
      </c>
      <c r="I175" s="51">
        <f t="shared" ref="I175:K178" si="239">SUMIFS($N175:$BF175,$N$4:$BF$4,I$4)</f>
        <v>-83.371465416493209</v>
      </c>
      <c r="J175" s="51">
        <f t="shared" si="239"/>
        <v>-56.943597492496451</v>
      </c>
      <c r="K175" s="51">
        <f t="shared" si="239"/>
        <v>-12.778712085643065</v>
      </c>
      <c r="L175" s="108"/>
      <c r="M175" s="51"/>
      <c r="N175" s="40">
        <v>-64.162999999999997</v>
      </c>
      <c r="O175" s="146">
        <f>-94.803-N175</f>
        <v>-30.64</v>
      </c>
      <c r="P175" s="40">
        <f>-144.316-O175-N175</f>
        <v>-49.513000000000005</v>
      </c>
      <c r="Q175" s="40">
        <f>-42.946-N175-O175-P175</f>
        <v>101.37</v>
      </c>
      <c r="R175" s="40">
        <v>17.343</v>
      </c>
      <c r="S175" s="40">
        <f>-3.865-R175</f>
        <v>-21.207999999999998</v>
      </c>
      <c r="T175" s="40">
        <f>0.14-S175-R175</f>
        <v>4.004999999999999</v>
      </c>
      <c r="U175" s="40">
        <f>85.422-T175-S175-R175</f>
        <v>85.281999999999996</v>
      </c>
      <c r="V175" s="40">
        <v>-5.0350000000000001</v>
      </c>
      <c r="W175" s="129">
        <f>-30.287-V175</f>
        <v>-25.251999999999999</v>
      </c>
      <c r="X175" s="129">
        <f>-60.611-W175-V175</f>
        <v>-30.323999999999995</v>
      </c>
      <c r="Y175" s="129">
        <f>-9.487-X175-W175-V175</f>
        <v>51.123999999999995</v>
      </c>
      <c r="Z175" s="129">
        <v>168.41200000000001</v>
      </c>
      <c r="AA175" s="129">
        <f>349.926-Z175</f>
        <v>181.51399999999998</v>
      </c>
      <c r="AB175" s="129">
        <f>438.698-AA175-Z175</f>
        <v>88.771999999999963</v>
      </c>
      <c r="AC175" s="129">
        <f>501.269-AB175-AA175-Z175</f>
        <v>62.571000000000083</v>
      </c>
      <c r="AD175" s="129">
        <v>71.602000000000004</v>
      </c>
      <c r="AE175" s="129">
        <f>121.044-AD175</f>
        <v>49.441999999999993</v>
      </c>
      <c r="AF175" s="129">
        <f>155.717-AE175-AD175</f>
        <v>34.673000000000016</v>
      </c>
      <c r="AG175" s="129">
        <f>128.086-AF175-AE175-AD175</f>
        <v>-27.631</v>
      </c>
      <c r="AH175" s="129">
        <v>-32.441000000000003</v>
      </c>
      <c r="AI175" s="129">
        <f>-89.324-AH175</f>
        <v>-56.882999999999996</v>
      </c>
      <c r="AJ175" s="129">
        <f>-116.989-AI175-AH175</f>
        <v>-27.665000000000006</v>
      </c>
      <c r="AK175" s="129">
        <f>-93.309-AJ175-AI175-AH175</f>
        <v>23.680000000000007</v>
      </c>
      <c r="AL175" s="51">
        <f t="shared" ref="AL175:AW175" si="240">AK195-AL195</f>
        <v>7.3522034480981802</v>
      </c>
      <c r="AM175" s="51">
        <f t="shared" si="240"/>
        <v>-23.698329416665501</v>
      </c>
      <c r="AN175" s="51">
        <f t="shared" si="240"/>
        <v>-38.189206841295686</v>
      </c>
      <c r="AO175" s="51">
        <f t="shared" si="240"/>
        <v>-28.836132606630201</v>
      </c>
      <c r="AP175" s="51">
        <f t="shared" si="240"/>
        <v>-19.718509163989438</v>
      </c>
      <c r="AQ175" s="51">
        <f t="shared" si="240"/>
        <v>-12.077762428532878</v>
      </c>
      <c r="AR175" s="51">
        <f t="shared" si="240"/>
        <v>-12.404926891239597</v>
      </c>
      <c r="AS175" s="51">
        <f t="shared" si="240"/>
        <v>-12.742399008734537</v>
      </c>
      <c r="AT175" s="51">
        <f t="shared" si="240"/>
        <v>-3.2620026455258539</v>
      </c>
      <c r="AU175" s="51">
        <f t="shared" si="240"/>
        <v>-3.0871268531666374</v>
      </c>
      <c r="AV175" s="51">
        <f t="shared" si="240"/>
        <v>-3.1712740081330821</v>
      </c>
      <c r="AW175" s="51">
        <f t="shared" si="240"/>
        <v>-3.2583085788174913</v>
      </c>
      <c r="AX175" s="53"/>
      <c r="AY175" s="53"/>
      <c r="AZ175" s="53"/>
      <c r="BA175" s="53"/>
      <c r="BB175" s="53"/>
      <c r="BC175" s="53"/>
      <c r="BD175" s="53"/>
      <c r="BE175" s="53"/>
      <c r="BF175" s="2">
        <f t="shared" si="192"/>
        <v>169</v>
      </c>
    </row>
    <row r="176" spans="1:58" ht="11.25" customHeight="1" outlineLevel="1">
      <c r="A176" s="11"/>
      <c r="B176" s="3" t="s">
        <v>121</v>
      </c>
      <c r="C176" s="51">
        <f t="shared" si="238"/>
        <v>62.72</v>
      </c>
      <c r="D176" s="51">
        <f t="shared" si="238"/>
        <v>-70.995000000000005</v>
      </c>
      <c r="E176" s="51">
        <f t="shared" si="238"/>
        <v>53.594000000000001</v>
      </c>
      <c r="F176" s="51">
        <f t="shared" si="238"/>
        <v>33.281999999999996</v>
      </c>
      <c r="G176" s="51">
        <f t="shared" si="238"/>
        <v>-7.6459999999999999</v>
      </c>
      <c r="H176" s="51">
        <f t="shared" si="238"/>
        <v>-2.4550000000000001</v>
      </c>
      <c r="I176" s="51">
        <f t="shared" si="239"/>
        <v>-9.0195179090164856</v>
      </c>
      <c r="J176" s="51">
        <f t="shared" si="239"/>
        <v>-15.270278731037138</v>
      </c>
      <c r="K176" s="51">
        <f t="shared" si="239"/>
        <v>-2.4077424802687233</v>
      </c>
      <c r="L176" s="108"/>
      <c r="M176" s="51"/>
      <c r="N176" s="40">
        <v>-15.868</v>
      </c>
      <c r="O176" s="40">
        <f>-24.494-N176</f>
        <v>-8.6259999999999994</v>
      </c>
      <c r="P176" s="40">
        <f>85.119-O176-N176</f>
        <v>109.613</v>
      </c>
      <c r="Q176" s="40">
        <f>62.72-N176-O176-P176</f>
        <v>-22.399000000000001</v>
      </c>
      <c r="R176" s="40">
        <v>-26.431000000000001</v>
      </c>
      <c r="S176" s="40">
        <f>-27.291-R176</f>
        <v>-0.85999999999999943</v>
      </c>
      <c r="T176" s="40">
        <f>-54.924-S176-R176</f>
        <v>-27.632999999999999</v>
      </c>
      <c r="U176" s="40">
        <f>-70.995-T176-S176-R176</f>
        <v>-16.071000000000009</v>
      </c>
      <c r="V176" s="40">
        <v>-0.60499999999999998</v>
      </c>
      <c r="W176" s="129">
        <f>17.041-V176</f>
        <v>17.646000000000001</v>
      </c>
      <c r="X176" s="129">
        <f>29.495-W176-V176</f>
        <v>12.454000000000001</v>
      </c>
      <c r="Y176" s="129">
        <f>53.594-X176-W176-V176</f>
        <v>24.099</v>
      </c>
      <c r="Z176" s="129">
        <v>-14.992000000000001</v>
      </c>
      <c r="AA176" s="129">
        <f>5.273-Z176</f>
        <v>20.265000000000001</v>
      </c>
      <c r="AB176" s="129">
        <f>10.924-AA176-Z176</f>
        <v>5.6509999999999998</v>
      </c>
      <c r="AC176" s="129">
        <f>33.282-AB176-AA176-Z176</f>
        <v>22.357999999999997</v>
      </c>
      <c r="AD176" s="129">
        <v>-6.5289999999999999</v>
      </c>
      <c r="AE176" s="129">
        <f>-4.495-AD176</f>
        <v>2.0339999999999998</v>
      </c>
      <c r="AF176" s="129">
        <f>-5.028-AE176-AD176</f>
        <v>-0.53299999999999947</v>
      </c>
      <c r="AG176" s="129">
        <f>-7.646-AF176-AE176-AD176</f>
        <v>-2.6180000000000003</v>
      </c>
      <c r="AH176" s="129">
        <v>-8.8260000000000005</v>
      </c>
      <c r="AI176" s="129">
        <f>-10.192-AH176</f>
        <v>-1.3659999999999997</v>
      </c>
      <c r="AJ176" s="129">
        <f>-8.51-AI176-AH176</f>
        <v>1.6820000000000004</v>
      </c>
      <c r="AK176" s="129">
        <f>-2.455-AJ176-AI176-AH176</f>
        <v>6.0549999999999997</v>
      </c>
      <c r="AL176" s="51">
        <f t="shared" ref="AL176:AW176" si="241">AK196-AL196</f>
        <v>9.1043887863932582</v>
      </c>
      <c r="AM176" s="51">
        <f t="shared" si="241"/>
        <v>-1.4474156736177974</v>
      </c>
      <c r="AN176" s="51">
        <f t="shared" si="241"/>
        <v>-8.012911362665875</v>
      </c>
      <c r="AO176" s="51">
        <f t="shared" si="241"/>
        <v>-8.6635796591260714</v>
      </c>
      <c r="AP176" s="51">
        <f t="shared" si="241"/>
        <v>-5.2148135558217916</v>
      </c>
      <c r="AQ176" s="51">
        <f t="shared" si="241"/>
        <v>-3.269698103801602</v>
      </c>
      <c r="AR176" s="51">
        <f t="shared" si="241"/>
        <v>-3.3510468986811759</v>
      </c>
      <c r="AS176" s="51">
        <f t="shared" si="241"/>
        <v>-3.4347201727325682</v>
      </c>
      <c r="AT176" s="51">
        <f t="shared" si="241"/>
        <v>-0.64848257393870767</v>
      </c>
      <c r="AU176" s="51">
        <f t="shared" si="241"/>
        <v>-0.56751481677099491</v>
      </c>
      <c r="AV176" s="51">
        <f t="shared" si="241"/>
        <v>-0.58615237572627166</v>
      </c>
      <c r="AW176" s="51">
        <f t="shared" si="241"/>
        <v>-0.60559271383274904</v>
      </c>
      <c r="AX176" s="53"/>
      <c r="AY176" s="53"/>
      <c r="AZ176" s="53"/>
      <c r="BA176" s="53"/>
      <c r="BB176" s="53"/>
      <c r="BC176" s="53"/>
      <c r="BD176" s="53"/>
      <c r="BE176" s="53"/>
      <c r="BF176" s="2">
        <f t="shared" si="192"/>
        <v>170</v>
      </c>
    </row>
    <row r="177" spans="1:58" ht="11.25" customHeight="1" outlineLevel="1">
      <c r="A177" s="11"/>
      <c r="B177" s="3" t="s">
        <v>112</v>
      </c>
      <c r="C177" s="51">
        <f t="shared" si="238"/>
        <v>-30.976999999999997</v>
      </c>
      <c r="D177" s="51">
        <f t="shared" si="238"/>
        <v>-32.304000000000002</v>
      </c>
      <c r="E177" s="51">
        <f t="shared" si="238"/>
        <v>36.450000000000003</v>
      </c>
      <c r="F177" s="51">
        <f t="shared" si="238"/>
        <v>-105.801</v>
      </c>
      <c r="G177" s="51">
        <f t="shared" si="238"/>
        <v>3.6669999999999998</v>
      </c>
      <c r="H177" s="51">
        <f t="shared" si="238"/>
        <v>23.648</v>
      </c>
      <c r="I177" s="51">
        <f t="shared" si="239"/>
        <v>23.335517909016502</v>
      </c>
      <c r="J177" s="51">
        <f t="shared" si="239"/>
        <v>15.270278731037138</v>
      </c>
      <c r="K177" s="51">
        <f t="shared" si="239"/>
        <v>2.4077424802687233</v>
      </c>
      <c r="L177" s="108"/>
      <c r="M177" s="51"/>
      <c r="N177" s="40">
        <v>28.436</v>
      </c>
      <c r="O177" s="40">
        <f>24.512-N177</f>
        <v>-3.9239999999999995</v>
      </c>
      <c r="P177" s="40">
        <f>-0.757-N177-O177</f>
        <v>-25.269000000000002</v>
      </c>
      <c r="Q177" s="40">
        <f>-30.977-N177-O177-P177</f>
        <v>-30.219999999999995</v>
      </c>
      <c r="R177" s="40">
        <v>3.327</v>
      </c>
      <c r="S177" s="40">
        <f>-2.807-R177</f>
        <v>-6.1340000000000003</v>
      </c>
      <c r="T177" s="40">
        <f>7.085-S177-R177</f>
        <v>9.8920000000000012</v>
      </c>
      <c r="U177" s="40">
        <f>-32.304-T177-S177-R177</f>
        <v>-39.389000000000003</v>
      </c>
      <c r="V177" s="40">
        <v>7.4980000000000002</v>
      </c>
      <c r="W177" s="129">
        <f>6.367-V177</f>
        <v>-1.1310000000000002</v>
      </c>
      <c r="X177" s="129">
        <f>30.198-W177-V177</f>
        <v>23.831</v>
      </c>
      <c r="Y177" s="129">
        <f>36.45-X177-W177-V177</f>
        <v>6.2520000000000033</v>
      </c>
      <c r="Z177" s="129">
        <v>-20.8</v>
      </c>
      <c r="AA177" s="129">
        <f>-85.195-Z177</f>
        <v>-64.394999999999996</v>
      </c>
      <c r="AB177" s="129">
        <f>-105.683-AA177-Z177</f>
        <v>-20.48800000000001</v>
      </c>
      <c r="AC177" s="129">
        <f>-105.801-AB177-AA177-Z177</f>
        <v>-0.11799999999999145</v>
      </c>
      <c r="AD177" s="129">
        <v>-14.978999999999999</v>
      </c>
      <c r="AE177" s="129">
        <f>-22.779-AD177</f>
        <v>-7.8000000000000007</v>
      </c>
      <c r="AF177" s="129">
        <f>-8.692-AE177-AD177</f>
        <v>14.087</v>
      </c>
      <c r="AG177" s="129">
        <f>3.667-AF177-AE177-AD177</f>
        <v>12.359</v>
      </c>
      <c r="AH177" s="129">
        <v>11.731</v>
      </c>
      <c r="AI177" s="129">
        <f>26.499-AH177</f>
        <v>14.767999999999999</v>
      </c>
      <c r="AJ177" s="129">
        <f>24.821-AI177-AH177</f>
        <v>-1.6779999999999973</v>
      </c>
      <c r="AK177" s="129">
        <f>23.648-AJ177-AI177-AH177</f>
        <v>-1.1730000000000018</v>
      </c>
      <c r="AL177" s="51">
        <f t="shared" ref="AL177:AW177" si="242">AL208-AK208</f>
        <v>-6.2696271342465764</v>
      </c>
      <c r="AM177" s="51">
        <f t="shared" si="242"/>
        <v>8.7096966101918127</v>
      </c>
      <c r="AN177" s="51">
        <f t="shared" si="242"/>
        <v>12.231868773945195</v>
      </c>
      <c r="AO177" s="51">
        <f t="shared" si="242"/>
        <v>8.6635796591260714</v>
      </c>
      <c r="AP177" s="51">
        <f t="shared" si="242"/>
        <v>5.2148135558217916</v>
      </c>
      <c r="AQ177" s="51">
        <f t="shared" si="242"/>
        <v>3.269698103801602</v>
      </c>
      <c r="AR177" s="51">
        <f t="shared" si="242"/>
        <v>3.3510468986811759</v>
      </c>
      <c r="AS177" s="51">
        <f t="shared" si="242"/>
        <v>3.4347201727325682</v>
      </c>
      <c r="AT177" s="51">
        <f t="shared" si="242"/>
        <v>0.64848257393870767</v>
      </c>
      <c r="AU177" s="51">
        <f t="shared" si="242"/>
        <v>0.56751481677099491</v>
      </c>
      <c r="AV177" s="51">
        <f t="shared" si="242"/>
        <v>0.58615237572627166</v>
      </c>
      <c r="AW177" s="51">
        <f t="shared" si="242"/>
        <v>0.60559271383274904</v>
      </c>
      <c r="AX177" s="53"/>
      <c r="AY177" s="53"/>
      <c r="AZ177" s="53"/>
      <c r="BA177" s="53"/>
      <c r="BB177" s="53"/>
      <c r="BC177" s="53"/>
      <c r="BD177" s="53"/>
      <c r="BE177" s="53"/>
      <c r="BF177" s="2">
        <f t="shared" si="192"/>
        <v>171</v>
      </c>
    </row>
    <row r="178" spans="1:58" ht="11.25" customHeight="1" outlineLevel="1">
      <c r="A178" s="11"/>
      <c r="B178" s="3" t="s">
        <v>136</v>
      </c>
      <c r="C178" s="51">
        <f t="shared" si="238"/>
        <v>115.29499999999999</v>
      </c>
      <c r="D178" s="51">
        <f t="shared" si="238"/>
        <v>-80.835999999999984</v>
      </c>
      <c r="E178" s="51">
        <f t="shared" si="238"/>
        <v>60.783000000000001</v>
      </c>
      <c r="F178" s="51">
        <f t="shared" si="238"/>
        <v>-92.15</v>
      </c>
      <c r="G178" s="51">
        <f t="shared" si="238"/>
        <v>-147.64700000000005</v>
      </c>
      <c r="H178" s="51">
        <f t="shared" si="238"/>
        <v>-33.502640449438218</v>
      </c>
      <c r="I178" s="51">
        <f t="shared" si="239"/>
        <v>0</v>
      </c>
      <c r="J178" s="51">
        <f t="shared" si="239"/>
        <v>0</v>
      </c>
      <c r="K178" s="51">
        <f t="shared" si="239"/>
        <v>0</v>
      </c>
      <c r="L178" s="108"/>
      <c r="M178" s="51"/>
      <c r="N178" s="40">
        <f>-56.346-2.661+38.809-6.562</f>
        <v>-26.76</v>
      </c>
      <c r="O178" s="40">
        <f>(-60.877+-4.578+101.372+-16.011)-N178</f>
        <v>46.666000000000004</v>
      </c>
      <c r="P178" s="40">
        <f>-29.835+-4.624+141.916+-25.701-N178-O178</f>
        <v>61.85</v>
      </c>
      <c r="Q178" s="40">
        <f>-26.107+-4.66+152.093+-6.031-N178-O178-P178</f>
        <v>33.53899999999998</v>
      </c>
      <c r="R178" s="40">
        <f>-11.504+-0.087+ -115.007+26.207</f>
        <v>-100.39099999999999</v>
      </c>
      <c r="S178" s="40">
        <f>-15.013+-0.087+-117.514+29.265-R178</f>
        <v>-2.9580000000000126</v>
      </c>
      <c r="T178" s="40">
        <f>24.721-0.087-183.42+36.714-S178-R178</f>
        <v>-18.722999999999999</v>
      </c>
      <c r="U178" s="40">
        <f>25.154-0.087-162.148+56.245-T178-S178-R178</f>
        <v>41.236000000000018</v>
      </c>
      <c r="V178" s="40">
        <f>-8.485+8.603-8.085</f>
        <v>-7.9670000000000005</v>
      </c>
      <c r="W178" s="134">
        <f>-7.57+28.014-5.74-V178</f>
        <v>22.670999999999999</v>
      </c>
      <c r="X178" s="134">
        <f>36.802+43.214-3.653-W178-V178</f>
        <v>61.658999999999985</v>
      </c>
      <c r="Y178" s="134">
        <f>16.411+46.134-1.762-X178-W178-V178</f>
        <v>-15.579999999999982</v>
      </c>
      <c r="Z178" s="134">
        <f>-38.152-30.973+11.955</f>
        <v>-57.17</v>
      </c>
      <c r="AA178" s="134">
        <f>-69.908-33.28+46.065-Z178</f>
        <v>4.6999999999997044E-2</v>
      </c>
      <c r="AB178" s="134">
        <f>-74.741-30.254+55.507-AA178-Z178</f>
        <v>7.634999999999998</v>
      </c>
      <c r="AC178" s="134">
        <f>-30.891+55.314-116.573-AB178-AA178-Z178</f>
        <v>-42.661999999999992</v>
      </c>
      <c r="AD178" s="134">
        <f>-5.307+8.987+3.543</f>
        <v>7.2229999999999999</v>
      </c>
      <c r="AE178" s="134">
        <f>-60.033-5.062+20.92-AD178</f>
        <v>-51.397999999999996</v>
      </c>
      <c r="AF178" s="134">
        <f>-41.617-4.515+34.447-AE178-AD178</f>
        <v>32.49</v>
      </c>
      <c r="AG178" s="134">
        <f>-73.902-107.643+33.898-AF178-AE178-AD178</f>
        <v>-135.96200000000005</v>
      </c>
      <c r="AH178" s="134">
        <f>17.673-20.496-12.592</f>
        <v>-15.415000000000001</v>
      </c>
      <c r="AI178" s="134">
        <f>-11.202+98.561-21.358-AH178</f>
        <v>81.416000000000011</v>
      </c>
      <c r="AJ178" s="134">
        <f>7.182+100.969-13.028-AI178-AH178</f>
        <v>29.121999999999979</v>
      </c>
      <c r="AK178" s="134">
        <f>-8.458+99/89-26.157-AJ178-AI178-AH178</f>
        <v>-128.62564044943821</v>
      </c>
      <c r="AL178" s="145">
        <f t="shared" ref="AL178:AW178" si="243">(AK198-AL198)+(AL210-AK210)</f>
        <v>0</v>
      </c>
      <c r="AM178" s="145">
        <f t="shared" si="243"/>
        <v>0</v>
      </c>
      <c r="AN178" s="145">
        <f t="shared" si="243"/>
        <v>0</v>
      </c>
      <c r="AO178" s="145">
        <f t="shared" si="243"/>
        <v>0</v>
      </c>
      <c r="AP178" s="145">
        <f t="shared" si="243"/>
        <v>0</v>
      </c>
      <c r="AQ178" s="145">
        <f t="shared" si="243"/>
        <v>0</v>
      </c>
      <c r="AR178" s="145">
        <f t="shared" si="243"/>
        <v>0</v>
      </c>
      <c r="AS178" s="145">
        <f t="shared" si="243"/>
        <v>0</v>
      </c>
      <c r="AT178" s="145">
        <f t="shared" si="243"/>
        <v>0</v>
      </c>
      <c r="AU178" s="145">
        <f t="shared" si="243"/>
        <v>0</v>
      </c>
      <c r="AV178" s="145">
        <f t="shared" si="243"/>
        <v>0</v>
      </c>
      <c r="AW178" s="145">
        <f t="shared" si="243"/>
        <v>0</v>
      </c>
      <c r="AX178" s="53"/>
      <c r="AY178" s="53"/>
      <c r="AZ178" s="53"/>
      <c r="BA178" s="53"/>
      <c r="BB178" s="53"/>
      <c r="BC178" s="53"/>
      <c r="BD178" s="53"/>
      <c r="BE178" s="53"/>
      <c r="BF178" s="2">
        <f t="shared" si="192"/>
        <v>172</v>
      </c>
    </row>
    <row r="179" spans="1:58" ht="11.25" customHeight="1" outlineLevel="1">
      <c r="A179" s="11"/>
      <c r="B179" s="33" t="s">
        <v>135</v>
      </c>
      <c r="C179" s="125">
        <f t="shared" ref="C179:K179" si="244">SUM(C169:C178)</f>
        <v>1034.9430000000002</v>
      </c>
      <c r="D179" s="125">
        <f t="shared" si="244"/>
        <v>892.80800000000022</v>
      </c>
      <c r="E179" s="125">
        <f t="shared" si="244"/>
        <v>1033.0110000000002</v>
      </c>
      <c r="F179" s="125">
        <f t="shared" si="244"/>
        <v>632.61199999999951</v>
      </c>
      <c r="G179" s="125">
        <f t="shared" si="244"/>
        <v>61.251999999999896</v>
      </c>
      <c r="H179" s="125">
        <f t="shared" si="244"/>
        <v>103.84400000000005</v>
      </c>
      <c r="I179" s="125">
        <f t="shared" si="244"/>
        <v>215.10861625496995</v>
      </c>
      <c r="J179" s="125">
        <f t="shared" si="244"/>
        <v>375.04066843938051</v>
      </c>
      <c r="K179" s="125">
        <f t="shared" si="244"/>
        <v>443.62743480778312</v>
      </c>
      <c r="L179" s="126"/>
      <c r="M179" s="51"/>
      <c r="N179" s="125">
        <f t="shared" ref="N179:S179" si="245">SUM(N169:N178)</f>
        <v>93.957000000000008</v>
      </c>
      <c r="O179" s="125">
        <f t="shared" si="245"/>
        <v>271.44800000000004</v>
      </c>
      <c r="P179" s="125">
        <f t="shared" si="245"/>
        <v>331.08200000000005</v>
      </c>
      <c r="Q179" s="125">
        <f t="shared" si="245"/>
        <v>338.45600000000002</v>
      </c>
      <c r="R179" s="125">
        <f t="shared" si="245"/>
        <v>132.05100000000002</v>
      </c>
      <c r="S179" s="125">
        <f t="shared" si="245"/>
        <v>203.08299999999991</v>
      </c>
      <c r="T179" s="125">
        <f>636.113-S179-R179</f>
        <v>300.97900000000016</v>
      </c>
      <c r="U179" s="125">
        <f>892.808-T179-S179-R179</f>
        <v>256.69499999999994</v>
      </c>
      <c r="V179" s="125">
        <v>207.94</v>
      </c>
      <c r="W179" s="53">
        <f>439.745-V179</f>
        <v>231.80500000000001</v>
      </c>
      <c r="X179" s="53">
        <f>SUM(X169:X178)</f>
        <v>324.56600000000003</v>
      </c>
      <c r="Y179" s="53">
        <f>SUM(Y169:Y178)</f>
        <v>268.7</v>
      </c>
      <c r="Z179" s="53">
        <f>SUM(Z169:Z178)</f>
        <v>238.26799999999997</v>
      </c>
      <c r="AA179" s="129">
        <f>433.516-Z179</f>
        <v>195.24800000000005</v>
      </c>
      <c r="AB179" s="129">
        <f>565.487-AA179-Z179</f>
        <v>131.97099999999995</v>
      </c>
      <c r="AC179" s="129">
        <f>632.612-AB179-AA179-Z179</f>
        <v>67.125</v>
      </c>
      <c r="AD179" s="129">
        <v>62.534999999999997</v>
      </c>
      <c r="AE179" s="129">
        <v>35.167000000000016</v>
      </c>
      <c r="AF179" s="129">
        <v>48.972999999999999</v>
      </c>
      <c r="AG179" s="129">
        <f>61.252-AF179-AE179-AD179</f>
        <v>-85.423000000000002</v>
      </c>
      <c r="AH179" s="129">
        <v>-42.814999999999998</v>
      </c>
      <c r="AI179" s="129">
        <f>17.021-AH179</f>
        <v>59.835999999999999</v>
      </c>
      <c r="AJ179" s="129">
        <f>55.408-AI179-AH179</f>
        <v>38.387</v>
      </c>
      <c r="AK179" s="129">
        <f>103.844-AJ179-AI179-AH179</f>
        <v>48.435999999999993</v>
      </c>
      <c r="AL179" s="125">
        <f t="shared" ref="AL179:AW179" si="246">SUM(AL169:AL178)</f>
        <v>54.710454175244877</v>
      </c>
      <c r="AM179" s="125">
        <f t="shared" si="246"/>
        <v>44.578331575447578</v>
      </c>
      <c r="AN179" s="125">
        <f t="shared" si="246"/>
        <v>50.083594472922314</v>
      </c>
      <c r="AO179" s="125">
        <f t="shared" si="246"/>
        <v>65.736236031355105</v>
      </c>
      <c r="AP179" s="125">
        <f t="shared" si="246"/>
        <v>83.401195695376089</v>
      </c>
      <c r="AQ179" s="125">
        <f t="shared" si="246"/>
        <v>94.409288062382899</v>
      </c>
      <c r="AR179" s="125">
        <f t="shared" si="246"/>
        <v>97.175906250189044</v>
      </c>
      <c r="AS179" s="125">
        <f t="shared" si="246"/>
        <v>100.05427843143249</v>
      </c>
      <c r="AT179" s="125">
        <f t="shared" si="246"/>
        <v>110.38799192279214</v>
      </c>
      <c r="AU179" s="125">
        <f t="shared" si="246"/>
        <v>110.85826580462788</v>
      </c>
      <c r="AV179" s="125">
        <f t="shared" si="246"/>
        <v>111.07776400134517</v>
      </c>
      <c r="AW179" s="125">
        <f t="shared" si="246"/>
        <v>111.30341307901793</v>
      </c>
      <c r="AX179" s="53"/>
      <c r="AY179" s="53"/>
      <c r="AZ179" s="53"/>
      <c r="BA179" s="53"/>
      <c r="BB179" s="53"/>
      <c r="BC179" s="53"/>
      <c r="BD179" s="53"/>
      <c r="BE179" s="53"/>
      <c r="BF179" s="2">
        <f t="shared" si="192"/>
        <v>173</v>
      </c>
    </row>
    <row r="180" spans="1:58" ht="11.25" customHeight="1" outlineLevel="1">
      <c r="A180" s="11"/>
      <c r="B180" s="3" t="s">
        <v>86</v>
      </c>
      <c r="C180" s="51">
        <f t="shared" ref="C180:H180" si="247">SUMIFS($N180:$AX180,$N$4:$AX$4,C$4)</f>
        <v>-1141.922</v>
      </c>
      <c r="D180" s="51">
        <f t="shared" si="247"/>
        <v>-608.96</v>
      </c>
      <c r="E180" s="51">
        <f t="shared" si="247"/>
        <v>-616.10199999999998</v>
      </c>
      <c r="F180" s="51">
        <f t="shared" si="247"/>
        <v>-358.226</v>
      </c>
      <c r="G180" s="51">
        <f t="shared" si="247"/>
        <v>-80.548000000000002</v>
      </c>
      <c r="H180" s="51">
        <f t="shared" si="247"/>
        <v>-164.93299999999999</v>
      </c>
      <c r="I180" s="51">
        <f>SUMIFS($N180:$BF180,$N$4:$BF$4,I$4)</f>
        <v>-224.98548718441447</v>
      </c>
      <c r="J180" s="51">
        <f>SUMIFS($N180:$BF180,$N$4:$BF$4,J$4)</f>
        <v>-205.8362579226669</v>
      </c>
      <c r="K180" s="51">
        <f>SUMIFS($N180:$BF180,$N$4:$BF$4,K$4)</f>
        <v>-258.59111420023208</v>
      </c>
      <c r="L180" s="108"/>
      <c r="M180" s="51"/>
      <c r="N180" s="40">
        <v>-273.245</v>
      </c>
      <c r="O180" s="40">
        <f>-588.182-N180</f>
        <v>-314.93700000000001</v>
      </c>
      <c r="P180" s="40">
        <f>-918.192-N180-O180</f>
        <v>-330.01</v>
      </c>
      <c r="Q180" s="40">
        <f>-1141.922-N180-O180-P180</f>
        <v>-223.73000000000002</v>
      </c>
      <c r="R180" s="40">
        <v>-157.715</v>
      </c>
      <c r="S180" s="40">
        <f>-334.708-R180</f>
        <v>-176.99300000000002</v>
      </c>
      <c r="T180" s="40">
        <f>-466.831-S180-R180</f>
        <v>-132.12299999999996</v>
      </c>
      <c r="U180" s="40">
        <f>-608.96-T180-S180-R180</f>
        <v>-142.12900000000005</v>
      </c>
      <c r="V180" s="40">
        <v>-159.768</v>
      </c>
      <c r="W180" s="129">
        <f>-315.233-V180</f>
        <v>-155.465</v>
      </c>
      <c r="X180" s="129">
        <f>-438.349-W180-V180</f>
        <v>-123.11600000000001</v>
      </c>
      <c r="Y180" s="129">
        <f>-616.102-X180-W180-V180</f>
        <v>-177.75299999999996</v>
      </c>
      <c r="Z180" s="129">
        <v>-127.48699999999999</v>
      </c>
      <c r="AA180" s="129">
        <f>-240.305-Z180</f>
        <v>-112.81800000000001</v>
      </c>
      <c r="AB180" s="129">
        <f>-318.908-AA180-Z180</f>
        <v>-78.603000000000009</v>
      </c>
      <c r="AC180" s="129">
        <f>-358.226-AB180-Z180-AA180</f>
        <v>-39.317999999999984</v>
      </c>
      <c r="AD180" s="129">
        <v>-38.015000000000001</v>
      </c>
      <c r="AE180" s="129">
        <f>-67.402-AD180</f>
        <v>-29.387</v>
      </c>
      <c r="AF180" s="129">
        <f>-74.071-AE180-AD180</f>
        <v>-6.6689999999999969</v>
      </c>
      <c r="AG180" s="129">
        <f>-80.548-AF180-AE180-AD180</f>
        <v>-6.4770000000000039</v>
      </c>
      <c r="AH180" s="129">
        <v>-21.187999999999999</v>
      </c>
      <c r="AI180" s="129">
        <f>-56.649-AH180</f>
        <v>-35.460999999999999</v>
      </c>
      <c r="AJ180" s="129">
        <f>-109.635-AI180-AH180</f>
        <v>-52.986000000000004</v>
      </c>
      <c r="AK180" s="129">
        <f>-164.933-AJ180-AI180-AH180</f>
        <v>-55.297999999999988</v>
      </c>
      <c r="AL180" s="145">
        <f t="shared" ref="AL180:AW180" si="248">AL81*AL238</f>
        <v>-63.131003</v>
      </c>
      <c r="AM180" s="145">
        <f t="shared" si="248"/>
        <v>-60.391414811062504</v>
      </c>
      <c r="AN180" s="145">
        <f t="shared" si="248"/>
        <v>-51.440764631880448</v>
      </c>
      <c r="AO180" s="145">
        <f t="shared" si="248"/>
        <v>-50.022304741471501</v>
      </c>
      <c r="AP180" s="145">
        <f t="shared" si="248"/>
        <v>-53.460786475851236</v>
      </c>
      <c r="AQ180" s="145">
        <f t="shared" si="248"/>
        <v>-52.130562015260963</v>
      </c>
      <c r="AR180" s="145">
        <f t="shared" si="248"/>
        <v>-50.793320009280194</v>
      </c>
      <c r="AS180" s="145">
        <f t="shared" si="248"/>
        <v>-49.451589422274509</v>
      </c>
      <c r="AT180" s="145">
        <f t="shared" si="248"/>
        <v>-65.601560676118993</v>
      </c>
      <c r="AU180" s="145">
        <f t="shared" si="248"/>
        <v>-64.983176101594992</v>
      </c>
      <c r="AV180" s="145">
        <f t="shared" si="248"/>
        <v>-64.338283940113797</v>
      </c>
      <c r="AW180" s="145">
        <f t="shared" si="248"/>
        <v>-63.668093482404274</v>
      </c>
      <c r="AX180" s="53"/>
      <c r="AY180" s="53"/>
      <c r="AZ180" s="53"/>
      <c r="BA180" s="53"/>
      <c r="BB180" s="53"/>
      <c r="BC180" s="53"/>
      <c r="BD180" s="53"/>
      <c r="BE180" s="53"/>
      <c r="BF180" s="2">
        <f t="shared" si="192"/>
        <v>174</v>
      </c>
    </row>
    <row r="181" spans="1:58" ht="11.25" customHeight="1" outlineLevel="1">
      <c r="A181" s="144"/>
      <c r="B181" s="123" t="s">
        <v>134</v>
      </c>
      <c r="C181" s="121">
        <f t="shared" ref="C181:K181" si="249">C179+C180</f>
        <v>-106.97899999999981</v>
      </c>
      <c r="D181" s="121">
        <f t="shared" si="249"/>
        <v>283.84800000000018</v>
      </c>
      <c r="E181" s="121">
        <f t="shared" si="249"/>
        <v>416.90900000000022</v>
      </c>
      <c r="F181" s="121">
        <f t="shared" si="249"/>
        <v>274.38599999999951</v>
      </c>
      <c r="G181" s="121">
        <f t="shared" si="249"/>
        <v>-19.296000000000106</v>
      </c>
      <c r="H181" s="121">
        <f t="shared" si="249"/>
        <v>-61.088999999999942</v>
      </c>
      <c r="I181" s="121">
        <f t="shared" si="249"/>
        <v>-9.8768709294445216</v>
      </c>
      <c r="J181" s="121">
        <f t="shared" si="249"/>
        <v>169.20441051671361</v>
      </c>
      <c r="K181" s="121">
        <f t="shared" si="249"/>
        <v>185.03632060755103</v>
      </c>
      <c r="L181" s="122"/>
      <c r="M181" s="51"/>
      <c r="N181" s="121">
        <f>N179+N180</f>
        <v>-179.28800000000001</v>
      </c>
      <c r="O181" s="121">
        <f>O179+O180</f>
        <v>-43.488999999999976</v>
      </c>
      <c r="P181" s="121">
        <f>P179+P180</f>
        <v>1.0720000000000596</v>
      </c>
      <c r="Q181" s="121">
        <f>Q179+Q180</f>
        <v>114.726</v>
      </c>
      <c r="R181" s="121">
        <f t="shared" ref="R181:AW181" si="250">R179+R180</f>
        <v>-25.663999999999987</v>
      </c>
      <c r="S181" s="121">
        <f t="shared" si="250"/>
        <v>26.08999999999989</v>
      </c>
      <c r="T181" s="121">
        <f t="shared" si="250"/>
        <v>168.85600000000019</v>
      </c>
      <c r="U181" s="121">
        <f t="shared" si="250"/>
        <v>114.56599999999989</v>
      </c>
      <c r="V181" s="121">
        <f t="shared" si="250"/>
        <v>48.171999999999997</v>
      </c>
      <c r="W181" s="121">
        <f t="shared" si="250"/>
        <v>76.34</v>
      </c>
      <c r="X181" s="121">
        <f t="shared" si="250"/>
        <v>201.45000000000002</v>
      </c>
      <c r="Y181" s="121">
        <f t="shared" si="250"/>
        <v>90.947000000000031</v>
      </c>
      <c r="Z181" s="121">
        <f t="shared" si="250"/>
        <v>110.78099999999998</v>
      </c>
      <c r="AA181" s="121">
        <f t="shared" si="250"/>
        <v>82.430000000000035</v>
      </c>
      <c r="AB181" s="121">
        <f t="shared" si="250"/>
        <v>53.367999999999938</v>
      </c>
      <c r="AC181" s="121">
        <f t="shared" si="250"/>
        <v>27.807000000000016</v>
      </c>
      <c r="AD181" s="121">
        <f t="shared" si="250"/>
        <v>24.519999999999996</v>
      </c>
      <c r="AE181" s="121">
        <f t="shared" si="250"/>
        <v>5.7800000000000153</v>
      </c>
      <c r="AF181" s="121">
        <f t="shared" si="250"/>
        <v>42.304000000000002</v>
      </c>
      <c r="AG181" s="121">
        <f t="shared" si="250"/>
        <v>-91.9</v>
      </c>
      <c r="AH181" s="121">
        <f t="shared" si="250"/>
        <v>-64.003</v>
      </c>
      <c r="AI181" s="121">
        <f t="shared" si="250"/>
        <v>24.375</v>
      </c>
      <c r="AJ181" s="121">
        <f t="shared" si="250"/>
        <v>-14.599000000000004</v>
      </c>
      <c r="AK181" s="121">
        <f t="shared" si="250"/>
        <v>-6.8619999999999948</v>
      </c>
      <c r="AL181" s="121">
        <f t="shared" si="250"/>
        <v>-8.420548824755123</v>
      </c>
      <c r="AM181" s="121">
        <f t="shared" si="250"/>
        <v>-15.813083235614926</v>
      </c>
      <c r="AN181" s="121">
        <f t="shared" si="250"/>
        <v>-1.3571701589581338</v>
      </c>
      <c r="AO181" s="121">
        <f t="shared" si="250"/>
        <v>15.713931289883604</v>
      </c>
      <c r="AP181" s="121">
        <f t="shared" si="250"/>
        <v>29.940409219524852</v>
      </c>
      <c r="AQ181" s="121">
        <f t="shared" si="250"/>
        <v>42.278726047121935</v>
      </c>
      <c r="AR181" s="121">
        <f t="shared" si="250"/>
        <v>46.38258624090885</v>
      </c>
      <c r="AS181" s="121">
        <f t="shared" si="250"/>
        <v>50.602689009157984</v>
      </c>
      <c r="AT181" s="121">
        <f t="shared" si="250"/>
        <v>44.786431246673146</v>
      </c>
      <c r="AU181" s="121">
        <f t="shared" si="250"/>
        <v>45.875089703032884</v>
      </c>
      <c r="AV181" s="121">
        <f t="shared" si="250"/>
        <v>46.739480061231376</v>
      </c>
      <c r="AW181" s="121">
        <f t="shared" si="250"/>
        <v>47.635319596613655</v>
      </c>
      <c r="AX181" s="39"/>
      <c r="AY181" s="39"/>
      <c r="AZ181" s="39"/>
      <c r="BA181" s="39"/>
      <c r="BB181" s="39"/>
      <c r="BC181" s="39"/>
      <c r="BD181" s="39"/>
      <c r="BE181" s="39"/>
      <c r="BF181" s="2">
        <f t="shared" si="192"/>
        <v>175</v>
      </c>
    </row>
    <row r="182" spans="1:58" ht="11.25" customHeight="1" outlineLevel="1">
      <c r="A182" s="11"/>
      <c r="B182" s="3" t="s">
        <v>133</v>
      </c>
      <c r="C182" s="51">
        <f t="shared" ref="C182:H188" si="251">SUMIFS($N182:$AX182,$N$4:$AX$4,C$4)</f>
        <v>-1091.1610000000001</v>
      </c>
      <c r="D182" s="51">
        <f t="shared" si="251"/>
        <v>-23.797000000000001</v>
      </c>
      <c r="E182" s="51">
        <f t="shared" si="251"/>
        <v>-24.327000000000002</v>
      </c>
      <c r="F182" s="51">
        <f t="shared" si="251"/>
        <v>-46.442</v>
      </c>
      <c r="G182" s="51">
        <f t="shared" si="251"/>
        <v>0</v>
      </c>
      <c r="H182" s="51">
        <f t="shared" si="251"/>
        <v>0</v>
      </c>
      <c r="I182" s="51">
        <f t="shared" ref="I182:K188" si="252">SUMIFS($N182:$BF182,$N$4:$BF$4,I$4)</f>
        <v>0</v>
      </c>
      <c r="J182" s="51">
        <f t="shared" si="252"/>
        <v>0</v>
      </c>
      <c r="K182" s="51">
        <f t="shared" si="252"/>
        <v>0</v>
      </c>
      <c r="L182" s="108"/>
      <c r="M182" s="51"/>
      <c r="N182" s="40">
        <v>-1038.241</v>
      </c>
      <c r="O182" s="40">
        <f>(-1039.238-N182)</f>
        <v>-0.99700000000007094</v>
      </c>
      <c r="P182" s="40">
        <f>-1072.532-N182-O182</f>
        <v>-33.293999999999869</v>
      </c>
      <c r="Q182" s="40">
        <f>-1091.161-N182-O182-P182</f>
        <v>-18.629000000000133</v>
      </c>
      <c r="R182" s="40">
        <v>-23.797000000000001</v>
      </c>
      <c r="S182" s="40">
        <f>-23.797-R182</f>
        <v>0</v>
      </c>
      <c r="T182" s="40">
        <f>-23.797-S182-R182</f>
        <v>0</v>
      </c>
      <c r="U182" s="40">
        <f>-23.797-T182-S182-R182</f>
        <v>0</v>
      </c>
      <c r="V182" s="40">
        <v>-2.0790000000000002</v>
      </c>
      <c r="W182" s="129">
        <f>-2.079-V182</f>
        <v>0</v>
      </c>
      <c r="X182" s="129">
        <f>-2.38-W182-V182</f>
        <v>-0.30099999999999971</v>
      </c>
      <c r="Y182" s="129">
        <f>-24.327-X182-W182-V182</f>
        <v>-21.947000000000003</v>
      </c>
      <c r="Z182" s="129">
        <v>0</v>
      </c>
      <c r="AA182" s="129">
        <f>0-Z182</f>
        <v>0</v>
      </c>
      <c r="AB182" s="129">
        <f>-46.442-AA182-Z182</f>
        <v>-46.442</v>
      </c>
      <c r="AC182" s="129">
        <v>0</v>
      </c>
      <c r="AD182" s="129">
        <v>0</v>
      </c>
      <c r="AE182" s="129">
        <v>0</v>
      </c>
      <c r="AF182" s="129">
        <v>0</v>
      </c>
      <c r="AG182" s="129">
        <v>0</v>
      </c>
      <c r="AH182" s="129">
        <v>0</v>
      </c>
      <c r="AI182" s="129">
        <v>0</v>
      </c>
      <c r="AJ182" s="129">
        <v>0</v>
      </c>
      <c r="AK182" s="129">
        <v>0</v>
      </c>
      <c r="AL182" s="128">
        <v>0</v>
      </c>
      <c r="AM182" s="128">
        <v>0</v>
      </c>
      <c r="AN182" s="128">
        <v>0</v>
      </c>
      <c r="AO182" s="128">
        <v>0</v>
      </c>
      <c r="AP182" s="128">
        <v>0</v>
      </c>
      <c r="AQ182" s="128">
        <v>0</v>
      </c>
      <c r="AR182" s="128">
        <v>0</v>
      </c>
      <c r="AS182" s="128">
        <v>0</v>
      </c>
      <c r="AT182" s="128">
        <v>0</v>
      </c>
      <c r="AU182" s="128">
        <v>0</v>
      </c>
      <c r="AV182" s="128">
        <v>0</v>
      </c>
      <c r="AW182" s="128">
        <v>0</v>
      </c>
      <c r="AX182" s="127"/>
      <c r="AY182" s="127"/>
      <c r="AZ182" s="127"/>
      <c r="BA182" s="127"/>
      <c r="BB182" s="127"/>
      <c r="BC182" s="127"/>
      <c r="BD182" s="127"/>
      <c r="BE182" s="127"/>
      <c r="BF182" s="2">
        <f t="shared" si="192"/>
        <v>176</v>
      </c>
    </row>
    <row r="183" spans="1:58" ht="11.25" customHeight="1" outlineLevel="1">
      <c r="A183" s="11"/>
      <c r="B183" s="3" t="s">
        <v>132</v>
      </c>
      <c r="C183" s="51">
        <f t="shared" si="251"/>
        <v>259.05500000000001</v>
      </c>
      <c r="D183" s="51">
        <f t="shared" si="251"/>
        <v>27.189</v>
      </c>
      <c r="E183" s="51">
        <f t="shared" si="251"/>
        <v>157.92700000000002</v>
      </c>
      <c r="F183" s="51">
        <f t="shared" si="251"/>
        <v>14.11</v>
      </c>
      <c r="G183" s="51">
        <f t="shared" si="251"/>
        <v>0</v>
      </c>
      <c r="H183" s="51">
        <f t="shared" si="251"/>
        <v>28.268999999999998</v>
      </c>
      <c r="I183" s="51">
        <f t="shared" si="252"/>
        <v>0</v>
      </c>
      <c r="J183" s="51">
        <f t="shared" si="252"/>
        <v>0</v>
      </c>
      <c r="K183" s="51">
        <f t="shared" si="252"/>
        <v>0</v>
      </c>
      <c r="L183" s="108"/>
      <c r="M183" s="51"/>
      <c r="N183" s="40">
        <v>185.91200000000001</v>
      </c>
      <c r="O183" s="140">
        <f>34.087+185.912-(N183)</f>
        <v>34.087000000000018</v>
      </c>
      <c r="P183" s="40">
        <f>34.087+183.094+31.15-N183-O183</f>
        <v>28.331999999999965</v>
      </c>
      <c r="Q183" s="40">
        <f>183.094+34.087+41.874-N183-O183-P183</f>
        <v>10.724000000000018</v>
      </c>
      <c r="R183" s="40">
        <v>0</v>
      </c>
      <c r="S183" s="40">
        <v>0</v>
      </c>
      <c r="T183" s="40">
        <f>22.65+2.709-S183-R183</f>
        <v>25.358999999999998</v>
      </c>
      <c r="U183" s="40">
        <f>22.65+4.539-T183-S183-R183</f>
        <v>1.8300000000000018</v>
      </c>
      <c r="V183" s="40">
        <v>0</v>
      </c>
      <c r="W183" s="129">
        <f>0-V183</f>
        <v>0</v>
      </c>
      <c r="X183" s="129">
        <v>0</v>
      </c>
      <c r="Y183" s="129">
        <f>147.305+10.622-X183-W183-V183</f>
        <v>157.92700000000002</v>
      </c>
      <c r="Z183" s="129">
        <v>0</v>
      </c>
      <c r="AA183" s="129">
        <f>0-Z183</f>
        <v>0</v>
      </c>
      <c r="AB183" s="129">
        <f>0-AA183</f>
        <v>0</v>
      </c>
      <c r="AC183" s="129">
        <f>14.11-AB183-AA183-Z183</f>
        <v>14.11</v>
      </c>
      <c r="AD183" s="129">
        <v>0</v>
      </c>
      <c r="AE183" s="129">
        <v>0</v>
      </c>
      <c r="AF183" s="129">
        <v>0</v>
      </c>
      <c r="AG183" s="129">
        <v>0</v>
      </c>
      <c r="AH183" s="129">
        <v>0</v>
      </c>
      <c r="AI183" s="129">
        <v>0</v>
      </c>
      <c r="AJ183" s="129">
        <v>0</v>
      </c>
      <c r="AK183" s="129">
        <f>28.269-AJ183-AI183-AH183</f>
        <v>28.268999999999998</v>
      </c>
      <c r="AL183" s="128">
        <v>0</v>
      </c>
      <c r="AM183" s="128">
        <v>0</v>
      </c>
      <c r="AN183" s="128">
        <v>0</v>
      </c>
      <c r="AO183" s="128">
        <v>0</v>
      </c>
      <c r="AP183" s="128">
        <v>0</v>
      </c>
      <c r="AQ183" s="128">
        <v>0</v>
      </c>
      <c r="AR183" s="128">
        <v>0</v>
      </c>
      <c r="AS183" s="128">
        <v>0</v>
      </c>
      <c r="AT183" s="128">
        <v>0</v>
      </c>
      <c r="AU183" s="128">
        <v>0</v>
      </c>
      <c r="AV183" s="128">
        <v>0</v>
      </c>
      <c r="AW183" s="128">
        <v>0</v>
      </c>
      <c r="AX183" s="127"/>
      <c r="AY183" s="127"/>
      <c r="AZ183" s="127"/>
      <c r="BA183" s="127"/>
      <c r="BB183" s="127"/>
      <c r="BC183" s="127"/>
      <c r="BD183" s="127"/>
      <c r="BE183" s="127"/>
      <c r="BF183" s="2">
        <f t="shared" si="192"/>
        <v>177</v>
      </c>
    </row>
    <row r="184" spans="1:58" ht="11.25" customHeight="1" outlineLevel="1">
      <c r="A184" s="11"/>
      <c r="B184" s="17" t="s">
        <v>131</v>
      </c>
      <c r="C184" s="51">
        <f t="shared" si="251"/>
        <v>222.45400000000001</v>
      </c>
      <c r="D184" s="51">
        <f t="shared" si="251"/>
        <v>-168.465</v>
      </c>
      <c r="E184" s="51">
        <f t="shared" si="251"/>
        <v>-18.962</v>
      </c>
      <c r="F184" s="51">
        <f t="shared" si="251"/>
        <v>-27.238</v>
      </c>
      <c r="G184" s="51">
        <f t="shared" si="251"/>
        <v>-337.57600000000002</v>
      </c>
      <c r="H184" s="51">
        <f t="shared" si="251"/>
        <v>0</v>
      </c>
      <c r="I184" s="51">
        <f t="shared" si="252"/>
        <v>0</v>
      </c>
      <c r="J184" s="51">
        <f t="shared" si="252"/>
        <v>0</v>
      </c>
      <c r="K184" s="51">
        <f t="shared" si="252"/>
        <v>0</v>
      </c>
      <c r="L184" s="108"/>
      <c r="M184" s="51"/>
      <c r="N184" s="40">
        <f>400-12.546</f>
        <v>387.45400000000001</v>
      </c>
      <c r="O184" s="140">
        <f>(-17.546+400)-N184</f>
        <v>-5</v>
      </c>
      <c r="P184" s="40">
        <f>400+-172.546-N184-O184</f>
        <v>-155</v>
      </c>
      <c r="Q184" s="40">
        <f>400+-177.546-N184-O184-P184</f>
        <v>-5</v>
      </c>
      <c r="R184" s="40">
        <v>-5</v>
      </c>
      <c r="S184" s="40">
        <f>-160-R184</f>
        <v>-155</v>
      </c>
      <c r="T184" s="40">
        <f>561.771-561.771-165-S184-R184</f>
        <v>-5</v>
      </c>
      <c r="U184" s="40">
        <f>1.535-170-T184-S184-R184</f>
        <v>-3.4650000000000034</v>
      </c>
      <c r="V184" s="40">
        <f>5.624-5.624-5</f>
        <v>-5</v>
      </c>
      <c r="W184" s="129">
        <f>7.562-7.562-10-V184</f>
        <v>-5</v>
      </c>
      <c r="X184" s="129">
        <f>14.736-14.736-15-W184-V184</f>
        <v>-5</v>
      </c>
      <c r="Y184" s="129">
        <f>14.736-14.736+2.602-21.564-X184-W184-V184</f>
        <v>-3.9619999999999997</v>
      </c>
      <c r="Z184" s="129">
        <f>-20.933-5.233</f>
        <v>-26.166</v>
      </c>
      <c r="AA184" s="129">
        <f>7.475-7.475-10.483+6.946-20.933-Z184</f>
        <v>1.6960000000000015</v>
      </c>
      <c r="AB184" s="129">
        <f>7.475-7.475-20.933+10.357-15.775-AA184-Z184</f>
        <v>-1.8810000000000002</v>
      </c>
      <c r="AC184" s="129">
        <f>7.475-7.475-20.933+14.733-21.038-AB184-AA184-Z184</f>
        <v>-0.88700000000000045</v>
      </c>
      <c r="AD184" s="129">
        <f>325-329.106</f>
        <v>-4.1059999999999945</v>
      </c>
      <c r="AE184" s="129">
        <f>325-75-334.664-AD184</f>
        <v>-80.557999999999993</v>
      </c>
      <c r="AF184" s="129">
        <f>325.123-325.123-337.576-AE184-AD184</f>
        <v>-252.91200000000003</v>
      </c>
      <c r="AG184" s="129">
        <f>325.123-325.123-337.576-AF184-AE184-AD184</f>
        <v>0</v>
      </c>
      <c r="AH184" s="129">
        <v>0</v>
      </c>
      <c r="AI184" s="129">
        <v>0</v>
      </c>
      <c r="AJ184" s="129">
        <v>0</v>
      </c>
      <c r="AK184" s="129">
        <f>500-500-AJ184-AI184-AH184</f>
        <v>0</v>
      </c>
      <c r="AL184" s="130">
        <f t="shared" ref="AL184:AW184" si="253">+AL212-AK212+AL209-AK209</f>
        <v>0</v>
      </c>
      <c r="AM184" s="130">
        <f t="shared" si="253"/>
        <v>0</v>
      </c>
      <c r="AN184" s="130">
        <f t="shared" si="253"/>
        <v>0</v>
      </c>
      <c r="AO184" s="130">
        <f t="shared" si="253"/>
        <v>0</v>
      </c>
      <c r="AP184" s="130">
        <f t="shared" si="253"/>
        <v>0</v>
      </c>
      <c r="AQ184" s="130">
        <f t="shared" si="253"/>
        <v>0</v>
      </c>
      <c r="AR184" s="130">
        <f t="shared" si="253"/>
        <v>0</v>
      </c>
      <c r="AS184" s="130">
        <f t="shared" si="253"/>
        <v>0</v>
      </c>
      <c r="AT184" s="130">
        <f t="shared" si="253"/>
        <v>0</v>
      </c>
      <c r="AU184" s="130">
        <f t="shared" si="253"/>
        <v>0</v>
      </c>
      <c r="AV184" s="130">
        <f t="shared" si="253"/>
        <v>0</v>
      </c>
      <c r="AW184" s="130">
        <f t="shared" si="253"/>
        <v>0</v>
      </c>
      <c r="AX184" s="127"/>
      <c r="AY184" s="127"/>
      <c r="AZ184" s="127"/>
      <c r="BA184" s="127"/>
      <c r="BB184" s="127"/>
      <c r="BC184" s="127"/>
      <c r="BD184" s="127"/>
      <c r="BE184" s="127"/>
      <c r="BF184" s="2">
        <f t="shared" si="192"/>
        <v>178</v>
      </c>
    </row>
    <row r="185" spans="1:58" ht="11.25" customHeight="1" outlineLevel="1">
      <c r="A185" s="11"/>
      <c r="B185" s="3" t="s">
        <v>130</v>
      </c>
      <c r="C185" s="51">
        <f t="shared" si="251"/>
        <v>0</v>
      </c>
      <c r="D185" s="51">
        <f t="shared" si="251"/>
        <v>0</v>
      </c>
      <c r="E185" s="51">
        <f t="shared" si="251"/>
        <v>-49.756</v>
      </c>
      <c r="F185" s="51">
        <f t="shared" si="251"/>
        <v>-48.139000000000003</v>
      </c>
      <c r="G185" s="51">
        <f t="shared" si="251"/>
        <v>-12.111000000000001</v>
      </c>
      <c r="H185" s="51">
        <f t="shared" si="251"/>
        <v>0</v>
      </c>
      <c r="I185" s="51">
        <f t="shared" si="252"/>
        <v>0</v>
      </c>
      <c r="J185" s="51">
        <f t="shared" si="252"/>
        <v>0</v>
      </c>
      <c r="K185" s="51">
        <f t="shared" si="252"/>
        <v>0</v>
      </c>
      <c r="L185" s="108"/>
      <c r="M185" s="51"/>
      <c r="N185" s="40">
        <v>0</v>
      </c>
      <c r="O185" s="140">
        <v>0</v>
      </c>
      <c r="P185" s="140">
        <v>0</v>
      </c>
      <c r="Q185" s="140">
        <v>0</v>
      </c>
      <c r="R185" s="140">
        <v>0</v>
      </c>
      <c r="S185" s="140">
        <v>0</v>
      </c>
      <c r="T185" s="140">
        <v>0</v>
      </c>
      <c r="U185" s="140">
        <v>0</v>
      </c>
      <c r="V185" s="140">
        <v>-12.689</v>
      </c>
      <c r="W185" s="129">
        <f>-25.216-V185</f>
        <v>-12.527000000000001</v>
      </c>
      <c r="X185" s="129">
        <f>-37.586-W185-V185</f>
        <v>-12.369999999999997</v>
      </c>
      <c r="Y185" s="129">
        <f>-49.756-X185-W185-V185</f>
        <v>-12.170000000000002</v>
      </c>
      <c r="Z185" s="129">
        <v>-11.984</v>
      </c>
      <c r="AA185" s="129">
        <f>-24.021-Z185</f>
        <v>-12.037000000000001</v>
      </c>
      <c r="AB185" s="129">
        <f>-36.081-AA185-Z185</f>
        <v>-12.060000000000004</v>
      </c>
      <c r="AC185" s="129">
        <f>-48.139-AB185-AA185-Z185</f>
        <v>-12.058000000000002</v>
      </c>
      <c r="AD185" s="129">
        <v>-12.111000000000001</v>
      </c>
      <c r="AE185" s="129">
        <f>-12.111-AD185</f>
        <v>0</v>
      </c>
      <c r="AF185" s="129">
        <v>0</v>
      </c>
      <c r="AG185" s="129">
        <f>-12.111-AF185-AE185-AD185</f>
        <v>0</v>
      </c>
      <c r="AH185" s="129">
        <v>0</v>
      </c>
      <c r="AI185" s="129">
        <v>0</v>
      </c>
      <c r="AJ185" s="129">
        <v>0</v>
      </c>
      <c r="AK185" s="129">
        <v>0</v>
      </c>
      <c r="AL185" s="37">
        <f t="shared" ref="AL185:AW185" si="254">-AL43*AL42</f>
        <v>0</v>
      </c>
      <c r="AM185" s="37">
        <f t="shared" si="254"/>
        <v>0</v>
      </c>
      <c r="AN185" s="37">
        <f t="shared" si="254"/>
        <v>0</v>
      </c>
      <c r="AO185" s="37">
        <f t="shared" si="254"/>
        <v>0</v>
      </c>
      <c r="AP185" s="37">
        <f t="shared" si="254"/>
        <v>0</v>
      </c>
      <c r="AQ185" s="37">
        <f t="shared" si="254"/>
        <v>0</v>
      </c>
      <c r="AR185" s="37">
        <f t="shared" si="254"/>
        <v>0</v>
      </c>
      <c r="AS185" s="37">
        <f t="shared" si="254"/>
        <v>0</v>
      </c>
      <c r="AT185" s="37">
        <f t="shared" si="254"/>
        <v>0</v>
      </c>
      <c r="AU185" s="37">
        <f t="shared" si="254"/>
        <v>0</v>
      </c>
      <c r="AV185" s="37">
        <f t="shared" si="254"/>
        <v>0</v>
      </c>
      <c r="AW185" s="37">
        <f t="shared" si="254"/>
        <v>0</v>
      </c>
      <c r="AX185" s="107"/>
      <c r="AY185" s="107"/>
      <c r="AZ185" s="107"/>
      <c r="BA185" s="107"/>
      <c r="BB185" s="107"/>
      <c r="BC185" s="107"/>
      <c r="BD185" s="107"/>
      <c r="BE185" s="107"/>
      <c r="BF185" s="2">
        <f t="shared" si="192"/>
        <v>179</v>
      </c>
    </row>
    <row r="186" spans="1:58" ht="11.25" customHeight="1" outlineLevel="1">
      <c r="A186" s="11"/>
      <c r="B186" s="3" t="s">
        <v>129</v>
      </c>
      <c r="C186" s="51">
        <f t="shared" si="251"/>
        <v>17.631999999999998</v>
      </c>
      <c r="D186" s="51">
        <f t="shared" si="251"/>
        <v>11.076000000000001</v>
      </c>
      <c r="E186" s="51">
        <f t="shared" si="251"/>
        <v>10.65</v>
      </c>
      <c r="F186" s="51">
        <f t="shared" si="251"/>
        <v>8.82</v>
      </c>
      <c r="G186" s="51">
        <f t="shared" si="251"/>
        <v>0</v>
      </c>
      <c r="H186" s="51">
        <f t="shared" si="251"/>
        <v>0</v>
      </c>
      <c r="I186" s="51">
        <f t="shared" si="252"/>
        <v>0</v>
      </c>
      <c r="J186" s="51">
        <f t="shared" si="252"/>
        <v>0</v>
      </c>
      <c r="K186" s="51">
        <f t="shared" si="252"/>
        <v>0</v>
      </c>
      <c r="L186" s="108"/>
      <c r="M186" s="51"/>
      <c r="N186" s="40">
        <f>12.256+0.819</f>
        <v>13.074999999999999</v>
      </c>
      <c r="O186" s="140">
        <f>(13.652+1.406)-N186</f>
        <v>1.9830000000000005</v>
      </c>
      <c r="P186" s="40">
        <f>13.915+2.193-N186-O186</f>
        <v>1.0500000000000007</v>
      </c>
      <c r="Q186" s="40">
        <f>14.777+2.855-N186-O186-P186</f>
        <v>1.5239999999999974</v>
      </c>
      <c r="R186" s="40">
        <f>5.1+1.133</f>
        <v>6.2329999999999997</v>
      </c>
      <c r="S186" s="140">
        <f>5.546+1.939-R186</f>
        <v>1.2520000000000007</v>
      </c>
      <c r="T186" s="140">
        <f>-12.164+1.939+0.301+5.551-S186-R186</f>
        <v>-11.858000000000001</v>
      </c>
      <c r="U186" s="140">
        <f>6.264+0.689+4.123-T186-S186-R186</f>
        <v>15.449000000000002</v>
      </c>
      <c r="V186" s="140">
        <v>5.0469999999999997</v>
      </c>
      <c r="W186" s="129">
        <f>10.328-V186</f>
        <v>5.2809999999999997</v>
      </c>
      <c r="X186" s="129">
        <f>10.554-W186-V186</f>
        <v>0.22600000000000087</v>
      </c>
      <c r="Y186" s="129">
        <f>10.65-X186-W186-V186</f>
        <v>9.6000000000000085E-2</v>
      </c>
      <c r="Z186" s="129">
        <v>6.2080000000000002</v>
      </c>
      <c r="AA186" s="129">
        <f>8.8-Z186</f>
        <v>2.5920000000000005</v>
      </c>
      <c r="AB186" s="129">
        <f>8.8-AA186-Z186</f>
        <v>0</v>
      </c>
      <c r="AC186" s="129">
        <f>8.82-AB186-AA186-Z186</f>
        <v>1.9999999999999574E-2</v>
      </c>
      <c r="AD186" s="129">
        <v>0</v>
      </c>
      <c r="AE186" s="129">
        <v>0</v>
      </c>
      <c r="AF186" s="129">
        <v>0</v>
      </c>
      <c r="AG186" s="129">
        <v>0</v>
      </c>
      <c r="AH186" s="129">
        <v>0</v>
      </c>
      <c r="AI186" s="129">
        <v>0</v>
      </c>
      <c r="AJ186" s="129">
        <v>0</v>
      </c>
      <c r="AK186" s="129">
        <v>0</v>
      </c>
      <c r="AL186" s="142">
        <v>0</v>
      </c>
      <c r="AM186" s="142">
        <v>0</v>
      </c>
      <c r="AN186" s="142">
        <v>0</v>
      </c>
      <c r="AO186" s="142">
        <v>0</v>
      </c>
      <c r="AP186" s="142">
        <v>0</v>
      </c>
      <c r="AQ186" s="142">
        <v>0</v>
      </c>
      <c r="AR186" s="142">
        <v>0</v>
      </c>
      <c r="AS186" s="142">
        <v>0</v>
      </c>
      <c r="AT186" s="142">
        <v>0</v>
      </c>
      <c r="AU186" s="142">
        <v>0</v>
      </c>
      <c r="AV186" s="142">
        <v>0</v>
      </c>
      <c r="AW186" s="142">
        <v>0</v>
      </c>
      <c r="AX186" s="141"/>
      <c r="AY186" s="141"/>
      <c r="AZ186" s="141"/>
      <c r="BA186" s="141"/>
      <c r="BB186" s="141"/>
      <c r="BC186" s="141"/>
      <c r="BD186" s="141"/>
      <c r="BE186" s="141"/>
      <c r="BF186" s="2">
        <f t="shared" si="192"/>
        <v>180</v>
      </c>
    </row>
    <row r="187" spans="1:58" ht="11.25" customHeight="1" outlineLevel="1">
      <c r="A187" s="11"/>
      <c r="B187" s="3" t="s">
        <v>128</v>
      </c>
      <c r="C187" s="51">
        <f t="shared" si="251"/>
        <v>0</v>
      </c>
      <c r="D187" s="51">
        <f t="shared" si="251"/>
        <v>-10.627000000000001</v>
      </c>
      <c r="E187" s="51">
        <f t="shared" si="251"/>
        <v>-299.73399999999998</v>
      </c>
      <c r="F187" s="51">
        <f t="shared" si="251"/>
        <v>0</v>
      </c>
      <c r="G187" s="51">
        <f t="shared" si="251"/>
        <v>0</v>
      </c>
      <c r="H187" s="51">
        <f t="shared" si="251"/>
        <v>0</v>
      </c>
      <c r="I187" s="51">
        <f t="shared" si="252"/>
        <v>0</v>
      </c>
      <c r="J187" s="51">
        <f t="shared" si="252"/>
        <v>0</v>
      </c>
      <c r="K187" s="51">
        <f t="shared" si="252"/>
        <v>0</v>
      </c>
      <c r="L187" s="108"/>
      <c r="M187" s="51"/>
      <c r="N187" s="40">
        <v>0</v>
      </c>
      <c r="O187" s="40">
        <v>0</v>
      </c>
      <c r="P187" s="40">
        <v>0</v>
      </c>
      <c r="Q187" s="40">
        <v>0</v>
      </c>
      <c r="R187" s="40">
        <v>0</v>
      </c>
      <c r="S187" s="40">
        <v>0</v>
      </c>
      <c r="T187" s="40">
        <v>0</v>
      </c>
      <c r="U187" s="40">
        <f>-10.627-T187-S187-R187</f>
        <v>-10.627000000000001</v>
      </c>
      <c r="V187" s="40">
        <v>-82.290999999999997</v>
      </c>
      <c r="W187" s="129">
        <f>-116.539-V187</f>
        <v>-34.248000000000005</v>
      </c>
      <c r="X187" s="129">
        <f>-185.552-W187-V187</f>
        <v>-69.012999999999977</v>
      </c>
      <c r="Y187" s="129">
        <f>-299.734-X187-W187-V187</f>
        <v>-114.18200000000002</v>
      </c>
      <c r="Z187" s="129">
        <v>0</v>
      </c>
      <c r="AA187" s="129">
        <v>0</v>
      </c>
      <c r="AB187" s="129">
        <v>0</v>
      </c>
      <c r="AC187" s="129">
        <v>0</v>
      </c>
      <c r="AD187" s="129">
        <v>0</v>
      </c>
      <c r="AE187" s="129">
        <v>0</v>
      </c>
      <c r="AF187" s="129">
        <v>0</v>
      </c>
      <c r="AG187" s="129">
        <v>0</v>
      </c>
      <c r="AH187" s="129">
        <v>0</v>
      </c>
      <c r="AI187" s="129">
        <v>0</v>
      </c>
      <c r="AJ187" s="129">
        <v>0</v>
      </c>
      <c r="AK187" s="129">
        <v>0</v>
      </c>
      <c r="AL187" s="128">
        <v>0</v>
      </c>
      <c r="AM187" s="128">
        <v>0</v>
      </c>
      <c r="AN187" s="128">
        <v>0</v>
      </c>
      <c r="AO187" s="128">
        <v>0</v>
      </c>
      <c r="AP187" s="128">
        <v>0</v>
      </c>
      <c r="AQ187" s="128">
        <v>0</v>
      </c>
      <c r="AR187" s="128">
        <v>0</v>
      </c>
      <c r="AS187" s="128">
        <v>0</v>
      </c>
      <c r="AT187" s="128">
        <v>0</v>
      </c>
      <c r="AU187" s="128">
        <v>0</v>
      </c>
      <c r="AV187" s="128">
        <v>0</v>
      </c>
      <c r="AW187" s="128">
        <v>0</v>
      </c>
      <c r="AX187" s="127"/>
      <c r="AY187" s="127"/>
      <c r="AZ187" s="127"/>
      <c r="BA187" s="127"/>
      <c r="BB187" s="127"/>
      <c r="BC187" s="127"/>
      <c r="BD187" s="127"/>
      <c r="BE187" s="127"/>
      <c r="BF187" s="2">
        <f t="shared" si="192"/>
        <v>181</v>
      </c>
    </row>
    <row r="188" spans="1:58" ht="11.25" customHeight="1" outlineLevel="1">
      <c r="A188" s="11"/>
      <c r="B188" s="3" t="s">
        <v>33</v>
      </c>
      <c r="C188" s="51">
        <f t="shared" si="251"/>
        <v>709.92400000000009</v>
      </c>
      <c r="D188" s="51">
        <f t="shared" si="251"/>
        <v>-14.376000000000019</v>
      </c>
      <c r="E188" s="51">
        <f t="shared" si="251"/>
        <v>4.291999999999998</v>
      </c>
      <c r="F188" s="51">
        <f t="shared" si="251"/>
        <v>-4.5259999999999962</v>
      </c>
      <c r="G188" s="51">
        <f t="shared" si="251"/>
        <v>-7.4429999999999996</v>
      </c>
      <c r="H188" s="51">
        <f t="shared" si="251"/>
        <v>17.229000000000003</v>
      </c>
      <c r="I188" s="51">
        <f t="shared" si="252"/>
        <v>0</v>
      </c>
      <c r="J188" s="51">
        <f t="shared" si="252"/>
        <v>0</v>
      </c>
      <c r="K188" s="51">
        <f t="shared" si="252"/>
        <v>0</v>
      </c>
      <c r="L188" s="108"/>
      <c r="M188" s="51"/>
      <c r="N188" s="40">
        <v>686.572</v>
      </c>
      <c r="O188" s="140">
        <v>20.695</v>
      </c>
      <c r="P188" s="40">
        <v>93.989000000000004</v>
      </c>
      <c r="Q188" s="40">
        <v>-91.331999999999994</v>
      </c>
      <c r="R188" s="40">
        <f>(0.305+196.35+-161.35+0.264+-3.562+-2.573)+4.67</f>
        <v>34.104000000000013</v>
      </c>
      <c r="S188" s="40">
        <f>(22.65+2.13+426.554+-301.554+0.297+-4.601+-5.607-R188)+10.217</f>
        <v>115.98199999999996</v>
      </c>
      <c r="T188" s="129">
        <f>-2.019-S188-R188</f>
        <v>-152.10499999999996</v>
      </c>
      <c r="U188" s="129">
        <f>-13.187-1.189-T188-S188-R188</f>
        <v>-12.357000000000014</v>
      </c>
      <c r="V188" s="129">
        <f>2.974-4.298-0.035</f>
        <v>-1.3589999999999998</v>
      </c>
      <c r="W188" s="129">
        <f>0.739+10.622+11.944+1.295-V188</f>
        <v>25.959</v>
      </c>
      <c r="X188" s="129">
        <f>10.622+20.575-3.111-0.089-W188-V188</f>
        <v>3.3970000000000002</v>
      </c>
      <c r="Y188" s="129">
        <f>7.767+0.724-4.109-0.09-X188-W188-V188</f>
        <v>-23.705000000000002</v>
      </c>
      <c r="Z188" s="129">
        <f>-46.442+1.9-6.367-6.147</f>
        <v>-57.055999999999997</v>
      </c>
      <c r="AA188" s="129">
        <f>-3.718-46.442-2.909+6.765-Z188</f>
        <v>10.752000000000002</v>
      </c>
      <c r="AB188" s="129">
        <f>-3.76-0.692-1.425-AA188-Z188</f>
        <v>40.426999999999992</v>
      </c>
      <c r="AC188" s="129">
        <f>-4.514+2.29-2.302-AB188-AA188-Z188</f>
        <v>1.3510000000000062</v>
      </c>
      <c r="AD188" s="129">
        <f>1.88-2.364-4.232-8.366</f>
        <v>-13.082000000000001</v>
      </c>
      <c r="AE188" s="129">
        <f>1.98-2.389-5.23-6.056-AD188</f>
        <v>1.3870000000000005</v>
      </c>
      <c r="AF188" s="129">
        <f>6.238-2.675-5.41-6.932-AE188-AD188</f>
        <v>2.9160000000000004</v>
      </c>
      <c r="AG188" s="129">
        <f>6.309-2.711-3.082-7.959-AF188-AE188-AD188</f>
        <v>1.3360000000000003</v>
      </c>
      <c r="AH188" s="129">
        <f>4.09+30.6-8.22-0.486+2.194</f>
        <v>28.177999999999997</v>
      </c>
      <c r="AI188" s="129">
        <f>30.6+4.09-8.298+1.324+2.093-AH188</f>
        <v>1.6310000000000002</v>
      </c>
      <c r="AJ188" s="129">
        <f>15.647-9.091-6.789+3.294+30.6-AI188-AH188</f>
        <v>3.8520000000000039</v>
      </c>
      <c r="AK188" s="129">
        <f>-11.967-5.058+30.6+3.654-AJ188-AI188-AH188</f>
        <v>-16.431999999999999</v>
      </c>
      <c r="AL188" s="137">
        <v>0</v>
      </c>
      <c r="AM188" s="137">
        <v>0</v>
      </c>
      <c r="AN188" s="137">
        <v>0</v>
      </c>
      <c r="AO188" s="137">
        <v>0</v>
      </c>
      <c r="AP188" s="137">
        <v>0</v>
      </c>
      <c r="AQ188" s="137">
        <v>0</v>
      </c>
      <c r="AR188" s="137">
        <v>0</v>
      </c>
      <c r="AS188" s="137">
        <v>0</v>
      </c>
      <c r="AT188" s="137">
        <v>0</v>
      </c>
      <c r="AU188" s="137">
        <v>0</v>
      </c>
      <c r="AV188" s="137">
        <v>0</v>
      </c>
      <c r="AW188" s="137">
        <v>0</v>
      </c>
      <c r="AX188" s="127"/>
      <c r="AY188" s="127"/>
      <c r="AZ188" s="127"/>
      <c r="BA188" s="127"/>
      <c r="BB188" s="127"/>
      <c r="BC188" s="127"/>
      <c r="BD188" s="127"/>
      <c r="BE188" s="127"/>
      <c r="BF188" s="2">
        <f t="shared" si="192"/>
        <v>182</v>
      </c>
    </row>
    <row r="189" spans="1:58" ht="11.25" customHeight="1" outlineLevel="1">
      <c r="A189" s="11"/>
      <c r="B189" s="33" t="s">
        <v>127</v>
      </c>
      <c r="C189" s="125">
        <f t="shared" ref="C189:K189" si="255">SUM(C182:C188,C181)</f>
        <v>10.925000000000182</v>
      </c>
      <c r="D189" s="125">
        <f t="shared" si="255"/>
        <v>104.84800000000013</v>
      </c>
      <c r="E189" s="125">
        <f t="shared" si="255"/>
        <v>196.99900000000028</v>
      </c>
      <c r="F189" s="125">
        <f t="shared" si="255"/>
        <v>170.97099999999949</v>
      </c>
      <c r="G189" s="125">
        <f t="shared" si="255"/>
        <v>-376.4260000000001</v>
      </c>
      <c r="H189" s="125">
        <f t="shared" si="255"/>
        <v>-15.590999999999937</v>
      </c>
      <c r="I189" s="125">
        <f t="shared" si="255"/>
        <v>-9.8768709294445216</v>
      </c>
      <c r="J189" s="125">
        <f t="shared" si="255"/>
        <v>169.20441051671361</v>
      </c>
      <c r="K189" s="125">
        <f t="shared" si="255"/>
        <v>185.03632060755103</v>
      </c>
      <c r="L189" s="126"/>
      <c r="M189" s="51"/>
      <c r="N189" s="125">
        <f>SUM(N182:N188,N181)</f>
        <v>55.484000000000037</v>
      </c>
      <c r="O189" s="125">
        <f>SUM(O182:O188,O181)</f>
        <v>7.2789999999999679</v>
      </c>
      <c r="P189" s="125">
        <f>SUM(P182:P188,P181)</f>
        <v>-63.850999999999829</v>
      </c>
      <c r="Q189" s="125">
        <f>SUM(Q182:Q188,Q181)</f>
        <v>12.012999999999892</v>
      </c>
      <c r="R189" s="125">
        <f t="shared" ref="R189:AW189" si="256">SUM(R182:R188,R181)</f>
        <v>-14.123999999999974</v>
      </c>
      <c r="S189" s="125">
        <f t="shared" si="256"/>
        <v>-11.676000000000144</v>
      </c>
      <c r="T189" s="125">
        <f t="shared" si="256"/>
        <v>25.252000000000237</v>
      </c>
      <c r="U189" s="125">
        <f t="shared" si="256"/>
        <v>105.39599999999987</v>
      </c>
      <c r="V189" s="125">
        <f t="shared" si="256"/>
        <v>-50.198999999999998</v>
      </c>
      <c r="W189" s="125">
        <f t="shared" si="256"/>
        <v>55.804999999999993</v>
      </c>
      <c r="X189" s="125">
        <f t="shared" si="256"/>
        <v>118.38900000000005</v>
      </c>
      <c r="Y189" s="125">
        <f t="shared" si="256"/>
        <v>73.004000000000048</v>
      </c>
      <c r="Z189" s="125">
        <f t="shared" si="256"/>
        <v>21.782999999999987</v>
      </c>
      <c r="AA189" s="125">
        <f t="shared" si="256"/>
        <v>85.433000000000035</v>
      </c>
      <c r="AB189" s="125">
        <f t="shared" si="256"/>
        <v>33.411999999999928</v>
      </c>
      <c r="AC189" s="125">
        <f t="shared" si="256"/>
        <v>30.343000000000018</v>
      </c>
      <c r="AD189" s="125">
        <f t="shared" si="256"/>
        <v>-4.7789999999999999</v>
      </c>
      <c r="AE189" s="125">
        <f t="shared" si="256"/>
        <v>-73.390999999999977</v>
      </c>
      <c r="AF189" s="125">
        <f t="shared" si="256"/>
        <v>-207.69200000000004</v>
      </c>
      <c r="AG189" s="125">
        <f t="shared" si="256"/>
        <v>-90.564000000000007</v>
      </c>
      <c r="AH189" s="125">
        <f t="shared" si="256"/>
        <v>-35.825000000000003</v>
      </c>
      <c r="AI189" s="125">
        <f t="shared" si="256"/>
        <v>26.006</v>
      </c>
      <c r="AJ189" s="125">
        <f t="shared" si="256"/>
        <v>-10.747</v>
      </c>
      <c r="AK189" s="125">
        <f t="shared" si="256"/>
        <v>4.975000000000005</v>
      </c>
      <c r="AL189" s="125">
        <f t="shared" si="256"/>
        <v>-8.420548824755123</v>
      </c>
      <c r="AM189" s="125">
        <f t="shared" si="256"/>
        <v>-15.813083235614926</v>
      </c>
      <c r="AN189" s="125">
        <f t="shared" si="256"/>
        <v>-1.3571701589581338</v>
      </c>
      <c r="AO189" s="125">
        <f t="shared" si="256"/>
        <v>15.713931289883604</v>
      </c>
      <c r="AP189" s="125">
        <f t="shared" si="256"/>
        <v>29.940409219524852</v>
      </c>
      <c r="AQ189" s="125">
        <f t="shared" si="256"/>
        <v>42.278726047121935</v>
      </c>
      <c r="AR189" s="125">
        <f t="shared" si="256"/>
        <v>46.38258624090885</v>
      </c>
      <c r="AS189" s="125">
        <f t="shared" si="256"/>
        <v>50.602689009157984</v>
      </c>
      <c r="AT189" s="125">
        <f t="shared" si="256"/>
        <v>44.786431246673146</v>
      </c>
      <c r="AU189" s="125">
        <f t="shared" si="256"/>
        <v>45.875089703032884</v>
      </c>
      <c r="AV189" s="125">
        <f t="shared" si="256"/>
        <v>46.739480061231376</v>
      </c>
      <c r="AW189" s="125">
        <f t="shared" si="256"/>
        <v>47.635319596613655</v>
      </c>
      <c r="AX189" s="53"/>
      <c r="AY189" s="53"/>
      <c r="AZ189" s="53"/>
      <c r="BA189" s="53"/>
      <c r="BB189" s="53"/>
      <c r="BC189" s="53"/>
      <c r="BD189" s="53"/>
      <c r="BE189" s="53"/>
      <c r="BF189" s="2">
        <f t="shared" si="192"/>
        <v>183</v>
      </c>
    </row>
    <row r="190" spans="1:58" ht="11.25" customHeight="1" outlineLevel="1">
      <c r="A190" s="11"/>
      <c r="B190" s="76"/>
      <c r="C190" s="74"/>
      <c r="D190" s="74">
        <f t="shared" ref="D190:K190" si="257">ROUND((D194-C194)-D189,3)</f>
        <v>0</v>
      </c>
      <c r="E190" s="74">
        <f t="shared" si="257"/>
        <v>0</v>
      </c>
      <c r="F190" s="74">
        <f t="shared" si="257"/>
        <v>0</v>
      </c>
      <c r="G190" s="74">
        <f t="shared" si="257"/>
        <v>0</v>
      </c>
      <c r="H190" s="74">
        <f t="shared" si="257"/>
        <v>0</v>
      </c>
      <c r="I190" s="74">
        <f t="shared" si="257"/>
        <v>0</v>
      </c>
      <c r="J190" s="74">
        <f t="shared" si="257"/>
        <v>0</v>
      </c>
      <c r="K190" s="74">
        <f t="shared" si="257"/>
        <v>0</v>
      </c>
      <c r="L190" s="74"/>
      <c r="M190" s="75"/>
      <c r="N190" s="74"/>
      <c r="O190" s="74">
        <f>ROUND((O194-N194)-O189,3)</f>
        <v>0</v>
      </c>
      <c r="P190" s="74">
        <f>ROUND((P194-O194)-P189,3)</f>
        <v>0</v>
      </c>
      <c r="Q190" s="74">
        <f>ROUND((Q194-P194)-Q189,3)</f>
        <v>0</v>
      </c>
      <c r="R190" s="74">
        <f>ROUND((R194-Q194)-R189,3)</f>
        <v>0</v>
      </c>
      <c r="S190" s="74">
        <f t="shared" ref="S190:AW190" si="258">ROUND((S194-R194)-S189,3)</f>
        <v>0</v>
      </c>
      <c r="T190" s="74">
        <f t="shared" si="258"/>
        <v>0</v>
      </c>
      <c r="U190" s="74">
        <f t="shared" si="258"/>
        <v>0</v>
      </c>
      <c r="V190" s="74">
        <f t="shared" si="258"/>
        <v>0</v>
      </c>
      <c r="W190" s="74">
        <f t="shared" si="258"/>
        <v>0</v>
      </c>
      <c r="X190" s="74">
        <f t="shared" si="258"/>
        <v>0</v>
      </c>
      <c r="Y190" s="74">
        <f t="shared" si="258"/>
        <v>0</v>
      </c>
      <c r="Z190" s="74">
        <f t="shared" si="258"/>
        <v>0</v>
      </c>
      <c r="AA190" s="74">
        <f t="shared" si="258"/>
        <v>0</v>
      </c>
      <c r="AB190" s="74">
        <f t="shared" si="258"/>
        <v>0</v>
      </c>
      <c r="AC190" s="74">
        <f t="shared" si="258"/>
        <v>0</v>
      </c>
      <c r="AD190" s="73">
        <f t="shared" si="258"/>
        <v>0</v>
      </c>
      <c r="AE190" s="73">
        <f t="shared" si="258"/>
        <v>0</v>
      </c>
      <c r="AF190" s="73">
        <f t="shared" si="258"/>
        <v>0</v>
      </c>
      <c r="AG190" s="73">
        <f t="shared" si="258"/>
        <v>0</v>
      </c>
      <c r="AH190" s="73">
        <f t="shared" si="258"/>
        <v>0</v>
      </c>
      <c r="AI190" s="73">
        <f t="shared" si="258"/>
        <v>0</v>
      </c>
      <c r="AJ190" s="73">
        <f t="shared" si="258"/>
        <v>0</v>
      </c>
      <c r="AK190" s="73">
        <f t="shared" si="258"/>
        <v>0</v>
      </c>
      <c r="AL190" s="74">
        <f t="shared" si="258"/>
        <v>0</v>
      </c>
      <c r="AM190" s="74">
        <f t="shared" si="258"/>
        <v>0</v>
      </c>
      <c r="AN190" s="74">
        <f t="shared" si="258"/>
        <v>0</v>
      </c>
      <c r="AO190" s="74">
        <f t="shared" si="258"/>
        <v>0</v>
      </c>
      <c r="AP190" s="74">
        <f t="shared" si="258"/>
        <v>0</v>
      </c>
      <c r="AQ190" s="74">
        <f t="shared" si="258"/>
        <v>0</v>
      </c>
      <c r="AR190" s="74">
        <f t="shared" si="258"/>
        <v>0</v>
      </c>
      <c r="AS190" s="74">
        <f t="shared" si="258"/>
        <v>0</v>
      </c>
      <c r="AT190" s="74">
        <f t="shared" si="258"/>
        <v>0</v>
      </c>
      <c r="AU190" s="74">
        <f t="shared" si="258"/>
        <v>0</v>
      </c>
      <c r="AV190" s="74">
        <f t="shared" si="258"/>
        <v>0</v>
      </c>
      <c r="AW190" s="74">
        <f t="shared" si="258"/>
        <v>0</v>
      </c>
      <c r="AX190" s="72"/>
      <c r="AY190" s="72"/>
      <c r="AZ190" s="72"/>
      <c r="BA190" s="72"/>
      <c r="BB190" s="72"/>
      <c r="BC190" s="72"/>
      <c r="BD190" s="72"/>
      <c r="BE190" s="72"/>
      <c r="BF190" s="2">
        <f t="shared" si="192"/>
        <v>184</v>
      </c>
    </row>
    <row r="191" spans="1:58" ht="11.25" customHeight="1">
      <c r="A191" s="11" t="s">
        <v>5</v>
      </c>
      <c r="B191" s="43" t="s">
        <v>126</v>
      </c>
      <c r="C191" s="3"/>
      <c r="D191" s="3"/>
      <c r="E191" s="3"/>
      <c r="F191" s="3"/>
      <c r="G191" s="3"/>
      <c r="H191" s="3"/>
      <c r="I191" s="3"/>
      <c r="J191" s="3"/>
      <c r="K191" s="3"/>
      <c r="L191" s="55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5"/>
      <c r="AY191" s="5"/>
      <c r="AZ191" s="5"/>
      <c r="BA191" s="5"/>
      <c r="BB191" s="5"/>
      <c r="BC191" s="5"/>
      <c r="BD191" s="5"/>
      <c r="BE191" s="5"/>
      <c r="BF191" s="2">
        <f t="shared" si="192"/>
        <v>185</v>
      </c>
    </row>
    <row r="192" spans="1:58" ht="11.25" customHeight="1" outlineLevel="1">
      <c r="A192" s="50"/>
      <c r="B192" s="139" t="s">
        <v>125</v>
      </c>
      <c r="C192" s="115">
        <f t="shared" ref="C192:K192" si="259">C$7</f>
        <v>2012</v>
      </c>
      <c r="D192" s="115">
        <f t="shared" si="259"/>
        <v>2013</v>
      </c>
      <c r="E192" s="115">
        <f t="shared" si="259"/>
        <v>2014</v>
      </c>
      <c r="F192" s="115">
        <f t="shared" si="259"/>
        <v>2015</v>
      </c>
      <c r="G192" s="115">
        <f t="shared" si="259"/>
        <v>2016</v>
      </c>
      <c r="H192" s="115">
        <f t="shared" si="259"/>
        <v>2017</v>
      </c>
      <c r="I192" s="115" t="str">
        <f t="shared" si="259"/>
        <v>2018E</v>
      </c>
      <c r="J192" s="115" t="str">
        <f t="shared" si="259"/>
        <v>2019E</v>
      </c>
      <c r="K192" s="115" t="str">
        <f t="shared" si="259"/>
        <v>2020E</v>
      </c>
      <c r="L192" s="116"/>
      <c r="M192" s="3"/>
      <c r="N192" s="115" t="str">
        <f>N$7</f>
        <v>1Q12</v>
      </c>
      <c r="O192" s="115" t="str">
        <f>O$7</f>
        <v>2Q12</v>
      </c>
      <c r="P192" s="115" t="str">
        <f>P$7</f>
        <v>3Q12</v>
      </c>
      <c r="Q192" s="115" t="str">
        <f>Q$7</f>
        <v>4Q12</v>
      </c>
      <c r="R192" s="115" t="str">
        <f t="shared" ref="R192:AW192" si="260">R$7</f>
        <v>1Q13</v>
      </c>
      <c r="S192" s="115" t="str">
        <f t="shared" si="260"/>
        <v>2Q13</v>
      </c>
      <c r="T192" s="115" t="str">
        <f t="shared" si="260"/>
        <v>3Q13</v>
      </c>
      <c r="U192" s="115" t="str">
        <f t="shared" si="260"/>
        <v>4Q13</v>
      </c>
      <c r="V192" s="115" t="str">
        <f t="shared" si="260"/>
        <v>1Q14</v>
      </c>
      <c r="W192" s="115" t="str">
        <f t="shared" si="260"/>
        <v>2Q14</v>
      </c>
      <c r="X192" s="115" t="str">
        <f t="shared" si="260"/>
        <v>3Q14</v>
      </c>
      <c r="Y192" s="115" t="str">
        <f t="shared" si="260"/>
        <v>4Q14</v>
      </c>
      <c r="Z192" s="115" t="str">
        <f t="shared" si="260"/>
        <v>1Q15</v>
      </c>
      <c r="AA192" s="115" t="str">
        <f t="shared" si="260"/>
        <v>2Q15</v>
      </c>
      <c r="AB192" s="115" t="str">
        <f t="shared" si="260"/>
        <v>3Q15</v>
      </c>
      <c r="AC192" s="115" t="str">
        <f t="shared" si="260"/>
        <v>4Q15</v>
      </c>
      <c r="AD192" s="115" t="str">
        <f t="shared" si="260"/>
        <v>1Q16</v>
      </c>
      <c r="AE192" s="115" t="str">
        <f t="shared" si="260"/>
        <v>2Q16</v>
      </c>
      <c r="AF192" s="115" t="str">
        <f t="shared" si="260"/>
        <v>3Q16</v>
      </c>
      <c r="AG192" s="115" t="str">
        <f t="shared" si="260"/>
        <v>4Q16</v>
      </c>
      <c r="AH192" s="115" t="str">
        <f t="shared" si="260"/>
        <v>1Q17</v>
      </c>
      <c r="AI192" s="115" t="str">
        <f t="shared" si="260"/>
        <v>2Q17</v>
      </c>
      <c r="AJ192" s="115" t="str">
        <f t="shared" si="260"/>
        <v>3Q17</v>
      </c>
      <c r="AK192" s="115" t="str">
        <f t="shared" si="260"/>
        <v>4Q17</v>
      </c>
      <c r="AL192" s="115" t="str">
        <f t="shared" si="260"/>
        <v>1Q18E</v>
      </c>
      <c r="AM192" s="115" t="str">
        <f t="shared" si="260"/>
        <v>2Q18E</v>
      </c>
      <c r="AN192" s="115" t="str">
        <f t="shared" si="260"/>
        <v>3Q18E</v>
      </c>
      <c r="AO192" s="115" t="str">
        <f t="shared" si="260"/>
        <v>4Q18E</v>
      </c>
      <c r="AP192" s="115" t="str">
        <f t="shared" si="260"/>
        <v>1Q19E</v>
      </c>
      <c r="AQ192" s="115" t="str">
        <f t="shared" si="260"/>
        <v>2Q19E</v>
      </c>
      <c r="AR192" s="115" t="str">
        <f t="shared" si="260"/>
        <v>3Q19E</v>
      </c>
      <c r="AS192" s="115" t="str">
        <f t="shared" si="260"/>
        <v>4Q19E</v>
      </c>
      <c r="AT192" s="115" t="str">
        <f t="shared" si="260"/>
        <v>1Q20E</v>
      </c>
      <c r="AU192" s="115" t="str">
        <f t="shared" si="260"/>
        <v>2Q20E</v>
      </c>
      <c r="AV192" s="115" t="str">
        <f t="shared" si="260"/>
        <v>3Q20E</v>
      </c>
      <c r="AW192" s="115" t="str">
        <f t="shared" si="260"/>
        <v>4Q20E</v>
      </c>
      <c r="AX192" s="114"/>
      <c r="AY192" s="114"/>
      <c r="AZ192" s="114"/>
      <c r="BA192" s="114"/>
      <c r="BB192" s="114"/>
      <c r="BC192" s="114"/>
      <c r="BD192" s="114"/>
      <c r="BE192" s="114"/>
      <c r="BF192" s="2">
        <f t="shared" si="192"/>
        <v>186</v>
      </c>
    </row>
    <row r="193" spans="1:58" ht="11.25" customHeight="1" outlineLevel="1">
      <c r="A193" s="50"/>
      <c r="B193" s="138" t="s">
        <v>124</v>
      </c>
      <c r="C193" s="114"/>
      <c r="D193" s="114"/>
      <c r="E193" s="114"/>
      <c r="F193" s="114"/>
      <c r="G193" s="114"/>
      <c r="H193" s="114"/>
      <c r="I193" s="114"/>
      <c r="J193" s="114"/>
      <c r="K193" s="114"/>
      <c r="L193" s="116"/>
      <c r="M193" s="3"/>
      <c r="N193" s="114"/>
      <c r="O193" s="114"/>
      <c r="P193" s="114"/>
      <c r="Q193" s="114"/>
      <c r="R193" s="114"/>
      <c r="S193" s="114"/>
      <c r="T193" s="114"/>
      <c r="U193" s="114"/>
      <c r="V193" s="114"/>
      <c r="W193" s="114"/>
      <c r="X193" s="114"/>
      <c r="Y193" s="114"/>
      <c r="Z193" s="114"/>
      <c r="AA193" s="114"/>
      <c r="AB193" s="114"/>
      <c r="AC193" s="114"/>
      <c r="AD193" s="114"/>
      <c r="AE193" s="114"/>
      <c r="AF193" s="114"/>
      <c r="AG193" s="114"/>
      <c r="AH193" s="114"/>
      <c r="AI193" s="114"/>
      <c r="AJ193" s="114"/>
      <c r="AK193" s="114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5"/>
      <c r="AY193" s="5"/>
      <c r="AZ193" s="5"/>
      <c r="BA193" s="5"/>
      <c r="BB193" s="5"/>
      <c r="BC193" s="5"/>
      <c r="BD193" s="5"/>
      <c r="BE193" s="5"/>
      <c r="BF193" s="2">
        <f t="shared" si="192"/>
        <v>187</v>
      </c>
    </row>
    <row r="194" spans="1:58" ht="11.25" customHeight="1" outlineLevel="1">
      <c r="A194" s="50"/>
      <c r="B194" s="48" t="s">
        <v>123</v>
      </c>
      <c r="C194" s="51">
        <f t="shared" ref="C194:K198" si="261">INDEX($N194:$AX194,1,MATCH(C$5,$N$5:$AX$5,0))</f>
        <v>91.198999999999998</v>
      </c>
      <c r="D194" s="51">
        <f t="shared" si="261"/>
        <v>196.047</v>
      </c>
      <c r="E194" s="51">
        <f t="shared" si="261"/>
        <v>393.04599999999999</v>
      </c>
      <c r="F194" s="51">
        <f t="shared" si="261"/>
        <v>564.01700000000005</v>
      </c>
      <c r="G194" s="51">
        <f t="shared" si="261"/>
        <v>187.59100000000001</v>
      </c>
      <c r="H194" s="51">
        <f t="shared" si="261"/>
        <v>172</v>
      </c>
      <c r="I194" s="51">
        <f t="shared" si="261"/>
        <v>162.12312907055542</v>
      </c>
      <c r="J194" s="51">
        <f t="shared" si="261"/>
        <v>331.32753958726903</v>
      </c>
      <c r="K194" s="51">
        <f t="shared" si="261"/>
        <v>516.36386019482006</v>
      </c>
      <c r="L194" s="108"/>
      <c r="M194" s="51"/>
      <c r="N194" s="40">
        <v>135.75800000000001</v>
      </c>
      <c r="O194" s="40">
        <v>143.03700000000001</v>
      </c>
      <c r="P194" s="40">
        <v>79.186000000000007</v>
      </c>
      <c r="Q194" s="40">
        <v>91.198999999999998</v>
      </c>
      <c r="R194" s="40">
        <v>77.075000000000003</v>
      </c>
      <c r="S194" s="40">
        <v>65.399000000000001</v>
      </c>
      <c r="T194" s="40">
        <v>90.650999999999996</v>
      </c>
      <c r="U194" s="40">
        <v>196.047</v>
      </c>
      <c r="V194" s="40">
        <v>145.84800000000001</v>
      </c>
      <c r="W194" s="40">
        <v>201.65299999999999</v>
      </c>
      <c r="X194" s="129">
        <v>320.04199999999997</v>
      </c>
      <c r="Y194" s="129">
        <v>393.04599999999999</v>
      </c>
      <c r="Z194" s="129">
        <v>414.82900000000001</v>
      </c>
      <c r="AA194" s="129">
        <v>500.262</v>
      </c>
      <c r="AB194" s="129">
        <v>533.67399999999998</v>
      </c>
      <c r="AC194" s="129">
        <v>564.01700000000005</v>
      </c>
      <c r="AD194" s="129">
        <v>559.23800000000006</v>
      </c>
      <c r="AE194" s="129">
        <v>485.84699999999998</v>
      </c>
      <c r="AF194" s="129">
        <v>278.15499999999997</v>
      </c>
      <c r="AG194" s="129">
        <v>187.59100000000001</v>
      </c>
      <c r="AH194" s="129">
        <v>151.76599999999999</v>
      </c>
      <c r="AI194" s="129">
        <v>177.77199999999999</v>
      </c>
      <c r="AJ194" s="129">
        <v>167.02500000000001</v>
      </c>
      <c r="AK194" s="129">
        <v>172</v>
      </c>
      <c r="AL194" s="53">
        <f t="shared" ref="AL194:AW194" si="262">AK194+AL189</f>
        <v>163.57945117524488</v>
      </c>
      <c r="AM194" s="53">
        <f t="shared" si="262"/>
        <v>147.76636793962996</v>
      </c>
      <c r="AN194" s="53">
        <f t="shared" si="262"/>
        <v>146.40919778067183</v>
      </c>
      <c r="AO194" s="53">
        <f t="shared" si="262"/>
        <v>162.12312907055542</v>
      </c>
      <c r="AP194" s="53">
        <f t="shared" si="262"/>
        <v>192.06353829008026</v>
      </c>
      <c r="AQ194" s="53">
        <f t="shared" si="262"/>
        <v>234.34226433720221</v>
      </c>
      <c r="AR194" s="53">
        <f t="shared" si="262"/>
        <v>280.72485057811105</v>
      </c>
      <c r="AS194" s="53">
        <f t="shared" si="262"/>
        <v>331.32753958726903</v>
      </c>
      <c r="AT194" s="53">
        <f t="shared" si="262"/>
        <v>376.11397083394218</v>
      </c>
      <c r="AU194" s="53">
        <f t="shared" si="262"/>
        <v>421.98906053697505</v>
      </c>
      <c r="AV194" s="53">
        <f t="shared" si="262"/>
        <v>468.72854059820645</v>
      </c>
      <c r="AW194" s="53">
        <f t="shared" si="262"/>
        <v>516.36386019482006</v>
      </c>
      <c r="AX194" s="53"/>
      <c r="AY194" s="53"/>
      <c r="AZ194" s="53"/>
      <c r="BA194" s="53"/>
      <c r="BB194" s="53"/>
      <c r="BC194" s="53"/>
      <c r="BD194" s="53"/>
      <c r="BE194" s="53"/>
      <c r="BF194" s="2">
        <f t="shared" si="192"/>
        <v>188</v>
      </c>
    </row>
    <row r="195" spans="1:58" ht="11.25" customHeight="1" outlineLevel="1">
      <c r="A195" s="50"/>
      <c r="B195" s="48" t="s">
        <v>122</v>
      </c>
      <c r="C195" s="51">
        <f t="shared" si="261"/>
        <v>1027.2180000000001</v>
      </c>
      <c r="D195" s="51">
        <f t="shared" si="261"/>
        <v>937.19500000000005</v>
      </c>
      <c r="E195" s="51">
        <f t="shared" si="261"/>
        <v>926.76800000000003</v>
      </c>
      <c r="F195" s="51">
        <f t="shared" si="261"/>
        <v>428.51400000000001</v>
      </c>
      <c r="G195" s="51">
        <f t="shared" si="261"/>
        <v>297.16399999999999</v>
      </c>
      <c r="H195" s="51">
        <f t="shared" si="261"/>
        <v>398.05599999999998</v>
      </c>
      <c r="I195" s="51">
        <f t="shared" si="261"/>
        <v>481.42746541649319</v>
      </c>
      <c r="J195" s="51">
        <f t="shared" si="261"/>
        <v>538.37106290898964</v>
      </c>
      <c r="K195" s="51">
        <f t="shared" si="261"/>
        <v>551.14977499463271</v>
      </c>
      <c r="L195" s="108"/>
      <c r="M195" s="51"/>
      <c r="N195" s="40">
        <v>1035.9849999999999</v>
      </c>
      <c r="O195" s="40">
        <v>1065.03</v>
      </c>
      <c r="P195" s="40">
        <v>1129.7139999999999</v>
      </c>
      <c r="Q195" s="40">
        <v>1027.2180000000001</v>
      </c>
      <c r="R195" s="40">
        <v>1030.674</v>
      </c>
      <c r="S195" s="40">
        <v>1031.325</v>
      </c>
      <c r="T195" s="40">
        <v>1030.232</v>
      </c>
      <c r="U195" s="40">
        <v>937.19500000000005</v>
      </c>
      <c r="V195" s="40">
        <v>906.23500000000001</v>
      </c>
      <c r="W195" s="40">
        <v>925.90099999999995</v>
      </c>
      <c r="X195" s="129">
        <v>967.94299999999998</v>
      </c>
      <c r="Y195" s="129">
        <v>926.76800000000003</v>
      </c>
      <c r="Z195" s="129">
        <v>770.846</v>
      </c>
      <c r="AA195" s="129">
        <v>570.52800000000002</v>
      </c>
      <c r="AB195" s="129">
        <v>488.84800000000001</v>
      </c>
      <c r="AC195" s="129">
        <v>428.51400000000001</v>
      </c>
      <c r="AD195" s="129">
        <v>356.84199999999998</v>
      </c>
      <c r="AE195" s="129">
        <v>306.48399999999998</v>
      </c>
      <c r="AF195" s="129">
        <v>271.32299999999998</v>
      </c>
      <c r="AG195" s="129">
        <v>297.16399999999999</v>
      </c>
      <c r="AH195" s="129">
        <v>329.77</v>
      </c>
      <c r="AI195" s="129">
        <v>396.81400000000002</v>
      </c>
      <c r="AJ195" s="129">
        <v>424.77600000000001</v>
      </c>
      <c r="AK195" s="129">
        <v>398.05599999999998</v>
      </c>
      <c r="AL195" s="53">
        <f t="shared" ref="AL195:AW195" si="263">AL15/AL254*4</f>
        <v>390.7037965519018</v>
      </c>
      <c r="AM195" s="53">
        <f t="shared" si="263"/>
        <v>414.4021259685673</v>
      </c>
      <c r="AN195" s="53">
        <f t="shared" si="263"/>
        <v>452.59133280986299</v>
      </c>
      <c r="AO195" s="53">
        <f t="shared" si="263"/>
        <v>481.42746541649319</v>
      </c>
      <c r="AP195" s="53">
        <f t="shared" si="263"/>
        <v>501.14597458048263</v>
      </c>
      <c r="AQ195" s="53">
        <f t="shared" si="263"/>
        <v>513.22373700901551</v>
      </c>
      <c r="AR195" s="53">
        <f t="shared" si="263"/>
        <v>525.62866390025511</v>
      </c>
      <c r="AS195" s="53">
        <f t="shared" si="263"/>
        <v>538.37106290898964</v>
      </c>
      <c r="AT195" s="53">
        <f t="shared" si="263"/>
        <v>541.6330655545155</v>
      </c>
      <c r="AU195" s="53">
        <f t="shared" si="263"/>
        <v>544.72019240768213</v>
      </c>
      <c r="AV195" s="53">
        <f t="shared" si="263"/>
        <v>547.89146641581522</v>
      </c>
      <c r="AW195" s="53">
        <f t="shared" si="263"/>
        <v>551.14977499463271</v>
      </c>
      <c r="AX195" s="53"/>
      <c r="AY195" s="53"/>
      <c r="AZ195" s="53"/>
      <c r="BA195" s="53"/>
      <c r="BB195" s="53"/>
      <c r="BC195" s="53"/>
      <c r="BD195" s="53"/>
      <c r="BE195" s="53"/>
      <c r="BF195" s="2">
        <f t="shared" si="192"/>
        <v>189</v>
      </c>
    </row>
    <row r="196" spans="1:58" ht="11.25" customHeight="1" outlineLevel="1">
      <c r="A196" s="50"/>
      <c r="B196" s="48" t="s">
        <v>121</v>
      </c>
      <c r="C196" s="51">
        <f t="shared" si="261"/>
        <v>214.63</v>
      </c>
      <c r="D196" s="51">
        <f t="shared" si="261"/>
        <v>258.44900000000001</v>
      </c>
      <c r="E196" s="51">
        <f t="shared" si="261"/>
        <v>185.429</v>
      </c>
      <c r="F196" s="51">
        <f t="shared" si="261"/>
        <v>165.06200000000001</v>
      </c>
      <c r="G196" s="51">
        <f t="shared" si="261"/>
        <v>130.77199999999999</v>
      </c>
      <c r="H196" s="51">
        <f t="shared" si="261"/>
        <v>134.03200000000001</v>
      </c>
      <c r="I196" s="51">
        <f t="shared" si="261"/>
        <v>143.0515179090165</v>
      </c>
      <c r="J196" s="51">
        <f t="shared" si="261"/>
        <v>158.32179664005363</v>
      </c>
      <c r="K196" s="51">
        <f t="shared" si="261"/>
        <v>160.72953912032236</v>
      </c>
      <c r="L196" s="108"/>
      <c r="M196" s="51"/>
      <c r="N196" s="40">
        <v>133.19999999999999</v>
      </c>
      <c r="O196" s="40">
        <v>286.78800000000001</v>
      </c>
      <c r="P196" s="40">
        <v>180.197</v>
      </c>
      <c r="Q196" s="40">
        <f>214.63</f>
        <v>214.63</v>
      </c>
      <c r="R196" s="40">
        <v>244.09</v>
      </c>
      <c r="S196" s="40">
        <v>245.16399999999999</v>
      </c>
      <c r="T196" s="40">
        <v>272.53699999999998</v>
      </c>
      <c r="U196" s="40">
        <v>258.44900000000001</v>
      </c>
      <c r="V196" s="40">
        <v>202.02699999999999</v>
      </c>
      <c r="W196" s="40">
        <v>178.47</v>
      </c>
      <c r="X196" s="129">
        <v>185.613</v>
      </c>
      <c r="Y196" s="129">
        <v>185.429</v>
      </c>
      <c r="Z196" s="129">
        <v>203.41200000000001</v>
      </c>
      <c r="AA196" s="129">
        <v>192.93</v>
      </c>
      <c r="AB196" s="129">
        <v>187.28299999999999</v>
      </c>
      <c r="AC196" s="129">
        <v>165.06200000000001</v>
      </c>
      <c r="AD196" s="129">
        <v>154.50299999999999</v>
      </c>
      <c r="AE196" s="129">
        <v>151.917</v>
      </c>
      <c r="AF196" s="129">
        <v>151.084</v>
      </c>
      <c r="AG196" s="129">
        <v>130.77199999999999</v>
      </c>
      <c r="AH196" s="129">
        <v>139.631</v>
      </c>
      <c r="AI196" s="129">
        <v>141.292</v>
      </c>
      <c r="AJ196" s="129">
        <v>139.828</v>
      </c>
      <c r="AK196" s="129">
        <v>134.03200000000001</v>
      </c>
      <c r="AL196" s="53">
        <f t="shared" ref="AL196:AW196" si="264">AL149/AL256*4</f>
        <v>124.92761121360675</v>
      </c>
      <c r="AM196" s="53">
        <f t="shared" si="264"/>
        <v>126.37502688722455</v>
      </c>
      <c r="AN196" s="53">
        <f t="shared" si="264"/>
        <v>134.38793824989042</v>
      </c>
      <c r="AO196" s="53">
        <f t="shared" si="264"/>
        <v>143.0515179090165</v>
      </c>
      <c r="AP196" s="53">
        <f t="shared" si="264"/>
        <v>148.26633146483829</v>
      </c>
      <c r="AQ196" s="53">
        <f t="shared" si="264"/>
        <v>151.53602956863989</v>
      </c>
      <c r="AR196" s="53">
        <f t="shared" si="264"/>
        <v>154.88707646732107</v>
      </c>
      <c r="AS196" s="53">
        <f t="shared" si="264"/>
        <v>158.32179664005363</v>
      </c>
      <c r="AT196" s="53">
        <f t="shared" si="264"/>
        <v>158.97027921399234</v>
      </c>
      <c r="AU196" s="53">
        <f t="shared" si="264"/>
        <v>159.53779403076334</v>
      </c>
      <c r="AV196" s="53">
        <f t="shared" si="264"/>
        <v>160.12394640648961</v>
      </c>
      <c r="AW196" s="53">
        <f t="shared" si="264"/>
        <v>160.72953912032236</v>
      </c>
      <c r="AX196" s="53"/>
      <c r="AY196" s="53"/>
      <c r="AZ196" s="53"/>
      <c r="BA196" s="53"/>
      <c r="BB196" s="53"/>
      <c r="BC196" s="53"/>
      <c r="BD196" s="53"/>
      <c r="BE196" s="53"/>
      <c r="BF196" s="2">
        <f t="shared" si="192"/>
        <v>190</v>
      </c>
    </row>
    <row r="197" spans="1:58" ht="11.25" customHeight="1" outlineLevel="1">
      <c r="A197" s="50"/>
      <c r="B197" s="48" t="s">
        <v>107</v>
      </c>
      <c r="C197" s="51">
        <f t="shared" si="261"/>
        <v>34.119999999999997</v>
      </c>
      <c r="D197" s="51">
        <f t="shared" si="261"/>
        <v>8.7850000000000001</v>
      </c>
      <c r="E197" s="51">
        <f t="shared" si="261"/>
        <v>32.137999999999998</v>
      </c>
      <c r="F197" s="51">
        <f t="shared" si="261"/>
        <v>0</v>
      </c>
      <c r="G197" s="51">
        <f t="shared" si="261"/>
        <v>0</v>
      </c>
      <c r="H197" s="51">
        <f t="shared" si="261"/>
        <v>0</v>
      </c>
      <c r="I197" s="51">
        <f t="shared" si="261"/>
        <v>30.777075520071989</v>
      </c>
      <c r="J197" s="51">
        <f t="shared" si="261"/>
        <v>31.167289957111045</v>
      </c>
      <c r="K197" s="51">
        <f t="shared" si="261"/>
        <v>31.167289957111045</v>
      </c>
      <c r="L197" s="108"/>
      <c r="M197" s="51"/>
      <c r="N197" s="40">
        <v>0</v>
      </c>
      <c r="O197" s="40">
        <f>N197</f>
        <v>0</v>
      </c>
      <c r="P197" s="40">
        <v>31.306000000000001</v>
      </c>
      <c r="Q197" s="40">
        <v>34.119999999999997</v>
      </c>
      <c r="R197" s="40">
        <v>27.317</v>
      </c>
      <c r="S197" s="40">
        <v>20.731999999999999</v>
      </c>
      <c r="T197" s="40">
        <v>18.423999999999999</v>
      </c>
      <c r="U197" s="40">
        <v>8.7850000000000001</v>
      </c>
      <c r="V197" s="40">
        <v>6.367</v>
      </c>
      <c r="W197" s="40">
        <v>11.717000000000001</v>
      </c>
      <c r="X197" s="129">
        <v>27.024000000000001</v>
      </c>
      <c r="Y197" s="129">
        <v>32.137999999999998</v>
      </c>
      <c r="Z197" s="129">
        <v>25.064</v>
      </c>
      <c r="AA197" s="129">
        <v>26.387</v>
      </c>
      <c r="AB197" s="129">
        <v>25.288</v>
      </c>
      <c r="AC197" s="129">
        <v>0</v>
      </c>
      <c r="AD197" s="129">
        <v>0</v>
      </c>
      <c r="AE197" s="129">
        <v>0</v>
      </c>
      <c r="AF197" s="129">
        <v>0</v>
      </c>
      <c r="AG197" s="129">
        <v>0</v>
      </c>
      <c r="AH197" s="129">
        <v>0</v>
      </c>
      <c r="AI197" s="129">
        <v>0</v>
      </c>
      <c r="AJ197" s="129">
        <v>0</v>
      </c>
      <c r="AK197" s="129">
        <v>0</v>
      </c>
      <c r="AL197" s="53">
        <f t="shared" ref="AL197:AW197" si="265">+AK197+MAX(AL35,0)</f>
        <v>13.384401097</v>
      </c>
      <c r="AM197" s="53">
        <f t="shared" si="265"/>
        <v>23.253882365165005</v>
      </c>
      <c r="AN197" s="53">
        <f t="shared" si="265"/>
        <v>28.277998532562073</v>
      </c>
      <c r="AO197" s="53">
        <f t="shared" si="265"/>
        <v>30.777075520071989</v>
      </c>
      <c r="AP197" s="53">
        <f t="shared" si="265"/>
        <v>31.167289957111045</v>
      </c>
      <c r="AQ197" s="53">
        <f t="shared" si="265"/>
        <v>31.167289957111045</v>
      </c>
      <c r="AR197" s="53">
        <f t="shared" si="265"/>
        <v>31.167289957111045</v>
      </c>
      <c r="AS197" s="53">
        <f t="shared" si="265"/>
        <v>31.167289957111045</v>
      </c>
      <c r="AT197" s="53">
        <f t="shared" si="265"/>
        <v>31.167289957111045</v>
      </c>
      <c r="AU197" s="53">
        <f t="shared" si="265"/>
        <v>31.167289957111045</v>
      </c>
      <c r="AV197" s="53">
        <f t="shared" si="265"/>
        <v>31.167289957111045</v>
      </c>
      <c r="AW197" s="53">
        <f t="shared" si="265"/>
        <v>31.167289957111045</v>
      </c>
      <c r="AX197" s="53"/>
      <c r="AY197" s="53"/>
      <c r="AZ197" s="53"/>
      <c r="BA197" s="53"/>
      <c r="BB197" s="53"/>
      <c r="BC197" s="53"/>
      <c r="BD197" s="53"/>
      <c r="BE197" s="53"/>
      <c r="BF197" s="2">
        <f t="shared" si="192"/>
        <v>191</v>
      </c>
    </row>
    <row r="198" spans="1:58" ht="11.25" customHeight="1" outlineLevel="1">
      <c r="A198" s="50"/>
      <c r="B198" s="48" t="s">
        <v>120</v>
      </c>
      <c r="C198" s="51">
        <f t="shared" si="261"/>
        <v>93.19</v>
      </c>
      <c r="D198" s="51">
        <f t="shared" si="261"/>
        <v>75.953000000000003</v>
      </c>
      <c r="E198" s="51">
        <f t="shared" si="261"/>
        <v>191.43</v>
      </c>
      <c r="F198" s="51">
        <f t="shared" si="261"/>
        <v>137.53199999999998</v>
      </c>
      <c r="G198" s="51">
        <f t="shared" si="261"/>
        <v>166.024</v>
      </c>
      <c r="H198" s="51">
        <f t="shared" si="261"/>
        <v>56.731000000000002</v>
      </c>
      <c r="I198" s="51">
        <f t="shared" si="261"/>
        <v>56.731000000000002</v>
      </c>
      <c r="J198" s="51">
        <f t="shared" si="261"/>
        <v>56.731000000000002</v>
      </c>
      <c r="K198" s="51">
        <f t="shared" si="261"/>
        <v>56.731000000000002</v>
      </c>
      <c r="L198" s="108"/>
      <c r="M198" s="51"/>
      <c r="N198" s="40">
        <f>72.792+278.229-N196</f>
        <v>217.82099999999997</v>
      </c>
      <c r="O198" s="40">
        <v>86.733999999999995</v>
      </c>
      <c r="P198" s="40">
        <f>102.206+20.321</f>
        <v>122.527</v>
      </c>
      <c r="Q198" s="40">
        <v>93.19</v>
      </c>
      <c r="R198" s="40">
        <v>93.936000000000007</v>
      </c>
      <c r="S198" s="40">
        <v>93.319000000000003</v>
      </c>
      <c r="T198" s="40">
        <f>89.851+28.658</f>
        <v>118.509</v>
      </c>
      <c r="U198" s="40">
        <f>70.421+5.532</f>
        <v>75.953000000000003</v>
      </c>
      <c r="V198" s="40">
        <f>321.484+69.031</f>
        <v>390.51499999999999</v>
      </c>
      <c r="W198" s="40">
        <f>325.153+76.571</f>
        <v>401.72400000000005</v>
      </c>
      <c r="X198" s="129">
        <f>285.759+72.072</f>
        <v>357.83100000000002</v>
      </c>
      <c r="Y198" s="129">
        <f>74.75+116.68</f>
        <v>191.43</v>
      </c>
      <c r="Z198" s="129">
        <f>144.905+69.772</f>
        <v>214.67700000000002</v>
      </c>
      <c r="AA198" s="129">
        <f>131.582+62.107</f>
        <v>193.68899999999999</v>
      </c>
      <c r="AB198" s="129">
        <f>47.714+120.52</f>
        <v>168.23399999999998</v>
      </c>
      <c r="AC198" s="129">
        <f>42.298+95.234</f>
        <v>137.53199999999998</v>
      </c>
      <c r="AD198" s="129">
        <f>49.291+66.713</f>
        <v>116.00399999999999</v>
      </c>
      <c r="AE198" s="129">
        <f>42.706+66.637</f>
        <v>109.343</v>
      </c>
      <c r="AF198" s="129">
        <f>62.247+37.477</f>
        <v>99.72399999999999</v>
      </c>
      <c r="AG198" s="129">
        <f>101.578+37.288+27.158</f>
        <v>166.024</v>
      </c>
      <c r="AH198" s="129">
        <f>121.309+42.976+27.411</f>
        <v>191.696</v>
      </c>
      <c r="AI198" s="129">
        <f>42.926+27.322+1.888</f>
        <v>72.13600000000001</v>
      </c>
      <c r="AJ198" s="129">
        <f>38.709+27.33</f>
        <v>66.039000000000001</v>
      </c>
      <c r="AK198" s="129">
        <f>0.959+42.128+13.644</f>
        <v>56.731000000000002</v>
      </c>
      <c r="AL198" s="134">
        <f t="shared" ref="AL198:AW198" si="266">AK198</f>
        <v>56.731000000000002</v>
      </c>
      <c r="AM198" s="134">
        <f t="shared" si="266"/>
        <v>56.731000000000002</v>
      </c>
      <c r="AN198" s="134">
        <f t="shared" si="266"/>
        <v>56.731000000000002</v>
      </c>
      <c r="AO198" s="134">
        <f t="shared" si="266"/>
        <v>56.731000000000002</v>
      </c>
      <c r="AP198" s="134">
        <f t="shared" si="266"/>
        <v>56.731000000000002</v>
      </c>
      <c r="AQ198" s="134">
        <f t="shared" si="266"/>
        <v>56.731000000000002</v>
      </c>
      <c r="AR198" s="134">
        <f t="shared" si="266"/>
        <v>56.731000000000002</v>
      </c>
      <c r="AS198" s="134">
        <f t="shared" si="266"/>
        <v>56.731000000000002</v>
      </c>
      <c r="AT198" s="134">
        <f t="shared" si="266"/>
        <v>56.731000000000002</v>
      </c>
      <c r="AU198" s="134">
        <f t="shared" si="266"/>
        <v>56.731000000000002</v>
      </c>
      <c r="AV198" s="134">
        <f t="shared" si="266"/>
        <v>56.731000000000002</v>
      </c>
      <c r="AW198" s="134">
        <f t="shared" si="266"/>
        <v>56.731000000000002</v>
      </c>
      <c r="AX198" s="53"/>
      <c r="AY198" s="53"/>
      <c r="AZ198" s="53"/>
      <c r="BA198" s="53"/>
      <c r="BB198" s="53"/>
      <c r="BC198" s="53"/>
      <c r="BD198" s="53"/>
      <c r="BE198" s="53"/>
      <c r="BF198" s="2">
        <f t="shared" si="192"/>
        <v>192</v>
      </c>
    </row>
    <row r="199" spans="1:58" ht="11.25" customHeight="1" outlineLevel="1">
      <c r="A199" s="47"/>
      <c r="B199" s="136" t="s">
        <v>119</v>
      </c>
      <c r="C199" s="121">
        <f t="shared" ref="C199:K199" si="267">SUM(C194:C198)</f>
        <v>1460.357</v>
      </c>
      <c r="D199" s="121">
        <f t="shared" si="267"/>
        <v>1476.4290000000001</v>
      </c>
      <c r="E199" s="121">
        <f t="shared" si="267"/>
        <v>1728.8110000000001</v>
      </c>
      <c r="F199" s="121">
        <f t="shared" si="267"/>
        <v>1295.125</v>
      </c>
      <c r="G199" s="121">
        <f t="shared" si="267"/>
        <v>781.55100000000004</v>
      </c>
      <c r="H199" s="121">
        <f t="shared" si="267"/>
        <v>760.81900000000007</v>
      </c>
      <c r="I199" s="121">
        <f t="shared" si="267"/>
        <v>874.11018791613708</v>
      </c>
      <c r="J199" s="121">
        <f t="shared" si="267"/>
        <v>1115.9186890934234</v>
      </c>
      <c r="K199" s="121">
        <f t="shared" si="267"/>
        <v>1316.1414642668863</v>
      </c>
      <c r="L199" s="122"/>
      <c r="M199" s="38"/>
      <c r="N199" s="121">
        <f>SUM(N194:N198)</f>
        <v>1522.7639999999999</v>
      </c>
      <c r="O199" s="121">
        <f>SUM(O194:O198)</f>
        <v>1581.5889999999999</v>
      </c>
      <c r="P199" s="121">
        <f>SUM(P194:P198)</f>
        <v>1542.9299999999998</v>
      </c>
      <c r="Q199" s="121">
        <f>SUM(Q194:Q198)</f>
        <v>1460.357</v>
      </c>
      <c r="R199" s="121">
        <f t="shared" ref="R199:AW199" si="268">SUM(R194:R198)</f>
        <v>1473.0919999999999</v>
      </c>
      <c r="S199" s="121">
        <f t="shared" si="268"/>
        <v>1455.9390000000001</v>
      </c>
      <c r="T199" s="121">
        <f t="shared" si="268"/>
        <v>1530.3530000000001</v>
      </c>
      <c r="U199" s="121">
        <f t="shared" si="268"/>
        <v>1476.4290000000001</v>
      </c>
      <c r="V199" s="121">
        <f t="shared" si="268"/>
        <v>1650.9920000000002</v>
      </c>
      <c r="W199" s="121">
        <f t="shared" si="268"/>
        <v>1719.4650000000001</v>
      </c>
      <c r="X199" s="121">
        <f t="shared" si="268"/>
        <v>1858.453</v>
      </c>
      <c r="Y199" s="121">
        <f t="shared" si="268"/>
        <v>1728.8110000000001</v>
      </c>
      <c r="Z199" s="121">
        <f t="shared" si="268"/>
        <v>1628.828</v>
      </c>
      <c r="AA199" s="121">
        <f t="shared" si="268"/>
        <v>1483.796</v>
      </c>
      <c r="AB199" s="121">
        <f t="shared" si="268"/>
        <v>1403.3269999999998</v>
      </c>
      <c r="AC199" s="121">
        <f t="shared" si="268"/>
        <v>1295.125</v>
      </c>
      <c r="AD199" s="121">
        <f t="shared" si="268"/>
        <v>1186.587</v>
      </c>
      <c r="AE199" s="121">
        <f t="shared" si="268"/>
        <v>1053.5909999999999</v>
      </c>
      <c r="AF199" s="121">
        <f t="shared" si="268"/>
        <v>800.28599999999983</v>
      </c>
      <c r="AG199" s="121">
        <f t="shared" si="268"/>
        <v>781.55100000000004</v>
      </c>
      <c r="AH199" s="121">
        <f t="shared" si="268"/>
        <v>812.86299999999994</v>
      </c>
      <c r="AI199" s="121">
        <f t="shared" si="268"/>
        <v>788.01400000000001</v>
      </c>
      <c r="AJ199" s="121">
        <f t="shared" si="268"/>
        <v>797.66800000000001</v>
      </c>
      <c r="AK199" s="121">
        <f t="shared" si="268"/>
        <v>760.81900000000007</v>
      </c>
      <c r="AL199" s="121">
        <f t="shared" si="268"/>
        <v>749.3262600377534</v>
      </c>
      <c r="AM199" s="121">
        <f t="shared" si="268"/>
        <v>768.52840316058678</v>
      </c>
      <c r="AN199" s="121">
        <f t="shared" si="268"/>
        <v>818.39746737298731</v>
      </c>
      <c r="AO199" s="121">
        <f t="shared" si="268"/>
        <v>874.11018791613708</v>
      </c>
      <c r="AP199" s="121">
        <f t="shared" si="268"/>
        <v>929.37413429251228</v>
      </c>
      <c r="AQ199" s="121">
        <f t="shared" si="268"/>
        <v>987.0003208719686</v>
      </c>
      <c r="AR199" s="121">
        <f t="shared" si="268"/>
        <v>1049.1388809027983</v>
      </c>
      <c r="AS199" s="121">
        <f t="shared" si="268"/>
        <v>1115.9186890934234</v>
      </c>
      <c r="AT199" s="121">
        <f t="shared" si="268"/>
        <v>1164.6156055595611</v>
      </c>
      <c r="AU199" s="121">
        <f t="shared" si="268"/>
        <v>1214.1453369325316</v>
      </c>
      <c r="AV199" s="121">
        <f t="shared" si="268"/>
        <v>1264.6422433776224</v>
      </c>
      <c r="AW199" s="121">
        <f t="shared" si="268"/>
        <v>1316.1414642668863</v>
      </c>
      <c r="AX199" s="39"/>
      <c r="AY199" s="39"/>
      <c r="AZ199" s="39"/>
      <c r="BA199" s="39"/>
      <c r="BB199" s="39"/>
      <c r="BC199" s="39"/>
      <c r="BD199" s="39"/>
      <c r="BE199" s="39"/>
      <c r="BF199" s="2">
        <f t="shared" si="192"/>
        <v>193</v>
      </c>
    </row>
    <row r="200" spans="1:58" ht="11.25" hidden="1" customHeight="1" outlineLevel="4">
      <c r="A200" s="282"/>
      <c r="B200" s="152" t="s">
        <v>118</v>
      </c>
      <c r="C200" s="275">
        <f t="shared" ref="C200:K201" si="269">INDEX($N200:$AX200,1,MATCH(C$5,$N$5:$AX$5,0))</f>
        <v>4597.8509999999997</v>
      </c>
      <c r="D200" s="275">
        <f t="shared" si="269"/>
        <v>4829.2049999999999</v>
      </c>
      <c r="E200" s="275">
        <f t="shared" si="269"/>
        <v>5003.3809999999994</v>
      </c>
      <c r="F200" s="275">
        <f t="shared" si="269"/>
        <v>4402.1559999999999</v>
      </c>
      <c r="G200" s="275">
        <f t="shared" si="269"/>
        <v>4059.7039999999997</v>
      </c>
      <c r="H200" s="275">
        <f t="shared" si="269"/>
        <v>4053.5639999999999</v>
      </c>
      <c r="I200" s="275">
        <f t="shared" si="269"/>
        <v>4278.5494871844139</v>
      </c>
      <c r="J200" s="275">
        <f t="shared" si="269"/>
        <v>4484.3857451070799</v>
      </c>
      <c r="K200" s="275">
        <f t="shared" si="269"/>
        <v>4742.9768593073122</v>
      </c>
      <c r="L200" s="275"/>
      <c r="M200" s="275"/>
      <c r="N200" s="275">
        <f t="shared" ref="N200:Y200" si="270">N202-N201</f>
        <v>3750.5309999999999</v>
      </c>
      <c r="O200" s="275">
        <f t="shared" si="270"/>
        <v>4026.223</v>
      </c>
      <c r="P200" s="275">
        <f t="shared" si="270"/>
        <v>4383.4210000000003</v>
      </c>
      <c r="Q200" s="275">
        <f t="shared" si="270"/>
        <v>4597.8509999999997</v>
      </c>
      <c r="R200" s="275">
        <f t="shared" si="270"/>
        <v>4681.951</v>
      </c>
      <c r="S200" s="275">
        <f t="shared" si="270"/>
        <v>4824.3620000000001</v>
      </c>
      <c r="T200" s="275">
        <f t="shared" si="270"/>
        <v>4978.9189999999999</v>
      </c>
      <c r="U200" s="275">
        <f t="shared" si="270"/>
        <v>4829.2049999999999</v>
      </c>
      <c r="V200" s="275">
        <f t="shared" si="270"/>
        <v>4692.8760000000002</v>
      </c>
      <c r="W200" s="275">
        <f t="shared" si="270"/>
        <v>4793.2610000000004</v>
      </c>
      <c r="X200" s="275">
        <f t="shared" si="270"/>
        <v>4861.6980000000003</v>
      </c>
      <c r="Y200" s="275">
        <f t="shared" si="270"/>
        <v>5003.3809999999994</v>
      </c>
      <c r="Z200" s="275">
        <f>Z202+-Z201</f>
        <v>5084.6139999999996</v>
      </c>
      <c r="AA200" s="275">
        <f>AA202+-AA201</f>
        <v>4706.68</v>
      </c>
      <c r="AB200" s="275">
        <f>AB202+-AB201</f>
        <v>4723.6480000000001</v>
      </c>
      <c r="AC200" s="275">
        <f>AC202+-AC201</f>
        <v>4402.1559999999999</v>
      </c>
      <c r="AD200" s="275">
        <f>AD202+-AD201</f>
        <v>4409.2089999999998</v>
      </c>
      <c r="AE200" s="275">
        <f t="shared" ref="AE200:AJ200" si="271">+AE202-AE201</f>
        <v>4106.6090000000004</v>
      </c>
      <c r="AF200" s="275">
        <f t="shared" si="271"/>
        <v>4149.018</v>
      </c>
      <c r="AG200" s="275">
        <f t="shared" si="271"/>
        <v>4059.7039999999997</v>
      </c>
      <c r="AH200" s="275">
        <f t="shared" si="271"/>
        <v>4050.4380000000001</v>
      </c>
      <c r="AI200" s="275">
        <f t="shared" si="271"/>
        <v>4094.1660000000002</v>
      </c>
      <c r="AJ200" s="275">
        <f t="shared" si="271"/>
        <v>4091.1570000000002</v>
      </c>
      <c r="AK200" s="275">
        <v>4053.5639999999999</v>
      </c>
      <c r="AL200" s="283">
        <f t="shared" ref="AL200:AW200" si="272">AK200-AL180-AL182-AL183</f>
        <v>4116.6950029999998</v>
      </c>
      <c r="AM200" s="283">
        <f t="shared" si="272"/>
        <v>4177.0864178110623</v>
      </c>
      <c r="AN200" s="283">
        <f t="shared" si="272"/>
        <v>4228.5271824429428</v>
      </c>
      <c r="AO200" s="283">
        <f t="shared" si="272"/>
        <v>4278.5494871844139</v>
      </c>
      <c r="AP200" s="283">
        <f t="shared" si="272"/>
        <v>4332.0102736602648</v>
      </c>
      <c r="AQ200" s="283">
        <f t="shared" si="272"/>
        <v>4384.1408356755255</v>
      </c>
      <c r="AR200" s="283">
        <f t="shared" si="272"/>
        <v>4434.9341556848058</v>
      </c>
      <c r="AS200" s="283">
        <f t="shared" si="272"/>
        <v>4484.3857451070799</v>
      </c>
      <c r="AT200" s="283">
        <f t="shared" si="272"/>
        <v>4549.9873057831992</v>
      </c>
      <c r="AU200" s="283">
        <f t="shared" si="272"/>
        <v>4614.970481884794</v>
      </c>
      <c r="AV200" s="283">
        <f t="shared" si="272"/>
        <v>4679.3087658249078</v>
      </c>
      <c r="AW200" s="283">
        <f t="shared" si="272"/>
        <v>4742.9768593073122</v>
      </c>
      <c r="AX200" s="283"/>
      <c r="AY200" s="283"/>
      <c r="AZ200" s="283"/>
      <c r="BA200" s="283"/>
      <c r="BB200" s="283"/>
      <c r="BC200" s="283"/>
      <c r="BD200" s="283"/>
      <c r="BE200" s="283"/>
      <c r="BF200" s="2">
        <f t="shared" si="192"/>
        <v>194</v>
      </c>
    </row>
    <row r="201" spans="1:58" ht="11.25" hidden="1" customHeight="1" outlineLevel="4">
      <c r="A201" s="282"/>
      <c r="B201" s="284" t="s">
        <v>117</v>
      </c>
      <c r="C201" s="285">
        <f t="shared" si="269"/>
        <v>-1342.6310000000001</v>
      </c>
      <c r="D201" s="285">
        <f t="shared" si="269"/>
        <v>-1827.011</v>
      </c>
      <c r="E201" s="285">
        <f t="shared" si="269"/>
        <v>-2269.5419999999999</v>
      </c>
      <c r="F201" s="285">
        <f t="shared" si="269"/>
        <v>-2278.8649999999998</v>
      </c>
      <c r="G201" s="285">
        <f t="shared" si="269"/>
        <v>-2454.3389999999999</v>
      </c>
      <c r="H201" s="285">
        <f t="shared" si="269"/>
        <v>-2736.62</v>
      </c>
      <c r="I201" s="285">
        <f t="shared" si="269"/>
        <v>-3151.5763862442036</v>
      </c>
      <c r="J201" s="285">
        <f t="shared" si="269"/>
        <v>-3525.8241279217796</v>
      </c>
      <c r="K201" s="285">
        <f t="shared" si="269"/>
        <v>-3870.6122801887554</v>
      </c>
      <c r="L201" s="283"/>
      <c r="M201" s="275"/>
      <c r="N201" s="285">
        <v>-984.221</v>
      </c>
      <c r="O201" s="285">
        <v>-1103.43</v>
      </c>
      <c r="P201" s="285">
        <v>-1220.1479999999999</v>
      </c>
      <c r="Q201" s="285">
        <v>-1342.6310000000001</v>
      </c>
      <c r="R201" s="285">
        <f>-1461.736</f>
        <v>-1461.7360000000001</v>
      </c>
      <c r="S201" s="285">
        <v>-1594.5809999999999</v>
      </c>
      <c r="T201" s="285">
        <v>-1741.569</v>
      </c>
      <c r="U201" s="285">
        <v>-1827.011</v>
      </c>
      <c r="V201" s="285">
        <v>-1913.5309999999999</v>
      </c>
      <c r="W201" s="285">
        <v>-2039.0170000000001</v>
      </c>
      <c r="X201" s="285">
        <v>-2159.1660000000002</v>
      </c>
      <c r="Y201" s="285">
        <v>-2269.5419999999999</v>
      </c>
      <c r="Z201" s="285">
        <v>-2394.123</v>
      </c>
      <c r="AA201" s="285">
        <v>-2245.0509999999999</v>
      </c>
      <c r="AB201" s="285">
        <v>-2350.913</v>
      </c>
      <c r="AC201" s="285">
        <v>-2278.8649999999998</v>
      </c>
      <c r="AD201" s="285">
        <v>-2343.681</v>
      </c>
      <c r="AE201" s="285">
        <v>-2237.4050000000002</v>
      </c>
      <c r="AF201" s="285">
        <v>-2395.3009999999999</v>
      </c>
      <c r="AG201" s="285">
        <v>-2454.3389999999999</v>
      </c>
      <c r="AH201" s="285">
        <v>-2537.1559999999999</v>
      </c>
      <c r="AI201" s="285">
        <v>-2638.89</v>
      </c>
      <c r="AJ201" s="285">
        <v>-2711.5970000000002</v>
      </c>
      <c r="AK201" s="285">
        <v>-2736.62</v>
      </c>
      <c r="AL201" s="285">
        <f t="shared" ref="AL201:AW201" si="273">AK201+AL81</f>
        <v>-2843.6216999999997</v>
      </c>
      <c r="AM201" s="285">
        <f t="shared" si="273"/>
        <v>-2948.6502474974995</v>
      </c>
      <c r="AN201" s="285">
        <f t="shared" si="273"/>
        <v>-3051.5317767612605</v>
      </c>
      <c r="AO201" s="285">
        <f t="shared" si="273"/>
        <v>-3151.5763862442036</v>
      </c>
      <c r="AP201" s="285">
        <f t="shared" si="273"/>
        <v>-3248.7778162002969</v>
      </c>
      <c r="AQ201" s="285">
        <f t="shared" si="273"/>
        <v>-3343.5606562280441</v>
      </c>
      <c r="AR201" s="285">
        <f t="shared" si="273"/>
        <v>-3435.9121471540079</v>
      </c>
      <c r="AS201" s="285">
        <f t="shared" si="273"/>
        <v>-3525.8241279217796</v>
      </c>
      <c r="AT201" s="285">
        <f t="shared" si="273"/>
        <v>-3613.2928754899381</v>
      </c>
      <c r="AU201" s="285">
        <f t="shared" si="273"/>
        <v>-3699.9371102920645</v>
      </c>
      <c r="AV201" s="285">
        <f t="shared" si="273"/>
        <v>-3785.7214888788831</v>
      </c>
      <c r="AW201" s="285">
        <f t="shared" si="273"/>
        <v>-3870.6122801887554</v>
      </c>
      <c r="AX201" s="283"/>
      <c r="AY201" s="283"/>
      <c r="AZ201" s="283"/>
      <c r="BA201" s="283"/>
      <c r="BB201" s="283"/>
      <c r="BC201" s="283"/>
      <c r="BD201" s="283"/>
      <c r="BE201" s="283"/>
      <c r="BF201" s="2">
        <f t="shared" si="192"/>
        <v>195</v>
      </c>
    </row>
    <row r="202" spans="1:58" ht="11.25" customHeight="1" outlineLevel="1" collapsed="1">
      <c r="A202" s="50"/>
      <c r="B202" s="17" t="s">
        <v>116</v>
      </c>
      <c r="C202" s="51">
        <f t="shared" ref="C202:K202" si="274">C200+C201</f>
        <v>3255.2199999999993</v>
      </c>
      <c r="D202" s="51">
        <f t="shared" si="274"/>
        <v>3002.194</v>
      </c>
      <c r="E202" s="51">
        <f t="shared" si="274"/>
        <v>2733.8389999999995</v>
      </c>
      <c r="F202" s="51">
        <f t="shared" si="274"/>
        <v>2123.2910000000002</v>
      </c>
      <c r="G202" s="51">
        <f t="shared" si="274"/>
        <v>1605.3649999999998</v>
      </c>
      <c r="H202" s="51">
        <f t="shared" si="274"/>
        <v>1316.944</v>
      </c>
      <c r="I202" s="51">
        <f t="shared" si="274"/>
        <v>1126.9731009402103</v>
      </c>
      <c r="J202" s="51">
        <f t="shared" si="274"/>
        <v>958.56161718530029</v>
      </c>
      <c r="K202" s="51">
        <f t="shared" si="274"/>
        <v>872.36457911855678</v>
      </c>
      <c r="L202" s="108"/>
      <c r="M202" s="51"/>
      <c r="N202" s="40">
        <v>2766.31</v>
      </c>
      <c r="O202" s="40">
        <v>2922.7929999999997</v>
      </c>
      <c r="P202" s="40">
        <v>3163.2730000000001</v>
      </c>
      <c r="Q202" s="40">
        <v>3255.22</v>
      </c>
      <c r="R202" s="40">
        <v>3220.2150000000001</v>
      </c>
      <c r="S202" s="40">
        <v>3229.7809999999999</v>
      </c>
      <c r="T202" s="40">
        <v>3237.35</v>
      </c>
      <c r="U202" s="40">
        <v>3002.194</v>
      </c>
      <c r="V202" s="40">
        <v>2779.3449999999998</v>
      </c>
      <c r="W202" s="40">
        <v>2754.2440000000001</v>
      </c>
      <c r="X202" s="129">
        <v>2702.5320000000002</v>
      </c>
      <c r="Y202" s="129">
        <v>2733.8389999999999</v>
      </c>
      <c r="Z202" s="129">
        <v>2690.491</v>
      </c>
      <c r="AA202" s="129">
        <v>2461.6289999999999</v>
      </c>
      <c r="AB202" s="129">
        <v>2372.7350000000001</v>
      </c>
      <c r="AC202" s="129">
        <v>2123.2910000000002</v>
      </c>
      <c r="AD202" s="129">
        <v>2065.5279999999998</v>
      </c>
      <c r="AE202" s="129">
        <v>1869.204</v>
      </c>
      <c r="AF202" s="129">
        <v>1753.7170000000001</v>
      </c>
      <c r="AG202" s="129">
        <v>1605.365</v>
      </c>
      <c r="AH202" s="129">
        <v>1513.2819999999999</v>
      </c>
      <c r="AI202" s="129">
        <v>1455.2760000000001</v>
      </c>
      <c r="AJ202" s="129">
        <v>1379.56</v>
      </c>
      <c r="AK202" s="129">
        <v>1316.944</v>
      </c>
      <c r="AL202" s="53">
        <f t="shared" ref="AL202:AW202" si="275">SUM(AL200:AL201)</f>
        <v>1273.0733030000001</v>
      </c>
      <c r="AM202" s="53">
        <f t="shared" si="275"/>
        <v>1228.4361703135628</v>
      </c>
      <c r="AN202" s="53">
        <f t="shared" si="275"/>
        <v>1176.9954056816823</v>
      </c>
      <c r="AO202" s="53">
        <f t="shared" si="275"/>
        <v>1126.9731009402103</v>
      </c>
      <c r="AP202" s="53">
        <f t="shared" si="275"/>
        <v>1083.2324574599679</v>
      </c>
      <c r="AQ202" s="53">
        <f t="shared" si="275"/>
        <v>1040.5801794474814</v>
      </c>
      <c r="AR202" s="53">
        <f t="shared" si="275"/>
        <v>999.02200853079785</v>
      </c>
      <c r="AS202" s="53">
        <f t="shared" si="275"/>
        <v>958.56161718530029</v>
      </c>
      <c r="AT202" s="53">
        <f t="shared" si="275"/>
        <v>936.69443029326112</v>
      </c>
      <c r="AU202" s="53">
        <f t="shared" si="275"/>
        <v>915.03337159272951</v>
      </c>
      <c r="AV202" s="53">
        <f t="shared" si="275"/>
        <v>893.58727694602476</v>
      </c>
      <c r="AW202" s="53">
        <f t="shared" si="275"/>
        <v>872.36457911855678</v>
      </c>
      <c r="AX202" s="53"/>
      <c r="AY202" s="53"/>
      <c r="AZ202" s="53"/>
      <c r="BA202" s="53"/>
      <c r="BB202" s="53"/>
      <c r="BC202" s="53"/>
      <c r="BD202" s="53"/>
      <c r="BE202" s="53"/>
      <c r="BF202" s="2">
        <f t="shared" ref="BF202:BF265" si="276">BF201+1</f>
        <v>196</v>
      </c>
    </row>
    <row r="203" spans="1:58" ht="11.25" customHeight="1" outlineLevel="1">
      <c r="A203" s="50"/>
      <c r="B203" s="48" t="s">
        <v>115</v>
      </c>
      <c r="C203" s="51">
        <f t="shared" ref="C203:K204" si="277">INDEX($N203:$AX203,1,MATCH(C$5,$N$5:$AX$5,0))</f>
        <v>2532.0650000000001</v>
      </c>
      <c r="D203" s="51">
        <f t="shared" si="277"/>
        <v>2458.1089999999999</v>
      </c>
      <c r="E203" s="51">
        <f t="shared" si="277"/>
        <v>2888.7690000000002</v>
      </c>
      <c r="F203" s="51">
        <f t="shared" si="277"/>
        <v>1443.4460000000001</v>
      </c>
      <c r="G203" s="51">
        <f t="shared" si="277"/>
        <v>1026.6890000000001</v>
      </c>
      <c r="H203" s="51">
        <f t="shared" si="277"/>
        <v>972.31299999999999</v>
      </c>
      <c r="I203" s="51">
        <f t="shared" si="277"/>
        <v>972.31299999999999</v>
      </c>
      <c r="J203" s="51">
        <f t="shared" si="277"/>
        <v>972.31299999999999</v>
      </c>
      <c r="K203" s="51">
        <f t="shared" si="277"/>
        <v>972.31299999999999</v>
      </c>
      <c r="L203" s="108"/>
      <c r="M203" s="51"/>
      <c r="N203" s="40">
        <v>2504.67</v>
      </c>
      <c r="O203" s="40">
        <v>2503.4009999999998</v>
      </c>
      <c r="P203" s="40">
        <f>2528.312</f>
        <v>2528.3119999999999</v>
      </c>
      <c r="Q203" s="40">
        <v>2532.0650000000001</v>
      </c>
      <c r="R203" s="40">
        <f>2547.497</f>
        <v>2547.4969999999998</v>
      </c>
      <c r="S203" s="40">
        <v>2547.6999999999998</v>
      </c>
      <c r="T203" s="40">
        <v>2548.91</v>
      </c>
      <c r="U203" s="40">
        <f>2458.109</f>
        <v>2458.1089999999999</v>
      </c>
      <c r="V203" s="40">
        <v>2458.4090000000001</v>
      </c>
      <c r="W203" s="40">
        <v>2459.1370000000002</v>
      </c>
      <c r="X203" s="129">
        <f>2456.522+420.873</f>
        <v>2877.395</v>
      </c>
      <c r="Y203" s="129">
        <f>2468.409+420.36</f>
        <v>2888.7690000000002</v>
      </c>
      <c r="Z203" s="129">
        <f>2465.646+411.806</f>
        <v>2877.4520000000002</v>
      </c>
      <c r="AA203" s="129">
        <f>1892.377+350.974</f>
        <v>2243.3510000000001</v>
      </c>
      <c r="AB203" s="129">
        <f>1151.346+329.739</f>
        <v>1481.085</v>
      </c>
      <c r="AC203" s="129">
        <f>1140.101+303.345</f>
        <v>1443.4460000000001</v>
      </c>
      <c r="AD203" s="129">
        <f>1139.625+301.033</f>
        <v>1440.6579999999999</v>
      </c>
      <c r="AE203" s="129">
        <f>806.779+231.505</f>
        <v>1038.2840000000001</v>
      </c>
      <c r="AF203" s="129">
        <f>806.087+227.952</f>
        <v>1034.039</v>
      </c>
      <c r="AG203" s="129">
        <f>803.917+222.772</f>
        <v>1026.6890000000001</v>
      </c>
      <c r="AH203" s="129">
        <f>804.436+190.707</f>
        <v>995.14300000000003</v>
      </c>
      <c r="AI203" s="129">
        <f>806.191+178.132</f>
        <v>984.32300000000009</v>
      </c>
      <c r="AJ203" s="129">
        <f>807.488+167.189</f>
        <v>974.67700000000002</v>
      </c>
      <c r="AK203" s="129">
        <f>807.86+164.453</f>
        <v>972.31299999999999</v>
      </c>
      <c r="AL203" s="127">
        <f t="shared" ref="AL203:AW203" si="278">AK203</f>
        <v>972.31299999999999</v>
      </c>
      <c r="AM203" s="127">
        <f t="shared" si="278"/>
        <v>972.31299999999999</v>
      </c>
      <c r="AN203" s="127">
        <f t="shared" si="278"/>
        <v>972.31299999999999</v>
      </c>
      <c r="AO203" s="127">
        <f t="shared" si="278"/>
        <v>972.31299999999999</v>
      </c>
      <c r="AP203" s="127">
        <f t="shared" si="278"/>
        <v>972.31299999999999</v>
      </c>
      <c r="AQ203" s="127">
        <f t="shared" si="278"/>
        <v>972.31299999999999</v>
      </c>
      <c r="AR203" s="127">
        <f t="shared" si="278"/>
        <v>972.31299999999999</v>
      </c>
      <c r="AS203" s="127">
        <f t="shared" si="278"/>
        <v>972.31299999999999</v>
      </c>
      <c r="AT203" s="127">
        <f t="shared" si="278"/>
        <v>972.31299999999999</v>
      </c>
      <c r="AU203" s="127">
        <f t="shared" si="278"/>
        <v>972.31299999999999</v>
      </c>
      <c r="AV203" s="127">
        <f t="shared" si="278"/>
        <v>972.31299999999999</v>
      </c>
      <c r="AW203" s="127">
        <f t="shared" si="278"/>
        <v>972.31299999999999</v>
      </c>
      <c r="AX203" s="127"/>
      <c r="AY203" s="127"/>
      <c r="AZ203" s="127"/>
      <c r="BA203" s="127"/>
      <c r="BB203" s="127"/>
      <c r="BC203" s="127"/>
      <c r="BD203" s="127"/>
      <c r="BE203" s="127"/>
      <c r="BF203" s="2">
        <f t="shared" si="276"/>
        <v>197</v>
      </c>
    </row>
    <row r="204" spans="1:58" ht="11.25" customHeight="1" outlineLevel="1">
      <c r="A204" s="50"/>
      <c r="B204" s="48" t="s">
        <v>114</v>
      </c>
      <c r="C204" s="51">
        <f t="shared" si="277"/>
        <v>555.24400000000003</v>
      </c>
      <c r="D204" s="51">
        <f t="shared" si="277"/>
        <v>474.57500000000005</v>
      </c>
      <c r="E204" s="51">
        <f t="shared" si="277"/>
        <v>25.97</v>
      </c>
      <c r="F204" s="51">
        <f t="shared" si="277"/>
        <v>52.381999999999998</v>
      </c>
      <c r="G204" s="51">
        <f t="shared" si="277"/>
        <v>56.65</v>
      </c>
      <c r="H204" s="51">
        <f t="shared" si="277"/>
        <v>60.149000000000001</v>
      </c>
      <c r="I204" s="51">
        <f t="shared" si="277"/>
        <v>60.149000000000001</v>
      </c>
      <c r="J204" s="51">
        <f t="shared" si="277"/>
        <v>60.149000000000001</v>
      </c>
      <c r="K204" s="51">
        <f t="shared" si="277"/>
        <v>60.149000000000001</v>
      </c>
      <c r="L204" s="108"/>
      <c r="M204" s="51"/>
      <c r="N204" s="40">
        <f>74.75+69.552+530.312</f>
        <v>674.61400000000003</v>
      </c>
      <c r="O204" s="40">
        <f>505.489+43.432+47.113</f>
        <v>596.03399999999988</v>
      </c>
      <c r="P204" s="40">
        <f>511.074+44.129</f>
        <v>555.20299999999997</v>
      </c>
      <c r="Q204" s="40">
        <f>510.406+44.838</f>
        <v>555.24400000000003</v>
      </c>
      <c r="R204" s="40">
        <f>45.558 +503.022</f>
        <v>548.58000000000004</v>
      </c>
      <c r="S204" s="40">
        <f>46.29+492.737</f>
        <v>539.02700000000004</v>
      </c>
      <c r="T204" s="40">
        <f>47.033+484.217</f>
        <v>531.25</v>
      </c>
      <c r="U204" s="40">
        <f>23.708+450.867</f>
        <v>474.57500000000005</v>
      </c>
      <c r="V204" s="40">
        <f>24.073+435.209</f>
        <v>459.28199999999998</v>
      </c>
      <c r="W204" s="40">
        <f>25.155+428.183</f>
        <v>453.33799999999997</v>
      </c>
      <c r="X204" s="134">
        <v>25.56</v>
      </c>
      <c r="Y204" s="134">
        <v>25.97</v>
      </c>
      <c r="Z204" s="134">
        <v>26.387</v>
      </c>
      <c r="AA204" s="134">
        <v>26.811</v>
      </c>
      <c r="AB204" s="134">
        <v>27.241</v>
      </c>
      <c r="AC204" s="134">
        <v>52.381999999999998</v>
      </c>
      <c r="AD204" s="134">
        <v>53.325000000000003</v>
      </c>
      <c r="AE204" s="134">
        <v>54.180999999999997</v>
      </c>
      <c r="AF204" s="134">
        <v>55.781999999999996</v>
      </c>
      <c r="AG204" s="134">
        <v>56.65</v>
      </c>
      <c r="AH204" s="134">
        <v>57.423000000000002</v>
      </c>
      <c r="AI204" s="134">
        <v>58.317</v>
      </c>
      <c r="AJ204" s="134">
        <v>59.225999999999999</v>
      </c>
      <c r="AK204" s="134">
        <v>60.149000000000001</v>
      </c>
      <c r="AL204" s="137">
        <f t="shared" ref="AL204:AW204" si="279">AK204</f>
        <v>60.149000000000001</v>
      </c>
      <c r="AM204" s="137">
        <f t="shared" si="279"/>
        <v>60.149000000000001</v>
      </c>
      <c r="AN204" s="137">
        <f t="shared" si="279"/>
        <v>60.149000000000001</v>
      </c>
      <c r="AO204" s="137">
        <f t="shared" si="279"/>
        <v>60.149000000000001</v>
      </c>
      <c r="AP204" s="137">
        <f t="shared" si="279"/>
        <v>60.149000000000001</v>
      </c>
      <c r="AQ204" s="137">
        <f t="shared" si="279"/>
        <v>60.149000000000001</v>
      </c>
      <c r="AR204" s="137">
        <f t="shared" si="279"/>
        <v>60.149000000000001</v>
      </c>
      <c r="AS204" s="137">
        <f t="shared" si="279"/>
        <v>60.149000000000001</v>
      </c>
      <c r="AT204" s="137">
        <f t="shared" si="279"/>
        <v>60.149000000000001</v>
      </c>
      <c r="AU204" s="137">
        <f t="shared" si="279"/>
        <v>60.149000000000001</v>
      </c>
      <c r="AV204" s="137">
        <f t="shared" si="279"/>
        <v>60.149000000000001</v>
      </c>
      <c r="AW204" s="137">
        <f t="shared" si="279"/>
        <v>60.149000000000001</v>
      </c>
      <c r="AX204" s="127"/>
      <c r="AY204" s="127"/>
      <c r="AZ204" s="127"/>
      <c r="BA204" s="127"/>
      <c r="BB204" s="127"/>
      <c r="BC204" s="127"/>
      <c r="BD204" s="127"/>
      <c r="BE204" s="127"/>
      <c r="BF204" s="2">
        <f t="shared" si="276"/>
        <v>198</v>
      </c>
    </row>
    <row r="205" spans="1:58" ht="11.25" customHeight="1" outlineLevel="1">
      <c r="A205" s="47"/>
      <c r="B205" s="136" t="s">
        <v>19</v>
      </c>
      <c r="C205" s="121">
        <f t="shared" ref="C205:K205" si="280">SUM(C202:C204,C199)</f>
        <v>7802.8859999999995</v>
      </c>
      <c r="D205" s="121">
        <f t="shared" si="280"/>
        <v>7411.3069999999998</v>
      </c>
      <c r="E205" s="121">
        <f t="shared" si="280"/>
        <v>7377.389000000001</v>
      </c>
      <c r="F205" s="121">
        <f t="shared" si="280"/>
        <v>4914.2440000000006</v>
      </c>
      <c r="G205" s="121">
        <f t="shared" si="280"/>
        <v>3470.2550000000001</v>
      </c>
      <c r="H205" s="121">
        <f t="shared" si="280"/>
        <v>3110.2249999999999</v>
      </c>
      <c r="I205" s="121">
        <f t="shared" si="280"/>
        <v>3033.5452888563473</v>
      </c>
      <c r="J205" s="121">
        <f t="shared" si="280"/>
        <v>3106.9423062787237</v>
      </c>
      <c r="K205" s="121">
        <f t="shared" si="280"/>
        <v>3220.9680433854428</v>
      </c>
      <c r="L205" s="122"/>
      <c r="M205" s="51"/>
      <c r="N205" s="121">
        <f>SUM(N202:N204,N199)</f>
        <v>7468.3579999999993</v>
      </c>
      <c r="O205" s="121">
        <f>SUM(O202:O204,O199)</f>
        <v>7603.8169999999991</v>
      </c>
      <c r="P205" s="121">
        <f>SUM(P202:P204,P199)</f>
        <v>7789.7180000000008</v>
      </c>
      <c r="Q205" s="121">
        <f>SUM(Q202:Q204,Q199)</f>
        <v>7802.8859999999995</v>
      </c>
      <c r="R205" s="121">
        <f t="shared" ref="R205:AW205" si="281">SUM(R202:R204,R199)</f>
        <v>7789.3839999999991</v>
      </c>
      <c r="S205" s="121">
        <f t="shared" si="281"/>
        <v>7772.4470000000001</v>
      </c>
      <c r="T205" s="121">
        <f t="shared" si="281"/>
        <v>7847.8630000000003</v>
      </c>
      <c r="U205" s="121">
        <f t="shared" si="281"/>
        <v>7411.3069999999998</v>
      </c>
      <c r="V205" s="121">
        <f t="shared" si="281"/>
        <v>7348.0280000000002</v>
      </c>
      <c r="W205" s="121">
        <f t="shared" si="281"/>
        <v>7386.1840000000002</v>
      </c>
      <c r="X205" s="121">
        <f t="shared" si="281"/>
        <v>7463.9400000000005</v>
      </c>
      <c r="Y205" s="121">
        <f t="shared" si="281"/>
        <v>7377.389000000001</v>
      </c>
      <c r="Z205" s="121">
        <f t="shared" si="281"/>
        <v>7223.1579999999994</v>
      </c>
      <c r="AA205" s="121">
        <f t="shared" si="281"/>
        <v>6215.5869999999995</v>
      </c>
      <c r="AB205" s="121">
        <f t="shared" si="281"/>
        <v>5284.3879999999999</v>
      </c>
      <c r="AC205" s="121">
        <f t="shared" si="281"/>
        <v>4914.2440000000006</v>
      </c>
      <c r="AD205" s="121">
        <f t="shared" si="281"/>
        <v>4746.098</v>
      </c>
      <c r="AE205" s="121">
        <f t="shared" si="281"/>
        <v>4015.26</v>
      </c>
      <c r="AF205" s="121">
        <f t="shared" si="281"/>
        <v>3643.8240000000005</v>
      </c>
      <c r="AG205" s="121">
        <f t="shared" si="281"/>
        <v>3470.2550000000001</v>
      </c>
      <c r="AH205" s="121">
        <f t="shared" si="281"/>
        <v>3378.7109999999998</v>
      </c>
      <c r="AI205" s="121">
        <f t="shared" si="281"/>
        <v>3285.9300000000003</v>
      </c>
      <c r="AJ205" s="121">
        <f t="shared" si="281"/>
        <v>3211.1310000000003</v>
      </c>
      <c r="AK205" s="121">
        <f t="shared" si="281"/>
        <v>3110.2249999999999</v>
      </c>
      <c r="AL205" s="121">
        <f t="shared" si="281"/>
        <v>3054.8615630377535</v>
      </c>
      <c r="AM205" s="121">
        <f t="shared" si="281"/>
        <v>3029.4265734741493</v>
      </c>
      <c r="AN205" s="121">
        <f t="shared" si="281"/>
        <v>3027.8548730546695</v>
      </c>
      <c r="AO205" s="121">
        <f t="shared" si="281"/>
        <v>3033.5452888563473</v>
      </c>
      <c r="AP205" s="121">
        <f t="shared" si="281"/>
        <v>3045.0685917524802</v>
      </c>
      <c r="AQ205" s="121">
        <f t="shared" si="281"/>
        <v>3060.04250031945</v>
      </c>
      <c r="AR205" s="121">
        <f t="shared" si="281"/>
        <v>3080.6228894335964</v>
      </c>
      <c r="AS205" s="121">
        <f t="shared" si="281"/>
        <v>3106.9423062787237</v>
      </c>
      <c r="AT205" s="121">
        <f t="shared" si="281"/>
        <v>3133.7720358528222</v>
      </c>
      <c r="AU205" s="121">
        <f t="shared" si="281"/>
        <v>3161.6407085252613</v>
      </c>
      <c r="AV205" s="121">
        <f t="shared" si="281"/>
        <v>3190.6915203236472</v>
      </c>
      <c r="AW205" s="121">
        <f t="shared" si="281"/>
        <v>3220.9680433854428</v>
      </c>
      <c r="AX205" s="39"/>
      <c r="AY205" s="39"/>
      <c r="AZ205" s="39"/>
      <c r="BA205" s="39"/>
      <c r="BB205" s="39"/>
      <c r="BC205" s="39"/>
      <c r="BD205" s="39"/>
      <c r="BE205" s="39"/>
      <c r="BF205" s="2">
        <f t="shared" si="276"/>
        <v>199</v>
      </c>
    </row>
    <row r="206" spans="1:58" ht="11.25" customHeight="1" outlineLevel="1">
      <c r="A206" s="50"/>
      <c r="B206" s="48"/>
      <c r="C206" s="51"/>
      <c r="D206" s="51"/>
      <c r="E206" s="51"/>
      <c r="F206" s="51"/>
      <c r="G206" s="51"/>
      <c r="H206" s="51"/>
      <c r="I206" s="51"/>
      <c r="J206" s="51"/>
      <c r="K206" s="51"/>
      <c r="L206" s="108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135"/>
      <c r="AG206" s="135"/>
      <c r="AH206" s="135"/>
      <c r="AI206" s="135"/>
      <c r="AJ206" s="135"/>
      <c r="AK206" s="135"/>
      <c r="AL206" s="3"/>
      <c r="AM206" s="51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5"/>
      <c r="AY206" s="5"/>
      <c r="AZ206" s="5"/>
      <c r="BA206" s="5"/>
      <c r="BB206" s="5"/>
      <c r="BC206" s="5"/>
      <c r="BD206" s="5"/>
      <c r="BE206" s="5"/>
      <c r="BF206" s="2">
        <f t="shared" si="276"/>
        <v>200</v>
      </c>
    </row>
    <row r="207" spans="1:58" ht="11.25" customHeight="1" outlineLevel="1">
      <c r="A207" s="50"/>
      <c r="B207" s="35" t="s">
        <v>113</v>
      </c>
      <c r="C207" s="51"/>
      <c r="D207" s="51"/>
      <c r="E207" s="51"/>
      <c r="F207" s="51"/>
      <c r="G207" s="51"/>
      <c r="H207" s="51"/>
      <c r="I207" s="51"/>
      <c r="J207" s="51"/>
      <c r="K207" s="51"/>
      <c r="L207" s="108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135"/>
      <c r="AG207" s="135"/>
      <c r="AH207" s="135"/>
      <c r="AI207" s="135"/>
      <c r="AJ207" s="135"/>
      <c r="AK207" s="135"/>
      <c r="AL207" s="3"/>
      <c r="AM207" s="51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5"/>
      <c r="AY207" s="5"/>
      <c r="AZ207" s="5"/>
      <c r="BA207" s="5"/>
      <c r="BB207" s="5"/>
      <c r="BC207" s="5"/>
      <c r="BD207" s="5"/>
      <c r="BE207" s="5"/>
      <c r="BF207" s="2">
        <f t="shared" si="276"/>
        <v>201</v>
      </c>
    </row>
    <row r="208" spans="1:58" ht="11.25" customHeight="1" outlineLevel="1">
      <c r="A208" s="50"/>
      <c r="B208" s="17" t="s">
        <v>112</v>
      </c>
      <c r="C208" s="51">
        <f t="shared" ref="C208:K210" si="282">INDEX($N208:$AX208,1,MATCH(C$5,$N$5:$AX$5,0))</f>
        <v>252.363</v>
      </c>
      <c r="D208" s="51">
        <f t="shared" si="282"/>
        <v>216.029</v>
      </c>
      <c r="E208" s="51">
        <f t="shared" si="282"/>
        <v>225.30600000000001</v>
      </c>
      <c r="F208" s="51">
        <f t="shared" si="282"/>
        <v>114.47499999999999</v>
      </c>
      <c r="G208" s="51">
        <f t="shared" si="282"/>
        <v>94.831000000000003</v>
      </c>
      <c r="H208" s="51">
        <f t="shared" si="282"/>
        <v>119.71599999999999</v>
      </c>
      <c r="I208" s="51">
        <f t="shared" si="282"/>
        <v>143.0515179090165</v>
      </c>
      <c r="J208" s="51">
        <f t="shared" si="282"/>
        <v>158.32179664005363</v>
      </c>
      <c r="K208" s="51">
        <f t="shared" si="282"/>
        <v>160.72953912032236</v>
      </c>
      <c r="L208" s="108"/>
      <c r="M208" s="51"/>
      <c r="N208" s="40">
        <v>312.98500000000001</v>
      </c>
      <c r="O208" s="40">
        <v>281.25700000000001</v>
      </c>
      <c r="P208" s="40">
        <v>268.81200000000001</v>
      </c>
      <c r="Q208" s="40">
        <v>252.363</v>
      </c>
      <c r="R208" s="40">
        <f>238.739</f>
        <v>238.739</v>
      </c>
      <c r="S208" s="40">
        <v>216.173</v>
      </c>
      <c r="T208" s="40">
        <v>250.374</v>
      </c>
      <c r="U208" s="40">
        <v>216.029</v>
      </c>
      <c r="V208" s="40">
        <v>205.029</v>
      </c>
      <c r="W208" s="40">
        <v>175.29400000000001</v>
      </c>
      <c r="X208" s="129">
        <v>207.24199999999999</v>
      </c>
      <c r="Y208" s="129">
        <v>225.30600000000001</v>
      </c>
      <c r="Z208" s="129">
        <v>212.60900000000001</v>
      </c>
      <c r="AA208" s="129">
        <v>134.68100000000001</v>
      </c>
      <c r="AB208" s="129">
        <v>99.141000000000005</v>
      </c>
      <c r="AC208" s="129">
        <v>114.47499999999999</v>
      </c>
      <c r="AD208" s="129">
        <v>95.912000000000006</v>
      </c>
      <c r="AE208" s="129">
        <v>67.096999999999994</v>
      </c>
      <c r="AF208" s="129">
        <v>81.641000000000005</v>
      </c>
      <c r="AG208" s="129">
        <v>94.831000000000003</v>
      </c>
      <c r="AH208" s="129">
        <v>102.221</v>
      </c>
      <c r="AI208" s="129">
        <v>133.35400000000001</v>
      </c>
      <c r="AJ208" s="129">
        <v>126.36799999999999</v>
      </c>
      <c r="AK208" s="129">
        <v>119.71599999999999</v>
      </c>
      <c r="AL208" s="53">
        <f t="shared" ref="AL208:AW208" si="283">4*AL149/AL258</f>
        <v>113.44637286575342</v>
      </c>
      <c r="AM208" s="53">
        <f t="shared" si="283"/>
        <v>122.15606947594523</v>
      </c>
      <c r="AN208" s="53">
        <f t="shared" si="283"/>
        <v>134.38793824989042</v>
      </c>
      <c r="AO208" s="53">
        <f t="shared" si="283"/>
        <v>143.0515179090165</v>
      </c>
      <c r="AP208" s="53">
        <f t="shared" si="283"/>
        <v>148.26633146483829</v>
      </c>
      <c r="AQ208" s="53">
        <f t="shared" si="283"/>
        <v>151.53602956863989</v>
      </c>
      <c r="AR208" s="53">
        <f t="shared" si="283"/>
        <v>154.88707646732107</v>
      </c>
      <c r="AS208" s="53">
        <f t="shared" si="283"/>
        <v>158.32179664005363</v>
      </c>
      <c r="AT208" s="53">
        <f t="shared" si="283"/>
        <v>158.97027921399234</v>
      </c>
      <c r="AU208" s="53">
        <f t="shared" si="283"/>
        <v>159.53779403076334</v>
      </c>
      <c r="AV208" s="53">
        <f t="shared" si="283"/>
        <v>160.12394640648961</v>
      </c>
      <c r="AW208" s="53">
        <f t="shared" si="283"/>
        <v>160.72953912032236</v>
      </c>
      <c r="AX208" s="53"/>
      <c r="AY208" s="53"/>
      <c r="AZ208" s="53"/>
      <c r="BA208" s="53"/>
      <c r="BB208" s="53"/>
      <c r="BC208" s="53"/>
      <c r="BD208" s="53"/>
      <c r="BE208" s="53"/>
      <c r="BF208" s="2">
        <f t="shared" si="276"/>
        <v>202</v>
      </c>
    </row>
    <row r="209" spans="1:58" ht="11.25" customHeight="1" outlineLevel="1">
      <c r="A209" s="50"/>
      <c r="B209" s="17" t="s">
        <v>111</v>
      </c>
      <c r="C209" s="51">
        <f t="shared" si="282"/>
        <v>20</v>
      </c>
      <c r="D209" s="51">
        <f t="shared" si="282"/>
        <v>20</v>
      </c>
      <c r="E209" s="51">
        <f t="shared" si="282"/>
        <v>20.940999999999999</v>
      </c>
      <c r="F209" s="51">
        <f t="shared" si="282"/>
        <v>29.957000000000001</v>
      </c>
      <c r="G209" s="51">
        <f t="shared" si="282"/>
        <v>0</v>
      </c>
      <c r="H209" s="51">
        <f t="shared" si="282"/>
        <v>0</v>
      </c>
      <c r="I209" s="51">
        <f t="shared" si="282"/>
        <v>0</v>
      </c>
      <c r="J209" s="51">
        <f t="shared" si="282"/>
        <v>0</v>
      </c>
      <c r="K209" s="51">
        <f t="shared" si="282"/>
        <v>0</v>
      </c>
      <c r="L209" s="108"/>
      <c r="M209" s="51"/>
      <c r="N209" s="40">
        <v>20</v>
      </c>
      <c r="O209" s="40">
        <v>20</v>
      </c>
      <c r="P209" s="40">
        <v>20</v>
      </c>
      <c r="Q209" s="40">
        <v>20</v>
      </c>
      <c r="R209" s="40">
        <v>20</v>
      </c>
      <c r="S209" s="40">
        <v>20</v>
      </c>
      <c r="T209" s="40">
        <v>20</v>
      </c>
      <c r="U209" s="40">
        <v>20</v>
      </c>
      <c r="V209" s="40">
        <v>20</v>
      </c>
      <c r="W209" s="40">
        <v>20</v>
      </c>
      <c r="X209" s="40">
        <v>20.344000000000001</v>
      </c>
      <c r="Y209" s="40">
        <v>20.940999999999999</v>
      </c>
      <c r="Z209" s="40">
        <v>21.533000000000001</v>
      </c>
      <c r="AA209" s="40">
        <v>26.279</v>
      </c>
      <c r="AB209" s="40">
        <v>29.484999999999999</v>
      </c>
      <c r="AC209" s="40">
        <v>29.957000000000001</v>
      </c>
      <c r="AD209" s="40">
        <v>6.0279999999999996</v>
      </c>
      <c r="AE209" s="40">
        <v>0.72799999999999998</v>
      </c>
      <c r="AF209" s="40">
        <v>0</v>
      </c>
      <c r="AG209" s="40">
        <v>0</v>
      </c>
      <c r="AH209" s="40">
        <v>0</v>
      </c>
      <c r="AI209" s="40">
        <v>0</v>
      </c>
      <c r="AJ209" s="40">
        <v>0</v>
      </c>
      <c r="AK209" s="40">
        <v>0</v>
      </c>
      <c r="AL209" s="53">
        <f t="shared" ref="AL209:AW209" si="284">AL312</f>
        <v>0</v>
      </c>
      <c r="AM209" s="53">
        <f t="shared" si="284"/>
        <v>0</v>
      </c>
      <c r="AN209" s="53">
        <f t="shared" si="284"/>
        <v>0</v>
      </c>
      <c r="AO209" s="53">
        <f t="shared" si="284"/>
        <v>0</v>
      </c>
      <c r="AP209" s="53">
        <f t="shared" si="284"/>
        <v>0</v>
      </c>
      <c r="AQ209" s="53">
        <f t="shared" si="284"/>
        <v>0</v>
      </c>
      <c r="AR209" s="53">
        <f t="shared" si="284"/>
        <v>0</v>
      </c>
      <c r="AS209" s="53">
        <f t="shared" si="284"/>
        <v>0</v>
      </c>
      <c r="AT209" s="53">
        <f t="shared" si="284"/>
        <v>0</v>
      </c>
      <c r="AU209" s="53">
        <f t="shared" si="284"/>
        <v>0</v>
      </c>
      <c r="AV209" s="53">
        <f t="shared" si="284"/>
        <v>0</v>
      </c>
      <c r="AW209" s="53">
        <f t="shared" si="284"/>
        <v>0</v>
      </c>
      <c r="AX209" s="53"/>
      <c r="AY209" s="53"/>
      <c r="AZ209" s="53"/>
      <c r="BA209" s="53"/>
      <c r="BB209" s="53"/>
      <c r="BC209" s="53"/>
      <c r="BD209" s="53"/>
      <c r="BE209" s="53"/>
      <c r="BF209" s="2">
        <f t="shared" si="276"/>
        <v>203</v>
      </c>
    </row>
    <row r="210" spans="1:58" ht="11.25" customHeight="1" outlineLevel="1">
      <c r="A210" s="50"/>
      <c r="B210" s="17" t="s">
        <v>110</v>
      </c>
      <c r="C210" s="51">
        <f t="shared" si="282"/>
        <v>499.702</v>
      </c>
      <c r="D210" s="51">
        <f t="shared" si="282"/>
        <v>403.37099999999998</v>
      </c>
      <c r="E210" s="51">
        <f t="shared" si="282"/>
        <v>465.8</v>
      </c>
      <c r="F210" s="51">
        <f t="shared" si="282"/>
        <v>304.14400000000001</v>
      </c>
      <c r="G210" s="51">
        <f t="shared" si="282"/>
        <v>249.70299999999997</v>
      </c>
      <c r="H210" s="51">
        <f t="shared" si="282"/>
        <v>255.48099999999999</v>
      </c>
      <c r="I210" s="51">
        <f t="shared" si="282"/>
        <v>255.48099999999999</v>
      </c>
      <c r="J210" s="51">
        <f t="shared" si="282"/>
        <v>255.48099999999999</v>
      </c>
      <c r="K210" s="51">
        <f t="shared" si="282"/>
        <v>255.48099999999999</v>
      </c>
      <c r="L210" s="108"/>
      <c r="M210" s="51"/>
      <c r="N210" s="40">
        <f>284.76+40.864+16.721+15.678</f>
        <v>358.02299999999997</v>
      </c>
      <c r="O210" s="40">
        <f>290.809+118.163+3.907</f>
        <v>412.87900000000002</v>
      </c>
      <c r="P210" s="40">
        <f>360.647+148.857</f>
        <v>509.50400000000002</v>
      </c>
      <c r="Q210" s="40">
        <f>346.49+153.212</f>
        <v>499.702</v>
      </c>
      <c r="R210" s="40">
        <f>331.52+39.371</f>
        <v>370.89099999999996</v>
      </c>
      <c r="S210" s="40">
        <f>328.789+36.826</f>
        <v>365.61500000000001</v>
      </c>
      <c r="T210" s="40">
        <f>361.927</f>
        <v>361.92700000000002</v>
      </c>
      <c r="U210" s="40">
        <f>376.049+27.322</f>
        <v>403.37099999999998</v>
      </c>
      <c r="V210" s="51">
        <f t="shared" ref="V210:AK210" si="285">V211-V208-V209</f>
        <v>425.09100000000001</v>
      </c>
      <c r="W210" s="51">
        <f t="shared" si="285"/>
        <v>433.26800000000003</v>
      </c>
      <c r="X210" s="51">
        <f t="shared" si="285"/>
        <v>481.74200000000002</v>
      </c>
      <c r="Y210" s="51">
        <f t="shared" si="285"/>
        <v>465.8</v>
      </c>
      <c r="Z210" s="51">
        <f t="shared" si="285"/>
        <v>363.99499999999989</v>
      </c>
      <c r="AA210" s="51">
        <f t="shared" si="285"/>
        <v>323.85500000000002</v>
      </c>
      <c r="AB210" s="51">
        <f t="shared" si="285"/>
        <v>330.77099999999996</v>
      </c>
      <c r="AC210" s="51">
        <f t="shared" si="285"/>
        <v>304.14400000000001</v>
      </c>
      <c r="AD210" s="51">
        <f t="shared" si="285"/>
        <v>319.35699999999997</v>
      </c>
      <c r="AE210" s="51">
        <f t="shared" si="285"/>
        <v>252.63900000000001</v>
      </c>
      <c r="AF210" s="51">
        <f t="shared" si="285"/>
        <v>271.14499999999998</v>
      </c>
      <c r="AG210" s="51">
        <f t="shared" si="285"/>
        <v>249.70299999999997</v>
      </c>
      <c r="AH210" s="51">
        <f t="shared" si="285"/>
        <v>266.56700000000001</v>
      </c>
      <c r="AI210" s="51">
        <f t="shared" si="285"/>
        <v>247.21799999999999</v>
      </c>
      <c r="AJ210" s="51">
        <f t="shared" si="285"/>
        <v>274.61599999999999</v>
      </c>
      <c r="AK210" s="51">
        <f t="shared" si="285"/>
        <v>255.48099999999999</v>
      </c>
      <c r="AL210" s="134">
        <f t="shared" ref="AL210:AW210" si="286">AK210</f>
        <v>255.48099999999999</v>
      </c>
      <c r="AM210" s="134">
        <f t="shared" si="286"/>
        <v>255.48099999999999</v>
      </c>
      <c r="AN210" s="134">
        <f t="shared" si="286"/>
        <v>255.48099999999999</v>
      </c>
      <c r="AO210" s="134">
        <f t="shared" si="286"/>
        <v>255.48099999999999</v>
      </c>
      <c r="AP210" s="134">
        <f t="shared" si="286"/>
        <v>255.48099999999999</v>
      </c>
      <c r="AQ210" s="134">
        <f t="shared" si="286"/>
        <v>255.48099999999999</v>
      </c>
      <c r="AR210" s="134">
        <f t="shared" si="286"/>
        <v>255.48099999999999</v>
      </c>
      <c r="AS210" s="134">
        <f t="shared" si="286"/>
        <v>255.48099999999999</v>
      </c>
      <c r="AT210" s="134">
        <f t="shared" si="286"/>
        <v>255.48099999999999</v>
      </c>
      <c r="AU210" s="134">
        <f t="shared" si="286"/>
        <v>255.48099999999999</v>
      </c>
      <c r="AV210" s="134">
        <f t="shared" si="286"/>
        <v>255.48099999999999</v>
      </c>
      <c r="AW210" s="134">
        <f t="shared" si="286"/>
        <v>255.48099999999999</v>
      </c>
      <c r="AX210" s="53"/>
      <c r="AY210" s="53"/>
      <c r="AZ210" s="53"/>
      <c r="BA210" s="53"/>
      <c r="BB210" s="53"/>
      <c r="BC210" s="53"/>
      <c r="BD210" s="53"/>
      <c r="BE210" s="53"/>
      <c r="BF210" s="2">
        <f t="shared" si="276"/>
        <v>204</v>
      </c>
    </row>
    <row r="211" spans="1:58" ht="11.25" customHeight="1" outlineLevel="1">
      <c r="A211" s="50"/>
      <c r="B211" s="123" t="s">
        <v>109</v>
      </c>
      <c r="C211" s="121">
        <f t="shared" ref="C211:K211" si="287">SUM(C208:C210)</f>
        <v>772.06500000000005</v>
      </c>
      <c r="D211" s="121">
        <f t="shared" si="287"/>
        <v>639.4</v>
      </c>
      <c r="E211" s="121">
        <f t="shared" si="287"/>
        <v>712.04700000000003</v>
      </c>
      <c r="F211" s="121">
        <f t="shared" si="287"/>
        <v>448.57600000000002</v>
      </c>
      <c r="G211" s="121">
        <f t="shared" si="287"/>
        <v>344.53399999999999</v>
      </c>
      <c r="H211" s="121">
        <f t="shared" si="287"/>
        <v>375.197</v>
      </c>
      <c r="I211" s="121">
        <f t="shared" si="287"/>
        <v>398.53251790901652</v>
      </c>
      <c r="J211" s="121">
        <f t="shared" si="287"/>
        <v>413.80279664005366</v>
      </c>
      <c r="K211" s="121">
        <f t="shared" si="287"/>
        <v>416.21053912032232</v>
      </c>
      <c r="L211" s="122"/>
      <c r="M211" s="38"/>
      <c r="N211" s="121">
        <f t="shared" ref="N211:U211" si="288">SUM(N208:N210)</f>
        <v>691.00800000000004</v>
      </c>
      <c r="O211" s="121">
        <f t="shared" si="288"/>
        <v>714.13599999999997</v>
      </c>
      <c r="P211" s="121">
        <f t="shared" si="288"/>
        <v>798.31600000000003</v>
      </c>
      <c r="Q211" s="121">
        <f t="shared" si="288"/>
        <v>772.06500000000005</v>
      </c>
      <c r="R211" s="121">
        <f t="shared" si="288"/>
        <v>629.63</v>
      </c>
      <c r="S211" s="121">
        <f t="shared" si="288"/>
        <v>601.78800000000001</v>
      </c>
      <c r="T211" s="121">
        <f t="shared" si="288"/>
        <v>632.30100000000004</v>
      </c>
      <c r="U211" s="121">
        <f t="shared" si="288"/>
        <v>639.4</v>
      </c>
      <c r="V211" s="133">
        <v>650.12</v>
      </c>
      <c r="W211" s="133">
        <v>628.56200000000001</v>
      </c>
      <c r="X211" s="133">
        <v>709.32799999999997</v>
      </c>
      <c r="Y211" s="133">
        <v>712.04700000000003</v>
      </c>
      <c r="Z211" s="133">
        <v>598.13699999999994</v>
      </c>
      <c r="AA211" s="133">
        <v>484.815</v>
      </c>
      <c r="AB211" s="133">
        <v>459.39699999999999</v>
      </c>
      <c r="AC211" s="133">
        <v>448.57600000000002</v>
      </c>
      <c r="AD211" s="133">
        <v>421.29699999999997</v>
      </c>
      <c r="AE211" s="133">
        <v>320.464</v>
      </c>
      <c r="AF211" s="133">
        <v>352.786</v>
      </c>
      <c r="AG211" s="133">
        <v>344.53399999999999</v>
      </c>
      <c r="AH211" s="133">
        <v>368.78800000000001</v>
      </c>
      <c r="AI211" s="133">
        <v>380.572</v>
      </c>
      <c r="AJ211" s="133">
        <v>400.98399999999998</v>
      </c>
      <c r="AK211" s="133">
        <v>375.197</v>
      </c>
      <c r="AL211" s="121">
        <f t="shared" ref="AL211:AW211" si="289">SUM(AL208:AL210)</f>
        <v>368.9273728657534</v>
      </c>
      <c r="AM211" s="121">
        <f t="shared" si="289"/>
        <v>377.63706947594522</v>
      </c>
      <c r="AN211" s="121">
        <f t="shared" si="289"/>
        <v>389.86893824989045</v>
      </c>
      <c r="AO211" s="121">
        <f t="shared" si="289"/>
        <v>398.53251790901652</v>
      </c>
      <c r="AP211" s="121">
        <f t="shared" si="289"/>
        <v>403.74733146483828</v>
      </c>
      <c r="AQ211" s="121">
        <f t="shared" si="289"/>
        <v>407.01702956863988</v>
      </c>
      <c r="AR211" s="121">
        <f t="shared" si="289"/>
        <v>410.36807646732109</v>
      </c>
      <c r="AS211" s="121">
        <f t="shared" si="289"/>
        <v>413.80279664005366</v>
      </c>
      <c r="AT211" s="121">
        <f t="shared" si="289"/>
        <v>414.45127921399234</v>
      </c>
      <c r="AU211" s="121">
        <f t="shared" si="289"/>
        <v>415.01879403076333</v>
      </c>
      <c r="AV211" s="121">
        <f t="shared" si="289"/>
        <v>415.6049464064896</v>
      </c>
      <c r="AW211" s="121">
        <f t="shared" si="289"/>
        <v>416.21053912032232</v>
      </c>
      <c r="AX211" s="39"/>
      <c r="AY211" s="39"/>
      <c r="AZ211" s="39"/>
      <c r="BA211" s="39"/>
      <c r="BB211" s="39"/>
      <c r="BC211" s="39"/>
      <c r="BD211" s="39"/>
      <c r="BE211" s="39"/>
      <c r="BF211" s="2">
        <f t="shared" si="276"/>
        <v>205</v>
      </c>
    </row>
    <row r="212" spans="1:58" ht="11.25" customHeight="1" outlineLevel="1">
      <c r="A212" s="50"/>
      <c r="B212" s="17" t="s">
        <v>38</v>
      </c>
      <c r="C212" s="51">
        <f t="shared" ref="C212:K218" si="290">INDEX($N212:$AX212,1,MATCH(C$5,$N$5:$AX$5,0))</f>
        <v>1814.5</v>
      </c>
      <c r="D212" s="51">
        <f t="shared" si="290"/>
        <v>1646.5350000000001</v>
      </c>
      <c r="E212" s="51">
        <f t="shared" si="290"/>
        <v>1627.8420000000001</v>
      </c>
      <c r="F212" s="51">
        <f t="shared" si="290"/>
        <v>1588.2629999999999</v>
      </c>
      <c r="G212" s="51">
        <f t="shared" si="290"/>
        <v>1284.5999999999999</v>
      </c>
      <c r="H212" s="51">
        <f t="shared" si="290"/>
        <v>1279.771</v>
      </c>
      <c r="I212" s="51">
        <f t="shared" si="290"/>
        <v>1279.771</v>
      </c>
      <c r="J212" s="51">
        <f t="shared" si="290"/>
        <v>1279.771</v>
      </c>
      <c r="K212" s="51">
        <f t="shared" si="290"/>
        <v>1279.771</v>
      </c>
      <c r="L212" s="108"/>
      <c r="M212" s="51"/>
      <c r="N212" s="40">
        <v>1978.508</v>
      </c>
      <c r="O212" s="40">
        <v>1973.6690000000001</v>
      </c>
      <c r="P212" s="40">
        <f>1909.416</f>
        <v>1909.4159999999999</v>
      </c>
      <c r="Q212" s="40">
        <v>1814.5</v>
      </c>
      <c r="R212" s="40">
        <v>1844.5840000000001</v>
      </c>
      <c r="S212" s="40">
        <v>1780</v>
      </c>
      <c r="T212" s="40">
        <f>1650</f>
        <v>1650</v>
      </c>
      <c r="U212" s="40">
        <v>1646.5350000000001</v>
      </c>
      <c r="V212" s="40">
        <v>1641.242</v>
      </c>
      <c r="W212" s="40">
        <v>1636.229</v>
      </c>
      <c r="X212" s="129">
        <v>1630.8340000000001</v>
      </c>
      <c r="Y212" s="129">
        <v>1627.8420000000001</v>
      </c>
      <c r="Z212" s="129">
        <v>1622.713</v>
      </c>
      <c r="AA212" s="129">
        <v>1618.6859999999999</v>
      </c>
      <c r="AB212" s="129">
        <v>1613.171</v>
      </c>
      <c r="AC212" s="129">
        <v>1588.2629999999999</v>
      </c>
      <c r="AD212" s="129">
        <v>1608.575</v>
      </c>
      <c r="AE212" s="129">
        <v>1533.06</v>
      </c>
      <c r="AF212" s="129">
        <v>1283.5809999999999</v>
      </c>
      <c r="AG212" s="129">
        <v>1284.5999999999999</v>
      </c>
      <c r="AH212" s="129">
        <v>1286.21</v>
      </c>
      <c r="AI212" s="129">
        <v>1287.1559999999999</v>
      </c>
      <c r="AJ212" s="129">
        <v>1281.7139999999999</v>
      </c>
      <c r="AK212" s="129">
        <v>1279.771</v>
      </c>
      <c r="AL212" s="53">
        <f t="shared" ref="AL212:AW212" si="291">AL313</f>
        <v>1279.771</v>
      </c>
      <c r="AM212" s="53">
        <f t="shared" si="291"/>
        <v>1279.771</v>
      </c>
      <c r="AN212" s="53">
        <f t="shared" si="291"/>
        <v>1279.771</v>
      </c>
      <c r="AO212" s="53">
        <f t="shared" si="291"/>
        <v>1279.771</v>
      </c>
      <c r="AP212" s="53">
        <f t="shared" si="291"/>
        <v>1279.771</v>
      </c>
      <c r="AQ212" s="53">
        <f t="shared" si="291"/>
        <v>1279.771</v>
      </c>
      <c r="AR212" s="53">
        <f t="shared" si="291"/>
        <v>1279.771</v>
      </c>
      <c r="AS212" s="53">
        <f t="shared" si="291"/>
        <v>1279.771</v>
      </c>
      <c r="AT212" s="53">
        <f t="shared" si="291"/>
        <v>1279.771</v>
      </c>
      <c r="AU212" s="53">
        <f t="shared" si="291"/>
        <v>1279.771</v>
      </c>
      <c r="AV212" s="53">
        <f t="shared" si="291"/>
        <v>1279.771</v>
      </c>
      <c r="AW212" s="53">
        <f t="shared" si="291"/>
        <v>1279.771</v>
      </c>
      <c r="AX212" s="53"/>
      <c r="AY212" s="53"/>
      <c r="AZ212" s="53"/>
      <c r="BA212" s="53"/>
      <c r="BB212" s="53"/>
      <c r="BC212" s="53"/>
      <c r="BD212" s="53"/>
      <c r="BE212" s="53"/>
      <c r="BF212" s="2">
        <f t="shared" si="276"/>
        <v>206</v>
      </c>
    </row>
    <row r="213" spans="1:58" ht="11.25" customHeight="1" outlineLevel="1">
      <c r="A213" s="50"/>
      <c r="B213" s="17" t="s">
        <v>108</v>
      </c>
      <c r="C213" s="51">
        <f t="shared" si="290"/>
        <v>0</v>
      </c>
      <c r="D213" s="51">
        <f t="shared" si="290"/>
        <v>0</v>
      </c>
      <c r="E213" s="51">
        <f t="shared" si="290"/>
        <v>0</v>
      </c>
      <c r="F213" s="51">
        <f t="shared" si="290"/>
        <v>0</v>
      </c>
      <c r="G213" s="51">
        <f t="shared" si="290"/>
        <v>0</v>
      </c>
      <c r="H213" s="51">
        <f t="shared" si="290"/>
        <v>0</v>
      </c>
      <c r="I213" s="51">
        <f t="shared" si="290"/>
        <v>0</v>
      </c>
      <c r="J213" s="51">
        <f t="shared" si="290"/>
        <v>0</v>
      </c>
      <c r="K213" s="51">
        <f t="shared" si="290"/>
        <v>0</v>
      </c>
      <c r="L213" s="108"/>
      <c r="M213" s="51"/>
      <c r="N213" s="40">
        <v>0</v>
      </c>
      <c r="O213" s="40">
        <v>0</v>
      </c>
      <c r="P213" s="40">
        <v>0</v>
      </c>
      <c r="Q213" s="40">
        <v>0</v>
      </c>
      <c r="R213" s="40">
        <v>0</v>
      </c>
      <c r="S213" s="40">
        <v>0</v>
      </c>
      <c r="T213" s="40">
        <v>0</v>
      </c>
      <c r="U213" s="40">
        <v>0</v>
      </c>
      <c r="V213" s="40">
        <v>0</v>
      </c>
      <c r="W213" s="40">
        <v>0</v>
      </c>
      <c r="X213" s="40">
        <v>0</v>
      </c>
      <c r="Y213" s="40">
        <v>0</v>
      </c>
      <c r="Z213" s="40">
        <v>0</v>
      </c>
      <c r="AA213" s="40">
        <v>0</v>
      </c>
      <c r="AB213" s="40">
        <v>0</v>
      </c>
      <c r="AC213" s="40">
        <v>0</v>
      </c>
      <c r="AD213" s="40">
        <v>0</v>
      </c>
      <c r="AE213" s="40">
        <v>0</v>
      </c>
      <c r="AF213" s="40">
        <v>0</v>
      </c>
      <c r="AG213" s="40">
        <v>0</v>
      </c>
      <c r="AH213" s="40">
        <v>0</v>
      </c>
      <c r="AI213" s="40">
        <v>0</v>
      </c>
      <c r="AJ213" s="40">
        <f t="shared" ref="AJ213:AW213" si="292">AI213</f>
        <v>0</v>
      </c>
      <c r="AK213" s="40">
        <f t="shared" si="292"/>
        <v>0</v>
      </c>
      <c r="AL213" s="132">
        <f t="shared" si="292"/>
        <v>0</v>
      </c>
      <c r="AM213" s="132">
        <f t="shared" si="292"/>
        <v>0</v>
      </c>
      <c r="AN213" s="132">
        <f t="shared" si="292"/>
        <v>0</v>
      </c>
      <c r="AO213" s="132">
        <f t="shared" si="292"/>
        <v>0</v>
      </c>
      <c r="AP213" s="132">
        <f t="shared" si="292"/>
        <v>0</v>
      </c>
      <c r="AQ213" s="132">
        <f t="shared" si="292"/>
        <v>0</v>
      </c>
      <c r="AR213" s="132">
        <f t="shared" si="292"/>
        <v>0</v>
      </c>
      <c r="AS213" s="132">
        <f t="shared" si="292"/>
        <v>0</v>
      </c>
      <c r="AT213" s="132">
        <f t="shared" si="292"/>
        <v>0</v>
      </c>
      <c r="AU213" s="132">
        <f t="shared" si="292"/>
        <v>0</v>
      </c>
      <c r="AV213" s="132">
        <f t="shared" si="292"/>
        <v>0</v>
      </c>
      <c r="AW213" s="132">
        <f t="shared" si="292"/>
        <v>0</v>
      </c>
      <c r="AX213" s="131"/>
      <c r="AY213" s="131"/>
      <c r="AZ213" s="131"/>
      <c r="BA213" s="131"/>
      <c r="BB213" s="131"/>
      <c r="BC213" s="131"/>
      <c r="BD213" s="131"/>
      <c r="BE213" s="131"/>
      <c r="BF213" s="2">
        <f t="shared" si="276"/>
        <v>207</v>
      </c>
    </row>
    <row r="214" spans="1:58" ht="11.25" customHeight="1" outlineLevel="1">
      <c r="A214" s="50"/>
      <c r="B214" s="17" t="s">
        <v>107</v>
      </c>
      <c r="C214" s="51">
        <f t="shared" si="290"/>
        <v>745.14400000000001</v>
      </c>
      <c r="D214" s="51">
        <f t="shared" si="290"/>
        <v>736.08</v>
      </c>
      <c r="E214" s="51">
        <f t="shared" si="290"/>
        <v>702.99599999999998</v>
      </c>
      <c r="F214" s="51">
        <f t="shared" si="290"/>
        <v>383.06900000000002</v>
      </c>
      <c r="G214" s="51">
        <f t="shared" si="290"/>
        <v>243.61099999999999</v>
      </c>
      <c r="H214" s="51">
        <f t="shared" si="290"/>
        <v>61.058</v>
      </c>
      <c r="I214" s="51">
        <f t="shared" si="290"/>
        <v>52.250303427638052</v>
      </c>
      <c r="J214" s="51">
        <f t="shared" si="290"/>
        <v>44.442174627091255</v>
      </c>
      <c r="K214" s="51">
        <f t="shared" si="290"/>
        <v>40.445786967267281</v>
      </c>
      <c r="L214" s="108"/>
      <c r="M214" s="51"/>
      <c r="N214" s="40">
        <v>684.89400000000001</v>
      </c>
      <c r="O214" s="40">
        <v>680.26800000000003</v>
      </c>
      <c r="P214" s="40">
        <v>727.03399999999999</v>
      </c>
      <c r="Q214" s="40">
        <v>745.14400000000001</v>
      </c>
      <c r="R214" s="40">
        <v>759.90800000000002</v>
      </c>
      <c r="S214" s="40">
        <v>759.51400000000001</v>
      </c>
      <c r="T214" s="40">
        <v>845.22799999999995</v>
      </c>
      <c r="U214" s="40">
        <v>736.08</v>
      </c>
      <c r="V214" s="40">
        <v>734.84199999999998</v>
      </c>
      <c r="W214" s="40">
        <v>719.28700000000003</v>
      </c>
      <c r="X214" s="129">
        <v>729.24599999999998</v>
      </c>
      <c r="Y214" s="129">
        <v>702.99599999999998</v>
      </c>
      <c r="Z214" s="129">
        <v>693.12300000000005</v>
      </c>
      <c r="AA214" s="129">
        <v>559.51599999999996</v>
      </c>
      <c r="AB214" s="129">
        <v>502.65800000000002</v>
      </c>
      <c r="AC214" s="129">
        <v>383.06900000000002</v>
      </c>
      <c r="AD214" s="129">
        <v>332.69400000000002</v>
      </c>
      <c r="AE214" s="129">
        <v>250.649</v>
      </c>
      <c r="AF214" s="129">
        <v>200.66399999999999</v>
      </c>
      <c r="AG214" s="129">
        <v>243.61099999999999</v>
      </c>
      <c r="AH214" s="129">
        <v>213.85499999999999</v>
      </c>
      <c r="AI214" s="129">
        <v>182.28899999999999</v>
      </c>
      <c r="AJ214" s="129">
        <v>150.61199999999999</v>
      </c>
      <c r="AK214" s="129">
        <v>61.058</v>
      </c>
      <c r="AL214" s="130">
        <f t="shared" ref="AL214:AW214" si="293">AL264*AL202</f>
        <v>59.024005375000009</v>
      </c>
      <c r="AM214" s="130">
        <f t="shared" si="293"/>
        <v>56.954476186539075</v>
      </c>
      <c r="AN214" s="130">
        <f t="shared" si="293"/>
        <v>54.56950749622775</v>
      </c>
      <c r="AO214" s="130">
        <f t="shared" si="293"/>
        <v>52.250303427638052</v>
      </c>
      <c r="AP214" s="130">
        <f t="shared" si="293"/>
        <v>50.222338525852827</v>
      </c>
      <c r="AQ214" s="130">
        <f t="shared" si="293"/>
        <v>48.244833946397357</v>
      </c>
      <c r="AR214" s="130">
        <f t="shared" si="293"/>
        <v>46.318055890663125</v>
      </c>
      <c r="AS214" s="130">
        <f t="shared" si="293"/>
        <v>44.442174627091255</v>
      </c>
      <c r="AT214" s="130">
        <f t="shared" si="293"/>
        <v>43.428337518410757</v>
      </c>
      <c r="AU214" s="130">
        <f t="shared" si="293"/>
        <v>42.424057213297509</v>
      </c>
      <c r="AV214" s="130">
        <f t="shared" si="293"/>
        <v>41.429743372360846</v>
      </c>
      <c r="AW214" s="130">
        <f t="shared" si="293"/>
        <v>40.445786967267281</v>
      </c>
      <c r="AX214" s="130"/>
      <c r="AY214" s="130"/>
      <c r="AZ214" s="130"/>
      <c r="BA214" s="130"/>
      <c r="BB214" s="130"/>
      <c r="BC214" s="130"/>
      <c r="BD214" s="130"/>
      <c r="BE214" s="130"/>
      <c r="BF214" s="2">
        <f t="shared" si="276"/>
        <v>208</v>
      </c>
    </row>
    <row r="215" spans="1:58" ht="11.25" customHeight="1" outlineLevel="1">
      <c r="A215" s="50"/>
      <c r="B215" s="48" t="s">
        <v>106</v>
      </c>
      <c r="C215" s="51">
        <f t="shared" si="290"/>
        <v>240.09799999999998</v>
      </c>
      <c r="D215" s="51">
        <f t="shared" si="290"/>
        <v>257.84800000000001</v>
      </c>
      <c r="E215" s="51">
        <f t="shared" si="290"/>
        <v>254.76599999999999</v>
      </c>
      <c r="F215" s="51">
        <f t="shared" si="290"/>
        <v>283.524</v>
      </c>
      <c r="G215" s="51">
        <f t="shared" si="290"/>
        <v>293.59000000000003</v>
      </c>
      <c r="H215" s="51">
        <f t="shared" si="290"/>
        <v>261.77</v>
      </c>
      <c r="I215" s="51">
        <f t="shared" si="290"/>
        <v>261.77</v>
      </c>
      <c r="J215" s="51">
        <f t="shared" si="290"/>
        <v>261.77</v>
      </c>
      <c r="K215" s="51">
        <f t="shared" si="290"/>
        <v>261.77</v>
      </c>
      <c r="L215" s="108"/>
      <c r="M215" s="51"/>
      <c r="N215" s="40">
        <f>110.151+104.943</f>
        <v>215.09399999999999</v>
      </c>
      <c r="O215" s="40">
        <f>89.911+106.086</f>
        <v>195.99700000000001</v>
      </c>
      <c r="P215" s="40">
        <f>91.012+114.771</f>
        <v>205.78300000000002</v>
      </c>
      <c r="Q215" s="40">
        <f>93.053+147.045</f>
        <v>240.09799999999998</v>
      </c>
      <c r="R215" s="40">
        <f>94.565+169.523</f>
        <v>264.08799999999997</v>
      </c>
      <c r="S215" s="40">
        <f>96.32+169.309</f>
        <v>265.62900000000002</v>
      </c>
      <c r="T215" s="40">
        <f>97.595+168.932</f>
        <v>266.52699999999999</v>
      </c>
      <c r="U215" s="40">
        <f>201.651+56.197</f>
        <v>257.84800000000001</v>
      </c>
      <c r="V215" s="40">
        <f>168.816+57.33</f>
        <v>226.14600000000002</v>
      </c>
      <c r="W215" s="40">
        <f>85.62+167.009</f>
        <v>252.62899999999999</v>
      </c>
      <c r="X215" s="129">
        <f>87.443+165.379</f>
        <v>252.822</v>
      </c>
      <c r="Y215" s="129">
        <f>166.766+88</f>
        <v>254.76599999999999</v>
      </c>
      <c r="Z215" s="129">
        <f>91.485+163.396</f>
        <v>254.88099999999997</v>
      </c>
      <c r="AA215" s="129">
        <f>173.922+93.076</f>
        <v>266.99799999999999</v>
      </c>
      <c r="AB215" s="129">
        <f>82.901+173.843</f>
        <v>256.74399999999997</v>
      </c>
      <c r="AC215" s="129">
        <f>184.634+98.89</f>
        <v>283.524</v>
      </c>
      <c r="AD215" s="129">
        <f>97.011+179.499</f>
        <v>276.51</v>
      </c>
      <c r="AE215" s="129">
        <f>185.522+96.381</f>
        <v>281.90300000000002</v>
      </c>
      <c r="AF215" s="129">
        <f>99.485+193.571</f>
        <v>293.05599999999998</v>
      </c>
      <c r="AG215" s="129">
        <f>101.513+192.077</f>
        <v>293.59000000000003</v>
      </c>
      <c r="AH215" s="129">
        <f>103.186+193.974</f>
        <v>297.15999999999997</v>
      </c>
      <c r="AI215" s="129">
        <f>104.891+167.553</f>
        <v>272.44400000000002</v>
      </c>
      <c r="AJ215" s="129">
        <f>101.544+161.522</f>
        <v>263.06599999999997</v>
      </c>
      <c r="AK215" s="129">
        <f>103.136+158.634</f>
        <v>261.77</v>
      </c>
      <c r="AL215" s="127">
        <f t="shared" ref="AL215:AW215" si="294">AK215</f>
        <v>261.77</v>
      </c>
      <c r="AM215" s="127">
        <f t="shared" si="294"/>
        <v>261.77</v>
      </c>
      <c r="AN215" s="127">
        <f t="shared" si="294"/>
        <v>261.77</v>
      </c>
      <c r="AO215" s="127">
        <f t="shared" si="294"/>
        <v>261.77</v>
      </c>
      <c r="AP215" s="127">
        <f t="shared" si="294"/>
        <v>261.77</v>
      </c>
      <c r="AQ215" s="127">
        <f t="shared" si="294"/>
        <v>261.77</v>
      </c>
      <c r="AR215" s="127">
        <f t="shared" si="294"/>
        <v>261.77</v>
      </c>
      <c r="AS215" s="127">
        <f t="shared" si="294"/>
        <v>261.77</v>
      </c>
      <c r="AT215" s="127">
        <f t="shared" si="294"/>
        <v>261.77</v>
      </c>
      <c r="AU215" s="127">
        <f t="shared" si="294"/>
        <v>261.77</v>
      </c>
      <c r="AV215" s="127">
        <f t="shared" si="294"/>
        <v>261.77</v>
      </c>
      <c r="AW215" s="127">
        <f t="shared" si="294"/>
        <v>261.77</v>
      </c>
      <c r="AX215" s="127"/>
      <c r="AY215" s="127"/>
      <c r="AZ215" s="127"/>
      <c r="BA215" s="127"/>
      <c r="BB215" s="127"/>
      <c r="BC215" s="127"/>
      <c r="BD215" s="127"/>
      <c r="BE215" s="127"/>
      <c r="BF215" s="2">
        <f t="shared" si="276"/>
        <v>209</v>
      </c>
    </row>
    <row r="216" spans="1:58" ht="11.25" customHeight="1" outlineLevel="1">
      <c r="A216" s="50"/>
      <c r="B216" s="48" t="s">
        <v>105</v>
      </c>
      <c r="C216" s="51">
        <f t="shared" si="290"/>
        <v>2850.855</v>
      </c>
      <c r="D216" s="51">
        <f t="shared" si="290"/>
        <v>2873.7380000000003</v>
      </c>
      <c r="E216" s="51">
        <f t="shared" si="290"/>
        <v>2620.4780000000001</v>
      </c>
      <c r="F216" s="51">
        <f t="shared" si="290"/>
        <v>2664.6679999999997</v>
      </c>
      <c r="G216" s="51">
        <f t="shared" si="290"/>
        <v>2691.7049999999999</v>
      </c>
      <c r="H216" s="51">
        <f t="shared" si="290"/>
        <v>2713.3139999999999</v>
      </c>
      <c r="I216" s="51">
        <f t="shared" si="290"/>
        <v>2753.3139999999999</v>
      </c>
      <c r="J216" s="51">
        <f t="shared" si="290"/>
        <v>2793.3139999999999</v>
      </c>
      <c r="K216" s="51">
        <f t="shared" si="290"/>
        <v>2833.3139999999999</v>
      </c>
      <c r="L216" s="108"/>
      <c r="M216" s="51"/>
      <c r="N216" s="40">
        <f>0.157+2832.36</f>
        <v>2832.5170000000003</v>
      </c>
      <c r="O216" s="40">
        <v>2840.2150000000001</v>
      </c>
      <c r="P216" s="40">
        <v>2846.2359999999999</v>
      </c>
      <c r="Q216" s="40">
        <v>2850.855</v>
      </c>
      <c r="R216" s="40">
        <v>2859.5720000000001</v>
      </c>
      <c r="S216" s="40">
        <v>2867.6039999999998</v>
      </c>
      <c r="T216" s="40">
        <f>2874.112+0.159</f>
        <v>2874.2710000000002</v>
      </c>
      <c r="U216" s="40">
        <f>0.159+2873.579</f>
        <v>2873.7380000000003</v>
      </c>
      <c r="V216" s="40">
        <f>0.157+2799.885</f>
        <v>2800.0420000000004</v>
      </c>
      <c r="W216" s="40">
        <f>0.156+2785.7</f>
        <v>2785.8559999999998</v>
      </c>
      <c r="X216" s="40">
        <f>0.154+2724.777</f>
        <v>2724.931</v>
      </c>
      <c r="Y216" s="40">
        <f>0.15+2620.328</f>
        <v>2620.4780000000001</v>
      </c>
      <c r="Z216" s="40">
        <f>0.15+2632.926</f>
        <v>2633.076</v>
      </c>
      <c r="AA216" s="40">
        <f>0.151+2647.272</f>
        <v>2647.4229999999998</v>
      </c>
      <c r="AB216" s="40">
        <f>2655.009+0.151</f>
        <v>2655.16</v>
      </c>
      <c r="AC216" s="40">
        <f>2664.517+0.151</f>
        <v>2664.6679999999997</v>
      </c>
      <c r="AD216" s="40">
        <f>0.151+2664.761</f>
        <v>2664.9119999999998</v>
      </c>
      <c r="AE216" s="40">
        <f>0.152+2674.947</f>
        <v>2675.0990000000002</v>
      </c>
      <c r="AF216" s="40">
        <f>2682.188+0.152</f>
        <v>2682.34</v>
      </c>
      <c r="AG216" s="40">
        <f>2691.553+0.152</f>
        <v>2691.7049999999999</v>
      </c>
      <c r="AH216" s="40">
        <f>AG216+AH186+AH172</f>
        <v>2702.3959999999997</v>
      </c>
      <c r="AI216" s="40">
        <f>AH216+AI186+AI172</f>
        <v>2711.7319999999995</v>
      </c>
      <c r="AJ216" s="40">
        <f>2705.526+0.153</f>
        <v>2705.6789999999996</v>
      </c>
      <c r="AK216" s="40">
        <f>2713.161+0.153</f>
        <v>2713.3139999999999</v>
      </c>
      <c r="AL216" s="51">
        <f t="shared" ref="AL216:AW216" si="295">AK216+AL186+AL172</f>
        <v>2723.3139999999999</v>
      </c>
      <c r="AM216" s="51">
        <f t="shared" si="295"/>
        <v>2733.3139999999999</v>
      </c>
      <c r="AN216" s="51">
        <f t="shared" si="295"/>
        <v>2743.3139999999999</v>
      </c>
      <c r="AO216" s="51">
        <f t="shared" si="295"/>
        <v>2753.3139999999999</v>
      </c>
      <c r="AP216" s="51">
        <f t="shared" si="295"/>
        <v>2763.3139999999999</v>
      </c>
      <c r="AQ216" s="51">
        <f t="shared" si="295"/>
        <v>2773.3139999999999</v>
      </c>
      <c r="AR216" s="51">
        <f t="shared" si="295"/>
        <v>2783.3139999999999</v>
      </c>
      <c r="AS216" s="51">
        <f t="shared" si="295"/>
        <v>2793.3139999999999</v>
      </c>
      <c r="AT216" s="51">
        <f t="shared" si="295"/>
        <v>2803.3139999999999</v>
      </c>
      <c r="AU216" s="51">
        <f t="shared" si="295"/>
        <v>2813.3139999999999</v>
      </c>
      <c r="AV216" s="51">
        <f t="shared" si="295"/>
        <v>2823.3139999999999</v>
      </c>
      <c r="AW216" s="51">
        <f t="shared" si="295"/>
        <v>2833.3139999999999</v>
      </c>
      <c r="AX216" s="53"/>
      <c r="AY216" s="53"/>
      <c r="AZ216" s="53"/>
      <c r="BA216" s="53"/>
      <c r="BB216" s="53"/>
      <c r="BC216" s="53"/>
      <c r="BD216" s="53"/>
      <c r="BE216" s="53"/>
      <c r="BF216" s="2">
        <f t="shared" si="276"/>
        <v>210</v>
      </c>
    </row>
    <row r="217" spans="1:58" ht="11.25" customHeight="1" outlineLevel="1">
      <c r="A217" s="50"/>
      <c r="B217" s="17" t="s">
        <v>104</v>
      </c>
      <c r="C217" s="51">
        <f t="shared" si="290"/>
        <v>1399.383</v>
      </c>
      <c r="D217" s="51">
        <f t="shared" si="290"/>
        <v>1275.2059999999999</v>
      </c>
      <c r="E217" s="51">
        <f t="shared" si="290"/>
        <v>1495.54</v>
      </c>
      <c r="F217" s="51">
        <f t="shared" si="290"/>
        <v>-408.16199999999998</v>
      </c>
      <c r="G217" s="51">
        <f t="shared" si="290"/>
        <v>-1307.537</v>
      </c>
      <c r="H217" s="51">
        <f t="shared" si="290"/>
        <v>-1513.4580000000001</v>
      </c>
      <c r="I217" s="51">
        <f t="shared" si="290"/>
        <v>-1644.6655324803071</v>
      </c>
      <c r="J217" s="51">
        <f t="shared" si="290"/>
        <v>-1618.7306649884204</v>
      </c>
      <c r="K217" s="51">
        <f t="shared" si="290"/>
        <v>-1543.1162827021462</v>
      </c>
      <c r="L217" s="108"/>
      <c r="M217" s="51"/>
      <c r="N217" s="40">
        <v>1087.3679999999999</v>
      </c>
      <c r="O217" s="40">
        <v>1229.221</v>
      </c>
      <c r="P217" s="40">
        <v>1323.1079999999999</v>
      </c>
      <c r="Q217" s="40">
        <v>1399.383</v>
      </c>
      <c r="R217" s="40">
        <v>1463.11</v>
      </c>
      <c r="S217" s="40">
        <v>1531.6690000000001</v>
      </c>
      <c r="T217" s="40">
        <v>1601.5039999999999</v>
      </c>
      <c r="U217" s="40">
        <v>1275.2059999999999</v>
      </c>
      <c r="V217" s="129">
        <v>1311.7449999999999</v>
      </c>
      <c r="W217" s="129">
        <v>1374.249</v>
      </c>
      <c r="X217" s="129">
        <v>1441.846</v>
      </c>
      <c r="Y217" s="129">
        <v>1495.54</v>
      </c>
      <c r="Z217" s="129">
        <v>1472.1869999999999</v>
      </c>
      <c r="AA217" s="129">
        <v>674.87400000000002</v>
      </c>
      <c r="AB217" s="129">
        <v>-158.53399999999999</v>
      </c>
      <c r="AC217" s="129">
        <v>-408.16199999999998</v>
      </c>
      <c r="AD217" s="129">
        <v>-507.44099999999997</v>
      </c>
      <c r="AE217" s="129">
        <v>-978.298</v>
      </c>
      <c r="AF217" s="129">
        <v>-1096.297</v>
      </c>
      <c r="AG217" s="129">
        <v>-1307.537</v>
      </c>
      <c r="AH217" s="129">
        <f>AG217+AH185+AH38</f>
        <v>-1399.1960000000001</v>
      </c>
      <c r="AI217" s="129">
        <f>AH217+AI185+AI38</f>
        <v>-1463.0020000000002</v>
      </c>
      <c r="AJ217" s="129">
        <v>-1522.0509999999999</v>
      </c>
      <c r="AK217" s="129">
        <v>-1513.4580000000001</v>
      </c>
      <c r="AL217" s="53">
        <f t="shared" ref="AL217:AW217" si="296">AK217+AL185+AL38</f>
        <v>-1570.5178152030001</v>
      </c>
      <c r="AM217" s="53">
        <f t="shared" si="296"/>
        <v>-1612.5929721883351</v>
      </c>
      <c r="AN217" s="53">
        <f t="shared" si="296"/>
        <v>-1634.0115726914489</v>
      </c>
      <c r="AO217" s="53">
        <f t="shared" si="296"/>
        <v>-1644.6655324803071</v>
      </c>
      <c r="AP217" s="53">
        <f t="shared" si="296"/>
        <v>-1646.3290782382105</v>
      </c>
      <c r="AQ217" s="53">
        <f t="shared" si="296"/>
        <v>-1642.6473631955864</v>
      </c>
      <c r="AR217" s="53">
        <f t="shared" si="296"/>
        <v>-1633.4912429243875</v>
      </c>
      <c r="AS217" s="53">
        <f t="shared" si="296"/>
        <v>-1618.7306649884204</v>
      </c>
      <c r="AT217" s="53">
        <f t="shared" si="296"/>
        <v>-1601.5355808795805</v>
      </c>
      <c r="AU217" s="53">
        <f t="shared" si="296"/>
        <v>-1583.2301427187995</v>
      </c>
      <c r="AV217" s="53">
        <f t="shared" si="296"/>
        <v>-1563.7711694552029</v>
      </c>
      <c r="AW217" s="53">
        <f t="shared" si="296"/>
        <v>-1543.1162827021462</v>
      </c>
      <c r="AX217" s="53"/>
      <c r="AY217" s="53"/>
      <c r="AZ217" s="53"/>
      <c r="BA217" s="53"/>
      <c r="BB217" s="53"/>
      <c r="BC217" s="53"/>
      <c r="BD217" s="53"/>
      <c r="BE217" s="53"/>
      <c r="BF217" s="2">
        <f t="shared" si="276"/>
        <v>211</v>
      </c>
    </row>
    <row r="218" spans="1:58" ht="11.25" customHeight="1" outlineLevel="1">
      <c r="A218" s="50"/>
      <c r="B218" s="17" t="s">
        <v>103</v>
      </c>
      <c r="C218" s="51">
        <f t="shared" si="290"/>
        <v>-19.158999999999999</v>
      </c>
      <c r="D218" s="51">
        <f t="shared" si="290"/>
        <v>-17.5</v>
      </c>
      <c r="E218" s="51">
        <f t="shared" si="290"/>
        <v>-36.28</v>
      </c>
      <c r="F218" s="51">
        <f t="shared" si="290"/>
        <v>-45.694000000000003</v>
      </c>
      <c r="G218" s="51">
        <f t="shared" si="290"/>
        <v>-80.248000000000005</v>
      </c>
      <c r="H218" s="51">
        <f t="shared" si="290"/>
        <v>-67.427000000000007</v>
      </c>
      <c r="I218" s="51">
        <f t="shared" si="290"/>
        <v>-67.427000000000007</v>
      </c>
      <c r="J218" s="51">
        <f t="shared" si="290"/>
        <v>-67.427000000000007</v>
      </c>
      <c r="K218" s="51">
        <f t="shared" si="290"/>
        <v>-67.427000000000007</v>
      </c>
      <c r="L218" s="108"/>
      <c r="M218" s="51"/>
      <c r="N218" s="40">
        <v>-21.030999999999999</v>
      </c>
      <c r="O218" s="40">
        <f>-29.846+0.157</f>
        <v>-29.689</v>
      </c>
      <c r="P218" s="40">
        <f>-20.432+0.157</f>
        <v>-20.274999999999999</v>
      </c>
      <c r="Q218" s="40">
        <f>-19.317+0.158</f>
        <v>-19.158999999999999</v>
      </c>
      <c r="R218" s="40">
        <f>-31.667+0.159</f>
        <v>-31.508000000000003</v>
      </c>
      <c r="S218" s="40">
        <f>-33.916+0.159</f>
        <v>-33.756999999999998</v>
      </c>
      <c r="T218" s="40">
        <v>-21.968</v>
      </c>
      <c r="U218" s="40">
        <v>-17.5</v>
      </c>
      <c r="V218" s="40">
        <v>-16.109000000000002</v>
      </c>
      <c r="W218" s="129">
        <v>-10.628</v>
      </c>
      <c r="X218" s="129">
        <v>-25.067</v>
      </c>
      <c r="Y218" s="129">
        <v>-36.28</v>
      </c>
      <c r="Z218" s="129">
        <v>-50.959000000000003</v>
      </c>
      <c r="AA218" s="129">
        <v>-36.725000000000001</v>
      </c>
      <c r="AB218" s="129">
        <v>-44.207999999999998</v>
      </c>
      <c r="AC218" s="129">
        <v>-45.694000000000003</v>
      </c>
      <c r="AD218" s="129">
        <v>-50.448999999999998</v>
      </c>
      <c r="AE218" s="129">
        <v>-67.617000000000004</v>
      </c>
      <c r="AF218" s="129">
        <v>-72.31</v>
      </c>
      <c r="AG218" s="129">
        <v>-80.248000000000005</v>
      </c>
      <c r="AH218" s="129">
        <f>1212.698-AH216-AH217</f>
        <v>-90.501999999999498</v>
      </c>
      <c r="AI218" s="129">
        <f>1163.469-AI217-AI216</f>
        <v>-85.260999999999058</v>
      </c>
      <c r="AJ218" s="129">
        <v>-68.873000000000005</v>
      </c>
      <c r="AK218" s="129">
        <v>-67.427000000000007</v>
      </c>
      <c r="AL218" s="128">
        <f t="shared" ref="AL218:AW218" si="297">AK218</f>
        <v>-67.427000000000007</v>
      </c>
      <c r="AM218" s="128">
        <f t="shared" si="297"/>
        <v>-67.427000000000007</v>
      </c>
      <c r="AN218" s="128">
        <f t="shared" si="297"/>
        <v>-67.427000000000007</v>
      </c>
      <c r="AO218" s="128">
        <f t="shared" si="297"/>
        <v>-67.427000000000007</v>
      </c>
      <c r="AP218" s="128">
        <f t="shared" si="297"/>
        <v>-67.427000000000007</v>
      </c>
      <c r="AQ218" s="128">
        <f t="shared" si="297"/>
        <v>-67.427000000000007</v>
      </c>
      <c r="AR218" s="128">
        <f t="shared" si="297"/>
        <v>-67.427000000000007</v>
      </c>
      <c r="AS218" s="128">
        <f t="shared" si="297"/>
        <v>-67.427000000000007</v>
      </c>
      <c r="AT218" s="128">
        <f t="shared" si="297"/>
        <v>-67.427000000000007</v>
      </c>
      <c r="AU218" s="128">
        <f t="shared" si="297"/>
        <v>-67.427000000000007</v>
      </c>
      <c r="AV218" s="128">
        <f t="shared" si="297"/>
        <v>-67.427000000000007</v>
      </c>
      <c r="AW218" s="128">
        <f t="shared" si="297"/>
        <v>-67.427000000000007</v>
      </c>
      <c r="AX218" s="127"/>
      <c r="AY218" s="127"/>
      <c r="AZ218" s="127"/>
      <c r="BA218" s="127"/>
      <c r="BB218" s="127"/>
      <c r="BC218" s="127"/>
      <c r="BD218" s="127"/>
      <c r="BE218" s="127"/>
      <c r="BF218" s="2">
        <f t="shared" si="276"/>
        <v>212</v>
      </c>
    </row>
    <row r="219" spans="1:58" ht="11.25" customHeight="1" outlineLevel="1">
      <c r="A219" s="50"/>
      <c r="B219" s="33" t="s">
        <v>46</v>
      </c>
      <c r="C219" s="125">
        <f t="shared" ref="C219:K219" si="298">SUM(C216:C218)</f>
        <v>4231.0790000000006</v>
      </c>
      <c r="D219" s="125">
        <f t="shared" si="298"/>
        <v>4131.4440000000004</v>
      </c>
      <c r="E219" s="125">
        <f t="shared" si="298"/>
        <v>4079.7379999999998</v>
      </c>
      <c r="F219" s="125">
        <f t="shared" si="298"/>
        <v>2210.8119999999999</v>
      </c>
      <c r="G219" s="125">
        <f t="shared" si="298"/>
        <v>1303.9199999999998</v>
      </c>
      <c r="H219" s="125">
        <f t="shared" si="298"/>
        <v>1132.4289999999999</v>
      </c>
      <c r="I219" s="125">
        <f t="shared" si="298"/>
        <v>1041.2214675196929</v>
      </c>
      <c r="J219" s="125">
        <f t="shared" si="298"/>
        <v>1107.1563350115796</v>
      </c>
      <c r="K219" s="125">
        <f t="shared" si="298"/>
        <v>1222.7707172978537</v>
      </c>
      <c r="L219" s="126"/>
      <c r="M219" s="51"/>
      <c r="N219" s="125">
        <f t="shared" ref="N219:Y219" si="299">SUM(N216:N218)</f>
        <v>3898.8540000000003</v>
      </c>
      <c r="O219" s="125">
        <f t="shared" si="299"/>
        <v>4039.7470000000003</v>
      </c>
      <c r="P219" s="125">
        <f t="shared" si="299"/>
        <v>4149.0690000000004</v>
      </c>
      <c r="Q219" s="125">
        <f t="shared" si="299"/>
        <v>4231.0790000000006</v>
      </c>
      <c r="R219" s="125">
        <f t="shared" si="299"/>
        <v>4291.174</v>
      </c>
      <c r="S219" s="125">
        <f t="shared" si="299"/>
        <v>4365.5160000000005</v>
      </c>
      <c r="T219" s="125">
        <f t="shared" si="299"/>
        <v>4453.8069999999998</v>
      </c>
      <c r="U219" s="125">
        <f t="shared" si="299"/>
        <v>4131.4440000000004</v>
      </c>
      <c r="V219" s="125">
        <f t="shared" si="299"/>
        <v>4095.6780000000003</v>
      </c>
      <c r="W219" s="125">
        <f t="shared" si="299"/>
        <v>4149.4769999999999</v>
      </c>
      <c r="X219" s="125">
        <f t="shared" si="299"/>
        <v>4141.71</v>
      </c>
      <c r="Y219" s="125">
        <f t="shared" si="299"/>
        <v>4079.7379999999998</v>
      </c>
      <c r="Z219" s="125">
        <v>4054.3040000000001</v>
      </c>
      <c r="AA219" s="125">
        <f t="shared" ref="AA219:AW219" si="300">SUM(AA216:AA218)</f>
        <v>3285.5719999999997</v>
      </c>
      <c r="AB219" s="125">
        <f t="shared" si="300"/>
        <v>2452.4179999999997</v>
      </c>
      <c r="AC219" s="125">
        <f t="shared" si="300"/>
        <v>2210.8119999999999</v>
      </c>
      <c r="AD219" s="125">
        <f t="shared" si="300"/>
        <v>2107.0219999999999</v>
      </c>
      <c r="AE219" s="125">
        <f t="shared" si="300"/>
        <v>1629.1840000000002</v>
      </c>
      <c r="AF219" s="125">
        <f t="shared" si="300"/>
        <v>1513.7330000000002</v>
      </c>
      <c r="AG219" s="125">
        <f t="shared" si="300"/>
        <v>1303.9199999999998</v>
      </c>
      <c r="AH219" s="125">
        <f t="shared" si="300"/>
        <v>1212.6980000000001</v>
      </c>
      <c r="AI219" s="125">
        <f t="shared" si="300"/>
        <v>1163.4690000000003</v>
      </c>
      <c r="AJ219" s="125">
        <f t="shared" si="300"/>
        <v>1114.7549999999997</v>
      </c>
      <c r="AK219" s="125">
        <f>SUM(AK216:AK218)</f>
        <v>1132.4289999999999</v>
      </c>
      <c r="AL219" s="124">
        <f t="shared" si="300"/>
        <v>1085.3691847969999</v>
      </c>
      <c r="AM219" s="124">
        <f t="shared" si="300"/>
        <v>1053.2940278116648</v>
      </c>
      <c r="AN219" s="124">
        <f t="shared" si="300"/>
        <v>1041.875427308551</v>
      </c>
      <c r="AO219" s="124">
        <f t="shared" si="300"/>
        <v>1041.2214675196929</v>
      </c>
      <c r="AP219" s="124">
        <f t="shared" si="300"/>
        <v>1049.5579217617894</v>
      </c>
      <c r="AQ219" s="124">
        <f t="shared" si="300"/>
        <v>1063.2396368044135</v>
      </c>
      <c r="AR219" s="124">
        <f t="shared" si="300"/>
        <v>1082.3957570756124</v>
      </c>
      <c r="AS219" s="124">
        <f t="shared" si="300"/>
        <v>1107.1563350115796</v>
      </c>
      <c r="AT219" s="124">
        <f t="shared" si="300"/>
        <v>1134.3514191204195</v>
      </c>
      <c r="AU219" s="124">
        <f t="shared" si="300"/>
        <v>1162.6568572812005</v>
      </c>
      <c r="AV219" s="124">
        <f t="shared" si="300"/>
        <v>1192.1158305447971</v>
      </c>
      <c r="AW219" s="124">
        <f t="shared" si="300"/>
        <v>1222.7707172978537</v>
      </c>
      <c r="AX219" s="53"/>
      <c r="AY219" s="53"/>
      <c r="AZ219" s="53"/>
      <c r="BA219" s="53"/>
      <c r="BB219" s="53"/>
      <c r="BC219" s="53"/>
      <c r="BD219" s="53"/>
      <c r="BE219" s="53"/>
      <c r="BF219" s="2">
        <f t="shared" si="276"/>
        <v>213</v>
      </c>
    </row>
    <row r="220" spans="1:58" ht="11.25" customHeight="1" outlineLevel="1">
      <c r="A220" s="47"/>
      <c r="B220" s="123" t="s">
        <v>102</v>
      </c>
      <c r="C220" s="121">
        <f t="shared" ref="C220:K220" si="301">SUM(C219,C212:C215,C211)</f>
        <v>7802.8860000000004</v>
      </c>
      <c r="D220" s="121">
        <f t="shared" si="301"/>
        <v>7411.3069999999998</v>
      </c>
      <c r="E220" s="121">
        <f t="shared" si="301"/>
        <v>7377.3889999999992</v>
      </c>
      <c r="F220" s="121">
        <f t="shared" si="301"/>
        <v>4914.2440000000006</v>
      </c>
      <c r="G220" s="121">
        <f t="shared" si="301"/>
        <v>3470.2549999999997</v>
      </c>
      <c r="H220" s="121">
        <f t="shared" si="301"/>
        <v>3110.2249999999999</v>
      </c>
      <c r="I220" s="121">
        <f t="shared" si="301"/>
        <v>3033.5452888563468</v>
      </c>
      <c r="J220" s="121">
        <f t="shared" si="301"/>
        <v>3106.9423062787246</v>
      </c>
      <c r="K220" s="121">
        <f t="shared" si="301"/>
        <v>3220.9680433854433</v>
      </c>
      <c r="L220" s="122"/>
      <c r="M220" s="51"/>
      <c r="N220" s="121">
        <f>SUM(N219,N212:N215,N211)</f>
        <v>7468.3580000000002</v>
      </c>
      <c r="O220" s="121">
        <f>SUM(O219,O212:O215,O211)</f>
        <v>7603.8170000000009</v>
      </c>
      <c r="P220" s="121">
        <f>SUM(P219,P212:P215,P211)</f>
        <v>7789.6180000000004</v>
      </c>
      <c r="Q220" s="121">
        <f>SUM(Q219,Q212:Q215,Q211)</f>
        <v>7802.8860000000004</v>
      </c>
      <c r="R220" s="121">
        <f t="shared" ref="R220:AW220" si="302">SUM(R219,R212:R215,R211)</f>
        <v>7789.384</v>
      </c>
      <c r="S220" s="121">
        <f t="shared" si="302"/>
        <v>7772.4470000000001</v>
      </c>
      <c r="T220" s="121">
        <f t="shared" si="302"/>
        <v>7847.8630000000003</v>
      </c>
      <c r="U220" s="121">
        <f t="shared" si="302"/>
        <v>7411.3069999999998</v>
      </c>
      <c r="V220" s="121">
        <f t="shared" si="302"/>
        <v>7348.0279999999993</v>
      </c>
      <c r="W220" s="121">
        <f t="shared" si="302"/>
        <v>7386.1840000000002</v>
      </c>
      <c r="X220" s="121">
        <f t="shared" si="302"/>
        <v>7463.9400000000005</v>
      </c>
      <c r="Y220" s="121">
        <f t="shared" si="302"/>
        <v>7377.3889999999992</v>
      </c>
      <c r="Z220" s="121">
        <f t="shared" si="302"/>
        <v>7223.1579999999994</v>
      </c>
      <c r="AA220" s="121">
        <f t="shared" si="302"/>
        <v>6215.5869999999986</v>
      </c>
      <c r="AB220" s="121">
        <f t="shared" si="302"/>
        <v>5284.3879999999999</v>
      </c>
      <c r="AC220" s="121">
        <f t="shared" si="302"/>
        <v>4914.2440000000006</v>
      </c>
      <c r="AD220" s="121">
        <f t="shared" si="302"/>
        <v>4746.097999999999</v>
      </c>
      <c r="AE220" s="121">
        <f t="shared" si="302"/>
        <v>4015.26</v>
      </c>
      <c r="AF220" s="121">
        <f t="shared" si="302"/>
        <v>3643.82</v>
      </c>
      <c r="AG220" s="121">
        <f t="shared" si="302"/>
        <v>3470.2549999999997</v>
      </c>
      <c r="AH220" s="121">
        <f t="shared" si="302"/>
        <v>3378.7110000000002</v>
      </c>
      <c r="AI220" s="121">
        <f t="shared" si="302"/>
        <v>3285.93</v>
      </c>
      <c r="AJ220" s="121">
        <f t="shared" si="302"/>
        <v>3211.1309999999994</v>
      </c>
      <c r="AK220" s="121">
        <f>SUM(AK219,AK212:AK215,AK211)</f>
        <v>3110.2249999999999</v>
      </c>
      <c r="AL220" s="121">
        <f t="shared" si="302"/>
        <v>3054.8615630377535</v>
      </c>
      <c r="AM220" s="121">
        <f t="shared" si="302"/>
        <v>3029.4265734741489</v>
      </c>
      <c r="AN220" s="121">
        <f t="shared" si="302"/>
        <v>3027.8548730546695</v>
      </c>
      <c r="AO220" s="121">
        <f t="shared" si="302"/>
        <v>3033.5452888563468</v>
      </c>
      <c r="AP220" s="121">
        <f t="shared" si="302"/>
        <v>3045.0685917524806</v>
      </c>
      <c r="AQ220" s="121">
        <f t="shared" si="302"/>
        <v>3060.0425003194505</v>
      </c>
      <c r="AR220" s="121">
        <f t="shared" si="302"/>
        <v>3080.6228894335973</v>
      </c>
      <c r="AS220" s="121">
        <f t="shared" si="302"/>
        <v>3106.9423062787246</v>
      </c>
      <c r="AT220" s="121">
        <f t="shared" si="302"/>
        <v>3133.7720358528222</v>
      </c>
      <c r="AU220" s="121">
        <f t="shared" si="302"/>
        <v>3161.6407085252613</v>
      </c>
      <c r="AV220" s="121">
        <f t="shared" si="302"/>
        <v>3190.6915203236472</v>
      </c>
      <c r="AW220" s="121">
        <f t="shared" si="302"/>
        <v>3220.9680433854433</v>
      </c>
      <c r="AX220" s="39"/>
      <c r="AY220" s="39"/>
      <c r="AZ220" s="39"/>
      <c r="BA220" s="39"/>
      <c r="BB220" s="39"/>
      <c r="BC220" s="39"/>
      <c r="BD220" s="39"/>
      <c r="BE220" s="39"/>
      <c r="BF220" s="2">
        <f t="shared" si="276"/>
        <v>214</v>
      </c>
    </row>
    <row r="221" spans="1:58" ht="11.25" customHeight="1" outlineLevel="1">
      <c r="A221" s="11"/>
      <c r="B221" s="76"/>
      <c r="C221" s="74">
        <f t="shared" ref="C221:K221" si="303">ROUND(C220-C205,2)</f>
        <v>0</v>
      </c>
      <c r="D221" s="74">
        <f t="shared" si="303"/>
        <v>0</v>
      </c>
      <c r="E221" s="74">
        <f t="shared" si="303"/>
        <v>0</v>
      </c>
      <c r="F221" s="74">
        <f t="shared" si="303"/>
        <v>0</v>
      </c>
      <c r="G221" s="74">
        <f t="shared" si="303"/>
        <v>0</v>
      </c>
      <c r="H221" s="74">
        <f t="shared" si="303"/>
        <v>0</v>
      </c>
      <c r="I221" s="74">
        <f t="shared" si="303"/>
        <v>0</v>
      </c>
      <c r="J221" s="74">
        <f t="shared" si="303"/>
        <v>0</v>
      </c>
      <c r="K221" s="74">
        <f t="shared" si="303"/>
        <v>0</v>
      </c>
      <c r="L221" s="74"/>
      <c r="M221" s="75"/>
      <c r="N221" s="74">
        <f t="shared" ref="N221:AG221" si="304">ROUND(N220-N205,2)</f>
        <v>0</v>
      </c>
      <c r="O221" s="74">
        <f t="shared" si="304"/>
        <v>0</v>
      </c>
      <c r="P221" s="74">
        <f t="shared" si="304"/>
        <v>-0.1</v>
      </c>
      <c r="Q221" s="74">
        <f t="shared" si="304"/>
        <v>0</v>
      </c>
      <c r="R221" s="74">
        <f t="shared" si="304"/>
        <v>0</v>
      </c>
      <c r="S221" s="74">
        <f t="shared" si="304"/>
        <v>0</v>
      </c>
      <c r="T221" s="74">
        <f t="shared" si="304"/>
        <v>0</v>
      </c>
      <c r="U221" s="74">
        <f t="shared" si="304"/>
        <v>0</v>
      </c>
      <c r="V221" s="74">
        <f t="shared" si="304"/>
        <v>0</v>
      </c>
      <c r="W221" s="74">
        <f t="shared" si="304"/>
        <v>0</v>
      </c>
      <c r="X221" s="74">
        <f t="shared" si="304"/>
        <v>0</v>
      </c>
      <c r="Y221" s="74">
        <f t="shared" si="304"/>
        <v>0</v>
      </c>
      <c r="Z221" s="74">
        <f t="shared" si="304"/>
        <v>0</v>
      </c>
      <c r="AA221" s="74">
        <f t="shared" si="304"/>
        <v>0</v>
      </c>
      <c r="AB221" s="74">
        <f t="shared" si="304"/>
        <v>0</v>
      </c>
      <c r="AC221" s="74">
        <f t="shared" si="304"/>
        <v>0</v>
      </c>
      <c r="AD221" s="74">
        <f t="shared" si="304"/>
        <v>0</v>
      </c>
      <c r="AE221" s="74">
        <f t="shared" si="304"/>
        <v>0</v>
      </c>
      <c r="AF221" s="73">
        <f t="shared" si="304"/>
        <v>0</v>
      </c>
      <c r="AG221" s="73">
        <f t="shared" si="304"/>
        <v>0</v>
      </c>
      <c r="AH221" s="286">
        <f>AH220-AH205</f>
        <v>0</v>
      </c>
      <c r="AI221" s="292">
        <f t="shared" ref="AI221:AW221" si="305">ROUND(AI220-AI205,2)</f>
        <v>0</v>
      </c>
      <c r="AJ221" s="292">
        <f t="shared" si="305"/>
        <v>0</v>
      </c>
      <c r="AK221" s="292">
        <f t="shared" si="305"/>
        <v>0</v>
      </c>
      <c r="AL221" s="279">
        <f t="shared" si="305"/>
        <v>0</v>
      </c>
      <c r="AM221" s="279">
        <f t="shared" si="305"/>
        <v>0</v>
      </c>
      <c r="AN221" s="279">
        <f t="shared" si="305"/>
        <v>0</v>
      </c>
      <c r="AO221" s="279">
        <f t="shared" si="305"/>
        <v>0</v>
      </c>
      <c r="AP221" s="279">
        <f t="shared" si="305"/>
        <v>0</v>
      </c>
      <c r="AQ221" s="279">
        <f t="shared" si="305"/>
        <v>0</v>
      </c>
      <c r="AR221" s="279">
        <f t="shared" si="305"/>
        <v>0</v>
      </c>
      <c r="AS221" s="279">
        <f t="shared" si="305"/>
        <v>0</v>
      </c>
      <c r="AT221" s="74">
        <f t="shared" si="305"/>
        <v>0</v>
      </c>
      <c r="AU221" s="74">
        <f t="shared" si="305"/>
        <v>0</v>
      </c>
      <c r="AV221" s="74">
        <f t="shared" si="305"/>
        <v>0</v>
      </c>
      <c r="AW221" s="74">
        <f t="shared" si="305"/>
        <v>0</v>
      </c>
      <c r="AX221" s="72"/>
      <c r="AY221" s="72"/>
      <c r="AZ221" s="72"/>
      <c r="BA221" s="72"/>
      <c r="BB221" s="72"/>
      <c r="BC221" s="72"/>
      <c r="BD221" s="72"/>
      <c r="BE221" s="72"/>
      <c r="BF221" s="2">
        <f t="shared" si="276"/>
        <v>215</v>
      </c>
    </row>
    <row r="222" spans="1:58" ht="11.25" customHeight="1" outlineLevel="1">
      <c r="A222" s="11"/>
      <c r="B222" s="76"/>
      <c r="C222" s="118"/>
      <c r="D222" s="120"/>
      <c r="E222" s="120"/>
      <c r="F222" s="120"/>
      <c r="G222" s="120"/>
      <c r="H222" s="120"/>
      <c r="I222" s="120"/>
      <c r="J222" s="120"/>
      <c r="K222" s="120"/>
      <c r="L222" s="119"/>
      <c r="M222" s="3"/>
      <c r="N222" s="118"/>
      <c r="O222" s="118"/>
      <c r="P222" s="118"/>
      <c r="Q222" s="118"/>
      <c r="R222" s="118"/>
      <c r="S222" s="118"/>
      <c r="T222" s="118"/>
      <c r="U222" s="118"/>
      <c r="V222" s="118"/>
      <c r="W222" s="118"/>
      <c r="X222" s="118"/>
      <c r="Y222" s="118"/>
      <c r="Z222" s="118"/>
      <c r="AA222" s="118"/>
      <c r="AB222" s="118"/>
      <c r="AC222" s="118"/>
      <c r="AD222" s="118"/>
      <c r="AE222" s="118"/>
      <c r="AF222" s="118"/>
      <c r="AG222" s="118"/>
      <c r="AH222" s="118"/>
      <c r="AI222" s="118"/>
      <c r="AJ222" s="118"/>
      <c r="AK222" s="118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5"/>
      <c r="AY222" s="5"/>
      <c r="AZ222" s="5"/>
      <c r="BA222" s="5"/>
      <c r="BB222" s="5"/>
      <c r="BC222" s="5"/>
      <c r="BD222" s="5"/>
      <c r="BE222" s="5"/>
      <c r="BF222" s="2">
        <f t="shared" si="276"/>
        <v>216</v>
      </c>
    </row>
    <row r="223" spans="1:58" ht="11.25" customHeight="1">
      <c r="A223" s="11" t="s">
        <v>5</v>
      </c>
      <c r="B223" s="117" t="s">
        <v>101</v>
      </c>
      <c r="C223" s="115">
        <f t="shared" ref="C223:K223" si="306">C$7</f>
        <v>2012</v>
      </c>
      <c r="D223" s="115">
        <f t="shared" si="306"/>
        <v>2013</v>
      </c>
      <c r="E223" s="115">
        <f t="shared" si="306"/>
        <v>2014</v>
      </c>
      <c r="F223" s="115">
        <f t="shared" si="306"/>
        <v>2015</v>
      </c>
      <c r="G223" s="115">
        <f t="shared" si="306"/>
        <v>2016</v>
      </c>
      <c r="H223" s="115">
        <f t="shared" si="306"/>
        <v>2017</v>
      </c>
      <c r="I223" s="115" t="str">
        <f t="shared" si="306"/>
        <v>2018E</v>
      </c>
      <c r="J223" s="115" t="str">
        <f t="shared" si="306"/>
        <v>2019E</v>
      </c>
      <c r="K223" s="115" t="str">
        <f t="shared" si="306"/>
        <v>2020E</v>
      </c>
      <c r="L223" s="116"/>
      <c r="M223" s="3"/>
      <c r="N223" s="115" t="str">
        <f>N$7</f>
        <v>1Q12</v>
      </c>
      <c r="O223" s="115" t="str">
        <f>O$7</f>
        <v>2Q12</v>
      </c>
      <c r="P223" s="115" t="str">
        <f>P$7</f>
        <v>3Q12</v>
      </c>
      <c r="Q223" s="115" t="str">
        <f>Q$7</f>
        <v>4Q12</v>
      </c>
      <c r="R223" s="115" t="str">
        <f t="shared" ref="R223:AW223" si="307">R$7</f>
        <v>1Q13</v>
      </c>
      <c r="S223" s="115" t="str">
        <f t="shared" si="307"/>
        <v>2Q13</v>
      </c>
      <c r="T223" s="115" t="str">
        <f t="shared" si="307"/>
        <v>3Q13</v>
      </c>
      <c r="U223" s="115" t="str">
        <f t="shared" si="307"/>
        <v>4Q13</v>
      </c>
      <c r="V223" s="115" t="str">
        <f t="shared" si="307"/>
        <v>1Q14</v>
      </c>
      <c r="W223" s="115" t="str">
        <f t="shared" si="307"/>
        <v>2Q14</v>
      </c>
      <c r="X223" s="115" t="str">
        <f t="shared" si="307"/>
        <v>3Q14</v>
      </c>
      <c r="Y223" s="115" t="str">
        <f t="shared" si="307"/>
        <v>4Q14</v>
      </c>
      <c r="Z223" s="115" t="str">
        <f t="shared" si="307"/>
        <v>1Q15</v>
      </c>
      <c r="AA223" s="115" t="str">
        <f t="shared" si="307"/>
        <v>2Q15</v>
      </c>
      <c r="AB223" s="115" t="str">
        <f t="shared" si="307"/>
        <v>3Q15</v>
      </c>
      <c r="AC223" s="115" t="str">
        <f t="shared" si="307"/>
        <v>4Q15</v>
      </c>
      <c r="AD223" s="115" t="str">
        <f t="shared" si="307"/>
        <v>1Q16</v>
      </c>
      <c r="AE223" s="115" t="str">
        <f t="shared" si="307"/>
        <v>2Q16</v>
      </c>
      <c r="AF223" s="115" t="str">
        <f t="shared" si="307"/>
        <v>3Q16</v>
      </c>
      <c r="AG223" s="115" t="str">
        <f t="shared" si="307"/>
        <v>4Q16</v>
      </c>
      <c r="AH223" s="115" t="str">
        <f t="shared" si="307"/>
        <v>1Q17</v>
      </c>
      <c r="AI223" s="115" t="str">
        <f t="shared" si="307"/>
        <v>2Q17</v>
      </c>
      <c r="AJ223" s="115" t="str">
        <f t="shared" si="307"/>
        <v>3Q17</v>
      </c>
      <c r="AK223" s="115" t="str">
        <f t="shared" si="307"/>
        <v>4Q17</v>
      </c>
      <c r="AL223" s="115" t="str">
        <f t="shared" si="307"/>
        <v>1Q18E</v>
      </c>
      <c r="AM223" s="115" t="str">
        <f t="shared" si="307"/>
        <v>2Q18E</v>
      </c>
      <c r="AN223" s="115" t="str">
        <f t="shared" si="307"/>
        <v>3Q18E</v>
      </c>
      <c r="AO223" s="115" t="str">
        <f t="shared" si="307"/>
        <v>4Q18E</v>
      </c>
      <c r="AP223" s="115" t="str">
        <f t="shared" si="307"/>
        <v>1Q19E</v>
      </c>
      <c r="AQ223" s="115" t="str">
        <f t="shared" si="307"/>
        <v>2Q19E</v>
      </c>
      <c r="AR223" s="115" t="str">
        <f t="shared" si="307"/>
        <v>3Q19E</v>
      </c>
      <c r="AS223" s="115" t="str">
        <f t="shared" si="307"/>
        <v>4Q19E</v>
      </c>
      <c r="AT223" s="115" t="str">
        <f t="shared" si="307"/>
        <v>1Q20E</v>
      </c>
      <c r="AU223" s="115" t="str">
        <f t="shared" si="307"/>
        <v>2Q20E</v>
      </c>
      <c r="AV223" s="115" t="str">
        <f t="shared" si="307"/>
        <v>3Q20E</v>
      </c>
      <c r="AW223" s="115" t="str">
        <f t="shared" si="307"/>
        <v>4Q20E</v>
      </c>
      <c r="AX223" s="114"/>
      <c r="AY223" s="114"/>
      <c r="AZ223" s="114"/>
      <c r="BA223" s="114"/>
      <c r="BB223" s="114"/>
      <c r="BC223" s="114"/>
      <c r="BD223" s="114"/>
      <c r="BE223" s="114"/>
      <c r="BF223" s="2">
        <f t="shared" si="276"/>
        <v>217</v>
      </c>
    </row>
    <row r="224" spans="1:58" ht="11.25" customHeight="1" outlineLevel="1">
      <c r="A224" s="11" t="s">
        <v>5</v>
      </c>
      <c r="B224" s="93" t="s">
        <v>786</v>
      </c>
      <c r="C224" s="3"/>
      <c r="D224" s="3"/>
      <c r="E224" s="3"/>
      <c r="F224" s="3"/>
      <c r="G224" s="3"/>
      <c r="H224" s="3"/>
      <c r="I224" s="3"/>
      <c r="J224" s="3"/>
      <c r="K224" s="3"/>
      <c r="L224" s="55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5"/>
      <c r="AY224" s="5"/>
      <c r="AZ224" s="5"/>
      <c r="BA224" s="5"/>
      <c r="BB224" s="5"/>
      <c r="BC224" s="5"/>
      <c r="BD224" s="5"/>
      <c r="BE224" s="5"/>
      <c r="BF224" s="2">
        <f t="shared" si="276"/>
        <v>218</v>
      </c>
    </row>
    <row r="225" spans="1:58" ht="11.25" customHeight="1" outlineLevel="1">
      <c r="A225" s="11"/>
      <c r="B225" s="17" t="s">
        <v>100</v>
      </c>
      <c r="C225" s="51">
        <f t="shared" ref="C225:K225" si="308">C226+C219</f>
        <v>6065.5790000000006</v>
      </c>
      <c r="D225" s="51">
        <f t="shared" si="308"/>
        <v>5797.9790000000003</v>
      </c>
      <c r="E225" s="51">
        <f t="shared" si="308"/>
        <v>5728.5209999999997</v>
      </c>
      <c r="F225" s="51">
        <f t="shared" si="308"/>
        <v>3829.0320000000002</v>
      </c>
      <c r="G225" s="51">
        <f t="shared" si="308"/>
        <v>2588.5199999999995</v>
      </c>
      <c r="H225" s="51">
        <f t="shared" si="308"/>
        <v>2412.1999999999998</v>
      </c>
      <c r="I225" s="51">
        <f t="shared" si="308"/>
        <v>2320.9924675196926</v>
      </c>
      <c r="J225" s="51">
        <f t="shared" si="308"/>
        <v>2386.9273350115795</v>
      </c>
      <c r="K225" s="51">
        <f t="shared" si="308"/>
        <v>2502.5417172978537</v>
      </c>
      <c r="L225" s="108"/>
      <c r="M225" s="51"/>
      <c r="N225" s="51">
        <f>N226+N219</f>
        <v>5897.3620000000001</v>
      </c>
      <c r="O225" s="51">
        <f>O226+O219</f>
        <v>6033.4160000000002</v>
      </c>
      <c r="P225" s="51">
        <f>P226+P219</f>
        <v>6078.4850000000006</v>
      </c>
      <c r="Q225" s="51">
        <f>Q226+Q219</f>
        <v>6065.5790000000006</v>
      </c>
      <c r="R225" s="51">
        <f t="shared" ref="R225:AW225" si="309">R226+R219</f>
        <v>6155.7579999999998</v>
      </c>
      <c r="S225" s="51">
        <f t="shared" si="309"/>
        <v>6165.5160000000005</v>
      </c>
      <c r="T225" s="51">
        <f t="shared" si="309"/>
        <v>6123.8069999999998</v>
      </c>
      <c r="U225" s="51">
        <f t="shared" si="309"/>
        <v>5797.9790000000003</v>
      </c>
      <c r="V225" s="51">
        <f t="shared" si="309"/>
        <v>5756.92</v>
      </c>
      <c r="W225" s="51">
        <f t="shared" si="309"/>
        <v>5805.7060000000001</v>
      </c>
      <c r="X225" s="51">
        <f t="shared" si="309"/>
        <v>5792.8879999999999</v>
      </c>
      <c r="Y225" s="51">
        <f t="shared" si="309"/>
        <v>5728.5209999999997</v>
      </c>
      <c r="Z225" s="51">
        <f t="shared" si="309"/>
        <v>5698.55</v>
      </c>
      <c r="AA225" s="51">
        <f t="shared" si="309"/>
        <v>4930.5369999999994</v>
      </c>
      <c r="AB225" s="51">
        <f t="shared" si="309"/>
        <v>4095.0739999999996</v>
      </c>
      <c r="AC225" s="51">
        <f t="shared" si="309"/>
        <v>3829.0320000000002</v>
      </c>
      <c r="AD225" s="51">
        <f t="shared" si="309"/>
        <v>3721.625</v>
      </c>
      <c r="AE225" s="51">
        <f t="shared" si="309"/>
        <v>3162.9720000000002</v>
      </c>
      <c r="AF225" s="51">
        <f t="shared" si="309"/>
        <v>2797.3140000000003</v>
      </c>
      <c r="AG225" s="51">
        <f t="shared" si="309"/>
        <v>2588.5199999999995</v>
      </c>
      <c r="AH225" s="51">
        <f t="shared" si="309"/>
        <v>2498.9080000000004</v>
      </c>
      <c r="AI225" s="51">
        <f t="shared" si="309"/>
        <v>2450.625</v>
      </c>
      <c r="AJ225" s="51">
        <f t="shared" si="309"/>
        <v>2396.4689999999996</v>
      </c>
      <c r="AK225" s="51">
        <f>AK226+AK219</f>
        <v>2412.1999999999998</v>
      </c>
      <c r="AL225" s="51">
        <f t="shared" si="309"/>
        <v>2365.1401847970001</v>
      </c>
      <c r="AM225" s="51">
        <f t="shared" si="309"/>
        <v>2333.0650278116645</v>
      </c>
      <c r="AN225" s="51">
        <f t="shared" si="309"/>
        <v>2321.6464273085512</v>
      </c>
      <c r="AO225" s="51">
        <f t="shared" si="309"/>
        <v>2320.9924675196926</v>
      </c>
      <c r="AP225" s="51">
        <f t="shared" si="309"/>
        <v>2329.3289217617894</v>
      </c>
      <c r="AQ225" s="51">
        <f t="shared" si="309"/>
        <v>2343.0106368044135</v>
      </c>
      <c r="AR225" s="51">
        <f t="shared" si="309"/>
        <v>2362.1667570756126</v>
      </c>
      <c r="AS225" s="51">
        <f t="shared" si="309"/>
        <v>2386.9273350115795</v>
      </c>
      <c r="AT225" s="51">
        <f t="shared" si="309"/>
        <v>2414.1224191204192</v>
      </c>
      <c r="AU225" s="51">
        <f t="shared" si="309"/>
        <v>2442.4278572812004</v>
      </c>
      <c r="AV225" s="51">
        <f t="shared" si="309"/>
        <v>2471.8868305447968</v>
      </c>
      <c r="AW225" s="51">
        <f t="shared" si="309"/>
        <v>2502.5417172978537</v>
      </c>
      <c r="AX225" s="53"/>
      <c r="AY225" s="53"/>
      <c r="AZ225" s="53"/>
      <c r="BA225" s="53"/>
      <c r="BB225" s="53"/>
      <c r="BC225" s="53"/>
      <c r="BD225" s="53"/>
      <c r="BE225" s="53"/>
      <c r="BF225" s="2">
        <f t="shared" si="276"/>
        <v>219</v>
      </c>
    </row>
    <row r="226" spans="1:58" ht="11.25" customHeight="1" outlineLevel="1">
      <c r="A226" s="11"/>
      <c r="B226" s="17" t="s">
        <v>30</v>
      </c>
      <c r="C226" s="51">
        <f t="shared" ref="C226:K226" si="310">C212+C209</f>
        <v>1834.5</v>
      </c>
      <c r="D226" s="51">
        <f t="shared" si="310"/>
        <v>1666.5350000000001</v>
      </c>
      <c r="E226" s="51">
        <f t="shared" si="310"/>
        <v>1648.7830000000001</v>
      </c>
      <c r="F226" s="51">
        <f t="shared" si="310"/>
        <v>1618.22</v>
      </c>
      <c r="G226" s="51">
        <f t="shared" si="310"/>
        <v>1284.5999999999999</v>
      </c>
      <c r="H226" s="51">
        <f t="shared" si="310"/>
        <v>1279.771</v>
      </c>
      <c r="I226" s="51">
        <f t="shared" si="310"/>
        <v>1279.771</v>
      </c>
      <c r="J226" s="51">
        <f t="shared" si="310"/>
        <v>1279.771</v>
      </c>
      <c r="K226" s="51">
        <f t="shared" si="310"/>
        <v>1279.771</v>
      </c>
      <c r="L226" s="108"/>
      <c r="M226" s="51"/>
      <c r="N226" s="51">
        <f>N212+N209</f>
        <v>1998.508</v>
      </c>
      <c r="O226" s="51">
        <f>O212+O209</f>
        <v>1993.6690000000001</v>
      </c>
      <c r="P226" s="51">
        <f>P212+P209</f>
        <v>1929.4159999999999</v>
      </c>
      <c r="Q226" s="51">
        <f>Q212+Q209</f>
        <v>1834.5</v>
      </c>
      <c r="R226" s="51">
        <f t="shared" ref="R226:AW226" si="311">R212+R209</f>
        <v>1864.5840000000001</v>
      </c>
      <c r="S226" s="51">
        <f t="shared" si="311"/>
        <v>1800</v>
      </c>
      <c r="T226" s="51">
        <f t="shared" si="311"/>
        <v>1670</v>
      </c>
      <c r="U226" s="51">
        <f t="shared" si="311"/>
        <v>1666.5350000000001</v>
      </c>
      <c r="V226" s="51">
        <f t="shared" si="311"/>
        <v>1661.242</v>
      </c>
      <c r="W226" s="51">
        <f t="shared" si="311"/>
        <v>1656.229</v>
      </c>
      <c r="X226" s="51">
        <f t="shared" si="311"/>
        <v>1651.1780000000001</v>
      </c>
      <c r="Y226" s="51">
        <f t="shared" si="311"/>
        <v>1648.7830000000001</v>
      </c>
      <c r="Z226" s="51">
        <f t="shared" si="311"/>
        <v>1644.2459999999999</v>
      </c>
      <c r="AA226" s="51">
        <f t="shared" si="311"/>
        <v>1644.9649999999999</v>
      </c>
      <c r="AB226" s="51">
        <f t="shared" si="311"/>
        <v>1642.6559999999999</v>
      </c>
      <c r="AC226" s="51">
        <f t="shared" si="311"/>
        <v>1618.22</v>
      </c>
      <c r="AD226" s="51">
        <f t="shared" si="311"/>
        <v>1614.6030000000001</v>
      </c>
      <c r="AE226" s="51">
        <f t="shared" si="311"/>
        <v>1533.788</v>
      </c>
      <c r="AF226" s="51">
        <f t="shared" si="311"/>
        <v>1283.5809999999999</v>
      </c>
      <c r="AG226" s="51">
        <f t="shared" si="311"/>
        <v>1284.5999999999999</v>
      </c>
      <c r="AH226" s="51">
        <f t="shared" si="311"/>
        <v>1286.21</v>
      </c>
      <c r="AI226" s="51">
        <f t="shared" si="311"/>
        <v>1287.1559999999999</v>
      </c>
      <c r="AJ226" s="51">
        <f t="shared" si="311"/>
        <v>1281.7139999999999</v>
      </c>
      <c r="AK226" s="51">
        <f>AK212+AK209</f>
        <v>1279.771</v>
      </c>
      <c r="AL226" s="51">
        <f t="shared" si="311"/>
        <v>1279.771</v>
      </c>
      <c r="AM226" s="51">
        <f t="shared" si="311"/>
        <v>1279.771</v>
      </c>
      <c r="AN226" s="51">
        <f t="shared" si="311"/>
        <v>1279.771</v>
      </c>
      <c r="AO226" s="51">
        <f t="shared" si="311"/>
        <v>1279.771</v>
      </c>
      <c r="AP226" s="51">
        <f t="shared" si="311"/>
        <v>1279.771</v>
      </c>
      <c r="AQ226" s="51">
        <f t="shared" si="311"/>
        <v>1279.771</v>
      </c>
      <c r="AR226" s="51">
        <f t="shared" si="311"/>
        <v>1279.771</v>
      </c>
      <c r="AS226" s="51">
        <f t="shared" si="311"/>
        <v>1279.771</v>
      </c>
      <c r="AT226" s="51">
        <f t="shared" si="311"/>
        <v>1279.771</v>
      </c>
      <c r="AU226" s="51">
        <f t="shared" si="311"/>
        <v>1279.771</v>
      </c>
      <c r="AV226" s="51">
        <f t="shared" si="311"/>
        <v>1279.771</v>
      </c>
      <c r="AW226" s="51">
        <f t="shared" si="311"/>
        <v>1279.771</v>
      </c>
      <c r="AX226" s="53"/>
      <c r="AY226" s="53"/>
      <c r="AZ226" s="53"/>
      <c r="BA226" s="53"/>
      <c r="BB226" s="53"/>
      <c r="BC226" s="53"/>
      <c r="BD226" s="53"/>
      <c r="BE226" s="53"/>
      <c r="BF226" s="2">
        <f t="shared" si="276"/>
        <v>220</v>
      </c>
    </row>
    <row r="227" spans="1:58" ht="11.25" customHeight="1" outlineLevel="1">
      <c r="A227" s="11"/>
      <c r="B227" s="17" t="s">
        <v>99</v>
      </c>
      <c r="C227" s="51">
        <f t="shared" ref="C227:K227" si="312">C226-C194</f>
        <v>1743.3009999999999</v>
      </c>
      <c r="D227" s="51">
        <f t="shared" si="312"/>
        <v>1470.4880000000001</v>
      </c>
      <c r="E227" s="51">
        <f t="shared" si="312"/>
        <v>1255.7370000000001</v>
      </c>
      <c r="F227" s="51">
        <f t="shared" si="312"/>
        <v>1054.203</v>
      </c>
      <c r="G227" s="51">
        <f t="shared" si="312"/>
        <v>1097.009</v>
      </c>
      <c r="H227" s="51">
        <f t="shared" si="312"/>
        <v>1107.771</v>
      </c>
      <c r="I227" s="51">
        <f t="shared" si="312"/>
        <v>1117.6478709294445</v>
      </c>
      <c r="J227" s="51">
        <f t="shared" si="312"/>
        <v>948.44346041273093</v>
      </c>
      <c r="K227" s="51">
        <f t="shared" si="312"/>
        <v>763.4071398051799</v>
      </c>
      <c r="L227" s="108"/>
      <c r="M227" s="51"/>
      <c r="N227" s="51">
        <f>N226-N194</f>
        <v>1862.75</v>
      </c>
      <c r="O227" s="51">
        <f>O226-O194</f>
        <v>1850.6320000000001</v>
      </c>
      <c r="P227" s="51">
        <f>P226-P194</f>
        <v>1850.23</v>
      </c>
      <c r="Q227" s="51">
        <f>Q226-Q194</f>
        <v>1743.3009999999999</v>
      </c>
      <c r="R227" s="51">
        <f t="shared" ref="R227:AW227" si="313">R226-R194</f>
        <v>1787.509</v>
      </c>
      <c r="S227" s="51">
        <f t="shared" si="313"/>
        <v>1734.6010000000001</v>
      </c>
      <c r="T227" s="51">
        <f t="shared" si="313"/>
        <v>1579.3489999999999</v>
      </c>
      <c r="U227" s="51">
        <f t="shared" si="313"/>
        <v>1470.4880000000001</v>
      </c>
      <c r="V227" s="51">
        <f t="shared" si="313"/>
        <v>1515.394</v>
      </c>
      <c r="W227" s="51">
        <f t="shared" si="313"/>
        <v>1454.576</v>
      </c>
      <c r="X227" s="51">
        <f t="shared" si="313"/>
        <v>1331.1360000000002</v>
      </c>
      <c r="Y227" s="51">
        <f t="shared" si="313"/>
        <v>1255.7370000000001</v>
      </c>
      <c r="Z227" s="51">
        <f t="shared" si="313"/>
        <v>1229.4169999999999</v>
      </c>
      <c r="AA227" s="51">
        <f t="shared" si="313"/>
        <v>1144.703</v>
      </c>
      <c r="AB227" s="51">
        <f t="shared" si="313"/>
        <v>1108.982</v>
      </c>
      <c r="AC227" s="51">
        <f t="shared" si="313"/>
        <v>1054.203</v>
      </c>
      <c r="AD227" s="51">
        <f t="shared" si="313"/>
        <v>1055.365</v>
      </c>
      <c r="AE227" s="51">
        <f t="shared" si="313"/>
        <v>1047.941</v>
      </c>
      <c r="AF227" s="51">
        <f t="shared" si="313"/>
        <v>1005.4259999999999</v>
      </c>
      <c r="AG227" s="51">
        <f t="shared" si="313"/>
        <v>1097.009</v>
      </c>
      <c r="AH227" s="51">
        <f t="shared" si="313"/>
        <v>1134.444</v>
      </c>
      <c r="AI227" s="51">
        <f t="shared" si="313"/>
        <v>1109.384</v>
      </c>
      <c r="AJ227" s="51">
        <f t="shared" si="313"/>
        <v>1114.6889999999999</v>
      </c>
      <c r="AK227" s="51">
        <f>AK226-AK194</f>
        <v>1107.771</v>
      </c>
      <c r="AL227" s="51">
        <f t="shared" si="313"/>
        <v>1116.191548824755</v>
      </c>
      <c r="AM227" s="51">
        <f t="shared" si="313"/>
        <v>1132.0046320603701</v>
      </c>
      <c r="AN227" s="51">
        <f t="shared" si="313"/>
        <v>1133.3618022193282</v>
      </c>
      <c r="AO227" s="51">
        <f t="shared" si="313"/>
        <v>1117.6478709294445</v>
      </c>
      <c r="AP227" s="51">
        <f t="shared" si="313"/>
        <v>1087.7074617099197</v>
      </c>
      <c r="AQ227" s="51">
        <f t="shared" si="313"/>
        <v>1045.4287356627979</v>
      </c>
      <c r="AR227" s="51">
        <f t="shared" si="313"/>
        <v>999.04614942188891</v>
      </c>
      <c r="AS227" s="51">
        <f t="shared" si="313"/>
        <v>948.44346041273093</v>
      </c>
      <c r="AT227" s="51">
        <f t="shared" si="313"/>
        <v>903.65702916605778</v>
      </c>
      <c r="AU227" s="51">
        <f t="shared" si="313"/>
        <v>857.78193946302486</v>
      </c>
      <c r="AV227" s="51">
        <f t="shared" si="313"/>
        <v>811.04245940179351</v>
      </c>
      <c r="AW227" s="51">
        <f t="shared" si="313"/>
        <v>763.4071398051799</v>
      </c>
      <c r="AX227" s="53"/>
      <c r="AY227" s="53"/>
      <c r="AZ227" s="53"/>
      <c r="BA227" s="53"/>
      <c r="BB227" s="53"/>
      <c r="BC227" s="53"/>
      <c r="BD227" s="53"/>
      <c r="BE227" s="53"/>
      <c r="BF227" s="2">
        <f t="shared" si="276"/>
        <v>221</v>
      </c>
    </row>
    <row r="228" spans="1:58" ht="11.25" customHeight="1" outlineLevel="1">
      <c r="A228" s="11"/>
      <c r="B228" s="17" t="s">
        <v>98</v>
      </c>
      <c r="C228" s="13">
        <f t="shared" ref="C228:K228" si="314">C226/C225</f>
        <v>0.30244433383853375</v>
      </c>
      <c r="D228" s="13">
        <f t="shared" si="314"/>
        <v>0.28743377649349888</v>
      </c>
      <c r="E228" s="13">
        <f t="shared" si="314"/>
        <v>0.28782001497419668</v>
      </c>
      <c r="F228" s="13">
        <f t="shared" si="314"/>
        <v>0.42261856260276748</v>
      </c>
      <c r="G228" s="13">
        <f t="shared" si="314"/>
        <v>0.49626813777757178</v>
      </c>
      <c r="H228" s="13">
        <f t="shared" si="314"/>
        <v>0.53054099991708814</v>
      </c>
      <c r="I228" s="13">
        <f t="shared" si="314"/>
        <v>0.5513895533524138</v>
      </c>
      <c r="J228" s="13">
        <f t="shared" si="314"/>
        <v>0.53615834098853765</v>
      </c>
      <c r="K228" s="13">
        <f t="shared" si="314"/>
        <v>0.5113884780237935</v>
      </c>
      <c r="L228" s="15"/>
      <c r="M228" s="3"/>
      <c r="N228" s="13">
        <f>N226/N225</f>
        <v>0.33888168981317407</v>
      </c>
      <c r="O228" s="13">
        <f>O226/O225</f>
        <v>0.33043784814440114</v>
      </c>
      <c r="P228" s="13">
        <f>P226/P225</f>
        <v>0.31741725117360653</v>
      </c>
      <c r="Q228" s="13">
        <f>Q226/Q225</f>
        <v>0.30244433383853375</v>
      </c>
      <c r="R228" s="13">
        <f t="shared" ref="R228:AW228" si="315">R226/R225</f>
        <v>0.30290079629511102</v>
      </c>
      <c r="S228" s="13">
        <f t="shared" si="315"/>
        <v>0.29194636750598002</v>
      </c>
      <c r="T228" s="13">
        <f t="shared" si="315"/>
        <v>0.27270617770938893</v>
      </c>
      <c r="U228" s="13">
        <f t="shared" si="315"/>
        <v>0.28743377649349888</v>
      </c>
      <c r="V228" s="13">
        <f t="shared" si="315"/>
        <v>0.2885643712262807</v>
      </c>
      <c r="W228" s="13">
        <f t="shared" si="315"/>
        <v>0.28527607150620443</v>
      </c>
      <c r="X228" s="13">
        <f t="shared" si="315"/>
        <v>0.28503537441082932</v>
      </c>
      <c r="Y228" s="13">
        <f t="shared" si="315"/>
        <v>0.28782001497419668</v>
      </c>
      <c r="Z228" s="13">
        <f t="shared" si="315"/>
        <v>0.28853761044476223</v>
      </c>
      <c r="AA228" s="13">
        <f t="shared" si="315"/>
        <v>0.33362795979423743</v>
      </c>
      <c r="AB228" s="13">
        <f t="shared" si="315"/>
        <v>0.40112974759430481</v>
      </c>
      <c r="AC228" s="13">
        <f t="shared" si="315"/>
        <v>0.42261856260276748</v>
      </c>
      <c r="AD228" s="13">
        <f t="shared" si="315"/>
        <v>0.43384354952473719</v>
      </c>
      <c r="AE228" s="13">
        <f t="shared" si="315"/>
        <v>0.48491987915163332</v>
      </c>
      <c r="AF228" s="13">
        <f t="shared" si="315"/>
        <v>0.45886196544256375</v>
      </c>
      <c r="AG228" s="13">
        <f t="shared" si="315"/>
        <v>0.49626813777757178</v>
      </c>
      <c r="AH228" s="13">
        <f t="shared" si="315"/>
        <v>0.51470882481467894</v>
      </c>
      <c r="AI228" s="13">
        <f t="shared" si="315"/>
        <v>0.52523580719204288</v>
      </c>
      <c r="AJ228" s="13">
        <f t="shared" si="315"/>
        <v>0.53483437507432818</v>
      </c>
      <c r="AK228" s="13">
        <f>AK226/AK225</f>
        <v>0.53054099991708814</v>
      </c>
      <c r="AL228" s="13">
        <f t="shared" si="315"/>
        <v>0.54109731348116374</v>
      </c>
      <c r="AM228" s="13">
        <f t="shared" si="315"/>
        <v>0.54853636085762325</v>
      </c>
      <c r="AN228" s="13">
        <f t="shared" si="315"/>
        <v>0.55123423831751106</v>
      </c>
      <c r="AO228" s="13">
        <f t="shared" si="315"/>
        <v>0.5513895533524138</v>
      </c>
      <c r="AP228" s="13">
        <f t="shared" si="315"/>
        <v>0.54941618079083665</v>
      </c>
      <c r="AQ228" s="13">
        <f t="shared" si="315"/>
        <v>0.54620793431200754</v>
      </c>
      <c r="AR228" s="13">
        <f t="shared" si="315"/>
        <v>0.54177843125028569</v>
      </c>
      <c r="AS228" s="13">
        <f t="shared" si="315"/>
        <v>0.53615834098853765</v>
      </c>
      <c r="AT228" s="13">
        <f t="shared" si="315"/>
        <v>0.53011851837500523</v>
      </c>
      <c r="AU228" s="13">
        <f t="shared" si="315"/>
        <v>0.52397494410524081</v>
      </c>
      <c r="AV228" s="13">
        <f t="shared" si="315"/>
        <v>0.51773041718011903</v>
      </c>
      <c r="AW228" s="13">
        <f t="shared" si="315"/>
        <v>0.5113884780237935</v>
      </c>
      <c r="AX228" s="63"/>
      <c r="AY228" s="63"/>
      <c r="AZ228" s="63"/>
      <c r="BA228" s="63"/>
      <c r="BB228" s="63"/>
      <c r="BC228" s="63"/>
      <c r="BD228" s="63"/>
      <c r="BE228" s="63"/>
      <c r="BF228" s="2">
        <f t="shared" si="276"/>
        <v>222</v>
      </c>
    </row>
    <row r="229" spans="1:58" ht="11.25" customHeight="1" outlineLevel="1">
      <c r="A229" s="11"/>
      <c r="B229" s="17" t="s">
        <v>97</v>
      </c>
      <c r="C229" s="13">
        <f t="shared" ref="C229:K229" si="316">+C227/(C227+C219)</f>
        <v>0.2917961361681044</v>
      </c>
      <c r="D229" s="13">
        <f t="shared" si="316"/>
        <v>0.26249658153651273</v>
      </c>
      <c r="E229" s="13">
        <f t="shared" si="316"/>
        <v>0.23535617728505898</v>
      </c>
      <c r="F229" s="13">
        <f t="shared" si="316"/>
        <v>0.32287845538228765</v>
      </c>
      <c r="G229" s="13">
        <f t="shared" si="316"/>
        <v>0.45691022100195383</v>
      </c>
      <c r="H229" s="13">
        <f t="shared" si="316"/>
        <v>0.49449647352914922</v>
      </c>
      <c r="I229" s="13">
        <f t="shared" si="316"/>
        <v>0.51770056252330998</v>
      </c>
      <c r="J229" s="13">
        <f t="shared" si="316"/>
        <v>0.46139499649879867</v>
      </c>
      <c r="K229" s="13">
        <f t="shared" si="316"/>
        <v>0.38435990869350323</v>
      </c>
      <c r="L229" s="15"/>
      <c r="M229" s="3"/>
      <c r="N229" s="13">
        <f>+N227/(N227+N219)</f>
        <v>0.32330406602050399</v>
      </c>
      <c r="O229" s="13">
        <f>+O227/(O227+O219)</f>
        <v>0.3141787650675788</v>
      </c>
      <c r="P229" s="13">
        <f>+P227/(P227+P219)</f>
        <v>0.30840769896616249</v>
      </c>
      <c r="Q229" s="13">
        <f>+Q227/(Q227+Q219)</f>
        <v>0.2917961361681044</v>
      </c>
      <c r="R229" s="13">
        <f t="shared" ref="R229:AW229" si="317">+R227/(R227+R219)</f>
        <v>0.29406188807674294</v>
      </c>
      <c r="S229" s="13">
        <f t="shared" si="317"/>
        <v>0.28435536564298686</v>
      </c>
      <c r="T229" s="13">
        <f t="shared" si="317"/>
        <v>0.26177824674183792</v>
      </c>
      <c r="U229" s="13">
        <f t="shared" si="317"/>
        <v>0.26249658153651273</v>
      </c>
      <c r="V229" s="13">
        <f t="shared" si="317"/>
        <v>0.27007210030454071</v>
      </c>
      <c r="W229" s="13">
        <f t="shared" si="317"/>
        <v>0.25955785928505676</v>
      </c>
      <c r="X229" s="13">
        <f t="shared" si="317"/>
        <v>0.24322555394396261</v>
      </c>
      <c r="Y229" s="13">
        <f t="shared" si="317"/>
        <v>0.23535617728505898</v>
      </c>
      <c r="Z229" s="13">
        <f t="shared" si="317"/>
        <v>0.23268015097693462</v>
      </c>
      <c r="AA229" s="13">
        <f t="shared" si="317"/>
        <v>0.25838192888703299</v>
      </c>
      <c r="AB229" s="13">
        <f t="shared" si="317"/>
        <v>0.311389341270287</v>
      </c>
      <c r="AC229" s="13">
        <f t="shared" si="317"/>
        <v>0.32287845538228765</v>
      </c>
      <c r="AD229" s="13">
        <f t="shared" si="317"/>
        <v>0.33372417733819426</v>
      </c>
      <c r="AE229" s="13">
        <f t="shared" si="317"/>
        <v>0.39144268571695384</v>
      </c>
      <c r="AF229" s="13">
        <f t="shared" si="317"/>
        <v>0.39911176706194407</v>
      </c>
      <c r="AG229" s="13">
        <f t="shared" si="317"/>
        <v>0.45691022100195383</v>
      </c>
      <c r="AH229" s="13">
        <f t="shared" si="317"/>
        <v>0.48332993913448785</v>
      </c>
      <c r="AI229" s="13">
        <f t="shared" si="317"/>
        <v>0.48810195819967239</v>
      </c>
      <c r="AJ229" s="13">
        <f t="shared" si="317"/>
        <v>0.49998519810320424</v>
      </c>
      <c r="AK229" s="13">
        <f>+AK227/(AK227+AK219)</f>
        <v>0.49449647352914922</v>
      </c>
      <c r="AL229" s="13">
        <f t="shared" si="317"/>
        <v>0.50700011668019029</v>
      </c>
      <c r="AM229" s="13">
        <f t="shared" si="317"/>
        <v>0.51800911831733665</v>
      </c>
      <c r="AN229" s="13">
        <f t="shared" si="317"/>
        <v>0.52102905689294254</v>
      </c>
      <c r="AO229" s="13">
        <f t="shared" si="317"/>
        <v>0.51770056252330998</v>
      </c>
      <c r="AP229" s="13">
        <f t="shared" si="317"/>
        <v>0.50892484860400466</v>
      </c>
      <c r="AQ229" s="13">
        <f t="shared" si="317"/>
        <v>0.49577674200121469</v>
      </c>
      <c r="AR229" s="13">
        <f t="shared" si="317"/>
        <v>0.47997791641613047</v>
      </c>
      <c r="AS229" s="13">
        <f t="shared" si="317"/>
        <v>0.46139499649879867</v>
      </c>
      <c r="AT229" s="13">
        <f t="shared" si="317"/>
        <v>0.44340200352252573</v>
      </c>
      <c r="AU229" s="13">
        <f t="shared" si="317"/>
        <v>0.42455230064146038</v>
      </c>
      <c r="AV229" s="13">
        <f t="shared" si="317"/>
        <v>0.40488186254288372</v>
      </c>
      <c r="AW229" s="13">
        <f t="shared" si="317"/>
        <v>0.38435990869350323</v>
      </c>
      <c r="AX229" s="63"/>
      <c r="AY229" s="63"/>
      <c r="AZ229" s="63"/>
      <c r="BA229" s="63"/>
      <c r="BB229" s="63"/>
      <c r="BC229" s="63"/>
      <c r="BD229" s="63"/>
      <c r="BE229" s="63"/>
      <c r="BF229" s="2">
        <f t="shared" si="276"/>
        <v>223</v>
      </c>
    </row>
    <row r="230" spans="1:58" ht="11.25" customHeight="1" outlineLevel="1">
      <c r="A230" s="11"/>
      <c r="B230" s="65" t="s">
        <v>96</v>
      </c>
      <c r="C230" s="13">
        <f t="shared" ref="C230:K230" si="318">C227/C219</f>
        <v>0.41202279607636721</v>
      </c>
      <c r="D230" s="13">
        <f t="shared" si="318"/>
        <v>0.35592591839560211</v>
      </c>
      <c r="E230" s="13">
        <f t="shared" si="318"/>
        <v>0.30779844195877287</v>
      </c>
      <c r="F230" s="13">
        <f t="shared" si="318"/>
        <v>0.47683973128425211</v>
      </c>
      <c r="G230" s="13">
        <f t="shared" si="318"/>
        <v>0.84131618504202721</v>
      </c>
      <c r="H230" s="13">
        <f t="shared" si="318"/>
        <v>0.97822556645935432</v>
      </c>
      <c r="I230" s="13">
        <f t="shared" si="318"/>
        <v>1.0734007180929606</v>
      </c>
      <c r="J230" s="13">
        <f t="shared" si="318"/>
        <v>0.8566481809480061</v>
      </c>
      <c r="K230" s="13">
        <f t="shared" si="318"/>
        <v>0.62432566384334032</v>
      </c>
      <c r="L230" s="15"/>
      <c r="M230" s="3"/>
      <c r="N230" s="13">
        <f>N227/N219</f>
        <v>0.47776859559244844</v>
      </c>
      <c r="O230" s="13">
        <f>O227/O219</f>
        <v>0.45810591603880141</v>
      </c>
      <c r="P230" s="13">
        <f>P227/P219</f>
        <v>0.4459385948992412</v>
      </c>
      <c r="Q230" s="13">
        <f>Q227/Q219</f>
        <v>0.41202279607636721</v>
      </c>
      <c r="R230" s="13">
        <f t="shared" ref="R230:AW230" si="319">R227/R219</f>
        <v>0.41655477032625571</v>
      </c>
      <c r="S230" s="13">
        <f t="shared" si="319"/>
        <v>0.397341574283544</v>
      </c>
      <c r="T230" s="13">
        <f t="shared" si="319"/>
        <v>0.35460651977061419</v>
      </c>
      <c r="U230" s="13">
        <f t="shared" si="319"/>
        <v>0.35592591839560211</v>
      </c>
      <c r="V230" s="13">
        <f t="shared" si="319"/>
        <v>0.36999832506364022</v>
      </c>
      <c r="W230" s="13">
        <f t="shared" si="319"/>
        <v>0.35054441800737779</v>
      </c>
      <c r="X230" s="13">
        <f t="shared" si="319"/>
        <v>0.32139768356548387</v>
      </c>
      <c r="Y230" s="13">
        <f t="shared" si="319"/>
        <v>0.30779844195877287</v>
      </c>
      <c r="Z230" s="13">
        <f t="shared" si="319"/>
        <v>0.30323749773080655</v>
      </c>
      <c r="AA230" s="13">
        <f t="shared" si="319"/>
        <v>0.34840295692804785</v>
      </c>
      <c r="AB230" s="13">
        <f t="shared" si="319"/>
        <v>0.45219942114272532</v>
      </c>
      <c r="AC230" s="13">
        <f t="shared" si="319"/>
        <v>0.47683973128425211</v>
      </c>
      <c r="AD230" s="13">
        <f t="shared" si="319"/>
        <v>0.50087991487511763</v>
      </c>
      <c r="AE230" s="13">
        <f t="shared" si="319"/>
        <v>0.6432305988764927</v>
      </c>
      <c r="AF230" s="13">
        <f t="shared" si="319"/>
        <v>0.66420300013278422</v>
      </c>
      <c r="AG230" s="13">
        <f t="shared" si="319"/>
        <v>0.84131618504202721</v>
      </c>
      <c r="AH230" s="13">
        <f t="shared" si="319"/>
        <v>0.93547115605039333</v>
      </c>
      <c r="AI230" s="13">
        <f t="shared" si="319"/>
        <v>0.95351401713324524</v>
      </c>
      <c r="AJ230" s="13">
        <f t="shared" si="319"/>
        <v>0.99994079416553427</v>
      </c>
      <c r="AK230" s="13">
        <f>AK227/AK219</f>
        <v>0.97822556645935432</v>
      </c>
      <c r="AL230" s="13">
        <f t="shared" si="319"/>
        <v>1.0283980459916227</v>
      </c>
      <c r="AM230" s="13">
        <f t="shared" si="319"/>
        <v>1.0747280457027135</v>
      </c>
      <c r="AN230" s="13">
        <f t="shared" si="319"/>
        <v>1.0878093220291329</v>
      </c>
      <c r="AO230" s="13">
        <f t="shared" si="319"/>
        <v>1.0734007180929606</v>
      </c>
      <c r="AP230" s="13">
        <f t="shared" si="319"/>
        <v>1.0363481987579042</v>
      </c>
      <c r="AQ230" s="13">
        <f t="shared" si="319"/>
        <v>0.98324846015415057</v>
      </c>
      <c r="AR230" s="13">
        <f t="shared" si="319"/>
        <v>0.92299525648648584</v>
      </c>
      <c r="AS230" s="13">
        <f t="shared" si="319"/>
        <v>0.8566481809480061</v>
      </c>
      <c r="AT230" s="13">
        <f t="shared" si="319"/>
        <v>0.79662881707924071</v>
      </c>
      <c r="AU230" s="13">
        <f t="shared" si="319"/>
        <v>0.7377773881357339</v>
      </c>
      <c r="AV230" s="13">
        <f t="shared" si="319"/>
        <v>0.68033863708625275</v>
      </c>
      <c r="AW230" s="13">
        <f t="shared" si="319"/>
        <v>0.62432566384334032</v>
      </c>
      <c r="AX230" s="63"/>
      <c r="AY230" s="63"/>
      <c r="AZ230" s="63"/>
      <c r="BA230" s="63"/>
      <c r="BB230" s="63"/>
      <c r="BC230" s="63"/>
      <c r="BD230" s="63"/>
      <c r="BE230" s="63"/>
      <c r="BF230" s="2">
        <f t="shared" si="276"/>
        <v>224</v>
      </c>
    </row>
    <row r="231" spans="1:58" ht="11.25" customHeight="1" outlineLevel="1">
      <c r="A231" s="11"/>
      <c r="B231" s="65"/>
      <c r="C231" s="13"/>
      <c r="D231" s="13"/>
      <c r="E231" s="13"/>
      <c r="F231" s="13"/>
      <c r="G231" s="13"/>
      <c r="H231" s="13"/>
      <c r="I231" s="13"/>
      <c r="J231" s="13"/>
      <c r="K231" s="13"/>
      <c r="L231" s="15"/>
      <c r="M231" s="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51"/>
      <c r="AB231" s="51"/>
      <c r="AC231" s="51"/>
      <c r="AD231" s="51"/>
      <c r="AE231" s="51"/>
      <c r="AF231" s="51"/>
      <c r="AG231" s="51"/>
      <c r="AH231" s="51"/>
      <c r="AI231" s="51"/>
      <c r="AJ231" s="51"/>
      <c r="AK231" s="51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5"/>
      <c r="AY231" s="5"/>
      <c r="AZ231" s="5"/>
      <c r="BA231" s="5"/>
      <c r="BB231" s="5"/>
      <c r="BC231" s="5"/>
      <c r="BD231" s="5"/>
      <c r="BE231" s="5"/>
      <c r="BF231" s="2">
        <f t="shared" si="276"/>
        <v>225</v>
      </c>
    </row>
    <row r="232" spans="1:58" ht="11.25" customHeight="1" outlineLevel="1">
      <c r="A232" s="11"/>
      <c r="B232" s="17" t="s">
        <v>95</v>
      </c>
      <c r="C232" s="105">
        <f t="shared" ref="C232:K232" si="320">C227/(C23)</f>
        <v>1.4338679868366833</v>
      </c>
      <c r="D232" s="105">
        <f t="shared" si="320"/>
        <v>1.3567790604978005</v>
      </c>
      <c r="E232" s="105">
        <f t="shared" si="320"/>
        <v>1.0487039613568527</v>
      </c>
      <c r="F232" s="105">
        <f t="shared" si="320"/>
        <v>2.4989107889964797</v>
      </c>
      <c r="G232" s="105">
        <f t="shared" si="320"/>
        <v>27.32684834595457</v>
      </c>
      <c r="H232" s="105">
        <f t="shared" si="320"/>
        <v>6.1585943493778972</v>
      </c>
      <c r="I232" s="105">
        <f t="shared" si="320"/>
        <v>3.1226802886960145</v>
      </c>
      <c r="J232" s="105">
        <f t="shared" si="320"/>
        <v>1.8553010215098906</v>
      </c>
      <c r="K232" s="105">
        <f t="shared" si="320"/>
        <v>1.4056980339012348</v>
      </c>
      <c r="L232" s="104"/>
      <c r="M232" s="3"/>
      <c r="N232" s="105">
        <f>N227/SUM(N23:N23)</f>
        <v>7.6326885174698518</v>
      </c>
      <c r="O232" s="105">
        <f>O227/SUM(N23:O23)</f>
        <v>2.99181492648307</v>
      </c>
      <c r="P232" s="105">
        <f>P227/SUM(N23:P23)</f>
        <v>1.9977347424430232</v>
      </c>
      <c r="Q232" s="105">
        <f t="shared" ref="Q232:AW232" si="321">Q227/SUM(N23:Q23)</f>
        <v>1.4338679868366833</v>
      </c>
      <c r="R232" s="105">
        <f t="shared" si="321"/>
        <v>1.4358516907219145</v>
      </c>
      <c r="S232" s="105">
        <f t="shared" si="321"/>
        <v>1.5008938212980398</v>
      </c>
      <c r="T232" s="105">
        <f t="shared" si="321"/>
        <v>1.404122888279987</v>
      </c>
      <c r="U232" s="105">
        <f t="shared" si="321"/>
        <v>1.3567790604978005</v>
      </c>
      <c r="V232" s="105">
        <f t="shared" si="321"/>
        <v>1.4235146691916916</v>
      </c>
      <c r="W232" s="105">
        <f t="shared" si="321"/>
        <v>1.3349216342368171</v>
      </c>
      <c r="X232" s="105">
        <f t="shared" si="321"/>
        <v>1.1621297890395559</v>
      </c>
      <c r="Y232" s="105">
        <f t="shared" si="321"/>
        <v>1.0487039613568527</v>
      </c>
      <c r="Z232" s="105">
        <f t="shared" si="321"/>
        <v>1.0903426984677409</v>
      </c>
      <c r="AA232" s="105">
        <f t="shared" si="321"/>
        <v>1.2272542576401657</v>
      </c>
      <c r="AB232" s="105">
        <f t="shared" si="321"/>
        <v>1.6589531820554899</v>
      </c>
      <c r="AC232" s="105">
        <f t="shared" si="321"/>
        <v>2.4989107889964797</v>
      </c>
      <c r="AD232" s="105">
        <f t="shared" si="321"/>
        <v>3.7993246381089869</v>
      </c>
      <c r="AE232" s="105">
        <f t="shared" si="321"/>
        <v>5.6805743774325395</v>
      </c>
      <c r="AF232" s="105">
        <f t="shared" si="321"/>
        <v>9.8749312485267531</v>
      </c>
      <c r="AG232" s="105">
        <f t="shared" si="321"/>
        <v>27.32684834595457</v>
      </c>
      <c r="AH232" s="105">
        <f t="shared" si="321"/>
        <v>309.78809393774054</v>
      </c>
      <c r="AI232" s="105">
        <f t="shared" si="321"/>
        <v>48.383444546207862</v>
      </c>
      <c r="AJ232" s="105">
        <f t="shared" si="321"/>
        <v>11.06434994937764</v>
      </c>
      <c r="AK232" s="105">
        <f t="shared" si="321"/>
        <v>6.1585943493778972</v>
      </c>
      <c r="AL232" s="105">
        <f t="shared" si="321"/>
        <v>4.6661616673702371</v>
      </c>
      <c r="AM232" s="105">
        <f t="shared" si="321"/>
        <v>4.0870871533153226</v>
      </c>
      <c r="AN232" s="105">
        <f t="shared" si="321"/>
        <v>3.5835587174497401</v>
      </c>
      <c r="AO232" s="105">
        <f t="shared" si="321"/>
        <v>3.1226802886960145</v>
      </c>
      <c r="AP232" s="105">
        <f t="shared" si="321"/>
        <v>2.611522546464911</v>
      </c>
      <c r="AQ232" s="105">
        <f t="shared" si="321"/>
        <v>2.2591777621593727</v>
      </c>
      <c r="AR232" s="105">
        <f t="shared" si="321"/>
        <v>2.0390196029951548</v>
      </c>
      <c r="AS232" s="105">
        <f t="shared" si="321"/>
        <v>1.8553010215098904</v>
      </c>
      <c r="AT232" s="105">
        <f t="shared" si="321"/>
        <v>1.7220488901392592</v>
      </c>
      <c r="AU232" s="105">
        <f t="shared" si="321"/>
        <v>1.6043134996956123</v>
      </c>
      <c r="AV232" s="105">
        <f t="shared" si="321"/>
        <v>1.4996401175086507</v>
      </c>
      <c r="AW232" s="105">
        <f t="shared" si="321"/>
        <v>1.405698033901235</v>
      </c>
      <c r="AX232" s="113"/>
      <c r="AY232" s="113"/>
      <c r="AZ232" s="113"/>
      <c r="BA232" s="113"/>
      <c r="BB232" s="113"/>
      <c r="BC232" s="113"/>
      <c r="BD232" s="113"/>
      <c r="BE232" s="113"/>
      <c r="BF232" s="2">
        <f t="shared" si="276"/>
        <v>226</v>
      </c>
    </row>
    <row r="233" spans="1:58" ht="11.25" customHeight="1" outlineLevel="1">
      <c r="A233" s="11"/>
      <c r="B233" s="17" t="s">
        <v>94</v>
      </c>
      <c r="C233" s="112">
        <f t="shared" ref="C233:K233" si="322">C227/(C31)</f>
        <v>2.4674405043296597</v>
      </c>
      <c r="D233" s="112">
        <f t="shared" si="322"/>
        <v>3.0675620140727249</v>
      </c>
      <c r="E233" s="112">
        <f t="shared" si="322"/>
        <v>2.2973432320290375</v>
      </c>
      <c r="F233" s="112">
        <f t="shared" si="322"/>
        <v>-5.5402139981711347</v>
      </c>
      <c r="G233" s="112">
        <f t="shared" si="322"/>
        <v>-2.334921151828226</v>
      </c>
      <c r="H233" s="112">
        <f t="shared" si="322"/>
        <v>-4.2797189018783648</v>
      </c>
      <c r="I233" s="112">
        <f t="shared" si="322"/>
        <v>-19.592944060544042</v>
      </c>
      <c r="J233" s="112">
        <f t="shared" si="322"/>
        <v>6.9249882460542578</v>
      </c>
      <c r="K233" s="112">
        <f t="shared" si="322"/>
        <v>3.8499079214034411</v>
      </c>
      <c r="L233" s="104"/>
      <c r="M233" s="3"/>
      <c r="N233" s="112">
        <f>N227/SUM(N31:N31)</f>
        <v>13.168685004913293</v>
      </c>
      <c r="O233" s="112">
        <f>O227/SUM(N31:O31)</f>
        <v>4.8642854702157692</v>
      </c>
      <c r="P233" s="112">
        <f>P227/SUM(N31:P31)</f>
        <v>3.3046194623248768</v>
      </c>
      <c r="Q233" s="112">
        <f t="shared" ref="Q233:AW233" si="323">Q227/SUM(N31:Q31)</f>
        <v>2.4674405043296597</v>
      </c>
      <c r="R233" s="112">
        <f t="shared" si="323"/>
        <v>2.578399539568677</v>
      </c>
      <c r="S233" s="112">
        <f t="shared" si="323"/>
        <v>2.9393092135920518</v>
      </c>
      <c r="T233" s="112">
        <f t="shared" si="323"/>
        <v>2.9501076859567421</v>
      </c>
      <c r="U233" s="112">
        <f t="shared" si="323"/>
        <v>3.0675620140727253</v>
      </c>
      <c r="V233" s="112">
        <f t="shared" si="323"/>
        <v>3.4226932189570172</v>
      </c>
      <c r="W233" s="112">
        <f t="shared" si="323"/>
        <v>3.1876646344403201</v>
      </c>
      <c r="X233" s="112">
        <f t="shared" si="323"/>
        <v>2.6947054750982828</v>
      </c>
      <c r="Y233" s="112">
        <f t="shared" si="323"/>
        <v>2.2973432320290379</v>
      </c>
      <c r="Z233" s="112">
        <f t="shared" si="323"/>
        <v>2.5782859899126529</v>
      </c>
      <c r="AA233" s="112">
        <f t="shared" si="323"/>
        <v>4.0216946794457407</v>
      </c>
      <c r="AB233" s="112">
        <f t="shared" si="323"/>
        <v>25.332526212394651</v>
      </c>
      <c r="AC233" s="112">
        <f t="shared" si="323"/>
        <v>-5.5402139981711347</v>
      </c>
      <c r="AD233" s="112">
        <f t="shared" si="323"/>
        <v>-3.4173893051660826</v>
      </c>
      <c r="AE233" s="112">
        <f t="shared" si="323"/>
        <v>-2.7885158831950525</v>
      </c>
      <c r="AF233" s="112">
        <f t="shared" si="323"/>
        <v>-2.3112231879527094</v>
      </c>
      <c r="AG233" s="112">
        <f t="shared" si="323"/>
        <v>-2.334921151828226</v>
      </c>
      <c r="AH233" s="112">
        <f t="shared" si="323"/>
        <v>-2.3442897350377541</v>
      </c>
      <c r="AI233" s="112">
        <f t="shared" si="323"/>
        <v>-2.5171339563862927</v>
      </c>
      <c r="AJ233" s="112">
        <f t="shared" si="323"/>
        <v>-3.19982833800763</v>
      </c>
      <c r="AK233" s="112">
        <f t="shared" si="323"/>
        <v>-4.2797189018783648</v>
      </c>
      <c r="AL233" s="112">
        <f t="shared" si="323"/>
        <v>-5.8066352113730941</v>
      </c>
      <c r="AM233" s="112">
        <f t="shared" si="323"/>
        <v>-7.4781358264853246</v>
      </c>
      <c r="AN233" s="112">
        <f t="shared" si="323"/>
        <v>-10.670986598764532</v>
      </c>
      <c r="AO233" s="112">
        <f t="shared" si="323"/>
        <v>-19.592944060544038</v>
      </c>
      <c r="AP233" s="112">
        <f t="shared" si="323"/>
        <v>95.85800137618152</v>
      </c>
      <c r="AQ233" s="112">
        <f t="shared" si="323"/>
        <v>15.410884730717358</v>
      </c>
      <c r="AR233" s="112">
        <f t="shared" si="323"/>
        <v>9.4621333949505928</v>
      </c>
      <c r="AS233" s="112">
        <f t="shared" si="323"/>
        <v>6.9249882460542578</v>
      </c>
      <c r="AT233" s="112">
        <f t="shared" si="323"/>
        <v>5.6393327210526589</v>
      </c>
      <c r="AU233" s="112">
        <f t="shared" si="323"/>
        <v>4.8110043333949388</v>
      </c>
      <c r="AV233" s="112">
        <f t="shared" si="323"/>
        <v>4.2459535490175639</v>
      </c>
      <c r="AW233" s="112">
        <f t="shared" si="323"/>
        <v>3.8499079214034411</v>
      </c>
      <c r="AX233" s="111"/>
      <c r="AY233" s="111"/>
      <c r="AZ233" s="111"/>
      <c r="BA233" s="111"/>
      <c r="BB233" s="111"/>
      <c r="BC233" s="111"/>
      <c r="BD233" s="111"/>
      <c r="BE233" s="111"/>
      <c r="BF233" s="2">
        <f t="shared" si="276"/>
        <v>227</v>
      </c>
    </row>
    <row r="234" spans="1:58" ht="11.25" customHeight="1" outlineLevel="1">
      <c r="A234" s="11"/>
      <c r="B234" s="17"/>
      <c r="C234" s="3"/>
      <c r="D234" s="3"/>
      <c r="E234" s="3"/>
      <c r="F234" s="3"/>
      <c r="G234" s="3"/>
      <c r="H234" s="3"/>
      <c r="I234" s="3"/>
      <c r="J234" s="3"/>
      <c r="K234" s="3"/>
      <c r="L234" s="55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5"/>
      <c r="AY234" s="5"/>
      <c r="AZ234" s="5"/>
      <c r="BA234" s="5"/>
      <c r="BB234" s="5"/>
      <c r="BC234" s="5"/>
      <c r="BD234" s="5"/>
      <c r="BE234" s="5"/>
      <c r="BF234" s="2">
        <f t="shared" si="276"/>
        <v>228</v>
      </c>
    </row>
    <row r="235" spans="1:58" ht="11.25" customHeight="1" outlineLevel="1">
      <c r="A235" s="11"/>
      <c r="B235" s="17" t="s">
        <v>93</v>
      </c>
      <c r="C235" s="112">
        <f t="shared" ref="C235:K235" si="324">C23/-C32</f>
        <v>10.69693557043437</v>
      </c>
      <c r="D235" s="105">
        <f t="shared" si="324"/>
        <v>10.380606664304118</v>
      </c>
      <c r="E235" s="105">
        <f t="shared" si="324"/>
        <v>12.378460520602893</v>
      </c>
      <c r="F235" s="105">
        <f t="shared" si="324"/>
        <v>4.3349123492056973</v>
      </c>
      <c r="G235" s="105">
        <f t="shared" si="324"/>
        <v>0.43280074174698652</v>
      </c>
      <c r="H235" s="105">
        <f t="shared" si="324"/>
        <v>1.8804453504782819</v>
      </c>
      <c r="I235" s="105">
        <f t="shared" si="324"/>
        <v>3.4106044643145577</v>
      </c>
      <c r="J235" s="105">
        <f t="shared" si="324"/>
        <v>4.871368075033768</v>
      </c>
      <c r="K235" s="105">
        <f t="shared" si="324"/>
        <v>5.175091857700016</v>
      </c>
      <c r="L235" s="104"/>
      <c r="M235" s="3"/>
      <c r="N235" s="112">
        <f t="shared" ref="N235:AW235" si="325">N23/-N32</f>
        <v>8.1879151848621081</v>
      </c>
      <c r="O235" s="112">
        <f t="shared" si="325"/>
        <v>12.410643867846373</v>
      </c>
      <c r="P235" s="112">
        <f t="shared" si="325"/>
        <v>10.939576072266878</v>
      </c>
      <c r="Q235" s="112">
        <f t="shared" si="325"/>
        <v>11.332616010642461</v>
      </c>
      <c r="R235" s="112">
        <f t="shared" si="325"/>
        <v>9.9185911401597693</v>
      </c>
      <c r="S235" s="112">
        <f t="shared" si="325"/>
        <v>10.590008165689257</v>
      </c>
      <c r="T235" s="112">
        <f t="shared" si="325"/>
        <v>11.309720405493787</v>
      </c>
      <c r="U235" s="112">
        <f t="shared" si="325"/>
        <v>9.7660343270099386</v>
      </c>
      <c r="V235" s="112">
        <f t="shared" si="325"/>
        <v>10.63163184121268</v>
      </c>
      <c r="W235" s="112">
        <f t="shared" si="325"/>
        <v>12.638680781758959</v>
      </c>
      <c r="X235" s="112">
        <f t="shared" si="325"/>
        <v>13.756258016467376</v>
      </c>
      <c r="Y235" s="112">
        <f t="shared" si="325"/>
        <v>12.462402586635717</v>
      </c>
      <c r="Z235" s="112">
        <f t="shared" si="325"/>
        <v>7.9291223232366752</v>
      </c>
      <c r="AA235" s="112">
        <f t="shared" si="325"/>
        <v>4.5540146560554726</v>
      </c>
      <c r="AB235" s="112">
        <f t="shared" si="325"/>
        <v>3.0157810980461499</v>
      </c>
      <c r="AC235" s="112">
        <f t="shared" si="325"/>
        <v>2.0695269105535341</v>
      </c>
      <c r="AD235" s="112">
        <f t="shared" si="325"/>
        <v>1.6776862975720408</v>
      </c>
      <c r="AE235" s="112">
        <f t="shared" si="325"/>
        <v>0.97991032178653048</v>
      </c>
      <c r="AF235" s="112">
        <f t="shared" si="325"/>
        <v>-0.66322171696293264</v>
      </c>
      <c r="AG235" s="112">
        <f t="shared" si="325"/>
        <v>-0.31302959597200075</v>
      </c>
      <c r="AH235" s="112">
        <f t="shared" si="325"/>
        <v>0.14255670103092771</v>
      </c>
      <c r="AI235" s="112">
        <f t="shared" si="325"/>
        <v>1.7810825868940992</v>
      </c>
      <c r="AJ235" s="112">
        <f t="shared" si="325"/>
        <v>2.7205528846153846</v>
      </c>
      <c r="AK235" s="112">
        <f t="shared" si="325"/>
        <v>2.8850904100742656</v>
      </c>
      <c r="AL235" s="112">
        <f t="shared" si="325"/>
        <v>2.3934460835609483</v>
      </c>
      <c r="AM235" s="112">
        <f t="shared" si="325"/>
        <v>3.0233768287546723</v>
      </c>
      <c r="AN235" s="112">
        <f t="shared" si="325"/>
        <v>3.9135857630188453</v>
      </c>
      <c r="AO235" s="112">
        <f t="shared" si="325"/>
        <v>4.3120091819237647</v>
      </c>
      <c r="AP235" s="112">
        <f t="shared" si="325"/>
        <v>4.6267033277409624</v>
      </c>
      <c r="AQ235" s="112">
        <f t="shared" si="325"/>
        <v>4.7860495750988425</v>
      </c>
      <c r="AR235" s="112">
        <f t="shared" si="325"/>
        <v>4.9509867004456751</v>
      </c>
      <c r="AS235" s="112">
        <f t="shared" si="325"/>
        <v>5.1217326968495929</v>
      </c>
      <c r="AT235" s="112">
        <f t="shared" si="325"/>
        <v>5.143166789803951</v>
      </c>
      <c r="AU235" s="112">
        <f t="shared" si="325"/>
        <v>5.1639896731319306</v>
      </c>
      <c r="AV235" s="112">
        <f t="shared" si="325"/>
        <v>5.185497377533351</v>
      </c>
      <c r="AW235" s="112">
        <f t="shared" si="325"/>
        <v>5.2077135903308287</v>
      </c>
      <c r="AX235" s="111"/>
      <c r="AY235" s="111"/>
      <c r="AZ235" s="111"/>
      <c r="BA235" s="111"/>
      <c r="BB235" s="111"/>
      <c r="BC235" s="111"/>
      <c r="BD235" s="111"/>
      <c r="BE235" s="111"/>
      <c r="BF235" s="2">
        <f t="shared" si="276"/>
        <v>229</v>
      </c>
    </row>
    <row r="236" spans="1:58" ht="11.25" customHeight="1" outlineLevel="1">
      <c r="A236" s="11"/>
      <c r="B236" s="17" t="s">
        <v>92</v>
      </c>
      <c r="C236" s="112">
        <f t="shared" ref="C236:K236" si="326">(C23+C180)/-C32</f>
        <v>0.65002331535558</v>
      </c>
      <c r="D236" s="105">
        <f t="shared" si="326"/>
        <v>4.5480475447048567</v>
      </c>
      <c r="E236" s="105">
        <f t="shared" si="326"/>
        <v>6.0094279157276675</v>
      </c>
      <c r="F236" s="105">
        <f t="shared" si="326"/>
        <v>0.65392835857703624</v>
      </c>
      <c r="G236" s="105">
        <f t="shared" si="326"/>
        <v>-0.43560385535933771</v>
      </c>
      <c r="H236" s="105">
        <f t="shared" si="326"/>
        <v>0.15619674873242417</v>
      </c>
      <c r="I236" s="105">
        <f t="shared" si="326"/>
        <v>1.2666853932710125</v>
      </c>
      <c r="J236" s="105">
        <f t="shared" si="326"/>
        <v>2.9099247641995669</v>
      </c>
      <c r="K236" s="105">
        <f t="shared" si="326"/>
        <v>2.7109399327278436</v>
      </c>
      <c r="L236" s="104"/>
      <c r="M236" s="3"/>
      <c r="N236" s="112">
        <f t="shared" ref="N236:AW236" si="327">(N23+N180)/-N32</f>
        <v>-0.97953432194860091</v>
      </c>
      <c r="O236" s="112">
        <f t="shared" si="327"/>
        <v>1.974318189349503</v>
      </c>
      <c r="P236" s="112">
        <f t="shared" si="327"/>
        <v>-0.7970339284444109</v>
      </c>
      <c r="Q236" s="112">
        <f t="shared" si="327"/>
        <v>2.5788011581500898</v>
      </c>
      <c r="R236" s="112">
        <f t="shared" si="327"/>
        <v>4.1918300653594773</v>
      </c>
      <c r="S236" s="112">
        <f t="shared" si="327"/>
        <v>4.0205998069927977</v>
      </c>
      <c r="T236" s="112">
        <f t="shared" si="327"/>
        <v>5.9090091563113161</v>
      </c>
      <c r="U236" s="112">
        <f t="shared" si="327"/>
        <v>4.1838105337575104</v>
      </c>
      <c r="V236" s="112">
        <f t="shared" si="327"/>
        <v>3.9414597378669236</v>
      </c>
      <c r="W236" s="112">
        <f t="shared" si="327"/>
        <v>6.3086726384364828</v>
      </c>
      <c r="X236" s="112">
        <f t="shared" si="327"/>
        <v>8.6622946749968968</v>
      </c>
      <c r="Y236" s="112">
        <f t="shared" si="327"/>
        <v>5.0940971646493152</v>
      </c>
      <c r="Z236" s="112">
        <f t="shared" si="327"/>
        <v>2.4361239174458182</v>
      </c>
      <c r="AA236" s="112">
        <f t="shared" si="327"/>
        <v>0.10921125206839458</v>
      </c>
      <c r="AB236" s="112">
        <f t="shared" si="327"/>
        <v>-0.45884537176200202</v>
      </c>
      <c r="AC236" s="112">
        <f t="shared" si="327"/>
        <v>0.56337866309136264</v>
      </c>
      <c r="AD236" s="112">
        <f t="shared" si="327"/>
        <v>8.0819961354280712E-2</v>
      </c>
      <c r="AE236" s="112">
        <f t="shared" si="327"/>
        <v>-0.31193951116581692</v>
      </c>
      <c r="AF236" s="112">
        <f t="shared" si="327"/>
        <v>-0.96954664461898876</v>
      </c>
      <c r="AG236" s="112">
        <f t="shared" si="327"/>
        <v>-0.57816529534569616</v>
      </c>
      <c r="AH236" s="112">
        <f t="shared" si="327"/>
        <v>-0.73117525773195879</v>
      </c>
      <c r="AI236" s="112">
        <f t="shared" si="327"/>
        <v>0.26130373291047082</v>
      </c>
      <c r="AJ236" s="112">
        <f t="shared" si="327"/>
        <v>0.44608516483516469</v>
      </c>
      <c r="AK236" s="112">
        <f t="shared" si="327"/>
        <v>0.65317242492734995</v>
      </c>
      <c r="AL236" s="112">
        <f t="shared" si="327"/>
        <v>-1.2891551806019501E-2</v>
      </c>
      <c r="AM236" s="112">
        <f t="shared" si="327"/>
        <v>0.72146291313198174</v>
      </c>
      <c r="AN236" s="112">
        <f t="shared" si="327"/>
        <v>1.9528399797505525</v>
      </c>
      <c r="AO236" s="112">
        <f t="shared" si="327"/>
        <v>2.4053302320075343</v>
      </c>
      <c r="AP236" s="112">
        <f t="shared" si="327"/>
        <v>2.5889612295652333</v>
      </c>
      <c r="AQ236" s="112">
        <f t="shared" si="327"/>
        <v>2.7990110778623247</v>
      </c>
      <c r="AR236" s="112">
        <f t="shared" si="327"/>
        <v>3.0149192889463046</v>
      </c>
      <c r="AS236" s="112">
        <f t="shared" si="327"/>
        <v>3.2368074604244055</v>
      </c>
      <c r="AT236" s="112">
        <f t="shared" si="327"/>
        <v>2.6426599565170661</v>
      </c>
      <c r="AU236" s="112">
        <f t="shared" si="327"/>
        <v>2.6870535421005997</v>
      </c>
      <c r="AV236" s="112">
        <f t="shared" si="327"/>
        <v>2.7331423271942654</v>
      </c>
      <c r="AW236" s="112">
        <f t="shared" si="327"/>
        <v>2.7809039050994415</v>
      </c>
      <c r="AX236" s="111"/>
      <c r="AY236" s="111"/>
      <c r="AZ236" s="111"/>
      <c r="BA236" s="111"/>
      <c r="BB236" s="111"/>
      <c r="BC236" s="111"/>
      <c r="BD236" s="111"/>
      <c r="BE236" s="111"/>
      <c r="BF236" s="2">
        <f t="shared" si="276"/>
        <v>230</v>
      </c>
    </row>
    <row r="237" spans="1:58" ht="11.25" customHeight="1" outlineLevel="1">
      <c r="A237" s="11"/>
      <c r="B237" s="17" t="s">
        <v>91</v>
      </c>
      <c r="C237" s="112">
        <f t="shared" ref="C237:K237" si="328">C31/-C32</f>
        <v>6.2161553418559032</v>
      </c>
      <c r="D237" s="105">
        <f t="shared" si="328"/>
        <v>4.5913300832319672</v>
      </c>
      <c r="E237" s="105">
        <f t="shared" si="328"/>
        <v>5.6505882109702901</v>
      </c>
      <c r="F237" s="105">
        <f t="shared" si="328"/>
        <v>-1.9552600752173288</v>
      </c>
      <c r="G237" s="105">
        <f t="shared" si="328"/>
        <v>-5.0653017659615758</v>
      </c>
      <c r="H237" s="105">
        <f t="shared" si="328"/>
        <v>-2.7059955046782718</v>
      </c>
      <c r="I237" s="105">
        <f t="shared" si="328"/>
        <v>-0.54357463076215062</v>
      </c>
      <c r="J237" s="105">
        <f t="shared" si="328"/>
        <v>1.3051075098806755</v>
      </c>
      <c r="K237" s="105">
        <f t="shared" si="328"/>
        <v>1.8895559577371193</v>
      </c>
      <c r="L237" s="104"/>
      <c r="M237" s="3"/>
      <c r="N237" s="112">
        <f t="shared" ref="N237:AW237" si="329">N31/-N32</f>
        <v>4.7457894383681136</v>
      </c>
      <c r="O237" s="112">
        <f t="shared" si="329"/>
        <v>7.9199390264108427</v>
      </c>
      <c r="P237" s="112">
        <f t="shared" si="329"/>
        <v>6.3816416530336451</v>
      </c>
      <c r="Q237" s="112">
        <f t="shared" si="329"/>
        <v>5.7371468816026301</v>
      </c>
      <c r="R237" s="112">
        <f t="shared" si="329"/>
        <v>4.6548293391430651</v>
      </c>
      <c r="S237" s="112">
        <f t="shared" si="329"/>
        <v>5.0432781530695561</v>
      </c>
      <c r="T237" s="112">
        <f t="shared" si="329"/>
        <v>5.0953646173969904</v>
      </c>
      <c r="U237" s="112">
        <f t="shared" si="329"/>
        <v>3.5601115431444179</v>
      </c>
      <c r="V237" s="112">
        <f t="shared" si="329"/>
        <v>3.8346802897701098</v>
      </c>
      <c r="W237" s="112">
        <f t="shared" si="329"/>
        <v>6.084731270358307</v>
      </c>
      <c r="X237" s="112">
        <f t="shared" si="329"/>
        <v>6.716082585129711</v>
      </c>
      <c r="Y237" s="112">
        <f t="shared" si="329"/>
        <v>5.938733211739347</v>
      </c>
      <c r="Z237" s="112">
        <f t="shared" si="329"/>
        <v>0.93959239950019402</v>
      </c>
      <c r="AA237" s="112">
        <f t="shared" si="329"/>
        <v>-1.6847372153494604</v>
      </c>
      <c r="AB237" s="112">
        <f t="shared" si="329"/>
        <v>-3.4715763416143579</v>
      </c>
      <c r="AC237" s="112">
        <f t="shared" si="329"/>
        <v>-3.477992721700824</v>
      </c>
      <c r="AD237" s="112">
        <f t="shared" si="329"/>
        <v>-4.0633873813324364</v>
      </c>
      <c r="AE237" s="112">
        <f t="shared" si="329"/>
        <v>-4.8244241251978197</v>
      </c>
      <c r="AF237" s="112">
        <f t="shared" si="329"/>
        <v>-6.3270864912038958</v>
      </c>
      <c r="AG237" s="112">
        <f t="shared" si="329"/>
        <v>-5.1414712022596101</v>
      </c>
      <c r="AH237" s="112">
        <f t="shared" si="329"/>
        <v>-4.5700618556701036</v>
      </c>
      <c r="AI237" s="112">
        <f t="shared" si="329"/>
        <v>-2.8526550379291136</v>
      </c>
      <c r="AJ237" s="112">
        <f t="shared" si="329"/>
        <v>-1.9476734203296706</v>
      </c>
      <c r="AK237" s="112">
        <f t="shared" si="329"/>
        <v>-1.4564094284791735</v>
      </c>
      <c r="AL237" s="112">
        <f t="shared" si="329"/>
        <v>-1.6850922814678104</v>
      </c>
      <c r="AM237" s="112">
        <f t="shared" si="329"/>
        <v>-0.97995172015435517</v>
      </c>
      <c r="AN237" s="112">
        <f t="shared" si="329"/>
        <v>-7.9058035177401557E-3</v>
      </c>
      <c r="AO237" s="112">
        <f t="shared" si="329"/>
        <v>0.49865128209130299</v>
      </c>
      <c r="AP237" s="112">
        <f t="shared" si="329"/>
        <v>0.92171769469418219</v>
      </c>
      <c r="AQ237" s="112">
        <f t="shared" si="329"/>
        <v>1.1732523073960819</v>
      </c>
      <c r="AR237" s="112">
        <f t="shared" si="329"/>
        <v>1.430864134083184</v>
      </c>
      <c r="AS237" s="112">
        <f t="shared" si="329"/>
        <v>1.6945959033492539</v>
      </c>
      <c r="AT237" s="112">
        <f t="shared" si="329"/>
        <v>1.8091576787547707</v>
      </c>
      <c r="AU237" s="112">
        <f t="shared" si="329"/>
        <v>1.8614081650901559</v>
      </c>
      <c r="AV237" s="112">
        <f t="shared" si="329"/>
        <v>1.9156906437479031</v>
      </c>
      <c r="AW237" s="112">
        <f t="shared" si="329"/>
        <v>1.9719673433556468</v>
      </c>
      <c r="AX237" s="111"/>
      <c r="AY237" s="111"/>
      <c r="AZ237" s="111"/>
      <c r="BA237" s="111"/>
      <c r="BB237" s="111"/>
      <c r="BC237" s="111"/>
      <c r="BD237" s="111"/>
      <c r="BE237" s="111"/>
      <c r="BF237" s="2">
        <f t="shared" si="276"/>
        <v>231</v>
      </c>
    </row>
    <row r="238" spans="1:58" ht="11.25" customHeight="1" outlineLevel="1">
      <c r="A238" s="11"/>
      <c r="B238" s="17" t="s">
        <v>258</v>
      </c>
      <c r="C238" s="13">
        <f>C180/C81</f>
        <v>2.2422238410622035</v>
      </c>
      <c r="D238" s="16">
        <f t="shared" ref="D238:K238" si="330">IF(ISERROR(D180/D81),"NM",D180/D81)</f>
        <v>1.0074763293687887</v>
      </c>
      <c r="E238" s="16">
        <f t="shared" si="330"/>
        <v>0.94666371651501025</v>
      </c>
      <c r="F238" s="16">
        <f t="shared" si="330"/>
        <v>0.58519603951338484</v>
      </c>
      <c r="G238" s="16">
        <f t="shared" si="330"/>
        <v>0.15794623615852665</v>
      </c>
      <c r="H238" s="16">
        <f t="shared" si="330"/>
        <v>0.37594480256019835</v>
      </c>
      <c r="I238" s="16">
        <f t="shared" si="330"/>
        <v>0.54219068471453613</v>
      </c>
      <c r="J238" s="16">
        <f t="shared" si="330"/>
        <v>0.55000000000000004</v>
      </c>
      <c r="K238" s="16">
        <f t="shared" si="330"/>
        <v>0.75</v>
      </c>
      <c r="L238" s="15"/>
      <c r="M238" s="3"/>
      <c r="N238" s="13">
        <f t="shared" ref="N238:AK238" si="331">N180/N81</f>
        <v>2.6633104604468012</v>
      </c>
      <c r="O238" s="13">
        <f t="shared" si="331"/>
        <v>2.3239838838218367</v>
      </c>
      <c r="P238" s="13">
        <f t="shared" si="331"/>
        <v>2.5749843945068664</v>
      </c>
      <c r="Q238" s="13">
        <f t="shared" si="331"/>
        <v>1.5644469928466043</v>
      </c>
      <c r="R238" s="13">
        <f t="shared" si="331"/>
        <v>1.0879597693220386</v>
      </c>
      <c r="S238" s="13">
        <f t="shared" si="331"/>
        <v>1.1843750000000002</v>
      </c>
      <c r="T238" s="13">
        <f t="shared" si="331"/>
        <v>0.86907017128423691</v>
      </c>
      <c r="U238" s="13">
        <f t="shared" si="331"/>
        <v>0.89949939560404812</v>
      </c>
      <c r="V238" s="13">
        <f t="shared" si="331"/>
        <v>0.98429009721657479</v>
      </c>
      <c r="W238" s="13">
        <f t="shared" si="331"/>
        <v>0.96583108129096384</v>
      </c>
      <c r="X238" s="13">
        <f t="shared" si="331"/>
        <v>0.72355630781527336</v>
      </c>
      <c r="Y238" s="13">
        <f t="shared" si="331"/>
        <v>1.1294725404601687</v>
      </c>
      <c r="Z238" s="13">
        <f t="shared" si="331"/>
        <v>0.78588953273332507</v>
      </c>
      <c r="AA238" s="13">
        <f t="shared" si="331"/>
        <v>0.71245074264928776</v>
      </c>
      <c r="AB238" s="13">
        <f t="shared" si="331"/>
        <v>0.53559966475193688</v>
      </c>
      <c r="AC238" s="13">
        <f t="shared" si="331"/>
        <v>0.27149939924594996</v>
      </c>
      <c r="AD238" s="13">
        <f t="shared" si="331"/>
        <v>0.27814768204167645</v>
      </c>
      <c r="AE238" s="13">
        <f t="shared" si="331"/>
        <v>0.22256640184190793</v>
      </c>
      <c r="AF238" s="13">
        <f t="shared" si="331"/>
        <v>5.4084082135790024E-2</v>
      </c>
      <c r="AG238" s="13">
        <f t="shared" si="331"/>
        <v>5.4911236583753027E-2</v>
      </c>
      <c r="AH238" s="13">
        <f t="shared" si="331"/>
        <v>0.18540264785922417</v>
      </c>
      <c r="AI238" s="13">
        <f t="shared" si="331"/>
        <v>0.32798120589350621</v>
      </c>
      <c r="AJ238" s="13">
        <f t="shared" si="331"/>
        <v>0.48722310599442764</v>
      </c>
      <c r="AK238" s="13">
        <f t="shared" si="331"/>
        <v>0.51408915539441258</v>
      </c>
      <c r="AL238" s="110">
        <v>0.59</v>
      </c>
      <c r="AM238" s="110">
        <v>0.57499999999999996</v>
      </c>
      <c r="AN238" s="110">
        <v>0.5</v>
      </c>
      <c r="AO238" s="110">
        <v>0.5</v>
      </c>
      <c r="AP238" s="110">
        <v>0.55000000000000004</v>
      </c>
      <c r="AQ238" s="110">
        <v>0.55000000000000004</v>
      </c>
      <c r="AR238" s="110">
        <v>0.55000000000000004</v>
      </c>
      <c r="AS238" s="110">
        <v>0.55000000000000004</v>
      </c>
      <c r="AT238" s="110">
        <v>0.75</v>
      </c>
      <c r="AU238" s="110">
        <v>0.75</v>
      </c>
      <c r="AV238" s="110">
        <v>0.75</v>
      </c>
      <c r="AW238" s="110">
        <v>0.75</v>
      </c>
      <c r="AX238" s="109"/>
      <c r="AY238" s="109"/>
      <c r="AZ238" s="109"/>
      <c r="BA238" s="109"/>
      <c r="BB238" s="109"/>
      <c r="BC238" s="109"/>
      <c r="BD238" s="109"/>
      <c r="BE238" s="109"/>
      <c r="BF238" s="2">
        <f t="shared" si="276"/>
        <v>232</v>
      </c>
    </row>
    <row r="239" spans="1:58" ht="11.25" customHeight="1" outlineLevel="1">
      <c r="A239" s="11"/>
      <c r="B239" s="17"/>
      <c r="C239" s="51"/>
      <c r="D239" s="51"/>
      <c r="E239" s="51"/>
      <c r="F239" s="51"/>
      <c r="G239" s="51"/>
      <c r="H239" s="51"/>
      <c r="I239" s="51"/>
      <c r="J239" s="51"/>
      <c r="K239" s="51"/>
      <c r="L239" s="108"/>
      <c r="M239" s="51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3"/>
      <c r="AM239" s="7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5"/>
      <c r="AY239" s="5"/>
      <c r="AZ239" s="5"/>
      <c r="BA239" s="5"/>
      <c r="BB239" s="5"/>
      <c r="BC239" s="5"/>
      <c r="BD239" s="5"/>
      <c r="BE239" s="5"/>
      <c r="BF239" s="2">
        <f t="shared" si="276"/>
        <v>233</v>
      </c>
    </row>
    <row r="240" spans="1:58" ht="11.25" customHeight="1" outlineLevel="1">
      <c r="A240" s="56" t="s">
        <v>5</v>
      </c>
      <c r="B240" s="93" t="s">
        <v>785</v>
      </c>
      <c r="C240" s="3"/>
      <c r="D240" s="3"/>
      <c r="E240" s="3"/>
      <c r="F240" s="3"/>
      <c r="G240" s="3"/>
      <c r="H240" s="3"/>
      <c r="I240" s="3"/>
      <c r="J240" s="3"/>
      <c r="K240" s="3"/>
      <c r="L240" s="55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5"/>
      <c r="AY240" s="5"/>
      <c r="AZ240" s="5"/>
      <c r="BA240" s="5"/>
      <c r="BB240" s="5"/>
      <c r="BC240" s="5"/>
      <c r="BD240" s="5"/>
      <c r="BE240" s="5"/>
      <c r="BF240" s="2">
        <f t="shared" si="276"/>
        <v>234</v>
      </c>
    </row>
    <row r="241" spans="1:58" ht="11.25" hidden="1" customHeight="1" outlineLevel="2">
      <c r="A241" s="11"/>
      <c r="B241" s="17" t="s">
        <v>90</v>
      </c>
      <c r="C241" s="37">
        <f t="shared" ref="C241:K241" si="332">C170</f>
        <v>510.52600000000007</v>
      </c>
      <c r="D241" s="37">
        <f t="shared" si="332"/>
        <v>604.44100000000003</v>
      </c>
      <c r="E241" s="37">
        <f t="shared" si="332"/>
        <v>652.14300000000003</v>
      </c>
      <c r="F241" s="37">
        <f t="shared" si="332"/>
        <v>612.14700000000005</v>
      </c>
      <c r="G241" s="37">
        <f t="shared" si="332"/>
        <v>509.971</v>
      </c>
      <c r="H241" s="37">
        <f t="shared" si="332"/>
        <v>438.71600000000001</v>
      </c>
      <c r="I241" s="37">
        <f t="shared" si="332"/>
        <v>414.95638624420394</v>
      </c>
      <c r="J241" s="37">
        <f t="shared" si="332"/>
        <v>374.24774167757613</v>
      </c>
      <c r="K241" s="37">
        <f t="shared" si="332"/>
        <v>344.78815226697611</v>
      </c>
      <c r="L241" s="100"/>
      <c r="M241" s="51"/>
      <c r="N241" s="37">
        <f>N170</f>
        <v>103.84099999999999</v>
      </c>
      <c r="O241" s="37">
        <f>O170</f>
        <v>135.51600000000002</v>
      </c>
      <c r="P241" s="37">
        <f>P170</f>
        <v>128.16</v>
      </c>
      <c r="Q241" s="37">
        <f>Q170</f>
        <v>143.00899999999999</v>
      </c>
      <c r="R241" s="37">
        <f t="shared" ref="R241:AW241" si="333">R170</f>
        <v>144.964</v>
      </c>
      <c r="S241" s="37">
        <f t="shared" si="333"/>
        <v>149.44</v>
      </c>
      <c r="T241" s="37">
        <f t="shared" si="333"/>
        <v>152.02799999999999</v>
      </c>
      <c r="U241" s="37">
        <f t="shared" si="333"/>
        <v>158.00900000000001</v>
      </c>
      <c r="V241" s="37">
        <f t="shared" si="333"/>
        <v>162.31800000000001</v>
      </c>
      <c r="W241" s="37">
        <f t="shared" si="333"/>
        <v>160.965</v>
      </c>
      <c r="X241" s="37">
        <f t="shared" si="333"/>
        <v>171.518</v>
      </c>
      <c r="Y241" s="37">
        <f t="shared" si="333"/>
        <v>157.34199999999996</v>
      </c>
      <c r="Z241" s="37">
        <f t="shared" si="333"/>
        <v>162.22300000000001</v>
      </c>
      <c r="AA241" s="37">
        <f t="shared" si="333"/>
        <v>158.34899999999999</v>
      </c>
      <c r="AB241" s="37">
        <f t="shared" si="333"/>
        <v>146.75700000000001</v>
      </c>
      <c r="AC241" s="37">
        <f t="shared" si="333"/>
        <v>144.81800000000004</v>
      </c>
      <c r="AD241" s="37">
        <f t="shared" si="333"/>
        <v>136.672</v>
      </c>
      <c r="AE241" s="37">
        <f t="shared" si="333"/>
        <v>132.03700000000001</v>
      </c>
      <c r="AF241" s="37">
        <f t="shared" si="333"/>
        <v>123.30800000000001</v>
      </c>
      <c r="AG241" s="37">
        <f t="shared" si="333"/>
        <v>117.95399999999999</v>
      </c>
      <c r="AH241" s="37">
        <f t="shared" si="333"/>
        <v>114.28100000000001</v>
      </c>
      <c r="AI241" s="37">
        <f t="shared" si="333"/>
        <v>108.119</v>
      </c>
      <c r="AJ241" s="37">
        <f t="shared" si="333"/>
        <v>108.751</v>
      </c>
      <c r="AK241" s="37">
        <f>AK170</f>
        <v>107.565</v>
      </c>
      <c r="AL241" s="37">
        <f t="shared" si="333"/>
        <v>107.0017</v>
      </c>
      <c r="AM241" s="37">
        <f t="shared" si="333"/>
        <v>105.02854749750001</v>
      </c>
      <c r="AN241" s="37">
        <f t="shared" si="333"/>
        <v>102.8815292637609</v>
      </c>
      <c r="AO241" s="37">
        <f t="shared" si="333"/>
        <v>100.044609482943</v>
      </c>
      <c r="AP241" s="37">
        <f t="shared" si="333"/>
        <v>97.201429956093151</v>
      </c>
      <c r="AQ241" s="37">
        <f t="shared" si="333"/>
        <v>94.782840027747199</v>
      </c>
      <c r="AR241" s="37">
        <f t="shared" si="333"/>
        <v>92.351490925963986</v>
      </c>
      <c r="AS241" s="37">
        <f t="shared" si="333"/>
        <v>89.911980767771823</v>
      </c>
      <c r="AT241" s="37">
        <f t="shared" si="333"/>
        <v>87.468747568158662</v>
      </c>
      <c r="AU241" s="37">
        <f t="shared" si="333"/>
        <v>86.644234802126661</v>
      </c>
      <c r="AV241" s="37">
        <f t="shared" si="333"/>
        <v>85.784378586818406</v>
      </c>
      <c r="AW241" s="37">
        <f t="shared" si="333"/>
        <v>84.89079130987237</v>
      </c>
      <c r="AX241" s="107"/>
      <c r="AY241" s="107"/>
      <c r="AZ241" s="107"/>
      <c r="BA241" s="107"/>
      <c r="BB241" s="107"/>
      <c r="BC241" s="107"/>
      <c r="BD241" s="107"/>
      <c r="BE241" s="107"/>
      <c r="BF241" s="2">
        <f t="shared" si="276"/>
        <v>235</v>
      </c>
    </row>
    <row r="242" spans="1:58" ht="11.25" hidden="1" customHeight="1" outlineLevel="2">
      <c r="A242" s="11"/>
      <c r="B242" s="65" t="s">
        <v>89</v>
      </c>
      <c r="C242" s="13">
        <f t="shared" ref="C242:K242" si="334">C241/C15</f>
        <v>0.11175971986406508</v>
      </c>
      <c r="D242" s="13">
        <f t="shared" si="334"/>
        <v>0.13106332765517503</v>
      </c>
      <c r="E242" s="13">
        <f t="shared" si="334"/>
        <v>0.1431198374585384</v>
      </c>
      <c r="F242" s="13">
        <f t="shared" si="334"/>
        <v>0.22246421711945316</v>
      </c>
      <c r="G242" s="13">
        <f t="shared" si="334"/>
        <v>0.35169273823538133</v>
      </c>
      <c r="H242" s="13">
        <f t="shared" si="334"/>
        <v>0.23409722978150299</v>
      </c>
      <c r="I242" s="13">
        <f t="shared" si="334"/>
        <v>0.18599016210334812</v>
      </c>
      <c r="J242" s="13">
        <f t="shared" si="334"/>
        <v>0.13813432429050007</v>
      </c>
      <c r="K242" s="13">
        <f t="shared" si="334"/>
        <v>0.12102850125826717</v>
      </c>
      <c r="L242" s="15"/>
      <c r="M242" s="3"/>
      <c r="N242" s="13">
        <f t="shared" ref="N242:AW242" si="335">N241/N15</f>
        <v>0.10740279902403402</v>
      </c>
      <c r="O242" s="13">
        <f t="shared" si="335"/>
        <v>0.10899535839153107</v>
      </c>
      <c r="P242" s="13">
        <f t="shared" si="335"/>
        <v>0.10864101249083426</v>
      </c>
      <c r="Q242" s="13">
        <f t="shared" si="335"/>
        <v>0.12137438075378081</v>
      </c>
      <c r="R242" s="13">
        <f t="shared" si="335"/>
        <v>0.12766770675635572</v>
      </c>
      <c r="S242" s="13">
        <f t="shared" si="335"/>
        <v>0.12885946781660634</v>
      </c>
      <c r="T242" s="13">
        <f t="shared" si="335"/>
        <v>0.12790348430736612</v>
      </c>
      <c r="U242" s="13">
        <f t="shared" si="335"/>
        <v>0.14007678962285147</v>
      </c>
      <c r="V242" s="13">
        <f t="shared" si="335"/>
        <v>0.15292561460235268</v>
      </c>
      <c r="W242" s="13">
        <f t="shared" si="335"/>
        <v>0.14533403397763719</v>
      </c>
      <c r="X242" s="13">
        <f t="shared" si="335"/>
        <v>0.141864608370705</v>
      </c>
      <c r="Y242" s="13">
        <f t="shared" si="335"/>
        <v>0.13349612175533204</v>
      </c>
      <c r="Z242" s="13">
        <f t="shared" si="335"/>
        <v>0.17686089170169039</v>
      </c>
      <c r="AA242" s="13">
        <f t="shared" si="335"/>
        <v>0.22278076039978384</v>
      </c>
      <c r="AB242" s="13">
        <f t="shared" si="335"/>
        <v>0.24402722997825063</v>
      </c>
      <c r="AC242" s="13">
        <f t="shared" si="335"/>
        <v>0.27729631402584975</v>
      </c>
      <c r="AD242" s="13">
        <f t="shared" si="335"/>
        <v>0.33081840472680707</v>
      </c>
      <c r="AE242" s="13">
        <f t="shared" si="335"/>
        <v>0.37060832905288388</v>
      </c>
      <c r="AF242" s="13">
        <f t="shared" si="335"/>
        <v>0.37798451988658133</v>
      </c>
      <c r="AG242" s="13">
        <f t="shared" si="335"/>
        <v>0.33281041030647424</v>
      </c>
      <c r="AH242" s="13">
        <f t="shared" si="335"/>
        <v>0.28503551689047629</v>
      </c>
      <c r="AI242" s="13">
        <f t="shared" si="335"/>
        <v>0.23000714790200569</v>
      </c>
      <c r="AJ242" s="13">
        <f t="shared" si="335"/>
        <v>0.21491060789006167</v>
      </c>
      <c r="AK242" s="13">
        <f t="shared" si="335"/>
        <v>0.21640984784012651</v>
      </c>
      <c r="AL242" s="13">
        <f t="shared" si="335"/>
        <v>0.22068629294249847</v>
      </c>
      <c r="AM242" s="13">
        <f t="shared" si="335"/>
        <v>0.19867415489244095</v>
      </c>
      <c r="AN242" s="13">
        <f t="shared" si="335"/>
        <v>0.17437986821240448</v>
      </c>
      <c r="AO242" s="13">
        <f t="shared" si="335"/>
        <v>0.15941456450546451</v>
      </c>
      <c r="AP242" s="13">
        <f t="shared" si="335"/>
        <v>0.14878994204569476</v>
      </c>
      <c r="AQ242" s="13">
        <f t="shared" si="335"/>
        <v>0.14167334558733533</v>
      </c>
      <c r="AR242" s="13">
        <f t="shared" si="335"/>
        <v>0.13478142309588598</v>
      </c>
      <c r="AS242" s="13">
        <f t="shared" si="335"/>
        <v>0.1281153075258534</v>
      </c>
      <c r="AT242" s="13">
        <f t="shared" si="335"/>
        <v>0.12388333997717771</v>
      </c>
      <c r="AU242" s="13">
        <f t="shared" si="335"/>
        <v>0.12202009616236192</v>
      </c>
      <c r="AV242" s="13">
        <f t="shared" si="335"/>
        <v>0.12010990965573887</v>
      </c>
      <c r="AW242" s="13">
        <f t="shared" si="335"/>
        <v>0.11815609091607812</v>
      </c>
      <c r="AX242" s="63"/>
      <c r="AY242" s="63"/>
      <c r="AZ242" s="63"/>
      <c r="BA242" s="63"/>
      <c r="BB242" s="63"/>
      <c r="BC242" s="63"/>
      <c r="BD242" s="63"/>
      <c r="BE242" s="63"/>
      <c r="BF242" s="2">
        <f t="shared" si="276"/>
        <v>236</v>
      </c>
    </row>
    <row r="243" spans="1:58" ht="11.25" hidden="1" customHeight="1" outlineLevel="2">
      <c r="A243" s="11"/>
      <c r="B243" s="65" t="s">
        <v>88</v>
      </c>
      <c r="C243" s="13">
        <f t="shared" ref="C243:K243" si="336">-C180/C15</f>
        <v>0.24997920346194497</v>
      </c>
      <c r="D243" s="13">
        <f t="shared" si="336"/>
        <v>0.13204320026089461</v>
      </c>
      <c r="E243" s="13">
        <f t="shared" si="336"/>
        <v>0.13521025004926895</v>
      </c>
      <c r="F243" s="13">
        <f t="shared" si="336"/>
        <v>0.13018517879174973</v>
      </c>
      <c r="G243" s="13">
        <f t="shared" si="336"/>
        <v>5.5548544288564441E-2</v>
      </c>
      <c r="H243" s="13">
        <f t="shared" si="336"/>
        <v>8.8007636830096533E-2</v>
      </c>
      <c r="I243" s="13">
        <f t="shared" si="336"/>
        <v>0.1008421333409819</v>
      </c>
      <c r="J243" s="13">
        <f t="shared" si="336"/>
        <v>7.5973878359775052E-2</v>
      </c>
      <c r="K243" s="13">
        <f t="shared" si="336"/>
        <v>9.0771375943700369E-2</v>
      </c>
      <c r="L243" s="15"/>
      <c r="M243" s="3"/>
      <c r="N243" s="13">
        <f t="shared" ref="N243:AW243" si="337">-N180/N15</f>
        <v>0.28261744223690238</v>
      </c>
      <c r="O243" s="13">
        <f t="shared" si="337"/>
        <v>0.25330345631330337</v>
      </c>
      <c r="P243" s="13">
        <f t="shared" si="337"/>
        <v>0.27974891176732375</v>
      </c>
      <c r="Q243" s="13">
        <f t="shared" si="337"/>
        <v>0.18988378497887115</v>
      </c>
      <c r="R243" s="13">
        <f t="shared" si="337"/>
        <v>0.13889732879251843</v>
      </c>
      <c r="S243" s="13">
        <f t="shared" si="337"/>
        <v>0.15261793219529318</v>
      </c>
      <c r="T243" s="13">
        <f t="shared" si="337"/>
        <v>0.11115710301485339</v>
      </c>
      <c r="U243" s="13">
        <f t="shared" si="337"/>
        <v>0.12599898760391029</v>
      </c>
      <c r="V243" s="13">
        <f t="shared" si="337"/>
        <v>0.15052316806385418</v>
      </c>
      <c r="W243" s="13">
        <f t="shared" si="337"/>
        <v>0.140368127184999</v>
      </c>
      <c r="X243" s="13">
        <f t="shared" si="337"/>
        <v>0.10183072986023461</v>
      </c>
      <c r="Y243" s="13">
        <f t="shared" si="337"/>
        <v>0.15081374413936227</v>
      </c>
      <c r="Z243" s="13">
        <f t="shared" si="337"/>
        <v>0.13899055312978678</v>
      </c>
      <c r="AA243" s="13">
        <f t="shared" si="337"/>
        <v>0.15872332522960561</v>
      </c>
      <c r="AB243" s="13">
        <f t="shared" si="337"/>
        <v>0.13070090256669484</v>
      </c>
      <c r="AC243" s="13">
        <f t="shared" si="337"/>
        <v>7.5285782671134477E-2</v>
      </c>
      <c r="AD243" s="13">
        <f t="shared" si="337"/>
        <v>9.2016372451486556E-2</v>
      </c>
      <c r="AE243" s="13">
        <f t="shared" si="337"/>
        <v>8.2484962289942204E-2</v>
      </c>
      <c r="AF243" s="13">
        <f t="shared" si="337"/>
        <v>2.0442945819603025E-2</v>
      </c>
      <c r="AG243" s="13">
        <f t="shared" si="337"/>
        <v>1.8275031177874723E-2</v>
      </c>
      <c r="AH243" s="13">
        <f t="shared" si="337"/>
        <v>5.2846339565416914E-2</v>
      </c>
      <c r="AI243" s="13">
        <f t="shared" si="337"/>
        <v>7.5438021733025856E-2</v>
      </c>
      <c r="AJ243" s="13">
        <f t="shared" si="337"/>
        <v>0.10470941388734639</v>
      </c>
      <c r="AK243" s="13">
        <f t="shared" si="337"/>
        <v>0.11125395589516397</v>
      </c>
      <c r="AL243" s="13">
        <f t="shared" si="337"/>
        <v>0.1302049128360741</v>
      </c>
      <c r="AM243" s="13">
        <f t="shared" si="337"/>
        <v>0.11423763906315353</v>
      </c>
      <c r="AN243" s="13">
        <f t="shared" si="337"/>
        <v>8.7189934106202238E-2</v>
      </c>
      <c r="AO243" s="13">
        <f t="shared" si="337"/>
        <v>7.9707282252732256E-2</v>
      </c>
      <c r="AP243" s="13">
        <f t="shared" si="337"/>
        <v>8.1834468125132134E-2</v>
      </c>
      <c r="AQ243" s="13">
        <f t="shared" si="337"/>
        <v>7.792034007303443E-2</v>
      </c>
      <c r="AR243" s="13">
        <f t="shared" si="337"/>
        <v>7.412978270273729E-2</v>
      </c>
      <c r="AS243" s="13">
        <f t="shared" si="337"/>
        <v>7.0463419139219385E-2</v>
      </c>
      <c r="AT243" s="13">
        <f t="shared" si="337"/>
        <v>9.2912504982883282E-2</v>
      </c>
      <c r="AU243" s="13">
        <f t="shared" si="337"/>
        <v>9.1515072121771429E-2</v>
      </c>
      <c r="AV243" s="13">
        <f t="shared" si="337"/>
        <v>9.0082432241804136E-2</v>
      </c>
      <c r="AW243" s="13">
        <f t="shared" si="337"/>
        <v>8.8617068187058584E-2</v>
      </c>
      <c r="AX243" s="63"/>
      <c r="AY243" s="63"/>
      <c r="AZ243" s="63"/>
      <c r="BA243" s="63"/>
      <c r="BB243" s="63"/>
      <c r="BC243" s="63"/>
      <c r="BD243" s="63"/>
      <c r="BE243" s="63"/>
      <c r="BF243" s="2">
        <f t="shared" si="276"/>
        <v>237</v>
      </c>
    </row>
    <row r="244" spans="1:58" ht="11.25" hidden="1" customHeight="1" outlineLevel="2">
      <c r="A244" s="11"/>
      <c r="B244" s="65" t="s">
        <v>87</v>
      </c>
      <c r="C244" s="13">
        <f t="shared" ref="C244:K244" si="338">-C180/C241</f>
        <v>2.2367558165499895</v>
      </c>
      <c r="D244" s="13">
        <f t="shared" si="338"/>
        <v>1.0074763293687887</v>
      </c>
      <c r="E244" s="13">
        <f t="shared" si="338"/>
        <v>0.94473451374928497</v>
      </c>
      <c r="F244" s="13">
        <f t="shared" si="338"/>
        <v>0.58519603951338484</v>
      </c>
      <c r="G244" s="13">
        <f t="shared" si="338"/>
        <v>0.15794623615852665</v>
      </c>
      <c r="H244" s="13">
        <f t="shared" si="338"/>
        <v>0.37594480256019835</v>
      </c>
      <c r="I244" s="13">
        <f t="shared" si="338"/>
        <v>0.54219068471453613</v>
      </c>
      <c r="J244" s="13">
        <f t="shared" si="338"/>
        <v>0.55000000000000004</v>
      </c>
      <c r="K244" s="13">
        <f t="shared" si="338"/>
        <v>0.75</v>
      </c>
      <c r="L244" s="15"/>
      <c r="M244" s="3"/>
      <c r="N244" s="13">
        <f>-N180/N241</f>
        <v>2.6313787425005541</v>
      </c>
      <c r="O244" s="13">
        <f>-O180/O241</f>
        <v>2.3239838838218363</v>
      </c>
      <c r="P244" s="13">
        <f>-P180/P241</f>
        <v>2.5749843945068664</v>
      </c>
      <c r="Q244" s="13">
        <f>-Q180/Q241</f>
        <v>1.5644469928466043</v>
      </c>
      <c r="R244" s="13">
        <f t="shared" ref="R244:AW244" si="339">-R180/R241</f>
        <v>1.0879597693220386</v>
      </c>
      <c r="S244" s="13">
        <f t="shared" si="339"/>
        <v>1.1843750000000002</v>
      </c>
      <c r="T244" s="13">
        <f t="shared" si="339"/>
        <v>0.86907017128423691</v>
      </c>
      <c r="U244" s="13">
        <f t="shared" si="339"/>
        <v>0.89949939560404812</v>
      </c>
      <c r="V244" s="13">
        <f t="shared" si="339"/>
        <v>0.98429009721657479</v>
      </c>
      <c r="W244" s="13">
        <f t="shared" si="339"/>
        <v>0.96583108129096384</v>
      </c>
      <c r="X244" s="13">
        <f t="shared" si="339"/>
        <v>0.71780221317879178</v>
      </c>
      <c r="Y244" s="13">
        <f t="shared" si="339"/>
        <v>1.1297237864015965</v>
      </c>
      <c r="Z244" s="13">
        <f t="shared" si="339"/>
        <v>0.7858749992294557</v>
      </c>
      <c r="AA244" s="13">
        <f t="shared" si="339"/>
        <v>0.71246424038042566</v>
      </c>
      <c r="AB244" s="13">
        <f t="shared" si="339"/>
        <v>0.53559966475193688</v>
      </c>
      <c r="AC244" s="13">
        <f t="shared" si="339"/>
        <v>0.2714993992459499</v>
      </c>
      <c r="AD244" s="13">
        <f t="shared" si="339"/>
        <v>0.27814768204167645</v>
      </c>
      <c r="AE244" s="13">
        <f t="shared" si="339"/>
        <v>0.22256640184190793</v>
      </c>
      <c r="AF244" s="13">
        <f t="shared" si="339"/>
        <v>5.4084082135790024E-2</v>
      </c>
      <c r="AG244" s="13">
        <f t="shared" si="339"/>
        <v>5.4911236583753027E-2</v>
      </c>
      <c r="AH244" s="13">
        <f t="shared" si="339"/>
        <v>0.18540264785922417</v>
      </c>
      <c r="AI244" s="13">
        <f t="shared" si="339"/>
        <v>0.32798120589350621</v>
      </c>
      <c r="AJ244" s="13">
        <f t="shared" si="339"/>
        <v>0.48722310599442764</v>
      </c>
      <c r="AK244" s="13">
        <f>-AK180/AK241</f>
        <v>0.51408915539441258</v>
      </c>
      <c r="AL244" s="13">
        <f t="shared" si="339"/>
        <v>0.59</v>
      </c>
      <c r="AM244" s="13">
        <f t="shared" si="339"/>
        <v>0.57499999999999996</v>
      </c>
      <c r="AN244" s="13">
        <f t="shared" si="339"/>
        <v>0.5</v>
      </c>
      <c r="AO244" s="13">
        <f t="shared" si="339"/>
        <v>0.5</v>
      </c>
      <c r="AP244" s="13">
        <f t="shared" si="339"/>
        <v>0.55000000000000004</v>
      </c>
      <c r="AQ244" s="13">
        <f t="shared" si="339"/>
        <v>0.55000000000000004</v>
      </c>
      <c r="AR244" s="13">
        <f t="shared" si="339"/>
        <v>0.55000000000000004</v>
      </c>
      <c r="AS244" s="13">
        <f t="shared" si="339"/>
        <v>0.55000000000000004</v>
      </c>
      <c r="AT244" s="13">
        <f t="shared" si="339"/>
        <v>0.75</v>
      </c>
      <c r="AU244" s="13">
        <f t="shared" si="339"/>
        <v>0.75</v>
      </c>
      <c r="AV244" s="13">
        <f t="shared" si="339"/>
        <v>0.74999999999999989</v>
      </c>
      <c r="AW244" s="13">
        <f t="shared" si="339"/>
        <v>0.75</v>
      </c>
      <c r="AX244" s="63"/>
      <c r="AY244" s="63"/>
      <c r="AZ244" s="63"/>
      <c r="BA244" s="63"/>
      <c r="BB244" s="63"/>
      <c r="BC244" s="63"/>
      <c r="BD244" s="63"/>
      <c r="BE244" s="63"/>
      <c r="BF244" s="2">
        <f t="shared" si="276"/>
        <v>238</v>
      </c>
    </row>
    <row r="245" spans="1:58" ht="11.25" hidden="1" customHeight="1" outlineLevel="2">
      <c r="A245" s="11"/>
      <c r="B245" s="17" t="s">
        <v>86</v>
      </c>
      <c r="C245" s="99">
        <f t="shared" ref="C245:K245" si="340">-C180</f>
        <v>1141.922</v>
      </c>
      <c r="D245" s="99">
        <f t="shared" si="340"/>
        <v>608.96</v>
      </c>
      <c r="E245" s="99">
        <f t="shared" si="340"/>
        <v>616.10199999999998</v>
      </c>
      <c r="F245" s="99">
        <f t="shared" si="340"/>
        <v>358.226</v>
      </c>
      <c r="G245" s="99">
        <f t="shared" si="340"/>
        <v>80.548000000000002</v>
      </c>
      <c r="H245" s="99">
        <f t="shared" si="340"/>
        <v>164.93299999999999</v>
      </c>
      <c r="I245" s="99">
        <f t="shared" si="340"/>
        <v>224.98548718441447</v>
      </c>
      <c r="J245" s="99">
        <f t="shared" si="340"/>
        <v>205.8362579226669</v>
      </c>
      <c r="K245" s="99">
        <f t="shared" si="340"/>
        <v>258.59111420023208</v>
      </c>
      <c r="L245" s="100"/>
      <c r="M245" s="51"/>
      <c r="N245" s="99">
        <f>-N180</f>
        <v>273.245</v>
      </c>
      <c r="O245" s="99">
        <f>-O180</f>
        <v>314.93700000000001</v>
      </c>
      <c r="P245" s="99">
        <f>-P180</f>
        <v>330.01</v>
      </c>
      <c r="Q245" s="99">
        <f>-Q180</f>
        <v>223.73000000000002</v>
      </c>
      <c r="R245" s="99">
        <f t="shared" ref="R245:AW245" si="341">-R180</f>
        <v>157.715</v>
      </c>
      <c r="S245" s="99">
        <f t="shared" si="341"/>
        <v>176.99300000000002</v>
      </c>
      <c r="T245" s="99">
        <f t="shared" si="341"/>
        <v>132.12299999999996</v>
      </c>
      <c r="U245" s="99">
        <f t="shared" si="341"/>
        <v>142.12900000000005</v>
      </c>
      <c r="V245" s="99">
        <f t="shared" si="341"/>
        <v>159.768</v>
      </c>
      <c r="W245" s="99">
        <f t="shared" si="341"/>
        <v>155.465</v>
      </c>
      <c r="X245" s="99">
        <f t="shared" si="341"/>
        <v>123.11600000000001</v>
      </c>
      <c r="Y245" s="99">
        <f t="shared" si="341"/>
        <v>177.75299999999996</v>
      </c>
      <c r="Z245" s="99">
        <f t="shared" si="341"/>
        <v>127.48699999999999</v>
      </c>
      <c r="AA245" s="99">
        <f t="shared" si="341"/>
        <v>112.81800000000001</v>
      </c>
      <c r="AB245" s="99">
        <f t="shared" si="341"/>
        <v>78.603000000000009</v>
      </c>
      <c r="AC245" s="99">
        <f t="shared" si="341"/>
        <v>39.317999999999984</v>
      </c>
      <c r="AD245" s="99">
        <f t="shared" si="341"/>
        <v>38.015000000000001</v>
      </c>
      <c r="AE245" s="99">
        <f t="shared" si="341"/>
        <v>29.387</v>
      </c>
      <c r="AF245" s="99">
        <f t="shared" si="341"/>
        <v>6.6689999999999969</v>
      </c>
      <c r="AG245" s="99">
        <f t="shared" si="341"/>
        <v>6.4770000000000039</v>
      </c>
      <c r="AH245" s="99">
        <f t="shared" si="341"/>
        <v>21.187999999999999</v>
      </c>
      <c r="AI245" s="99">
        <f t="shared" si="341"/>
        <v>35.460999999999999</v>
      </c>
      <c r="AJ245" s="99">
        <f t="shared" si="341"/>
        <v>52.986000000000004</v>
      </c>
      <c r="AK245" s="99">
        <f>-AK180</f>
        <v>55.297999999999988</v>
      </c>
      <c r="AL245" s="99">
        <f t="shared" si="341"/>
        <v>63.131003</v>
      </c>
      <c r="AM245" s="99">
        <f t="shared" si="341"/>
        <v>60.391414811062504</v>
      </c>
      <c r="AN245" s="99">
        <f t="shared" si="341"/>
        <v>51.440764631880448</v>
      </c>
      <c r="AO245" s="99">
        <f t="shared" si="341"/>
        <v>50.022304741471501</v>
      </c>
      <c r="AP245" s="99">
        <f t="shared" si="341"/>
        <v>53.460786475851236</v>
      </c>
      <c r="AQ245" s="99">
        <f t="shared" si="341"/>
        <v>52.130562015260963</v>
      </c>
      <c r="AR245" s="99">
        <f t="shared" si="341"/>
        <v>50.793320009280194</v>
      </c>
      <c r="AS245" s="99">
        <f t="shared" si="341"/>
        <v>49.451589422274509</v>
      </c>
      <c r="AT245" s="99">
        <f t="shared" si="341"/>
        <v>65.601560676118993</v>
      </c>
      <c r="AU245" s="99">
        <f t="shared" si="341"/>
        <v>64.983176101594992</v>
      </c>
      <c r="AV245" s="99">
        <f t="shared" si="341"/>
        <v>64.338283940113797</v>
      </c>
      <c r="AW245" s="99">
        <f t="shared" si="341"/>
        <v>63.668093482404274</v>
      </c>
      <c r="AX245" s="98"/>
      <c r="AY245" s="98"/>
      <c r="AZ245" s="98"/>
      <c r="BA245" s="98"/>
      <c r="BB245" s="98"/>
      <c r="BC245" s="98"/>
      <c r="BD245" s="98"/>
      <c r="BE245" s="98"/>
      <c r="BF245" s="2">
        <f t="shared" si="276"/>
        <v>239</v>
      </c>
    </row>
    <row r="246" spans="1:58" ht="11.25" hidden="1" customHeight="1" outlineLevel="2">
      <c r="A246" s="56"/>
      <c r="B246" s="65"/>
      <c r="C246" s="3"/>
      <c r="D246" s="3"/>
      <c r="E246" s="3"/>
      <c r="F246" s="3"/>
      <c r="G246" s="3"/>
      <c r="H246" s="3"/>
      <c r="I246" s="3"/>
      <c r="J246" s="3"/>
      <c r="K246" s="3"/>
      <c r="L246" s="55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5"/>
      <c r="AY246" s="5"/>
      <c r="AZ246" s="5"/>
      <c r="BA246" s="5"/>
      <c r="BB246" s="5"/>
      <c r="BC246" s="5"/>
      <c r="BD246" s="5"/>
      <c r="BE246" s="5"/>
      <c r="BF246" s="2">
        <f t="shared" si="276"/>
        <v>240</v>
      </c>
    </row>
    <row r="247" spans="1:58" ht="11.25" hidden="1" customHeight="1" outlineLevel="2">
      <c r="A247" s="11"/>
      <c r="B247" s="17" t="s">
        <v>85</v>
      </c>
      <c r="C247" s="99">
        <f t="shared" ref="C247:K247" si="342">C200/C241</f>
        <v>9.0061054676941019</v>
      </c>
      <c r="D247" s="99">
        <f t="shared" si="342"/>
        <v>7.989539094799988</v>
      </c>
      <c r="E247" s="99">
        <f t="shared" si="342"/>
        <v>7.6722145296353705</v>
      </c>
      <c r="F247" s="99">
        <f t="shared" si="342"/>
        <v>7.1913380282840551</v>
      </c>
      <c r="G247" s="99">
        <f t="shared" si="342"/>
        <v>7.9606565863549097</v>
      </c>
      <c r="H247" s="99">
        <f t="shared" si="342"/>
        <v>9.2396083115272738</v>
      </c>
      <c r="I247" s="99">
        <f t="shared" si="342"/>
        <v>10.310841401694843</v>
      </c>
      <c r="J247" s="99">
        <f t="shared" si="342"/>
        <v>11.982398945163151</v>
      </c>
      <c r="K247" s="99">
        <f t="shared" si="342"/>
        <v>13.75620603005736</v>
      </c>
      <c r="L247" s="100"/>
      <c r="M247" s="51"/>
      <c r="N247" s="99">
        <f>N200/(N241*4)</f>
        <v>9.0295042420623837</v>
      </c>
      <c r="O247" s="99">
        <f>O200/(O241*4)</f>
        <v>7.4275786622981776</v>
      </c>
      <c r="P247" s="99">
        <f>P200/(P241*4)</f>
        <v>8.5506807896379531</v>
      </c>
      <c r="Q247" s="99">
        <f>Q200/(Q241*4)</f>
        <v>8.0376951800236345</v>
      </c>
      <c r="R247" s="99">
        <f t="shared" ref="R247:AW247" si="343">R200/(R241*4)</f>
        <v>8.0743339725725001</v>
      </c>
      <c r="S247" s="99">
        <f t="shared" si="343"/>
        <v>8.0707340738758031</v>
      </c>
      <c r="T247" s="99">
        <f t="shared" si="343"/>
        <v>8.1875032888678412</v>
      </c>
      <c r="U247" s="99">
        <f t="shared" si="343"/>
        <v>7.6407119214728265</v>
      </c>
      <c r="V247" s="99">
        <f t="shared" si="343"/>
        <v>7.2279044837910762</v>
      </c>
      <c r="W247" s="99">
        <f t="shared" si="343"/>
        <v>7.4445702481906011</v>
      </c>
      <c r="X247" s="99">
        <f t="shared" si="343"/>
        <v>7.0862795741554825</v>
      </c>
      <c r="Y247" s="99">
        <f t="shared" si="343"/>
        <v>7.9498496904831528</v>
      </c>
      <c r="Z247" s="99">
        <f t="shared" si="343"/>
        <v>7.8358401706293179</v>
      </c>
      <c r="AA247" s="99">
        <f t="shared" si="343"/>
        <v>7.4308647354893314</v>
      </c>
      <c r="AB247" s="99">
        <f t="shared" si="343"/>
        <v>8.0467166813167346</v>
      </c>
      <c r="AC247" s="99">
        <f t="shared" si="343"/>
        <v>7.5994627739645599</v>
      </c>
      <c r="AD247" s="99">
        <f t="shared" si="343"/>
        <v>8.0653114756497306</v>
      </c>
      <c r="AE247" s="99">
        <f t="shared" si="343"/>
        <v>7.7754890674583645</v>
      </c>
      <c r="AF247" s="99">
        <f t="shared" si="343"/>
        <v>8.4118994712427408</v>
      </c>
      <c r="AG247" s="99">
        <f t="shared" si="343"/>
        <v>8.6044220628380561</v>
      </c>
      <c r="AH247" s="99">
        <f t="shared" si="343"/>
        <v>8.8606986288184384</v>
      </c>
      <c r="AI247" s="99">
        <f t="shared" si="343"/>
        <v>9.466805094386741</v>
      </c>
      <c r="AJ247" s="99">
        <f t="shared" si="343"/>
        <v>9.4048721391067662</v>
      </c>
      <c r="AK247" s="99">
        <f>AK200/(AK241*4)</f>
        <v>9.4211964858457673</v>
      </c>
      <c r="AL247" s="99">
        <f t="shared" si="343"/>
        <v>9.61829345468343</v>
      </c>
      <c r="AM247" s="99">
        <f t="shared" si="343"/>
        <v>9.9427406103814047</v>
      </c>
      <c r="AN247" s="99">
        <f t="shared" si="343"/>
        <v>10.275234079195409</v>
      </c>
      <c r="AO247" s="99">
        <f t="shared" si="343"/>
        <v>10.691604248587428</v>
      </c>
      <c r="AP247" s="99">
        <f t="shared" si="343"/>
        <v>11.141837819713858</v>
      </c>
      <c r="AQ247" s="99">
        <f t="shared" si="343"/>
        <v>11.563645999613671</v>
      </c>
      <c r="AR247" s="99">
        <f t="shared" si="343"/>
        <v>12.005583535300442</v>
      </c>
      <c r="AS247" s="99">
        <f t="shared" si="343"/>
        <v>12.468821470771305</v>
      </c>
      <c r="AT247" s="99">
        <f t="shared" si="343"/>
        <v>13.00460859530912</v>
      </c>
      <c r="AU247" s="99">
        <f t="shared" si="343"/>
        <v>13.315861385423421</v>
      </c>
      <c r="AV247" s="99">
        <f t="shared" si="343"/>
        <v>13.63683237819691</v>
      </c>
      <c r="AW247" s="99">
        <f t="shared" si="343"/>
        <v>13.967877982177933</v>
      </c>
      <c r="AX247" s="98"/>
      <c r="AY247" s="98"/>
      <c r="AZ247" s="98"/>
      <c r="BA247" s="98"/>
      <c r="BB247" s="98"/>
      <c r="BC247" s="98"/>
      <c r="BD247" s="98"/>
      <c r="BE247" s="98"/>
      <c r="BF247" s="2">
        <f t="shared" si="276"/>
        <v>241</v>
      </c>
    </row>
    <row r="248" spans="1:58" ht="11.25" hidden="1" customHeight="1" outlineLevel="2">
      <c r="A248" s="56"/>
      <c r="B248" s="65" t="s">
        <v>84</v>
      </c>
      <c r="C248" s="99">
        <f t="shared" ref="C248:K248" si="344">-C201/C241</f>
        <v>2.629897399936536</v>
      </c>
      <c r="D248" s="99">
        <f t="shared" si="344"/>
        <v>3.0226457172825798</v>
      </c>
      <c r="E248" s="99">
        <f t="shared" si="344"/>
        <v>3.4801293581315753</v>
      </c>
      <c r="F248" s="99">
        <f t="shared" si="344"/>
        <v>3.722741433021806</v>
      </c>
      <c r="G248" s="99">
        <f t="shared" si="344"/>
        <v>4.8127030752729079</v>
      </c>
      <c r="H248" s="99">
        <f t="shared" si="344"/>
        <v>6.2377939259110677</v>
      </c>
      <c r="I248" s="99">
        <f t="shared" si="344"/>
        <v>7.5949581467327629</v>
      </c>
      <c r="J248" s="99">
        <f t="shared" si="344"/>
        <v>9.4210966033279799</v>
      </c>
      <c r="K248" s="99">
        <f t="shared" si="344"/>
        <v>11.226059407028771</v>
      </c>
      <c r="L248" s="55"/>
      <c r="M248" s="3"/>
      <c r="N248" s="99">
        <f>-N201/(N241*4)</f>
        <v>2.3695385252453272</v>
      </c>
      <c r="O248" s="99">
        <f>-O201/(O241*4)</f>
        <v>2.0356083414504558</v>
      </c>
      <c r="P248" s="99">
        <f>-P201/(P241*4)</f>
        <v>2.3801264044943817</v>
      </c>
      <c r="Q248" s="99">
        <f>-Q201/(Q241*4)</f>
        <v>2.3471092728429683</v>
      </c>
      <c r="R248" s="99">
        <f t="shared" ref="R248:AW248" si="345">-R201/(R241*4)</f>
        <v>2.5208603515355539</v>
      </c>
      <c r="S248" s="99">
        <f t="shared" si="345"/>
        <v>2.6675940176659529</v>
      </c>
      <c r="T248" s="99">
        <f t="shared" si="345"/>
        <v>2.863895137737785</v>
      </c>
      <c r="U248" s="99">
        <f t="shared" si="345"/>
        <v>2.8906755311406309</v>
      </c>
      <c r="V248" s="99">
        <f t="shared" si="345"/>
        <v>2.947194704222575</v>
      </c>
      <c r="W248" s="99">
        <f t="shared" si="345"/>
        <v>3.1668639145155781</v>
      </c>
      <c r="X248" s="99">
        <f t="shared" si="345"/>
        <v>3.1471419909280662</v>
      </c>
      <c r="Y248" s="99">
        <f t="shared" si="345"/>
        <v>3.6060651320054413</v>
      </c>
      <c r="Z248" s="99">
        <f t="shared" si="345"/>
        <v>3.6895554267890494</v>
      </c>
      <c r="AA248" s="99">
        <f t="shared" si="345"/>
        <v>3.5444666527733046</v>
      </c>
      <c r="AB248" s="99">
        <f t="shared" si="345"/>
        <v>4.0047714930122584</v>
      </c>
      <c r="AC248" s="99">
        <f t="shared" si="345"/>
        <v>3.9340154538800411</v>
      </c>
      <c r="AD248" s="99">
        <f t="shared" si="345"/>
        <v>4.2870540417934908</v>
      </c>
      <c r="AE248" s="99">
        <f t="shared" si="345"/>
        <v>4.2363220157986019</v>
      </c>
      <c r="AF248" s="99">
        <f t="shared" si="345"/>
        <v>4.8563373828137664</v>
      </c>
      <c r="AG248" s="99">
        <f t="shared" si="345"/>
        <v>5.2018986214965155</v>
      </c>
      <c r="AH248" s="99">
        <f t="shared" si="345"/>
        <v>5.5502576981300473</v>
      </c>
      <c r="AI248" s="99">
        <f t="shared" si="345"/>
        <v>6.1018183667995443</v>
      </c>
      <c r="AJ248" s="99">
        <f t="shared" si="345"/>
        <v>6.233499002308025</v>
      </c>
      <c r="AK248" s="99">
        <f>-AK201/(AK241*4)</f>
        <v>6.3603867428996423</v>
      </c>
      <c r="AL248" s="99">
        <f t="shared" si="345"/>
        <v>6.6438703777603525</v>
      </c>
      <c r="AM248" s="99">
        <f t="shared" si="345"/>
        <v>7.0186875800783737</v>
      </c>
      <c r="AN248" s="99">
        <f t="shared" si="345"/>
        <v>7.4151594523297373</v>
      </c>
      <c r="AO248" s="99">
        <f t="shared" si="345"/>
        <v>7.8754277779991941</v>
      </c>
      <c r="AP248" s="99">
        <f t="shared" si="345"/>
        <v>8.3557870950761792</v>
      </c>
      <c r="AQ248" s="99">
        <f t="shared" si="345"/>
        <v>8.8190031424708142</v>
      </c>
      <c r="AR248" s="99">
        <f t="shared" si="345"/>
        <v>9.3011821268497386</v>
      </c>
      <c r="AS248" s="99">
        <f t="shared" si="345"/>
        <v>9.8035436929935287</v>
      </c>
      <c r="AT248" s="99">
        <f t="shared" si="345"/>
        <v>10.327382567911858</v>
      </c>
      <c r="AU248" s="99">
        <f t="shared" si="345"/>
        <v>10.675658682720718</v>
      </c>
      <c r="AV248" s="99">
        <f t="shared" si="345"/>
        <v>11.032665711530244</v>
      </c>
      <c r="AW248" s="99">
        <f t="shared" si="345"/>
        <v>11.398799034809512</v>
      </c>
      <c r="AX248" s="98"/>
      <c r="AY248" s="98"/>
      <c r="AZ248" s="98"/>
      <c r="BA248" s="98"/>
      <c r="BB248" s="98"/>
      <c r="BC248" s="98"/>
      <c r="BD248" s="98"/>
      <c r="BE248" s="98"/>
      <c r="BF248" s="2">
        <f t="shared" si="276"/>
        <v>242</v>
      </c>
    </row>
    <row r="249" spans="1:58" ht="11.25" hidden="1" customHeight="1" outlineLevel="2">
      <c r="A249" s="11"/>
      <c r="B249" s="17" t="s">
        <v>83</v>
      </c>
      <c r="C249" s="29">
        <f t="shared" ref="C249:K249" si="346">C202/C241</f>
        <v>6.3762080677575659</v>
      </c>
      <c r="D249" s="31">
        <f t="shared" si="346"/>
        <v>4.9668933775174082</v>
      </c>
      <c r="E249" s="31">
        <f t="shared" si="346"/>
        <v>4.1920851715037948</v>
      </c>
      <c r="F249" s="31">
        <f t="shared" si="346"/>
        <v>3.4685965952622491</v>
      </c>
      <c r="G249" s="31">
        <f t="shared" si="346"/>
        <v>3.1479535110820023</v>
      </c>
      <c r="H249" s="31">
        <f t="shared" si="346"/>
        <v>3.0018143856162069</v>
      </c>
      <c r="I249" s="31">
        <f t="shared" si="346"/>
        <v>2.7158832549620793</v>
      </c>
      <c r="J249" s="31">
        <f t="shared" si="346"/>
        <v>2.5613023418351721</v>
      </c>
      <c r="K249" s="31">
        <f t="shared" si="346"/>
        <v>2.5301466230285898</v>
      </c>
      <c r="L249" s="30"/>
      <c r="M249" s="29"/>
      <c r="N249" s="29">
        <f>N202/(4*N241)</f>
        <v>6.659965716817057</v>
      </c>
      <c r="O249" s="29">
        <f>O202/(4*O241)</f>
        <v>5.3919703208477214</v>
      </c>
      <c r="P249" s="29">
        <f>P202/(4*P241)</f>
        <v>6.1705543851435714</v>
      </c>
      <c r="Q249" s="29">
        <f>Q202/(4*Q241)</f>
        <v>5.690585907180667</v>
      </c>
      <c r="R249" s="29">
        <f t="shared" ref="R249:AS249" si="347">R202/(4*R241)</f>
        <v>5.5534736210369475</v>
      </c>
      <c r="S249" s="29">
        <f t="shared" si="347"/>
        <v>5.4031400562098497</v>
      </c>
      <c r="T249" s="29">
        <f t="shared" si="347"/>
        <v>5.3236081511300553</v>
      </c>
      <c r="U249" s="29">
        <f t="shared" si="347"/>
        <v>4.7500363903321956</v>
      </c>
      <c r="V249" s="29">
        <f t="shared" si="347"/>
        <v>4.2807097795685003</v>
      </c>
      <c r="W249" s="29">
        <f t="shared" si="347"/>
        <v>4.277706333675023</v>
      </c>
      <c r="X249" s="29">
        <f t="shared" si="347"/>
        <v>3.9391375832274167</v>
      </c>
      <c r="Y249" s="29">
        <f t="shared" si="347"/>
        <v>4.3437845584777124</v>
      </c>
      <c r="Z249" s="29">
        <f t="shared" si="347"/>
        <v>4.146284743840269</v>
      </c>
      <c r="AA249" s="29">
        <f t="shared" si="347"/>
        <v>3.8863980827160263</v>
      </c>
      <c r="AB249" s="29">
        <f t="shared" si="347"/>
        <v>4.0419451883044761</v>
      </c>
      <c r="AC249" s="29">
        <f t="shared" si="347"/>
        <v>3.6654473200845192</v>
      </c>
      <c r="AD249" s="29">
        <f t="shared" si="347"/>
        <v>3.7782574338562394</v>
      </c>
      <c r="AE249" s="29">
        <f t="shared" si="347"/>
        <v>3.5391670516597618</v>
      </c>
      <c r="AF249" s="29">
        <f t="shared" si="347"/>
        <v>3.5555620884289745</v>
      </c>
      <c r="AG249" s="29">
        <f t="shared" si="347"/>
        <v>3.4025234413415402</v>
      </c>
      <c r="AH249" s="29">
        <f t="shared" si="347"/>
        <v>3.3104409306883906</v>
      </c>
      <c r="AI249" s="29">
        <f t="shared" si="347"/>
        <v>3.3649867275871959</v>
      </c>
      <c r="AJ249" s="29">
        <f t="shared" si="347"/>
        <v>3.1713731367987417</v>
      </c>
      <c r="AK249" s="29">
        <f>AK202/(4*AK241)</f>
        <v>3.0608097429461254</v>
      </c>
      <c r="AL249" s="29">
        <f t="shared" si="347"/>
        <v>2.9744230769230771</v>
      </c>
      <c r="AM249" s="29">
        <f t="shared" si="347"/>
        <v>2.9240530303030305</v>
      </c>
      <c r="AN249" s="29">
        <f t="shared" si="347"/>
        <v>2.8600746268656714</v>
      </c>
      <c r="AO249" s="29">
        <f t="shared" si="347"/>
        <v>2.8161764705882337</v>
      </c>
      <c r="AP249" s="29">
        <f t="shared" si="347"/>
        <v>2.7860507246376796</v>
      </c>
      <c r="AQ249" s="29">
        <f t="shared" si="347"/>
        <v>2.7446428571428565</v>
      </c>
      <c r="AR249" s="29">
        <f t="shared" si="347"/>
        <v>2.7044014084507046</v>
      </c>
      <c r="AS249" s="29">
        <f t="shared" si="347"/>
        <v>2.6652777777777765</v>
      </c>
      <c r="AT249" s="28">
        <f>AS249-0.1</f>
        <v>2.5652777777777764</v>
      </c>
      <c r="AU249" s="28">
        <f>AT249-0.1</f>
        <v>2.4652777777777763</v>
      </c>
      <c r="AV249" s="28">
        <f>AU249-0.1</f>
        <v>2.3652777777777763</v>
      </c>
      <c r="AW249" s="28">
        <f>AV249-0.1</f>
        <v>2.2652777777777762</v>
      </c>
      <c r="AX249" s="106"/>
      <c r="AY249" s="106"/>
      <c r="AZ249" s="106"/>
      <c r="BA249" s="106"/>
      <c r="BB249" s="106"/>
      <c r="BC249" s="106"/>
      <c r="BD249" s="106"/>
      <c r="BE249" s="106"/>
      <c r="BF249" s="2">
        <f t="shared" si="276"/>
        <v>243</v>
      </c>
    </row>
    <row r="250" spans="1:58" ht="11.25" hidden="1" customHeight="1" outlineLevel="2">
      <c r="A250" s="11"/>
      <c r="B250" s="17"/>
      <c r="C250" s="3"/>
      <c r="D250" s="3"/>
      <c r="E250" s="3"/>
      <c r="F250" s="3"/>
      <c r="G250" s="3"/>
      <c r="H250" s="3"/>
      <c r="I250" s="3"/>
      <c r="J250" s="3"/>
      <c r="K250" s="3"/>
      <c r="L250" s="55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5"/>
      <c r="AY250" s="5"/>
      <c r="AZ250" s="5"/>
      <c r="BA250" s="5"/>
      <c r="BB250" s="5"/>
      <c r="BC250" s="5"/>
      <c r="BD250" s="5"/>
      <c r="BE250" s="5"/>
      <c r="BF250" s="2">
        <f t="shared" si="276"/>
        <v>244</v>
      </c>
    </row>
    <row r="251" spans="1:58" ht="11.25" customHeight="1" outlineLevel="1" collapsed="1">
      <c r="A251" s="11" t="s">
        <v>5</v>
      </c>
      <c r="B251" s="35" t="s">
        <v>787</v>
      </c>
      <c r="C251" s="3"/>
      <c r="D251" s="3"/>
      <c r="E251" s="3"/>
      <c r="F251" s="3"/>
      <c r="G251" s="3"/>
      <c r="H251" s="3"/>
      <c r="I251" s="3"/>
      <c r="J251" s="3"/>
      <c r="K251" s="3"/>
      <c r="L251" s="55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5"/>
      <c r="AY251" s="5"/>
      <c r="AZ251" s="5"/>
      <c r="BA251" s="5"/>
      <c r="BB251" s="5"/>
      <c r="BC251" s="5"/>
      <c r="BD251" s="5"/>
      <c r="BE251" s="5"/>
      <c r="BF251" s="2">
        <f t="shared" si="276"/>
        <v>245</v>
      </c>
    </row>
    <row r="252" spans="1:58" ht="11.25" hidden="1" customHeight="1" outlineLevel="2">
      <c r="A252" s="11"/>
      <c r="B252" s="17" t="s">
        <v>82</v>
      </c>
      <c r="C252" s="37">
        <f t="shared" ref="C252:K252" si="348">IF(ISERROR(C199-C211),"NM",C199-C211)</f>
        <v>688.29199999999992</v>
      </c>
      <c r="D252" s="37">
        <f t="shared" si="348"/>
        <v>837.02900000000011</v>
      </c>
      <c r="E252" s="37">
        <f t="shared" si="348"/>
        <v>1016.7640000000001</v>
      </c>
      <c r="F252" s="37">
        <f t="shared" si="348"/>
        <v>846.54899999999998</v>
      </c>
      <c r="G252" s="37">
        <f t="shared" si="348"/>
        <v>437.01700000000005</v>
      </c>
      <c r="H252" s="37">
        <f t="shared" si="348"/>
        <v>385.62200000000007</v>
      </c>
      <c r="I252" s="37">
        <f t="shared" si="348"/>
        <v>475.57767000712056</v>
      </c>
      <c r="J252" s="37">
        <f t="shared" si="348"/>
        <v>702.11589245336972</v>
      </c>
      <c r="K252" s="37">
        <f t="shared" si="348"/>
        <v>899.93092514656394</v>
      </c>
      <c r="L252" s="100"/>
      <c r="M252" s="51"/>
      <c r="N252" s="99">
        <f>N199-N211</f>
        <v>831.75599999999986</v>
      </c>
      <c r="O252" s="99">
        <f>O199-O211</f>
        <v>867.45299999999997</v>
      </c>
      <c r="P252" s="99">
        <f>P199-P211</f>
        <v>744.61399999999981</v>
      </c>
      <c r="Q252" s="99">
        <f>Q199-Q211</f>
        <v>688.29199999999992</v>
      </c>
      <c r="R252" s="99">
        <f t="shared" ref="R252:AW252" si="349">R199-R211</f>
        <v>843.46199999999988</v>
      </c>
      <c r="S252" s="99">
        <f t="shared" si="349"/>
        <v>854.15100000000007</v>
      </c>
      <c r="T252" s="99">
        <f t="shared" si="349"/>
        <v>898.05200000000002</v>
      </c>
      <c r="U252" s="99">
        <f t="shared" si="349"/>
        <v>837.02900000000011</v>
      </c>
      <c r="V252" s="99">
        <f t="shared" si="349"/>
        <v>1000.8720000000002</v>
      </c>
      <c r="W252" s="99">
        <f t="shared" si="349"/>
        <v>1090.9030000000002</v>
      </c>
      <c r="X252" s="99">
        <f t="shared" si="349"/>
        <v>1149.125</v>
      </c>
      <c r="Y252" s="99">
        <f t="shared" si="349"/>
        <v>1016.7640000000001</v>
      </c>
      <c r="Z252" s="99">
        <f t="shared" si="349"/>
        <v>1030.691</v>
      </c>
      <c r="AA252" s="99">
        <f t="shared" si="349"/>
        <v>998.98099999999999</v>
      </c>
      <c r="AB252" s="99">
        <f t="shared" si="349"/>
        <v>943.92999999999984</v>
      </c>
      <c r="AC252" s="99">
        <f t="shared" si="349"/>
        <v>846.54899999999998</v>
      </c>
      <c r="AD252" s="99">
        <f t="shared" si="349"/>
        <v>765.29</v>
      </c>
      <c r="AE252" s="99">
        <f t="shared" si="349"/>
        <v>733.12699999999995</v>
      </c>
      <c r="AF252" s="99">
        <f t="shared" si="349"/>
        <v>447.49999999999983</v>
      </c>
      <c r="AG252" s="99">
        <f t="shared" si="349"/>
        <v>437.01700000000005</v>
      </c>
      <c r="AH252" s="99">
        <f t="shared" si="349"/>
        <v>444.07499999999993</v>
      </c>
      <c r="AI252" s="99">
        <f t="shared" si="349"/>
        <v>407.44200000000001</v>
      </c>
      <c r="AJ252" s="99">
        <f t="shared" si="349"/>
        <v>396.68400000000003</v>
      </c>
      <c r="AK252" s="99">
        <f>AK199-AK211</f>
        <v>385.62200000000007</v>
      </c>
      <c r="AL252" s="99">
        <f t="shared" si="349"/>
        <v>380.398887172</v>
      </c>
      <c r="AM252" s="99">
        <f t="shared" si="349"/>
        <v>390.89133368464155</v>
      </c>
      <c r="AN252" s="99">
        <f t="shared" si="349"/>
        <v>428.52852912309686</v>
      </c>
      <c r="AO252" s="99">
        <f t="shared" si="349"/>
        <v>475.57767000712056</v>
      </c>
      <c r="AP252" s="99">
        <f t="shared" si="349"/>
        <v>525.62680282767406</v>
      </c>
      <c r="AQ252" s="99">
        <f t="shared" si="349"/>
        <v>579.98329130332877</v>
      </c>
      <c r="AR252" s="99">
        <f t="shared" si="349"/>
        <v>638.7708044354772</v>
      </c>
      <c r="AS252" s="99">
        <f t="shared" si="349"/>
        <v>702.11589245336972</v>
      </c>
      <c r="AT252" s="99">
        <f t="shared" si="349"/>
        <v>750.16432634556872</v>
      </c>
      <c r="AU252" s="99">
        <f t="shared" si="349"/>
        <v>799.12654290176829</v>
      </c>
      <c r="AV252" s="99">
        <f t="shared" si="349"/>
        <v>849.03729697113283</v>
      </c>
      <c r="AW252" s="99">
        <f t="shared" si="349"/>
        <v>899.93092514656394</v>
      </c>
      <c r="AX252" s="98"/>
      <c r="AY252" s="98"/>
      <c r="AZ252" s="98"/>
      <c r="BA252" s="98"/>
      <c r="BB252" s="98"/>
      <c r="BC252" s="98"/>
      <c r="BD252" s="98"/>
      <c r="BE252" s="98"/>
      <c r="BF252" s="2">
        <f t="shared" si="276"/>
        <v>246</v>
      </c>
    </row>
    <row r="253" spans="1:58" ht="11.25" hidden="1" customHeight="1" outlineLevel="2">
      <c r="A253" s="11"/>
      <c r="B253" s="17" t="s">
        <v>81</v>
      </c>
      <c r="C253" s="105">
        <f t="shared" ref="C253:K253" si="350">IF(ISERROR(C199/C211),"NM",C199/C211)</f>
        <v>1.8914948870885222</v>
      </c>
      <c r="D253" s="105">
        <f t="shared" si="350"/>
        <v>2.3090850797622773</v>
      </c>
      <c r="E253" s="105">
        <f t="shared" si="350"/>
        <v>2.4279450654240522</v>
      </c>
      <c r="F253" s="105">
        <f t="shared" si="350"/>
        <v>2.8871919139677558</v>
      </c>
      <c r="G253" s="105">
        <f t="shared" si="350"/>
        <v>2.2684292406554944</v>
      </c>
      <c r="H253" s="105">
        <f t="shared" si="350"/>
        <v>2.0277854034014133</v>
      </c>
      <c r="I253" s="105">
        <f t="shared" si="350"/>
        <v>2.1933221221252843</v>
      </c>
      <c r="J253" s="105">
        <f t="shared" si="350"/>
        <v>2.6967403269246275</v>
      </c>
      <c r="K253" s="105">
        <f t="shared" si="350"/>
        <v>3.1622011952138553</v>
      </c>
      <c r="L253" s="104"/>
      <c r="M253" s="3"/>
      <c r="N253" s="103">
        <f>N199/N211</f>
        <v>2.2036850514031672</v>
      </c>
      <c r="O253" s="103">
        <f>O199/O211</f>
        <v>2.2146887987722228</v>
      </c>
      <c r="P253" s="103">
        <f>P199/P211</f>
        <v>1.9327308985414293</v>
      </c>
      <c r="Q253" s="103">
        <f>Q199/Q211</f>
        <v>1.8914948870885222</v>
      </c>
      <c r="R253" s="103">
        <f t="shared" ref="R253:AW253" si="351">R199/R211</f>
        <v>2.3396153296380411</v>
      </c>
      <c r="S253" s="103">
        <f t="shared" si="351"/>
        <v>2.4193553211429939</v>
      </c>
      <c r="T253" s="103">
        <f t="shared" si="351"/>
        <v>2.4202919179314915</v>
      </c>
      <c r="U253" s="103">
        <f t="shared" si="351"/>
        <v>2.3090850797622773</v>
      </c>
      <c r="V253" s="103">
        <f t="shared" si="351"/>
        <v>2.5395188580569745</v>
      </c>
      <c r="W253" s="103">
        <f t="shared" si="351"/>
        <v>2.7355535333029999</v>
      </c>
      <c r="X253" s="103">
        <f t="shared" si="351"/>
        <v>2.620019229467891</v>
      </c>
      <c r="Y253" s="103">
        <f t="shared" si="351"/>
        <v>2.4279450654240522</v>
      </c>
      <c r="Z253" s="103">
        <f t="shared" si="351"/>
        <v>2.7231687723715474</v>
      </c>
      <c r="AA253" s="103">
        <f t="shared" si="351"/>
        <v>3.0605406185864714</v>
      </c>
      <c r="AB253" s="103">
        <f t="shared" si="351"/>
        <v>3.0547152027549154</v>
      </c>
      <c r="AC253" s="103">
        <f t="shared" si="351"/>
        <v>2.8871919139677558</v>
      </c>
      <c r="AD253" s="103">
        <f t="shared" si="351"/>
        <v>2.8165094933028247</v>
      </c>
      <c r="AE253" s="103">
        <f t="shared" si="351"/>
        <v>3.2877047031803883</v>
      </c>
      <c r="AF253" s="103">
        <f t="shared" si="351"/>
        <v>2.2684743725658043</v>
      </c>
      <c r="AG253" s="103">
        <f t="shared" si="351"/>
        <v>2.2684292406554944</v>
      </c>
      <c r="AH253" s="103">
        <f t="shared" si="351"/>
        <v>2.204147098061759</v>
      </c>
      <c r="AI253" s="103">
        <f t="shared" si="351"/>
        <v>2.0706042483419695</v>
      </c>
      <c r="AJ253" s="103">
        <f t="shared" si="351"/>
        <v>1.989276380104942</v>
      </c>
      <c r="AK253" s="103">
        <f>AK199/AK211</f>
        <v>2.0277854034014133</v>
      </c>
      <c r="AL253" s="103">
        <f t="shared" si="351"/>
        <v>2.031094234665046</v>
      </c>
      <c r="AM253" s="103">
        <f t="shared" si="351"/>
        <v>2.0350978896936405</v>
      </c>
      <c r="AN253" s="103">
        <f t="shared" si="351"/>
        <v>2.0991604795364003</v>
      </c>
      <c r="AO253" s="103">
        <f t="shared" si="351"/>
        <v>2.1933221221252843</v>
      </c>
      <c r="AP253" s="103">
        <f t="shared" si="351"/>
        <v>2.3018706548985577</v>
      </c>
      <c r="AQ253" s="103">
        <f t="shared" si="351"/>
        <v>2.4249607489838936</v>
      </c>
      <c r="AR253" s="103">
        <f t="shared" si="351"/>
        <v>2.5565801558795096</v>
      </c>
      <c r="AS253" s="103">
        <f t="shared" si="351"/>
        <v>2.6967403269246275</v>
      </c>
      <c r="AT253" s="103">
        <f t="shared" si="351"/>
        <v>2.8100181226808054</v>
      </c>
      <c r="AU253" s="103">
        <f t="shared" si="351"/>
        <v>2.925518926842944</v>
      </c>
      <c r="AV253" s="103">
        <f t="shared" si="351"/>
        <v>3.0428950721407375</v>
      </c>
      <c r="AW253" s="103">
        <f t="shared" si="351"/>
        <v>3.1622011952138553</v>
      </c>
      <c r="AX253" s="102"/>
      <c r="AY253" s="102"/>
      <c r="AZ253" s="102"/>
      <c r="BA253" s="102"/>
      <c r="BB253" s="102"/>
      <c r="BC253" s="102"/>
      <c r="BD253" s="102"/>
      <c r="BE253" s="102"/>
      <c r="BF253" s="2">
        <f t="shared" si="276"/>
        <v>247</v>
      </c>
    </row>
    <row r="254" spans="1:58" ht="11.25" hidden="1" customHeight="1" outlineLevel="2">
      <c r="A254" s="11"/>
      <c r="B254" s="17" t="s">
        <v>80</v>
      </c>
      <c r="C254" s="105">
        <f>IF(ISERROR((C15)/AVERAGE(C195:C195)),"NM",(C15)/AVERAGE(C195:C195))</f>
        <v>4.4470287709132821</v>
      </c>
      <c r="D254" s="105">
        <f t="shared" ref="D254:K254" si="352">IF(ISERROR((D15)/AVERAGE(C195:D195)),"NM",(D15)/AVERAGE(C195:D195))</f>
        <v>4.6953710854082118</v>
      </c>
      <c r="E254" s="105">
        <f t="shared" si="352"/>
        <v>4.8891764482449478</v>
      </c>
      <c r="F254" s="105">
        <f t="shared" si="352"/>
        <v>4.0606530596584323</v>
      </c>
      <c r="G254" s="105">
        <f t="shared" si="352"/>
        <v>3.9963923393020044</v>
      </c>
      <c r="H254" s="105">
        <f t="shared" si="352"/>
        <v>5.3913178562181754</v>
      </c>
      <c r="I254" s="105">
        <f t="shared" si="352"/>
        <v>5.073583316225152</v>
      </c>
      <c r="J254" s="105">
        <f t="shared" si="352"/>
        <v>5.3134083697126799</v>
      </c>
      <c r="K254" s="105">
        <f t="shared" si="352"/>
        <v>5.2294875516485426</v>
      </c>
      <c r="L254" s="104"/>
      <c r="M254" s="3"/>
      <c r="N254" s="103">
        <f>(4*N15)/AVERAGE(N195:N195)</f>
        <v>3.7330154394127337</v>
      </c>
      <c r="O254" s="103">
        <f t="shared" ref="O254:AK254" si="353">(4*O15)/AVERAGE(N195:O195)</f>
        <v>4.7341651535091378</v>
      </c>
      <c r="P254" s="103">
        <f t="shared" si="353"/>
        <v>4.2999639137867565</v>
      </c>
      <c r="Q254" s="103">
        <f t="shared" si="353"/>
        <v>4.37008491690976</v>
      </c>
      <c r="R254" s="103">
        <f t="shared" si="353"/>
        <v>4.4141441824935415</v>
      </c>
      <c r="S254" s="103">
        <f t="shared" si="353"/>
        <v>4.499373666039606</v>
      </c>
      <c r="T254" s="103">
        <f t="shared" si="353"/>
        <v>4.6124943428680369</v>
      </c>
      <c r="U254" s="103">
        <f t="shared" si="353"/>
        <v>4.5867704367176003</v>
      </c>
      <c r="V254" s="103">
        <f t="shared" si="353"/>
        <v>4.6062741736870949</v>
      </c>
      <c r="W254" s="103">
        <f t="shared" si="353"/>
        <v>4.8361126029945369</v>
      </c>
      <c r="X254" s="103">
        <f t="shared" si="353"/>
        <v>5.1071830625964969</v>
      </c>
      <c r="Y254" s="103">
        <f t="shared" si="353"/>
        <v>4.9764887626661789</v>
      </c>
      <c r="Z254" s="103">
        <f t="shared" si="353"/>
        <v>4.3224667091576769</v>
      </c>
      <c r="AA254" s="103">
        <f t="shared" si="353"/>
        <v>4.2391398670318647</v>
      </c>
      <c r="AB254" s="103">
        <f t="shared" si="353"/>
        <v>4.5415112292519364</v>
      </c>
      <c r="AC254" s="103">
        <f t="shared" si="353"/>
        <v>4.5543634900944223</v>
      </c>
      <c r="AD254" s="103">
        <f t="shared" si="353"/>
        <v>4.2083641049409444</v>
      </c>
      <c r="AE254" s="103">
        <f t="shared" si="353"/>
        <v>4.2967831805175738</v>
      </c>
      <c r="AF254" s="103">
        <f t="shared" si="353"/>
        <v>4.5167330959991832</v>
      </c>
      <c r="AG254" s="103">
        <f t="shared" si="353"/>
        <v>4.9875265397449722</v>
      </c>
      <c r="AH254" s="103">
        <f t="shared" si="353"/>
        <v>5.1161493873358284</v>
      </c>
      <c r="AI254" s="103">
        <f t="shared" si="353"/>
        <v>5.1756493399249086</v>
      </c>
      <c r="AJ254" s="103">
        <f t="shared" si="353"/>
        <v>4.9273141104443816</v>
      </c>
      <c r="AK254" s="103">
        <f t="shared" si="353"/>
        <v>4.8325101600326681</v>
      </c>
      <c r="AL254" s="102">
        <f t="shared" ref="AL254:AW254" si="354">365/AL255</f>
        <v>4.9639531970669291</v>
      </c>
      <c r="AM254" s="102">
        <f t="shared" si="354"/>
        <v>5.1027465958521487</v>
      </c>
      <c r="AN254" s="102">
        <f t="shared" si="354"/>
        <v>5.2142857142857144</v>
      </c>
      <c r="AO254" s="102">
        <f t="shared" si="354"/>
        <v>5.2142857142857144</v>
      </c>
      <c r="AP254" s="102">
        <f t="shared" si="354"/>
        <v>5.2142857142857144</v>
      </c>
      <c r="AQ254" s="102">
        <f t="shared" si="354"/>
        <v>5.2142857142857144</v>
      </c>
      <c r="AR254" s="102">
        <f t="shared" si="354"/>
        <v>5.2142857142857144</v>
      </c>
      <c r="AS254" s="102">
        <f t="shared" si="354"/>
        <v>5.2142857142857144</v>
      </c>
      <c r="AT254" s="102">
        <f t="shared" si="354"/>
        <v>5.2142857142857144</v>
      </c>
      <c r="AU254" s="102">
        <f t="shared" si="354"/>
        <v>5.2142857142857144</v>
      </c>
      <c r="AV254" s="102">
        <f t="shared" si="354"/>
        <v>5.2142857142857144</v>
      </c>
      <c r="AW254" s="102">
        <f t="shared" si="354"/>
        <v>5.2142857142857144</v>
      </c>
      <c r="AX254" s="102"/>
      <c r="AY254" s="102"/>
      <c r="AZ254" s="102"/>
      <c r="BA254" s="102"/>
      <c r="BB254" s="102"/>
      <c r="BC254" s="102"/>
      <c r="BD254" s="102"/>
      <c r="BE254" s="102"/>
      <c r="BF254" s="2">
        <f t="shared" si="276"/>
        <v>248</v>
      </c>
    </row>
    <row r="255" spans="1:58" ht="11.25" hidden="1" customHeight="1" outlineLevel="2">
      <c r="A255" s="11"/>
      <c r="B255" s="17" t="s">
        <v>79</v>
      </c>
      <c r="C255" s="37">
        <f t="shared" ref="C255:K255" si="355">IF(ISERROR(365/C254),"NM",365/C254)</f>
        <v>82.077274243728425</v>
      </c>
      <c r="D255" s="37">
        <f t="shared" si="355"/>
        <v>77.736134878520943</v>
      </c>
      <c r="E255" s="37">
        <f t="shared" si="355"/>
        <v>74.654699797349892</v>
      </c>
      <c r="F255" s="37">
        <f t="shared" si="355"/>
        <v>89.887019313760945</v>
      </c>
      <c r="G255" s="37">
        <f t="shared" si="355"/>
        <v>91.332374054082379</v>
      </c>
      <c r="H255" s="37">
        <f t="shared" si="355"/>
        <v>67.701443271244074</v>
      </c>
      <c r="I255" s="37">
        <f t="shared" si="355"/>
        <v>71.941264634945881</v>
      </c>
      <c r="J255" s="37">
        <f t="shared" si="355"/>
        <v>68.694136532129036</v>
      </c>
      <c r="K255" s="37">
        <f t="shared" si="355"/>
        <v>69.796513787462303</v>
      </c>
      <c r="L255" s="100"/>
      <c r="M255" s="51"/>
      <c r="N255" s="99">
        <f>365/N254</f>
        <v>97.776182800203117</v>
      </c>
      <c r="O255" s="99">
        <f>365/O254</f>
        <v>77.099126913527414</v>
      </c>
      <c r="P255" s="99">
        <f>365/P254</f>
        <v>84.884433292502521</v>
      </c>
      <c r="Q255" s="99">
        <f>365/Q254</f>
        <v>83.522404470369949</v>
      </c>
      <c r="R255" s="99">
        <f>365/R254</f>
        <v>82.688735326677119</v>
      </c>
      <c r="S255" s="99">
        <f t="shared" ref="S255:AJ255" si="356">365/S254</f>
        <v>81.122402158982425</v>
      </c>
      <c r="T255" s="99">
        <f t="shared" si="356"/>
        <v>79.132888382697502</v>
      </c>
      <c r="U255" s="99">
        <f t="shared" si="356"/>
        <v>79.576688006475095</v>
      </c>
      <c r="V255" s="99">
        <f t="shared" si="356"/>
        <v>79.23974697056201</v>
      </c>
      <c r="W255" s="99">
        <f t="shared" si="356"/>
        <v>75.47384231169282</v>
      </c>
      <c r="X255" s="99">
        <f t="shared" si="356"/>
        <v>71.467968844342465</v>
      </c>
      <c r="Y255" s="99">
        <f t="shared" si="356"/>
        <v>73.344885803469481</v>
      </c>
      <c r="Z255" s="99">
        <f t="shared" si="356"/>
        <v>84.44252427131542</v>
      </c>
      <c r="AA255" s="99">
        <f t="shared" si="356"/>
        <v>86.102372521047172</v>
      </c>
      <c r="AB255" s="99">
        <f t="shared" si="356"/>
        <v>80.369723110895322</v>
      </c>
      <c r="AC255" s="99">
        <f t="shared" si="356"/>
        <v>80.142922450933469</v>
      </c>
      <c r="AD255" s="99">
        <f t="shared" si="356"/>
        <v>86.732039077004245</v>
      </c>
      <c r="AE255" s="99">
        <f t="shared" si="356"/>
        <v>84.947269774974657</v>
      </c>
      <c r="AF255" s="99">
        <f t="shared" si="356"/>
        <v>80.810619587707876</v>
      </c>
      <c r="AG255" s="99">
        <f t="shared" si="356"/>
        <v>73.182567970588394</v>
      </c>
      <c r="AH255" s="99">
        <f t="shared" si="356"/>
        <v>71.342717416245975</v>
      </c>
      <c r="AI255" s="99">
        <f t="shared" si="356"/>
        <v>70.522552056298238</v>
      </c>
      <c r="AJ255" s="99">
        <f t="shared" si="356"/>
        <v>74.076868618201729</v>
      </c>
      <c r="AK255" s="99">
        <f>365/AK254</f>
        <v>75.53010504121373</v>
      </c>
      <c r="AL255" s="332">
        <f>MAX(AK255-2,70)</f>
        <v>73.53010504121373</v>
      </c>
      <c r="AM255" s="332">
        <f>MAX(AL255-2,70)</f>
        <v>71.53010504121373</v>
      </c>
      <c r="AN255" s="332">
        <f>MAX(AM255-2,70)</f>
        <v>70</v>
      </c>
      <c r="AO255" s="332">
        <f>MAX(AN255-2,70)</f>
        <v>70</v>
      </c>
      <c r="AP255" s="332">
        <f t="shared" ref="AP255:AW255" si="357">AO255</f>
        <v>70</v>
      </c>
      <c r="AQ255" s="332">
        <f t="shared" si="357"/>
        <v>70</v>
      </c>
      <c r="AR255" s="332">
        <f t="shared" si="357"/>
        <v>70</v>
      </c>
      <c r="AS255" s="332">
        <f t="shared" si="357"/>
        <v>70</v>
      </c>
      <c r="AT255" s="332">
        <f t="shared" si="357"/>
        <v>70</v>
      </c>
      <c r="AU255" s="332">
        <f t="shared" si="357"/>
        <v>70</v>
      </c>
      <c r="AV255" s="332">
        <f t="shared" si="357"/>
        <v>70</v>
      </c>
      <c r="AW255" s="332">
        <f t="shared" si="357"/>
        <v>70</v>
      </c>
      <c r="AX255" s="101"/>
      <c r="AY255" s="101"/>
      <c r="AZ255" s="101"/>
      <c r="BA255" s="101"/>
      <c r="BB255" s="101"/>
      <c r="BC255" s="101"/>
      <c r="BD255" s="101"/>
      <c r="BE255" s="101"/>
      <c r="BF255" s="2">
        <f t="shared" si="276"/>
        <v>249</v>
      </c>
    </row>
    <row r="256" spans="1:58" ht="11.25" hidden="1" customHeight="1" outlineLevel="2">
      <c r="A256" s="11"/>
      <c r="B256" s="17" t="s">
        <v>78</v>
      </c>
      <c r="C256" s="105">
        <f>IF(ISERROR((C149)/AVERAGE(C196:C196)),"NM",(C149)/AVERAGE(C196:C196))</f>
        <v>12.530741275683736</v>
      </c>
      <c r="D256" s="105">
        <f t="shared" ref="D256:K256" si="358">IF(ISERROR((D149)/AVERAGE(C196:D196)),"NM",(D149)/AVERAGE(C196:D196))</f>
        <v>12.235330674158018</v>
      </c>
      <c r="E256" s="105">
        <f t="shared" si="358"/>
        <v>12.322453466943612</v>
      </c>
      <c r="F256" s="105">
        <f t="shared" si="358"/>
        <v>10.380249421525804</v>
      </c>
      <c r="G256" s="105">
        <f t="shared" si="358"/>
        <v>7.2144243055226918</v>
      </c>
      <c r="H256" s="105">
        <f t="shared" si="358"/>
        <v>10.564002054349634</v>
      </c>
      <c r="I256" s="105">
        <f t="shared" si="358"/>
        <v>11.263769516489852</v>
      </c>
      <c r="J256" s="105">
        <f t="shared" si="358"/>
        <v>12.373861567460276</v>
      </c>
      <c r="K256" s="105">
        <f t="shared" si="358"/>
        <v>12.190669796938929</v>
      </c>
      <c r="L256" s="104"/>
      <c r="M256" s="3"/>
      <c r="N256" s="103">
        <f>(4*N149)/AVERAGE(N196:N196)</f>
        <v>17.291711711711717</v>
      </c>
      <c r="O256" s="103">
        <f t="shared" ref="O256:AK256" si="359">(4*O149)/AVERAGE(N196:O196)</f>
        <v>13.548653771060126</v>
      </c>
      <c r="P256" s="103">
        <f t="shared" si="359"/>
        <v>12.139284987740504</v>
      </c>
      <c r="Q256" s="103">
        <f t="shared" si="359"/>
        <v>14.057133883954236</v>
      </c>
      <c r="R256" s="103">
        <f t="shared" si="359"/>
        <v>12.419898848971048</v>
      </c>
      <c r="S256" s="103">
        <f t="shared" si="359"/>
        <v>11.731002710248664</v>
      </c>
      <c r="T256" s="103">
        <f t="shared" si="359"/>
        <v>11.651976720153138</v>
      </c>
      <c r="U256" s="103">
        <f t="shared" si="359"/>
        <v>10.704945139796527</v>
      </c>
      <c r="V256" s="103">
        <f t="shared" si="359"/>
        <v>11.320546564858974</v>
      </c>
      <c r="W256" s="103">
        <f t="shared" si="359"/>
        <v>13.672496760815459</v>
      </c>
      <c r="X256" s="103">
        <f t="shared" si="359"/>
        <v>15.857746722587985</v>
      </c>
      <c r="Y256" s="103">
        <f t="shared" si="359"/>
        <v>15.335040238032345</v>
      </c>
      <c r="Z256" s="103">
        <f t="shared" si="359"/>
        <v>11.979107141479425</v>
      </c>
      <c r="AA256" s="103">
        <f t="shared" si="359"/>
        <v>9.3965918323064468</v>
      </c>
      <c r="AB256" s="103">
        <f t="shared" si="359"/>
        <v>8.6264067772538038</v>
      </c>
      <c r="AC256" s="103">
        <f t="shared" si="359"/>
        <v>8.2039818927471657</v>
      </c>
      <c r="AD256" s="103">
        <f t="shared" si="359"/>
        <v>6.9604368438345903</v>
      </c>
      <c r="AE256" s="103">
        <f t="shared" si="359"/>
        <v>6.5591802101690497</v>
      </c>
      <c r="AF256" s="103">
        <f t="shared" si="359"/>
        <v>6.7041626925323694</v>
      </c>
      <c r="AG256" s="103">
        <f t="shared" si="359"/>
        <v>8.0592359218891918</v>
      </c>
      <c r="AH256" s="103">
        <f t="shared" si="359"/>
        <v>9.5261073286908804</v>
      </c>
      <c r="AI256" s="103">
        <f t="shared" si="359"/>
        <v>10.018460574605854</v>
      </c>
      <c r="AJ256" s="103">
        <f t="shared" si="359"/>
        <v>10.480335799658507</v>
      </c>
      <c r="AK256" s="103">
        <f t="shared" si="359"/>
        <v>10.417819323742055</v>
      </c>
      <c r="AL256" s="102">
        <f t="shared" ref="AL256:AW256" si="360">365/AL257</f>
        <v>11.048511932561995</v>
      </c>
      <c r="AM256" s="102">
        <f t="shared" si="360"/>
        <v>11.760489514675195</v>
      </c>
      <c r="AN256" s="102">
        <f t="shared" si="360"/>
        <v>12.166666666666666</v>
      </c>
      <c r="AO256" s="102">
        <f t="shared" si="360"/>
        <v>12.166666666666666</v>
      </c>
      <c r="AP256" s="102">
        <f t="shared" si="360"/>
        <v>12.166666666666666</v>
      </c>
      <c r="AQ256" s="102">
        <f t="shared" si="360"/>
        <v>12.166666666666666</v>
      </c>
      <c r="AR256" s="102">
        <f t="shared" si="360"/>
        <v>12.166666666666666</v>
      </c>
      <c r="AS256" s="102">
        <f t="shared" si="360"/>
        <v>12.166666666666666</v>
      </c>
      <c r="AT256" s="102">
        <f t="shared" si="360"/>
        <v>12.166666666666666</v>
      </c>
      <c r="AU256" s="102">
        <f t="shared" si="360"/>
        <v>12.166666666666666</v>
      </c>
      <c r="AV256" s="102">
        <f t="shared" si="360"/>
        <v>12.166666666666666</v>
      </c>
      <c r="AW256" s="102">
        <f t="shared" si="360"/>
        <v>12.166666666666666</v>
      </c>
      <c r="AX256" s="102"/>
      <c r="AY256" s="102"/>
      <c r="AZ256" s="102"/>
      <c r="BA256" s="102"/>
      <c r="BB256" s="102"/>
      <c r="BC256" s="102"/>
      <c r="BD256" s="102"/>
      <c r="BE256" s="102"/>
      <c r="BF256" s="2">
        <f t="shared" si="276"/>
        <v>250</v>
      </c>
    </row>
    <row r="257" spans="1:58" ht="11.25" hidden="1" customHeight="1" outlineLevel="2">
      <c r="A257" s="11"/>
      <c r="B257" s="17" t="s">
        <v>77</v>
      </c>
      <c r="C257" s="37">
        <f t="shared" ref="C257:K257" si="361">IF(ISERROR(365/C256),"NM",365/C256)</f>
        <v>29.128364553204285</v>
      </c>
      <c r="D257" s="37">
        <f t="shared" si="361"/>
        <v>29.831641638497661</v>
      </c>
      <c r="E257" s="37">
        <f t="shared" si="361"/>
        <v>29.620724556124653</v>
      </c>
      <c r="F257" s="37">
        <f t="shared" si="361"/>
        <v>35.162931561460326</v>
      </c>
      <c r="G257" s="37">
        <f t="shared" si="361"/>
        <v>50.593087479009235</v>
      </c>
      <c r="H257" s="37">
        <f t="shared" si="361"/>
        <v>34.551299604273979</v>
      </c>
      <c r="I257" s="37">
        <f t="shared" si="361"/>
        <v>32.404782383521784</v>
      </c>
      <c r="J257" s="37">
        <f t="shared" si="361"/>
        <v>29.497663119154801</v>
      </c>
      <c r="K257" s="37">
        <f t="shared" si="361"/>
        <v>29.940930734720688</v>
      </c>
      <c r="L257" s="100"/>
      <c r="M257" s="51"/>
      <c r="N257" s="99">
        <f t="shared" ref="N257:AJ257" si="362">365/N256</f>
        <v>21.10837874730381</v>
      </c>
      <c r="O257" s="99">
        <f t="shared" si="362"/>
        <v>26.939945928771067</v>
      </c>
      <c r="P257" s="99">
        <f t="shared" si="362"/>
        <v>30.067668760443013</v>
      </c>
      <c r="Q257" s="99">
        <f t="shared" si="362"/>
        <v>25.965463729177092</v>
      </c>
      <c r="R257" s="99">
        <f t="shared" si="362"/>
        <v>29.388323080444344</v>
      </c>
      <c r="S257" s="99">
        <f t="shared" si="362"/>
        <v>31.11413482848501</v>
      </c>
      <c r="T257" s="99">
        <f t="shared" si="362"/>
        <v>31.325156989774943</v>
      </c>
      <c r="U257" s="99">
        <f t="shared" si="362"/>
        <v>34.096391455859219</v>
      </c>
      <c r="V257" s="99">
        <f t="shared" si="362"/>
        <v>32.242259497701824</v>
      </c>
      <c r="W257" s="99">
        <f t="shared" si="362"/>
        <v>26.695928796711637</v>
      </c>
      <c r="X257" s="99">
        <f t="shared" si="362"/>
        <v>23.017141488335739</v>
      </c>
      <c r="Y257" s="99">
        <f t="shared" si="362"/>
        <v>23.801698224095009</v>
      </c>
      <c r="Z257" s="99">
        <f t="shared" si="362"/>
        <v>30.469716623214236</v>
      </c>
      <c r="AA257" s="99">
        <f t="shared" si="362"/>
        <v>38.843870896370376</v>
      </c>
      <c r="AB257" s="99">
        <f t="shared" si="362"/>
        <v>42.311939307387597</v>
      </c>
      <c r="AC257" s="99">
        <f t="shared" si="362"/>
        <v>44.490590639002129</v>
      </c>
      <c r="AD257" s="99">
        <f t="shared" si="362"/>
        <v>52.439237391157334</v>
      </c>
      <c r="AE257" s="99">
        <f t="shared" si="362"/>
        <v>55.647198019368467</v>
      </c>
      <c r="AF257" s="99">
        <f t="shared" si="362"/>
        <v>54.443786157899488</v>
      </c>
      <c r="AG257" s="99">
        <f t="shared" si="362"/>
        <v>45.289653205044672</v>
      </c>
      <c r="AH257" s="99">
        <f t="shared" si="362"/>
        <v>38.315755576329401</v>
      </c>
      <c r="AI257" s="99">
        <f t="shared" si="362"/>
        <v>36.432743062859217</v>
      </c>
      <c r="AJ257" s="99">
        <f t="shared" si="362"/>
        <v>34.827128345629269</v>
      </c>
      <c r="AK257" s="99">
        <f>365/AK256</f>
        <v>35.036123075024967</v>
      </c>
      <c r="AL257" s="332">
        <f>MAX(AK257-2,30)</f>
        <v>33.036123075024967</v>
      </c>
      <c r="AM257" s="332">
        <f>MAX(AL257-2,30)</f>
        <v>31.036123075024967</v>
      </c>
      <c r="AN257" s="332">
        <f>MAX(AM257-2,30)</f>
        <v>30</v>
      </c>
      <c r="AO257" s="332">
        <f>MAX(AN257-2,30)</f>
        <v>30</v>
      </c>
      <c r="AP257" s="332">
        <f t="shared" ref="AP257:AW257" si="363">AO257</f>
        <v>30</v>
      </c>
      <c r="AQ257" s="332">
        <f t="shared" si="363"/>
        <v>30</v>
      </c>
      <c r="AR257" s="332">
        <f t="shared" si="363"/>
        <v>30</v>
      </c>
      <c r="AS257" s="332">
        <f t="shared" si="363"/>
        <v>30</v>
      </c>
      <c r="AT257" s="332">
        <f t="shared" si="363"/>
        <v>30</v>
      </c>
      <c r="AU257" s="332">
        <f t="shared" si="363"/>
        <v>30</v>
      </c>
      <c r="AV257" s="332">
        <f t="shared" si="363"/>
        <v>30</v>
      </c>
      <c r="AW257" s="332">
        <f t="shared" si="363"/>
        <v>30</v>
      </c>
      <c r="AX257" s="101"/>
      <c r="AY257" s="101"/>
      <c r="AZ257" s="101"/>
      <c r="BA257" s="101"/>
      <c r="BB257" s="101"/>
      <c r="BC257" s="101"/>
      <c r="BD257" s="101"/>
      <c r="BE257" s="101"/>
      <c r="BF257" s="2">
        <f t="shared" si="276"/>
        <v>251</v>
      </c>
    </row>
    <row r="258" spans="1:58" ht="11.25" hidden="1" customHeight="1" outlineLevel="2">
      <c r="A258" s="11"/>
      <c r="B258" s="17" t="s">
        <v>76</v>
      </c>
      <c r="C258" s="105">
        <f>IF(ISERROR((C149)/AVERAGE(C208:C208)),"NM",(C149)/AVERAGE(C208:C208))</f>
        <v>10.657160518776527</v>
      </c>
      <c r="D258" s="105">
        <f t="shared" ref="D258:K258" si="364">IF(ISERROR((D149)/AVERAGE(C208:D208)),"NM",(D149)/AVERAGE(C208:D208))</f>
        <v>12.357764436625734</v>
      </c>
      <c r="E258" s="105">
        <f t="shared" si="364"/>
        <v>12.393456218065635</v>
      </c>
      <c r="F258" s="105">
        <f t="shared" si="364"/>
        <v>10.707438026258091</v>
      </c>
      <c r="G258" s="105">
        <f t="shared" si="364"/>
        <v>10.196898321118363</v>
      </c>
      <c r="H258" s="105">
        <f t="shared" si="364"/>
        <v>13.038588281355603</v>
      </c>
      <c r="I258" s="105">
        <f t="shared" si="364"/>
        <v>11.877437924523081</v>
      </c>
      <c r="J258" s="105">
        <f t="shared" si="364"/>
        <v>12.373861567460276</v>
      </c>
      <c r="K258" s="105">
        <f t="shared" si="364"/>
        <v>12.190669796938929</v>
      </c>
      <c r="L258" s="104"/>
      <c r="M258" s="3"/>
      <c r="N258" s="103">
        <f>(4*N149)/AVERAGE(N208:N208)</f>
        <v>7.3589980350496038</v>
      </c>
      <c r="O258" s="103">
        <f>(4*O149)/AVERAGE(N208:O208)</f>
        <v>9.5756812880947493</v>
      </c>
      <c r="P258" s="103">
        <f>(4*P149)/AVERAGE(O208:P208)</f>
        <v>10.305732553552373</v>
      </c>
      <c r="Q258" s="103">
        <f>(4*Q149)/AVERAGE(P208:Q208)</f>
        <v>10.64927519547177</v>
      </c>
      <c r="R258" s="103">
        <f>(4*R149)/AVERAGE(Q208:R208)</f>
        <v>11.60096273279278</v>
      </c>
      <c r="S258" s="103">
        <f t="shared" ref="S258:AK258" si="365">(4*S149)/AVERAGE(R208:S208)</f>
        <v>12.616593978615642</v>
      </c>
      <c r="T258" s="103">
        <f t="shared" si="365"/>
        <v>12.929544075945188</v>
      </c>
      <c r="U258" s="103">
        <f t="shared" si="365"/>
        <v>12.187262946421868</v>
      </c>
      <c r="V258" s="103">
        <f t="shared" si="365"/>
        <v>12.380337150701331</v>
      </c>
      <c r="W258" s="103">
        <f t="shared" si="365"/>
        <v>13.678752008161482</v>
      </c>
      <c r="X258" s="103">
        <f t="shared" si="365"/>
        <v>15.092791266704312</v>
      </c>
      <c r="Y258" s="103">
        <f t="shared" si="365"/>
        <v>13.154479965229287</v>
      </c>
      <c r="Z258" s="103">
        <f t="shared" si="365"/>
        <v>10.636694335658747</v>
      </c>
      <c r="AA258" s="103">
        <f t="shared" si="365"/>
        <v>10.723787036770426</v>
      </c>
      <c r="AB258" s="103">
        <f t="shared" si="365"/>
        <v>14.027217284943248</v>
      </c>
      <c r="AC258" s="103">
        <f t="shared" si="365"/>
        <v>13.531907722267997</v>
      </c>
      <c r="AD258" s="103">
        <f t="shared" si="365"/>
        <v>10.57247833753987</v>
      </c>
      <c r="AE258" s="103">
        <f t="shared" si="365"/>
        <v>12.329773202706598</v>
      </c>
      <c r="AF258" s="103">
        <f t="shared" si="365"/>
        <v>13.657357232180077</v>
      </c>
      <c r="AG258" s="103">
        <f t="shared" si="365"/>
        <v>12.871979690829139</v>
      </c>
      <c r="AH258" s="103">
        <f t="shared" si="365"/>
        <v>13.072123094411628</v>
      </c>
      <c r="AI258" s="103">
        <f t="shared" si="365"/>
        <v>11.947006261275602</v>
      </c>
      <c r="AJ258" s="103">
        <f t="shared" si="365"/>
        <v>11.343790668483994</v>
      </c>
      <c r="AK258" s="103">
        <f t="shared" si="365"/>
        <v>11.593699712293361</v>
      </c>
      <c r="AL258" s="102">
        <f t="shared" ref="AL258:AW258" si="366">365/AL259</f>
        <v>12.166666666666666</v>
      </c>
      <c r="AM258" s="102">
        <f t="shared" si="366"/>
        <v>12.166666666666666</v>
      </c>
      <c r="AN258" s="102">
        <f t="shared" si="366"/>
        <v>12.166666666666666</v>
      </c>
      <c r="AO258" s="102">
        <f t="shared" si="366"/>
        <v>12.166666666666666</v>
      </c>
      <c r="AP258" s="102">
        <f t="shared" si="366"/>
        <v>12.166666666666666</v>
      </c>
      <c r="AQ258" s="102">
        <f t="shared" si="366"/>
        <v>12.166666666666666</v>
      </c>
      <c r="AR258" s="102">
        <f t="shared" si="366"/>
        <v>12.166666666666666</v>
      </c>
      <c r="AS258" s="102">
        <f t="shared" si="366"/>
        <v>12.166666666666666</v>
      </c>
      <c r="AT258" s="102">
        <f t="shared" si="366"/>
        <v>12.166666666666666</v>
      </c>
      <c r="AU258" s="102">
        <f t="shared" si="366"/>
        <v>12.166666666666666</v>
      </c>
      <c r="AV258" s="102">
        <f t="shared" si="366"/>
        <v>12.166666666666666</v>
      </c>
      <c r="AW258" s="102">
        <f t="shared" si="366"/>
        <v>12.166666666666666</v>
      </c>
      <c r="AX258" s="102"/>
      <c r="AY258" s="102"/>
      <c r="AZ258" s="102"/>
      <c r="BA258" s="102"/>
      <c r="BB258" s="102"/>
      <c r="BC258" s="102"/>
      <c r="BD258" s="102"/>
      <c r="BE258" s="102"/>
      <c r="BF258" s="2">
        <f t="shared" si="276"/>
        <v>252</v>
      </c>
    </row>
    <row r="259" spans="1:58" ht="11.25" hidden="1" customHeight="1" outlineLevel="2">
      <c r="A259" s="11"/>
      <c r="B259" s="17" t="s">
        <v>75</v>
      </c>
      <c r="C259" s="37">
        <f t="shared" ref="C259:K259" si="367">IF(ISERROR(365/C258),"NM",365/C258)</f>
        <v>34.249272998836567</v>
      </c>
      <c r="D259" s="37">
        <f t="shared" si="367"/>
        <v>29.536086552857338</v>
      </c>
      <c r="E259" s="37">
        <f t="shared" si="367"/>
        <v>29.451025894451341</v>
      </c>
      <c r="F259" s="37">
        <f t="shared" si="367"/>
        <v>34.088453195330416</v>
      </c>
      <c r="G259" s="37">
        <f t="shared" si="367"/>
        <v>35.79519855013794</v>
      </c>
      <c r="H259" s="37">
        <f t="shared" si="367"/>
        <v>27.993828175549346</v>
      </c>
      <c r="I259" s="37">
        <f t="shared" si="367"/>
        <v>30.730533160387449</v>
      </c>
      <c r="J259" s="37">
        <f t="shared" si="367"/>
        <v>29.497663119154801</v>
      </c>
      <c r="K259" s="37">
        <f t="shared" si="367"/>
        <v>29.940930734720688</v>
      </c>
      <c r="L259" s="100"/>
      <c r="M259" s="51"/>
      <c r="N259" s="99">
        <f>365/N258</f>
        <v>49.59914356024688</v>
      </c>
      <c r="O259" s="99">
        <f>365/O258</f>
        <v>38.117392279314593</v>
      </c>
      <c r="P259" s="99">
        <f>365/P258</f>
        <v>35.417181467045246</v>
      </c>
      <c r="Q259" s="99">
        <f>365/Q258</f>
        <v>34.27463309007203</v>
      </c>
      <c r="R259" s="99">
        <f>365/R258</f>
        <v>31.462906002468557</v>
      </c>
      <c r="S259" s="99">
        <f t="shared" ref="S259:AJ259" si="368">365/S258</f>
        <v>28.9301534644495</v>
      </c>
      <c r="T259" s="99">
        <f t="shared" si="368"/>
        <v>28.229920394414016</v>
      </c>
      <c r="U259" s="99">
        <f t="shared" si="368"/>
        <v>29.9493004790844</v>
      </c>
      <c r="V259" s="99">
        <f t="shared" si="368"/>
        <v>29.482234252346124</v>
      </c>
      <c r="W259" s="99">
        <f t="shared" si="368"/>
        <v>26.68372083814527</v>
      </c>
      <c r="X259" s="99">
        <f t="shared" si="368"/>
        <v>24.18373073277797</v>
      </c>
      <c r="Y259" s="99">
        <f t="shared" si="368"/>
        <v>27.747201026934547</v>
      </c>
      <c r="Z259" s="99">
        <f t="shared" si="368"/>
        <v>34.315172409943564</v>
      </c>
      <c r="AA259" s="99">
        <f t="shared" si="368"/>
        <v>34.036483450152822</v>
      </c>
      <c r="AB259" s="99">
        <f t="shared" si="368"/>
        <v>26.020841666991881</v>
      </c>
      <c r="AC259" s="99">
        <f t="shared" si="368"/>
        <v>26.97328473496453</v>
      </c>
      <c r="AD259" s="99">
        <f t="shared" si="368"/>
        <v>34.523598757728223</v>
      </c>
      <c r="AE259" s="99">
        <f t="shared" si="368"/>
        <v>29.60313981443521</v>
      </c>
      <c r="AF259" s="99">
        <f t="shared" si="368"/>
        <v>26.725521914296174</v>
      </c>
      <c r="AG259" s="99">
        <f t="shared" si="368"/>
        <v>28.356166554554964</v>
      </c>
      <c r="AH259" s="99">
        <f t="shared" si="368"/>
        <v>27.922013690036209</v>
      </c>
      <c r="AI259" s="99">
        <f t="shared" si="368"/>
        <v>30.551586901154629</v>
      </c>
      <c r="AJ259" s="99">
        <f t="shared" si="368"/>
        <v>32.176193185058068</v>
      </c>
      <c r="AK259" s="99">
        <f>365/AK258</f>
        <v>31.482616339715339</v>
      </c>
      <c r="AL259" s="332">
        <f>MAX(AK259-2,30)</f>
        <v>30</v>
      </c>
      <c r="AM259" s="332">
        <f>MAX(AL259-2,30)</f>
        <v>30</v>
      </c>
      <c r="AN259" s="332">
        <f>MAX(AM259-2,30)</f>
        <v>30</v>
      </c>
      <c r="AO259" s="332">
        <f>MAX(AN259-2,30)</f>
        <v>30</v>
      </c>
      <c r="AP259" s="332">
        <f t="shared" ref="AP259:AW259" si="369">AO259</f>
        <v>30</v>
      </c>
      <c r="AQ259" s="332">
        <f t="shared" si="369"/>
        <v>30</v>
      </c>
      <c r="AR259" s="332">
        <f t="shared" si="369"/>
        <v>30</v>
      </c>
      <c r="AS259" s="332">
        <f t="shared" si="369"/>
        <v>30</v>
      </c>
      <c r="AT259" s="332">
        <f t="shared" si="369"/>
        <v>30</v>
      </c>
      <c r="AU259" s="332">
        <f t="shared" si="369"/>
        <v>30</v>
      </c>
      <c r="AV259" s="332">
        <f t="shared" si="369"/>
        <v>30</v>
      </c>
      <c r="AW259" s="332">
        <f t="shared" si="369"/>
        <v>30</v>
      </c>
      <c r="AX259" s="101"/>
      <c r="AY259" s="101"/>
      <c r="AZ259" s="101"/>
      <c r="BA259" s="101"/>
      <c r="BB259" s="101"/>
      <c r="BC259" s="101"/>
      <c r="BD259" s="101"/>
      <c r="BE259" s="101"/>
      <c r="BF259" s="2">
        <f t="shared" si="276"/>
        <v>253</v>
      </c>
    </row>
    <row r="260" spans="1:58" ht="11.25" hidden="1" customHeight="1" outlineLevel="2">
      <c r="A260" s="11"/>
      <c r="B260" s="17" t="s">
        <v>74</v>
      </c>
      <c r="C260" s="37">
        <f t="shared" ref="C260:K260" si="370">IF(ISERROR(C255+C257-C259),"NM",C255+C257-C259)</f>
        <v>76.95636579809613</v>
      </c>
      <c r="D260" s="37">
        <f t="shared" si="370"/>
        <v>78.031689964161259</v>
      </c>
      <c r="E260" s="37">
        <f t="shared" si="370"/>
        <v>74.8243984590232</v>
      </c>
      <c r="F260" s="37">
        <f t="shared" si="370"/>
        <v>90.961497679890854</v>
      </c>
      <c r="G260" s="37">
        <f t="shared" si="370"/>
        <v>106.13026298295367</v>
      </c>
      <c r="H260" s="37">
        <f t="shared" si="370"/>
        <v>74.258914699968699</v>
      </c>
      <c r="I260" s="37">
        <f t="shared" si="370"/>
        <v>73.615513858080206</v>
      </c>
      <c r="J260" s="37">
        <f t="shared" si="370"/>
        <v>68.69413653212905</v>
      </c>
      <c r="K260" s="37">
        <f t="shared" si="370"/>
        <v>69.796513787462288</v>
      </c>
      <c r="L260" s="100"/>
      <c r="M260" s="51"/>
      <c r="N260" s="99">
        <f>N255+N257-N259</f>
        <v>69.285417987260047</v>
      </c>
      <c r="O260" s="99">
        <f>O255+O257-O259</f>
        <v>65.92168056298388</v>
      </c>
      <c r="P260" s="99">
        <f>P255+P257-P259</f>
        <v>79.534920585900295</v>
      </c>
      <c r="Q260" s="99">
        <f>Q255+Q257-Q259</f>
        <v>75.213235109475008</v>
      </c>
      <c r="R260" s="99">
        <f>R255+R257-R259</f>
        <v>80.614152404652899</v>
      </c>
      <c r="S260" s="99">
        <f t="shared" ref="S260:AW260" si="371">S255+S257-S259</f>
        <v>83.306383523017928</v>
      </c>
      <c r="T260" s="99">
        <f t="shared" si="371"/>
        <v>82.228124978058418</v>
      </c>
      <c r="U260" s="99">
        <f t="shared" si="371"/>
        <v>83.723778983249915</v>
      </c>
      <c r="V260" s="99">
        <f t="shared" si="371"/>
        <v>81.999772215917716</v>
      </c>
      <c r="W260" s="99">
        <f t="shared" si="371"/>
        <v>75.486050270259199</v>
      </c>
      <c r="X260" s="99">
        <f t="shared" si="371"/>
        <v>70.30137959990023</v>
      </c>
      <c r="Y260" s="99">
        <f t="shared" si="371"/>
        <v>69.399383000629939</v>
      </c>
      <c r="Z260" s="99">
        <f t="shared" si="371"/>
        <v>80.597068484586089</v>
      </c>
      <c r="AA260" s="99">
        <f t="shared" si="371"/>
        <v>90.909759967264733</v>
      </c>
      <c r="AB260" s="99">
        <f t="shared" si="371"/>
        <v>96.660820751291027</v>
      </c>
      <c r="AC260" s="99">
        <f t="shared" si="371"/>
        <v>97.660228354971082</v>
      </c>
      <c r="AD260" s="99">
        <f t="shared" si="371"/>
        <v>104.64767771043336</v>
      </c>
      <c r="AE260" s="99">
        <f t="shared" si="371"/>
        <v>110.99132797990792</v>
      </c>
      <c r="AF260" s="99">
        <f t="shared" si="371"/>
        <v>108.52888383131119</v>
      </c>
      <c r="AG260" s="99">
        <f t="shared" si="371"/>
        <v>90.116054621078106</v>
      </c>
      <c r="AH260" s="99">
        <f t="shared" si="371"/>
        <v>81.736459302539174</v>
      </c>
      <c r="AI260" s="99">
        <f t="shared" si="371"/>
        <v>76.403708218002834</v>
      </c>
      <c r="AJ260" s="99">
        <f t="shared" si="371"/>
        <v>76.727803778772923</v>
      </c>
      <c r="AK260" s="99">
        <f>AK255+AK257-AK259</f>
        <v>79.083611776523369</v>
      </c>
      <c r="AL260" s="99">
        <f t="shared" si="371"/>
        <v>76.566228116238705</v>
      </c>
      <c r="AM260" s="99">
        <f t="shared" si="371"/>
        <v>72.566228116238705</v>
      </c>
      <c r="AN260" s="99">
        <f t="shared" si="371"/>
        <v>70</v>
      </c>
      <c r="AO260" s="99">
        <f t="shared" si="371"/>
        <v>70</v>
      </c>
      <c r="AP260" s="99">
        <f t="shared" si="371"/>
        <v>70</v>
      </c>
      <c r="AQ260" s="99">
        <f t="shared" si="371"/>
        <v>70</v>
      </c>
      <c r="AR260" s="99">
        <f t="shared" si="371"/>
        <v>70</v>
      </c>
      <c r="AS260" s="99">
        <f t="shared" si="371"/>
        <v>70</v>
      </c>
      <c r="AT260" s="99">
        <f t="shared" si="371"/>
        <v>70</v>
      </c>
      <c r="AU260" s="99">
        <f t="shared" si="371"/>
        <v>70</v>
      </c>
      <c r="AV260" s="99">
        <f t="shared" si="371"/>
        <v>70</v>
      </c>
      <c r="AW260" s="99">
        <f t="shared" si="371"/>
        <v>70</v>
      </c>
      <c r="AX260" s="98"/>
      <c r="AY260" s="98"/>
      <c r="AZ260" s="98"/>
      <c r="BA260" s="98"/>
      <c r="BB260" s="98"/>
      <c r="BC260" s="98"/>
      <c r="BD260" s="98"/>
      <c r="BE260" s="98"/>
      <c r="BF260" s="2">
        <f t="shared" si="276"/>
        <v>254</v>
      </c>
    </row>
    <row r="261" spans="1:58" ht="11.25" hidden="1" customHeight="1" outlineLevel="2">
      <c r="A261" s="11"/>
      <c r="B261" s="17" t="s">
        <v>73</v>
      </c>
      <c r="C261" s="16">
        <f t="shared" ref="C261:K261" si="372">IF(ISERROR(C198/(C15)),"NM",C198/(C15))</f>
        <v>2.0400309277357517E-2</v>
      </c>
      <c r="D261" s="16">
        <f t="shared" si="372"/>
        <v>1.6469188763491408E-2</v>
      </c>
      <c r="E261" s="16">
        <f t="shared" si="372"/>
        <v>4.2011384749492064E-2</v>
      </c>
      <c r="F261" s="16">
        <f t="shared" si="372"/>
        <v>4.9981374913007207E-2</v>
      </c>
      <c r="G261" s="16">
        <f t="shared" si="372"/>
        <v>0.11449559910816684</v>
      </c>
      <c r="H261" s="16">
        <f t="shared" si="372"/>
        <v>3.0271451104437602E-2</v>
      </c>
      <c r="I261" s="16">
        <f t="shared" si="372"/>
        <v>2.5427751532604407E-2</v>
      </c>
      <c r="J261" s="16">
        <f t="shared" si="372"/>
        <v>2.0939333704986525E-2</v>
      </c>
      <c r="K261" s="16">
        <f t="shared" si="372"/>
        <v>1.9913874243469441E-2</v>
      </c>
      <c r="L261" s="15"/>
      <c r="M261" s="3"/>
      <c r="N261" s="96">
        <f t="shared" ref="N261:AK261" si="373">N198/(N15*4)</f>
        <v>5.6323092724006207E-2</v>
      </c>
      <c r="O261" s="96">
        <f t="shared" si="373"/>
        <v>1.7440013383532304E-2</v>
      </c>
      <c r="P261" s="96">
        <f t="shared" si="373"/>
        <v>2.59664820097231E-2</v>
      </c>
      <c r="Q261" s="96">
        <f t="shared" si="373"/>
        <v>1.9773018730368078E-2</v>
      </c>
      <c r="R261" s="96">
        <f t="shared" si="373"/>
        <v>2.0682020539349477E-2</v>
      </c>
      <c r="S261" s="96">
        <f t="shared" si="373"/>
        <v>2.0116830629647163E-2</v>
      </c>
      <c r="T261" s="96">
        <f t="shared" si="373"/>
        <v>2.4925859088098332E-2</v>
      </c>
      <c r="U261" s="96">
        <f t="shared" si="373"/>
        <v>1.6833301271168787E-2</v>
      </c>
      <c r="V261" s="96">
        <f t="shared" si="373"/>
        <v>9.1979549998209925E-2</v>
      </c>
      <c r="W261" s="96">
        <f t="shared" si="373"/>
        <v>9.067836092571728E-2</v>
      </c>
      <c r="X261" s="96">
        <f t="shared" si="373"/>
        <v>7.3991584961779155E-2</v>
      </c>
      <c r="Y261" s="96">
        <f t="shared" si="373"/>
        <v>4.0604483525732517E-2</v>
      </c>
      <c r="Z261" s="96">
        <f t="shared" si="373"/>
        <v>5.8511995290192804E-2</v>
      </c>
      <c r="AA261" s="96">
        <f t="shared" si="373"/>
        <v>6.8125126620745532E-2</v>
      </c>
      <c r="AB261" s="96">
        <f t="shared" si="373"/>
        <v>6.9934785066744706E-2</v>
      </c>
      <c r="AC261" s="96">
        <f t="shared" si="373"/>
        <v>6.5836285303973188E-2</v>
      </c>
      <c r="AD261" s="96">
        <f t="shared" si="373"/>
        <v>7.0197732933462098E-2</v>
      </c>
      <c r="AE261" s="96">
        <f t="shared" si="373"/>
        <v>7.6727406945836171E-2</v>
      </c>
      <c r="AF261" s="96">
        <f t="shared" si="373"/>
        <v>7.6422714384243987E-2</v>
      </c>
      <c r="AG261" s="96">
        <f t="shared" si="373"/>
        <v>0.11711030478135986</v>
      </c>
      <c r="AH261" s="96">
        <f t="shared" si="373"/>
        <v>0.11953029910010574</v>
      </c>
      <c r="AI261" s="96">
        <f t="shared" si="373"/>
        <v>3.8364662133989133E-2</v>
      </c>
      <c r="AJ261" s="96">
        <f t="shared" si="373"/>
        <v>3.2626094551893275E-2</v>
      </c>
      <c r="AK261" s="96">
        <f t="shared" si="373"/>
        <v>2.8534251563748007E-2</v>
      </c>
      <c r="AL261" s="97">
        <f t="shared" ref="AL261:AW261" si="374">AK261</f>
        <v>2.8534251563748007E-2</v>
      </c>
      <c r="AM261" s="97">
        <f t="shared" si="374"/>
        <v>2.8534251563748007E-2</v>
      </c>
      <c r="AN261" s="97">
        <f t="shared" si="374"/>
        <v>2.8534251563748007E-2</v>
      </c>
      <c r="AO261" s="97">
        <f t="shared" si="374"/>
        <v>2.8534251563748007E-2</v>
      </c>
      <c r="AP261" s="97">
        <f t="shared" si="374"/>
        <v>2.8534251563748007E-2</v>
      </c>
      <c r="AQ261" s="97">
        <f t="shared" si="374"/>
        <v>2.8534251563748007E-2</v>
      </c>
      <c r="AR261" s="97">
        <f t="shared" si="374"/>
        <v>2.8534251563748007E-2</v>
      </c>
      <c r="AS261" s="97">
        <f t="shared" si="374"/>
        <v>2.8534251563748007E-2</v>
      </c>
      <c r="AT261" s="97">
        <f t="shared" si="374"/>
        <v>2.8534251563748007E-2</v>
      </c>
      <c r="AU261" s="97">
        <f t="shared" si="374"/>
        <v>2.8534251563748007E-2</v>
      </c>
      <c r="AV261" s="97">
        <f t="shared" si="374"/>
        <v>2.8534251563748007E-2</v>
      </c>
      <c r="AW261" s="97">
        <f t="shared" si="374"/>
        <v>2.8534251563748007E-2</v>
      </c>
      <c r="AX261" s="97"/>
      <c r="AY261" s="97"/>
      <c r="AZ261" s="97"/>
      <c r="BA261" s="97"/>
      <c r="BB261" s="97"/>
      <c r="BC261" s="97"/>
      <c r="BD261" s="97"/>
      <c r="BE261" s="97"/>
      <c r="BF261" s="2">
        <f t="shared" si="276"/>
        <v>255</v>
      </c>
    </row>
    <row r="262" spans="1:58" ht="11.25" hidden="1" customHeight="1" outlineLevel="2">
      <c r="A262" s="11"/>
      <c r="B262" s="17" t="s">
        <v>72</v>
      </c>
      <c r="C262" s="16">
        <f t="shared" ref="C262:K262" si="375">IF(ISERROR(C210/(C15)),"NM",C210/(C15))</f>
        <v>0.10939022799135213</v>
      </c>
      <c r="D262" s="16">
        <f t="shared" si="375"/>
        <v>8.7464525966298792E-2</v>
      </c>
      <c r="E262" s="16">
        <f t="shared" si="375"/>
        <v>0.10222484989977226</v>
      </c>
      <c r="F262" s="16">
        <f t="shared" si="375"/>
        <v>0.11053089674796895</v>
      </c>
      <c r="G262" s="16">
        <f t="shared" si="375"/>
        <v>0.17220338375238869</v>
      </c>
      <c r="H262" s="16">
        <f t="shared" si="375"/>
        <v>0.13632371365942469</v>
      </c>
      <c r="I262" s="16">
        <f t="shared" si="375"/>
        <v>0.11451071529324895</v>
      </c>
      <c r="J262" s="16">
        <f t="shared" si="375"/>
        <v>9.4297684057810749E-2</v>
      </c>
      <c r="K262" s="16">
        <f t="shared" si="375"/>
        <v>8.9679654961058605E-2</v>
      </c>
      <c r="L262" s="15"/>
      <c r="M262" s="3"/>
      <c r="N262" s="96">
        <f t="shared" ref="N262:AK262" si="376">N210/(N15*4)</f>
        <v>9.2575842670481148E-2</v>
      </c>
      <c r="O262" s="96">
        <f t="shared" si="376"/>
        <v>8.3019522745168384E-2</v>
      </c>
      <c r="P262" s="96">
        <f t="shared" si="376"/>
        <v>0.10797641703364939</v>
      </c>
      <c r="Q262" s="96">
        <f t="shared" si="376"/>
        <v>0.10602658016527942</v>
      </c>
      <c r="R262" s="96">
        <f t="shared" si="376"/>
        <v>8.1659590357901823E-2</v>
      </c>
      <c r="S262" s="96">
        <f t="shared" si="376"/>
        <v>7.8815836331920061E-2</v>
      </c>
      <c r="T262" s="96">
        <f t="shared" si="376"/>
        <v>7.6123681764069945E-2</v>
      </c>
      <c r="U262" s="96">
        <f t="shared" si="376"/>
        <v>8.9398253749721865E-2</v>
      </c>
      <c r="V262" s="96">
        <f t="shared" si="376"/>
        <v>0.10012337269577112</v>
      </c>
      <c r="W262" s="96">
        <f t="shared" si="376"/>
        <v>9.7798568374216299E-2</v>
      </c>
      <c r="X262" s="96">
        <f t="shared" si="376"/>
        <v>9.9613655951154068E-2</v>
      </c>
      <c r="Y262" s="96">
        <f t="shared" si="376"/>
        <v>9.8801485797869751E-2</v>
      </c>
      <c r="Z262" s="96">
        <f t="shared" si="376"/>
        <v>9.9209853527176747E-2</v>
      </c>
      <c r="AA262" s="96">
        <f t="shared" si="376"/>
        <v>0.11390767096614442</v>
      </c>
      <c r="AB262" s="96">
        <f t="shared" si="376"/>
        <v>0.13750133023831218</v>
      </c>
      <c r="AC262" s="96">
        <f t="shared" si="376"/>
        <v>0.14559310674964099</v>
      </c>
      <c r="AD262" s="96">
        <f t="shared" si="376"/>
        <v>0.1932531412402301</v>
      </c>
      <c r="AE262" s="96">
        <f t="shared" si="376"/>
        <v>0.17728007612182861</v>
      </c>
      <c r="AF262" s="96">
        <f t="shared" si="376"/>
        <v>0.20778986895547549</v>
      </c>
      <c r="AG262" s="96">
        <f t="shared" si="376"/>
        <v>0.17613594681985675</v>
      </c>
      <c r="AH262" s="96">
        <f t="shared" si="376"/>
        <v>0.16621543089171337</v>
      </c>
      <c r="AI262" s="96">
        <f t="shared" si="376"/>
        <v>0.13147991354442337</v>
      </c>
      <c r="AJ262" s="96">
        <f t="shared" si="376"/>
        <v>0.1356720662254535</v>
      </c>
      <c r="AK262" s="96">
        <f t="shared" si="376"/>
        <v>0.12850045167118337</v>
      </c>
      <c r="AL262" s="96">
        <f t="shared" ref="AL262:AW262" si="377">AK262</f>
        <v>0.12850045167118337</v>
      </c>
      <c r="AM262" s="96">
        <f t="shared" si="377"/>
        <v>0.12850045167118337</v>
      </c>
      <c r="AN262" s="96">
        <f t="shared" si="377"/>
        <v>0.12850045167118337</v>
      </c>
      <c r="AO262" s="96">
        <f t="shared" si="377"/>
        <v>0.12850045167118337</v>
      </c>
      <c r="AP262" s="96">
        <f t="shared" si="377"/>
        <v>0.12850045167118337</v>
      </c>
      <c r="AQ262" s="96">
        <f t="shared" si="377"/>
        <v>0.12850045167118337</v>
      </c>
      <c r="AR262" s="96">
        <f t="shared" si="377"/>
        <v>0.12850045167118337</v>
      </c>
      <c r="AS262" s="96">
        <f t="shared" si="377"/>
        <v>0.12850045167118337</v>
      </c>
      <c r="AT262" s="96">
        <f t="shared" si="377"/>
        <v>0.12850045167118337</v>
      </c>
      <c r="AU262" s="96">
        <f t="shared" si="377"/>
        <v>0.12850045167118337</v>
      </c>
      <c r="AV262" s="96">
        <f t="shared" si="377"/>
        <v>0.12850045167118337</v>
      </c>
      <c r="AW262" s="96">
        <f t="shared" si="377"/>
        <v>0.12850045167118337</v>
      </c>
      <c r="AX262" s="97"/>
      <c r="AY262" s="97"/>
      <c r="AZ262" s="97"/>
      <c r="BA262" s="97"/>
      <c r="BB262" s="97"/>
      <c r="BC262" s="97"/>
      <c r="BD262" s="97"/>
      <c r="BE262" s="97"/>
      <c r="BF262" s="2">
        <f t="shared" si="276"/>
        <v>256</v>
      </c>
    </row>
    <row r="263" spans="1:58" ht="11.25" hidden="1" customHeight="1" outlineLevel="2">
      <c r="A263" s="11"/>
      <c r="B263" s="17" t="s">
        <v>71</v>
      </c>
      <c r="C263" s="96">
        <f t="shared" ref="C263:K263" si="378">C197/C15</f>
        <v>7.4692408256619635E-3</v>
      </c>
      <c r="D263" s="96">
        <f t="shared" si="378"/>
        <v>1.9048862228914197E-3</v>
      </c>
      <c r="E263" s="96">
        <f t="shared" si="378"/>
        <v>7.0530318292805509E-3</v>
      </c>
      <c r="F263" s="96">
        <f t="shared" si="378"/>
        <v>0</v>
      </c>
      <c r="G263" s="96">
        <f t="shared" si="378"/>
        <v>0</v>
      </c>
      <c r="H263" s="96">
        <f t="shared" si="378"/>
        <v>0</v>
      </c>
      <c r="I263" s="96">
        <f t="shared" si="378"/>
        <v>1.3794782909248772E-2</v>
      </c>
      <c r="J263" s="96">
        <f t="shared" si="378"/>
        <v>1.1503803653946225E-2</v>
      </c>
      <c r="K263" s="96">
        <f t="shared" si="378"/>
        <v>1.0940429266462029E-2</v>
      </c>
      <c r="L263" s="15"/>
      <c r="M263" s="3"/>
      <c r="N263" s="96">
        <f t="shared" ref="N263:AK263" si="379">N197/N15</f>
        <v>0</v>
      </c>
      <c r="O263" s="96">
        <f t="shared" si="379"/>
        <v>0</v>
      </c>
      <c r="P263" s="96">
        <f t="shared" si="379"/>
        <v>2.6538042579884968E-2</v>
      </c>
      <c r="Q263" s="96">
        <f t="shared" si="379"/>
        <v>2.895827445348895E-2</v>
      </c>
      <c r="R263" s="96">
        <f t="shared" si="379"/>
        <v>2.4057688429288435E-2</v>
      </c>
      <c r="S263" s="97">
        <f t="shared" si="379"/>
        <v>1.7876836769097182E-2</v>
      </c>
      <c r="T263" s="97">
        <f t="shared" si="379"/>
        <v>1.5500393314908528E-2</v>
      </c>
      <c r="U263" s="97">
        <f t="shared" si="379"/>
        <v>7.788003194987311E-3</v>
      </c>
      <c r="V263" s="97">
        <f t="shared" si="379"/>
        <v>5.9985792590666444E-3</v>
      </c>
      <c r="W263" s="97">
        <f t="shared" si="379"/>
        <v>1.0579187252607553E-2</v>
      </c>
      <c r="X263" s="97">
        <f t="shared" si="379"/>
        <v>2.2351876634580232E-2</v>
      </c>
      <c r="Y263" s="97">
        <f t="shared" si="379"/>
        <v>2.7267343499973701E-2</v>
      </c>
      <c r="Z263" s="97">
        <f t="shared" si="379"/>
        <v>2.7325603580325649E-2</v>
      </c>
      <c r="AA263" s="97">
        <f t="shared" si="379"/>
        <v>3.7123795696020166E-2</v>
      </c>
      <c r="AB263" s="97">
        <f t="shared" si="379"/>
        <v>4.2048833048440634E-2</v>
      </c>
      <c r="AC263" s="97">
        <f t="shared" si="379"/>
        <v>0</v>
      </c>
      <c r="AD263" s="97">
        <f t="shared" si="379"/>
        <v>0</v>
      </c>
      <c r="AE263" s="97">
        <f t="shared" si="379"/>
        <v>0</v>
      </c>
      <c r="AF263" s="97">
        <f t="shared" si="379"/>
        <v>0</v>
      </c>
      <c r="AG263" s="97">
        <f t="shared" si="379"/>
        <v>0</v>
      </c>
      <c r="AH263" s="97">
        <f t="shared" si="379"/>
        <v>0</v>
      </c>
      <c r="AI263" s="97">
        <f t="shared" si="379"/>
        <v>0</v>
      </c>
      <c r="AJ263" s="97">
        <f t="shared" si="379"/>
        <v>0</v>
      </c>
      <c r="AK263" s="97">
        <f t="shared" si="379"/>
        <v>0</v>
      </c>
      <c r="AL263" s="95">
        <f t="shared" ref="AL263:AW263" si="380">AK263</f>
        <v>0</v>
      </c>
      <c r="AM263" s="95">
        <f t="shared" si="380"/>
        <v>0</v>
      </c>
      <c r="AN263" s="95">
        <f t="shared" si="380"/>
        <v>0</v>
      </c>
      <c r="AO263" s="95">
        <f t="shared" si="380"/>
        <v>0</v>
      </c>
      <c r="AP263" s="95">
        <f t="shared" si="380"/>
        <v>0</v>
      </c>
      <c r="AQ263" s="95">
        <f t="shared" si="380"/>
        <v>0</v>
      </c>
      <c r="AR263" s="95">
        <f t="shared" si="380"/>
        <v>0</v>
      </c>
      <c r="AS263" s="95">
        <f t="shared" si="380"/>
        <v>0</v>
      </c>
      <c r="AT263" s="95">
        <f t="shared" si="380"/>
        <v>0</v>
      </c>
      <c r="AU263" s="95">
        <f t="shared" si="380"/>
        <v>0</v>
      </c>
      <c r="AV263" s="95">
        <f t="shared" si="380"/>
        <v>0</v>
      </c>
      <c r="AW263" s="95">
        <f t="shared" si="380"/>
        <v>0</v>
      </c>
      <c r="AX263" s="94"/>
      <c r="AY263" s="94"/>
      <c r="AZ263" s="94"/>
      <c r="BA263" s="94"/>
      <c r="BB263" s="94"/>
      <c r="BC263" s="94"/>
      <c r="BD263" s="94"/>
      <c r="BE263" s="94"/>
      <c r="BF263" s="2">
        <f t="shared" si="276"/>
        <v>257</v>
      </c>
    </row>
    <row r="264" spans="1:58" ht="11.25" hidden="1" customHeight="1" outlineLevel="2">
      <c r="A264" s="11"/>
      <c r="B264" s="17" t="s">
        <v>70</v>
      </c>
      <c r="C264" s="96">
        <f t="shared" ref="C264:K264" si="381">+C214/C202</f>
        <v>0.22890741639581969</v>
      </c>
      <c r="D264" s="96">
        <f t="shared" si="381"/>
        <v>0.24518069118784463</v>
      </c>
      <c r="E264" s="96">
        <f t="shared" si="381"/>
        <v>0.25714608651058096</v>
      </c>
      <c r="F264" s="96">
        <f t="shared" si="381"/>
        <v>0.18041285909467897</v>
      </c>
      <c r="G264" s="96">
        <f t="shared" si="381"/>
        <v>0.15174804483715543</v>
      </c>
      <c r="H264" s="96">
        <f t="shared" si="381"/>
        <v>4.6363398899269825E-2</v>
      </c>
      <c r="I264" s="96">
        <f t="shared" si="381"/>
        <v>4.6363398899269825E-2</v>
      </c>
      <c r="J264" s="96">
        <f t="shared" si="381"/>
        <v>4.6363398899269825E-2</v>
      </c>
      <c r="K264" s="96">
        <f t="shared" si="381"/>
        <v>4.6363398899269825E-2</v>
      </c>
      <c r="L264" s="15"/>
      <c r="M264" s="3"/>
      <c r="N264" s="96">
        <f>+N214/N202</f>
        <v>0.24758396564376373</v>
      </c>
      <c r="O264" s="96">
        <f>+O214/O202</f>
        <v>0.23274587013175416</v>
      </c>
      <c r="P264" s="96">
        <f>+P214/P202</f>
        <v>0.22983599581825531</v>
      </c>
      <c r="Q264" s="96">
        <f>+Q214/Q202</f>
        <v>0.22890741639581966</v>
      </c>
      <c r="R264" s="96">
        <f t="shared" ref="R264:AJ264" si="382">+R214/R202</f>
        <v>0.23598051682884527</v>
      </c>
      <c r="S264" s="96">
        <f t="shared" si="382"/>
        <v>0.23515959750831403</v>
      </c>
      <c r="T264" s="96">
        <f t="shared" si="382"/>
        <v>0.26108638238065085</v>
      </c>
      <c r="U264" s="96">
        <f t="shared" si="382"/>
        <v>0.24518069118784463</v>
      </c>
      <c r="V264" s="96">
        <f t="shared" si="382"/>
        <v>0.26439394893401147</v>
      </c>
      <c r="W264" s="96">
        <f t="shared" si="382"/>
        <v>0.26115587435245391</v>
      </c>
      <c r="X264" s="96">
        <f t="shared" si="382"/>
        <v>0.26983806297205731</v>
      </c>
      <c r="Y264" s="96">
        <f t="shared" si="382"/>
        <v>0.25714608651058091</v>
      </c>
      <c r="Z264" s="96">
        <f t="shared" si="382"/>
        <v>0.25761952000582794</v>
      </c>
      <c r="AA264" s="96">
        <f t="shared" si="382"/>
        <v>0.2272950148052367</v>
      </c>
      <c r="AB264" s="96">
        <f t="shared" si="382"/>
        <v>0.21184750930887772</v>
      </c>
      <c r="AC264" s="96">
        <f t="shared" si="382"/>
        <v>0.18041285909467897</v>
      </c>
      <c r="AD264" s="96">
        <f t="shared" si="382"/>
        <v>0.16106971195742689</v>
      </c>
      <c r="AE264" s="96">
        <f t="shared" si="382"/>
        <v>0.13409397797137176</v>
      </c>
      <c r="AF264" s="96">
        <f t="shared" si="382"/>
        <v>0.11442211029487652</v>
      </c>
      <c r="AG264" s="96">
        <f t="shared" si="382"/>
        <v>0.1517480448371554</v>
      </c>
      <c r="AH264" s="96">
        <f t="shared" si="382"/>
        <v>0.14131867028088618</v>
      </c>
      <c r="AI264" s="96">
        <f t="shared" si="382"/>
        <v>0.1252607752756178</v>
      </c>
      <c r="AJ264" s="96">
        <f t="shared" si="382"/>
        <v>0.10917393951694743</v>
      </c>
      <c r="AK264" s="96">
        <f>+AK214/AK202</f>
        <v>4.6363398899269825E-2</v>
      </c>
      <c r="AL264" s="95">
        <f t="shared" ref="AL264:AW264" si="383">AK264</f>
        <v>4.6363398899269825E-2</v>
      </c>
      <c r="AM264" s="95">
        <f t="shared" si="383"/>
        <v>4.6363398899269825E-2</v>
      </c>
      <c r="AN264" s="95">
        <f t="shared" si="383"/>
        <v>4.6363398899269825E-2</v>
      </c>
      <c r="AO264" s="95">
        <f t="shared" si="383"/>
        <v>4.6363398899269825E-2</v>
      </c>
      <c r="AP264" s="95">
        <f t="shared" si="383"/>
        <v>4.6363398899269825E-2</v>
      </c>
      <c r="AQ264" s="95">
        <f t="shared" si="383"/>
        <v>4.6363398899269825E-2</v>
      </c>
      <c r="AR264" s="95">
        <f t="shared" si="383"/>
        <v>4.6363398899269825E-2</v>
      </c>
      <c r="AS264" s="95">
        <f t="shared" si="383"/>
        <v>4.6363398899269825E-2</v>
      </c>
      <c r="AT264" s="95">
        <f t="shared" si="383"/>
        <v>4.6363398899269825E-2</v>
      </c>
      <c r="AU264" s="95">
        <f t="shared" si="383"/>
        <v>4.6363398899269825E-2</v>
      </c>
      <c r="AV264" s="95">
        <f t="shared" si="383"/>
        <v>4.6363398899269825E-2</v>
      </c>
      <c r="AW264" s="95">
        <f t="shared" si="383"/>
        <v>4.6363398899269825E-2</v>
      </c>
      <c r="AX264" s="94"/>
      <c r="AY264" s="94"/>
      <c r="AZ264" s="94"/>
      <c r="BA264" s="94"/>
      <c r="BB264" s="94"/>
      <c r="BC264" s="94"/>
      <c r="BD264" s="94"/>
      <c r="BE264" s="94"/>
      <c r="BF264" s="2">
        <f t="shared" si="276"/>
        <v>258</v>
      </c>
    </row>
    <row r="265" spans="1:58" ht="11.25" hidden="1" customHeight="1" outlineLevel="2">
      <c r="A265" s="11"/>
      <c r="B265" s="17"/>
      <c r="C265" s="3"/>
      <c r="D265" s="3"/>
      <c r="E265" s="3"/>
      <c r="F265" s="3"/>
      <c r="G265" s="3"/>
      <c r="H265" s="3"/>
      <c r="I265" s="3"/>
      <c r="J265" s="3"/>
      <c r="K265" s="3"/>
      <c r="L265" s="55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5"/>
      <c r="AY265" s="5"/>
      <c r="AZ265" s="5"/>
      <c r="BA265" s="5"/>
      <c r="BB265" s="5"/>
      <c r="BC265" s="5"/>
      <c r="BD265" s="5"/>
      <c r="BE265" s="5"/>
      <c r="BF265" s="2">
        <f t="shared" si="276"/>
        <v>259</v>
      </c>
    </row>
    <row r="266" spans="1:58" ht="11.25" customHeight="1" outlineLevel="1" collapsed="1">
      <c r="A266" s="56" t="s">
        <v>5</v>
      </c>
      <c r="B266" s="93" t="s">
        <v>69</v>
      </c>
      <c r="C266" s="3"/>
      <c r="D266" s="3"/>
      <c r="E266" s="3"/>
      <c r="F266" s="3"/>
      <c r="G266" s="3"/>
      <c r="H266" s="3"/>
      <c r="I266" s="3"/>
      <c r="J266" s="3"/>
      <c r="K266" s="3"/>
      <c r="L266" s="55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5"/>
      <c r="AY266" s="5"/>
      <c r="AZ266" s="5"/>
      <c r="BA266" s="5"/>
      <c r="BB266" s="5"/>
      <c r="BC266" s="5"/>
      <c r="BD266" s="5"/>
      <c r="BE266" s="5"/>
      <c r="BF266" s="2">
        <f t="shared" ref="BF266:BF329" si="384">BF265+1</f>
        <v>260</v>
      </c>
    </row>
    <row r="267" spans="1:58" ht="11.25" hidden="1" customHeight="1" outlineLevel="2">
      <c r="A267" s="11"/>
      <c r="B267" s="17" t="s">
        <v>68</v>
      </c>
      <c r="C267" s="31">
        <f t="shared" ref="C267:H267" si="385">AVERAGEIFS($N267:$AX267,$N$4:$AX$4,C$4)</f>
        <v>149.18225000000001</v>
      </c>
      <c r="D267" s="31">
        <f t="shared" si="385"/>
        <v>159.11149999999998</v>
      </c>
      <c r="E267" s="31">
        <f t="shared" si="385"/>
        <v>155.28524999999999</v>
      </c>
      <c r="F267" s="31">
        <f t="shared" si="385"/>
        <v>150.39099999999999</v>
      </c>
      <c r="G267" s="31">
        <f t="shared" si="385"/>
        <v>151.54849999999999</v>
      </c>
      <c r="H267" s="31">
        <f t="shared" si="385"/>
        <v>152.93125000000001</v>
      </c>
      <c r="I267" s="31">
        <f>AVERAGEIFS($N267:$BF267,$N$4:$BF$4,I$4)</f>
        <v>154.03109059692369</v>
      </c>
      <c r="J267" s="31">
        <f>AVERAGEIFS($N267:$BF267,$N$4:$BF$4,J$4)</f>
        <v>155.57718730175031</v>
      </c>
      <c r="K267" s="31">
        <f>AVERAGEIFS($N267:$BF267,$N$4:$BF$4,K$4)</f>
        <v>157.138803048943</v>
      </c>
      <c r="L267" s="30"/>
      <c r="M267" s="29"/>
      <c r="N267" s="84">
        <v>125.542</v>
      </c>
      <c r="O267" s="83">
        <v>157.017</v>
      </c>
      <c r="P267" s="92">
        <v>157.15299999999999</v>
      </c>
      <c r="Q267" s="83">
        <f>O267</f>
        <v>157.017</v>
      </c>
      <c r="R267" s="83">
        <v>158.946</v>
      </c>
      <c r="S267" s="83">
        <f>R267</f>
        <v>158.946</v>
      </c>
      <c r="T267" s="83">
        <v>159.32599999999999</v>
      </c>
      <c r="U267" s="83">
        <v>159.22800000000001</v>
      </c>
      <c r="V267" s="83">
        <v>158.21199999999999</v>
      </c>
      <c r="W267" s="83">
        <v>156.399</v>
      </c>
      <c r="X267" s="83">
        <v>154.53</v>
      </c>
      <c r="Y267" s="83">
        <v>152</v>
      </c>
      <c r="Z267" s="83">
        <v>149.881</v>
      </c>
      <c r="AA267" s="83">
        <v>150.48500000000001</v>
      </c>
      <c r="AB267" s="83">
        <v>150.47200000000001</v>
      </c>
      <c r="AC267" s="83">
        <v>150.726</v>
      </c>
      <c r="AD267" s="83">
        <v>151.32400000000001</v>
      </c>
      <c r="AE267" s="83">
        <v>151.45599999999999</v>
      </c>
      <c r="AF267" s="83">
        <v>151.70699999999999</v>
      </c>
      <c r="AG267" s="83">
        <v>151.70699999999999</v>
      </c>
      <c r="AH267" s="83">
        <v>152.70099999999999</v>
      </c>
      <c r="AI267" s="83">
        <v>152.857</v>
      </c>
      <c r="AJ267" s="83">
        <v>153.08199999999999</v>
      </c>
      <c r="AK267" s="83">
        <v>153.08500000000001</v>
      </c>
      <c r="AL267" s="91">
        <f>AVERAGE(AK269:AL269)</f>
        <v>153.45467587125</v>
      </c>
      <c r="AM267" s="91">
        <f t="shared" ref="AM267:AW267" si="386">AVERAGE(AL269:AM269)</f>
        <v>153.8383125609281</v>
      </c>
      <c r="AN267" s="91">
        <f t="shared" si="386"/>
        <v>154.22290834233041</v>
      </c>
      <c r="AO267" s="91">
        <f t="shared" si="386"/>
        <v>154.60846561318624</v>
      </c>
      <c r="AP267" s="91">
        <f t="shared" si="386"/>
        <v>154.9949867772192</v>
      </c>
      <c r="AQ267" s="91">
        <f t="shared" si="386"/>
        <v>155.38247424416224</v>
      </c>
      <c r="AR267" s="91">
        <f t="shared" si="386"/>
        <v>155.77093042977265</v>
      </c>
      <c r="AS267" s="91">
        <f t="shared" si="386"/>
        <v>156.16035775584709</v>
      </c>
      <c r="AT267" s="91">
        <f t="shared" si="386"/>
        <v>156.55075865023667</v>
      </c>
      <c r="AU267" s="91">
        <f t="shared" si="386"/>
        <v>156.94213554686223</v>
      </c>
      <c r="AV267" s="91">
        <f t="shared" si="386"/>
        <v>157.33449088572939</v>
      </c>
      <c r="AW267" s="91">
        <f t="shared" si="386"/>
        <v>157.72782711294371</v>
      </c>
      <c r="AX267" s="90"/>
      <c r="AY267" s="90"/>
      <c r="AZ267" s="90"/>
      <c r="BA267" s="90"/>
      <c r="BB267" s="90"/>
      <c r="BC267" s="90"/>
      <c r="BD267" s="90"/>
      <c r="BE267" s="90"/>
      <c r="BF267" s="2">
        <f t="shared" si="384"/>
        <v>261</v>
      </c>
    </row>
    <row r="268" spans="1:58" ht="11.25" hidden="1" customHeight="1" outlineLevel="2">
      <c r="A268" s="11"/>
      <c r="B268" s="17" t="s">
        <v>67</v>
      </c>
      <c r="C268" s="29">
        <f t="shared" ref="C268:K268" si="387">C42</f>
        <v>150.81524999999999</v>
      </c>
      <c r="D268" s="29">
        <f t="shared" si="387"/>
        <v>160.36849999999998</v>
      </c>
      <c r="E268" s="29">
        <f t="shared" si="387"/>
        <v>157.18700000000001</v>
      </c>
      <c r="F268" s="29">
        <f t="shared" si="387"/>
        <v>150.45849999999999</v>
      </c>
      <c r="G268" s="29">
        <f t="shared" si="387"/>
        <v>151.55699999999999</v>
      </c>
      <c r="H268" s="29">
        <f t="shared" si="387"/>
        <v>152.93125000000001</v>
      </c>
      <c r="I268" s="29">
        <f t="shared" si="387"/>
        <v>154.03109059692369</v>
      </c>
      <c r="J268" s="29">
        <f t="shared" si="387"/>
        <v>156.74547170782478</v>
      </c>
      <c r="K268" s="29">
        <f t="shared" si="387"/>
        <v>158.71019107943243</v>
      </c>
      <c r="L268" s="30"/>
      <c r="M268" s="29"/>
      <c r="N268" s="29">
        <f>N42</f>
        <v>127.34399999999999</v>
      </c>
      <c r="O268" s="89">
        <f>O42</f>
        <v>158.63200000000001</v>
      </c>
      <c r="P268" s="89">
        <v>158.57599999999999</v>
      </c>
      <c r="Q268" s="89">
        <f>P268/P267*Q267</f>
        <v>158.4387685376671</v>
      </c>
      <c r="R268" s="89">
        <f t="shared" ref="R268:AK268" si="388">R42</f>
        <v>160.43299999999999</v>
      </c>
      <c r="S268" s="89">
        <f t="shared" si="388"/>
        <v>160.93</v>
      </c>
      <c r="T268" s="89">
        <f t="shared" si="388"/>
        <v>160.88300000000001</v>
      </c>
      <c r="U268" s="89">
        <f t="shared" si="388"/>
        <v>159.22800000000001</v>
      </c>
      <c r="V268" s="89">
        <f t="shared" si="388"/>
        <v>160.91200000000001</v>
      </c>
      <c r="W268" s="89">
        <f t="shared" si="388"/>
        <v>159.101</v>
      </c>
      <c r="X268" s="89">
        <f t="shared" si="388"/>
        <v>156.33600000000001</v>
      </c>
      <c r="Y268" s="89">
        <f t="shared" si="388"/>
        <v>152.399</v>
      </c>
      <c r="Z268" s="89">
        <f t="shared" si="388"/>
        <v>149.881</v>
      </c>
      <c r="AA268" s="89">
        <f t="shared" si="388"/>
        <v>150.48500000000001</v>
      </c>
      <c r="AB268" s="89">
        <f t="shared" si="388"/>
        <v>150.74199999999999</v>
      </c>
      <c r="AC268" s="89">
        <f t="shared" si="388"/>
        <v>150.726</v>
      </c>
      <c r="AD268" s="89">
        <f t="shared" si="388"/>
        <v>151.32400000000001</v>
      </c>
      <c r="AE268" s="89">
        <f t="shared" si="388"/>
        <v>151.45599999999999</v>
      </c>
      <c r="AF268" s="89">
        <f t="shared" si="388"/>
        <v>151.70699999999999</v>
      </c>
      <c r="AG268" s="89">
        <f t="shared" si="388"/>
        <v>151.74100000000001</v>
      </c>
      <c r="AH268" s="89">
        <f t="shared" si="388"/>
        <v>152.70099999999999</v>
      </c>
      <c r="AI268" s="89">
        <f t="shared" si="388"/>
        <v>152.857</v>
      </c>
      <c r="AJ268" s="89">
        <f t="shared" si="388"/>
        <v>153.08199999999999</v>
      </c>
      <c r="AK268" s="89">
        <f t="shared" si="388"/>
        <v>153.08500000000001</v>
      </c>
      <c r="AL268" s="89">
        <f>+AL270*AL267</f>
        <v>153.45467587125</v>
      </c>
      <c r="AM268" s="89">
        <f t="shared" ref="AM268:AW268" si="389">+AM270*AM267</f>
        <v>153.8383125609281</v>
      </c>
      <c r="AN268" s="89">
        <f t="shared" si="389"/>
        <v>154.22290834233041</v>
      </c>
      <c r="AO268" s="89">
        <f t="shared" si="389"/>
        <v>154.60846561318624</v>
      </c>
      <c r="AP268" s="89">
        <f t="shared" si="389"/>
        <v>154.9949867772192</v>
      </c>
      <c r="AQ268" s="89">
        <f t="shared" si="389"/>
        <v>156.93629898660387</v>
      </c>
      <c r="AR268" s="89">
        <f t="shared" si="389"/>
        <v>157.32863973407038</v>
      </c>
      <c r="AS268" s="89">
        <f t="shared" si="389"/>
        <v>157.72196133340557</v>
      </c>
      <c r="AT268" s="89">
        <f t="shared" si="389"/>
        <v>158.11626623673905</v>
      </c>
      <c r="AU268" s="89">
        <f t="shared" si="389"/>
        <v>158.51155690233085</v>
      </c>
      <c r="AV268" s="89">
        <f t="shared" si="389"/>
        <v>158.9078357945867</v>
      </c>
      <c r="AW268" s="89">
        <f t="shared" si="389"/>
        <v>159.30510538407316</v>
      </c>
      <c r="AX268" s="88"/>
      <c r="AY268" s="88"/>
      <c r="AZ268" s="88"/>
      <c r="BA268" s="88"/>
      <c r="BB268" s="88"/>
      <c r="BC268" s="88"/>
      <c r="BD268" s="88"/>
      <c r="BE268" s="88"/>
      <c r="BF268" s="2">
        <f t="shared" si="384"/>
        <v>262</v>
      </c>
    </row>
    <row r="269" spans="1:58" ht="11.25" hidden="1" customHeight="1" outlineLevel="2">
      <c r="A269" s="11"/>
      <c r="B269" s="17" t="s">
        <v>66</v>
      </c>
      <c r="C269" s="31">
        <f t="shared" ref="C269:H269" si="390">INDEX($N269:$AX269,1,MATCH(C$5,$N$5:$AX$5,0))</f>
        <v>157.696044</v>
      </c>
      <c r="D269" s="31">
        <f t="shared" si="390"/>
        <v>159.15802199999999</v>
      </c>
      <c r="E269" s="31">
        <f t="shared" si="390"/>
        <v>149.70882499999999</v>
      </c>
      <c r="F269" s="31">
        <f t="shared" si="390"/>
        <v>150.86150000000001</v>
      </c>
      <c r="G269" s="31">
        <f t="shared" si="390"/>
        <v>151.861661</v>
      </c>
      <c r="H269" s="31">
        <f t="shared" si="390"/>
        <v>153.26309699999999</v>
      </c>
      <c r="I269" s="31">
        <f>INDEX($N269:$BF269,1,MATCH(I$5,$N$5:$BF$5,0))</f>
        <v>154.80148492106787</v>
      </c>
      <c r="J269" s="31">
        <f>INDEX($N269:$BF269,1,MATCH(J$5,$N$5:$BF$5,0))</f>
        <v>156.3553145071028</v>
      </c>
      <c r="K269" s="31">
        <f>INDEX($N269:$BF269,1,MATCH(K$5,$N$5:$BF$5,0))</f>
        <v>157.92474075478259</v>
      </c>
      <c r="L269" s="30"/>
      <c r="M269" s="29"/>
      <c r="N269" s="84">
        <v>157.51612800000001</v>
      </c>
      <c r="O269" s="83">
        <v>157.14397399999999</v>
      </c>
      <c r="P269" s="83">
        <v>157.696044</v>
      </c>
      <c r="Q269" s="83">
        <f>P269</f>
        <v>157.696044</v>
      </c>
      <c r="R269" s="83">
        <v>159.52324200000001</v>
      </c>
      <c r="S269" s="83">
        <f>159.575223</f>
        <v>159.57522299999999</v>
      </c>
      <c r="T269" s="83">
        <v>159.51081199999999</v>
      </c>
      <c r="U269" s="83">
        <v>159.15802199999999</v>
      </c>
      <c r="V269" s="83">
        <v>157.08912799999999</v>
      </c>
      <c r="W269" s="83">
        <v>156.00216</v>
      </c>
      <c r="X269" s="83">
        <v>152.17100600000001</v>
      </c>
      <c r="Y269" s="83">
        <v>149.70882499999999</v>
      </c>
      <c r="Z269" s="83">
        <v>150.36304699999999</v>
      </c>
      <c r="AA269" s="83">
        <v>150.749697</v>
      </c>
      <c r="AB269" s="83">
        <v>150.73344299999999</v>
      </c>
      <c r="AC269" s="83">
        <v>150.86150000000001</v>
      </c>
      <c r="AD269" s="83">
        <v>151.41223299999999</v>
      </c>
      <c r="AE269" s="83">
        <v>151.70084800000001</v>
      </c>
      <c r="AF269" s="83">
        <v>151.719236</v>
      </c>
      <c r="AG269" s="83">
        <v>151.861661</v>
      </c>
      <c r="AH269" s="83">
        <v>152.83156299999999</v>
      </c>
      <c r="AI269" s="83">
        <v>153.07798199999999</v>
      </c>
      <c r="AJ269" s="83">
        <v>153.08327</v>
      </c>
      <c r="AK269" s="83">
        <v>153.26309699999999</v>
      </c>
      <c r="AL269" s="78">
        <f t="shared" ref="AL269:AW269" si="391">+AK269*1.0025</f>
        <v>153.64625474249999</v>
      </c>
      <c r="AM269" s="78">
        <f t="shared" si="391"/>
        <v>154.03037037935624</v>
      </c>
      <c r="AN269" s="78">
        <f t="shared" si="391"/>
        <v>154.41544630530461</v>
      </c>
      <c r="AO269" s="78">
        <f t="shared" si="391"/>
        <v>154.80148492106787</v>
      </c>
      <c r="AP269" s="78">
        <f t="shared" si="391"/>
        <v>155.18848863337053</v>
      </c>
      <c r="AQ269" s="78">
        <f t="shared" si="391"/>
        <v>155.57645985495395</v>
      </c>
      <c r="AR269" s="78">
        <f t="shared" si="391"/>
        <v>155.96540100459134</v>
      </c>
      <c r="AS269" s="78">
        <f t="shared" si="391"/>
        <v>156.3553145071028</v>
      </c>
      <c r="AT269" s="78">
        <f t="shared" si="391"/>
        <v>156.74620279337054</v>
      </c>
      <c r="AU269" s="78">
        <f t="shared" si="391"/>
        <v>157.13806830035395</v>
      </c>
      <c r="AV269" s="78">
        <f t="shared" si="391"/>
        <v>157.53091347110484</v>
      </c>
      <c r="AW269" s="78">
        <f t="shared" si="391"/>
        <v>157.92474075478259</v>
      </c>
      <c r="AX269" s="77"/>
      <c r="AY269" s="77"/>
      <c r="AZ269" s="77"/>
      <c r="BA269" s="77"/>
      <c r="BB269" s="77"/>
      <c r="BC269" s="77"/>
      <c r="BD269" s="77"/>
      <c r="BE269" s="77"/>
      <c r="BF269" s="2">
        <f t="shared" si="384"/>
        <v>263</v>
      </c>
    </row>
    <row r="270" spans="1:58" ht="11.25" hidden="1" customHeight="1" outlineLevel="2">
      <c r="A270" s="11"/>
      <c r="B270" s="65" t="s">
        <v>65</v>
      </c>
      <c r="C270" s="13">
        <f t="shared" ref="C270:K270" si="392">C268/C267</f>
        <v>1.0109463424770706</v>
      </c>
      <c r="D270" s="13">
        <f t="shared" si="392"/>
        <v>1.0079001203558511</v>
      </c>
      <c r="E270" s="13">
        <f t="shared" si="392"/>
        <v>1.0122468167453125</v>
      </c>
      <c r="F270" s="13">
        <f t="shared" si="392"/>
        <v>1.0004488300496706</v>
      </c>
      <c r="G270" s="13">
        <f t="shared" si="392"/>
        <v>1.000056087655107</v>
      </c>
      <c r="H270" s="13">
        <f t="shared" si="392"/>
        <v>1</v>
      </c>
      <c r="I270" s="13">
        <f t="shared" si="392"/>
        <v>1</v>
      </c>
      <c r="J270" s="13">
        <f t="shared" si="392"/>
        <v>1.007509355493158</v>
      </c>
      <c r="K270" s="13">
        <f t="shared" si="392"/>
        <v>1.01</v>
      </c>
      <c r="L270" s="15"/>
      <c r="M270" s="3"/>
      <c r="N270" s="13">
        <f>N268/N267</f>
        <v>1.0143537620875882</v>
      </c>
      <c r="O270" s="13">
        <f>O268/O267</f>
        <v>1.0102855104861257</v>
      </c>
      <c r="P270" s="13">
        <f>P268/P267</f>
        <v>1.0090548700947484</v>
      </c>
      <c r="Q270" s="13">
        <f>Q268/Q267</f>
        <v>1.0090548700947484</v>
      </c>
      <c r="R270" s="13">
        <f t="shared" ref="R270:AK270" si="393">R268/R267</f>
        <v>1.0093553785562392</v>
      </c>
      <c r="S270" s="13">
        <f t="shared" si="393"/>
        <v>1.0124822266681768</v>
      </c>
      <c r="T270" s="13">
        <f t="shared" si="393"/>
        <v>1.0097724163036794</v>
      </c>
      <c r="U270" s="13">
        <f t="shared" si="393"/>
        <v>1</v>
      </c>
      <c r="V270" s="13">
        <f t="shared" si="393"/>
        <v>1.0170657093014437</v>
      </c>
      <c r="W270" s="13">
        <f t="shared" si="393"/>
        <v>1.0172763252961976</v>
      </c>
      <c r="X270" s="13">
        <f t="shared" si="393"/>
        <v>1.0116870510580471</v>
      </c>
      <c r="Y270" s="13">
        <f t="shared" si="393"/>
        <v>1.0026250000000001</v>
      </c>
      <c r="Z270" s="13">
        <f t="shared" si="393"/>
        <v>1</v>
      </c>
      <c r="AA270" s="13">
        <f t="shared" si="393"/>
        <v>1</v>
      </c>
      <c r="AB270" s="13">
        <f t="shared" si="393"/>
        <v>1.0017943537668137</v>
      </c>
      <c r="AC270" s="13">
        <f t="shared" si="393"/>
        <v>1</v>
      </c>
      <c r="AD270" s="13">
        <f t="shared" si="393"/>
        <v>1</v>
      </c>
      <c r="AE270" s="13">
        <f t="shared" si="393"/>
        <v>1</v>
      </c>
      <c r="AF270" s="13">
        <f t="shared" si="393"/>
        <v>1</v>
      </c>
      <c r="AG270" s="13">
        <f t="shared" si="393"/>
        <v>1.0002241162240373</v>
      </c>
      <c r="AH270" s="13">
        <f t="shared" si="393"/>
        <v>1</v>
      </c>
      <c r="AI270" s="13">
        <f t="shared" si="393"/>
        <v>1</v>
      </c>
      <c r="AJ270" s="13">
        <f t="shared" si="393"/>
        <v>1</v>
      </c>
      <c r="AK270" s="13">
        <f t="shared" si="393"/>
        <v>1</v>
      </c>
      <c r="AL270" s="14">
        <f>IF(AL36&gt;=0,1.01,1)</f>
        <v>1</v>
      </c>
      <c r="AM270" s="14">
        <f t="shared" ref="AM270:AW270" si="394">IF(AM36&gt;=0,1.01,1)</f>
        <v>1</v>
      </c>
      <c r="AN270" s="14">
        <f t="shared" si="394"/>
        <v>1</v>
      </c>
      <c r="AO270" s="14">
        <f t="shared" si="394"/>
        <v>1</v>
      </c>
      <c r="AP270" s="14">
        <f t="shared" si="394"/>
        <v>1</v>
      </c>
      <c r="AQ270" s="14">
        <f t="shared" si="394"/>
        <v>1.01</v>
      </c>
      <c r="AR270" s="14">
        <f t="shared" si="394"/>
        <v>1.01</v>
      </c>
      <c r="AS270" s="14">
        <f t="shared" si="394"/>
        <v>1.01</v>
      </c>
      <c r="AT270" s="14">
        <f t="shared" si="394"/>
        <v>1.01</v>
      </c>
      <c r="AU270" s="14">
        <f t="shared" si="394"/>
        <v>1.01</v>
      </c>
      <c r="AV270" s="14">
        <f t="shared" si="394"/>
        <v>1.01</v>
      </c>
      <c r="AW270" s="14">
        <f t="shared" si="394"/>
        <v>1.01</v>
      </c>
      <c r="AX270" s="63"/>
      <c r="AY270" s="63"/>
      <c r="AZ270" s="63"/>
      <c r="BA270" s="63"/>
      <c r="BB270" s="63"/>
      <c r="BC270" s="63"/>
      <c r="BD270" s="63"/>
      <c r="BE270" s="63"/>
      <c r="BF270" s="2">
        <f t="shared" si="384"/>
        <v>264</v>
      </c>
    </row>
    <row r="271" spans="1:58" ht="11.25" hidden="1" customHeight="1" outlineLevel="2">
      <c r="A271" s="11"/>
      <c r="B271" s="17"/>
      <c r="C271" s="31"/>
      <c r="D271" s="31"/>
      <c r="E271" s="31"/>
      <c r="F271" s="32"/>
      <c r="G271" s="32"/>
      <c r="H271" s="32"/>
      <c r="I271" s="32"/>
      <c r="J271" s="32"/>
      <c r="K271" s="32"/>
      <c r="L271" s="30"/>
      <c r="M271" s="29"/>
      <c r="N271" s="84"/>
      <c r="O271" s="83"/>
      <c r="P271" s="83"/>
      <c r="Q271" s="83"/>
      <c r="R271" s="83"/>
      <c r="S271" s="83"/>
      <c r="T271" s="83"/>
      <c r="U271" s="83"/>
      <c r="V271" s="83"/>
      <c r="W271" s="83"/>
      <c r="X271" s="83"/>
      <c r="Y271" s="83"/>
      <c r="Z271" s="83"/>
      <c r="AA271" s="83"/>
      <c r="AB271" s="83"/>
      <c r="AC271" s="83"/>
      <c r="AD271" s="83"/>
      <c r="AE271" s="83"/>
      <c r="AF271" s="83"/>
      <c r="AG271" s="83"/>
      <c r="AH271" s="83"/>
      <c r="AI271" s="83"/>
      <c r="AJ271" s="83"/>
      <c r="AK271" s="8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5"/>
      <c r="AY271" s="5"/>
      <c r="AZ271" s="5"/>
      <c r="BA271" s="5"/>
      <c r="BB271" s="5"/>
      <c r="BC271" s="5"/>
      <c r="BD271" s="5"/>
      <c r="BE271" s="5"/>
      <c r="BF271" s="2">
        <f t="shared" si="384"/>
        <v>265</v>
      </c>
    </row>
    <row r="272" spans="1:58" ht="11.25" hidden="1" customHeight="1" outlineLevel="2">
      <c r="A272" s="11"/>
      <c r="B272" s="87" t="s">
        <v>64</v>
      </c>
      <c r="C272" s="86">
        <f t="shared" ref="C272:K272" si="395">C38/C267</f>
        <v>2.452268952908272</v>
      </c>
      <c r="D272" s="86">
        <f t="shared" si="395"/>
        <v>-0.70025108178855688</v>
      </c>
      <c r="E272" s="86">
        <f t="shared" si="395"/>
        <v>1.6602800330359779</v>
      </c>
      <c r="F272" s="86">
        <f t="shared" si="395"/>
        <v>-12.332626287477309</v>
      </c>
      <c r="G272" s="86">
        <f t="shared" si="395"/>
        <v>-5.5554294499780612</v>
      </c>
      <c r="H272" s="86">
        <f t="shared" si="395"/>
        <v>-1.3464939310964894</v>
      </c>
      <c r="I272" s="86">
        <f t="shared" si="395"/>
        <v>-0.85182499177167659</v>
      </c>
      <c r="J272" s="86">
        <f t="shared" si="395"/>
        <v>0.16670096652142588</v>
      </c>
      <c r="K272" s="86">
        <f t="shared" si="395"/>
        <v>0.48119484697056619</v>
      </c>
      <c r="L272" s="30"/>
      <c r="M272" s="29"/>
      <c r="N272" s="86">
        <f t="shared" ref="N272:AW272" si="396">N38/N267</f>
        <v>0.42870115180577034</v>
      </c>
      <c r="O272" s="86">
        <f t="shared" si="396"/>
        <v>0.90342446996185155</v>
      </c>
      <c r="P272" s="86">
        <f t="shared" si="396"/>
        <v>0.59742416625836003</v>
      </c>
      <c r="Q272" s="86">
        <f t="shared" si="396"/>
        <v>0.48577542559085984</v>
      </c>
      <c r="R272" s="86">
        <f t="shared" si="396"/>
        <v>0.40093490871113474</v>
      </c>
      <c r="S272" s="86">
        <f t="shared" si="396"/>
        <v>0.43133517043524194</v>
      </c>
      <c r="T272" s="86">
        <f t="shared" si="396"/>
        <v>0.43831515258024417</v>
      </c>
      <c r="U272" s="86">
        <f t="shared" si="396"/>
        <v>-1.969119752807295</v>
      </c>
      <c r="V272" s="86">
        <f t="shared" si="396"/>
        <v>0.23179025611205217</v>
      </c>
      <c r="W272" s="86">
        <f t="shared" si="396"/>
        <v>0.4805785203230199</v>
      </c>
      <c r="X272" s="86">
        <f t="shared" si="396"/>
        <v>0.51677344205008735</v>
      </c>
      <c r="Y272" s="86">
        <f t="shared" si="396"/>
        <v>0.43503947368421053</v>
      </c>
      <c r="Z272" s="86">
        <f t="shared" si="396"/>
        <v>-7.4292271869016074E-2</v>
      </c>
      <c r="AA272" s="86">
        <f t="shared" si="396"/>
        <v>-5.2163936604977232</v>
      </c>
      <c r="AB272" s="86">
        <f t="shared" si="396"/>
        <v>-5.4574738157265132</v>
      </c>
      <c r="AC272" s="86">
        <f t="shared" si="396"/>
        <v>-1.5750102835608986</v>
      </c>
      <c r="AD272" s="86">
        <f t="shared" si="396"/>
        <v>-0.57362348338664038</v>
      </c>
      <c r="AE272" s="86">
        <f t="shared" si="396"/>
        <v>-3.1088699028100573</v>
      </c>
      <c r="AF272" s="86">
        <f t="shared" si="396"/>
        <v>-0.77780194717448781</v>
      </c>
      <c r="AG272" s="86">
        <f t="shared" si="396"/>
        <v>-1.0959217438878892</v>
      </c>
      <c r="AH272" s="86">
        <f t="shared" si="396"/>
        <v>-0.60025147183057093</v>
      </c>
      <c r="AI272" s="86">
        <f t="shared" si="396"/>
        <v>-0.41742282002132725</v>
      </c>
      <c r="AJ272" s="86">
        <f t="shared" si="396"/>
        <v>-0.38573444297827314</v>
      </c>
      <c r="AK272" s="86">
        <f t="shared" si="396"/>
        <v>5.613221412940525E-2</v>
      </c>
      <c r="AL272" s="86">
        <f t="shared" si="396"/>
        <v>-0.37183497263305121</v>
      </c>
      <c r="AM272" s="86">
        <f t="shared" si="396"/>
        <v>-0.2735024603748889</v>
      </c>
      <c r="AN272" s="86">
        <f t="shared" si="396"/>
        <v>-0.13888079749845397</v>
      </c>
      <c r="AO272" s="86">
        <f t="shared" si="396"/>
        <v>-6.8909291264251535E-2</v>
      </c>
      <c r="AP272" s="86">
        <f t="shared" si="396"/>
        <v>-1.0732900414994907E-2</v>
      </c>
      <c r="AQ272" s="86">
        <f t="shared" si="396"/>
        <v>2.3694532221431516E-2</v>
      </c>
      <c r="AR272" s="86">
        <f t="shared" si="396"/>
        <v>5.8779390005164078E-2</v>
      </c>
      <c r="AS272" s="86">
        <f t="shared" si="396"/>
        <v>9.4521926999199646E-2</v>
      </c>
      <c r="AT272" s="86">
        <f t="shared" si="396"/>
        <v>0.10983711773161595</v>
      </c>
      <c r="AU272" s="86">
        <f t="shared" si="396"/>
        <v>0.11663813606840569</v>
      </c>
      <c r="AV272" s="86">
        <f t="shared" si="396"/>
        <v>0.12367900486441573</v>
      </c>
      <c r="AW272" s="86">
        <f t="shared" si="396"/>
        <v>0.13095271222031313</v>
      </c>
      <c r="AX272" s="85"/>
      <c r="AY272" s="85"/>
      <c r="AZ272" s="85"/>
      <c r="BA272" s="85"/>
      <c r="BB272" s="85"/>
      <c r="BC272" s="85"/>
      <c r="BD272" s="85"/>
      <c r="BE272" s="85"/>
      <c r="BF272" s="2">
        <f t="shared" si="384"/>
        <v>266</v>
      </c>
    </row>
    <row r="273" spans="1:58" ht="11.25" hidden="1" customHeight="1" outlineLevel="2">
      <c r="A273" s="11"/>
      <c r="B273" s="87" t="s">
        <v>63</v>
      </c>
      <c r="C273" s="86">
        <f t="shared" ref="C273:K273" si="397">C36/C267</f>
        <v>2.6664097102704916</v>
      </c>
      <c r="D273" s="86">
        <f t="shared" si="397"/>
        <v>1.5736260421151211</v>
      </c>
      <c r="E273" s="86">
        <f t="shared" si="397"/>
        <v>1.808220677752717</v>
      </c>
      <c r="F273" s="86">
        <f t="shared" si="397"/>
        <v>-1.2905958468259393</v>
      </c>
      <c r="G273" s="86">
        <f t="shared" si="397"/>
        <v>-2.4900477404923183</v>
      </c>
      <c r="H273" s="86">
        <f t="shared" si="397"/>
        <v>-1.6331717683599654</v>
      </c>
      <c r="I273" s="86">
        <f t="shared" si="397"/>
        <v>-0.85182499177167659</v>
      </c>
      <c r="J273" s="86">
        <f t="shared" si="397"/>
        <v>0.16670096652142588</v>
      </c>
      <c r="K273" s="86">
        <f t="shared" si="397"/>
        <v>0.48119484697056619</v>
      </c>
      <c r="L273" s="30"/>
      <c r="M273" s="29"/>
      <c r="N273" s="86">
        <f t="shared" ref="N273:AW273" si="398">N36/N267</f>
        <v>0.73702028006563547</v>
      </c>
      <c r="O273" s="86">
        <f t="shared" si="398"/>
        <v>0.83786468981065765</v>
      </c>
      <c r="P273" s="86">
        <f t="shared" si="398"/>
        <v>0.60661902731732797</v>
      </c>
      <c r="Q273" s="86">
        <f t="shared" si="398"/>
        <v>0.49907334874567744</v>
      </c>
      <c r="R273" s="86">
        <f t="shared" si="398"/>
        <v>0.40093490871113474</v>
      </c>
      <c r="S273" s="86">
        <f t="shared" si="398"/>
        <v>0.43133517043524194</v>
      </c>
      <c r="T273" s="86">
        <f t="shared" si="398"/>
        <v>0.43831515258024417</v>
      </c>
      <c r="U273" s="86">
        <f t="shared" si="398"/>
        <v>0.30309367699148415</v>
      </c>
      <c r="V273" s="86">
        <f t="shared" si="398"/>
        <v>0.2694233054382727</v>
      </c>
      <c r="W273" s="86">
        <f t="shared" si="398"/>
        <v>0.50548277162897448</v>
      </c>
      <c r="X273" s="86">
        <f t="shared" si="398"/>
        <v>0.55486313337216076</v>
      </c>
      <c r="Y273" s="86">
        <f t="shared" si="398"/>
        <v>0.48265789473684212</v>
      </c>
      <c r="Z273" s="86">
        <f t="shared" si="398"/>
        <v>-9.9745798333344283E-3</v>
      </c>
      <c r="AA273" s="86">
        <f t="shared" si="398"/>
        <v>-0.31482872047047844</v>
      </c>
      <c r="AB273" s="86">
        <f t="shared" si="398"/>
        <v>-0.45738742091551848</v>
      </c>
      <c r="AC273" s="86">
        <f t="shared" si="398"/>
        <v>-0.50686676485808679</v>
      </c>
      <c r="AD273" s="86">
        <f t="shared" si="398"/>
        <v>-0.49190478707937918</v>
      </c>
      <c r="AE273" s="86">
        <f t="shared" si="398"/>
        <v>-0.53082743503063601</v>
      </c>
      <c r="AF273" s="86">
        <f t="shared" si="398"/>
        <v>-0.73095506469708071</v>
      </c>
      <c r="AG273" s="86">
        <f t="shared" si="398"/>
        <v>-0.73587902997224908</v>
      </c>
      <c r="AH273" s="86">
        <f t="shared" si="398"/>
        <v>-0.58716707814618119</v>
      </c>
      <c r="AI273" s="86">
        <f t="shared" si="398"/>
        <v>-0.40586299613364135</v>
      </c>
      <c r="AJ273" s="86">
        <f t="shared" si="398"/>
        <v>-0.30635868358134866</v>
      </c>
      <c r="AK273" s="86">
        <f t="shared" si="398"/>
        <v>-0.33422608354835548</v>
      </c>
      <c r="AL273" s="86">
        <f t="shared" si="398"/>
        <v>-0.37183497263305121</v>
      </c>
      <c r="AM273" s="86">
        <f t="shared" si="398"/>
        <v>-0.2735024603748889</v>
      </c>
      <c r="AN273" s="86">
        <f t="shared" si="398"/>
        <v>-0.13888079749845397</v>
      </c>
      <c r="AO273" s="86">
        <f t="shared" si="398"/>
        <v>-6.8909291264251535E-2</v>
      </c>
      <c r="AP273" s="86">
        <f t="shared" si="398"/>
        <v>-1.0732900414994907E-2</v>
      </c>
      <c r="AQ273" s="86">
        <f t="shared" si="398"/>
        <v>2.3694532221431516E-2</v>
      </c>
      <c r="AR273" s="86">
        <f t="shared" si="398"/>
        <v>5.8779390005164078E-2</v>
      </c>
      <c r="AS273" s="86">
        <f t="shared" si="398"/>
        <v>9.4521926999199646E-2</v>
      </c>
      <c r="AT273" s="86">
        <f t="shared" si="398"/>
        <v>0.10983711773161595</v>
      </c>
      <c r="AU273" s="86">
        <f t="shared" si="398"/>
        <v>0.11663813606840569</v>
      </c>
      <c r="AV273" s="86">
        <f t="shared" si="398"/>
        <v>0.12367900486441573</v>
      </c>
      <c r="AW273" s="86">
        <f t="shared" si="398"/>
        <v>0.13095271222031313</v>
      </c>
      <c r="AX273" s="85"/>
      <c r="AY273" s="85"/>
      <c r="AZ273" s="85"/>
      <c r="BA273" s="85"/>
      <c r="BB273" s="85"/>
      <c r="BC273" s="85"/>
      <c r="BD273" s="85"/>
      <c r="BE273" s="85"/>
      <c r="BF273" s="2">
        <f t="shared" si="384"/>
        <v>267</v>
      </c>
    </row>
    <row r="274" spans="1:58" ht="11.25" hidden="1" customHeight="1" outlineLevel="2">
      <c r="A274" s="11"/>
      <c r="B274" s="17"/>
      <c r="C274" s="31"/>
      <c r="D274" s="31"/>
      <c r="E274" s="31"/>
      <c r="F274" s="31"/>
      <c r="G274" s="31"/>
      <c r="H274" s="31"/>
      <c r="I274" s="31"/>
      <c r="J274" s="31"/>
      <c r="K274" s="31"/>
      <c r="L274" s="30"/>
      <c r="M274" s="29"/>
      <c r="N274" s="84"/>
      <c r="O274" s="83"/>
      <c r="P274" s="83"/>
      <c r="Q274" s="83"/>
      <c r="R274" s="83"/>
      <c r="S274" s="83"/>
      <c r="T274" s="83"/>
      <c r="U274" s="83"/>
      <c r="V274" s="83"/>
      <c r="W274" s="83"/>
      <c r="X274" s="83"/>
      <c r="Y274" s="83"/>
      <c r="Z274" s="83"/>
      <c r="AA274" s="83"/>
      <c r="AB274" s="83"/>
      <c r="AC274" s="83"/>
      <c r="AD274" s="83"/>
      <c r="AE274" s="83"/>
      <c r="AF274" s="83"/>
      <c r="AG274" s="83"/>
      <c r="AH274" s="83"/>
      <c r="AI274" s="83"/>
      <c r="AJ274" s="83"/>
      <c r="AK274" s="83"/>
      <c r="AL274" s="78"/>
      <c r="AM274" s="78"/>
      <c r="AN274" s="78"/>
      <c r="AO274" s="78"/>
      <c r="AP274" s="78"/>
      <c r="AQ274" s="78"/>
      <c r="AR274" s="78"/>
      <c r="AS274" s="78"/>
      <c r="AT274" s="78"/>
      <c r="AU274" s="78"/>
      <c r="AV274" s="78"/>
      <c r="AW274" s="78"/>
      <c r="AX274" s="77"/>
      <c r="AY274" s="77"/>
      <c r="AZ274" s="77"/>
      <c r="BA274" s="77"/>
      <c r="BB274" s="77"/>
      <c r="BC274" s="77"/>
      <c r="BD274" s="77"/>
      <c r="BE274" s="77"/>
      <c r="BF274" s="2">
        <f t="shared" si="384"/>
        <v>268</v>
      </c>
    </row>
    <row r="275" spans="1:58" ht="11.25" hidden="1" customHeight="1" outlineLevel="2">
      <c r="A275" s="11"/>
      <c r="B275" s="17" t="s">
        <v>62</v>
      </c>
      <c r="C275" s="81">
        <f t="shared" ref="C275:K275" si="399">C219/C$269</f>
        <v>26.830596967923942</v>
      </c>
      <c r="D275" s="81">
        <f t="shared" si="399"/>
        <v>25.958126069196819</v>
      </c>
      <c r="E275" s="81">
        <f t="shared" si="399"/>
        <v>27.251152361926561</v>
      </c>
      <c r="F275" s="81">
        <f t="shared" si="399"/>
        <v>14.654580525846553</v>
      </c>
      <c r="G275" s="81">
        <f t="shared" si="399"/>
        <v>8.5862356003073081</v>
      </c>
      <c r="H275" s="81">
        <f t="shared" si="399"/>
        <v>7.3887910538568846</v>
      </c>
      <c r="I275" s="81">
        <f t="shared" si="399"/>
        <v>6.7261723493841421</v>
      </c>
      <c r="J275" s="81">
        <f t="shared" si="399"/>
        <v>7.0810278403506679</v>
      </c>
      <c r="K275" s="81">
        <f t="shared" si="399"/>
        <v>7.7427432298053231</v>
      </c>
      <c r="L275" s="82"/>
      <c r="M275" s="3"/>
      <c r="N275" s="81">
        <f>N219/N$269</f>
        <v>24.752093957007375</v>
      </c>
      <c r="O275" s="81">
        <f>O219/O$269</f>
        <v>25.707298200311524</v>
      </c>
      <c r="P275" s="81">
        <f>P219/P$269</f>
        <v>26.310545875202806</v>
      </c>
      <c r="Q275" s="81">
        <f>Q219/Q$269</f>
        <v>26.830596967923942</v>
      </c>
      <c r="R275" s="81">
        <f t="shared" ref="R275:AW275" si="400">R219/R$269</f>
        <v>26.899992416152124</v>
      </c>
      <c r="S275" s="81">
        <f t="shared" si="400"/>
        <v>27.357104179011554</v>
      </c>
      <c r="T275" s="81">
        <f t="shared" si="400"/>
        <v>27.921662137861855</v>
      </c>
      <c r="U275" s="81">
        <f t="shared" si="400"/>
        <v>25.958126069196819</v>
      </c>
      <c r="V275" s="81">
        <f t="shared" si="400"/>
        <v>26.072319912553088</v>
      </c>
      <c r="W275" s="81">
        <f t="shared" si="400"/>
        <v>26.598843246785812</v>
      </c>
      <c r="X275" s="81">
        <f t="shared" si="400"/>
        <v>27.217471375591746</v>
      </c>
      <c r="Y275" s="81">
        <f t="shared" si="400"/>
        <v>27.251152361926561</v>
      </c>
      <c r="Z275" s="81">
        <f t="shared" si="400"/>
        <v>26.963433376020905</v>
      </c>
      <c r="AA275" s="81">
        <f t="shared" si="400"/>
        <v>21.7948829442755</v>
      </c>
      <c r="AB275" s="81">
        <f t="shared" si="400"/>
        <v>16.269899706331259</v>
      </c>
      <c r="AC275" s="81">
        <f t="shared" si="400"/>
        <v>14.654580525846553</v>
      </c>
      <c r="AD275" s="81">
        <f t="shared" si="400"/>
        <v>13.915797675343709</v>
      </c>
      <c r="AE275" s="81">
        <f t="shared" si="400"/>
        <v>10.73945216179675</v>
      </c>
      <c r="AF275" s="81">
        <f t="shared" si="400"/>
        <v>9.9771989360663547</v>
      </c>
      <c r="AG275" s="81">
        <f t="shared" si="400"/>
        <v>8.5862356003073081</v>
      </c>
      <c r="AH275" s="81">
        <f t="shared" si="400"/>
        <v>7.9348661768250066</v>
      </c>
      <c r="AI275" s="81">
        <f t="shared" si="400"/>
        <v>7.6004986791634108</v>
      </c>
      <c r="AJ275" s="81">
        <f t="shared" si="400"/>
        <v>7.2820171662128699</v>
      </c>
      <c r="AK275" s="81">
        <f>AK219/AK$269</f>
        <v>7.3887910538568846</v>
      </c>
      <c r="AL275" s="81">
        <f t="shared" si="400"/>
        <v>7.0640783702538021</v>
      </c>
      <c r="AM275" s="81">
        <f t="shared" si="400"/>
        <v>6.8382230414530731</v>
      </c>
      <c r="AN275" s="81">
        <f t="shared" si="400"/>
        <v>6.7472228474384144</v>
      </c>
      <c r="AO275" s="81">
        <f t="shared" si="400"/>
        <v>6.7261723493841421</v>
      </c>
      <c r="AP275" s="81">
        <f t="shared" si="400"/>
        <v>6.7631171036232427</v>
      </c>
      <c r="AQ275" s="81">
        <f t="shared" si="400"/>
        <v>6.8341935392776403</v>
      </c>
      <c r="AR275" s="81">
        <f t="shared" si="400"/>
        <v>6.9399735460799326</v>
      </c>
      <c r="AS275" s="81">
        <f t="shared" si="400"/>
        <v>7.0810278403506679</v>
      </c>
      <c r="AT275" s="81">
        <f t="shared" si="400"/>
        <v>7.2368669792643674</v>
      </c>
      <c r="AU275" s="81">
        <f t="shared" si="400"/>
        <v>7.3989509344030902</v>
      </c>
      <c r="AV275" s="81">
        <f t="shared" si="400"/>
        <v>7.5675040808003775</v>
      </c>
      <c r="AW275" s="81">
        <f t="shared" si="400"/>
        <v>7.7427432298053231</v>
      </c>
      <c r="AX275" s="80"/>
      <c r="AY275" s="80"/>
      <c r="AZ275" s="80"/>
      <c r="BA275" s="80"/>
      <c r="BB275" s="80"/>
      <c r="BC275" s="80"/>
      <c r="BD275" s="80"/>
      <c r="BE275" s="80"/>
      <c r="BF275" s="2">
        <f t="shared" si="384"/>
        <v>269</v>
      </c>
    </row>
    <row r="276" spans="1:58" ht="11.25" hidden="1" customHeight="1" outlineLevel="2">
      <c r="A276" s="11"/>
      <c r="B276" s="17" t="s">
        <v>61</v>
      </c>
      <c r="C276" s="81">
        <f t="shared" ref="C276:K276" si="401">(C219-C203)/C$269</f>
        <v>10.773979846951649</v>
      </c>
      <c r="D276" s="81">
        <f t="shared" si="401"/>
        <v>10.513670495352102</v>
      </c>
      <c r="E276" s="81">
        <f t="shared" si="401"/>
        <v>7.9552357718390994</v>
      </c>
      <c r="F276" s="81">
        <f t="shared" si="401"/>
        <v>5.086559526453069</v>
      </c>
      <c r="G276" s="81">
        <f t="shared" si="401"/>
        <v>1.8255496362574342</v>
      </c>
      <c r="H276" s="81">
        <f t="shared" si="401"/>
        <v>1.044713327174903</v>
      </c>
      <c r="I276" s="81">
        <f t="shared" si="401"/>
        <v>0.44514086899637156</v>
      </c>
      <c r="J276" s="81">
        <f t="shared" si="401"/>
        <v>0.86241606456846098</v>
      </c>
      <c r="K276" s="81">
        <f t="shared" si="401"/>
        <v>1.5859308433930031</v>
      </c>
      <c r="L276" s="82"/>
      <c r="M276" s="3"/>
      <c r="N276" s="81">
        <f>(N219-N203)/N$269</f>
        <v>8.8510555566729021</v>
      </c>
      <c r="O276" s="81">
        <f>(O219-O203)/O$269</f>
        <v>9.7766777872118755</v>
      </c>
      <c r="P276" s="81">
        <f>(P219-P203)/P$269</f>
        <v>10.277727702541481</v>
      </c>
      <c r="Q276" s="81">
        <f>(Q219-Q203)/Q$269</f>
        <v>10.773979846951649</v>
      </c>
      <c r="R276" s="81">
        <f t="shared" ref="R276:AW276" si="402">(R219-R203)/R$269</f>
        <v>10.930551423973693</v>
      </c>
      <c r="S276" s="81">
        <f t="shared" si="402"/>
        <v>11.391593041984976</v>
      </c>
      <c r="T276" s="81">
        <f t="shared" si="402"/>
        <v>11.942118381291921</v>
      </c>
      <c r="U276" s="81">
        <f t="shared" si="402"/>
        <v>10.513670495352102</v>
      </c>
      <c r="V276" s="81">
        <f t="shared" si="402"/>
        <v>10.422548147316729</v>
      </c>
      <c r="W276" s="81">
        <f t="shared" si="402"/>
        <v>10.835362792412615</v>
      </c>
      <c r="X276" s="81">
        <f t="shared" si="402"/>
        <v>8.3085144353977665</v>
      </c>
      <c r="Y276" s="81">
        <f t="shared" si="402"/>
        <v>7.9552357718390994</v>
      </c>
      <c r="Z276" s="81">
        <f t="shared" si="402"/>
        <v>7.8267368444588641</v>
      </c>
      <c r="AA276" s="81">
        <f t="shared" si="402"/>
        <v>6.9135860352674507</v>
      </c>
      <c r="AB276" s="81">
        <f t="shared" si="402"/>
        <v>6.4440444049300964</v>
      </c>
      <c r="AC276" s="81">
        <f t="shared" si="402"/>
        <v>5.086559526453069</v>
      </c>
      <c r="AD276" s="81">
        <f t="shared" si="402"/>
        <v>4.4009918273908557</v>
      </c>
      <c r="AE276" s="81">
        <f t="shared" si="402"/>
        <v>3.8951660968961761</v>
      </c>
      <c r="AF276" s="81">
        <f t="shared" si="402"/>
        <v>3.1617216949339251</v>
      </c>
      <c r="AG276" s="81">
        <f t="shared" si="402"/>
        <v>1.8255496362574342</v>
      </c>
      <c r="AH276" s="81">
        <f t="shared" si="402"/>
        <v>1.4234952239544922</v>
      </c>
      <c r="AI276" s="81">
        <f t="shared" si="402"/>
        <v>1.170292406911924</v>
      </c>
      <c r="AJ276" s="81">
        <f t="shared" si="402"/>
        <v>0.91504447220130347</v>
      </c>
      <c r="AK276" s="81">
        <f>(AK219-AK203)/AK$269</f>
        <v>1.044713327174903</v>
      </c>
      <c r="AL276" s="81">
        <f t="shared" si="402"/>
        <v>0.73582128628175081</v>
      </c>
      <c r="AM276" s="81">
        <f t="shared" si="402"/>
        <v>0.52574714721661298</v>
      </c>
      <c r="AN276" s="81">
        <f t="shared" si="402"/>
        <v>0.45048878834967543</v>
      </c>
      <c r="AO276" s="81">
        <f t="shared" si="402"/>
        <v>0.44514086899637156</v>
      </c>
      <c r="AP276" s="81">
        <f t="shared" si="402"/>
        <v>0.49774904338606529</v>
      </c>
      <c r="AQ276" s="81">
        <f t="shared" si="402"/>
        <v>0.58444983829292474</v>
      </c>
      <c r="AR276" s="81">
        <f t="shared" si="402"/>
        <v>0.70581524085827096</v>
      </c>
      <c r="AS276" s="81">
        <f t="shared" si="402"/>
        <v>0.86241606456846098</v>
      </c>
      <c r="AT276" s="81">
        <f t="shared" si="402"/>
        <v>1.0337629635215173</v>
      </c>
      <c r="AU276" s="81">
        <f t="shared" si="402"/>
        <v>1.2113160059812937</v>
      </c>
      <c r="AV276" s="81">
        <f t="shared" si="402"/>
        <v>1.3952996634220272</v>
      </c>
      <c r="AW276" s="81">
        <f t="shared" si="402"/>
        <v>1.5859308433930031</v>
      </c>
      <c r="AX276" s="80"/>
      <c r="AY276" s="80"/>
      <c r="AZ276" s="80"/>
      <c r="BA276" s="80"/>
      <c r="BB276" s="80"/>
      <c r="BC276" s="80"/>
      <c r="BD276" s="80"/>
      <c r="BE276" s="80"/>
      <c r="BF276" s="2">
        <f t="shared" si="384"/>
        <v>270</v>
      </c>
    </row>
    <row r="277" spans="1:58" ht="11.25" hidden="1" customHeight="1" outlineLevel="2">
      <c r="A277" s="11"/>
      <c r="B277" s="17"/>
      <c r="C277" s="3"/>
      <c r="D277" s="3"/>
      <c r="E277" s="3"/>
      <c r="F277" s="3"/>
      <c r="G277" s="3"/>
      <c r="H277" s="3"/>
      <c r="I277" s="3"/>
      <c r="J277" s="3"/>
      <c r="K277" s="3"/>
      <c r="L277" s="55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57"/>
      <c r="AY277" s="57"/>
      <c r="AZ277" s="57"/>
      <c r="BA277" s="57"/>
      <c r="BB277" s="57"/>
      <c r="BC277" s="57"/>
      <c r="BD277" s="57"/>
      <c r="BE277" s="57"/>
      <c r="BF277" s="2">
        <f t="shared" si="384"/>
        <v>271</v>
      </c>
    </row>
    <row r="278" spans="1:58" ht="11.25" customHeight="1" outlineLevel="1" collapsed="1">
      <c r="A278" s="56" t="s">
        <v>5</v>
      </c>
      <c r="B278" s="58" t="s">
        <v>788</v>
      </c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  <c r="AA278" s="78"/>
      <c r="AB278" s="78"/>
      <c r="AC278" s="78"/>
      <c r="AD278" s="78"/>
      <c r="AE278" s="78"/>
      <c r="AF278" s="78"/>
      <c r="AG278" s="78"/>
      <c r="AH278" s="78"/>
      <c r="AI278" s="78"/>
      <c r="AJ278" s="78"/>
      <c r="AK278" s="78"/>
      <c r="AL278" s="78"/>
      <c r="AM278" s="78"/>
      <c r="AN278" s="78"/>
      <c r="AO278" s="78"/>
      <c r="AP278" s="78"/>
      <c r="AQ278" s="78"/>
      <c r="AR278" s="78"/>
      <c r="AS278" s="78"/>
      <c r="AT278" s="78"/>
      <c r="AU278" s="78"/>
      <c r="AV278" s="78"/>
      <c r="AW278" s="78"/>
      <c r="AX278" s="77"/>
      <c r="AY278" s="77"/>
      <c r="AZ278" s="77"/>
      <c r="BA278" s="77"/>
      <c r="BB278" s="77"/>
      <c r="BC278" s="77"/>
      <c r="BD278" s="77"/>
      <c r="BE278" s="77"/>
      <c r="BF278" s="2">
        <f t="shared" si="384"/>
        <v>272</v>
      </c>
    </row>
    <row r="279" spans="1:58" ht="11.25" hidden="1" customHeight="1" outlineLevel="2">
      <c r="A279" s="56"/>
      <c r="B279" s="65" t="s">
        <v>60</v>
      </c>
      <c r="C279" s="51">
        <f t="shared" ref="C279:K279" si="403">SUM(C195:C198,C202,C203,C204)-SUM(C208,C210,C213:C215)</f>
        <v>5974.3799999999992</v>
      </c>
      <c r="D279" s="51">
        <f t="shared" si="403"/>
        <v>5601.9319999999989</v>
      </c>
      <c r="E279" s="51">
        <f t="shared" si="403"/>
        <v>5335.4750000000004</v>
      </c>
      <c r="F279" s="51">
        <f t="shared" si="403"/>
        <v>3265.0149999999999</v>
      </c>
      <c r="G279" s="51">
        <f t="shared" si="403"/>
        <v>2400.9290000000001</v>
      </c>
      <c r="H279" s="51">
        <f t="shared" si="403"/>
        <v>2240.1999999999998</v>
      </c>
      <c r="I279" s="51">
        <f t="shared" si="403"/>
        <v>2158.8693384491371</v>
      </c>
      <c r="J279" s="51">
        <f t="shared" si="403"/>
        <v>2055.5997954243094</v>
      </c>
      <c r="K279" s="51">
        <f t="shared" si="403"/>
        <v>1986.1778571030331</v>
      </c>
      <c r="L279" s="55"/>
      <c r="M279" s="3"/>
      <c r="N279" s="51">
        <f>SUM(N195:N198,N202,N203,N204)-SUM(N208,N210,N213:N215)</f>
        <v>5761.6040000000003</v>
      </c>
      <c r="O279" s="51">
        <f>SUM(O195:O198,O202,O203,O204)-SUM(O208,O210,O213:O215)</f>
        <v>5890.378999999999</v>
      </c>
      <c r="P279" s="51">
        <f>SUM(P195:P198,P202,P203,P204)-SUM(P208,P210,P213:P215)</f>
        <v>5999.3989999999994</v>
      </c>
      <c r="Q279" s="51">
        <f>SUM(Q195:Q198,Q202,Q203,Q204)-SUM(Q208,Q210,Q213:Q215)</f>
        <v>5974.3799999999992</v>
      </c>
      <c r="R279" s="51">
        <f t="shared" ref="R279:AW279" si="404">SUM(R195:R198,R202,R203,R204)-SUM(R208,R210,R213:R215)</f>
        <v>6078.6829999999991</v>
      </c>
      <c r="S279" s="51">
        <f t="shared" si="404"/>
        <v>6100.1170000000002</v>
      </c>
      <c r="T279" s="51">
        <f t="shared" si="404"/>
        <v>6033.155999999999</v>
      </c>
      <c r="U279" s="51">
        <f t="shared" si="404"/>
        <v>5601.9319999999989</v>
      </c>
      <c r="V279" s="51">
        <f t="shared" si="404"/>
        <v>5611.0719999999992</v>
      </c>
      <c r="W279" s="51">
        <f t="shared" si="404"/>
        <v>5604.0530000000008</v>
      </c>
      <c r="X279" s="51">
        <f t="shared" si="404"/>
        <v>5472.8459999999995</v>
      </c>
      <c r="Y279" s="51">
        <f t="shared" si="404"/>
        <v>5335.4750000000004</v>
      </c>
      <c r="Z279" s="51">
        <f t="shared" si="404"/>
        <v>5283.7209999999995</v>
      </c>
      <c r="AA279" s="51">
        <f t="shared" si="404"/>
        <v>4430.2749999999996</v>
      </c>
      <c r="AB279" s="51">
        <f t="shared" si="404"/>
        <v>3561.4</v>
      </c>
      <c r="AC279" s="51">
        <f t="shared" si="404"/>
        <v>3265.0149999999999</v>
      </c>
      <c r="AD279" s="51">
        <f t="shared" si="404"/>
        <v>3162.3869999999997</v>
      </c>
      <c r="AE279" s="51">
        <f t="shared" si="404"/>
        <v>2677.125</v>
      </c>
      <c r="AF279" s="51">
        <f t="shared" si="404"/>
        <v>2519.1629999999996</v>
      </c>
      <c r="AG279" s="51">
        <f t="shared" si="404"/>
        <v>2400.9290000000001</v>
      </c>
      <c r="AH279" s="51">
        <f t="shared" si="404"/>
        <v>2347.1419999999998</v>
      </c>
      <c r="AI279" s="51">
        <f t="shared" si="404"/>
        <v>2272.8530000000001</v>
      </c>
      <c r="AJ279" s="51">
        <f t="shared" si="404"/>
        <v>2229.4440000000004</v>
      </c>
      <c r="AK279" s="51">
        <f>SUM(AK195:AK198,AK202,AK203,AK204)-SUM(AK208,AK210,AK213:AK215)</f>
        <v>2240.1999999999998</v>
      </c>
      <c r="AL279" s="51">
        <f t="shared" si="404"/>
        <v>2201.5607336217554</v>
      </c>
      <c r="AM279" s="51">
        <f t="shared" si="404"/>
        <v>2185.2986598720354</v>
      </c>
      <c r="AN279" s="51">
        <f t="shared" si="404"/>
        <v>2175.2372295278792</v>
      </c>
      <c r="AO279" s="51">
        <f t="shared" si="404"/>
        <v>2158.8693384491371</v>
      </c>
      <c r="AP279" s="51">
        <f t="shared" si="404"/>
        <v>2137.2653834717084</v>
      </c>
      <c r="AQ279" s="51">
        <f t="shared" si="404"/>
        <v>2108.6683724672102</v>
      </c>
      <c r="AR279" s="51">
        <f t="shared" si="404"/>
        <v>2081.4419064975009</v>
      </c>
      <c r="AS279" s="51">
        <f t="shared" si="404"/>
        <v>2055.5997954243094</v>
      </c>
      <c r="AT279" s="51">
        <f t="shared" si="404"/>
        <v>2038.0084482864768</v>
      </c>
      <c r="AU279" s="51">
        <f t="shared" si="404"/>
        <v>2020.4387967442249</v>
      </c>
      <c r="AV279" s="51">
        <f t="shared" si="404"/>
        <v>2003.1582899465902</v>
      </c>
      <c r="AW279" s="51">
        <f t="shared" si="404"/>
        <v>1986.1778571030331</v>
      </c>
      <c r="AX279" s="53"/>
      <c r="AY279" s="53"/>
      <c r="AZ279" s="53"/>
      <c r="BA279" s="53"/>
      <c r="BB279" s="53"/>
      <c r="BC279" s="53"/>
      <c r="BD279" s="53"/>
      <c r="BE279" s="53"/>
      <c r="BF279" s="2">
        <f t="shared" si="384"/>
        <v>273</v>
      </c>
    </row>
    <row r="280" spans="1:58" ht="11.25" hidden="1" customHeight="1" outlineLevel="2">
      <c r="A280" s="56"/>
      <c r="B280" s="65" t="s">
        <v>59</v>
      </c>
      <c r="C280" s="51">
        <f t="shared" ref="C280:K280" si="405">SUM(C209,C212,C219)-C194</f>
        <v>5974.380000000001</v>
      </c>
      <c r="D280" s="51">
        <f t="shared" si="405"/>
        <v>5601.9320000000007</v>
      </c>
      <c r="E280" s="51">
        <f t="shared" si="405"/>
        <v>5335.4749999999995</v>
      </c>
      <c r="F280" s="51">
        <f t="shared" si="405"/>
        <v>3265.0150000000003</v>
      </c>
      <c r="G280" s="51">
        <f t="shared" si="405"/>
        <v>2400.9289999999996</v>
      </c>
      <c r="H280" s="51">
        <f t="shared" si="405"/>
        <v>2240.1999999999998</v>
      </c>
      <c r="I280" s="51">
        <f t="shared" si="405"/>
        <v>2158.8693384491371</v>
      </c>
      <c r="J280" s="51">
        <f t="shared" si="405"/>
        <v>2055.5997954243103</v>
      </c>
      <c r="K280" s="51">
        <f t="shared" si="405"/>
        <v>1986.1778571030336</v>
      </c>
      <c r="L280" s="55"/>
      <c r="M280" s="3"/>
      <c r="N280" s="51">
        <f>SUM(N209,N212,N219)-N194</f>
        <v>5761.6040000000003</v>
      </c>
      <c r="O280" s="51">
        <f>SUM(O209,O212,O219)-O194</f>
        <v>5890.3789999999999</v>
      </c>
      <c r="P280" s="51">
        <f>SUM(P209,P212,P219)-P194</f>
        <v>5999.2990000000009</v>
      </c>
      <c r="Q280" s="51">
        <f>SUM(Q209,Q212,Q219)-Q194</f>
        <v>5974.380000000001</v>
      </c>
      <c r="R280" s="51">
        <f t="shared" ref="R280:AW280" si="406">SUM(R209,R212,R219)-R194</f>
        <v>6078.683</v>
      </c>
      <c r="S280" s="51">
        <f t="shared" si="406"/>
        <v>6100.1170000000002</v>
      </c>
      <c r="T280" s="51">
        <f t="shared" si="406"/>
        <v>6033.1559999999999</v>
      </c>
      <c r="U280" s="51">
        <f t="shared" si="406"/>
        <v>5601.9320000000007</v>
      </c>
      <c r="V280" s="51">
        <f t="shared" si="406"/>
        <v>5611.0720000000001</v>
      </c>
      <c r="W280" s="51">
        <f t="shared" si="406"/>
        <v>5604.0529999999999</v>
      </c>
      <c r="X280" s="51">
        <f t="shared" si="406"/>
        <v>5472.8459999999995</v>
      </c>
      <c r="Y280" s="51">
        <f t="shared" si="406"/>
        <v>5335.4749999999995</v>
      </c>
      <c r="Z280" s="51">
        <f t="shared" si="406"/>
        <v>5283.7210000000005</v>
      </c>
      <c r="AA280" s="51">
        <f t="shared" si="406"/>
        <v>4430.2749999999996</v>
      </c>
      <c r="AB280" s="51">
        <f t="shared" si="406"/>
        <v>3561.3999999999996</v>
      </c>
      <c r="AC280" s="51">
        <f t="shared" si="406"/>
        <v>3265.0150000000003</v>
      </c>
      <c r="AD280" s="51">
        <f t="shared" si="406"/>
        <v>3162.3869999999997</v>
      </c>
      <c r="AE280" s="51">
        <f t="shared" si="406"/>
        <v>2677.125</v>
      </c>
      <c r="AF280" s="51">
        <f t="shared" si="406"/>
        <v>2519.1590000000006</v>
      </c>
      <c r="AG280" s="51">
        <f t="shared" si="406"/>
        <v>2400.9289999999996</v>
      </c>
      <c r="AH280" s="51">
        <f t="shared" si="406"/>
        <v>2347.1420000000003</v>
      </c>
      <c r="AI280" s="51">
        <f t="shared" si="406"/>
        <v>2272.8530000000001</v>
      </c>
      <c r="AJ280" s="51">
        <f t="shared" si="406"/>
        <v>2229.4439999999995</v>
      </c>
      <c r="AK280" s="51">
        <f>SUM(AK209,AK212,AK219)-AK194</f>
        <v>2240.1999999999998</v>
      </c>
      <c r="AL280" s="51">
        <f t="shared" si="406"/>
        <v>2201.5607336217554</v>
      </c>
      <c r="AM280" s="51">
        <f t="shared" si="406"/>
        <v>2185.2986598720345</v>
      </c>
      <c r="AN280" s="51">
        <f t="shared" si="406"/>
        <v>2175.2372295278792</v>
      </c>
      <c r="AO280" s="51">
        <f t="shared" si="406"/>
        <v>2158.8693384491371</v>
      </c>
      <c r="AP280" s="51">
        <f t="shared" si="406"/>
        <v>2137.2653834717094</v>
      </c>
      <c r="AQ280" s="51">
        <f t="shared" si="406"/>
        <v>2108.6683724672112</v>
      </c>
      <c r="AR280" s="51">
        <f t="shared" si="406"/>
        <v>2081.4419064975018</v>
      </c>
      <c r="AS280" s="51">
        <f t="shared" si="406"/>
        <v>2055.5997954243103</v>
      </c>
      <c r="AT280" s="51">
        <f t="shared" si="406"/>
        <v>2038.008448286477</v>
      </c>
      <c r="AU280" s="51">
        <f t="shared" si="406"/>
        <v>2020.4387967442253</v>
      </c>
      <c r="AV280" s="51">
        <f t="shared" si="406"/>
        <v>2003.1582899465902</v>
      </c>
      <c r="AW280" s="51">
        <f t="shared" si="406"/>
        <v>1986.1778571030336</v>
      </c>
      <c r="AX280" s="53"/>
      <c r="AY280" s="53"/>
      <c r="AZ280" s="53"/>
      <c r="BA280" s="53"/>
      <c r="BB280" s="53"/>
      <c r="BC280" s="53"/>
      <c r="BD280" s="53"/>
      <c r="BE280" s="53"/>
      <c r="BF280" s="2">
        <f t="shared" si="384"/>
        <v>274</v>
      </c>
    </row>
    <row r="281" spans="1:58" ht="11.25" hidden="1" customHeight="1" outlineLevel="2">
      <c r="A281" s="56"/>
      <c r="B281" s="59" t="s">
        <v>22</v>
      </c>
      <c r="C281" s="51">
        <f t="shared" ref="C281:K281" si="407">C31</f>
        <v>706.52200000000005</v>
      </c>
      <c r="D281" s="51">
        <f t="shared" si="407"/>
        <v>479.36700000000002</v>
      </c>
      <c r="E281" s="51">
        <f t="shared" si="407"/>
        <v>546.60400000000004</v>
      </c>
      <c r="F281" s="51">
        <f t="shared" si="407"/>
        <v>-190.28200000000001</v>
      </c>
      <c r="G281" s="51">
        <f t="shared" si="407"/>
        <v>-469.827</v>
      </c>
      <c r="H281" s="51">
        <f t="shared" si="407"/>
        <v>-258.84200000000004</v>
      </c>
      <c r="I281" s="51">
        <f t="shared" si="407"/>
        <v>-57.043386000378881</v>
      </c>
      <c r="J281" s="51">
        <f t="shared" si="407"/>
        <v>136.95957692825516</v>
      </c>
      <c r="K281" s="51">
        <f t="shared" si="407"/>
        <v>198.29231124231364</v>
      </c>
      <c r="L281" s="55"/>
      <c r="M281" s="3"/>
      <c r="N281" s="51">
        <f t="shared" ref="N281:AW281" si="408">N31</f>
        <v>141.453</v>
      </c>
      <c r="O281" s="51">
        <f t="shared" si="408"/>
        <v>239</v>
      </c>
      <c r="P281" s="51">
        <f t="shared" si="408"/>
        <v>179.43900000000002</v>
      </c>
      <c r="Q281" s="51">
        <f t="shared" si="408"/>
        <v>146.63000000000002</v>
      </c>
      <c r="R281" s="51">
        <f t="shared" si="408"/>
        <v>128.19400000000002</v>
      </c>
      <c r="S281" s="51">
        <f t="shared" si="408"/>
        <v>135.87599999999998</v>
      </c>
      <c r="T281" s="51">
        <f t="shared" si="408"/>
        <v>124.65299999999998</v>
      </c>
      <c r="U281" s="51">
        <f t="shared" si="408"/>
        <v>90.64400000000002</v>
      </c>
      <c r="V281" s="51">
        <f t="shared" si="408"/>
        <v>91.575999999999993</v>
      </c>
      <c r="W281" s="51">
        <f t="shared" si="408"/>
        <v>149.441</v>
      </c>
      <c r="X281" s="51">
        <f t="shared" si="408"/>
        <v>162.321</v>
      </c>
      <c r="Y281" s="51">
        <f t="shared" si="408"/>
        <v>143.26599999999999</v>
      </c>
      <c r="Z281" s="51">
        <f t="shared" si="408"/>
        <v>21.807000000000002</v>
      </c>
      <c r="AA281" s="51">
        <f t="shared" si="408"/>
        <v>-42.762000000000008</v>
      </c>
      <c r="AB281" s="51">
        <f t="shared" si="408"/>
        <v>-78.534000000000006</v>
      </c>
      <c r="AC281" s="51">
        <f t="shared" si="408"/>
        <v>-90.793000000000006</v>
      </c>
      <c r="AD281" s="51">
        <f t="shared" si="408"/>
        <v>-96.73299999999999</v>
      </c>
      <c r="AE281" s="51">
        <f t="shared" si="408"/>
        <v>-109.74600000000001</v>
      </c>
      <c r="AF281" s="51">
        <f t="shared" si="408"/>
        <v>-137.74700000000001</v>
      </c>
      <c r="AG281" s="51">
        <f t="shared" si="408"/>
        <v>-125.601</v>
      </c>
      <c r="AH281" s="51">
        <f t="shared" si="408"/>
        <v>-110.82400000000001</v>
      </c>
      <c r="AI281" s="51">
        <f t="shared" si="408"/>
        <v>-66.561000000000007</v>
      </c>
      <c r="AJ281" s="51">
        <f t="shared" si="408"/>
        <v>-45.373000000000005</v>
      </c>
      <c r="AK281" s="51">
        <f t="shared" si="408"/>
        <v>-36.084000000000003</v>
      </c>
      <c r="AL281" s="51">
        <f t="shared" si="408"/>
        <v>-44.208910799999991</v>
      </c>
      <c r="AM281" s="51">
        <f t="shared" si="408"/>
        <v>-25.709332753500014</v>
      </c>
      <c r="AN281" s="51">
        <f t="shared" si="408"/>
        <v>-0.20741117051088764</v>
      </c>
      <c r="AO281" s="51">
        <f t="shared" si="408"/>
        <v>13.082268723632012</v>
      </c>
      <c r="AP281" s="51">
        <f t="shared" si="408"/>
        <v>24.181545305057597</v>
      </c>
      <c r="AQ281" s="51">
        <f t="shared" si="408"/>
        <v>30.780632713116116</v>
      </c>
      <c r="AR281" s="51">
        <f t="shared" si="408"/>
        <v>37.539157686665291</v>
      </c>
      <c r="AS281" s="51">
        <f t="shared" si="408"/>
        <v>44.458241223416145</v>
      </c>
      <c r="AT281" s="51">
        <f t="shared" si="408"/>
        <v>47.463804399802271</v>
      </c>
      <c r="AU281" s="51">
        <f t="shared" si="408"/>
        <v>48.834611871334673</v>
      </c>
      <c r="AV281" s="51">
        <f t="shared" si="408"/>
        <v>50.258729282217899</v>
      </c>
      <c r="AW281" s="51">
        <f t="shared" si="408"/>
        <v>51.735165688958787</v>
      </c>
      <c r="AX281" s="53"/>
      <c r="AY281" s="53"/>
      <c r="AZ281" s="53"/>
      <c r="BA281" s="53"/>
      <c r="BB281" s="53"/>
      <c r="BC281" s="53"/>
      <c r="BD281" s="53"/>
      <c r="BE281" s="53"/>
      <c r="BF281" s="2">
        <f t="shared" si="384"/>
        <v>275</v>
      </c>
    </row>
    <row r="282" spans="1:58" ht="11.25" hidden="1" customHeight="1" outlineLevel="2">
      <c r="A282" s="56"/>
      <c r="B282" s="59" t="s">
        <v>58</v>
      </c>
      <c r="C282" s="51">
        <f t="shared" ref="C282:K282" si="409">C281*(1-C462)</f>
        <v>441.57625000000002</v>
      </c>
      <c r="D282" s="51">
        <f t="shared" si="409"/>
        <v>299.604375</v>
      </c>
      <c r="E282" s="51">
        <f t="shared" si="409"/>
        <v>341.62750000000005</v>
      </c>
      <c r="F282" s="51">
        <f t="shared" si="409"/>
        <v>-118.92625000000001</v>
      </c>
      <c r="G282" s="51">
        <f t="shared" si="409"/>
        <v>-293.64187500000003</v>
      </c>
      <c r="H282" s="51">
        <f t="shared" si="409"/>
        <v>-161.77625000000003</v>
      </c>
      <c r="I282" s="51">
        <f t="shared" si="409"/>
        <v>-43.352973360287947</v>
      </c>
      <c r="J282" s="51">
        <f t="shared" si="409"/>
        <v>104.08927846547392</v>
      </c>
      <c r="K282" s="51">
        <f t="shared" si="409"/>
        <v>150.70215654415838</v>
      </c>
      <c r="L282" s="55"/>
      <c r="M282" s="3"/>
      <c r="N282" s="51">
        <f t="shared" ref="N282:AW282" si="410">N281*(1-N462)</f>
        <v>88.408124999999998</v>
      </c>
      <c r="O282" s="51">
        <f t="shared" si="410"/>
        <v>149.375</v>
      </c>
      <c r="P282" s="51">
        <f t="shared" si="410"/>
        <v>112.14937500000002</v>
      </c>
      <c r="Q282" s="51">
        <f t="shared" si="410"/>
        <v>91.643750000000011</v>
      </c>
      <c r="R282" s="51">
        <f t="shared" si="410"/>
        <v>80.121250000000003</v>
      </c>
      <c r="S282" s="51">
        <f t="shared" si="410"/>
        <v>84.922499999999985</v>
      </c>
      <c r="T282" s="51">
        <f t="shared" si="410"/>
        <v>77.908124999999984</v>
      </c>
      <c r="U282" s="51">
        <f t="shared" si="410"/>
        <v>56.652500000000011</v>
      </c>
      <c r="V282" s="51">
        <f t="shared" si="410"/>
        <v>57.234999999999999</v>
      </c>
      <c r="W282" s="51">
        <f t="shared" si="410"/>
        <v>93.400625000000005</v>
      </c>
      <c r="X282" s="51">
        <f t="shared" si="410"/>
        <v>101.450625</v>
      </c>
      <c r="Y282" s="51">
        <f t="shared" si="410"/>
        <v>89.541249999999991</v>
      </c>
      <c r="Z282" s="51">
        <f t="shared" si="410"/>
        <v>13.629375000000001</v>
      </c>
      <c r="AA282" s="51">
        <f t="shared" si="410"/>
        <v>-26.726250000000004</v>
      </c>
      <c r="AB282" s="51">
        <f t="shared" si="410"/>
        <v>-49.083750000000002</v>
      </c>
      <c r="AC282" s="51">
        <f t="shared" si="410"/>
        <v>-56.745625000000004</v>
      </c>
      <c r="AD282" s="51">
        <f t="shared" si="410"/>
        <v>-60.458124999999995</v>
      </c>
      <c r="AE282" s="51">
        <f t="shared" si="410"/>
        <v>-68.591250000000002</v>
      </c>
      <c r="AF282" s="51">
        <f t="shared" si="410"/>
        <v>-86.091875000000016</v>
      </c>
      <c r="AG282" s="51">
        <f t="shared" si="410"/>
        <v>-78.500624999999999</v>
      </c>
      <c r="AH282" s="51">
        <f t="shared" si="410"/>
        <v>-69.265000000000015</v>
      </c>
      <c r="AI282" s="51">
        <f t="shared" si="410"/>
        <v>-41.600625000000008</v>
      </c>
      <c r="AJ282" s="51">
        <f t="shared" si="410"/>
        <v>-28.358125000000001</v>
      </c>
      <c r="AK282" s="51">
        <f t="shared" si="410"/>
        <v>-22.552500000000002</v>
      </c>
      <c r="AL282" s="51">
        <f t="shared" si="410"/>
        <v>-33.598772207999993</v>
      </c>
      <c r="AM282" s="51">
        <f t="shared" si="410"/>
        <v>-19.539092892660012</v>
      </c>
      <c r="AN282" s="51">
        <f t="shared" si="410"/>
        <v>-0.15763248958827461</v>
      </c>
      <c r="AO282" s="51">
        <f t="shared" si="410"/>
        <v>9.9425242299603287</v>
      </c>
      <c r="AP282" s="51">
        <f t="shared" si="410"/>
        <v>18.377974431843775</v>
      </c>
      <c r="AQ282" s="51">
        <f t="shared" si="410"/>
        <v>23.393280861968247</v>
      </c>
      <c r="AR282" s="51">
        <f t="shared" si="410"/>
        <v>28.529759841865623</v>
      </c>
      <c r="AS282" s="51">
        <f t="shared" si="410"/>
        <v>33.788263329796273</v>
      </c>
      <c r="AT282" s="51">
        <f t="shared" si="410"/>
        <v>36.072491343849727</v>
      </c>
      <c r="AU282" s="51">
        <f t="shared" si="410"/>
        <v>37.114305022214353</v>
      </c>
      <c r="AV282" s="51">
        <f t="shared" si="410"/>
        <v>38.196634254485602</v>
      </c>
      <c r="AW282" s="51">
        <f t="shared" si="410"/>
        <v>39.318725923608682</v>
      </c>
      <c r="AX282" s="53"/>
      <c r="AY282" s="53"/>
      <c r="AZ282" s="53"/>
      <c r="BA282" s="53"/>
      <c r="BB282" s="53"/>
      <c r="BC282" s="53"/>
      <c r="BD282" s="53"/>
      <c r="BE282" s="53"/>
      <c r="BF282" s="2">
        <f t="shared" si="384"/>
        <v>276</v>
      </c>
    </row>
    <row r="283" spans="1:58" ht="11.25" hidden="1" customHeight="1" outlineLevel="2">
      <c r="A283" s="11"/>
      <c r="B283" s="65" t="s">
        <v>57</v>
      </c>
      <c r="C283" s="13">
        <f t="shared" ref="C283:K283" si="411">C282/C15</f>
        <v>9.6665866182377325E-2</v>
      </c>
      <c r="D283" s="13">
        <f t="shared" si="411"/>
        <v>6.4964399118439903E-2</v>
      </c>
      <c r="E283" s="13">
        <f t="shared" si="411"/>
        <v>7.4973851243311407E-2</v>
      </c>
      <c r="F283" s="13">
        <f t="shared" si="411"/>
        <v>-4.3219741501963359E-2</v>
      </c>
      <c r="G283" s="13">
        <f t="shared" si="411"/>
        <v>-0.20250507397346432</v>
      </c>
      <c r="H283" s="13">
        <f t="shared" si="411"/>
        <v>-8.6323206742949604E-2</v>
      </c>
      <c r="I283" s="13">
        <f t="shared" si="411"/>
        <v>-1.9431503671802363E-2</v>
      </c>
      <c r="J283" s="13">
        <f t="shared" si="411"/>
        <v>3.8419208843486381E-2</v>
      </c>
      <c r="K283" s="13">
        <f t="shared" si="411"/>
        <v>5.2899892362905904E-2</v>
      </c>
      <c r="L283" s="15"/>
      <c r="M283" s="3"/>
      <c r="N283" s="13">
        <f t="shared" ref="N283:AW283" si="412">N282/N15</f>
        <v>9.1440568575675105E-2</v>
      </c>
      <c r="O283" s="13">
        <f t="shared" si="412"/>
        <v>0.12014213568681892</v>
      </c>
      <c r="P283" s="13">
        <f t="shared" si="412"/>
        <v>9.5068833100922734E-2</v>
      </c>
      <c r="Q283" s="13">
        <f t="shared" si="412"/>
        <v>7.777974397558407E-2</v>
      </c>
      <c r="R283" s="13">
        <f t="shared" si="412"/>
        <v>7.0561630818359491E-2</v>
      </c>
      <c r="S283" s="13">
        <f t="shared" si="412"/>
        <v>7.3227169135812037E-2</v>
      </c>
      <c r="T283" s="13">
        <f t="shared" si="412"/>
        <v>6.5545298519705697E-2</v>
      </c>
      <c r="U283" s="13">
        <f t="shared" si="412"/>
        <v>5.0223090609450051E-2</v>
      </c>
      <c r="V283" s="13">
        <f t="shared" si="412"/>
        <v>5.3923148090573171E-2</v>
      </c>
      <c r="W283" s="13">
        <f t="shared" si="412"/>
        <v>8.4330690568027514E-2</v>
      </c>
      <c r="X283" s="13">
        <f t="shared" si="412"/>
        <v>8.3911036652644364E-2</v>
      </c>
      <c r="Y283" s="13">
        <f t="shared" si="412"/>
        <v>7.5970876257608441E-2</v>
      </c>
      <c r="Z283" s="13">
        <f t="shared" si="412"/>
        <v>1.4859196389147818E-2</v>
      </c>
      <c r="AA283" s="13">
        <f t="shared" si="412"/>
        <v>-3.7601085561858455E-2</v>
      </c>
      <c r="AB283" s="13">
        <f t="shared" si="412"/>
        <v>-8.1616355945167585E-2</v>
      </c>
      <c r="AC283" s="13">
        <f t="shared" si="412"/>
        <v>-0.10865605552896124</v>
      </c>
      <c r="AD283" s="13">
        <f t="shared" si="412"/>
        <v>-0.14634058523526319</v>
      </c>
      <c r="AE283" s="13">
        <f t="shared" si="412"/>
        <v>-0.19252549323408305</v>
      </c>
      <c r="AF283" s="13">
        <f t="shared" si="412"/>
        <v>-0.26390336424247074</v>
      </c>
      <c r="AG283" s="13">
        <f t="shared" si="412"/>
        <v>-0.22149164263666066</v>
      </c>
      <c r="AH283" s="13">
        <f t="shared" si="412"/>
        <v>-0.17275824570505022</v>
      </c>
      <c r="AI283" s="13">
        <f t="shared" si="412"/>
        <v>-8.849916395074757E-2</v>
      </c>
      <c r="AJ283" s="13">
        <f t="shared" si="412"/>
        <v>-5.6040513488357396E-2</v>
      </c>
      <c r="AK283" s="13">
        <f t="shared" si="412"/>
        <v>-4.5373337920461616E-2</v>
      </c>
      <c r="AL283" s="13">
        <f t="shared" si="412"/>
        <v>-6.9295987689942898E-2</v>
      </c>
      <c r="AM283" s="13">
        <f t="shared" si="412"/>
        <v>-3.6960548920344991E-2</v>
      </c>
      <c r="AN283" s="13">
        <f t="shared" si="412"/>
        <v>-2.6718044489720594E-4</v>
      </c>
      <c r="AO283" s="13">
        <f t="shared" si="412"/>
        <v>1.5842764326791485E-2</v>
      </c>
      <c r="AP283" s="13">
        <f t="shared" si="412"/>
        <v>2.8131867523620561E-2</v>
      </c>
      <c r="AQ283" s="13">
        <f t="shared" si="412"/>
        <v>3.4966290976394129E-2</v>
      </c>
      <c r="AR283" s="13">
        <f t="shared" si="412"/>
        <v>4.1637461328623046E-2</v>
      </c>
      <c r="AS283" s="13">
        <f t="shared" si="412"/>
        <v>4.8144793500233776E-2</v>
      </c>
      <c r="AT283" s="13">
        <f t="shared" si="412"/>
        <v>5.1090027389402229E-2</v>
      </c>
      <c r="AU283" s="13">
        <f t="shared" si="412"/>
        <v>5.2267656101438291E-2</v>
      </c>
      <c r="AV283" s="13">
        <f t="shared" si="412"/>
        <v>5.3480532994902692E-2</v>
      </c>
      <c r="AW283" s="13">
        <f t="shared" si="412"/>
        <v>5.4726159142234172E-2</v>
      </c>
      <c r="AX283" s="63"/>
      <c r="AY283" s="63"/>
      <c r="AZ283" s="63"/>
      <c r="BA283" s="63"/>
      <c r="BB283" s="63"/>
      <c r="BC283" s="63"/>
      <c r="BD283" s="63"/>
      <c r="BE283" s="63"/>
      <c r="BF283" s="2">
        <f t="shared" si="384"/>
        <v>277</v>
      </c>
    </row>
    <row r="284" spans="1:58" ht="11.25" hidden="1" customHeight="1" outlineLevel="2">
      <c r="A284" s="56"/>
      <c r="B284" s="59"/>
      <c r="C284" s="3"/>
      <c r="D284" s="3"/>
      <c r="E284" s="3"/>
      <c r="F284" s="3"/>
      <c r="G284" s="3"/>
      <c r="H284" s="3"/>
      <c r="I284" s="3"/>
      <c r="J284" s="3"/>
      <c r="K284" s="3"/>
      <c r="L284" s="55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57"/>
      <c r="AY284" s="57"/>
      <c r="AZ284" s="57"/>
      <c r="BA284" s="57"/>
      <c r="BB284" s="57"/>
      <c r="BC284" s="57"/>
      <c r="BD284" s="57"/>
      <c r="BE284" s="57"/>
      <c r="BF284" s="2">
        <f t="shared" si="384"/>
        <v>278</v>
      </c>
    </row>
    <row r="285" spans="1:58" ht="11.25" hidden="1" customHeight="1" outlineLevel="2">
      <c r="A285" s="11"/>
      <c r="B285" s="65" t="s">
        <v>56</v>
      </c>
      <c r="C285" s="13">
        <f>C15/AVERAGE(C279:C279)</f>
        <v>0.76460954944278747</v>
      </c>
      <c r="D285" s="13">
        <f t="shared" ref="D285:K285" si="413">D15/AVERAGE(C279:D279)</f>
        <v>0.79676912647136688</v>
      </c>
      <c r="E285" s="13">
        <f t="shared" si="413"/>
        <v>0.83321796473332288</v>
      </c>
      <c r="F285" s="13">
        <f t="shared" si="413"/>
        <v>0.63988563442315494</v>
      </c>
      <c r="G285" s="13">
        <f t="shared" si="413"/>
        <v>0.51184656960958319</v>
      </c>
      <c r="H285" s="13">
        <f t="shared" si="413"/>
        <v>0.8075948761605205</v>
      </c>
      <c r="I285" s="13">
        <f t="shared" si="413"/>
        <v>1.0143356000399155</v>
      </c>
      <c r="J285" s="13">
        <f t="shared" si="413"/>
        <v>1.2857149652072897</v>
      </c>
      <c r="K285" s="13">
        <f t="shared" si="413"/>
        <v>1.4096855762255809</v>
      </c>
      <c r="L285" s="15"/>
      <c r="M285" s="3"/>
      <c r="N285" s="13">
        <f>4*N15/AVERAGE(N279:N279)</f>
        <v>0.67122766507382325</v>
      </c>
      <c r="O285" s="13">
        <f t="shared" ref="O285:AW285" si="414">4*O15/AVERAGE(N279:O279)</f>
        <v>0.85363598625229709</v>
      </c>
      <c r="P285" s="13">
        <f t="shared" si="414"/>
        <v>0.7937339116003681</v>
      </c>
      <c r="Q285" s="13">
        <f t="shared" si="414"/>
        <v>0.78721813723136214</v>
      </c>
      <c r="R285" s="13">
        <f t="shared" si="414"/>
        <v>0.75365340743676523</v>
      </c>
      <c r="S285" s="13">
        <f t="shared" si="414"/>
        <v>0.76179130948861962</v>
      </c>
      <c r="T285" s="13">
        <f t="shared" si="414"/>
        <v>0.7837060948022847</v>
      </c>
      <c r="U285" s="13">
        <f t="shared" si="414"/>
        <v>0.77559671228958471</v>
      </c>
      <c r="V285" s="13">
        <f t="shared" si="414"/>
        <v>0.75727646222189904</v>
      </c>
      <c r="W285" s="13">
        <f t="shared" si="414"/>
        <v>0.79004166248704311</v>
      </c>
      <c r="X285" s="13">
        <f t="shared" si="414"/>
        <v>0.87318734241415397</v>
      </c>
      <c r="Y285" s="13">
        <f t="shared" si="414"/>
        <v>0.87238415661414925</v>
      </c>
      <c r="Z285" s="13">
        <f t="shared" si="414"/>
        <v>0.69100146564768195</v>
      </c>
      <c r="AA285" s="13">
        <f t="shared" si="414"/>
        <v>0.58536898718097075</v>
      </c>
      <c r="AB285" s="13">
        <f t="shared" si="414"/>
        <v>0.60202247964287836</v>
      </c>
      <c r="AC285" s="13">
        <f t="shared" si="414"/>
        <v>0.61203428153723438</v>
      </c>
      <c r="AD285" s="13">
        <f t="shared" si="414"/>
        <v>0.51421460801736074</v>
      </c>
      <c r="AE285" s="13">
        <f t="shared" si="414"/>
        <v>0.4880832507921895</v>
      </c>
      <c r="AF285" s="13">
        <f t="shared" si="414"/>
        <v>0.50224313971819889</v>
      </c>
      <c r="AG285" s="13">
        <f t="shared" si="414"/>
        <v>0.57627865495198061</v>
      </c>
      <c r="AH285" s="13">
        <f t="shared" si="414"/>
        <v>0.67553496988566519</v>
      </c>
      <c r="AI285" s="13">
        <f t="shared" si="414"/>
        <v>0.81397144369203867</v>
      </c>
      <c r="AJ285" s="13">
        <f t="shared" si="414"/>
        <v>0.89914814593528569</v>
      </c>
      <c r="AK285" s="13">
        <f t="shared" si="414"/>
        <v>0.88963326833188505</v>
      </c>
      <c r="AL285" s="13">
        <f t="shared" si="414"/>
        <v>0.87327322488107506</v>
      </c>
      <c r="AM285" s="13">
        <f t="shared" si="414"/>
        <v>0.96405598991213404</v>
      </c>
      <c r="AN285" s="13">
        <f t="shared" si="414"/>
        <v>1.0824084841575603</v>
      </c>
      <c r="AO285" s="13">
        <f t="shared" si="414"/>
        <v>1.1583934617268563</v>
      </c>
      <c r="AP285" s="13">
        <f t="shared" si="414"/>
        <v>1.2164973703890043</v>
      </c>
      <c r="AQ285" s="13">
        <f t="shared" si="414"/>
        <v>1.2605449608700565</v>
      </c>
      <c r="AR285" s="13">
        <f t="shared" si="414"/>
        <v>1.3082128396254888</v>
      </c>
      <c r="AS285" s="13">
        <f t="shared" si="414"/>
        <v>1.357114936021603</v>
      </c>
      <c r="AT285" s="13">
        <f t="shared" si="414"/>
        <v>1.3798240515294506</v>
      </c>
      <c r="AU285" s="13">
        <f t="shared" si="414"/>
        <v>1.3997110451698656</v>
      </c>
      <c r="AV285" s="13">
        <f t="shared" si="414"/>
        <v>1.420054038591944</v>
      </c>
      <c r="AW285" s="13">
        <f t="shared" si="414"/>
        <v>1.4407672315664359</v>
      </c>
      <c r="AX285" s="63"/>
      <c r="AY285" s="63"/>
      <c r="AZ285" s="63"/>
      <c r="BA285" s="63"/>
      <c r="BB285" s="63"/>
      <c r="BC285" s="63"/>
      <c r="BD285" s="63"/>
      <c r="BE285" s="63"/>
      <c r="BF285" s="2">
        <f t="shared" si="384"/>
        <v>279</v>
      </c>
    </row>
    <row r="286" spans="1:58" ht="11.25" hidden="1" customHeight="1" outlineLevel="2">
      <c r="A286" s="11"/>
      <c r="B286" s="65" t="s">
        <v>55</v>
      </c>
      <c r="C286" s="13">
        <f>C282/AVERAGE(C279:C279)</f>
        <v>7.3911644388204314E-2</v>
      </c>
      <c r="D286" s="13">
        <f t="shared" ref="D286:K286" si="415">D282/AVERAGE(C279:D279)</f>
        <v>5.1761627537336596E-2</v>
      </c>
      <c r="E286" s="13">
        <f t="shared" si="415"/>
        <v>6.2469559741170841E-2</v>
      </c>
      <c r="F286" s="13">
        <f t="shared" si="415"/>
        <v>-2.7655691710588584E-2</v>
      </c>
      <c r="G286" s="13">
        <f t="shared" si="415"/>
        <v>-0.1036515274418526</v>
      </c>
      <c r="H286" s="13">
        <f t="shared" si="415"/>
        <v>-6.9714179459351391E-2</v>
      </c>
      <c r="I286" s="13">
        <f t="shared" si="415"/>
        <v>-1.9710065936615472E-2</v>
      </c>
      <c r="J286" s="13">
        <f t="shared" si="415"/>
        <v>4.9396151761494693E-2</v>
      </c>
      <c r="K286" s="13">
        <f t="shared" si="415"/>
        <v>7.4572215247874218E-2</v>
      </c>
      <c r="L286" s="15"/>
      <c r="M286" s="3"/>
      <c r="N286" s="13">
        <f>4*N282/AVERAGE(N279:N279)</f>
        <v>6.1377439338073214E-2</v>
      </c>
      <c r="O286" s="13">
        <f>4*O282/AVERAGE(N279:O279)</f>
        <v>0.10255765048747496</v>
      </c>
      <c r="P286" s="13">
        <f>4*P282/AVERAGE(O279:P279)</f>
        <v>7.5459356768477953E-2</v>
      </c>
      <c r="Q286" s="13">
        <f>4*Q282/AVERAGE(P279:Q279)</f>
        <v>6.1229625166791549E-2</v>
      </c>
      <c r="R286" s="13">
        <f>4*R282/AVERAGE(Q279:R279)</f>
        <v>5.3179013500551695E-2</v>
      </c>
      <c r="S286" s="13">
        <f t="shared" ref="S286:AW286" si="416">4*S282/AVERAGE(R279:S279)</f>
        <v>5.5783821066114882E-2</v>
      </c>
      <c r="T286" s="13">
        <f t="shared" si="416"/>
        <v>5.136824993552852E-2</v>
      </c>
      <c r="U286" s="13">
        <f t="shared" si="416"/>
        <v>3.895286395771138E-2</v>
      </c>
      <c r="V286" s="13">
        <f t="shared" si="416"/>
        <v>4.0834730817896799E-2</v>
      </c>
      <c r="W286" s="13">
        <f t="shared" si="416"/>
        <v>6.662475897504487E-2</v>
      </c>
      <c r="X286" s="13">
        <f t="shared" si="416"/>
        <v>7.327005509393919E-2</v>
      </c>
      <c r="Y286" s="13">
        <f t="shared" si="416"/>
        <v>6.627578881123164E-2</v>
      </c>
      <c r="Z286" s="13">
        <f t="shared" si="416"/>
        <v>1.0267726483247886E-2</v>
      </c>
      <c r="AA286" s="13">
        <f t="shared" si="416"/>
        <v>-2.2010509372250107E-2</v>
      </c>
      <c r="AB286" s="13">
        <f t="shared" si="416"/>
        <v>-4.913488098552557E-2</v>
      </c>
      <c r="AC286" s="13">
        <f t="shared" si="416"/>
        <v>-6.6501230880337631E-2</v>
      </c>
      <c r="AD286" s="13">
        <f t="shared" si="416"/>
        <v>-7.5250466673782032E-2</v>
      </c>
      <c r="AE286" s="13">
        <f t="shared" si="416"/>
        <v>-9.3968468598060947E-2</v>
      </c>
      <c r="AF286" s="13">
        <f t="shared" si="416"/>
        <v>-0.13254365423933395</v>
      </c>
      <c r="AG286" s="13">
        <f t="shared" si="416"/>
        <v>-0.12764090590175958</v>
      </c>
      <c r="AH286" s="13">
        <f t="shared" si="416"/>
        <v>-0.11670423630986144</v>
      </c>
      <c r="AI286" s="13">
        <f t="shared" si="416"/>
        <v>-7.2035792246528424E-2</v>
      </c>
      <c r="AJ286" s="13">
        <f t="shared" si="416"/>
        <v>-5.0388723800317926E-2</v>
      </c>
      <c r="AK286" s="13">
        <f t="shared" si="416"/>
        <v>-4.0365630909307317E-2</v>
      </c>
      <c r="AL286" s="13">
        <f t="shared" si="416"/>
        <v>-6.0514330641315714E-2</v>
      </c>
      <c r="AM286" s="13">
        <f t="shared" si="416"/>
        <v>-3.5632038577099047E-2</v>
      </c>
      <c r="AN286" s="13">
        <f t="shared" si="416"/>
        <v>-2.8919838035772725E-4</v>
      </c>
      <c r="AO286" s="13">
        <f t="shared" si="416"/>
        <v>1.8352154611834738E-2</v>
      </c>
      <c r="AP286" s="13">
        <f t="shared" si="416"/>
        <v>3.422234286661624E-2</v>
      </c>
      <c r="AQ286" s="13">
        <f t="shared" si="416"/>
        <v>4.4076581890609749E-2</v>
      </c>
      <c r="AR286" s="13">
        <f t="shared" si="416"/>
        <v>5.4470661519514435E-2</v>
      </c>
      <c r="AS286" s="13">
        <f t="shared" si="416"/>
        <v>6.5338018350843047E-2</v>
      </c>
      <c r="AT286" s="13">
        <f t="shared" si="416"/>
        <v>7.0495248585195597E-2</v>
      </c>
      <c r="AU286" s="13">
        <f t="shared" si="416"/>
        <v>7.3159615550323284E-2</v>
      </c>
      <c r="AV286" s="13">
        <f t="shared" si="416"/>
        <v>7.5945246865461294E-2</v>
      </c>
      <c r="AW286" s="13">
        <f t="shared" si="416"/>
        <v>7.8847656801620924E-2</v>
      </c>
      <c r="AX286" s="63"/>
      <c r="AY286" s="63"/>
      <c r="AZ286" s="63"/>
      <c r="BA286" s="63"/>
      <c r="BB286" s="63"/>
      <c r="BC286" s="63"/>
      <c r="BD286" s="63"/>
      <c r="BE286" s="63"/>
      <c r="BF286" s="2">
        <f t="shared" si="384"/>
        <v>280</v>
      </c>
    </row>
    <row r="287" spans="1:58" ht="11.25" hidden="1" customHeight="1" outlineLevel="2">
      <c r="A287" s="11"/>
      <c r="B287" s="65" t="s">
        <v>54</v>
      </c>
      <c r="C287" s="13">
        <f>C36/AVERAGE(C219:C219)</f>
        <v>9.4014080096353675E-2</v>
      </c>
      <c r="D287" s="13">
        <f t="shared" ref="D287:K287" si="417">D36/AVERAGE(C219:D219)</f>
        <v>5.988192797795594E-2</v>
      </c>
      <c r="E287" s="13">
        <f t="shared" si="417"/>
        <v>6.8392102379413844E-2</v>
      </c>
      <c r="F287" s="13">
        <f t="shared" si="417"/>
        <v>-6.1709707418270213E-2</v>
      </c>
      <c r="G287" s="13">
        <f t="shared" si="417"/>
        <v>-0.21473216165556866</v>
      </c>
      <c r="H287" s="13">
        <f t="shared" si="417"/>
        <v>-0.20503056007164819</v>
      </c>
      <c r="I287" s="13">
        <f t="shared" si="417"/>
        <v>-0.12072551170568381</v>
      </c>
      <c r="J287" s="13">
        <f t="shared" si="417"/>
        <v>2.4143674786929543E-2</v>
      </c>
      <c r="K287" s="13">
        <f t="shared" si="417"/>
        <v>6.4907081285076954E-2</v>
      </c>
      <c r="L287" s="15"/>
      <c r="M287" s="3"/>
      <c r="N287" s="13">
        <f>4*N36/AVERAGE(N219:N219)</f>
        <v>9.4927381225354948E-2</v>
      </c>
      <c r="O287" s="13">
        <f t="shared" ref="O287:AW287" si="418">4*O36/AVERAGE(N219:O219)</f>
        <v>0.13257650812781749</v>
      </c>
      <c r="P287" s="13">
        <f t="shared" si="418"/>
        <v>9.3133854759955559E-2</v>
      </c>
      <c r="Q287" s="13">
        <f t="shared" si="418"/>
        <v>7.480822534399155E-2</v>
      </c>
      <c r="R287" s="13">
        <f t="shared" si="418"/>
        <v>5.9821739626833438E-2</v>
      </c>
      <c r="S287" s="13">
        <f t="shared" si="418"/>
        <v>6.3358165765436875E-2</v>
      </c>
      <c r="T287" s="13">
        <f t="shared" si="418"/>
        <v>6.3347265997628147E-2</v>
      </c>
      <c r="U287" s="13">
        <f t="shared" si="418"/>
        <v>4.4971078888666187E-2</v>
      </c>
      <c r="V287" s="13">
        <f t="shared" si="418"/>
        <v>4.1449245556343994E-2</v>
      </c>
      <c r="W287" s="13">
        <f t="shared" si="418"/>
        <v>7.6706380898843005E-2</v>
      </c>
      <c r="X287" s="13">
        <f t="shared" si="418"/>
        <v>8.2731700539379949E-2</v>
      </c>
      <c r="Y287" s="13">
        <f t="shared" si="418"/>
        <v>7.1387911229262774E-2</v>
      </c>
      <c r="Z287" s="13">
        <f t="shared" si="418"/>
        <v>-1.470363688803178E-3</v>
      </c>
      <c r="AA287" s="13">
        <f t="shared" si="418"/>
        <v>-5.1637929578101809E-2</v>
      </c>
      <c r="AB287" s="13">
        <f t="shared" si="418"/>
        <v>-9.5955552379840187E-2</v>
      </c>
      <c r="AC287" s="13">
        <f t="shared" si="418"/>
        <v>-0.13106451965697594</v>
      </c>
      <c r="AD287" s="13">
        <f t="shared" si="418"/>
        <v>-0.13791544556831037</v>
      </c>
      <c r="AE287" s="13">
        <f t="shared" si="418"/>
        <v>-0.17214682488064095</v>
      </c>
      <c r="AF287" s="13">
        <f t="shared" si="418"/>
        <v>-0.28226262418002129</v>
      </c>
      <c r="AG287" s="13">
        <f t="shared" si="418"/>
        <v>-0.31696734835694806</v>
      </c>
      <c r="AH287" s="13">
        <f t="shared" si="418"/>
        <v>-0.28502061099459675</v>
      </c>
      <c r="AI287" s="13">
        <f t="shared" si="418"/>
        <v>-0.20887084114879134</v>
      </c>
      <c r="AJ287" s="13">
        <f t="shared" si="418"/>
        <v>-0.16468266509351145</v>
      </c>
      <c r="AK287" s="13">
        <f t="shared" si="418"/>
        <v>-0.18214796830166116</v>
      </c>
      <c r="AL287" s="13">
        <f t="shared" si="418"/>
        <v>-0.20582509479589214</v>
      </c>
      <c r="AM287" s="13">
        <f t="shared" si="418"/>
        <v>-0.15738862196638523</v>
      </c>
      <c r="AN287" s="13">
        <f t="shared" si="418"/>
        <v>-8.1782790220697912E-2</v>
      </c>
      <c r="AO287" s="13">
        <f t="shared" si="418"/>
        <v>-4.0915849148674431E-2</v>
      </c>
      <c r="AP287" s="13">
        <f t="shared" si="418"/>
        <v>-6.3652655710367996E-3</v>
      </c>
      <c r="AQ287" s="13">
        <f t="shared" si="418"/>
        <v>1.3940625887972187E-2</v>
      </c>
      <c r="AR287" s="13">
        <f t="shared" si="418"/>
        <v>3.4138587748187961E-2</v>
      </c>
      <c r="AS287" s="13">
        <f t="shared" si="418"/>
        <v>5.393094958301374E-2</v>
      </c>
      <c r="AT287" s="13">
        <f t="shared" si="418"/>
        <v>6.1369706447429936E-2</v>
      </c>
      <c r="AU287" s="13">
        <f t="shared" si="418"/>
        <v>6.3754017253982165E-2</v>
      </c>
      <c r="AV287" s="13">
        <f t="shared" si="418"/>
        <v>6.6109050318777576E-2</v>
      </c>
      <c r="AW287" s="13">
        <f t="shared" si="418"/>
        <v>6.8425199590461103E-2</v>
      </c>
      <c r="AX287" s="63"/>
      <c r="AY287" s="63"/>
      <c r="AZ287" s="63"/>
      <c r="BA287" s="63"/>
      <c r="BB287" s="63"/>
      <c r="BC287" s="63"/>
      <c r="BD287" s="63"/>
      <c r="BE287" s="63"/>
      <c r="BF287" s="2">
        <f t="shared" si="384"/>
        <v>281</v>
      </c>
    </row>
    <row r="288" spans="1:58" ht="11.25" hidden="1" customHeight="1" outlineLevel="2">
      <c r="A288" s="11"/>
      <c r="B288" s="65" t="s">
        <v>53</v>
      </c>
      <c r="C288" s="13">
        <f>C38/AVERAGE(C219:C219)</f>
        <v>8.6463760189776653E-2</v>
      </c>
      <c r="D288" s="13">
        <f t="shared" ref="D288:K288" si="419">D38/AVERAGE(C219:D219)</f>
        <v>-2.6646982017269175E-2</v>
      </c>
      <c r="E288" s="13">
        <f t="shared" si="419"/>
        <v>6.2796562054038024E-2</v>
      </c>
      <c r="F288" s="13">
        <f t="shared" si="419"/>
        <v>-0.58968325504129215</v>
      </c>
      <c r="G288" s="13">
        <f t="shared" si="419"/>
        <v>-0.47907891697005639</v>
      </c>
      <c r="H288" s="13">
        <f t="shared" si="419"/>
        <v>-0.1690406423710232</v>
      </c>
      <c r="I288" s="13">
        <f t="shared" si="419"/>
        <v>-0.12072551170568381</v>
      </c>
      <c r="J288" s="13">
        <f t="shared" si="419"/>
        <v>2.4143674786929543E-2</v>
      </c>
      <c r="K288" s="13">
        <f t="shared" si="419"/>
        <v>6.4907081285076954E-2</v>
      </c>
      <c r="L288" s="15"/>
      <c r="M288" s="3"/>
      <c r="N288" s="13">
        <f>4*N38/AVERAGE(N219:N219)</f>
        <v>5.5216225075368316E-2</v>
      </c>
      <c r="O288" s="13">
        <f t="shared" ref="O288:AW288" si="420">4*O38/AVERAGE(N219:O219)</f>
        <v>0.14295012433550952</v>
      </c>
      <c r="P288" s="13">
        <f t="shared" si="420"/>
        <v>9.1722173266562623E-2</v>
      </c>
      <c r="Q288" s="13">
        <f t="shared" si="420"/>
        <v>7.2814943125109513E-2</v>
      </c>
      <c r="R288" s="13">
        <f t="shared" si="420"/>
        <v>5.9821739626833438E-2</v>
      </c>
      <c r="S288" s="13">
        <f t="shared" si="420"/>
        <v>6.3358165765436875E-2</v>
      </c>
      <c r="T288" s="13">
        <f t="shared" si="420"/>
        <v>6.3347265997628147E-2</v>
      </c>
      <c r="U288" s="13">
        <f t="shared" si="420"/>
        <v>-0.29216524944931721</v>
      </c>
      <c r="V288" s="13">
        <f t="shared" si="420"/>
        <v>3.5659614625867947E-2</v>
      </c>
      <c r="W288" s="13">
        <f t="shared" si="420"/>
        <v>7.2927191787176826E-2</v>
      </c>
      <c r="X288" s="13">
        <f t="shared" si="420"/>
        <v>7.7052417223251624E-2</v>
      </c>
      <c r="Y288" s="13">
        <f t="shared" si="420"/>
        <v>6.4344869662862306E-2</v>
      </c>
      <c r="Z288" s="13">
        <f t="shared" si="420"/>
        <v>-1.0951504799212985E-2</v>
      </c>
      <c r="AA288" s="13">
        <f t="shared" si="420"/>
        <v>-0.85558829604205833</v>
      </c>
      <c r="AB288" s="13">
        <f t="shared" si="420"/>
        <v>-1.1449263592303227</v>
      </c>
      <c r="AC288" s="13">
        <f t="shared" si="420"/>
        <v>-0.40726277708798408</v>
      </c>
      <c r="AD288" s="13">
        <f t="shared" si="420"/>
        <v>-0.16082693313360352</v>
      </c>
      <c r="AE288" s="13">
        <f t="shared" si="420"/>
        <v>-1.0082035091212851</v>
      </c>
      <c r="AF288" s="13">
        <f t="shared" si="420"/>
        <v>-0.30035282509846745</v>
      </c>
      <c r="AG288" s="13">
        <f t="shared" si="420"/>
        <v>-0.47204961008328561</v>
      </c>
      <c r="AH288" s="13">
        <f t="shared" si="420"/>
        <v>-0.29137199209415177</v>
      </c>
      <c r="AI288" s="13">
        <f t="shared" si="420"/>
        <v>-0.21481991796031175</v>
      </c>
      <c r="AJ288" s="13">
        <f t="shared" si="420"/>
        <v>-0.20735098919158082</v>
      </c>
      <c r="AK288" s="13">
        <f t="shared" si="420"/>
        <v>3.0591175444467409E-2</v>
      </c>
      <c r="AL288" s="13">
        <f t="shared" si="420"/>
        <v>-0.20582509479589214</v>
      </c>
      <c r="AM288" s="13">
        <f t="shared" si="420"/>
        <v>-0.15738862196638523</v>
      </c>
      <c r="AN288" s="13">
        <f t="shared" si="420"/>
        <v>-8.1782790220697912E-2</v>
      </c>
      <c r="AO288" s="13">
        <f t="shared" si="420"/>
        <v>-4.0915849148674431E-2</v>
      </c>
      <c r="AP288" s="13">
        <f t="shared" si="420"/>
        <v>-6.3652655710367996E-3</v>
      </c>
      <c r="AQ288" s="13">
        <f t="shared" si="420"/>
        <v>1.3940625887972187E-2</v>
      </c>
      <c r="AR288" s="13">
        <f t="shared" si="420"/>
        <v>3.4138587748187961E-2</v>
      </c>
      <c r="AS288" s="13">
        <f t="shared" si="420"/>
        <v>5.393094958301374E-2</v>
      </c>
      <c r="AT288" s="13">
        <f t="shared" si="420"/>
        <v>6.1369706447429936E-2</v>
      </c>
      <c r="AU288" s="13">
        <f t="shared" si="420"/>
        <v>6.3754017253982165E-2</v>
      </c>
      <c r="AV288" s="13">
        <f t="shared" si="420"/>
        <v>6.6109050318777576E-2</v>
      </c>
      <c r="AW288" s="13">
        <f t="shared" si="420"/>
        <v>6.8425199590461103E-2</v>
      </c>
      <c r="AX288" s="63"/>
      <c r="AY288" s="63"/>
      <c r="AZ288" s="63"/>
      <c r="BA288" s="63"/>
      <c r="BB288" s="63"/>
      <c r="BC288" s="63"/>
      <c r="BD288" s="63"/>
      <c r="BE288" s="63"/>
      <c r="BF288" s="2">
        <f t="shared" si="384"/>
        <v>282</v>
      </c>
    </row>
    <row r="289" spans="1:58" ht="11.25" hidden="1" customHeight="1" outlineLevel="2">
      <c r="A289" s="11"/>
      <c r="B289" s="17"/>
      <c r="C289" s="3"/>
      <c r="D289" s="3"/>
      <c r="E289" s="3"/>
      <c r="F289" s="3"/>
      <c r="G289" s="3"/>
      <c r="H289" s="3"/>
      <c r="I289" s="3"/>
      <c r="J289" s="3"/>
      <c r="K289" s="3"/>
      <c r="L289" s="55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57"/>
      <c r="AY289" s="57"/>
      <c r="AZ289" s="57"/>
      <c r="BA289" s="57"/>
      <c r="BB289" s="57"/>
      <c r="BC289" s="57"/>
      <c r="BD289" s="57"/>
      <c r="BE289" s="57"/>
      <c r="BF289" s="2">
        <f t="shared" si="384"/>
        <v>283</v>
      </c>
    </row>
    <row r="290" spans="1:58" ht="11.25" customHeight="1" outlineLevel="1" collapsed="1">
      <c r="A290" s="56" t="s">
        <v>5</v>
      </c>
      <c r="B290" s="58" t="s">
        <v>52</v>
      </c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/>
      <c r="AC290" s="78"/>
      <c r="AD290" s="78"/>
      <c r="AE290" s="78"/>
      <c r="AF290" s="78"/>
      <c r="AG290" s="78"/>
      <c r="AH290" s="78"/>
      <c r="AI290" s="78"/>
      <c r="AJ290" s="78"/>
      <c r="AK290" s="78"/>
      <c r="AL290" s="78"/>
      <c r="AM290" s="78"/>
      <c r="AN290" s="78"/>
      <c r="AO290" s="78"/>
      <c r="AP290" s="78"/>
      <c r="AQ290" s="78"/>
      <c r="AR290" s="78"/>
      <c r="AS290" s="78"/>
      <c r="AT290" s="78"/>
      <c r="AU290" s="78"/>
      <c r="AV290" s="78"/>
      <c r="AW290" s="78"/>
      <c r="AX290" s="77"/>
      <c r="AY290" s="77"/>
      <c r="AZ290" s="77"/>
      <c r="BA290" s="77"/>
      <c r="BB290" s="77"/>
      <c r="BC290" s="77"/>
      <c r="BD290" s="77"/>
      <c r="BE290" s="77"/>
      <c r="BF290" s="2">
        <f t="shared" si="384"/>
        <v>284</v>
      </c>
    </row>
    <row r="291" spans="1:58" ht="11.25" hidden="1" customHeight="1" outlineLevel="2">
      <c r="A291" s="56"/>
      <c r="B291" s="69" t="s">
        <v>51</v>
      </c>
      <c r="C291" s="51"/>
      <c r="D291" s="51"/>
      <c r="E291" s="51"/>
      <c r="F291" s="51"/>
      <c r="G291" s="51"/>
      <c r="H291" s="51"/>
      <c r="I291" s="51"/>
      <c r="J291" s="51"/>
      <c r="K291" s="51"/>
      <c r="L291" s="55"/>
      <c r="M291" s="3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53"/>
      <c r="AY291" s="53"/>
      <c r="AZ291" s="53"/>
      <c r="BA291" s="53"/>
      <c r="BB291" s="53"/>
      <c r="BC291" s="53"/>
      <c r="BD291" s="53"/>
      <c r="BE291" s="53"/>
      <c r="BF291" s="2">
        <f t="shared" si="384"/>
        <v>285</v>
      </c>
    </row>
    <row r="292" spans="1:58" ht="11.25" hidden="1" customHeight="1" outlineLevel="2">
      <c r="A292" s="56"/>
      <c r="B292" s="66" t="s">
        <v>50</v>
      </c>
      <c r="C292" s="51">
        <f t="shared" ref="C292:H294" si="421">INDEX($N292:$AX292,1,MATCH(C$5,$N$5:$AX$5,0))</f>
        <v>5974.3799999999992</v>
      </c>
      <c r="D292" s="51">
        <f t="shared" si="421"/>
        <v>5601.9319999999989</v>
      </c>
      <c r="E292" s="51">
        <f t="shared" si="421"/>
        <v>5335.4750000000004</v>
      </c>
      <c r="F292" s="51">
        <f t="shared" si="421"/>
        <v>3265.0149999999999</v>
      </c>
      <c r="G292" s="51">
        <f t="shared" si="421"/>
        <v>2400.9290000000001</v>
      </c>
      <c r="H292" s="51">
        <f t="shared" si="421"/>
        <v>2240.1999999999998</v>
      </c>
      <c r="I292" s="51">
        <f t="shared" ref="I292:K294" si="422">INDEX($N292:$BF292,1,MATCH(I$5,$N$5:$BF$5,0))</f>
        <v>2158.8693384491371</v>
      </c>
      <c r="J292" s="51">
        <f t="shared" si="422"/>
        <v>2055.5997954243094</v>
      </c>
      <c r="K292" s="51">
        <f t="shared" si="422"/>
        <v>1986.1778571030331</v>
      </c>
      <c r="L292" s="55"/>
      <c r="M292" s="3"/>
      <c r="N292" s="51">
        <f>N279</f>
        <v>5761.6040000000003</v>
      </c>
      <c r="O292" s="51">
        <f>O279</f>
        <v>5890.378999999999</v>
      </c>
      <c r="P292" s="51">
        <f>P279</f>
        <v>5999.3989999999994</v>
      </c>
      <c r="Q292" s="51">
        <f>Q279</f>
        <v>5974.3799999999992</v>
      </c>
      <c r="R292" s="51">
        <f t="shared" ref="R292:AW292" si="423">R279</f>
        <v>6078.6829999999991</v>
      </c>
      <c r="S292" s="51">
        <f t="shared" si="423"/>
        <v>6100.1170000000002</v>
      </c>
      <c r="T292" s="51">
        <f t="shared" si="423"/>
        <v>6033.155999999999</v>
      </c>
      <c r="U292" s="51">
        <f t="shared" si="423"/>
        <v>5601.9319999999989</v>
      </c>
      <c r="V292" s="51">
        <f t="shared" si="423"/>
        <v>5611.0719999999992</v>
      </c>
      <c r="W292" s="51">
        <f t="shared" si="423"/>
        <v>5604.0530000000008</v>
      </c>
      <c r="X292" s="51">
        <f t="shared" si="423"/>
        <v>5472.8459999999995</v>
      </c>
      <c r="Y292" s="51">
        <f t="shared" si="423"/>
        <v>5335.4750000000004</v>
      </c>
      <c r="Z292" s="51">
        <f t="shared" si="423"/>
        <v>5283.7209999999995</v>
      </c>
      <c r="AA292" s="51">
        <f t="shared" si="423"/>
        <v>4430.2749999999996</v>
      </c>
      <c r="AB292" s="51">
        <f t="shared" si="423"/>
        <v>3561.4</v>
      </c>
      <c r="AC292" s="51">
        <f t="shared" si="423"/>
        <v>3265.0149999999999</v>
      </c>
      <c r="AD292" s="51">
        <f t="shared" si="423"/>
        <v>3162.3869999999997</v>
      </c>
      <c r="AE292" s="51">
        <f t="shared" si="423"/>
        <v>2677.125</v>
      </c>
      <c r="AF292" s="51">
        <f t="shared" si="423"/>
        <v>2519.1629999999996</v>
      </c>
      <c r="AG292" s="51">
        <f t="shared" si="423"/>
        <v>2400.9290000000001</v>
      </c>
      <c r="AH292" s="51">
        <f t="shared" si="423"/>
        <v>2347.1419999999998</v>
      </c>
      <c r="AI292" s="51">
        <f t="shared" si="423"/>
        <v>2272.8530000000001</v>
      </c>
      <c r="AJ292" s="51">
        <f t="shared" si="423"/>
        <v>2229.4440000000004</v>
      </c>
      <c r="AK292" s="51">
        <f>AK279</f>
        <v>2240.1999999999998</v>
      </c>
      <c r="AL292" s="51">
        <f t="shared" si="423"/>
        <v>2201.5607336217554</v>
      </c>
      <c r="AM292" s="51">
        <f t="shared" si="423"/>
        <v>2185.2986598720354</v>
      </c>
      <c r="AN292" s="51">
        <f t="shared" si="423"/>
        <v>2175.2372295278792</v>
      </c>
      <c r="AO292" s="51">
        <f t="shared" si="423"/>
        <v>2158.8693384491371</v>
      </c>
      <c r="AP292" s="51">
        <f t="shared" si="423"/>
        <v>2137.2653834717084</v>
      </c>
      <c r="AQ292" s="51">
        <f t="shared" si="423"/>
        <v>2108.6683724672102</v>
      </c>
      <c r="AR292" s="51">
        <f t="shared" si="423"/>
        <v>2081.4419064975009</v>
      </c>
      <c r="AS292" s="51">
        <f t="shared" si="423"/>
        <v>2055.5997954243094</v>
      </c>
      <c r="AT292" s="51">
        <f t="shared" si="423"/>
        <v>2038.0084482864768</v>
      </c>
      <c r="AU292" s="51">
        <f t="shared" si="423"/>
        <v>2020.4387967442249</v>
      </c>
      <c r="AV292" s="51">
        <f t="shared" si="423"/>
        <v>2003.1582899465902</v>
      </c>
      <c r="AW292" s="51">
        <f t="shared" si="423"/>
        <v>1986.1778571030331</v>
      </c>
      <c r="AX292" s="53"/>
      <c r="AY292" s="53"/>
      <c r="AZ292" s="53"/>
      <c r="BA292" s="53"/>
      <c r="BB292" s="53"/>
      <c r="BC292" s="53"/>
      <c r="BD292" s="53"/>
      <c r="BE292" s="53"/>
      <c r="BF292" s="2">
        <f t="shared" si="384"/>
        <v>286</v>
      </c>
    </row>
    <row r="293" spans="1:58" ht="11.25" hidden="1" customHeight="1" outlineLevel="2">
      <c r="A293" s="56"/>
      <c r="B293" s="66" t="s">
        <v>49</v>
      </c>
      <c r="C293" s="51">
        <f t="shared" si="421"/>
        <v>91.198999999999998</v>
      </c>
      <c r="D293" s="51">
        <f t="shared" si="421"/>
        <v>196.047</v>
      </c>
      <c r="E293" s="51">
        <f t="shared" si="421"/>
        <v>393.04599999999999</v>
      </c>
      <c r="F293" s="51">
        <f t="shared" si="421"/>
        <v>564.01700000000005</v>
      </c>
      <c r="G293" s="51">
        <f t="shared" si="421"/>
        <v>187.59100000000001</v>
      </c>
      <c r="H293" s="51">
        <f t="shared" si="421"/>
        <v>172</v>
      </c>
      <c r="I293" s="51">
        <f t="shared" si="422"/>
        <v>100</v>
      </c>
      <c r="J293" s="51">
        <f t="shared" si="422"/>
        <v>100</v>
      </c>
      <c r="K293" s="51">
        <f t="shared" si="422"/>
        <v>100</v>
      </c>
      <c r="L293" s="55"/>
      <c r="M293" s="3"/>
      <c r="N293" s="51">
        <f>N194</f>
        <v>135.75800000000001</v>
      </c>
      <c r="O293" s="51">
        <f>O194</f>
        <v>143.03700000000001</v>
      </c>
      <c r="P293" s="51">
        <f>P194</f>
        <v>79.186000000000007</v>
      </c>
      <c r="Q293" s="51">
        <f>Q194</f>
        <v>91.198999999999998</v>
      </c>
      <c r="R293" s="51">
        <f t="shared" ref="R293:AJ293" si="424">R194</f>
        <v>77.075000000000003</v>
      </c>
      <c r="S293" s="51">
        <f t="shared" si="424"/>
        <v>65.399000000000001</v>
      </c>
      <c r="T293" s="51">
        <f t="shared" si="424"/>
        <v>90.650999999999996</v>
      </c>
      <c r="U293" s="51">
        <f t="shared" si="424"/>
        <v>196.047</v>
      </c>
      <c r="V293" s="51">
        <f t="shared" si="424"/>
        <v>145.84800000000001</v>
      </c>
      <c r="W293" s="51">
        <f t="shared" si="424"/>
        <v>201.65299999999999</v>
      </c>
      <c r="X293" s="51">
        <f t="shared" si="424"/>
        <v>320.04199999999997</v>
      </c>
      <c r="Y293" s="51">
        <f t="shared" si="424"/>
        <v>393.04599999999999</v>
      </c>
      <c r="Z293" s="51">
        <f t="shared" si="424"/>
        <v>414.82900000000001</v>
      </c>
      <c r="AA293" s="51">
        <f t="shared" si="424"/>
        <v>500.262</v>
      </c>
      <c r="AB293" s="51">
        <f t="shared" si="424"/>
        <v>533.67399999999998</v>
      </c>
      <c r="AC293" s="51">
        <f t="shared" si="424"/>
        <v>564.01700000000005</v>
      </c>
      <c r="AD293" s="51">
        <f t="shared" si="424"/>
        <v>559.23800000000006</v>
      </c>
      <c r="AE293" s="51">
        <f t="shared" si="424"/>
        <v>485.84699999999998</v>
      </c>
      <c r="AF293" s="51">
        <f t="shared" si="424"/>
        <v>278.15499999999997</v>
      </c>
      <c r="AG293" s="51">
        <f t="shared" si="424"/>
        <v>187.59100000000001</v>
      </c>
      <c r="AH293" s="51">
        <f t="shared" si="424"/>
        <v>151.76599999999999</v>
      </c>
      <c r="AI293" s="51">
        <f t="shared" si="424"/>
        <v>177.77199999999999</v>
      </c>
      <c r="AJ293" s="51">
        <f t="shared" si="424"/>
        <v>167.02500000000001</v>
      </c>
      <c r="AK293" s="51">
        <f>AK194</f>
        <v>172</v>
      </c>
      <c r="AL293" s="40">
        <v>100</v>
      </c>
      <c r="AM293" s="40">
        <v>100</v>
      </c>
      <c r="AN293" s="40">
        <v>100</v>
      </c>
      <c r="AO293" s="40">
        <v>100</v>
      </c>
      <c r="AP293" s="40">
        <v>100</v>
      </c>
      <c r="AQ293" s="40">
        <v>100</v>
      </c>
      <c r="AR293" s="40">
        <v>100</v>
      </c>
      <c r="AS293" s="40">
        <v>100</v>
      </c>
      <c r="AT293" s="40">
        <v>100</v>
      </c>
      <c r="AU293" s="40">
        <v>100</v>
      </c>
      <c r="AV293" s="40">
        <v>100</v>
      </c>
      <c r="AW293" s="40">
        <v>100</v>
      </c>
      <c r="AX293" s="53"/>
      <c r="AY293" s="53"/>
      <c r="AZ293" s="53"/>
      <c r="BA293" s="53"/>
      <c r="BB293" s="53"/>
      <c r="BC293" s="53"/>
      <c r="BD293" s="53"/>
      <c r="BE293" s="53"/>
      <c r="BF293" s="2">
        <f t="shared" si="384"/>
        <v>287</v>
      </c>
    </row>
    <row r="294" spans="1:58" ht="11.25" hidden="1" customHeight="1" outlineLevel="2">
      <c r="A294" s="56"/>
      <c r="B294" s="66" t="s">
        <v>48</v>
      </c>
      <c r="C294" s="51">
        <f t="shared" si="421"/>
        <v>6065.5789999999988</v>
      </c>
      <c r="D294" s="51">
        <f t="shared" si="421"/>
        <v>5797.9789999999985</v>
      </c>
      <c r="E294" s="51">
        <f t="shared" si="421"/>
        <v>5728.5210000000006</v>
      </c>
      <c r="F294" s="51">
        <f t="shared" si="421"/>
        <v>3829.0320000000002</v>
      </c>
      <c r="G294" s="51">
        <f t="shared" si="421"/>
        <v>2588.52</v>
      </c>
      <c r="H294" s="51">
        <f t="shared" si="421"/>
        <v>2412.1999999999998</v>
      </c>
      <c r="I294" s="51">
        <f t="shared" si="422"/>
        <v>2258.8693384491371</v>
      </c>
      <c r="J294" s="51">
        <f t="shared" si="422"/>
        <v>2155.5997954243094</v>
      </c>
      <c r="K294" s="51">
        <f t="shared" si="422"/>
        <v>2086.1778571030331</v>
      </c>
      <c r="L294" s="55"/>
      <c r="M294" s="3"/>
      <c r="N294" s="51">
        <f>+N292+N293</f>
        <v>5897.3620000000001</v>
      </c>
      <c r="O294" s="51">
        <f>+O292+O293</f>
        <v>6033.4159999999993</v>
      </c>
      <c r="P294" s="51">
        <f>+P292+P293</f>
        <v>6078.5849999999991</v>
      </c>
      <c r="Q294" s="51">
        <f>+Q292+Q293</f>
        <v>6065.5789999999988</v>
      </c>
      <c r="R294" s="51">
        <f t="shared" ref="R294:AW294" si="425">+R292+R293</f>
        <v>6155.7579999999989</v>
      </c>
      <c r="S294" s="51">
        <f t="shared" si="425"/>
        <v>6165.5160000000005</v>
      </c>
      <c r="T294" s="51">
        <f t="shared" si="425"/>
        <v>6123.8069999999989</v>
      </c>
      <c r="U294" s="51">
        <f t="shared" si="425"/>
        <v>5797.9789999999985</v>
      </c>
      <c r="V294" s="51">
        <f t="shared" si="425"/>
        <v>5756.9199999999992</v>
      </c>
      <c r="W294" s="51">
        <f t="shared" si="425"/>
        <v>5805.706000000001</v>
      </c>
      <c r="X294" s="51">
        <f t="shared" si="425"/>
        <v>5792.8879999999999</v>
      </c>
      <c r="Y294" s="51">
        <f t="shared" si="425"/>
        <v>5728.5210000000006</v>
      </c>
      <c r="Z294" s="51">
        <f t="shared" si="425"/>
        <v>5698.5499999999993</v>
      </c>
      <c r="AA294" s="51">
        <f t="shared" si="425"/>
        <v>4930.5369999999994</v>
      </c>
      <c r="AB294" s="51">
        <f t="shared" si="425"/>
        <v>4095.0740000000001</v>
      </c>
      <c r="AC294" s="51">
        <f t="shared" si="425"/>
        <v>3829.0320000000002</v>
      </c>
      <c r="AD294" s="51">
        <f t="shared" si="425"/>
        <v>3721.625</v>
      </c>
      <c r="AE294" s="51">
        <f t="shared" si="425"/>
        <v>3162.9719999999998</v>
      </c>
      <c r="AF294" s="51">
        <f t="shared" si="425"/>
        <v>2797.3179999999993</v>
      </c>
      <c r="AG294" s="51">
        <f t="shared" si="425"/>
        <v>2588.52</v>
      </c>
      <c r="AH294" s="51">
        <f t="shared" si="425"/>
        <v>2498.9079999999999</v>
      </c>
      <c r="AI294" s="51">
        <f t="shared" si="425"/>
        <v>2450.625</v>
      </c>
      <c r="AJ294" s="51">
        <f t="shared" si="425"/>
        <v>2396.4690000000005</v>
      </c>
      <c r="AK294" s="51">
        <f>+AK292+AK293</f>
        <v>2412.1999999999998</v>
      </c>
      <c r="AL294" s="51">
        <f t="shared" si="425"/>
        <v>2301.5607336217554</v>
      </c>
      <c r="AM294" s="51">
        <f t="shared" si="425"/>
        <v>2285.2986598720354</v>
      </c>
      <c r="AN294" s="51">
        <f t="shared" si="425"/>
        <v>2275.2372295278792</v>
      </c>
      <c r="AO294" s="51">
        <f t="shared" si="425"/>
        <v>2258.8693384491371</v>
      </c>
      <c r="AP294" s="51">
        <f t="shared" si="425"/>
        <v>2237.2653834717084</v>
      </c>
      <c r="AQ294" s="51">
        <f t="shared" si="425"/>
        <v>2208.6683724672102</v>
      </c>
      <c r="AR294" s="51">
        <f t="shared" si="425"/>
        <v>2181.4419064975009</v>
      </c>
      <c r="AS294" s="51">
        <f t="shared" si="425"/>
        <v>2155.5997954243094</v>
      </c>
      <c r="AT294" s="51">
        <f t="shared" si="425"/>
        <v>2138.0084482864768</v>
      </c>
      <c r="AU294" s="51">
        <f t="shared" si="425"/>
        <v>2120.4387967442249</v>
      </c>
      <c r="AV294" s="51">
        <f t="shared" si="425"/>
        <v>2103.1582899465902</v>
      </c>
      <c r="AW294" s="51">
        <f t="shared" si="425"/>
        <v>2086.1778571030331</v>
      </c>
      <c r="AX294" s="53"/>
      <c r="AY294" s="53"/>
      <c r="AZ294" s="53"/>
      <c r="BA294" s="53"/>
      <c r="BB294" s="53"/>
      <c r="BC294" s="53"/>
      <c r="BD294" s="53"/>
      <c r="BE294" s="53"/>
      <c r="BF294" s="2">
        <f t="shared" si="384"/>
        <v>288</v>
      </c>
    </row>
    <row r="295" spans="1:58" ht="11.25" hidden="1" customHeight="1" outlineLevel="2">
      <c r="A295" s="56"/>
      <c r="B295" s="66"/>
      <c r="C295" s="51"/>
      <c r="D295" s="51"/>
      <c r="E295" s="51"/>
      <c r="F295" s="51"/>
      <c r="G295" s="51"/>
      <c r="H295" s="51"/>
      <c r="I295" s="51"/>
      <c r="J295" s="51"/>
      <c r="K295" s="51"/>
      <c r="L295" s="55"/>
      <c r="M295" s="3"/>
      <c r="N295" s="51"/>
      <c r="O295" s="51"/>
      <c r="P295" s="51"/>
      <c r="Q295" s="51"/>
      <c r="R295" s="51"/>
      <c r="S295" s="51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  <c r="AF295" s="51"/>
      <c r="AG295" s="51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1"/>
      <c r="AS295" s="51"/>
      <c r="AT295" s="51"/>
      <c r="AU295" s="51"/>
      <c r="AV295" s="51"/>
      <c r="AW295" s="51"/>
      <c r="AX295" s="53"/>
      <c r="AY295" s="53"/>
      <c r="AZ295" s="53"/>
      <c r="BA295" s="53"/>
      <c r="BB295" s="53"/>
      <c r="BC295" s="53"/>
      <c r="BD295" s="53"/>
      <c r="BE295" s="53"/>
      <c r="BF295" s="2">
        <f t="shared" si="384"/>
        <v>289</v>
      </c>
    </row>
    <row r="296" spans="1:58" ht="11.25" hidden="1" customHeight="1" outlineLevel="2">
      <c r="A296" s="56"/>
      <c r="B296" s="69" t="s">
        <v>47</v>
      </c>
      <c r="C296" s="51"/>
      <c r="D296" s="51"/>
      <c r="E296" s="51"/>
      <c r="F296" s="51"/>
      <c r="G296" s="51"/>
      <c r="H296" s="51"/>
      <c r="I296" s="51"/>
      <c r="J296" s="51"/>
      <c r="K296" s="51"/>
      <c r="L296" s="55"/>
      <c r="M296" s="3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3"/>
      <c r="AY296" s="53"/>
      <c r="AZ296" s="53"/>
      <c r="BA296" s="53"/>
      <c r="BB296" s="53"/>
      <c r="BC296" s="53"/>
      <c r="BD296" s="53"/>
      <c r="BE296" s="53"/>
      <c r="BF296" s="2">
        <f t="shared" si="384"/>
        <v>290</v>
      </c>
    </row>
    <row r="297" spans="1:58" ht="11.25" hidden="1" customHeight="1" outlineLevel="2">
      <c r="A297" s="56"/>
      <c r="B297" s="66" t="s">
        <v>46</v>
      </c>
      <c r="C297" s="51">
        <f t="shared" ref="C297:H300" si="426">INDEX($N297:$AX297,1,MATCH(C$5,$N$5:$AX$5,0))</f>
        <v>4231.0790000000006</v>
      </c>
      <c r="D297" s="51">
        <f t="shared" si="426"/>
        <v>4131.4440000000004</v>
      </c>
      <c r="E297" s="51">
        <f t="shared" si="426"/>
        <v>4079.7379999999998</v>
      </c>
      <c r="F297" s="51">
        <f t="shared" si="426"/>
        <v>2210.8119999999999</v>
      </c>
      <c r="G297" s="51">
        <f t="shared" si="426"/>
        <v>1303.9199999999998</v>
      </c>
      <c r="H297" s="51">
        <f t="shared" si="426"/>
        <v>1132.4289999999999</v>
      </c>
      <c r="I297" s="51">
        <f t="shared" ref="I297:K300" si="427">INDEX($N297:$BF297,1,MATCH(I$5,$N$5:$BF$5,0))</f>
        <v>1041.2214675196929</v>
      </c>
      <c r="J297" s="51">
        <f t="shared" si="427"/>
        <v>1107.1563350115796</v>
      </c>
      <c r="K297" s="51">
        <f t="shared" si="427"/>
        <v>1222.7707172978537</v>
      </c>
      <c r="L297" s="55"/>
      <c r="M297" s="3"/>
      <c r="N297" s="51">
        <f>N219</f>
        <v>3898.8540000000003</v>
      </c>
      <c r="O297" s="51">
        <f>O219</f>
        <v>4039.7470000000003</v>
      </c>
      <c r="P297" s="51">
        <f>P219</f>
        <v>4149.0690000000004</v>
      </c>
      <c r="Q297" s="51">
        <f>Q219</f>
        <v>4231.0790000000006</v>
      </c>
      <c r="R297" s="51">
        <f t="shared" ref="R297:AW297" si="428">R219</f>
        <v>4291.174</v>
      </c>
      <c r="S297" s="51">
        <f t="shared" si="428"/>
        <v>4365.5160000000005</v>
      </c>
      <c r="T297" s="51">
        <f t="shared" si="428"/>
        <v>4453.8069999999998</v>
      </c>
      <c r="U297" s="51">
        <f t="shared" si="428"/>
        <v>4131.4440000000004</v>
      </c>
      <c r="V297" s="51">
        <f t="shared" si="428"/>
        <v>4095.6780000000003</v>
      </c>
      <c r="W297" s="51">
        <f t="shared" si="428"/>
        <v>4149.4769999999999</v>
      </c>
      <c r="X297" s="51">
        <f t="shared" si="428"/>
        <v>4141.71</v>
      </c>
      <c r="Y297" s="51">
        <f t="shared" si="428"/>
        <v>4079.7379999999998</v>
      </c>
      <c r="Z297" s="51">
        <f t="shared" si="428"/>
        <v>4054.3040000000001</v>
      </c>
      <c r="AA297" s="51">
        <f t="shared" si="428"/>
        <v>3285.5719999999997</v>
      </c>
      <c r="AB297" s="51">
        <f t="shared" si="428"/>
        <v>2452.4179999999997</v>
      </c>
      <c r="AC297" s="51">
        <f t="shared" si="428"/>
        <v>2210.8119999999999</v>
      </c>
      <c r="AD297" s="51">
        <f t="shared" si="428"/>
        <v>2107.0219999999999</v>
      </c>
      <c r="AE297" s="51">
        <f t="shared" si="428"/>
        <v>1629.1840000000002</v>
      </c>
      <c r="AF297" s="51">
        <f t="shared" si="428"/>
        <v>1513.7330000000002</v>
      </c>
      <c r="AG297" s="51">
        <f t="shared" si="428"/>
        <v>1303.9199999999998</v>
      </c>
      <c r="AH297" s="51">
        <f t="shared" si="428"/>
        <v>1212.6980000000001</v>
      </c>
      <c r="AI297" s="51">
        <f t="shared" si="428"/>
        <v>1163.4690000000003</v>
      </c>
      <c r="AJ297" s="51">
        <f t="shared" si="428"/>
        <v>1114.7549999999997</v>
      </c>
      <c r="AK297" s="51">
        <f>AK219</f>
        <v>1132.4289999999999</v>
      </c>
      <c r="AL297" s="51">
        <f t="shared" si="428"/>
        <v>1085.3691847969999</v>
      </c>
      <c r="AM297" s="51">
        <f t="shared" si="428"/>
        <v>1053.2940278116648</v>
      </c>
      <c r="AN297" s="51">
        <f t="shared" si="428"/>
        <v>1041.875427308551</v>
      </c>
      <c r="AO297" s="51">
        <f t="shared" si="428"/>
        <v>1041.2214675196929</v>
      </c>
      <c r="AP297" s="51">
        <f t="shared" si="428"/>
        <v>1049.5579217617894</v>
      </c>
      <c r="AQ297" s="51">
        <f t="shared" si="428"/>
        <v>1063.2396368044135</v>
      </c>
      <c r="AR297" s="51">
        <f t="shared" si="428"/>
        <v>1082.3957570756124</v>
      </c>
      <c r="AS297" s="51">
        <f t="shared" si="428"/>
        <v>1107.1563350115796</v>
      </c>
      <c r="AT297" s="51">
        <f t="shared" si="428"/>
        <v>1134.3514191204195</v>
      </c>
      <c r="AU297" s="51">
        <f t="shared" si="428"/>
        <v>1162.6568572812005</v>
      </c>
      <c r="AV297" s="51">
        <f t="shared" si="428"/>
        <v>1192.1158305447971</v>
      </c>
      <c r="AW297" s="51">
        <f t="shared" si="428"/>
        <v>1222.7707172978537</v>
      </c>
      <c r="AX297" s="53"/>
      <c r="AY297" s="53"/>
      <c r="AZ297" s="53"/>
      <c r="BA297" s="53"/>
      <c r="BB297" s="53"/>
      <c r="BC297" s="53"/>
      <c r="BD297" s="53"/>
      <c r="BE297" s="53"/>
      <c r="BF297" s="2">
        <f t="shared" si="384"/>
        <v>291</v>
      </c>
    </row>
    <row r="298" spans="1:58" ht="11.25" hidden="1" customHeight="1" outlineLevel="2">
      <c r="A298" s="56"/>
      <c r="B298" s="66" t="s">
        <v>45</v>
      </c>
      <c r="C298" s="51">
        <f t="shared" si="426"/>
        <v>1834.4999999999982</v>
      </c>
      <c r="D298" s="51">
        <f t="shared" si="426"/>
        <v>1666.534999999998</v>
      </c>
      <c r="E298" s="51">
        <f t="shared" si="426"/>
        <v>1648.7830000000008</v>
      </c>
      <c r="F298" s="51">
        <f t="shared" si="426"/>
        <v>1618.2200000000003</v>
      </c>
      <c r="G298" s="51">
        <f t="shared" si="426"/>
        <v>1284.6000000000001</v>
      </c>
      <c r="H298" s="51">
        <f t="shared" si="426"/>
        <v>1279.771</v>
      </c>
      <c r="I298" s="51">
        <f t="shared" si="427"/>
        <v>1217.6478709294443</v>
      </c>
      <c r="J298" s="51">
        <f t="shared" si="427"/>
        <v>1048.4434604127298</v>
      </c>
      <c r="K298" s="51">
        <f t="shared" si="427"/>
        <v>863.40713980517944</v>
      </c>
      <c r="L298" s="55"/>
      <c r="M298" s="3"/>
      <c r="N298" s="51">
        <f>+N294-N297</f>
        <v>1998.5079999999998</v>
      </c>
      <c r="O298" s="51">
        <f>+O294-O297</f>
        <v>1993.668999999999</v>
      </c>
      <c r="P298" s="51">
        <f>+P294-P297</f>
        <v>1929.5159999999987</v>
      </c>
      <c r="Q298" s="51">
        <f>+Q294-Q297</f>
        <v>1834.4999999999982</v>
      </c>
      <c r="R298" s="51">
        <f t="shared" ref="R298:AW298" si="429">+R294-R297</f>
        <v>1864.5839999999989</v>
      </c>
      <c r="S298" s="51">
        <f t="shared" si="429"/>
        <v>1800</v>
      </c>
      <c r="T298" s="51">
        <f t="shared" si="429"/>
        <v>1669.9999999999991</v>
      </c>
      <c r="U298" s="51">
        <f t="shared" si="429"/>
        <v>1666.534999999998</v>
      </c>
      <c r="V298" s="51">
        <f t="shared" si="429"/>
        <v>1661.2419999999988</v>
      </c>
      <c r="W298" s="51">
        <f t="shared" si="429"/>
        <v>1656.2290000000012</v>
      </c>
      <c r="X298" s="51">
        <f t="shared" si="429"/>
        <v>1651.1779999999999</v>
      </c>
      <c r="Y298" s="51">
        <f t="shared" si="429"/>
        <v>1648.7830000000008</v>
      </c>
      <c r="Z298" s="51">
        <f t="shared" si="429"/>
        <v>1644.2459999999992</v>
      </c>
      <c r="AA298" s="51">
        <f t="shared" si="429"/>
        <v>1644.9649999999997</v>
      </c>
      <c r="AB298" s="51">
        <f t="shared" si="429"/>
        <v>1642.6560000000004</v>
      </c>
      <c r="AC298" s="51">
        <f t="shared" si="429"/>
        <v>1618.2200000000003</v>
      </c>
      <c r="AD298" s="51">
        <f t="shared" si="429"/>
        <v>1614.6030000000001</v>
      </c>
      <c r="AE298" s="51">
        <f t="shared" si="429"/>
        <v>1533.7879999999996</v>
      </c>
      <c r="AF298" s="51">
        <f t="shared" si="429"/>
        <v>1283.5849999999991</v>
      </c>
      <c r="AG298" s="51">
        <f t="shared" si="429"/>
        <v>1284.6000000000001</v>
      </c>
      <c r="AH298" s="51">
        <f t="shared" si="429"/>
        <v>1286.2099999999998</v>
      </c>
      <c r="AI298" s="51">
        <f t="shared" si="429"/>
        <v>1287.1559999999997</v>
      </c>
      <c r="AJ298" s="51">
        <f t="shared" si="429"/>
        <v>1281.7140000000009</v>
      </c>
      <c r="AK298" s="51">
        <f>+AK294-AK297</f>
        <v>1279.771</v>
      </c>
      <c r="AL298" s="51">
        <f t="shared" si="429"/>
        <v>1216.1915488247555</v>
      </c>
      <c r="AM298" s="51">
        <f t="shared" si="429"/>
        <v>1232.0046320603706</v>
      </c>
      <c r="AN298" s="51">
        <f t="shared" si="429"/>
        <v>1233.3618022193282</v>
      </c>
      <c r="AO298" s="51">
        <f t="shared" si="429"/>
        <v>1217.6478709294443</v>
      </c>
      <c r="AP298" s="51">
        <f t="shared" si="429"/>
        <v>1187.707461709919</v>
      </c>
      <c r="AQ298" s="51">
        <f t="shared" si="429"/>
        <v>1145.4287356627967</v>
      </c>
      <c r="AR298" s="51">
        <f t="shared" si="429"/>
        <v>1099.0461494218885</v>
      </c>
      <c r="AS298" s="51">
        <f t="shared" si="429"/>
        <v>1048.4434604127298</v>
      </c>
      <c r="AT298" s="51">
        <f t="shared" si="429"/>
        <v>1003.6570291660573</v>
      </c>
      <c r="AU298" s="51">
        <f t="shared" si="429"/>
        <v>957.7819394630244</v>
      </c>
      <c r="AV298" s="51">
        <f t="shared" si="429"/>
        <v>911.04245940179317</v>
      </c>
      <c r="AW298" s="51">
        <f t="shared" si="429"/>
        <v>863.40713980517944</v>
      </c>
      <c r="AX298" s="53"/>
      <c r="AY298" s="53"/>
      <c r="AZ298" s="53"/>
      <c r="BA298" s="53"/>
      <c r="BB298" s="53"/>
      <c r="BC298" s="53"/>
      <c r="BD298" s="53"/>
      <c r="BE298" s="53"/>
      <c r="BF298" s="2">
        <f t="shared" si="384"/>
        <v>292</v>
      </c>
    </row>
    <row r="299" spans="1:58" ht="11.25" hidden="1" customHeight="1" outlineLevel="2">
      <c r="A299" s="56"/>
      <c r="B299" s="66" t="s">
        <v>44</v>
      </c>
      <c r="C299" s="51">
        <f t="shared" si="426"/>
        <v>1834.5</v>
      </c>
      <c r="D299" s="51">
        <f t="shared" si="426"/>
        <v>1666.5350000000001</v>
      </c>
      <c r="E299" s="51">
        <f t="shared" si="426"/>
        <v>1648.7829999999999</v>
      </c>
      <c r="F299" s="51">
        <f t="shared" si="426"/>
        <v>1618.22</v>
      </c>
      <c r="G299" s="51">
        <f t="shared" si="426"/>
        <v>1284.5999999999999</v>
      </c>
      <c r="H299" s="51">
        <f t="shared" si="426"/>
        <v>1279.771</v>
      </c>
      <c r="I299" s="51">
        <f t="shared" si="427"/>
        <v>1279.771</v>
      </c>
      <c r="J299" s="51">
        <f t="shared" si="427"/>
        <v>1279.771</v>
      </c>
      <c r="K299" s="51">
        <f t="shared" si="427"/>
        <v>1279.771</v>
      </c>
      <c r="L299" s="55"/>
      <c r="M299" s="3"/>
      <c r="N299" s="51">
        <f t="shared" ref="N299:AW299" si="430">N308</f>
        <v>1998.508</v>
      </c>
      <c r="O299" s="51">
        <f t="shared" si="430"/>
        <v>1993.6690000000001</v>
      </c>
      <c r="P299" s="51">
        <f t="shared" si="430"/>
        <v>1839.4159999999999</v>
      </c>
      <c r="Q299" s="51">
        <f t="shared" si="430"/>
        <v>1834.5</v>
      </c>
      <c r="R299" s="51">
        <f t="shared" si="430"/>
        <v>1829.5840000000001</v>
      </c>
      <c r="S299" s="51">
        <f t="shared" si="430"/>
        <v>1675</v>
      </c>
      <c r="T299" s="51">
        <f t="shared" si="430"/>
        <v>1670</v>
      </c>
      <c r="U299" s="51">
        <f t="shared" si="430"/>
        <v>1666.5350000000001</v>
      </c>
      <c r="V299" s="51">
        <f t="shared" si="430"/>
        <v>1661.242</v>
      </c>
      <c r="W299" s="51">
        <f t="shared" si="430"/>
        <v>1656.229</v>
      </c>
      <c r="X299" s="51">
        <f t="shared" si="430"/>
        <v>1651.1779999999999</v>
      </c>
      <c r="Y299" s="51">
        <f t="shared" si="430"/>
        <v>1648.7829999999999</v>
      </c>
      <c r="Z299" s="51">
        <f t="shared" si="430"/>
        <v>1644.2460000000001</v>
      </c>
      <c r="AA299" s="51">
        <f t="shared" si="430"/>
        <v>1644.9649999999999</v>
      </c>
      <c r="AB299" s="51">
        <f t="shared" si="430"/>
        <v>1642.6559999999999</v>
      </c>
      <c r="AC299" s="51">
        <f t="shared" si="430"/>
        <v>1618.22</v>
      </c>
      <c r="AD299" s="51">
        <f t="shared" si="430"/>
        <v>1289.6030000000001</v>
      </c>
      <c r="AE299" s="51">
        <f t="shared" si="430"/>
        <v>1283.788</v>
      </c>
      <c r="AF299" s="51">
        <f t="shared" si="430"/>
        <v>1283.5809999999999</v>
      </c>
      <c r="AG299" s="51">
        <f t="shared" si="430"/>
        <v>1284.5999999999999</v>
      </c>
      <c r="AH299" s="51">
        <f t="shared" si="430"/>
        <v>1286.21</v>
      </c>
      <c r="AI299" s="51">
        <f t="shared" si="430"/>
        <v>1287.1559999999999</v>
      </c>
      <c r="AJ299" s="51">
        <f t="shared" si="430"/>
        <v>1281.7139999999999</v>
      </c>
      <c r="AK299" s="51">
        <f>AK308</f>
        <v>1279.771</v>
      </c>
      <c r="AL299" s="51">
        <f t="shared" si="430"/>
        <v>1279.771</v>
      </c>
      <c r="AM299" s="51">
        <f t="shared" si="430"/>
        <v>1279.771</v>
      </c>
      <c r="AN299" s="51">
        <f t="shared" si="430"/>
        <v>1279.771</v>
      </c>
      <c r="AO299" s="51">
        <f t="shared" si="430"/>
        <v>1279.771</v>
      </c>
      <c r="AP299" s="51">
        <f t="shared" si="430"/>
        <v>1279.771</v>
      </c>
      <c r="AQ299" s="51">
        <f t="shared" si="430"/>
        <v>1279.771</v>
      </c>
      <c r="AR299" s="51">
        <f t="shared" si="430"/>
        <v>1279.771</v>
      </c>
      <c r="AS299" s="51">
        <f t="shared" si="430"/>
        <v>1279.771</v>
      </c>
      <c r="AT299" s="51">
        <f t="shared" si="430"/>
        <v>1279.771</v>
      </c>
      <c r="AU299" s="51">
        <f t="shared" si="430"/>
        <v>1279.771</v>
      </c>
      <c r="AV299" s="51">
        <f t="shared" si="430"/>
        <v>1279.771</v>
      </c>
      <c r="AW299" s="51">
        <f t="shared" si="430"/>
        <v>1279.771</v>
      </c>
      <c r="AX299" s="53"/>
      <c r="AY299" s="53"/>
      <c r="AZ299" s="53"/>
      <c r="BA299" s="53"/>
      <c r="BB299" s="53"/>
      <c r="BC299" s="53"/>
      <c r="BD299" s="53"/>
      <c r="BE299" s="53"/>
      <c r="BF299" s="2">
        <f t="shared" si="384"/>
        <v>293</v>
      </c>
    </row>
    <row r="300" spans="1:58" ht="11.25" hidden="1" customHeight="1" outlineLevel="2">
      <c r="A300" s="56"/>
      <c r="B300" s="66" t="s">
        <v>43</v>
      </c>
      <c r="C300" s="51">
        <f t="shared" si="426"/>
        <v>0</v>
      </c>
      <c r="D300" s="51">
        <f t="shared" si="426"/>
        <v>0</v>
      </c>
      <c r="E300" s="51">
        <f t="shared" si="426"/>
        <v>0</v>
      </c>
      <c r="F300" s="51">
        <f t="shared" si="426"/>
        <v>0</v>
      </c>
      <c r="G300" s="51">
        <f t="shared" si="426"/>
        <v>0</v>
      </c>
      <c r="H300" s="51">
        <f t="shared" si="426"/>
        <v>0</v>
      </c>
      <c r="I300" s="51">
        <f t="shared" si="427"/>
        <v>0</v>
      </c>
      <c r="J300" s="51">
        <f t="shared" si="427"/>
        <v>0</v>
      </c>
      <c r="K300" s="51">
        <f t="shared" si="427"/>
        <v>0</v>
      </c>
      <c r="L300" s="55"/>
      <c r="M300" s="3"/>
      <c r="N300" s="51">
        <f t="shared" ref="N300:Y300" si="431">ROUND(N298-N299,3)</f>
        <v>0</v>
      </c>
      <c r="O300" s="51">
        <f t="shared" si="431"/>
        <v>0</v>
      </c>
      <c r="P300" s="51">
        <f t="shared" si="431"/>
        <v>90.1</v>
      </c>
      <c r="Q300" s="51">
        <f t="shared" si="431"/>
        <v>0</v>
      </c>
      <c r="R300" s="51">
        <f t="shared" si="431"/>
        <v>35</v>
      </c>
      <c r="S300" s="51">
        <f t="shared" si="431"/>
        <v>125</v>
      </c>
      <c r="T300" s="51">
        <f t="shared" si="431"/>
        <v>0</v>
      </c>
      <c r="U300" s="51">
        <f t="shared" si="431"/>
        <v>0</v>
      </c>
      <c r="V300" s="51">
        <f t="shared" si="431"/>
        <v>0</v>
      </c>
      <c r="W300" s="51">
        <f t="shared" si="431"/>
        <v>0</v>
      </c>
      <c r="X300" s="51">
        <f t="shared" si="431"/>
        <v>0</v>
      </c>
      <c r="Y300" s="51">
        <f t="shared" si="431"/>
        <v>0</v>
      </c>
      <c r="Z300" s="51">
        <f t="shared" ref="Z300:AS300" si="432">MAX(ROUND(Z298-Z299,3),0)</f>
        <v>0</v>
      </c>
      <c r="AA300" s="51">
        <f t="shared" si="432"/>
        <v>0</v>
      </c>
      <c r="AB300" s="51">
        <f t="shared" si="432"/>
        <v>0</v>
      </c>
      <c r="AC300" s="51">
        <f t="shared" si="432"/>
        <v>0</v>
      </c>
      <c r="AD300" s="51">
        <f t="shared" si="432"/>
        <v>325</v>
      </c>
      <c r="AE300" s="51">
        <f t="shared" si="432"/>
        <v>250</v>
      </c>
      <c r="AF300" s="51">
        <f t="shared" si="432"/>
        <v>4.0000000000000001E-3</v>
      </c>
      <c r="AG300" s="51">
        <f t="shared" si="432"/>
        <v>0</v>
      </c>
      <c r="AH300" s="51">
        <f t="shared" si="432"/>
        <v>0</v>
      </c>
      <c r="AI300" s="51">
        <f t="shared" si="432"/>
        <v>0</v>
      </c>
      <c r="AJ300" s="51">
        <f t="shared" si="432"/>
        <v>0</v>
      </c>
      <c r="AK300" s="51">
        <f>MAX(ROUND(AK298-AK299,3),0)</f>
        <v>0</v>
      </c>
      <c r="AL300" s="51">
        <f t="shared" si="432"/>
        <v>0</v>
      </c>
      <c r="AM300" s="51">
        <f t="shared" si="432"/>
        <v>0</v>
      </c>
      <c r="AN300" s="51">
        <f t="shared" si="432"/>
        <v>0</v>
      </c>
      <c r="AO300" s="51">
        <f t="shared" si="432"/>
        <v>0</v>
      </c>
      <c r="AP300" s="51">
        <f t="shared" si="432"/>
        <v>0</v>
      </c>
      <c r="AQ300" s="51">
        <f t="shared" si="432"/>
        <v>0</v>
      </c>
      <c r="AR300" s="51">
        <f t="shared" si="432"/>
        <v>0</v>
      </c>
      <c r="AS300" s="51">
        <f t="shared" si="432"/>
        <v>0</v>
      </c>
      <c r="AT300" s="51">
        <f>ROUND(MAX(AT298-AT299,0),3)</f>
        <v>0</v>
      </c>
      <c r="AU300" s="51">
        <f>ROUND(MAX(AU298-AU299,0),3)</f>
        <v>0</v>
      </c>
      <c r="AV300" s="51">
        <f>ROUND(MAX(AV298-AV299,0),3)</f>
        <v>0</v>
      </c>
      <c r="AW300" s="51">
        <f>ROUND(MAX(AW298-AW299,0),3)</f>
        <v>0</v>
      </c>
      <c r="AX300" s="53"/>
      <c r="AY300" s="53"/>
      <c r="AZ300" s="53"/>
      <c r="BA300" s="53"/>
      <c r="BB300" s="53"/>
      <c r="BC300" s="53"/>
      <c r="BD300" s="53"/>
      <c r="BE300" s="53"/>
      <c r="BF300" s="2">
        <f t="shared" si="384"/>
        <v>294</v>
      </c>
    </row>
    <row r="301" spans="1:58" ht="11.25" hidden="1" customHeight="1" outlineLevel="2">
      <c r="A301" s="56"/>
      <c r="B301" s="66"/>
      <c r="C301" s="51"/>
      <c r="D301" s="51"/>
      <c r="E301" s="51"/>
      <c r="F301" s="51"/>
      <c r="G301" s="51"/>
      <c r="H301" s="51"/>
      <c r="I301" s="51"/>
      <c r="J301" s="51"/>
      <c r="K301" s="51"/>
      <c r="L301" s="55"/>
      <c r="M301" s="3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53"/>
      <c r="AY301" s="53"/>
      <c r="AZ301" s="53"/>
      <c r="BA301" s="53"/>
      <c r="BB301" s="53"/>
      <c r="BC301" s="53"/>
      <c r="BD301" s="53"/>
      <c r="BE301" s="53"/>
      <c r="BF301" s="2">
        <f t="shared" si="384"/>
        <v>295</v>
      </c>
    </row>
    <row r="302" spans="1:58" ht="11.25" customHeight="1" outlineLevel="1" collapsed="1">
      <c r="A302" s="56" t="s">
        <v>5</v>
      </c>
      <c r="B302" s="58" t="s">
        <v>42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5"/>
      <c r="M302" s="3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53"/>
      <c r="AY302" s="53"/>
      <c r="AZ302" s="53"/>
      <c r="BA302" s="53"/>
      <c r="BB302" s="53"/>
      <c r="BC302" s="53"/>
      <c r="BD302" s="53"/>
      <c r="BE302" s="53"/>
      <c r="BF302" s="2">
        <f t="shared" si="384"/>
        <v>296</v>
      </c>
    </row>
    <row r="303" spans="1:58" ht="11.25" hidden="1" customHeight="1" outlineLevel="2">
      <c r="A303" s="56"/>
      <c r="B303" s="69" t="s">
        <v>41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5"/>
      <c r="M303" s="3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53"/>
      <c r="AY303" s="53"/>
      <c r="AZ303" s="53"/>
      <c r="BA303" s="53"/>
      <c r="BB303" s="53"/>
      <c r="BC303" s="53"/>
      <c r="BD303" s="53"/>
      <c r="BE303" s="53"/>
      <c r="BF303" s="2">
        <f t="shared" si="384"/>
        <v>297</v>
      </c>
    </row>
    <row r="304" spans="1:58" ht="11.25" hidden="1" customHeight="1" outlineLevel="2">
      <c r="A304" s="56"/>
      <c r="B304" s="67" t="s">
        <v>259</v>
      </c>
      <c r="C304" s="51">
        <f t="shared" ref="C304:H310" si="433">INDEX($N304:$AX304,1,MATCH(C$5,$N$5:$AX$5,0))</f>
        <v>800</v>
      </c>
      <c r="D304" s="51">
        <f t="shared" si="433"/>
        <v>800</v>
      </c>
      <c r="E304" s="51">
        <f t="shared" si="433"/>
        <v>800</v>
      </c>
      <c r="F304" s="51">
        <f t="shared" si="433"/>
        <v>800</v>
      </c>
      <c r="G304" s="51">
        <f t="shared" si="433"/>
        <v>800</v>
      </c>
      <c r="H304" s="51">
        <f t="shared" si="433"/>
        <v>800</v>
      </c>
      <c r="I304" s="51">
        <f t="shared" ref="I304:K310" si="434">INDEX($N304:$BF304,1,MATCH(I$5,$N$5:$BF$5,0))</f>
        <v>800</v>
      </c>
      <c r="J304" s="51">
        <f t="shared" si="434"/>
        <v>800</v>
      </c>
      <c r="K304" s="51">
        <f t="shared" si="434"/>
        <v>800</v>
      </c>
      <c r="L304" s="55"/>
      <c r="M304" s="3"/>
      <c r="N304" s="40">
        <v>800</v>
      </c>
      <c r="O304" s="40">
        <v>800</v>
      </c>
      <c r="P304" s="40">
        <v>800</v>
      </c>
      <c r="Q304" s="40">
        <v>800</v>
      </c>
      <c r="R304" s="40">
        <v>800</v>
      </c>
      <c r="S304" s="40">
        <v>800</v>
      </c>
      <c r="T304" s="40">
        <v>800</v>
      </c>
      <c r="U304" s="40">
        <v>800</v>
      </c>
      <c r="V304" s="40">
        <v>800</v>
      </c>
      <c r="W304" s="40">
        <v>800</v>
      </c>
      <c r="X304" s="40">
        <v>800</v>
      </c>
      <c r="Y304" s="40">
        <v>800</v>
      </c>
      <c r="Z304" s="40">
        <v>800</v>
      </c>
      <c r="AA304" s="40">
        <v>800</v>
      </c>
      <c r="AB304" s="40">
        <v>800</v>
      </c>
      <c r="AC304" s="40">
        <v>800</v>
      </c>
      <c r="AD304" s="40">
        <v>800</v>
      </c>
      <c r="AE304" s="40">
        <v>800</v>
      </c>
      <c r="AF304" s="40">
        <v>800</v>
      </c>
      <c r="AG304" s="40">
        <v>800</v>
      </c>
      <c r="AH304" s="40">
        <v>800</v>
      </c>
      <c r="AI304" s="40">
        <v>800</v>
      </c>
      <c r="AJ304" s="40">
        <v>800</v>
      </c>
      <c r="AK304" s="40">
        <v>800</v>
      </c>
      <c r="AL304" s="68">
        <f t="shared" ref="AL304:AW304" si="435">AK304</f>
        <v>800</v>
      </c>
      <c r="AM304" s="68">
        <f t="shared" si="435"/>
        <v>800</v>
      </c>
      <c r="AN304" s="68">
        <f t="shared" si="435"/>
        <v>800</v>
      </c>
      <c r="AO304" s="68">
        <f t="shared" si="435"/>
        <v>800</v>
      </c>
      <c r="AP304" s="68">
        <f t="shared" si="435"/>
        <v>800</v>
      </c>
      <c r="AQ304" s="68">
        <f t="shared" si="435"/>
        <v>800</v>
      </c>
      <c r="AR304" s="68">
        <f t="shared" si="435"/>
        <v>800</v>
      </c>
      <c r="AS304" s="68">
        <f t="shared" si="435"/>
        <v>800</v>
      </c>
      <c r="AT304" s="68">
        <f t="shared" si="435"/>
        <v>800</v>
      </c>
      <c r="AU304" s="68">
        <f t="shared" si="435"/>
        <v>800</v>
      </c>
      <c r="AV304" s="68">
        <f t="shared" si="435"/>
        <v>800</v>
      </c>
      <c r="AW304" s="68">
        <f t="shared" si="435"/>
        <v>800</v>
      </c>
      <c r="AX304" s="53"/>
      <c r="AY304" s="53"/>
      <c r="AZ304" s="53"/>
      <c r="BA304" s="53"/>
      <c r="BB304" s="53"/>
      <c r="BC304" s="53"/>
      <c r="BD304" s="53"/>
      <c r="BE304" s="53"/>
      <c r="BF304" s="2">
        <f t="shared" si="384"/>
        <v>298</v>
      </c>
    </row>
    <row r="305" spans="1:58" ht="11.25" hidden="1" customHeight="1" outlineLevel="2">
      <c r="A305" s="56"/>
      <c r="B305" s="67" t="s">
        <v>260</v>
      </c>
      <c r="C305" s="51">
        <f t="shared" si="433"/>
        <v>0</v>
      </c>
      <c r="D305" s="51">
        <f t="shared" si="433"/>
        <v>0</v>
      </c>
      <c r="E305" s="51">
        <f t="shared" si="433"/>
        <v>0</v>
      </c>
      <c r="F305" s="51">
        <f t="shared" si="433"/>
        <v>0</v>
      </c>
      <c r="G305" s="51">
        <f t="shared" si="433"/>
        <v>0</v>
      </c>
      <c r="H305" s="51">
        <f t="shared" si="433"/>
        <v>500</v>
      </c>
      <c r="I305" s="51">
        <f t="shared" si="434"/>
        <v>500</v>
      </c>
      <c r="J305" s="51">
        <f t="shared" si="434"/>
        <v>500</v>
      </c>
      <c r="K305" s="51">
        <f t="shared" si="434"/>
        <v>500</v>
      </c>
      <c r="L305" s="55"/>
      <c r="M305" s="3"/>
      <c r="N305" s="40">
        <v>0</v>
      </c>
      <c r="O305" s="40">
        <v>0</v>
      </c>
      <c r="P305" s="40">
        <v>0</v>
      </c>
      <c r="Q305" s="40">
        <v>0</v>
      </c>
      <c r="R305" s="40">
        <v>0</v>
      </c>
      <c r="S305" s="40">
        <v>0</v>
      </c>
      <c r="T305" s="40">
        <v>0</v>
      </c>
      <c r="U305" s="40">
        <v>0</v>
      </c>
      <c r="V305" s="40">
        <v>0</v>
      </c>
      <c r="W305" s="40">
        <v>0</v>
      </c>
      <c r="X305" s="40">
        <v>0</v>
      </c>
      <c r="Y305" s="40">
        <v>0</v>
      </c>
      <c r="Z305" s="40">
        <v>0</v>
      </c>
      <c r="AA305" s="40">
        <v>0</v>
      </c>
      <c r="AB305" s="40">
        <v>0</v>
      </c>
      <c r="AC305" s="40">
        <v>0</v>
      </c>
      <c r="AD305" s="40">
        <v>0</v>
      </c>
      <c r="AE305" s="40">
        <v>0</v>
      </c>
      <c r="AF305" s="40">
        <v>0</v>
      </c>
      <c r="AG305" s="40">
        <v>0</v>
      </c>
      <c r="AH305" s="40">
        <v>0</v>
      </c>
      <c r="AI305" s="40">
        <v>0</v>
      </c>
      <c r="AJ305" s="319">
        <v>500</v>
      </c>
      <c r="AK305" s="40">
        <v>500</v>
      </c>
      <c r="AL305" s="68">
        <f t="shared" ref="AL305:AW305" si="436">AK305</f>
        <v>500</v>
      </c>
      <c r="AM305" s="68">
        <f t="shared" si="436"/>
        <v>500</v>
      </c>
      <c r="AN305" s="68">
        <f t="shared" si="436"/>
        <v>500</v>
      </c>
      <c r="AO305" s="68">
        <f t="shared" si="436"/>
        <v>500</v>
      </c>
      <c r="AP305" s="68">
        <f t="shared" si="436"/>
        <v>500</v>
      </c>
      <c r="AQ305" s="68">
        <f t="shared" si="436"/>
        <v>500</v>
      </c>
      <c r="AR305" s="68">
        <f t="shared" si="436"/>
        <v>500</v>
      </c>
      <c r="AS305" s="68">
        <f t="shared" si="436"/>
        <v>500</v>
      </c>
      <c r="AT305" s="68">
        <f t="shared" si="436"/>
        <v>500</v>
      </c>
      <c r="AU305" s="68">
        <f t="shared" si="436"/>
        <v>500</v>
      </c>
      <c r="AV305" s="68">
        <f t="shared" si="436"/>
        <v>500</v>
      </c>
      <c r="AW305" s="68">
        <f t="shared" si="436"/>
        <v>500</v>
      </c>
      <c r="AX305" s="53"/>
      <c r="AY305" s="53"/>
      <c r="AZ305" s="53"/>
      <c r="BA305" s="53"/>
      <c r="BB305" s="53"/>
      <c r="BC305" s="53"/>
      <c r="BD305" s="53"/>
      <c r="BE305" s="53"/>
      <c r="BF305" s="2">
        <f t="shared" si="384"/>
        <v>299</v>
      </c>
    </row>
    <row r="306" spans="1:58" ht="11.25" hidden="1" customHeight="1" outlineLevel="2">
      <c r="A306" s="56"/>
      <c r="B306" s="66" t="s">
        <v>33</v>
      </c>
      <c r="C306" s="51">
        <f t="shared" si="433"/>
        <v>1034.5</v>
      </c>
      <c r="D306" s="51">
        <f t="shared" si="433"/>
        <v>866.53500000000008</v>
      </c>
      <c r="E306" s="51">
        <f t="shared" si="433"/>
        <v>848.78300000000002</v>
      </c>
      <c r="F306" s="51">
        <f t="shared" si="433"/>
        <v>838.04600000000005</v>
      </c>
      <c r="G306" s="51">
        <f t="shared" si="433"/>
        <v>500</v>
      </c>
      <c r="H306" s="51">
        <f t="shared" si="433"/>
        <v>0</v>
      </c>
      <c r="I306" s="51">
        <f t="shared" si="434"/>
        <v>0</v>
      </c>
      <c r="J306" s="51">
        <f t="shared" si="434"/>
        <v>0</v>
      </c>
      <c r="K306" s="51">
        <f t="shared" si="434"/>
        <v>0</v>
      </c>
      <c r="L306" s="55"/>
      <c r="M306" s="3"/>
      <c r="N306" s="40">
        <v>1200</v>
      </c>
      <c r="O306" s="40">
        <v>1195</v>
      </c>
      <c r="P306" s="40">
        <v>1040</v>
      </c>
      <c r="Q306" s="40">
        <v>1034.5</v>
      </c>
      <c r="R306" s="40">
        <v>1030</v>
      </c>
      <c r="S306" s="40">
        <v>875</v>
      </c>
      <c r="T306" s="40">
        <v>870</v>
      </c>
      <c r="U306" s="40">
        <v>866.53500000000008</v>
      </c>
      <c r="V306" s="40">
        <v>861.24199999999996</v>
      </c>
      <c r="W306" s="40">
        <v>856.22900000000004</v>
      </c>
      <c r="X306" s="40">
        <v>851.178</v>
      </c>
      <c r="Y306" s="40">
        <v>848.78300000000002</v>
      </c>
      <c r="Z306" s="40">
        <v>844.24599999999998</v>
      </c>
      <c r="AA306" s="40">
        <v>844.96499999999992</v>
      </c>
      <c r="AB306" s="40">
        <v>842.65599999999995</v>
      </c>
      <c r="AC306" s="40">
        <f>((((3.089+9.957)+0)+325)+500)+0</f>
        <v>838.04600000000005</v>
      </c>
      <c r="AD306" s="40">
        <f>((((2.387+6.028)+0)+0)+500)+0</f>
        <v>508.41500000000002</v>
      </c>
      <c r="AE306" s="40">
        <f>((((0.839+0.728)+0)+0)+500)+0</f>
        <v>501.56700000000001</v>
      </c>
      <c r="AF306" s="40">
        <v>500</v>
      </c>
      <c r="AG306" s="40">
        <v>500</v>
      </c>
      <c r="AH306" s="40">
        <v>500</v>
      </c>
      <c r="AI306" s="40">
        <v>500</v>
      </c>
      <c r="AJ306" s="320">
        <v>0</v>
      </c>
      <c r="AK306" s="40">
        <v>0</v>
      </c>
      <c r="AL306" s="68">
        <f t="shared" ref="AL306:AW306" si="437">AK306</f>
        <v>0</v>
      </c>
      <c r="AM306" s="68">
        <f t="shared" si="437"/>
        <v>0</v>
      </c>
      <c r="AN306" s="68">
        <f t="shared" si="437"/>
        <v>0</v>
      </c>
      <c r="AO306" s="68">
        <f t="shared" si="437"/>
        <v>0</v>
      </c>
      <c r="AP306" s="68">
        <f t="shared" si="437"/>
        <v>0</v>
      </c>
      <c r="AQ306" s="68">
        <f t="shared" si="437"/>
        <v>0</v>
      </c>
      <c r="AR306" s="68">
        <f t="shared" si="437"/>
        <v>0</v>
      </c>
      <c r="AS306" s="68">
        <f t="shared" si="437"/>
        <v>0</v>
      </c>
      <c r="AT306" s="68">
        <f t="shared" si="437"/>
        <v>0</v>
      </c>
      <c r="AU306" s="68">
        <f t="shared" si="437"/>
        <v>0</v>
      </c>
      <c r="AV306" s="68">
        <f t="shared" si="437"/>
        <v>0</v>
      </c>
      <c r="AW306" s="68">
        <f t="shared" si="437"/>
        <v>0</v>
      </c>
      <c r="AX306" s="53"/>
      <c r="AY306" s="53"/>
      <c r="AZ306" s="53"/>
      <c r="BA306" s="53"/>
      <c r="BB306" s="53"/>
      <c r="BC306" s="53"/>
      <c r="BD306" s="53"/>
      <c r="BE306" s="53"/>
      <c r="BF306" s="2">
        <f t="shared" si="384"/>
        <v>300</v>
      </c>
    </row>
    <row r="307" spans="1:58" ht="11.25" hidden="1" customHeight="1" outlineLevel="2">
      <c r="A307" s="56"/>
      <c r="B307" s="66" t="s">
        <v>32</v>
      </c>
      <c r="C307" s="51">
        <f t="shared" si="433"/>
        <v>0</v>
      </c>
      <c r="D307" s="51">
        <f t="shared" si="433"/>
        <v>0</v>
      </c>
      <c r="E307" s="51">
        <f t="shared" si="433"/>
        <v>0</v>
      </c>
      <c r="F307" s="51">
        <f t="shared" si="433"/>
        <v>-19.826000000000001</v>
      </c>
      <c r="G307" s="51">
        <f t="shared" si="433"/>
        <v>-15.4</v>
      </c>
      <c r="H307" s="51">
        <f t="shared" si="433"/>
        <v>-20.228999999999999</v>
      </c>
      <c r="I307" s="51">
        <f t="shared" si="434"/>
        <v>-20.228999999999999</v>
      </c>
      <c r="J307" s="51">
        <f t="shared" si="434"/>
        <v>-20.228999999999999</v>
      </c>
      <c r="K307" s="51">
        <f t="shared" si="434"/>
        <v>-20.228999999999999</v>
      </c>
      <c r="L307" s="55"/>
      <c r="M307" s="3"/>
      <c r="N307" s="40">
        <v>-1.4919999999999618</v>
      </c>
      <c r="O307" s="40">
        <v>-1.3309999999999036</v>
      </c>
      <c r="P307" s="40">
        <v>-0.58400000000006003</v>
      </c>
      <c r="Q307" s="40">
        <v>0</v>
      </c>
      <c r="R307" s="40">
        <v>-0.41599999999993997</v>
      </c>
      <c r="S307" s="40">
        <v>0</v>
      </c>
      <c r="T307" s="40">
        <v>0</v>
      </c>
      <c r="U307" s="40">
        <v>0</v>
      </c>
      <c r="V307" s="40">
        <v>0</v>
      </c>
      <c r="W307" s="40">
        <v>0</v>
      </c>
      <c r="X307" s="40">
        <v>0</v>
      </c>
      <c r="Y307" s="40">
        <v>0</v>
      </c>
      <c r="Z307" s="40">
        <v>0</v>
      </c>
      <c r="AA307" s="40">
        <v>0</v>
      </c>
      <c r="AB307" s="40">
        <v>0</v>
      </c>
      <c r="AC307" s="40">
        <v>-19.826000000000001</v>
      </c>
      <c r="AD307" s="40">
        <v>-18.812000000000001</v>
      </c>
      <c r="AE307" s="40">
        <v>-17.779</v>
      </c>
      <c r="AF307" s="40">
        <v>-16.419</v>
      </c>
      <c r="AG307" s="40">
        <v>-15.4</v>
      </c>
      <c r="AH307" s="40">
        <v>-13.789999999999964</v>
      </c>
      <c r="AI307" s="40">
        <v>-12.843999999999999</v>
      </c>
      <c r="AJ307" s="40">
        <v>-18.286000000000001</v>
      </c>
      <c r="AK307" s="40">
        <v>-20.228999999999999</v>
      </c>
      <c r="AL307" s="40">
        <f t="shared" ref="AL307:AW307" si="438">AK307</f>
        <v>-20.228999999999999</v>
      </c>
      <c r="AM307" s="40">
        <f t="shared" si="438"/>
        <v>-20.228999999999999</v>
      </c>
      <c r="AN307" s="40">
        <f t="shared" si="438"/>
        <v>-20.228999999999999</v>
      </c>
      <c r="AO307" s="40">
        <f t="shared" si="438"/>
        <v>-20.228999999999999</v>
      </c>
      <c r="AP307" s="40">
        <f t="shared" si="438"/>
        <v>-20.228999999999999</v>
      </c>
      <c r="AQ307" s="40">
        <f t="shared" si="438"/>
        <v>-20.228999999999999</v>
      </c>
      <c r="AR307" s="40">
        <f t="shared" si="438"/>
        <v>-20.228999999999999</v>
      </c>
      <c r="AS307" s="40">
        <f t="shared" si="438"/>
        <v>-20.228999999999999</v>
      </c>
      <c r="AT307" s="40">
        <f t="shared" si="438"/>
        <v>-20.228999999999999</v>
      </c>
      <c r="AU307" s="40">
        <f t="shared" si="438"/>
        <v>-20.228999999999999</v>
      </c>
      <c r="AV307" s="40">
        <f t="shared" si="438"/>
        <v>-20.228999999999999</v>
      </c>
      <c r="AW307" s="40">
        <f t="shared" si="438"/>
        <v>-20.228999999999999</v>
      </c>
      <c r="AX307" s="53"/>
      <c r="AY307" s="53"/>
      <c r="AZ307" s="53"/>
      <c r="BA307" s="53"/>
      <c r="BB307" s="53"/>
      <c r="BC307" s="53"/>
      <c r="BD307" s="53"/>
      <c r="BE307" s="53"/>
      <c r="BF307" s="2">
        <f t="shared" si="384"/>
        <v>301</v>
      </c>
    </row>
    <row r="308" spans="1:58" ht="11.25" hidden="1" customHeight="1" outlineLevel="2">
      <c r="A308" s="11"/>
      <c r="B308" s="65" t="s">
        <v>31</v>
      </c>
      <c r="C308" s="51">
        <f t="shared" si="433"/>
        <v>1834.5</v>
      </c>
      <c r="D308" s="51">
        <f t="shared" si="433"/>
        <v>1666.5350000000001</v>
      </c>
      <c r="E308" s="51">
        <f t="shared" si="433"/>
        <v>1648.7829999999999</v>
      </c>
      <c r="F308" s="51">
        <f t="shared" si="433"/>
        <v>1618.22</v>
      </c>
      <c r="G308" s="51">
        <f t="shared" si="433"/>
        <v>1284.5999999999999</v>
      </c>
      <c r="H308" s="51">
        <f t="shared" si="433"/>
        <v>1279.771</v>
      </c>
      <c r="I308" s="51">
        <f t="shared" si="434"/>
        <v>1279.771</v>
      </c>
      <c r="J308" s="51">
        <f t="shared" si="434"/>
        <v>1279.771</v>
      </c>
      <c r="K308" s="51">
        <f t="shared" si="434"/>
        <v>1279.771</v>
      </c>
      <c r="L308" s="15"/>
      <c r="M308" s="3"/>
      <c r="N308" s="51">
        <f t="shared" ref="N308:AW308" si="439">SUM(N304:N307)</f>
        <v>1998.508</v>
      </c>
      <c r="O308" s="51">
        <f t="shared" si="439"/>
        <v>1993.6690000000001</v>
      </c>
      <c r="P308" s="51">
        <f t="shared" si="439"/>
        <v>1839.4159999999999</v>
      </c>
      <c r="Q308" s="51">
        <f t="shared" si="439"/>
        <v>1834.5</v>
      </c>
      <c r="R308" s="51">
        <f t="shared" si="439"/>
        <v>1829.5840000000001</v>
      </c>
      <c r="S308" s="51">
        <f t="shared" si="439"/>
        <v>1675</v>
      </c>
      <c r="T308" s="51">
        <f t="shared" si="439"/>
        <v>1670</v>
      </c>
      <c r="U308" s="51">
        <f t="shared" si="439"/>
        <v>1666.5350000000001</v>
      </c>
      <c r="V308" s="51">
        <f t="shared" si="439"/>
        <v>1661.242</v>
      </c>
      <c r="W308" s="51">
        <f t="shared" si="439"/>
        <v>1656.229</v>
      </c>
      <c r="X308" s="51">
        <f t="shared" si="439"/>
        <v>1651.1779999999999</v>
      </c>
      <c r="Y308" s="51">
        <f t="shared" si="439"/>
        <v>1648.7829999999999</v>
      </c>
      <c r="Z308" s="51">
        <f t="shared" si="439"/>
        <v>1644.2460000000001</v>
      </c>
      <c r="AA308" s="51">
        <f t="shared" si="439"/>
        <v>1644.9649999999999</v>
      </c>
      <c r="AB308" s="51">
        <f t="shared" si="439"/>
        <v>1642.6559999999999</v>
      </c>
      <c r="AC308" s="51">
        <f t="shared" si="439"/>
        <v>1618.22</v>
      </c>
      <c r="AD308" s="51">
        <f t="shared" si="439"/>
        <v>1289.6030000000001</v>
      </c>
      <c r="AE308" s="51">
        <f t="shared" si="439"/>
        <v>1283.788</v>
      </c>
      <c r="AF308" s="51">
        <f t="shared" si="439"/>
        <v>1283.5809999999999</v>
      </c>
      <c r="AG308" s="51">
        <f t="shared" si="439"/>
        <v>1284.5999999999999</v>
      </c>
      <c r="AH308" s="51">
        <f t="shared" si="439"/>
        <v>1286.21</v>
      </c>
      <c r="AI308" s="51">
        <f t="shared" si="439"/>
        <v>1287.1559999999999</v>
      </c>
      <c r="AJ308" s="51">
        <f>SUM(AJ304:AJ307)</f>
        <v>1281.7139999999999</v>
      </c>
      <c r="AK308" s="51">
        <f t="shared" si="439"/>
        <v>1279.771</v>
      </c>
      <c r="AL308" s="51">
        <f t="shared" si="439"/>
        <v>1279.771</v>
      </c>
      <c r="AM308" s="51">
        <f t="shared" si="439"/>
        <v>1279.771</v>
      </c>
      <c r="AN308" s="51">
        <f t="shared" si="439"/>
        <v>1279.771</v>
      </c>
      <c r="AO308" s="51">
        <f t="shared" si="439"/>
        <v>1279.771</v>
      </c>
      <c r="AP308" s="51">
        <f t="shared" si="439"/>
        <v>1279.771</v>
      </c>
      <c r="AQ308" s="51">
        <f t="shared" si="439"/>
        <v>1279.771</v>
      </c>
      <c r="AR308" s="51">
        <f t="shared" si="439"/>
        <v>1279.771</v>
      </c>
      <c r="AS308" s="51">
        <f t="shared" si="439"/>
        <v>1279.771</v>
      </c>
      <c r="AT308" s="51">
        <f t="shared" si="439"/>
        <v>1279.771</v>
      </c>
      <c r="AU308" s="51">
        <f t="shared" si="439"/>
        <v>1279.771</v>
      </c>
      <c r="AV308" s="51">
        <f t="shared" si="439"/>
        <v>1279.771</v>
      </c>
      <c r="AW308" s="51">
        <f t="shared" si="439"/>
        <v>1279.771</v>
      </c>
      <c r="AX308" s="63"/>
      <c r="AY308" s="63"/>
      <c r="AZ308" s="63"/>
      <c r="BA308" s="63"/>
      <c r="BB308" s="63"/>
      <c r="BC308" s="63"/>
      <c r="BD308" s="63"/>
      <c r="BE308" s="63"/>
      <c r="BF308" s="2">
        <f t="shared" si="384"/>
        <v>302</v>
      </c>
    </row>
    <row r="309" spans="1:58" ht="11.25" hidden="1" customHeight="1" outlineLevel="2">
      <c r="A309" s="56"/>
      <c r="B309" s="64" t="s">
        <v>773</v>
      </c>
      <c r="C309" s="51">
        <f t="shared" si="433"/>
        <v>0</v>
      </c>
      <c r="D309" s="51">
        <f t="shared" si="433"/>
        <v>0</v>
      </c>
      <c r="E309" s="51">
        <f t="shared" si="433"/>
        <v>0</v>
      </c>
      <c r="F309" s="51">
        <f t="shared" si="433"/>
        <v>0</v>
      </c>
      <c r="G309" s="51">
        <f t="shared" si="433"/>
        <v>0</v>
      </c>
      <c r="H309" s="51">
        <f t="shared" si="433"/>
        <v>0</v>
      </c>
      <c r="I309" s="51">
        <f t="shared" si="434"/>
        <v>0</v>
      </c>
      <c r="J309" s="51">
        <f t="shared" si="434"/>
        <v>0</v>
      </c>
      <c r="K309" s="51">
        <f t="shared" si="434"/>
        <v>0</v>
      </c>
      <c r="L309" s="55"/>
      <c r="M309" s="3"/>
      <c r="N309" s="40">
        <v>0</v>
      </c>
      <c r="O309" s="40">
        <v>0</v>
      </c>
      <c r="P309" s="40">
        <v>90</v>
      </c>
      <c r="Q309" s="40">
        <v>0</v>
      </c>
      <c r="R309" s="40">
        <v>35</v>
      </c>
      <c r="S309" s="40">
        <v>125</v>
      </c>
      <c r="T309" s="40">
        <v>0</v>
      </c>
      <c r="U309" s="40">
        <v>0</v>
      </c>
      <c r="V309" s="40">
        <v>0</v>
      </c>
      <c r="W309" s="40">
        <v>0</v>
      </c>
      <c r="X309" s="40">
        <v>0</v>
      </c>
      <c r="Y309" s="40">
        <v>0</v>
      </c>
      <c r="Z309" s="40">
        <v>0</v>
      </c>
      <c r="AA309" s="40">
        <v>0</v>
      </c>
      <c r="AB309" s="40">
        <v>0</v>
      </c>
      <c r="AC309" s="40">
        <v>0</v>
      </c>
      <c r="AD309" s="40">
        <v>325</v>
      </c>
      <c r="AE309" s="40">
        <v>250</v>
      </c>
      <c r="AF309" s="40">
        <v>0</v>
      </c>
      <c r="AG309" s="40">
        <v>0</v>
      </c>
      <c r="AH309" s="40">
        <v>0</v>
      </c>
      <c r="AI309" s="40">
        <v>0</v>
      </c>
      <c r="AJ309" s="40">
        <v>0</v>
      </c>
      <c r="AK309" s="40">
        <v>0</v>
      </c>
      <c r="AL309" s="68">
        <f t="shared" ref="AL309:AS309" si="440">MAX(MIN(AL300,AL317),0)</f>
        <v>0</v>
      </c>
      <c r="AM309" s="68">
        <f t="shared" si="440"/>
        <v>0</v>
      </c>
      <c r="AN309" s="68">
        <f t="shared" si="440"/>
        <v>0</v>
      </c>
      <c r="AO309" s="68">
        <f t="shared" si="440"/>
        <v>0</v>
      </c>
      <c r="AP309" s="68">
        <f t="shared" si="440"/>
        <v>0</v>
      </c>
      <c r="AQ309" s="68">
        <f t="shared" si="440"/>
        <v>0</v>
      </c>
      <c r="AR309" s="68">
        <f t="shared" si="440"/>
        <v>0</v>
      </c>
      <c r="AS309" s="68">
        <f t="shared" si="440"/>
        <v>0</v>
      </c>
      <c r="AT309" s="68">
        <f>MIN(AT300,AT317)</f>
        <v>0</v>
      </c>
      <c r="AU309" s="68">
        <f>MIN(AU300,AU317)</f>
        <v>0</v>
      </c>
      <c r="AV309" s="68">
        <f>MIN(AV300,AV317)</f>
        <v>0</v>
      </c>
      <c r="AW309" s="68">
        <f>MIN(AW300,AW317)</f>
        <v>0</v>
      </c>
      <c r="AX309" s="57"/>
      <c r="AY309" s="57"/>
      <c r="AZ309" s="57"/>
      <c r="BA309" s="57"/>
      <c r="BB309" s="57"/>
      <c r="BC309" s="57"/>
      <c r="BD309" s="57"/>
      <c r="BE309" s="57"/>
      <c r="BF309" s="2">
        <f t="shared" si="384"/>
        <v>303</v>
      </c>
    </row>
    <row r="310" spans="1:58" ht="11.25" hidden="1" customHeight="1" outlineLevel="2">
      <c r="A310" s="56"/>
      <c r="B310" s="59" t="s">
        <v>30</v>
      </c>
      <c r="C310" s="51">
        <f t="shared" si="433"/>
        <v>1834.5</v>
      </c>
      <c r="D310" s="51">
        <f t="shared" si="433"/>
        <v>1666.5350000000001</v>
      </c>
      <c r="E310" s="51">
        <f t="shared" si="433"/>
        <v>1648.7829999999999</v>
      </c>
      <c r="F310" s="51">
        <f t="shared" si="433"/>
        <v>1618.22</v>
      </c>
      <c r="G310" s="51">
        <f t="shared" si="433"/>
        <v>1284.5999999999999</v>
      </c>
      <c r="H310" s="51">
        <f t="shared" si="433"/>
        <v>1279.771</v>
      </c>
      <c r="I310" s="51">
        <f t="shared" si="434"/>
        <v>1279.771</v>
      </c>
      <c r="J310" s="51">
        <f t="shared" si="434"/>
        <v>1279.771</v>
      </c>
      <c r="K310" s="51">
        <f t="shared" si="434"/>
        <v>1279.771</v>
      </c>
      <c r="L310" s="55"/>
      <c r="M310" s="3"/>
      <c r="N310" s="51">
        <f t="shared" ref="N310:AW310" si="441">+N308+N309</f>
        <v>1998.508</v>
      </c>
      <c r="O310" s="51">
        <f t="shared" si="441"/>
        <v>1993.6690000000001</v>
      </c>
      <c r="P310" s="51">
        <f t="shared" si="441"/>
        <v>1929.4159999999999</v>
      </c>
      <c r="Q310" s="51">
        <f t="shared" si="441"/>
        <v>1834.5</v>
      </c>
      <c r="R310" s="51">
        <f t="shared" si="441"/>
        <v>1864.5840000000001</v>
      </c>
      <c r="S310" s="51">
        <f t="shared" si="441"/>
        <v>1800</v>
      </c>
      <c r="T310" s="51">
        <f t="shared" si="441"/>
        <v>1670</v>
      </c>
      <c r="U310" s="51">
        <f t="shared" si="441"/>
        <v>1666.5350000000001</v>
      </c>
      <c r="V310" s="51">
        <f t="shared" si="441"/>
        <v>1661.242</v>
      </c>
      <c r="W310" s="51">
        <f t="shared" si="441"/>
        <v>1656.229</v>
      </c>
      <c r="X310" s="51">
        <f t="shared" si="441"/>
        <v>1651.1779999999999</v>
      </c>
      <c r="Y310" s="51">
        <f t="shared" si="441"/>
        <v>1648.7829999999999</v>
      </c>
      <c r="Z310" s="51">
        <f t="shared" si="441"/>
        <v>1644.2460000000001</v>
      </c>
      <c r="AA310" s="51">
        <f t="shared" si="441"/>
        <v>1644.9649999999999</v>
      </c>
      <c r="AB310" s="51">
        <f t="shared" si="441"/>
        <v>1642.6559999999999</v>
      </c>
      <c r="AC310" s="51">
        <f t="shared" si="441"/>
        <v>1618.22</v>
      </c>
      <c r="AD310" s="51">
        <f t="shared" si="441"/>
        <v>1614.6030000000001</v>
      </c>
      <c r="AE310" s="51">
        <f t="shared" si="441"/>
        <v>1533.788</v>
      </c>
      <c r="AF310" s="51">
        <f t="shared" si="441"/>
        <v>1283.5809999999999</v>
      </c>
      <c r="AG310" s="51">
        <f t="shared" si="441"/>
        <v>1284.5999999999999</v>
      </c>
      <c r="AH310" s="51">
        <f t="shared" si="441"/>
        <v>1286.21</v>
      </c>
      <c r="AI310" s="51">
        <f t="shared" si="441"/>
        <v>1287.1559999999999</v>
      </c>
      <c r="AJ310" s="51">
        <f>+AJ308+AJ309</f>
        <v>1281.7139999999999</v>
      </c>
      <c r="AK310" s="51">
        <f>+AK308+AK309</f>
        <v>1279.771</v>
      </c>
      <c r="AL310" s="51">
        <f t="shared" si="441"/>
        <v>1279.771</v>
      </c>
      <c r="AM310" s="51">
        <f t="shared" si="441"/>
        <v>1279.771</v>
      </c>
      <c r="AN310" s="51">
        <f t="shared" si="441"/>
        <v>1279.771</v>
      </c>
      <c r="AO310" s="51">
        <f t="shared" si="441"/>
        <v>1279.771</v>
      </c>
      <c r="AP310" s="51">
        <f t="shared" si="441"/>
        <v>1279.771</v>
      </c>
      <c r="AQ310" s="51">
        <f t="shared" si="441"/>
        <v>1279.771</v>
      </c>
      <c r="AR310" s="51">
        <f t="shared" si="441"/>
        <v>1279.771</v>
      </c>
      <c r="AS310" s="51">
        <f t="shared" si="441"/>
        <v>1279.771</v>
      </c>
      <c r="AT310" s="51">
        <f t="shared" si="441"/>
        <v>1279.771</v>
      </c>
      <c r="AU310" s="51">
        <f t="shared" si="441"/>
        <v>1279.771</v>
      </c>
      <c r="AV310" s="51">
        <f t="shared" si="441"/>
        <v>1279.771</v>
      </c>
      <c r="AW310" s="51">
        <f t="shared" si="441"/>
        <v>1279.771</v>
      </c>
      <c r="AX310" s="57"/>
      <c r="AY310" s="57"/>
      <c r="AZ310" s="57"/>
      <c r="BA310" s="57"/>
      <c r="BB310" s="57"/>
      <c r="BC310" s="57"/>
      <c r="BD310" s="57"/>
      <c r="BE310" s="57"/>
      <c r="BF310" s="2">
        <f t="shared" si="384"/>
        <v>304</v>
      </c>
    </row>
    <row r="311" spans="1:58" ht="11.25" hidden="1" customHeight="1" outlineLevel="2">
      <c r="A311" s="11"/>
      <c r="B311" s="76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5"/>
      <c r="N311" s="74">
        <f t="shared" ref="N311:AW311" si="442">+N310-N226</f>
        <v>0</v>
      </c>
      <c r="O311" s="74">
        <f t="shared" si="442"/>
        <v>0</v>
      </c>
      <c r="P311" s="74">
        <f t="shared" si="442"/>
        <v>0</v>
      </c>
      <c r="Q311" s="74">
        <f t="shared" si="442"/>
        <v>0</v>
      </c>
      <c r="R311" s="74">
        <f t="shared" si="442"/>
        <v>0</v>
      </c>
      <c r="S311" s="74">
        <f t="shared" si="442"/>
        <v>0</v>
      </c>
      <c r="T311" s="74">
        <f t="shared" si="442"/>
        <v>0</v>
      </c>
      <c r="U311" s="74">
        <f t="shared" si="442"/>
        <v>0</v>
      </c>
      <c r="V311" s="74">
        <f t="shared" si="442"/>
        <v>0</v>
      </c>
      <c r="W311" s="74">
        <f t="shared" si="442"/>
        <v>0</v>
      </c>
      <c r="X311" s="74">
        <f t="shared" si="442"/>
        <v>0</v>
      </c>
      <c r="Y311" s="74">
        <f t="shared" si="442"/>
        <v>0</v>
      </c>
      <c r="Z311" s="74">
        <f t="shared" si="442"/>
        <v>0</v>
      </c>
      <c r="AA311" s="74">
        <f t="shared" si="442"/>
        <v>0</v>
      </c>
      <c r="AB311" s="74">
        <f t="shared" si="442"/>
        <v>0</v>
      </c>
      <c r="AC311" s="73">
        <f t="shared" si="442"/>
        <v>0</v>
      </c>
      <c r="AD311" s="73">
        <f t="shared" si="442"/>
        <v>0</v>
      </c>
      <c r="AE311" s="73">
        <f t="shared" si="442"/>
        <v>0</v>
      </c>
      <c r="AF311" s="73">
        <f t="shared" si="442"/>
        <v>0</v>
      </c>
      <c r="AG311" s="73">
        <f t="shared" si="442"/>
        <v>0</v>
      </c>
      <c r="AH311" s="73">
        <f t="shared" si="442"/>
        <v>0</v>
      </c>
      <c r="AI311" s="73">
        <f t="shared" si="442"/>
        <v>0</v>
      </c>
      <c r="AJ311" s="73">
        <f>+AJ310-AJ226</f>
        <v>0</v>
      </c>
      <c r="AK311" s="73">
        <f t="shared" si="442"/>
        <v>0</v>
      </c>
      <c r="AL311" s="73">
        <f t="shared" si="442"/>
        <v>0</v>
      </c>
      <c r="AM311" s="73">
        <f t="shared" si="442"/>
        <v>0</v>
      </c>
      <c r="AN311" s="73">
        <f t="shared" si="442"/>
        <v>0</v>
      </c>
      <c r="AO311" s="73">
        <f t="shared" si="442"/>
        <v>0</v>
      </c>
      <c r="AP311" s="73">
        <f t="shared" si="442"/>
        <v>0</v>
      </c>
      <c r="AQ311" s="73">
        <f t="shared" si="442"/>
        <v>0</v>
      </c>
      <c r="AR311" s="73">
        <f t="shared" si="442"/>
        <v>0</v>
      </c>
      <c r="AS311" s="73">
        <f t="shared" si="442"/>
        <v>0</v>
      </c>
      <c r="AT311" s="73">
        <f t="shared" si="442"/>
        <v>0</v>
      </c>
      <c r="AU311" s="73">
        <f t="shared" si="442"/>
        <v>0</v>
      </c>
      <c r="AV311" s="73">
        <f t="shared" si="442"/>
        <v>0</v>
      </c>
      <c r="AW311" s="73">
        <f t="shared" si="442"/>
        <v>0</v>
      </c>
      <c r="AX311" s="72"/>
      <c r="AY311" s="72"/>
      <c r="AZ311" s="72"/>
      <c r="BA311" s="72"/>
      <c r="BB311" s="72"/>
      <c r="BC311" s="72"/>
      <c r="BD311" s="72"/>
      <c r="BE311" s="72"/>
      <c r="BF311" s="2">
        <f t="shared" si="384"/>
        <v>305</v>
      </c>
    </row>
    <row r="312" spans="1:58" ht="11.25" hidden="1" customHeight="1" outlineLevel="2">
      <c r="A312" s="56"/>
      <c r="B312" s="59" t="s">
        <v>39</v>
      </c>
      <c r="C312" s="51">
        <f t="shared" ref="C312:H313" si="443">INDEX($N312:$AX312,1,MATCH(C$5,$N$5:$AX$5,0))</f>
        <v>20</v>
      </c>
      <c r="D312" s="51">
        <f t="shared" si="443"/>
        <v>20</v>
      </c>
      <c r="E312" s="51">
        <f t="shared" si="443"/>
        <v>20.940999999999999</v>
      </c>
      <c r="F312" s="51">
        <f t="shared" si="443"/>
        <v>29.957000000000001</v>
      </c>
      <c r="G312" s="51">
        <f t="shared" si="443"/>
        <v>0</v>
      </c>
      <c r="H312" s="51">
        <f t="shared" si="443"/>
        <v>0</v>
      </c>
      <c r="I312" s="51">
        <f t="shared" ref="I312:K313" si="444">INDEX($N312:$BF312,1,MATCH(I$5,$N$5:$BF$5,0))</f>
        <v>0</v>
      </c>
      <c r="J312" s="51">
        <f t="shared" si="444"/>
        <v>0</v>
      </c>
      <c r="K312" s="51">
        <f t="shared" si="444"/>
        <v>0</v>
      </c>
      <c r="L312" s="3"/>
      <c r="M312" s="3"/>
      <c r="N312" s="51">
        <f t="shared" ref="N312:AI312" si="445">N209</f>
        <v>20</v>
      </c>
      <c r="O312" s="51">
        <f t="shared" si="445"/>
        <v>20</v>
      </c>
      <c r="P312" s="51">
        <f t="shared" si="445"/>
        <v>20</v>
      </c>
      <c r="Q312" s="51">
        <f t="shared" si="445"/>
        <v>20</v>
      </c>
      <c r="R312" s="51">
        <f t="shared" si="445"/>
        <v>20</v>
      </c>
      <c r="S312" s="51">
        <f t="shared" si="445"/>
        <v>20</v>
      </c>
      <c r="T312" s="51">
        <f t="shared" si="445"/>
        <v>20</v>
      </c>
      <c r="U312" s="51">
        <f t="shared" si="445"/>
        <v>20</v>
      </c>
      <c r="V312" s="51">
        <f t="shared" si="445"/>
        <v>20</v>
      </c>
      <c r="W312" s="51">
        <f t="shared" si="445"/>
        <v>20</v>
      </c>
      <c r="X312" s="51">
        <f t="shared" si="445"/>
        <v>20.344000000000001</v>
      </c>
      <c r="Y312" s="51">
        <f t="shared" si="445"/>
        <v>20.940999999999999</v>
      </c>
      <c r="Z312" s="51">
        <f t="shared" si="445"/>
        <v>21.533000000000001</v>
      </c>
      <c r="AA312" s="51">
        <f t="shared" si="445"/>
        <v>26.279</v>
      </c>
      <c r="AB312" s="51">
        <f t="shared" si="445"/>
        <v>29.484999999999999</v>
      </c>
      <c r="AC312" s="51">
        <f t="shared" si="445"/>
        <v>29.957000000000001</v>
      </c>
      <c r="AD312" s="51">
        <f t="shared" si="445"/>
        <v>6.0279999999999996</v>
      </c>
      <c r="AE312" s="51">
        <f t="shared" si="445"/>
        <v>0.72799999999999998</v>
      </c>
      <c r="AF312" s="51">
        <f t="shared" si="445"/>
        <v>0</v>
      </c>
      <c r="AG312" s="51">
        <f t="shared" si="445"/>
        <v>0</v>
      </c>
      <c r="AH312" s="51">
        <f t="shared" si="445"/>
        <v>0</v>
      </c>
      <c r="AI312" s="51">
        <f t="shared" si="445"/>
        <v>0</v>
      </c>
      <c r="AJ312" s="51">
        <f>AJ209</f>
        <v>0</v>
      </c>
      <c r="AK312" s="51">
        <f>AK209</f>
        <v>0</v>
      </c>
      <c r="AL312" s="71">
        <f t="shared" ref="AL312:AW312" si="446">-SUM(AM326:AP326)</f>
        <v>0</v>
      </c>
      <c r="AM312" s="51">
        <f t="shared" si="446"/>
        <v>0</v>
      </c>
      <c r="AN312" s="51">
        <f t="shared" si="446"/>
        <v>0</v>
      </c>
      <c r="AO312" s="51">
        <f t="shared" si="446"/>
        <v>0</v>
      </c>
      <c r="AP312" s="51">
        <f t="shared" si="446"/>
        <v>0</v>
      </c>
      <c r="AQ312" s="51">
        <f t="shared" si="446"/>
        <v>0</v>
      </c>
      <c r="AR312" s="51">
        <f t="shared" si="446"/>
        <v>0</v>
      </c>
      <c r="AS312" s="51">
        <f t="shared" si="446"/>
        <v>0</v>
      </c>
      <c r="AT312" s="51">
        <f t="shared" si="446"/>
        <v>0</v>
      </c>
      <c r="AU312" s="51">
        <f t="shared" si="446"/>
        <v>0</v>
      </c>
      <c r="AV312" s="51">
        <f t="shared" si="446"/>
        <v>0</v>
      </c>
      <c r="AW312" s="51">
        <f t="shared" si="446"/>
        <v>0</v>
      </c>
      <c r="AX312" s="5"/>
      <c r="AY312" s="5"/>
      <c r="AZ312" s="5"/>
      <c r="BA312" s="5"/>
      <c r="BB312" s="5"/>
      <c r="BC312" s="5"/>
      <c r="BD312" s="5"/>
      <c r="BE312" s="5"/>
      <c r="BF312" s="2">
        <f t="shared" si="384"/>
        <v>306</v>
      </c>
    </row>
    <row r="313" spans="1:58" ht="11.25" hidden="1" customHeight="1" outlineLevel="2">
      <c r="A313" s="56"/>
      <c r="B313" s="59" t="s">
        <v>38</v>
      </c>
      <c r="C313" s="51">
        <f t="shared" si="443"/>
        <v>1814.5</v>
      </c>
      <c r="D313" s="51">
        <f t="shared" si="443"/>
        <v>1646.5350000000001</v>
      </c>
      <c r="E313" s="51">
        <f t="shared" si="443"/>
        <v>1627.8420000000001</v>
      </c>
      <c r="F313" s="51">
        <f t="shared" si="443"/>
        <v>1588.2629999999999</v>
      </c>
      <c r="G313" s="51">
        <f t="shared" si="443"/>
        <v>1284.5999999999999</v>
      </c>
      <c r="H313" s="51">
        <f t="shared" si="443"/>
        <v>1279.771</v>
      </c>
      <c r="I313" s="51">
        <f t="shared" si="444"/>
        <v>1279.771</v>
      </c>
      <c r="J313" s="51">
        <f t="shared" si="444"/>
        <v>1279.771</v>
      </c>
      <c r="K313" s="51">
        <f t="shared" si="444"/>
        <v>1279.771</v>
      </c>
      <c r="L313" s="3"/>
      <c r="M313" s="3"/>
      <c r="N313" s="51">
        <f t="shared" ref="N313:AI313" si="447">N212</f>
        <v>1978.508</v>
      </c>
      <c r="O313" s="51">
        <f t="shared" si="447"/>
        <v>1973.6690000000001</v>
      </c>
      <c r="P313" s="51">
        <f t="shared" si="447"/>
        <v>1909.4159999999999</v>
      </c>
      <c r="Q313" s="51">
        <f t="shared" si="447"/>
        <v>1814.5</v>
      </c>
      <c r="R313" s="51">
        <f t="shared" si="447"/>
        <v>1844.5840000000001</v>
      </c>
      <c r="S313" s="51">
        <f t="shared" si="447"/>
        <v>1780</v>
      </c>
      <c r="T313" s="51">
        <f t="shared" si="447"/>
        <v>1650</v>
      </c>
      <c r="U313" s="51">
        <f t="shared" si="447"/>
        <v>1646.5350000000001</v>
      </c>
      <c r="V313" s="51">
        <f t="shared" si="447"/>
        <v>1641.242</v>
      </c>
      <c r="W313" s="51">
        <f t="shared" si="447"/>
        <v>1636.229</v>
      </c>
      <c r="X313" s="51">
        <f t="shared" si="447"/>
        <v>1630.8340000000001</v>
      </c>
      <c r="Y313" s="51">
        <f t="shared" si="447"/>
        <v>1627.8420000000001</v>
      </c>
      <c r="Z313" s="51">
        <f t="shared" si="447"/>
        <v>1622.713</v>
      </c>
      <c r="AA313" s="51">
        <f t="shared" si="447"/>
        <v>1618.6859999999999</v>
      </c>
      <c r="AB313" s="51">
        <f t="shared" si="447"/>
        <v>1613.171</v>
      </c>
      <c r="AC313" s="51">
        <f t="shared" si="447"/>
        <v>1588.2629999999999</v>
      </c>
      <c r="AD313" s="51">
        <f t="shared" si="447"/>
        <v>1608.575</v>
      </c>
      <c r="AE313" s="51">
        <f t="shared" si="447"/>
        <v>1533.06</v>
      </c>
      <c r="AF313" s="51">
        <f t="shared" si="447"/>
        <v>1283.5809999999999</v>
      </c>
      <c r="AG313" s="51">
        <f t="shared" si="447"/>
        <v>1284.5999999999999</v>
      </c>
      <c r="AH313" s="51">
        <f t="shared" si="447"/>
        <v>1286.21</v>
      </c>
      <c r="AI313" s="51">
        <f t="shared" si="447"/>
        <v>1287.1559999999999</v>
      </c>
      <c r="AJ313" s="51">
        <f>AJ212</f>
        <v>1281.7139999999999</v>
      </c>
      <c r="AK313" s="51">
        <f>AK212</f>
        <v>1279.771</v>
      </c>
      <c r="AL313" s="51">
        <f t="shared" ref="AL313:AW313" si="448">+AL310-AL312</f>
        <v>1279.771</v>
      </c>
      <c r="AM313" s="51">
        <f t="shared" si="448"/>
        <v>1279.771</v>
      </c>
      <c r="AN313" s="51">
        <f t="shared" si="448"/>
        <v>1279.771</v>
      </c>
      <c r="AO313" s="51">
        <f t="shared" si="448"/>
        <v>1279.771</v>
      </c>
      <c r="AP313" s="51">
        <f t="shared" si="448"/>
        <v>1279.771</v>
      </c>
      <c r="AQ313" s="51">
        <f t="shared" si="448"/>
        <v>1279.771</v>
      </c>
      <c r="AR313" s="51">
        <f t="shared" si="448"/>
        <v>1279.771</v>
      </c>
      <c r="AS313" s="51">
        <f t="shared" si="448"/>
        <v>1279.771</v>
      </c>
      <c r="AT313" s="51">
        <f t="shared" si="448"/>
        <v>1279.771</v>
      </c>
      <c r="AU313" s="51">
        <f t="shared" si="448"/>
        <v>1279.771</v>
      </c>
      <c r="AV313" s="51">
        <f t="shared" si="448"/>
        <v>1279.771</v>
      </c>
      <c r="AW313" s="51">
        <f t="shared" si="448"/>
        <v>1279.771</v>
      </c>
      <c r="AX313" s="5"/>
      <c r="AY313" s="5"/>
      <c r="AZ313" s="5"/>
      <c r="BA313" s="5"/>
      <c r="BB313" s="5"/>
      <c r="BC313" s="5"/>
      <c r="BD313" s="5"/>
      <c r="BE313" s="5"/>
      <c r="BF313" s="2">
        <f t="shared" si="384"/>
        <v>307</v>
      </c>
    </row>
    <row r="314" spans="1:58" ht="11.25" hidden="1" customHeight="1" outlineLevel="2">
      <c r="A314" s="56"/>
      <c r="B314" s="59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71"/>
      <c r="AD314" s="71"/>
      <c r="AE314" s="71"/>
      <c r="AF314" s="71"/>
      <c r="AG314" s="71"/>
      <c r="AH314" s="71"/>
      <c r="AI314" s="71"/>
      <c r="AJ314" s="71"/>
      <c r="AK314" s="7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"/>
      <c r="AY314" s="5"/>
      <c r="AZ314" s="5"/>
      <c r="BA314" s="5"/>
      <c r="BB314" s="5"/>
      <c r="BC314" s="5"/>
      <c r="BD314" s="5"/>
      <c r="BE314" s="5"/>
      <c r="BF314" s="2">
        <f t="shared" si="384"/>
        <v>308</v>
      </c>
    </row>
    <row r="315" spans="1:58" ht="11.25" hidden="1" customHeight="1" outlineLevel="2">
      <c r="A315" s="56"/>
      <c r="B315" s="69" t="s">
        <v>774</v>
      </c>
      <c r="C315" s="51">
        <f t="shared" ref="C315:H319" si="449">INDEX($N315:$AX315,1,MATCH(C$5,$N$5:$AX$5,0))</f>
        <v>600</v>
      </c>
      <c r="D315" s="51">
        <f t="shared" si="449"/>
        <v>600</v>
      </c>
      <c r="E315" s="51">
        <f t="shared" si="449"/>
        <v>600</v>
      </c>
      <c r="F315" s="51">
        <f t="shared" si="449"/>
        <v>600</v>
      </c>
      <c r="G315" s="51">
        <f t="shared" si="449"/>
        <v>400</v>
      </c>
      <c r="H315" s="51">
        <f t="shared" si="449"/>
        <v>300</v>
      </c>
      <c r="I315" s="51">
        <f t="shared" ref="I315:K319" si="450">INDEX($N315:$BF315,1,MATCH(I$5,$N$5:$BF$5,0))</f>
        <v>300</v>
      </c>
      <c r="J315" s="51">
        <f t="shared" si="450"/>
        <v>300</v>
      </c>
      <c r="K315" s="51">
        <f t="shared" si="450"/>
        <v>300</v>
      </c>
      <c r="L315" s="55"/>
      <c r="M315" s="3"/>
      <c r="N315" s="40">
        <v>600</v>
      </c>
      <c r="O315" s="40">
        <v>600</v>
      </c>
      <c r="P315" s="40">
        <v>600</v>
      </c>
      <c r="Q315" s="40">
        <v>600</v>
      </c>
      <c r="R315" s="40">
        <v>600</v>
      </c>
      <c r="S315" s="40">
        <v>600</v>
      </c>
      <c r="T315" s="40">
        <v>600</v>
      </c>
      <c r="U315" s="40">
        <v>600</v>
      </c>
      <c r="V315" s="40">
        <v>600</v>
      </c>
      <c r="W315" s="40">
        <v>600</v>
      </c>
      <c r="X315" s="40">
        <v>600</v>
      </c>
      <c r="Y315" s="40">
        <v>600</v>
      </c>
      <c r="Z315" s="40">
        <v>600</v>
      </c>
      <c r="AA315" s="40">
        <v>600</v>
      </c>
      <c r="AB315" s="40">
        <v>600</v>
      </c>
      <c r="AC315" s="40">
        <v>600</v>
      </c>
      <c r="AD315" s="70">
        <v>470.25</v>
      </c>
      <c r="AE315" s="70">
        <v>470.25</v>
      </c>
      <c r="AF315" s="202">
        <v>400</v>
      </c>
      <c r="AG315" s="202">
        <f>AF315</f>
        <v>400</v>
      </c>
      <c r="AH315" s="202">
        <v>300</v>
      </c>
      <c r="AI315" s="202">
        <f t="shared" ref="AI315:AW315" si="451">AH315</f>
        <v>300</v>
      </c>
      <c r="AJ315" s="202">
        <f t="shared" si="451"/>
        <v>300</v>
      </c>
      <c r="AK315" s="202">
        <f t="shared" si="451"/>
        <v>300</v>
      </c>
      <c r="AL315" s="290">
        <f t="shared" si="451"/>
        <v>300</v>
      </c>
      <c r="AM315" s="290">
        <f t="shared" si="451"/>
        <v>300</v>
      </c>
      <c r="AN315" s="290">
        <f t="shared" si="451"/>
        <v>300</v>
      </c>
      <c r="AO315" s="290">
        <f t="shared" si="451"/>
        <v>300</v>
      </c>
      <c r="AP315" s="290">
        <f t="shared" si="451"/>
        <v>300</v>
      </c>
      <c r="AQ315" s="290">
        <f t="shared" si="451"/>
        <v>300</v>
      </c>
      <c r="AR315" s="290">
        <f t="shared" si="451"/>
        <v>300</v>
      </c>
      <c r="AS315" s="290">
        <f t="shared" si="451"/>
        <v>300</v>
      </c>
      <c r="AT315" s="290">
        <f t="shared" si="451"/>
        <v>300</v>
      </c>
      <c r="AU315" s="290">
        <f t="shared" si="451"/>
        <v>300</v>
      </c>
      <c r="AV315" s="290">
        <f t="shared" si="451"/>
        <v>300</v>
      </c>
      <c r="AW315" s="290">
        <f t="shared" si="451"/>
        <v>300</v>
      </c>
      <c r="AX315" s="291"/>
      <c r="AY315" s="53"/>
      <c r="AZ315" s="53"/>
      <c r="BA315" s="53"/>
      <c r="BB315" s="53"/>
      <c r="BC315" s="53"/>
      <c r="BD315" s="53"/>
      <c r="BE315" s="53"/>
      <c r="BF315" s="2">
        <f t="shared" si="384"/>
        <v>309</v>
      </c>
    </row>
    <row r="316" spans="1:58" ht="11.25" hidden="1" customHeight="1" outlineLevel="2">
      <c r="A316" s="56"/>
      <c r="B316" s="69" t="s">
        <v>37</v>
      </c>
      <c r="C316" s="51">
        <f t="shared" si="449"/>
        <v>-49</v>
      </c>
      <c r="D316" s="51">
        <f t="shared" si="449"/>
        <v>-46.8</v>
      </c>
      <c r="E316" s="51">
        <f t="shared" si="449"/>
        <v>-44.2</v>
      </c>
      <c r="F316" s="51">
        <f t="shared" si="449"/>
        <v>-42.2</v>
      </c>
      <c r="G316" s="51">
        <f t="shared" si="449"/>
        <v>-37.1</v>
      </c>
      <c r="H316" s="51">
        <f t="shared" si="449"/>
        <v>-35.299999999999997</v>
      </c>
      <c r="I316" s="51">
        <f t="shared" si="450"/>
        <v>-35.299999999999997</v>
      </c>
      <c r="J316" s="51">
        <f t="shared" si="450"/>
        <v>-35.299999999999997</v>
      </c>
      <c r="K316" s="51">
        <f t="shared" si="450"/>
        <v>-35.299999999999997</v>
      </c>
      <c r="L316" s="55"/>
      <c r="M316" s="3"/>
      <c r="N316" s="40">
        <v>-35.799999999999997</v>
      </c>
      <c r="O316" s="40">
        <v>-50.5</v>
      </c>
      <c r="P316" s="40">
        <v>-49.3</v>
      </c>
      <c r="Q316" s="40">
        <v>-49</v>
      </c>
      <c r="R316" s="40">
        <v>-57.2</v>
      </c>
      <c r="S316" s="40">
        <v>-56.4</v>
      </c>
      <c r="T316" s="40">
        <v>-56</v>
      </c>
      <c r="U316" s="40">
        <v>-46.8</v>
      </c>
      <c r="V316" s="40">
        <v>-47.5</v>
      </c>
      <c r="W316" s="40">
        <v>-48.8</v>
      </c>
      <c r="X316" s="40">
        <v>-48.2</v>
      </c>
      <c r="Y316" s="40">
        <v>-44.2</v>
      </c>
      <c r="Z316" s="40">
        <v>-43.7</v>
      </c>
      <c r="AA316" s="40">
        <v>-43.2</v>
      </c>
      <c r="AB316" s="40">
        <v>-43.1</v>
      </c>
      <c r="AC316" s="40">
        <v>-42.2</v>
      </c>
      <c r="AD316" s="40">
        <v>-46.6</v>
      </c>
      <c r="AE316" s="40">
        <v>-38.200000000000003</v>
      </c>
      <c r="AF316" s="40">
        <v>-35.4</v>
      </c>
      <c r="AG316" s="40">
        <v>-37.1</v>
      </c>
      <c r="AH316" s="40">
        <v>-40.299999999999997</v>
      </c>
      <c r="AI316" s="40">
        <v>-39</v>
      </c>
      <c r="AJ316" s="40">
        <f>285.6-AJ315</f>
        <v>-14.399999999999977</v>
      </c>
      <c r="AK316" s="40">
        <v>-35.299999999999997</v>
      </c>
      <c r="AL316" s="51">
        <f t="shared" ref="AL316:AW316" si="452">AK316</f>
        <v>-35.299999999999997</v>
      </c>
      <c r="AM316" s="51">
        <f t="shared" si="452"/>
        <v>-35.299999999999997</v>
      </c>
      <c r="AN316" s="51">
        <f t="shared" si="452"/>
        <v>-35.299999999999997</v>
      </c>
      <c r="AO316" s="51">
        <f t="shared" si="452"/>
        <v>-35.299999999999997</v>
      </c>
      <c r="AP316" s="51">
        <f t="shared" si="452"/>
        <v>-35.299999999999997</v>
      </c>
      <c r="AQ316" s="51">
        <f t="shared" si="452"/>
        <v>-35.299999999999997</v>
      </c>
      <c r="AR316" s="51">
        <f t="shared" si="452"/>
        <v>-35.299999999999997</v>
      </c>
      <c r="AS316" s="51">
        <f t="shared" si="452"/>
        <v>-35.299999999999997</v>
      </c>
      <c r="AT316" s="51">
        <f t="shared" si="452"/>
        <v>-35.299999999999997</v>
      </c>
      <c r="AU316" s="51">
        <f t="shared" si="452"/>
        <v>-35.299999999999997</v>
      </c>
      <c r="AV316" s="51">
        <f t="shared" si="452"/>
        <v>-35.299999999999997</v>
      </c>
      <c r="AW316" s="51">
        <f t="shared" si="452"/>
        <v>-35.299999999999997</v>
      </c>
      <c r="AX316" s="53"/>
      <c r="AY316" s="53"/>
      <c r="AZ316" s="53"/>
      <c r="BA316" s="53"/>
      <c r="BB316" s="53"/>
      <c r="BC316" s="53"/>
      <c r="BD316" s="53"/>
      <c r="BE316" s="53"/>
      <c r="BF316" s="2">
        <f t="shared" si="384"/>
        <v>310</v>
      </c>
    </row>
    <row r="317" spans="1:58" ht="11.25" hidden="1" customHeight="1" outlineLevel="2">
      <c r="A317" s="56"/>
      <c r="B317" s="69" t="s">
        <v>243</v>
      </c>
      <c r="C317" s="51">
        <f t="shared" si="449"/>
        <v>551</v>
      </c>
      <c r="D317" s="51">
        <f t="shared" si="449"/>
        <v>553.20000000000005</v>
      </c>
      <c r="E317" s="51">
        <f t="shared" si="449"/>
        <v>555.79999999999995</v>
      </c>
      <c r="F317" s="51">
        <f t="shared" si="449"/>
        <v>557.79999999999995</v>
      </c>
      <c r="G317" s="51">
        <f t="shared" si="449"/>
        <v>362.9</v>
      </c>
      <c r="H317" s="51">
        <f t="shared" si="449"/>
        <v>264.7</v>
      </c>
      <c r="I317" s="51">
        <f t="shared" si="450"/>
        <v>264.7</v>
      </c>
      <c r="J317" s="51">
        <f t="shared" si="450"/>
        <v>264.7</v>
      </c>
      <c r="K317" s="51">
        <f t="shared" si="450"/>
        <v>264.7</v>
      </c>
      <c r="L317" s="55"/>
      <c r="M317" s="3"/>
      <c r="N317" s="68">
        <f t="shared" ref="N317:AW317" si="453">+N315+N316</f>
        <v>564.20000000000005</v>
      </c>
      <c r="O317" s="68">
        <f t="shared" si="453"/>
        <v>549.5</v>
      </c>
      <c r="P317" s="68">
        <f t="shared" si="453"/>
        <v>550.70000000000005</v>
      </c>
      <c r="Q317" s="68">
        <f t="shared" si="453"/>
        <v>551</v>
      </c>
      <c r="R317" s="68">
        <f t="shared" si="453"/>
        <v>542.79999999999995</v>
      </c>
      <c r="S317" s="68">
        <f t="shared" si="453"/>
        <v>543.6</v>
      </c>
      <c r="T317" s="68">
        <f t="shared" si="453"/>
        <v>544</v>
      </c>
      <c r="U317" s="68">
        <f t="shared" si="453"/>
        <v>553.20000000000005</v>
      </c>
      <c r="V317" s="68">
        <f t="shared" si="453"/>
        <v>552.5</v>
      </c>
      <c r="W317" s="68">
        <f t="shared" si="453"/>
        <v>551.20000000000005</v>
      </c>
      <c r="X317" s="68">
        <f t="shared" si="453"/>
        <v>551.79999999999995</v>
      </c>
      <c r="Y317" s="68">
        <f t="shared" si="453"/>
        <v>555.79999999999995</v>
      </c>
      <c r="Z317" s="68">
        <f t="shared" si="453"/>
        <v>556.29999999999995</v>
      </c>
      <c r="AA317" s="68">
        <f t="shared" si="453"/>
        <v>556.79999999999995</v>
      </c>
      <c r="AB317" s="68">
        <f t="shared" si="453"/>
        <v>556.9</v>
      </c>
      <c r="AC317" s="68">
        <f t="shared" si="453"/>
        <v>557.79999999999995</v>
      </c>
      <c r="AD317" s="68">
        <f t="shared" si="453"/>
        <v>423.65</v>
      </c>
      <c r="AE317" s="68">
        <f t="shared" si="453"/>
        <v>432.05</v>
      </c>
      <c r="AF317" s="68">
        <f t="shared" si="453"/>
        <v>364.6</v>
      </c>
      <c r="AG317" s="68">
        <f t="shared" si="453"/>
        <v>362.9</v>
      </c>
      <c r="AH317" s="68">
        <f t="shared" si="453"/>
        <v>259.7</v>
      </c>
      <c r="AI317" s="68">
        <f t="shared" si="453"/>
        <v>261</v>
      </c>
      <c r="AJ317" s="68">
        <f>+AJ315+AJ316</f>
        <v>285.60000000000002</v>
      </c>
      <c r="AK317" s="68">
        <f>+AK315+AK316</f>
        <v>264.7</v>
      </c>
      <c r="AL317" s="68">
        <f t="shared" si="453"/>
        <v>264.7</v>
      </c>
      <c r="AM317" s="68">
        <f t="shared" si="453"/>
        <v>264.7</v>
      </c>
      <c r="AN317" s="68">
        <f t="shared" si="453"/>
        <v>264.7</v>
      </c>
      <c r="AO317" s="68">
        <f t="shared" si="453"/>
        <v>264.7</v>
      </c>
      <c r="AP317" s="68">
        <f t="shared" si="453"/>
        <v>264.7</v>
      </c>
      <c r="AQ317" s="68">
        <f t="shared" si="453"/>
        <v>264.7</v>
      </c>
      <c r="AR317" s="68">
        <f t="shared" si="453"/>
        <v>264.7</v>
      </c>
      <c r="AS317" s="68">
        <f t="shared" si="453"/>
        <v>264.7</v>
      </c>
      <c r="AT317" s="68">
        <f t="shared" si="453"/>
        <v>264.7</v>
      </c>
      <c r="AU317" s="68">
        <f t="shared" si="453"/>
        <v>264.7</v>
      </c>
      <c r="AV317" s="68">
        <f t="shared" si="453"/>
        <v>264.7</v>
      </c>
      <c r="AW317" s="68">
        <f t="shared" si="453"/>
        <v>264.7</v>
      </c>
      <c r="AX317" s="53"/>
      <c r="AY317" s="53"/>
      <c r="AZ317" s="53"/>
      <c r="BA317" s="53"/>
      <c r="BB317" s="53"/>
      <c r="BC317" s="53"/>
      <c r="BD317" s="53"/>
      <c r="BE317" s="53"/>
      <c r="BF317" s="2">
        <f t="shared" si="384"/>
        <v>311</v>
      </c>
    </row>
    <row r="318" spans="1:58" ht="11.25" hidden="1" customHeight="1" outlineLevel="2">
      <c r="A318" s="56"/>
      <c r="B318" s="69" t="s">
        <v>36</v>
      </c>
      <c r="C318" s="51">
        <f t="shared" si="449"/>
        <v>551</v>
      </c>
      <c r="D318" s="51">
        <f t="shared" si="449"/>
        <v>553.20000000000005</v>
      </c>
      <c r="E318" s="51">
        <f t="shared" si="449"/>
        <v>555.79999999999995</v>
      </c>
      <c r="F318" s="51">
        <f t="shared" si="449"/>
        <v>557.79999999999995</v>
      </c>
      <c r="G318" s="51">
        <f t="shared" si="449"/>
        <v>362.9</v>
      </c>
      <c r="H318" s="51">
        <f t="shared" si="449"/>
        <v>264.7</v>
      </c>
      <c r="I318" s="51">
        <f t="shared" si="450"/>
        <v>264.7</v>
      </c>
      <c r="J318" s="51">
        <f t="shared" si="450"/>
        <v>264.7</v>
      </c>
      <c r="K318" s="51">
        <f t="shared" si="450"/>
        <v>264.7</v>
      </c>
      <c r="L318" s="55"/>
      <c r="M318" s="3"/>
      <c r="N318" s="68">
        <f t="shared" ref="N318:AW318" si="454">+N317-N309</f>
        <v>564.20000000000005</v>
      </c>
      <c r="O318" s="68">
        <f t="shared" si="454"/>
        <v>549.5</v>
      </c>
      <c r="P318" s="68">
        <f t="shared" si="454"/>
        <v>460.70000000000005</v>
      </c>
      <c r="Q318" s="68">
        <f t="shared" si="454"/>
        <v>551</v>
      </c>
      <c r="R318" s="68">
        <f t="shared" si="454"/>
        <v>507.79999999999995</v>
      </c>
      <c r="S318" s="68">
        <f t="shared" si="454"/>
        <v>418.6</v>
      </c>
      <c r="T318" s="68">
        <f t="shared" si="454"/>
        <v>544</v>
      </c>
      <c r="U318" s="68">
        <f t="shared" si="454"/>
        <v>553.20000000000005</v>
      </c>
      <c r="V318" s="68">
        <f t="shared" si="454"/>
        <v>552.5</v>
      </c>
      <c r="W318" s="68">
        <f t="shared" si="454"/>
        <v>551.20000000000005</v>
      </c>
      <c r="X318" s="68">
        <f t="shared" si="454"/>
        <v>551.79999999999995</v>
      </c>
      <c r="Y318" s="68">
        <f t="shared" si="454"/>
        <v>555.79999999999995</v>
      </c>
      <c r="Z318" s="68">
        <f t="shared" si="454"/>
        <v>556.29999999999995</v>
      </c>
      <c r="AA318" s="68">
        <f t="shared" si="454"/>
        <v>556.79999999999995</v>
      </c>
      <c r="AB318" s="68">
        <f t="shared" si="454"/>
        <v>556.9</v>
      </c>
      <c r="AC318" s="68">
        <f t="shared" si="454"/>
        <v>557.79999999999995</v>
      </c>
      <c r="AD318" s="68">
        <f t="shared" si="454"/>
        <v>98.649999999999977</v>
      </c>
      <c r="AE318" s="68">
        <f t="shared" si="454"/>
        <v>182.05</v>
      </c>
      <c r="AF318" s="68">
        <f t="shared" si="454"/>
        <v>364.6</v>
      </c>
      <c r="AG318" s="68">
        <f t="shared" si="454"/>
        <v>362.9</v>
      </c>
      <c r="AH318" s="68">
        <f t="shared" si="454"/>
        <v>259.7</v>
      </c>
      <c r="AI318" s="68">
        <f t="shared" si="454"/>
        <v>261</v>
      </c>
      <c r="AJ318" s="68">
        <f>+AJ317-AJ309</f>
        <v>285.60000000000002</v>
      </c>
      <c r="AK318" s="68">
        <f>+AK317-AK309</f>
        <v>264.7</v>
      </c>
      <c r="AL318" s="68">
        <f t="shared" si="454"/>
        <v>264.7</v>
      </c>
      <c r="AM318" s="68">
        <f t="shared" si="454"/>
        <v>264.7</v>
      </c>
      <c r="AN318" s="68">
        <f t="shared" si="454"/>
        <v>264.7</v>
      </c>
      <c r="AO318" s="68">
        <f t="shared" si="454"/>
        <v>264.7</v>
      </c>
      <c r="AP318" s="68">
        <f t="shared" si="454"/>
        <v>264.7</v>
      </c>
      <c r="AQ318" s="68">
        <f t="shared" si="454"/>
        <v>264.7</v>
      </c>
      <c r="AR318" s="68">
        <f t="shared" si="454"/>
        <v>264.7</v>
      </c>
      <c r="AS318" s="68">
        <f t="shared" si="454"/>
        <v>264.7</v>
      </c>
      <c r="AT318" s="68">
        <f t="shared" si="454"/>
        <v>264.7</v>
      </c>
      <c r="AU318" s="68">
        <f t="shared" si="454"/>
        <v>264.7</v>
      </c>
      <c r="AV318" s="68">
        <f t="shared" si="454"/>
        <v>264.7</v>
      </c>
      <c r="AW318" s="68">
        <f t="shared" si="454"/>
        <v>264.7</v>
      </c>
      <c r="AX318" s="53"/>
      <c r="AY318" s="53"/>
      <c r="AZ318" s="53"/>
      <c r="BA318" s="53"/>
      <c r="BB318" s="53"/>
      <c r="BC318" s="53"/>
      <c r="BD318" s="53"/>
      <c r="BE318" s="53"/>
      <c r="BF318" s="2">
        <f t="shared" si="384"/>
        <v>312</v>
      </c>
    </row>
    <row r="319" spans="1:58" ht="11.25" hidden="1" customHeight="1" outlineLevel="2">
      <c r="A319" s="56"/>
      <c r="B319" s="69" t="s">
        <v>35</v>
      </c>
      <c r="C319" s="51">
        <f t="shared" si="449"/>
        <v>642.19899999999996</v>
      </c>
      <c r="D319" s="51">
        <f t="shared" si="449"/>
        <v>749.24700000000007</v>
      </c>
      <c r="E319" s="51">
        <f t="shared" si="449"/>
        <v>948.846</v>
      </c>
      <c r="F319" s="51">
        <f t="shared" si="449"/>
        <v>1121.817</v>
      </c>
      <c r="G319" s="51">
        <f t="shared" si="449"/>
        <v>550.49099999999999</v>
      </c>
      <c r="H319" s="51">
        <f t="shared" si="449"/>
        <v>436.7</v>
      </c>
      <c r="I319" s="51">
        <f t="shared" si="450"/>
        <v>426.82312907055541</v>
      </c>
      <c r="J319" s="51">
        <f t="shared" si="450"/>
        <v>596.02753958726908</v>
      </c>
      <c r="K319" s="51">
        <f t="shared" si="450"/>
        <v>781.06386019482011</v>
      </c>
      <c r="L319" s="55"/>
      <c r="M319" s="3"/>
      <c r="N319" s="68">
        <f t="shared" ref="N319:AW319" si="455">+N318+N194</f>
        <v>699.95800000000008</v>
      </c>
      <c r="O319" s="68">
        <f t="shared" si="455"/>
        <v>692.53700000000003</v>
      </c>
      <c r="P319" s="68">
        <f t="shared" si="455"/>
        <v>539.88600000000008</v>
      </c>
      <c r="Q319" s="68">
        <f t="shared" si="455"/>
        <v>642.19899999999996</v>
      </c>
      <c r="R319" s="68">
        <f t="shared" si="455"/>
        <v>584.875</v>
      </c>
      <c r="S319" s="68">
        <f t="shared" si="455"/>
        <v>483.99900000000002</v>
      </c>
      <c r="T319" s="68">
        <f t="shared" si="455"/>
        <v>634.65099999999995</v>
      </c>
      <c r="U319" s="68">
        <f t="shared" si="455"/>
        <v>749.24700000000007</v>
      </c>
      <c r="V319" s="68">
        <f t="shared" si="455"/>
        <v>698.34799999999996</v>
      </c>
      <c r="W319" s="68">
        <f t="shared" si="455"/>
        <v>752.85300000000007</v>
      </c>
      <c r="X319" s="68">
        <f t="shared" si="455"/>
        <v>871.84199999999987</v>
      </c>
      <c r="Y319" s="68">
        <f t="shared" si="455"/>
        <v>948.846</v>
      </c>
      <c r="Z319" s="68">
        <f t="shared" si="455"/>
        <v>971.12899999999991</v>
      </c>
      <c r="AA319" s="68">
        <f t="shared" si="455"/>
        <v>1057.0619999999999</v>
      </c>
      <c r="AB319" s="68">
        <f t="shared" si="455"/>
        <v>1090.5740000000001</v>
      </c>
      <c r="AC319" s="68">
        <f t="shared" si="455"/>
        <v>1121.817</v>
      </c>
      <c r="AD319" s="68">
        <f t="shared" si="455"/>
        <v>657.88800000000003</v>
      </c>
      <c r="AE319" s="68">
        <f t="shared" si="455"/>
        <v>667.89699999999993</v>
      </c>
      <c r="AF319" s="68">
        <f t="shared" si="455"/>
        <v>642.755</v>
      </c>
      <c r="AG319" s="68">
        <f t="shared" si="455"/>
        <v>550.49099999999999</v>
      </c>
      <c r="AH319" s="68">
        <f t="shared" si="455"/>
        <v>411.46600000000001</v>
      </c>
      <c r="AI319" s="68">
        <f t="shared" si="455"/>
        <v>438.77199999999999</v>
      </c>
      <c r="AJ319" s="68">
        <f>+AJ318+AJ194</f>
        <v>452.625</v>
      </c>
      <c r="AK319" s="68">
        <f>+AK318+AK194</f>
        <v>436.7</v>
      </c>
      <c r="AL319" s="68">
        <f t="shared" si="455"/>
        <v>428.27945117524484</v>
      </c>
      <c r="AM319" s="68">
        <f t="shared" si="455"/>
        <v>412.46636793962995</v>
      </c>
      <c r="AN319" s="68">
        <f t="shared" si="455"/>
        <v>411.10919778067182</v>
      </c>
      <c r="AO319" s="68">
        <f t="shared" si="455"/>
        <v>426.82312907055541</v>
      </c>
      <c r="AP319" s="68">
        <f t="shared" si="455"/>
        <v>456.76353829008025</v>
      </c>
      <c r="AQ319" s="68">
        <f t="shared" si="455"/>
        <v>499.0422643372022</v>
      </c>
      <c r="AR319" s="68">
        <f t="shared" si="455"/>
        <v>545.42485057811109</v>
      </c>
      <c r="AS319" s="68">
        <f t="shared" si="455"/>
        <v>596.02753958726908</v>
      </c>
      <c r="AT319" s="68">
        <f t="shared" si="455"/>
        <v>640.81397083394222</v>
      </c>
      <c r="AU319" s="68">
        <f t="shared" si="455"/>
        <v>686.68906053697503</v>
      </c>
      <c r="AV319" s="68">
        <f t="shared" si="455"/>
        <v>733.42854059820638</v>
      </c>
      <c r="AW319" s="68">
        <f t="shared" si="455"/>
        <v>781.06386019482011</v>
      </c>
      <c r="AX319" s="53"/>
      <c r="AY319" s="53"/>
      <c r="AZ319" s="53"/>
      <c r="BA319" s="53"/>
      <c r="BB319" s="53"/>
      <c r="BC319" s="53"/>
      <c r="BD319" s="53"/>
      <c r="BE319" s="53"/>
      <c r="BF319" s="2">
        <f t="shared" si="384"/>
        <v>313</v>
      </c>
    </row>
    <row r="320" spans="1:58" ht="11.25" hidden="1" customHeight="1" outlineLevel="2">
      <c r="A320" s="56"/>
      <c r="B320" s="66"/>
      <c r="C320" s="51"/>
      <c r="D320" s="51"/>
      <c r="E320" s="51"/>
      <c r="F320" s="51"/>
      <c r="G320" s="51"/>
      <c r="H320" s="51"/>
      <c r="I320" s="51"/>
      <c r="J320" s="51"/>
      <c r="K320" s="51"/>
      <c r="L320" s="55"/>
      <c r="M320" s="3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51"/>
      <c r="AC320" s="51"/>
      <c r="AD320" s="51"/>
      <c r="AE320" s="51"/>
      <c r="AF320" s="51"/>
      <c r="AG320" s="51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1"/>
      <c r="AS320" s="51"/>
      <c r="AT320" s="51"/>
      <c r="AU320" s="51"/>
      <c r="AV320" s="51"/>
      <c r="AW320" s="51"/>
      <c r="AX320" s="53"/>
      <c r="AY320" s="53"/>
      <c r="AZ320" s="53"/>
      <c r="BA320" s="53"/>
      <c r="BB320" s="53"/>
      <c r="BC320" s="53"/>
      <c r="BD320" s="53"/>
      <c r="BE320" s="53"/>
      <c r="BF320" s="2">
        <f t="shared" si="384"/>
        <v>314</v>
      </c>
    </row>
    <row r="321" spans="1:58" ht="11.25" hidden="1" customHeight="1" outlineLevel="2">
      <c r="A321" s="56"/>
      <c r="B321" s="59" t="s">
        <v>34</v>
      </c>
      <c r="C321" s="3"/>
      <c r="D321" s="3"/>
      <c r="E321" s="3"/>
      <c r="F321" s="3"/>
      <c r="G321" s="3"/>
      <c r="H321" s="3"/>
      <c r="I321" s="3"/>
      <c r="J321" s="3"/>
      <c r="K321" s="3"/>
      <c r="L321" s="55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57"/>
      <c r="AY321" s="57"/>
      <c r="AZ321" s="57"/>
      <c r="BA321" s="57"/>
      <c r="BB321" s="57"/>
      <c r="BC321" s="57"/>
      <c r="BD321" s="57"/>
      <c r="BE321" s="57"/>
      <c r="BF321" s="2">
        <f t="shared" si="384"/>
        <v>315</v>
      </c>
    </row>
    <row r="322" spans="1:58" ht="11.25" hidden="1" customHeight="1" outlineLevel="2">
      <c r="A322" s="56"/>
      <c r="B322" s="67" t="s">
        <v>259</v>
      </c>
      <c r="C322" s="61"/>
      <c r="D322" s="51">
        <f t="shared" ref="D322:K322" si="456">+D304-C304</f>
        <v>0</v>
      </c>
      <c r="E322" s="51">
        <f t="shared" si="456"/>
        <v>0</v>
      </c>
      <c r="F322" s="51">
        <f t="shared" si="456"/>
        <v>0</v>
      </c>
      <c r="G322" s="51">
        <f t="shared" si="456"/>
        <v>0</v>
      </c>
      <c r="H322" s="51">
        <f t="shared" si="456"/>
        <v>0</v>
      </c>
      <c r="I322" s="51">
        <f t="shared" si="456"/>
        <v>0</v>
      </c>
      <c r="J322" s="51">
        <f t="shared" si="456"/>
        <v>0</v>
      </c>
      <c r="K322" s="51">
        <f t="shared" si="456"/>
        <v>0</v>
      </c>
      <c r="L322" s="55"/>
      <c r="M322" s="3"/>
      <c r="N322" s="61"/>
      <c r="O322" s="51">
        <f t="shared" ref="O322:AW322" si="457">+O304-N304</f>
        <v>0</v>
      </c>
      <c r="P322" s="51">
        <f t="shared" si="457"/>
        <v>0</v>
      </c>
      <c r="Q322" s="51">
        <f t="shared" si="457"/>
        <v>0</v>
      </c>
      <c r="R322" s="51">
        <f t="shared" si="457"/>
        <v>0</v>
      </c>
      <c r="S322" s="51">
        <f t="shared" si="457"/>
        <v>0</v>
      </c>
      <c r="T322" s="51">
        <f t="shared" si="457"/>
        <v>0</v>
      </c>
      <c r="U322" s="51">
        <f t="shared" si="457"/>
        <v>0</v>
      </c>
      <c r="V322" s="51">
        <f t="shared" si="457"/>
        <v>0</v>
      </c>
      <c r="W322" s="51">
        <f t="shared" si="457"/>
        <v>0</v>
      </c>
      <c r="X322" s="51">
        <f t="shared" si="457"/>
        <v>0</v>
      </c>
      <c r="Y322" s="51">
        <f t="shared" si="457"/>
        <v>0</v>
      </c>
      <c r="Z322" s="51">
        <f t="shared" si="457"/>
        <v>0</v>
      </c>
      <c r="AA322" s="51">
        <f t="shared" si="457"/>
        <v>0</v>
      </c>
      <c r="AB322" s="51">
        <f t="shared" si="457"/>
        <v>0</v>
      </c>
      <c r="AC322" s="51">
        <f t="shared" si="457"/>
        <v>0</v>
      </c>
      <c r="AD322" s="51">
        <f t="shared" si="457"/>
        <v>0</v>
      </c>
      <c r="AE322" s="51">
        <f t="shared" si="457"/>
        <v>0</v>
      </c>
      <c r="AF322" s="51">
        <f t="shared" si="457"/>
        <v>0</v>
      </c>
      <c r="AG322" s="51">
        <f t="shared" si="457"/>
        <v>0</v>
      </c>
      <c r="AH322" s="51">
        <f t="shared" si="457"/>
        <v>0</v>
      </c>
      <c r="AI322" s="51">
        <f t="shared" si="457"/>
        <v>0</v>
      </c>
      <c r="AJ322" s="51">
        <f t="shared" si="457"/>
        <v>0</v>
      </c>
      <c r="AK322" s="51">
        <f t="shared" si="457"/>
        <v>0</v>
      </c>
      <c r="AL322" s="51">
        <f t="shared" si="457"/>
        <v>0</v>
      </c>
      <c r="AM322" s="51">
        <f t="shared" si="457"/>
        <v>0</v>
      </c>
      <c r="AN322" s="51">
        <f t="shared" si="457"/>
        <v>0</v>
      </c>
      <c r="AO322" s="51">
        <f t="shared" si="457"/>
        <v>0</v>
      </c>
      <c r="AP322" s="51">
        <f t="shared" si="457"/>
        <v>0</v>
      </c>
      <c r="AQ322" s="51">
        <f t="shared" si="457"/>
        <v>0</v>
      </c>
      <c r="AR322" s="51">
        <f t="shared" si="457"/>
        <v>0</v>
      </c>
      <c r="AS322" s="51">
        <f t="shared" si="457"/>
        <v>0</v>
      </c>
      <c r="AT322" s="51">
        <f t="shared" si="457"/>
        <v>0</v>
      </c>
      <c r="AU322" s="51">
        <f t="shared" si="457"/>
        <v>0</v>
      </c>
      <c r="AV322" s="51">
        <f t="shared" si="457"/>
        <v>0</v>
      </c>
      <c r="AW322" s="51">
        <f t="shared" si="457"/>
        <v>0</v>
      </c>
      <c r="AX322" s="57"/>
      <c r="AY322" s="57"/>
      <c r="AZ322" s="57"/>
      <c r="BA322" s="57"/>
      <c r="BB322" s="57"/>
      <c r="BC322" s="57"/>
      <c r="BD322" s="57"/>
      <c r="BE322" s="57"/>
      <c r="BF322" s="2">
        <f t="shared" si="384"/>
        <v>316</v>
      </c>
    </row>
    <row r="323" spans="1:58" ht="11.25" hidden="1" customHeight="1" outlineLevel="2">
      <c r="A323" s="56"/>
      <c r="B323" s="67" t="s">
        <v>260</v>
      </c>
      <c r="C323" s="61"/>
      <c r="D323" s="51">
        <f t="shared" ref="D323:K323" si="458">+D305-C305</f>
        <v>0</v>
      </c>
      <c r="E323" s="51">
        <f t="shared" si="458"/>
        <v>0</v>
      </c>
      <c r="F323" s="51">
        <f t="shared" si="458"/>
        <v>0</v>
      </c>
      <c r="G323" s="51">
        <f t="shared" si="458"/>
        <v>0</v>
      </c>
      <c r="H323" s="51">
        <f t="shared" si="458"/>
        <v>500</v>
      </c>
      <c r="I323" s="51">
        <f t="shared" si="458"/>
        <v>0</v>
      </c>
      <c r="J323" s="51">
        <f t="shared" si="458"/>
        <v>0</v>
      </c>
      <c r="K323" s="51">
        <f t="shared" si="458"/>
        <v>0</v>
      </c>
      <c r="L323" s="55"/>
      <c r="M323" s="3"/>
      <c r="N323" s="61"/>
      <c r="O323" s="51">
        <f t="shared" ref="O323:AW323" si="459">+O305-N305</f>
        <v>0</v>
      </c>
      <c r="P323" s="51">
        <f t="shared" si="459"/>
        <v>0</v>
      </c>
      <c r="Q323" s="51">
        <f t="shared" si="459"/>
        <v>0</v>
      </c>
      <c r="R323" s="51">
        <f t="shared" si="459"/>
        <v>0</v>
      </c>
      <c r="S323" s="51">
        <f t="shared" si="459"/>
        <v>0</v>
      </c>
      <c r="T323" s="51">
        <f t="shared" si="459"/>
        <v>0</v>
      </c>
      <c r="U323" s="51">
        <f t="shared" si="459"/>
        <v>0</v>
      </c>
      <c r="V323" s="51">
        <f t="shared" si="459"/>
        <v>0</v>
      </c>
      <c r="W323" s="51">
        <f t="shared" si="459"/>
        <v>0</v>
      </c>
      <c r="X323" s="51">
        <f t="shared" si="459"/>
        <v>0</v>
      </c>
      <c r="Y323" s="51">
        <f t="shared" si="459"/>
        <v>0</v>
      </c>
      <c r="Z323" s="51">
        <f t="shared" si="459"/>
        <v>0</v>
      </c>
      <c r="AA323" s="51">
        <f t="shared" si="459"/>
        <v>0</v>
      </c>
      <c r="AB323" s="51">
        <f t="shared" si="459"/>
        <v>0</v>
      </c>
      <c r="AC323" s="51">
        <f t="shared" si="459"/>
        <v>0</v>
      </c>
      <c r="AD323" s="51">
        <f t="shared" si="459"/>
        <v>0</v>
      </c>
      <c r="AE323" s="51">
        <f t="shared" si="459"/>
        <v>0</v>
      </c>
      <c r="AF323" s="51">
        <f t="shared" si="459"/>
        <v>0</v>
      </c>
      <c r="AG323" s="51">
        <f t="shared" si="459"/>
        <v>0</v>
      </c>
      <c r="AH323" s="51">
        <f t="shared" si="459"/>
        <v>0</v>
      </c>
      <c r="AI323" s="51">
        <f t="shared" si="459"/>
        <v>0</v>
      </c>
      <c r="AJ323" s="51">
        <f t="shared" si="459"/>
        <v>500</v>
      </c>
      <c r="AK323" s="51">
        <f t="shared" si="459"/>
        <v>0</v>
      </c>
      <c r="AL323" s="51">
        <f t="shared" si="459"/>
        <v>0</v>
      </c>
      <c r="AM323" s="51">
        <f t="shared" si="459"/>
        <v>0</v>
      </c>
      <c r="AN323" s="51">
        <f t="shared" si="459"/>
        <v>0</v>
      </c>
      <c r="AO323" s="51">
        <f t="shared" si="459"/>
        <v>0</v>
      </c>
      <c r="AP323" s="51">
        <f t="shared" si="459"/>
        <v>0</v>
      </c>
      <c r="AQ323" s="51">
        <f t="shared" si="459"/>
        <v>0</v>
      </c>
      <c r="AR323" s="51">
        <f t="shared" si="459"/>
        <v>0</v>
      </c>
      <c r="AS323" s="51">
        <f t="shared" si="459"/>
        <v>0</v>
      </c>
      <c r="AT323" s="51">
        <f t="shared" si="459"/>
        <v>0</v>
      </c>
      <c r="AU323" s="51">
        <f t="shared" si="459"/>
        <v>0</v>
      </c>
      <c r="AV323" s="51">
        <f t="shared" si="459"/>
        <v>0</v>
      </c>
      <c r="AW323" s="51">
        <f t="shared" si="459"/>
        <v>0</v>
      </c>
      <c r="AX323" s="57"/>
      <c r="AY323" s="57"/>
      <c r="AZ323" s="57"/>
      <c r="BA323" s="57"/>
      <c r="BB323" s="57"/>
      <c r="BC323" s="57"/>
      <c r="BD323" s="57"/>
      <c r="BE323" s="57"/>
      <c r="BF323" s="2">
        <f t="shared" si="384"/>
        <v>317</v>
      </c>
    </row>
    <row r="324" spans="1:58" ht="11.25" hidden="1" customHeight="1" outlineLevel="2">
      <c r="A324" s="56"/>
      <c r="B324" s="66" t="s">
        <v>33</v>
      </c>
      <c r="C324" s="61"/>
      <c r="D324" s="51">
        <f t="shared" ref="D324:K324" si="460">+D306-C306</f>
        <v>-167.96499999999992</v>
      </c>
      <c r="E324" s="51">
        <f t="shared" si="460"/>
        <v>-17.752000000000066</v>
      </c>
      <c r="F324" s="51">
        <f t="shared" si="460"/>
        <v>-10.736999999999966</v>
      </c>
      <c r="G324" s="51">
        <f t="shared" si="460"/>
        <v>-338.04600000000005</v>
      </c>
      <c r="H324" s="51">
        <f t="shared" si="460"/>
        <v>-500</v>
      </c>
      <c r="I324" s="51">
        <f t="shared" si="460"/>
        <v>0</v>
      </c>
      <c r="J324" s="51">
        <f t="shared" si="460"/>
        <v>0</v>
      </c>
      <c r="K324" s="51">
        <f t="shared" si="460"/>
        <v>0</v>
      </c>
      <c r="L324" s="55"/>
      <c r="M324" s="3"/>
      <c r="N324" s="61"/>
      <c r="O324" s="51">
        <f t="shared" ref="O324:AW324" si="461">+O306-N306</f>
        <v>-5</v>
      </c>
      <c r="P324" s="51">
        <f t="shared" si="461"/>
        <v>-155</v>
      </c>
      <c r="Q324" s="51">
        <f t="shared" si="461"/>
        <v>-5.5</v>
      </c>
      <c r="R324" s="51">
        <f t="shared" si="461"/>
        <v>-4.5</v>
      </c>
      <c r="S324" s="51">
        <f t="shared" si="461"/>
        <v>-155</v>
      </c>
      <c r="T324" s="51">
        <f t="shared" si="461"/>
        <v>-5</v>
      </c>
      <c r="U324" s="51">
        <f t="shared" si="461"/>
        <v>-3.4649999999999181</v>
      </c>
      <c r="V324" s="51">
        <f t="shared" si="461"/>
        <v>-5.2930000000001201</v>
      </c>
      <c r="W324" s="51">
        <f t="shared" si="461"/>
        <v>-5.01299999999992</v>
      </c>
      <c r="X324" s="51">
        <f t="shared" si="461"/>
        <v>-5.0510000000000446</v>
      </c>
      <c r="Y324" s="51">
        <f t="shared" si="461"/>
        <v>-2.3949999999999818</v>
      </c>
      <c r="Z324" s="51">
        <f t="shared" si="461"/>
        <v>-4.5370000000000346</v>
      </c>
      <c r="AA324" s="51">
        <f t="shared" si="461"/>
        <v>0.71899999999993724</v>
      </c>
      <c r="AB324" s="51">
        <f t="shared" si="461"/>
        <v>-2.3089999999999691</v>
      </c>
      <c r="AC324" s="51">
        <f t="shared" si="461"/>
        <v>-4.6099999999999</v>
      </c>
      <c r="AD324" s="51">
        <f t="shared" si="461"/>
        <v>-329.63100000000003</v>
      </c>
      <c r="AE324" s="51">
        <f t="shared" si="461"/>
        <v>-6.8480000000000132</v>
      </c>
      <c r="AF324" s="51">
        <f t="shared" si="461"/>
        <v>-1.5670000000000073</v>
      </c>
      <c r="AG324" s="51">
        <f t="shared" si="461"/>
        <v>0</v>
      </c>
      <c r="AH324" s="51">
        <f t="shared" si="461"/>
        <v>0</v>
      </c>
      <c r="AI324" s="51">
        <f t="shared" si="461"/>
        <v>0</v>
      </c>
      <c r="AJ324" s="51">
        <f t="shared" si="461"/>
        <v>-500</v>
      </c>
      <c r="AK324" s="51">
        <f t="shared" si="461"/>
        <v>0</v>
      </c>
      <c r="AL324" s="51">
        <f t="shared" si="461"/>
        <v>0</v>
      </c>
      <c r="AM324" s="51">
        <f t="shared" si="461"/>
        <v>0</v>
      </c>
      <c r="AN324" s="51">
        <f t="shared" si="461"/>
        <v>0</v>
      </c>
      <c r="AO324" s="51">
        <f t="shared" si="461"/>
        <v>0</v>
      </c>
      <c r="AP324" s="51">
        <f t="shared" si="461"/>
        <v>0</v>
      </c>
      <c r="AQ324" s="51">
        <f t="shared" si="461"/>
        <v>0</v>
      </c>
      <c r="AR324" s="51">
        <f t="shared" si="461"/>
        <v>0</v>
      </c>
      <c r="AS324" s="51">
        <f t="shared" si="461"/>
        <v>0</v>
      </c>
      <c r="AT324" s="51">
        <f t="shared" si="461"/>
        <v>0</v>
      </c>
      <c r="AU324" s="51">
        <f t="shared" si="461"/>
        <v>0</v>
      </c>
      <c r="AV324" s="51">
        <f t="shared" si="461"/>
        <v>0</v>
      </c>
      <c r="AW324" s="51">
        <f t="shared" si="461"/>
        <v>0</v>
      </c>
      <c r="AX324" s="57"/>
      <c r="AY324" s="57"/>
      <c r="AZ324" s="57"/>
      <c r="BA324" s="57"/>
      <c r="BB324" s="57"/>
      <c r="BC324" s="57"/>
      <c r="BD324" s="57"/>
      <c r="BE324" s="57"/>
      <c r="BF324" s="2">
        <f t="shared" si="384"/>
        <v>318</v>
      </c>
    </row>
    <row r="325" spans="1:58" ht="11.25" hidden="1" customHeight="1" outlineLevel="2">
      <c r="A325" s="11"/>
      <c r="B325" s="66" t="s">
        <v>32</v>
      </c>
      <c r="C325" s="61"/>
      <c r="D325" s="51">
        <f t="shared" ref="D325:K325" si="462">+D307-C307</f>
        <v>0</v>
      </c>
      <c r="E325" s="51">
        <f t="shared" si="462"/>
        <v>0</v>
      </c>
      <c r="F325" s="51">
        <f t="shared" si="462"/>
        <v>-19.826000000000001</v>
      </c>
      <c r="G325" s="51">
        <f t="shared" si="462"/>
        <v>4.4260000000000002</v>
      </c>
      <c r="H325" s="51">
        <f t="shared" si="462"/>
        <v>-4.8289999999999988</v>
      </c>
      <c r="I325" s="51">
        <f t="shared" si="462"/>
        <v>0</v>
      </c>
      <c r="J325" s="51">
        <f t="shared" si="462"/>
        <v>0</v>
      </c>
      <c r="K325" s="51">
        <f t="shared" si="462"/>
        <v>0</v>
      </c>
      <c r="L325" s="55"/>
      <c r="M325" s="3"/>
      <c r="N325" s="61"/>
      <c r="O325" s="51">
        <f t="shared" ref="O325:AW325" si="463">+O307-N307</f>
        <v>0.16100000000005821</v>
      </c>
      <c r="P325" s="51">
        <f t="shared" si="463"/>
        <v>0.74699999999984357</v>
      </c>
      <c r="Q325" s="51">
        <f t="shared" si="463"/>
        <v>0.58400000000006003</v>
      </c>
      <c r="R325" s="51">
        <f t="shared" si="463"/>
        <v>-0.41599999999993997</v>
      </c>
      <c r="S325" s="51">
        <f t="shared" si="463"/>
        <v>0.41599999999993997</v>
      </c>
      <c r="T325" s="51">
        <f t="shared" si="463"/>
        <v>0</v>
      </c>
      <c r="U325" s="51">
        <f t="shared" si="463"/>
        <v>0</v>
      </c>
      <c r="V325" s="51">
        <f t="shared" si="463"/>
        <v>0</v>
      </c>
      <c r="W325" s="51">
        <f t="shared" si="463"/>
        <v>0</v>
      </c>
      <c r="X325" s="51">
        <f t="shared" si="463"/>
        <v>0</v>
      </c>
      <c r="Y325" s="51">
        <f t="shared" si="463"/>
        <v>0</v>
      </c>
      <c r="Z325" s="51">
        <f t="shared" si="463"/>
        <v>0</v>
      </c>
      <c r="AA325" s="51">
        <f t="shared" si="463"/>
        <v>0</v>
      </c>
      <c r="AB325" s="51">
        <f t="shared" si="463"/>
        <v>0</v>
      </c>
      <c r="AC325" s="51">
        <f t="shared" si="463"/>
        <v>-19.826000000000001</v>
      </c>
      <c r="AD325" s="51">
        <f t="shared" si="463"/>
        <v>1.0139999999999993</v>
      </c>
      <c r="AE325" s="51">
        <f t="shared" si="463"/>
        <v>1.0330000000000013</v>
      </c>
      <c r="AF325" s="51">
        <f t="shared" si="463"/>
        <v>1.3599999999999994</v>
      </c>
      <c r="AG325" s="51">
        <f t="shared" si="463"/>
        <v>1.0190000000000001</v>
      </c>
      <c r="AH325" s="51">
        <f t="shared" si="463"/>
        <v>1.6100000000000367</v>
      </c>
      <c r="AI325" s="51">
        <f t="shared" si="463"/>
        <v>0.9459999999999642</v>
      </c>
      <c r="AJ325" s="51">
        <f t="shared" si="463"/>
        <v>-5.4420000000000019</v>
      </c>
      <c r="AK325" s="51">
        <f t="shared" si="463"/>
        <v>-1.9429999999999978</v>
      </c>
      <c r="AL325" s="51">
        <f t="shared" si="463"/>
        <v>0</v>
      </c>
      <c r="AM325" s="51">
        <f t="shared" si="463"/>
        <v>0</v>
      </c>
      <c r="AN325" s="51">
        <f t="shared" si="463"/>
        <v>0</v>
      </c>
      <c r="AO325" s="51">
        <f t="shared" si="463"/>
        <v>0</v>
      </c>
      <c r="AP325" s="51">
        <f t="shared" si="463"/>
        <v>0</v>
      </c>
      <c r="AQ325" s="51">
        <f t="shared" si="463"/>
        <v>0</v>
      </c>
      <c r="AR325" s="51">
        <f t="shared" si="463"/>
        <v>0</v>
      </c>
      <c r="AS325" s="51">
        <f t="shared" si="463"/>
        <v>0</v>
      </c>
      <c r="AT325" s="51">
        <f t="shared" si="463"/>
        <v>0</v>
      </c>
      <c r="AU325" s="51">
        <f t="shared" si="463"/>
        <v>0</v>
      </c>
      <c r="AV325" s="51">
        <f t="shared" si="463"/>
        <v>0</v>
      </c>
      <c r="AW325" s="51">
        <f t="shared" si="463"/>
        <v>0</v>
      </c>
      <c r="AX325" s="63"/>
      <c r="AY325" s="63"/>
      <c r="AZ325" s="63"/>
      <c r="BA325" s="63"/>
      <c r="BB325" s="63"/>
      <c r="BC325" s="63"/>
      <c r="BD325" s="63"/>
      <c r="BE325" s="63"/>
      <c r="BF325" s="2">
        <f t="shared" si="384"/>
        <v>319</v>
      </c>
    </row>
    <row r="326" spans="1:58" ht="11.25" hidden="1" customHeight="1" outlineLevel="2">
      <c r="A326" s="11"/>
      <c r="B326" s="65" t="s">
        <v>31</v>
      </c>
      <c r="C326" s="61"/>
      <c r="D326" s="51">
        <f t="shared" ref="D326:K326" si="464">+D308-C308</f>
        <v>-167.96499999999992</v>
      </c>
      <c r="E326" s="51">
        <f t="shared" si="464"/>
        <v>-17.75200000000018</v>
      </c>
      <c r="F326" s="51">
        <f t="shared" si="464"/>
        <v>-30.562999999999874</v>
      </c>
      <c r="G326" s="51">
        <f t="shared" si="464"/>
        <v>-333.62000000000012</v>
      </c>
      <c r="H326" s="51">
        <f t="shared" si="464"/>
        <v>-4.8289999999999509</v>
      </c>
      <c r="I326" s="51">
        <f t="shared" si="464"/>
        <v>0</v>
      </c>
      <c r="J326" s="51">
        <f t="shared" si="464"/>
        <v>0</v>
      </c>
      <c r="K326" s="51">
        <f t="shared" si="464"/>
        <v>0</v>
      </c>
      <c r="L326" s="55"/>
      <c r="M326" s="3"/>
      <c r="N326" s="61"/>
      <c r="O326" s="51">
        <f t="shared" ref="O326:AW326" si="465">+O308-N308</f>
        <v>-4.8389999999999418</v>
      </c>
      <c r="P326" s="51">
        <f t="shared" si="465"/>
        <v>-154.25300000000016</v>
      </c>
      <c r="Q326" s="51">
        <f t="shared" si="465"/>
        <v>-4.91599999999994</v>
      </c>
      <c r="R326" s="51">
        <f t="shared" si="465"/>
        <v>-4.91599999999994</v>
      </c>
      <c r="S326" s="51">
        <f t="shared" si="465"/>
        <v>-154.58400000000006</v>
      </c>
      <c r="T326" s="51">
        <f t="shared" si="465"/>
        <v>-5</v>
      </c>
      <c r="U326" s="51">
        <f t="shared" si="465"/>
        <v>-3.4649999999999181</v>
      </c>
      <c r="V326" s="51">
        <f t="shared" si="465"/>
        <v>-5.2930000000001201</v>
      </c>
      <c r="W326" s="51">
        <f t="shared" si="465"/>
        <v>-5.01299999999992</v>
      </c>
      <c r="X326" s="51">
        <f t="shared" si="465"/>
        <v>-5.0510000000001583</v>
      </c>
      <c r="Y326" s="51">
        <f t="shared" si="465"/>
        <v>-2.3949999999999818</v>
      </c>
      <c r="Z326" s="51">
        <f t="shared" si="465"/>
        <v>-4.5369999999998072</v>
      </c>
      <c r="AA326" s="51">
        <f t="shared" si="465"/>
        <v>0.71899999999982356</v>
      </c>
      <c r="AB326" s="51">
        <f t="shared" si="465"/>
        <v>-2.3089999999999691</v>
      </c>
      <c r="AC326" s="51">
        <f t="shared" si="465"/>
        <v>-24.435999999999922</v>
      </c>
      <c r="AD326" s="51">
        <f t="shared" si="465"/>
        <v>-328.61699999999996</v>
      </c>
      <c r="AE326" s="51">
        <f t="shared" si="465"/>
        <v>-5.8150000000000546</v>
      </c>
      <c r="AF326" s="51">
        <f t="shared" si="465"/>
        <v>-0.20700000000010732</v>
      </c>
      <c r="AG326" s="51">
        <f t="shared" si="465"/>
        <v>1.0190000000000055</v>
      </c>
      <c r="AH326" s="51">
        <f t="shared" si="465"/>
        <v>1.6100000000001273</v>
      </c>
      <c r="AI326" s="51">
        <f t="shared" si="465"/>
        <v>0.94599999999991269</v>
      </c>
      <c r="AJ326" s="51">
        <f t="shared" si="465"/>
        <v>-5.4420000000000073</v>
      </c>
      <c r="AK326" s="51">
        <f t="shared" si="465"/>
        <v>-1.9429999999999836</v>
      </c>
      <c r="AL326" s="51">
        <f t="shared" si="465"/>
        <v>0</v>
      </c>
      <c r="AM326" s="51">
        <f t="shared" si="465"/>
        <v>0</v>
      </c>
      <c r="AN326" s="51">
        <f t="shared" si="465"/>
        <v>0</v>
      </c>
      <c r="AO326" s="51">
        <f t="shared" si="465"/>
        <v>0</v>
      </c>
      <c r="AP326" s="51">
        <f t="shared" si="465"/>
        <v>0</v>
      </c>
      <c r="AQ326" s="51">
        <f t="shared" si="465"/>
        <v>0</v>
      </c>
      <c r="AR326" s="51">
        <f t="shared" si="465"/>
        <v>0</v>
      </c>
      <c r="AS326" s="51">
        <f t="shared" si="465"/>
        <v>0</v>
      </c>
      <c r="AT326" s="51">
        <f t="shared" si="465"/>
        <v>0</v>
      </c>
      <c r="AU326" s="51">
        <f t="shared" si="465"/>
        <v>0</v>
      </c>
      <c r="AV326" s="51">
        <f t="shared" si="465"/>
        <v>0</v>
      </c>
      <c r="AW326" s="51">
        <f t="shared" si="465"/>
        <v>0</v>
      </c>
      <c r="AX326" s="63"/>
      <c r="AY326" s="63"/>
      <c r="AZ326" s="63"/>
      <c r="BA326" s="63"/>
      <c r="BB326" s="63"/>
      <c r="BC326" s="63"/>
      <c r="BD326" s="63"/>
      <c r="BE326" s="63"/>
      <c r="BF326" s="2">
        <f t="shared" si="384"/>
        <v>320</v>
      </c>
    </row>
    <row r="327" spans="1:58" ht="11.25" hidden="1" customHeight="1" outlineLevel="2">
      <c r="A327" s="11"/>
      <c r="B327" s="64" t="s">
        <v>40</v>
      </c>
      <c r="C327" s="61"/>
      <c r="D327" s="51">
        <f t="shared" ref="D327:K327" si="466">+D309-C309</f>
        <v>0</v>
      </c>
      <c r="E327" s="51">
        <f t="shared" si="466"/>
        <v>0</v>
      </c>
      <c r="F327" s="51">
        <f t="shared" si="466"/>
        <v>0</v>
      </c>
      <c r="G327" s="51">
        <f t="shared" si="466"/>
        <v>0</v>
      </c>
      <c r="H327" s="51">
        <f t="shared" si="466"/>
        <v>0</v>
      </c>
      <c r="I327" s="51">
        <f t="shared" si="466"/>
        <v>0</v>
      </c>
      <c r="J327" s="51">
        <f t="shared" si="466"/>
        <v>0</v>
      </c>
      <c r="K327" s="51">
        <f t="shared" si="466"/>
        <v>0</v>
      </c>
      <c r="L327" s="55"/>
      <c r="M327" s="3"/>
      <c r="N327" s="61"/>
      <c r="O327" s="51">
        <f t="shared" ref="O327:AW327" si="467">+O309-N309</f>
        <v>0</v>
      </c>
      <c r="P327" s="51">
        <f t="shared" si="467"/>
        <v>90</v>
      </c>
      <c r="Q327" s="51">
        <f t="shared" si="467"/>
        <v>-90</v>
      </c>
      <c r="R327" s="51">
        <f t="shared" si="467"/>
        <v>35</v>
      </c>
      <c r="S327" s="51">
        <f t="shared" si="467"/>
        <v>90</v>
      </c>
      <c r="T327" s="51">
        <f t="shared" si="467"/>
        <v>-125</v>
      </c>
      <c r="U327" s="51">
        <f t="shared" si="467"/>
        <v>0</v>
      </c>
      <c r="V327" s="51">
        <f t="shared" si="467"/>
        <v>0</v>
      </c>
      <c r="W327" s="51">
        <f t="shared" si="467"/>
        <v>0</v>
      </c>
      <c r="X327" s="51">
        <f t="shared" si="467"/>
        <v>0</v>
      </c>
      <c r="Y327" s="51">
        <f t="shared" si="467"/>
        <v>0</v>
      </c>
      <c r="Z327" s="51">
        <f t="shared" si="467"/>
        <v>0</v>
      </c>
      <c r="AA327" s="51">
        <f t="shared" si="467"/>
        <v>0</v>
      </c>
      <c r="AB327" s="51">
        <f t="shared" si="467"/>
        <v>0</v>
      </c>
      <c r="AC327" s="51">
        <f t="shared" si="467"/>
        <v>0</v>
      </c>
      <c r="AD327" s="51">
        <f t="shared" si="467"/>
        <v>325</v>
      </c>
      <c r="AE327" s="51">
        <f t="shared" si="467"/>
        <v>-75</v>
      </c>
      <c r="AF327" s="51">
        <f t="shared" si="467"/>
        <v>-250</v>
      </c>
      <c r="AG327" s="51">
        <f t="shared" si="467"/>
        <v>0</v>
      </c>
      <c r="AH327" s="51">
        <f t="shared" si="467"/>
        <v>0</v>
      </c>
      <c r="AI327" s="51">
        <f t="shared" si="467"/>
        <v>0</v>
      </c>
      <c r="AJ327" s="51">
        <f t="shared" si="467"/>
        <v>0</v>
      </c>
      <c r="AK327" s="51">
        <f t="shared" si="467"/>
        <v>0</v>
      </c>
      <c r="AL327" s="51">
        <f t="shared" si="467"/>
        <v>0</v>
      </c>
      <c r="AM327" s="51">
        <f t="shared" si="467"/>
        <v>0</v>
      </c>
      <c r="AN327" s="51">
        <f t="shared" si="467"/>
        <v>0</v>
      </c>
      <c r="AO327" s="51">
        <f t="shared" si="467"/>
        <v>0</v>
      </c>
      <c r="AP327" s="51">
        <f t="shared" si="467"/>
        <v>0</v>
      </c>
      <c r="AQ327" s="51">
        <f t="shared" si="467"/>
        <v>0</v>
      </c>
      <c r="AR327" s="51">
        <f t="shared" si="467"/>
        <v>0</v>
      </c>
      <c r="AS327" s="51">
        <f t="shared" si="467"/>
        <v>0</v>
      </c>
      <c r="AT327" s="51">
        <f t="shared" si="467"/>
        <v>0</v>
      </c>
      <c r="AU327" s="51">
        <f t="shared" si="467"/>
        <v>0</v>
      </c>
      <c r="AV327" s="51">
        <f t="shared" si="467"/>
        <v>0</v>
      </c>
      <c r="AW327" s="51">
        <f t="shared" si="467"/>
        <v>0</v>
      </c>
      <c r="AX327" s="63"/>
      <c r="AY327" s="63"/>
      <c r="AZ327" s="63"/>
      <c r="BA327" s="63"/>
      <c r="BB327" s="63"/>
      <c r="BC327" s="63"/>
      <c r="BD327" s="63"/>
      <c r="BE327" s="63"/>
      <c r="BF327" s="2">
        <f t="shared" si="384"/>
        <v>321</v>
      </c>
    </row>
    <row r="328" spans="1:58" ht="11.25" hidden="1" customHeight="1" outlineLevel="2">
      <c r="A328" s="11"/>
      <c r="B328" s="59" t="s">
        <v>30</v>
      </c>
      <c r="C328" s="61"/>
      <c r="D328" s="51">
        <f t="shared" ref="D328:K328" si="468">+D310-C310</f>
        <v>-167.96499999999992</v>
      </c>
      <c r="E328" s="51">
        <f t="shared" si="468"/>
        <v>-17.75200000000018</v>
      </c>
      <c r="F328" s="51">
        <f t="shared" si="468"/>
        <v>-30.562999999999874</v>
      </c>
      <c r="G328" s="51">
        <f t="shared" si="468"/>
        <v>-333.62000000000012</v>
      </c>
      <c r="H328" s="51">
        <f t="shared" si="468"/>
        <v>-4.8289999999999509</v>
      </c>
      <c r="I328" s="51">
        <f t="shared" si="468"/>
        <v>0</v>
      </c>
      <c r="J328" s="51">
        <f t="shared" si="468"/>
        <v>0</v>
      </c>
      <c r="K328" s="51">
        <f t="shared" si="468"/>
        <v>0</v>
      </c>
      <c r="L328" s="55"/>
      <c r="M328" s="3"/>
      <c r="N328" s="61"/>
      <c r="O328" s="51">
        <f t="shared" ref="O328:AW328" si="469">+O310-N310</f>
        <v>-4.8389999999999418</v>
      </c>
      <c r="P328" s="51">
        <f t="shared" si="469"/>
        <v>-64.253000000000156</v>
      </c>
      <c r="Q328" s="51">
        <f t="shared" si="469"/>
        <v>-94.91599999999994</v>
      </c>
      <c r="R328" s="51">
        <f t="shared" si="469"/>
        <v>30.08400000000006</v>
      </c>
      <c r="S328" s="51">
        <f t="shared" si="469"/>
        <v>-64.58400000000006</v>
      </c>
      <c r="T328" s="51">
        <f t="shared" si="469"/>
        <v>-130</v>
      </c>
      <c r="U328" s="51">
        <f t="shared" si="469"/>
        <v>-3.4649999999999181</v>
      </c>
      <c r="V328" s="51">
        <f t="shared" si="469"/>
        <v>-5.2930000000001201</v>
      </c>
      <c r="W328" s="51">
        <f t="shared" si="469"/>
        <v>-5.01299999999992</v>
      </c>
      <c r="X328" s="51">
        <f t="shared" si="469"/>
        <v>-5.0510000000001583</v>
      </c>
      <c r="Y328" s="51">
        <f t="shared" si="469"/>
        <v>-2.3949999999999818</v>
      </c>
      <c r="Z328" s="51">
        <f t="shared" si="469"/>
        <v>-4.5369999999998072</v>
      </c>
      <c r="AA328" s="51">
        <f t="shared" si="469"/>
        <v>0.71899999999982356</v>
      </c>
      <c r="AB328" s="51">
        <f t="shared" si="469"/>
        <v>-2.3089999999999691</v>
      </c>
      <c r="AC328" s="51">
        <f t="shared" si="469"/>
        <v>-24.435999999999922</v>
      </c>
      <c r="AD328" s="51">
        <f t="shared" si="469"/>
        <v>-3.6169999999999618</v>
      </c>
      <c r="AE328" s="51">
        <f t="shared" si="469"/>
        <v>-80.815000000000055</v>
      </c>
      <c r="AF328" s="51">
        <f t="shared" si="469"/>
        <v>-250.20700000000011</v>
      </c>
      <c r="AG328" s="51">
        <f t="shared" si="469"/>
        <v>1.0190000000000055</v>
      </c>
      <c r="AH328" s="51">
        <f t="shared" si="469"/>
        <v>1.6100000000001273</v>
      </c>
      <c r="AI328" s="51">
        <f t="shared" si="469"/>
        <v>0.94599999999991269</v>
      </c>
      <c r="AJ328" s="51">
        <f t="shared" si="469"/>
        <v>-5.4420000000000073</v>
      </c>
      <c r="AK328" s="51">
        <f t="shared" si="469"/>
        <v>-1.9429999999999836</v>
      </c>
      <c r="AL328" s="51">
        <f t="shared" si="469"/>
        <v>0</v>
      </c>
      <c r="AM328" s="51">
        <f t="shared" si="469"/>
        <v>0</v>
      </c>
      <c r="AN328" s="51">
        <f t="shared" si="469"/>
        <v>0</v>
      </c>
      <c r="AO328" s="51">
        <f t="shared" si="469"/>
        <v>0</v>
      </c>
      <c r="AP328" s="51">
        <f t="shared" si="469"/>
        <v>0</v>
      </c>
      <c r="AQ328" s="51">
        <f t="shared" si="469"/>
        <v>0</v>
      </c>
      <c r="AR328" s="51">
        <f t="shared" si="469"/>
        <v>0</v>
      </c>
      <c r="AS328" s="51">
        <f t="shared" si="469"/>
        <v>0</v>
      </c>
      <c r="AT328" s="51">
        <f t="shared" si="469"/>
        <v>0</v>
      </c>
      <c r="AU328" s="51">
        <f t="shared" si="469"/>
        <v>0</v>
      </c>
      <c r="AV328" s="51">
        <f t="shared" si="469"/>
        <v>0</v>
      </c>
      <c r="AW328" s="51">
        <f t="shared" si="469"/>
        <v>0</v>
      </c>
      <c r="AX328" s="57"/>
      <c r="AY328" s="57"/>
      <c r="AZ328" s="57"/>
      <c r="BA328" s="57"/>
      <c r="BB328" s="57"/>
      <c r="BC328" s="57"/>
      <c r="BD328" s="57"/>
      <c r="BE328" s="57"/>
      <c r="BF328" s="2">
        <f t="shared" si="384"/>
        <v>322</v>
      </c>
    </row>
    <row r="329" spans="1:58" ht="11.25" hidden="1" customHeight="1" outlineLevel="2">
      <c r="A329" s="11"/>
      <c r="B329" s="59"/>
      <c r="C329" s="3"/>
      <c r="D329" s="3"/>
      <c r="E329" s="3"/>
      <c r="F329" s="3"/>
      <c r="G329" s="3"/>
      <c r="H329" s="3"/>
      <c r="I329" s="3"/>
      <c r="J329" s="3"/>
      <c r="K329" s="3"/>
      <c r="L329" s="55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57"/>
      <c r="AY329" s="57"/>
      <c r="AZ329" s="57"/>
      <c r="BA329" s="57"/>
      <c r="BB329" s="57"/>
      <c r="BC329" s="57"/>
      <c r="BD329" s="57"/>
      <c r="BE329" s="57"/>
      <c r="BF329" s="2">
        <f t="shared" si="384"/>
        <v>323</v>
      </c>
    </row>
    <row r="330" spans="1:58" ht="11.25" hidden="1" customHeight="1" outlineLevel="2">
      <c r="A330" s="11"/>
      <c r="B330" s="59" t="s">
        <v>775</v>
      </c>
      <c r="C330" s="182"/>
      <c r="D330" s="182"/>
      <c r="E330" s="307"/>
      <c r="F330" s="307"/>
      <c r="G330" s="307"/>
      <c r="H330" s="37">
        <f>INDEX($N330:$AX330,1,MATCH(H$5,$N$5:$AX$5,0))</f>
        <v>264.7</v>
      </c>
      <c r="I330" s="37">
        <f t="shared" ref="I330:K332" si="470">INDEX($N330:$BF330,1,MATCH(I$5,$N$5:$BF$5,0))</f>
        <v>264.7</v>
      </c>
      <c r="J330" s="37">
        <f t="shared" si="470"/>
        <v>264.7</v>
      </c>
      <c r="K330" s="37">
        <f t="shared" si="470"/>
        <v>264.7</v>
      </c>
      <c r="L330" s="55"/>
      <c r="M330" s="3"/>
      <c r="N330" s="182"/>
      <c r="O330" s="182"/>
      <c r="P330" s="182"/>
      <c r="Q330" s="182"/>
      <c r="R330" s="182"/>
      <c r="S330" s="182"/>
      <c r="T330" s="182"/>
      <c r="U330" s="182"/>
      <c r="V330" s="182"/>
      <c r="W330" s="182"/>
      <c r="X330" s="182"/>
      <c r="Y330" s="182"/>
      <c r="Z330" s="182"/>
      <c r="AA330" s="182"/>
      <c r="AB330" s="182"/>
      <c r="AC330" s="182"/>
      <c r="AD330" s="182"/>
      <c r="AE330" s="182"/>
      <c r="AF330" s="182"/>
      <c r="AG330" s="182"/>
      <c r="AH330" s="182"/>
      <c r="AI330" s="182"/>
      <c r="AJ330" s="51">
        <f t="shared" ref="AJ330:AW330" si="471">AJ318</f>
        <v>285.60000000000002</v>
      </c>
      <c r="AK330" s="51">
        <f t="shared" si="471"/>
        <v>264.7</v>
      </c>
      <c r="AL330" s="51">
        <f t="shared" si="471"/>
        <v>264.7</v>
      </c>
      <c r="AM330" s="51">
        <f t="shared" si="471"/>
        <v>264.7</v>
      </c>
      <c r="AN330" s="51">
        <f t="shared" si="471"/>
        <v>264.7</v>
      </c>
      <c r="AO330" s="51">
        <f t="shared" si="471"/>
        <v>264.7</v>
      </c>
      <c r="AP330" s="51">
        <f t="shared" si="471"/>
        <v>264.7</v>
      </c>
      <c r="AQ330" s="51">
        <f t="shared" si="471"/>
        <v>264.7</v>
      </c>
      <c r="AR330" s="51">
        <f t="shared" si="471"/>
        <v>264.7</v>
      </c>
      <c r="AS330" s="51">
        <f t="shared" si="471"/>
        <v>264.7</v>
      </c>
      <c r="AT330" s="51">
        <f t="shared" si="471"/>
        <v>264.7</v>
      </c>
      <c r="AU330" s="51">
        <f t="shared" si="471"/>
        <v>264.7</v>
      </c>
      <c r="AV330" s="51">
        <f t="shared" si="471"/>
        <v>264.7</v>
      </c>
      <c r="AW330" s="51">
        <f t="shared" si="471"/>
        <v>264.7</v>
      </c>
      <c r="AX330" s="57"/>
      <c r="AY330" s="57"/>
      <c r="AZ330" s="57"/>
      <c r="BA330" s="57"/>
      <c r="BB330" s="57"/>
      <c r="BC330" s="57"/>
      <c r="BD330" s="57"/>
      <c r="BE330" s="57"/>
      <c r="BF330" s="2">
        <f t="shared" ref="BF330:BF393" si="472">BF329+1</f>
        <v>324</v>
      </c>
    </row>
    <row r="331" spans="1:58" ht="11.25" hidden="1" customHeight="1" outlineLevel="2">
      <c r="A331" s="11"/>
      <c r="B331" s="59" t="s">
        <v>776</v>
      </c>
      <c r="C331" s="182"/>
      <c r="D331" s="182"/>
      <c r="E331" s="307"/>
      <c r="F331" s="307"/>
      <c r="G331" s="307"/>
      <c r="H331" s="37">
        <f>INDEX($N331:$AX331,1,MATCH(H$5,$N$5:$AX$5,0))</f>
        <v>37.5</v>
      </c>
      <c r="I331" s="37">
        <f t="shared" si="470"/>
        <v>37.5</v>
      </c>
      <c r="J331" s="37">
        <f t="shared" si="470"/>
        <v>37.5</v>
      </c>
      <c r="K331" s="37">
        <f t="shared" si="470"/>
        <v>37.5</v>
      </c>
      <c r="L331" s="55"/>
      <c r="M331" s="3"/>
      <c r="N331" s="182"/>
      <c r="O331" s="182"/>
      <c r="P331" s="182"/>
      <c r="Q331" s="182"/>
      <c r="R331" s="182"/>
      <c r="S331" s="182"/>
      <c r="T331" s="182"/>
      <c r="U331" s="182"/>
      <c r="V331" s="182"/>
      <c r="W331" s="182"/>
      <c r="X331" s="182"/>
      <c r="Y331" s="182"/>
      <c r="Z331" s="182"/>
      <c r="AA331" s="182"/>
      <c r="AB331" s="182"/>
      <c r="AC331" s="182"/>
      <c r="AD331" s="182"/>
      <c r="AE331" s="182"/>
      <c r="AF331" s="182"/>
      <c r="AG331" s="182"/>
      <c r="AH331" s="182"/>
      <c r="AI331" s="182"/>
      <c r="AJ331" s="303">
        <v>37.5</v>
      </c>
      <c r="AK331" s="303">
        <v>37.5</v>
      </c>
      <c r="AL331" s="303">
        <v>37.5</v>
      </c>
      <c r="AM331" s="303">
        <v>37.5</v>
      </c>
      <c r="AN331" s="303">
        <v>37.5</v>
      </c>
      <c r="AO331" s="303">
        <v>37.5</v>
      </c>
      <c r="AP331" s="303">
        <v>37.5</v>
      </c>
      <c r="AQ331" s="303">
        <v>37.5</v>
      </c>
      <c r="AR331" s="303">
        <v>37.5</v>
      </c>
      <c r="AS331" s="303">
        <v>37.5</v>
      </c>
      <c r="AT331" s="303">
        <v>37.5</v>
      </c>
      <c r="AU331" s="303">
        <v>37.5</v>
      </c>
      <c r="AV331" s="303">
        <v>37.5</v>
      </c>
      <c r="AW331" s="303">
        <v>37.5</v>
      </c>
      <c r="AX331" s="57"/>
      <c r="AY331" s="57"/>
      <c r="AZ331" s="57"/>
      <c r="BA331" s="57"/>
      <c r="BB331" s="57"/>
      <c r="BC331" s="57"/>
      <c r="BD331" s="57"/>
      <c r="BE331" s="57"/>
      <c r="BF331" s="2">
        <f t="shared" si="472"/>
        <v>325</v>
      </c>
    </row>
    <row r="332" spans="1:58" ht="11.25" hidden="1" customHeight="1" outlineLevel="2">
      <c r="A332" s="11"/>
      <c r="B332" s="59" t="s">
        <v>777</v>
      </c>
      <c r="C332" s="182"/>
      <c r="D332" s="182"/>
      <c r="E332" s="307"/>
      <c r="F332" s="307"/>
      <c r="G332" s="307"/>
      <c r="H332" s="37" t="str">
        <f>INDEX($N332:$AX332,1,MATCH(H$5,$N$5:$AX$5,0))</f>
        <v>N</v>
      </c>
      <c r="I332" s="37" t="str">
        <f t="shared" si="470"/>
        <v>N</v>
      </c>
      <c r="J332" s="37" t="str">
        <f t="shared" si="470"/>
        <v>N</v>
      </c>
      <c r="K332" s="37" t="str">
        <f t="shared" si="470"/>
        <v>N</v>
      </c>
      <c r="L332" s="55"/>
      <c r="M332" s="3"/>
      <c r="N332" s="182"/>
      <c r="O332" s="182"/>
      <c r="P332" s="182"/>
      <c r="Q332" s="182"/>
      <c r="R332" s="182"/>
      <c r="S332" s="182"/>
      <c r="T332" s="182"/>
      <c r="U332" s="182"/>
      <c r="V332" s="182"/>
      <c r="W332" s="182"/>
      <c r="X332" s="182"/>
      <c r="Y332" s="182"/>
      <c r="Z332" s="182"/>
      <c r="AA332" s="182"/>
      <c r="AB332" s="182"/>
      <c r="AC332" s="182"/>
      <c r="AD332" s="182"/>
      <c r="AE332" s="182"/>
      <c r="AF332" s="182"/>
      <c r="AG332" s="182"/>
      <c r="AH332" s="182"/>
      <c r="AI332" s="182"/>
      <c r="AJ332" s="62" t="str">
        <f t="shared" ref="AJ332:AW332" si="473">IF(AJ330&lt;=AJ331,"Y","N")</f>
        <v>N</v>
      </c>
      <c r="AK332" s="62" t="str">
        <f t="shared" si="473"/>
        <v>N</v>
      </c>
      <c r="AL332" s="62" t="str">
        <f t="shared" si="473"/>
        <v>N</v>
      </c>
      <c r="AM332" s="62" t="str">
        <f t="shared" si="473"/>
        <v>N</v>
      </c>
      <c r="AN332" s="62" t="str">
        <f t="shared" si="473"/>
        <v>N</v>
      </c>
      <c r="AO332" s="62" t="str">
        <f t="shared" si="473"/>
        <v>N</v>
      </c>
      <c r="AP332" s="62" t="str">
        <f t="shared" si="473"/>
        <v>N</v>
      </c>
      <c r="AQ332" s="62" t="str">
        <f t="shared" si="473"/>
        <v>N</v>
      </c>
      <c r="AR332" s="62" t="str">
        <f t="shared" si="473"/>
        <v>N</v>
      </c>
      <c r="AS332" s="62" t="str">
        <f t="shared" si="473"/>
        <v>N</v>
      </c>
      <c r="AT332" s="62" t="str">
        <f t="shared" si="473"/>
        <v>N</v>
      </c>
      <c r="AU332" s="62" t="str">
        <f t="shared" si="473"/>
        <v>N</v>
      </c>
      <c r="AV332" s="62" t="str">
        <f t="shared" si="473"/>
        <v>N</v>
      </c>
      <c r="AW332" s="62" t="str">
        <f t="shared" si="473"/>
        <v>N</v>
      </c>
      <c r="AX332" s="57"/>
      <c r="AY332" s="57"/>
      <c r="AZ332" s="57"/>
      <c r="BA332" s="57"/>
      <c r="BB332" s="57"/>
      <c r="BC332" s="57"/>
      <c r="BD332" s="57"/>
      <c r="BE332" s="57"/>
      <c r="BF332" s="2">
        <f t="shared" si="472"/>
        <v>326</v>
      </c>
    </row>
    <row r="333" spans="1:58" ht="11.25" hidden="1" customHeight="1" outlineLevel="2">
      <c r="A333" s="11"/>
      <c r="B333" s="59"/>
      <c r="C333" s="3"/>
      <c r="D333" s="3"/>
      <c r="E333" s="3"/>
      <c r="F333" s="3"/>
      <c r="G333" s="3"/>
      <c r="H333" s="3"/>
      <c r="I333" s="3"/>
      <c r="J333" s="3"/>
      <c r="K333" s="3"/>
      <c r="L333" s="55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57"/>
      <c r="AY333" s="57"/>
      <c r="AZ333" s="57"/>
      <c r="BA333" s="57"/>
      <c r="BB333" s="57"/>
      <c r="BC333" s="57"/>
      <c r="BD333" s="57"/>
      <c r="BE333" s="57"/>
      <c r="BF333" s="2">
        <f t="shared" si="472"/>
        <v>327</v>
      </c>
    </row>
    <row r="334" spans="1:58" ht="11.25" hidden="1" customHeight="1" outlineLevel="2">
      <c r="A334" s="11"/>
      <c r="B334" s="59" t="s">
        <v>778</v>
      </c>
      <c r="C334" s="306">
        <f t="shared" ref="C334:K334" si="474">(C338+C339)/(C340+C341+C342)</f>
        <v>0.32324630589447195</v>
      </c>
      <c r="D334" s="306">
        <f t="shared" si="474"/>
        <v>2.2105636790206828</v>
      </c>
      <c r="E334" s="306">
        <f t="shared" si="474"/>
        <v>2.4176064276942517</v>
      </c>
      <c r="F334" s="306">
        <f t="shared" si="474"/>
        <v>1.1315892229597817</v>
      </c>
      <c r="G334" s="306">
        <f t="shared" si="474"/>
        <v>1.4824158526855985E-2</v>
      </c>
      <c r="H334" s="304">
        <f t="shared" si="474"/>
        <v>0.53780774658930552</v>
      </c>
      <c r="I334" s="304">
        <f t="shared" si="474"/>
        <v>1.6478511471822828</v>
      </c>
      <c r="J334" s="304">
        <f t="shared" si="474"/>
        <v>3.1107585188602238</v>
      </c>
      <c r="K334" s="304">
        <f t="shared" si="474"/>
        <v>2.6450507607226985</v>
      </c>
      <c r="L334" s="55"/>
      <c r="M334" s="3"/>
      <c r="N334" s="306">
        <f>(N338+N339)/(N340+N341+N342)</f>
        <v>-0.23071962697950107</v>
      </c>
      <c r="O334" s="306">
        <f>(O338+O339)/(O340+O341+O342)</f>
        <v>0.58369709887286947</v>
      </c>
      <c r="P334" s="306">
        <f>(P338+P339)/(P340+P341+P342)</f>
        <v>-9.9582022148021102E-2</v>
      </c>
      <c r="Q334" s="306">
        <f>(Q338+Q339)/(Q340+Q341+Q342)</f>
        <v>1.0608201265013151</v>
      </c>
      <c r="R334" s="306">
        <f t="shared" ref="R334:AW334" si="475">(R338+R339)/(R340+R341+R342)</f>
        <v>1.895700894300183</v>
      </c>
      <c r="S334" s="306">
        <f t="shared" si="475"/>
        <v>1.751748355801565</v>
      </c>
      <c r="T334" s="306">
        <f t="shared" si="475"/>
        <v>2.7734997392414629</v>
      </c>
      <c r="U334" s="306">
        <f t="shared" si="475"/>
        <v>2.6728340811323372</v>
      </c>
      <c r="V334" s="306">
        <f t="shared" si="475"/>
        <v>2.1515281610957784</v>
      </c>
      <c r="W334" s="306">
        <f t="shared" si="475"/>
        <v>2.337554585152839</v>
      </c>
      <c r="X334" s="306">
        <f t="shared" si="475"/>
        <v>2.9538288137185185</v>
      </c>
      <c r="Y334" s="306">
        <f t="shared" si="475"/>
        <v>2.0837820442379251</v>
      </c>
      <c r="Z334" s="306">
        <f t="shared" si="475"/>
        <v>2.945236761601103</v>
      </c>
      <c r="AA334" s="306">
        <f t="shared" si="475"/>
        <v>0.62638877945000393</v>
      </c>
      <c r="AB334" s="306">
        <f t="shared" si="475"/>
        <v>-2.6611263371939621E-2</v>
      </c>
      <c r="AC334" s="306">
        <f t="shared" si="475"/>
        <v>1.0140203026240195</v>
      </c>
      <c r="AD334" s="306">
        <f t="shared" si="475"/>
        <v>0.53377299840376402</v>
      </c>
      <c r="AE334" s="306">
        <f t="shared" si="475"/>
        <v>0.20296289783717236</v>
      </c>
      <c r="AF334" s="306">
        <f t="shared" si="475"/>
        <v>-0.43346653805521118</v>
      </c>
      <c r="AG334" s="306">
        <f t="shared" si="475"/>
        <v>-0.26656842277620885</v>
      </c>
      <c r="AH334" s="306">
        <f t="shared" si="475"/>
        <v>-0.29030927835051551</v>
      </c>
      <c r="AI334" s="306">
        <f t="shared" si="475"/>
        <v>0.66142373462478099</v>
      </c>
      <c r="AJ334" s="304">
        <f t="shared" si="475"/>
        <v>0.86474072802197788</v>
      </c>
      <c r="AK334" s="304">
        <f t="shared" si="475"/>
        <v>0.85729256334443782</v>
      </c>
      <c r="AL334" s="304">
        <f t="shared" si="475"/>
        <v>0.36827420210525097</v>
      </c>
      <c r="AM334" s="304">
        <f t="shared" si="475"/>
        <v>1.1026286670432524</v>
      </c>
      <c r="AN334" s="304">
        <f t="shared" si="475"/>
        <v>2.3340057336618227</v>
      </c>
      <c r="AO334" s="304">
        <f t="shared" si="475"/>
        <v>2.7864959859188048</v>
      </c>
      <c r="AP334" s="304">
        <f t="shared" si="475"/>
        <v>2.9701269834765038</v>
      </c>
      <c r="AQ334" s="304">
        <f t="shared" si="475"/>
        <v>3.0788281561684752</v>
      </c>
      <c r="AR334" s="304">
        <f t="shared" si="475"/>
        <v>3.1391047863960608</v>
      </c>
      <c r="AS334" s="304">
        <f t="shared" si="475"/>
        <v>3.1961650197922573</v>
      </c>
      <c r="AT334" s="304">
        <f t="shared" si="475"/>
        <v>2.6208901641450768</v>
      </c>
      <c r="AU334" s="304">
        <f t="shared" si="475"/>
        <v>2.6366802893207657</v>
      </c>
      <c r="AV334" s="304">
        <f t="shared" si="475"/>
        <v>2.6527750375530288</v>
      </c>
      <c r="AW334" s="304">
        <f t="shared" si="475"/>
        <v>2.6691479728194669</v>
      </c>
      <c r="AX334" s="57"/>
      <c r="AY334" s="57"/>
      <c r="AZ334" s="57"/>
      <c r="BA334" s="57"/>
      <c r="BB334" s="57"/>
      <c r="BC334" s="57"/>
      <c r="BD334" s="57"/>
      <c r="BE334" s="57"/>
      <c r="BF334" s="2">
        <f t="shared" si="472"/>
        <v>328</v>
      </c>
    </row>
    <row r="335" spans="1:58" ht="11.25" hidden="1" customHeight="1" outlineLevel="2">
      <c r="A335" s="11"/>
      <c r="B335" s="59" t="s">
        <v>784</v>
      </c>
      <c r="C335" s="182"/>
      <c r="D335" s="182"/>
      <c r="E335" s="182"/>
      <c r="F335" s="182"/>
      <c r="G335" s="182"/>
      <c r="H335" s="3"/>
      <c r="I335" s="3"/>
      <c r="J335" s="3"/>
      <c r="K335" s="3"/>
      <c r="L335" s="55"/>
      <c r="M335" s="3"/>
      <c r="N335" s="182"/>
      <c r="O335" s="182"/>
      <c r="P335" s="182"/>
      <c r="Q335" s="182"/>
      <c r="R335" s="182"/>
      <c r="S335" s="182"/>
      <c r="T335" s="182"/>
      <c r="U335" s="182"/>
      <c r="V335" s="182"/>
      <c r="W335" s="182"/>
      <c r="X335" s="182"/>
      <c r="Y335" s="182"/>
      <c r="Z335" s="182"/>
      <c r="AA335" s="182"/>
      <c r="AB335" s="182"/>
      <c r="AC335" s="182"/>
      <c r="AD335" s="182"/>
      <c r="AE335" s="182"/>
      <c r="AF335" s="182"/>
      <c r="AG335" s="182"/>
      <c r="AH335" s="182"/>
      <c r="AI335" s="182"/>
      <c r="AJ335" s="305">
        <v>1</v>
      </c>
      <c r="AK335" s="305">
        <v>1</v>
      </c>
      <c r="AL335" s="305">
        <v>1</v>
      </c>
      <c r="AM335" s="305">
        <v>1</v>
      </c>
      <c r="AN335" s="305">
        <v>1</v>
      </c>
      <c r="AO335" s="305">
        <v>1</v>
      </c>
      <c r="AP335" s="305">
        <v>1</v>
      </c>
      <c r="AQ335" s="305">
        <v>1</v>
      </c>
      <c r="AR335" s="305">
        <v>1</v>
      </c>
      <c r="AS335" s="305">
        <v>1</v>
      </c>
      <c r="AT335" s="305">
        <v>1</v>
      </c>
      <c r="AU335" s="305">
        <v>1</v>
      </c>
      <c r="AV335" s="305">
        <v>1</v>
      </c>
      <c r="AW335" s="305">
        <v>1</v>
      </c>
      <c r="AX335" s="57"/>
      <c r="AY335" s="57"/>
      <c r="AZ335" s="57"/>
      <c r="BA335" s="57"/>
      <c r="BB335" s="57"/>
      <c r="BC335" s="57"/>
      <c r="BD335" s="57"/>
      <c r="BE335" s="57"/>
      <c r="BF335" s="2">
        <f t="shared" si="472"/>
        <v>329</v>
      </c>
    </row>
    <row r="336" spans="1:58" ht="11.25" hidden="1" customHeight="1" outlineLevel="2">
      <c r="A336" s="11"/>
      <c r="B336" s="59"/>
      <c r="C336" s="3"/>
      <c r="D336" s="3"/>
      <c r="E336" s="3"/>
      <c r="F336" s="3"/>
      <c r="G336" s="3"/>
      <c r="H336" s="3"/>
      <c r="I336" s="3"/>
      <c r="J336" s="3"/>
      <c r="K336" s="3"/>
      <c r="L336" s="55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04"/>
      <c r="AK336" s="304"/>
      <c r="AL336" s="304"/>
      <c r="AM336" s="304"/>
      <c r="AN336" s="304"/>
      <c r="AO336" s="304"/>
      <c r="AP336" s="304"/>
      <c r="AQ336" s="304"/>
      <c r="AR336" s="304"/>
      <c r="AS336" s="304"/>
      <c r="AT336" s="304"/>
      <c r="AU336" s="304"/>
      <c r="AV336" s="304"/>
      <c r="AW336" s="304"/>
      <c r="AX336" s="57"/>
      <c r="AY336" s="57"/>
      <c r="AZ336" s="57"/>
      <c r="BA336" s="57"/>
      <c r="BB336" s="57"/>
      <c r="BC336" s="57"/>
      <c r="BD336" s="57"/>
      <c r="BE336" s="57"/>
      <c r="BF336" s="2">
        <f t="shared" si="472"/>
        <v>330</v>
      </c>
    </row>
    <row r="337" spans="1:58" ht="11.25" hidden="1" customHeight="1" outlineLevel="2">
      <c r="A337" s="11"/>
      <c r="B337" s="59" t="s">
        <v>783</v>
      </c>
      <c r="C337" s="3"/>
      <c r="D337" s="3"/>
      <c r="E337" s="3"/>
      <c r="F337" s="3"/>
      <c r="G337" s="3"/>
      <c r="H337" s="3"/>
      <c r="I337" s="3"/>
      <c r="J337" s="3"/>
      <c r="K337" s="3"/>
      <c r="L337" s="55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04"/>
      <c r="AK337" s="304"/>
      <c r="AL337" s="304"/>
      <c r="AM337" s="304"/>
      <c r="AN337" s="304"/>
      <c r="AO337" s="304"/>
      <c r="AP337" s="304"/>
      <c r="AQ337" s="304"/>
      <c r="AR337" s="304"/>
      <c r="AS337" s="304"/>
      <c r="AT337" s="304"/>
      <c r="AU337" s="304"/>
      <c r="AV337" s="304"/>
      <c r="AW337" s="304"/>
      <c r="AX337" s="57"/>
      <c r="AY337" s="57"/>
      <c r="AZ337" s="57"/>
      <c r="BA337" s="57"/>
      <c r="BB337" s="57"/>
      <c r="BC337" s="57"/>
      <c r="BD337" s="57"/>
      <c r="BE337" s="57"/>
      <c r="BF337" s="2">
        <f t="shared" si="472"/>
        <v>331</v>
      </c>
    </row>
    <row r="338" spans="1:58" ht="11.25" hidden="1" customHeight="1" outlineLevel="2">
      <c r="A338" s="11"/>
      <c r="B338" s="60" t="s">
        <v>24</v>
      </c>
      <c r="C338" s="51">
        <f t="shared" ref="C338:K338" si="476">C23+C172</f>
        <v>1252.3729999999998</v>
      </c>
      <c r="D338" s="51">
        <f t="shared" si="476"/>
        <v>1119.6400000000001</v>
      </c>
      <c r="E338" s="51">
        <f t="shared" si="476"/>
        <v>1240.1660000000002</v>
      </c>
      <c r="F338" s="51">
        <f t="shared" si="476"/>
        <v>468.35</v>
      </c>
      <c r="G338" s="51">
        <f t="shared" si="476"/>
        <v>81.923000000000002</v>
      </c>
      <c r="H338" s="51">
        <f t="shared" si="476"/>
        <v>216.37700000000001</v>
      </c>
      <c r="I338" s="51">
        <f t="shared" si="476"/>
        <v>397.91300024382508</v>
      </c>
      <c r="J338" s="51">
        <f t="shared" si="476"/>
        <v>551.20731860583123</v>
      </c>
      <c r="K338" s="51">
        <f t="shared" si="476"/>
        <v>583.08046350928976</v>
      </c>
      <c r="L338" s="55"/>
      <c r="M338" s="3"/>
      <c r="N338" s="51">
        <f t="shared" ref="N338:AW338" si="477">N23+N172</f>
        <v>254.64000000000001</v>
      </c>
      <c r="O338" s="51">
        <f t="shared" si="477"/>
        <v>377.65</v>
      </c>
      <c r="P338" s="51">
        <f t="shared" si="477"/>
        <v>321.71900000000005</v>
      </c>
      <c r="Q338" s="51">
        <f t="shared" si="477"/>
        <v>298.36400000000003</v>
      </c>
      <c r="R338" s="51">
        <f t="shared" si="477"/>
        <v>280.87299999999999</v>
      </c>
      <c r="S338" s="51">
        <f t="shared" si="477"/>
        <v>294.721</v>
      </c>
      <c r="T338" s="51">
        <f t="shared" si="477"/>
        <v>286.34899999999999</v>
      </c>
      <c r="U338" s="51">
        <f t="shared" si="477"/>
        <v>257.697</v>
      </c>
      <c r="V338" s="51">
        <f t="shared" si="477"/>
        <v>265.01</v>
      </c>
      <c r="W338" s="51">
        <f t="shared" si="477"/>
        <v>321.40800000000002</v>
      </c>
      <c r="X338" s="51">
        <f t="shared" si="477"/>
        <v>343.25600000000003</v>
      </c>
      <c r="Y338" s="51">
        <f t="shared" si="477"/>
        <v>310.49200000000002</v>
      </c>
      <c r="Z338" s="51">
        <f t="shared" si="477"/>
        <v>195.84299999999999</v>
      </c>
      <c r="AA338" s="51">
        <f t="shared" si="477"/>
        <v>128.71700000000001</v>
      </c>
      <c r="AB338" s="51">
        <f t="shared" si="477"/>
        <v>78.000999999999991</v>
      </c>
      <c r="AC338" s="51">
        <f t="shared" si="477"/>
        <v>65.789000000000016</v>
      </c>
      <c r="AD338" s="51">
        <f t="shared" si="477"/>
        <v>50.722000000000008</v>
      </c>
      <c r="AE338" s="51">
        <f t="shared" si="477"/>
        <v>34.003999999999998</v>
      </c>
      <c r="AF338" s="51">
        <f t="shared" si="477"/>
        <v>-2.768000000000006</v>
      </c>
      <c r="AG338" s="51">
        <f t="shared" si="477"/>
        <v>-3.5000000000001918E-2</v>
      </c>
      <c r="AH338" s="51">
        <f t="shared" si="477"/>
        <v>14.147999999999998</v>
      </c>
      <c r="AI338" s="51">
        <f t="shared" si="477"/>
        <v>50.894000000000013</v>
      </c>
      <c r="AJ338" s="51">
        <f t="shared" si="477"/>
        <v>73.131</v>
      </c>
      <c r="AK338" s="51">
        <f t="shared" si="477"/>
        <v>78.204000000000008</v>
      </c>
      <c r="AL338" s="51">
        <f t="shared" si="477"/>
        <v>72.792789200000001</v>
      </c>
      <c r="AM338" s="51">
        <f t="shared" si="477"/>
        <v>89.319214744000007</v>
      </c>
      <c r="AN338" s="51">
        <f t="shared" si="477"/>
        <v>112.67411809325</v>
      </c>
      <c r="AO338" s="51">
        <f t="shared" si="477"/>
        <v>123.12687820657504</v>
      </c>
      <c r="AP338" s="51">
        <f t="shared" si="477"/>
        <v>131.38297526115076</v>
      </c>
      <c r="AQ338" s="51">
        <f t="shared" si="477"/>
        <v>135.56347274086335</v>
      </c>
      <c r="AR338" s="51">
        <f t="shared" si="477"/>
        <v>139.89064861262926</v>
      </c>
      <c r="AS338" s="51">
        <f t="shared" si="477"/>
        <v>144.37022199118795</v>
      </c>
      <c r="AT338" s="51">
        <f t="shared" si="477"/>
        <v>144.93255196796093</v>
      </c>
      <c r="AU338" s="51">
        <f t="shared" si="477"/>
        <v>145.47884667346133</v>
      </c>
      <c r="AV338" s="51">
        <f t="shared" si="477"/>
        <v>146.04310786903631</v>
      </c>
      <c r="AW338" s="51">
        <f t="shared" si="477"/>
        <v>146.62595699883113</v>
      </c>
      <c r="AX338" s="57"/>
      <c r="AY338" s="57"/>
      <c r="AZ338" s="57"/>
      <c r="BA338" s="57"/>
      <c r="BB338" s="57"/>
      <c r="BC338" s="57"/>
      <c r="BD338" s="57"/>
      <c r="BE338" s="57"/>
      <c r="BF338" s="2">
        <f t="shared" si="472"/>
        <v>332</v>
      </c>
    </row>
    <row r="339" spans="1:58" ht="11.25" hidden="1" customHeight="1" outlineLevel="2">
      <c r="A339" s="11"/>
      <c r="B339" s="60" t="s">
        <v>779</v>
      </c>
      <c r="C339" s="51">
        <f t="shared" ref="C339:K339" si="478">C180</f>
        <v>-1141.922</v>
      </c>
      <c r="D339" s="51">
        <f t="shared" si="478"/>
        <v>-608.96</v>
      </c>
      <c r="E339" s="51">
        <f t="shared" si="478"/>
        <v>-616.10199999999998</v>
      </c>
      <c r="F339" s="51">
        <f t="shared" si="478"/>
        <v>-358.226</v>
      </c>
      <c r="G339" s="51">
        <f t="shared" si="478"/>
        <v>-80.548000000000002</v>
      </c>
      <c r="H339" s="51">
        <f t="shared" si="478"/>
        <v>-164.93299999999999</v>
      </c>
      <c r="I339" s="51">
        <f t="shared" si="478"/>
        <v>-224.98548718441447</v>
      </c>
      <c r="J339" s="51">
        <f t="shared" si="478"/>
        <v>-205.8362579226669</v>
      </c>
      <c r="K339" s="51">
        <f t="shared" si="478"/>
        <v>-258.59111420023208</v>
      </c>
      <c r="L339" s="55"/>
      <c r="M339" s="3"/>
      <c r="N339" s="51">
        <f>N180</f>
        <v>-273.245</v>
      </c>
      <c r="O339" s="51">
        <f>O180</f>
        <v>-314.93700000000001</v>
      </c>
      <c r="P339" s="51">
        <f>P180</f>
        <v>-330.01</v>
      </c>
      <c r="Q339" s="51">
        <f>Q180</f>
        <v>-223.73000000000002</v>
      </c>
      <c r="R339" s="51">
        <f t="shared" ref="R339:AW339" si="479">R180</f>
        <v>-157.715</v>
      </c>
      <c r="S339" s="51">
        <f t="shared" si="479"/>
        <v>-176.99300000000002</v>
      </c>
      <c r="T339" s="51">
        <f t="shared" si="479"/>
        <v>-132.12299999999996</v>
      </c>
      <c r="U339" s="51">
        <f t="shared" si="479"/>
        <v>-142.12900000000005</v>
      </c>
      <c r="V339" s="51">
        <f t="shared" si="479"/>
        <v>-159.768</v>
      </c>
      <c r="W339" s="51">
        <f t="shared" si="479"/>
        <v>-155.465</v>
      </c>
      <c r="X339" s="51">
        <f t="shared" si="479"/>
        <v>-123.11600000000001</v>
      </c>
      <c r="Y339" s="51">
        <f t="shared" si="479"/>
        <v>-177.75299999999996</v>
      </c>
      <c r="Z339" s="51">
        <f t="shared" si="479"/>
        <v>-127.48699999999999</v>
      </c>
      <c r="AA339" s="51">
        <f t="shared" si="479"/>
        <v>-112.81800000000001</v>
      </c>
      <c r="AB339" s="51">
        <f t="shared" si="479"/>
        <v>-78.603000000000009</v>
      </c>
      <c r="AC339" s="51">
        <f t="shared" si="479"/>
        <v>-39.317999999999984</v>
      </c>
      <c r="AD339" s="51">
        <f t="shared" si="479"/>
        <v>-38.015000000000001</v>
      </c>
      <c r="AE339" s="51">
        <f t="shared" si="479"/>
        <v>-29.387</v>
      </c>
      <c r="AF339" s="51">
        <f t="shared" si="479"/>
        <v>-6.6689999999999969</v>
      </c>
      <c r="AG339" s="51">
        <f t="shared" si="479"/>
        <v>-6.4770000000000039</v>
      </c>
      <c r="AH339" s="51">
        <f t="shared" si="479"/>
        <v>-21.187999999999999</v>
      </c>
      <c r="AI339" s="51">
        <f t="shared" si="479"/>
        <v>-35.460999999999999</v>
      </c>
      <c r="AJ339" s="51">
        <f t="shared" si="479"/>
        <v>-52.986000000000004</v>
      </c>
      <c r="AK339" s="51">
        <f t="shared" si="479"/>
        <v>-55.297999999999988</v>
      </c>
      <c r="AL339" s="51">
        <f t="shared" si="479"/>
        <v>-63.131003</v>
      </c>
      <c r="AM339" s="51">
        <f t="shared" si="479"/>
        <v>-60.391414811062504</v>
      </c>
      <c r="AN339" s="51">
        <f t="shared" si="479"/>
        <v>-51.440764631880448</v>
      </c>
      <c r="AO339" s="51">
        <f t="shared" si="479"/>
        <v>-50.022304741471501</v>
      </c>
      <c r="AP339" s="51">
        <f t="shared" si="479"/>
        <v>-53.460786475851236</v>
      </c>
      <c r="AQ339" s="51">
        <f t="shared" si="479"/>
        <v>-52.130562015260963</v>
      </c>
      <c r="AR339" s="51">
        <f t="shared" si="479"/>
        <v>-50.793320009280194</v>
      </c>
      <c r="AS339" s="51">
        <f t="shared" si="479"/>
        <v>-49.451589422274509</v>
      </c>
      <c r="AT339" s="51">
        <f t="shared" si="479"/>
        <v>-65.601560676118993</v>
      </c>
      <c r="AU339" s="51">
        <f t="shared" si="479"/>
        <v>-64.983176101594992</v>
      </c>
      <c r="AV339" s="51">
        <f t="shared" si="479"/>
        <v>-64.338283940113797</v>
      </c>
      <c r="AW339" s="51">
        <f t="shared" si="479"/>
        <v>-63.668093482404274</v>
      </c>
      <c r="AX339" s="57"/>
      <c r="AY339" s="57"/>
      <c r="AZ339" s="57"/>
      <c r="BA339" s="57"/>
      <c r="BB339" s="57"/>
      <c r="BC339" s="57"/>
      <c r="BD339" s="57"/>
      <c r="BE339" s="57"/>
      <c r="BF339" s="2">
        <f t="shared" si="472"/>
        <v>333</v>
      </c>
    </row>
    <row r="340" spans="1:58" ht="11.25" hidden="1" customHeight="1" outlineLevel="2">
      <c r="A340" s="11"/>
      <c r="B340" s="60" t="s">
        <v>781</v>
      </c>
      <c r="C340" s="51">
        <f t="shared" ref="C340:K340" si="480">-C32</f>
        <v>113.65899999999999</v>
      </c>
      <c r="D340" s="51">
        <f t="shared" si="480"/>
        <v>104.407</v>
      </c>
      <c r="E340" s="51">
        <f t="shared" si="480"/>
        <v>96.733999999999995</v>
      </c>
      <c r="F340" s="51">
        <f t="shared" si="480"/>
        <v>97.317999999999998</v>
      </c>
      <c r="G340" s="51">
        <f t="shared" si="480"/>
        <v>92.754000000000005</v>
      </c>
      <c r="H340" s="51">
        <f t="shared" si="480"/>
        <v>95.654999999999987</v>
      </c>
      <c r="I340" s="51">
        <f t="shared" si="480"/>
        <v>104.941222</v>
      </c>
      <c r="J340" s="51">
        <f t="shared" si="480"/>
        <v>104.941222</v>
      </c>
      <c r="K340" s="51">
        <f t="shared" si="480"/>
        <v>104.941222</v>
      </c>
      <c r="L340" s="55"/>
      <c r="M340" s="3"/>
      <c r="N340" s="51">
        <f t="shared" ref="N340:AW340" si="481">-N32</f>
        <v>29.806000000000001</v>
      </c>
      <c r="O340" s="51">
        <f t="shared" si="481"/>
        <v>30.177</v>
      </c>
      <c r="P340" s="51">
        <f t="shared" si="481"/>
        <v>28.117999999999999</v>
      </c>
      <c r="Q340" s="51">
        <f t="shared" si="481"/>
        <v>25.558</v>
      </c>
      <c r="R340" s="51">
        <f t="shared" si="481"/>
        <v>27.54</v>
      </c>
      <c r="S340" s="51">
        <f t="shared" si="481"/>
        <v>26.942</v>
      </c>
      <c r="T340" s="51">
        <f t="shared" si="481"/>
        <v>24.463999999999999</v>
      </c>
      <c r="U340" s="51">
        <f t="shared" si="481"/>
        <v>25.460999999999999</v>
      </c>
      <c r="V340" s="51">
        <f t="shared" si="481"/>
        <v>23.881</v>
      </c>
      <c r="W340" s="51">
        <f t="shared" si="481"/>
        <v>24.56</v>
      </c>
      <c r="X340" s="51">
        <f t="shared" si="481"/>
        <v>24.169</v>
      </c>
      <c r="Y340" s="51">
        <f t="shared" si="481"/>
        <v>24.123999999999999</v>
      </c>
      <c r="Z340" s="51">
        <f t="shared" si="481"/>
        <v>23.209</v>
      </c>
      <c r="AA340" s="51">
        <f t="shared" si="481"/>
        <v>25.382000000000001</v>
      </c>
      <c r="AB340" s="51">
        <f t="shared" si="481"/>
        <v>22.622</v>
      </c>
      <c r="AC340" s="51">
        <f t="shared" si="481"/>
        <v>26.105</v>
      </c>
      <c r="AD340" s="51">
        <f t="shared" si="481"/>
        <v>23.806000000000001</v>
      </c>
      <c r="AE340" s="51">
        <f t="shared" si="481"/>
        <v>22.748000000000001</v>
      </c>
      <c r="AF340" s="51">
        <f t="shared" si="481"/>
        <v>21.771000000000001</v>
      </c>
      <c r="AG340" s="51">
        <f t="shared" si="481"/>
        <v>24.428999999999998</v>
      </c>
      <c r="AH340" s="51">
        <f t="shared" si="481"/>
        <v>24.25</v>
      </c>
      <c r="AI340" s="51">
        <f t="shared" si="481"/>
        <v>23.332999999999998</v>
      </c>
      <c r="AJ340" s="51">
        <f t="shared" si="481"/>
        <v>23.295999999999999</v>
      </c>
      <c r="AK340" s="51">
        <f t="shared" si="481"/>
        <v>24.776</v>
      </c>
      <c r="AL340" s="51">
        <f t="shared" si="481"/>
        <v>26.235305499999999</v>
      </c>
      <c r="AM340" s="51">
        <f t="shared" si="481"/>
        <v>26.235305499999999</v>
      </c>
      <c r="AN340" s="51">
        <f t="shared" si="481"/>
        <v>26.235305499999999</v>
      </c>
      <c r="AO340" s="51">
        <f t="shared" si="481"/>
        <v>26.235305499999999</v>
      </c>
      <c r="AP340" s="51">
        <f t="shared" si="481"/>
        <v>26.235305499999999</v>
      </c>
      <c r="AQ340" s="51">
        <f t="shared" si="481"/>
        <v>26.235305499999999</v>
      </c>
      <c r="AR340" s="51">
        <f t="shared" si="481"/>
        <v>26.235305499999999</v>
      </c>
      <c r="AS340" s="51">
        <f t="shared" si="481"/>
        <v>26.235305499999999</v>
      </c>
      <c r="AT340" s="51">
        <f t="shared" si="481"/>
        <v>26.235305499999999</v>
      </c>
      <c r="AU340" s="51">
        <f t="shared" si="481"/>
        <v>26.235305499999999</v>
      </c>
      <c r="AV340" s="51">
        <f t="shared" si="481"/>
        <v>26.235305499999999</v>
      </c>
      <c r="AW340" s="51">
        <f t="shared" si="481"/>
        <v>26.235305499999999</v>
      </c>
      <c r="AX340" s="57"/>
      <c r="AY340" s="57"/>
      <c r="AZ340" s="57"/>
      <c r="BA340" s="57"/>
      <c r="BB340" s="57"/>
      <c r="BC340" s="57"/>
      <c r="BD340" s="57"/>
      <c r="BE340" s="57"/>
      <c r="BF340" s="2">
        <f t="shared" si="472"/>
        <v>334</v>
      </c>
    </row>
    <row r="341" spans="1:58" ht="11.25" hidden="1" customHeight="1" outlineLevel="2">
      <c r="A341" s="11"/>
      <c r="B341" s="60" t="s">
        <v>780</v>
      </c>
      <c r="C341" s="40">
        <v>0</v>
      </c>
      <c r="D341" s="40">
        <v>0</v>
      </c>
      <c r="E341" s="40">
        <v>0</v>
      </c>
      <c r="F341" s="40">
        <v>0</v>
      </c>
      <c r="G341" s="40">
        <v>0</v>
      </c>
      <c r="H341" s="40">
        <v>0</v>
      </c>
      <c r="I341" s="40">
        <v>0</v>
      </c>
      <c r="J341" s="40">
        <v>0</v>
      </c>
      <c r="K341" s="40">
        <v>0</v>
      </c>
      <c r="L341" s="55"/>
      <c r="M341" s="3"/>
      <c r="N341" s="40">
        <v>0</v>
      </c>
      <c r="O341" s="40">
        <v>0</v>
      </c>
      <c r="P341" s="40">
        <v>0</v>
      </c>
      <c r="Q341" s="40">
        <v>0</v>
      </c>
      <c r="R341" s="40">
        <v>0</v>
      </c>
      <c r="S341" s="40">
        <v>0</v>
      </c>
      <c r="T341" s="40">
        <v>0</v>
      </c>
      <c r="U341" s="40">
        <v>0</v>
      </c>
      <c r="V341" s="40">
        <v>0</v>
      </c>
      <c r="W341" s="40">
        <v>0</v>
      </c>
      <c r="X341" s="40">
        <v>0</v>
      </c>
      <c r="Y341" s="40">
        <v>0</v>
      </c>
      <c r="Z341" s="40">
        <v>0</v>
      </c>
      <c r="AA341" s="40">
        <v>0</v>
      </c>
      <c r="AB341" s="40">
        <v>0</v>
      </c>
      <c r="AC341" s="40">
        <v>0</v>
      </c>
      <c r="AD341" s="40">
        <v>0</v>
      </c>
      <c r="AE341" s="40">
        <v>0</v>
      </c>
      <c r="AF341" s="40">
        <v>0</v>
      </c>
      <c r="AG341" s="40">
        <v>0</v>
      </c>
      <c r="AH341" s="40">
        <v>0</v>
      </c>
      <c r="AI341" s="40">
        <v>0</v>
      </c>
      <c r="AJ341" s="40">
        <v>0</v>
      </c>
      <c r="AK341" s="51">
        <f t="shared" ref="AK341:AW341" si="482">-AK326</f>
        <v>1.9429999999999836</v>
      </c>
      <c r="AL341" s="51">
        <f t="shared" si="482"/>
        <v>0</v>
      </c>
      <c r="AM341" s="51">
        <f t="shared" si="482"/>
        <v>0</v>
      </c>
      <c r="AN341" s="51">
        <f t="shared" si="482"/>
        <v>0</v>
      </c>
      <c r="AO341" s="51">
        <f t="shared" si="482"/>
        <v>0</v>
      </c>
      <c r="AP341" s="51">
        <f t="shared" si="482"/>
        <v>0</v>
      </c>
      <c r="AQ341" s="51">
        <f t="shared" si="482"/>
        <v>0</v>
      </c>
      <c r="AR341" s="51">
        <f t="shared" si="482"/>
        <v>0</v>
      </c>
      <c r="AS341" s="51">
        <f t="shared" si="482"/>
        <v>0</v>
      </c>
      <c r="AT341" s="51">
        <f t="shared" si="482"/>
        <v>0</v>
      </c>
      <c r="AU341" s="51">
        <f t="shared" si="482"/>
        <v>0</v>
      </c>
      <c r="AV341" s="51">
        <f t="shared" si="482"/>
        <v>0</v>
      </c>
      <c r="AW341" s="51">
        <f t="shared" si="482"/>
        <v>0</v>
      </c>
      <c r="AX341" s="57"/>
      <c r="AY341" s="57"/>
      <c r="AZ341" s="57"/>
      <c r="BA341" s="57"/>
      <c r="BB341" s="57"/>
      <c r="BC341" s="57"/>
      <c r="BD341" s="57"/>
      <c r="BE341" s="57"/>
      <c r="BF341" s="2">
        <f t="shared" si="472"/>
        <v>335</v>
      </c>
    </row>
    <row r="342" spans="1:58" ht="11.25" hidden="1" customHeight="1" outlineLevel="2">
      <c r="A342" s="11"/>
      <c r="B342" s="60" t="s">
        <v>782</v>
      </c>
      <c r="C342" s="51">
        <f t="shared" ref="C342:K342" si="483">-MIN(C35,0)</f>
        <v>228.03400000000002</v>
      </c>
      <c r="D342" s="51">
        <f t="shared" si="483"/>
        <v>126.61099999999999</v>
      </c>
      <c r="E342" s="51">
        <f t="shared" si="483"/>
        <v>161.399</v>
      </c>
      <c r="F342" s="51">
        <f t="shared" si="483"/>
        <v>0</v>
      </c>
      <c r="G342" s="51">
        <f t="shared" si="483"/>
        <v>0</v>
      </c>
      <c r="H342" s="51">
        <f t="shared" si="483"/>
        <v>0</v>
      </c>
      <c r="I342" s="51">
        <f t="shared" si="483"/>
        <v>0</v>
      </c>
      <c r="J342" s="51">
        <f t="shared" si="483"/>
        <v>6.083487436368479</v>
      </c>
      <c r="K342" s="51">
        <f t="shared" si="483"/>
        <v>17.73670695603959</v>
      </c>
      <c r="L342" s="55"/>
      <c r="M342" s="3"/>
      <c r="N342" s="51">
        <f t="shared" ref="N342:AW342" si="484">-MIN(N35,0)</f>
        <v>50.833000000000006</v>
      </c>
      <c r="O342" s="51">
        <f t="shared" si="484"/>
        <v>77.263999999999996</v>
      </c>
      <c r="P342" s="51">
        <f t="shared" si="484"/>
        <v>55.14</v>
      </c>
      <c r="Q342" s="51">
        <f t="shared" si="484"/>
        <v>44.796999999999997</v>
      </c>
      <c r="R342" s="51">
        <f t="shared" si="484"/>
        <v>37.427</v>
      </c>
      <c r="S342" s="51">
        <f t="shared" si="484"/>
        <v>40.264000000000003</v>
      </c>
      <c r="T342" s="51">
        <f t="shared" si="484"/>
        <v>31.143000000000001</v>
      </c>
      <c r="U342" s="51">
        <f t="shared" si="484"/>
        <v>17.776999999999987</v>
      </c>
      <c r="V342" s="51">
        <f t="shared" si="484"/>
        <v>25.033999999999999</v>
      </c>
      <c r="W342" s="51">
        <f t="shared" si="484"/>
        <v>46.43</v>
      </c>
      <c r="X342" s="51">
        <f t="shared" si="484"/>
        <v>50.357999999999997</v>
      </c>
      <c r="Y342" s="51">
        <f t="shared" si="484"/>
        <v>39.576999999999998</v>
      </c>
      <c r="Z342" s="51">
        <f t="shared" si="484"/>
        <v>0</v>
      </c>
      <c r="AA342" s="51">
        <f t="shared" si="484"/>
        <v>0</v>
      </c>
      <c r="AB342" s="51">
        <f t="shared" si="484"/>
        <v>0</v>
      </c>
      <c r="AC342" s="51">
        <f t="shared" si="484"/>
        <v>0</v>
      </c>
      <c r="AD342" s="51">
        <f t="shared" si="484"/>
        <v>0</v>
      </c>
      <c r="AE342" s="51">
        <f t="shared" si="484"/>
        <v>0</v>
      </c>
      <c r="AF342" s="51">
        <f t="shared" si="484"/>
        <v>0</v>
      </c>
      <c r="AG342" s="51">
        <f t="shared" si="484"/>
        <v>0</v>
      </c>
      <c r="AH342" s="51">
        <f t="shared" si="484"/>
        <v>0</v>
      </c>
      <c r="AI342" s="51">
        <f t="shared" si="484"/>
        <v>0</v>
      </c>
      <c r="AJ342" s="51">
        <f t="shared" si="484"/>
        <v>0</v>
      </c>
      <c r="AK342" s="51">
        <f t="shared" si="484"/>
        <v>0</v>
      </c>
      <c r="AL342" s="51">
        <f t="shared" si="484"/>
        <v>0</v>
      </c>
      <c r="AM342" s="51">
        <f t="shared" si="484"/>
        <v>0</v>
      </c>
      <c r="AN342" s="51">
        <f t="shared" si="484"/>
        <v>0</v>
      </c>
      <c r="AO342" s="51">
        <f t="shared" si="484"/>
        <v>0</v>
      </c>
      <c r="AP342" s="51">
        <f t="shared" si="484"/>
        <v>0</v>
      </c>
      <c r="AQ342" s="51">
        <f t="shared" si="484"/>
        <v>0.86361217049206229</v>
      </c>
      <c r="AR342" s="51">
        <f t="shared" si="484"/>
        <v>2.1477319154664056</v>
      </c>
      <c r="AS342" s="51">
        <f t="shared" si="484"/>
        <v>3.4623577874490676</v>
      </c>
      <c r="AT342" s="51">
        <f t="shared" si="484"/>
        <v>4.0334147909624321</v>
      </c>
      <c r="AU342" s="51">
        <f t="shared" si="484"/>
        <v>4.2938682105535877</v>
      </c>
      <c r="AV342" s="51">
        <f t="shared" si="484"/>
        <v>4.5644505186214008</v>
      </c>
      <c r="AW342" s="51">
        <f t="shared" si="484"/>
        <v>4.8449734359021699</v>
      </c>
      <c r="AX342" s="57"/>
      <c r="AY342" s="57"/>
      <c r="AZ342" s="57"/>
      <c r="BA342" s="57"/>
      <c r="BB342" s="57"/>
      <c r="BC342" s="57"/>
      <c r="BD342" s="57"/>
      <c r="BE342" s="57"/>
      <c r="BF342" s="2">
        <f t="shared" si="472"/>
        <v>336</v>
      </c>
    </row>
    <row r="343" spans="1:58" ht="11.25" hidden="1" customHeight="1" outlineLevel="2">
      <c r="A343" s="11"/>
      <c r="B343" s="59"/>
      <c r="C343" s="3"/>
      <c r="D343" s="3"/>
      <c r="E343" s="3"/>
      <c r="F343" s="3"/>
      <c r="G343" s="3"/>
      <c r="H343" s="3"/>
      <c r="I343" s="3"/>
      <c r="J343" s="3"/>
      <c r="K343" s="3"/>
      <c r="L343" s="55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57"/>
      <c r="AY343" s="57"/>
      <c r="AZ343" s="57"/>
      <c r="BA343" s="57"/>
      <c r="BB343" s="57"/>
      <c r="BC343" s="57"/>
      <c r="BD343" s="57"/>
      <c r="BE343" s="57"/>
      <c r="BF343" s="2">
        <f t="shared" si="472"/>
        <v>337</v>
      </c>
    </row>
    <row r="344" spans="1:58" ht="11.25" customHeight="1" outlineLevel="1" collapsed="1">
      <c r="A344" s="11" t="s">
        <v>5</v>
      </c>
      <c r="B344" s="276" t="s">
        <v>789</v>
      </c>
      <c r="C344" s="3"/>
      <c r="D344" s="3"/>
      <c r="E344" s="3"/>
      <c r="F344" s="3"/>
      <c r="G344" s="3"/>
      <c r="H344" s="3"/>
      <c r="I344" s="3"/>
      <c r="J344" s="3"/>
      <c r="K344" s="3"/>
      <c r="L344" s="55"/>
      <c r="M344" s="3"/>
      <c r="N344" s="3"/>
      <c r="O344" s="3"/>
      <c r="P344" s="3"/>
      <c r="Q344" s="3"/>
      <c r="R344" s="3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5"/>
      <c r="AY344" s="5"/>
      <c r="AZ344" s="5"/>
      <c r="BA344" s="5"/>
      <c r="BB344" s="5"/>
      <c r="BC344" s="5"/>
      <c r="BD344" s="5"/>
      <c r="BE344" s="5"/>
      <c r="BF344" s="2">
        <f t="shared" si="472"/>
        <v>338</v>
      </c>
    </row>
    <row r="345" spans="1:58" ht="11.25" hidden="1" customHeight="1" outlineLevel="2">
      <c r="A345" s="50" t="s">
        <v>5</v>
      </c>
      <c r="B345" s="183" t="s">
        <v>9</v>
      </c>
      <c r="C345" s="48"/>
      <c r="D345" s="48"/>
      <c r="E345" s="48"/>
      <c r="F345" s="48"/>
      <c r="G345" s="48"/>
      <c r="H345" s="48"/>
      <c r="I345" s="48"/>
      <c r="J345" s="48"/>
      <c r="K345" s="48"/>
      <c r="L345" s="49"/>
      <c r="M345" s="3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199"/>
      <c r="Z345" s="199"/>
      <c r="AA345" s="199"/>
      <c r="AB345" s="199"/>
      <c r="AC345" s="199"/>
      <c r="AD345" s="199"/>
      <c r="AE345" s="199"/>
      <c r="AF345" s="199"/>
      <c r="AG345" s="199"/>
      <c r="AH345" s="199"/>
      <c r="AI345" s="199"/>
      <c r="AJ345" s="199"/>
      <c r="AK345" s="199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5"/>
      <c r="AY345" s="5"/>
      <c r="AZ345" s="5"/>
      <c r="BA345" s="5"/>
      <c r="BB345" s="5"/>
      <c r="BC345" s="5"/>
      <c r="BD345" s="5"/>
      <c r="BE345" s="5"/>
      <c r="BF345" s="2">
        <f t="shared" si="472"/>
        <v>339</v>
      </c>
    </row>
    <row r="346" spans="1:58" ht="11.25" hidden="1" customHeight="1" outlineLevel="3">
      <c r="A346" s="50"/>
      <c r="B346" s="196" t="s">
        <v>28</v>
      </c>
      <c r="C346" s="48"/>
      <c r="D346" s="48"/>
      <c r="E346" s="48"/>
      <c r="F346" s="48"/>
      <c r="G346" s="48"/>
      <c r="H346" s="48"/>
      <c r="I346" s="48"/>
      <c r="J346" s="48"/>
      <c r="K346" s="48"/>
      <c r="L346" s="49"/>
      <c r="M346" s="3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198"/>
      <c r="Z346" s="198"/>
      <c r="AA346" s="198"/>
      <c r="AB346" s="198"/>
      <c r="AC346" s="198"/>
      <c r="AD346" s="198"/>
      <c r="AE346" s="198"/>
      <c r="AF346" s="198"/>
      <c r="AG346" s="198"/>
      <c r="AH346" s="198"/>
      <c r="AI346" s="198"/>
      <c r="AJ346" s="198"/>
      <c r="AK346" s="198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5"/>
      <c r="AY346" s="5"/>
      <c r="AZ346" s="5"/>
      <c r="BA346" s="5"/>
      <c r="BB346" s="5"/>
      <c r="BC346" s="5"/>
      <c r="BD346" s="5"/>
      <c r="BE346" s="5"/>
      <c r="BF346" s="2">
        <f t="shared" si="472"/>
        <v>340</v>
      </c>
    </row>
    <row r="347" spans="1:58" ht="11.25" hidden="1" customHeight="1" outlineLevel="3">
      <c r="A347" s="52"/>
      <c r="B347" s="188" t="s">
        <v>27</v>
      </c>
      <c r="C347" s="51">
        <f t="shared" ref="C347:E348" si="485">SUMIFS($N347:$AX347,$N$4:$AX$4,C$4)</f>
        <v>775.06600000000003</v>
      </c>
      <c r="D347" s="51">
        <f t="shared" si="485"/>
        <v>838.51400000000001</v>
      </c>
      <c r="E347" s="51">
        <f t="shared" si="485"/>
        <v>923.84899999999993</v>
      </c>
      <c r="F347" s="40">
        <v>583.13900000000001</v>
      </c>
      <c r="G347" s="51">
        <f t="shared" ref="G347:K348" si="486">SUMIFS($N347:$AX347,$N$4:$AX$4,G$4)</f>
        <v>293.53000000000003</v>
      </c>
      <c r="H347" s="51">
        <f t="shared" si="486"/>
        <v>293.69</v>
      </c>
      <c r="I347" s="51">
        <f t="shared" si="486"/>
        <v>331.52487920800007</v>
      </c>
      <c r="J347" s="51">
        <f t="shared" si="486"/>
        <v>360.79458283571864</v>
      </c>
      <c r="K347" s="51">
        <f t="shared" si="486"/>
        <v>381.99659533149884</v>
      </c>
      <c r="L347" s="7"/>
      <c r="M347" s="7"/>
      <c r="N347" s="51">
        <f t="shared" ref="N347:AW347" si="487">+N11</f>
        <v>189.357</v>
      </c>
      <c r="O347" s="51">
        <f t="shared" si="487"/>
        <v>198.15</v>
      </c>
      <c r="P347" s="51">
        <f t="shared" si="487"/>
        <v>194.88200000000001</v>
      </c>
      <c r="Q347" s="51">
        <f t="shared" si="487"/>
        <v>192.67699999999999</v>
      </c>
      <c r="R347" s="51">
        <f t="shared" si="487"/>
        <v>193.97900000000001</v>
      </c>
      <c r="S347" s="51">
        <f t="shared" si="487"/>
        <v>205.422</v>
      </c>
      <c r="T347" s="51">
        <f t="shared" si="487"/>
        <v>215.52199999999999</v>
      </c>
      <c r="U347" s="51">
        <f t="shared" si="487"/>
        <v>223.59100000000001</v>
      </c>
      <c r="V347" s="51">
        <f t="shared" si="487"/>
        <v>220.21</v>
      </c>
      <c r="W347" s="51">
        <f t="shared" si="487"/>
        <v>225.982</v>
      </c>
      <c r="X347" s="51">
        <f t="shared" si="487"/>
        <v>239.20400000000001</v>
      </c>
      <c r="Y347" s="51">
        <f t="shared" si="487"/>
        <v>238.453</v>
      </c>
      <c r="Z347" s="51">
        <f t="shared" si="487"/>
        <v>199.459</v>
      </c>
      <c r="AA347" s="51">
        <f t="shared" si="487"/>
        <v>148.66999999999999</v>
      </c>
      <c r="AB347" s="51">
        <f t="shared" si="487"/>
        <v>130.476</v>
      </c>
      <c r="AC347" s="51">
        <f t="shared" si="487"/>
        <v>111.63800000000001</v>
      </c>
      <c r="AD347" s="51">
        <f t="shared" si="487"/>
        <v>88.4</v>
      </c>
      <c r="AE347" s="51">
        <f t="shared" si="487"/>
        <v>76.2</v>
      </c>
      <c r="AF347" s="51">
        <f t="shared" si="487"/>
        <v>59.6</v>
      </c>
      <c r="AG347" s="51">
        <f t="shared" si="487"/>
        <v>69.33</v>
      </c>
      <c r="AH347" s="51">
        <f t="shared" si="487"/>
        <v>68.430999999999997</v>
      </c>
      <c r="AI347" s="51">
        <f t="shared" si="487"/>
        <v>68.826999999999998</v>
      </c>
      <c r="AJ347" s="51">
        <f t="shared" si="487"/>
        <v>77.206000000000003</v>
      </c>
      <c r="AK347" s="51">
        <f t="shared" si="487"/>
        <v>79.225999999999999</v>
      </c>
      <c r="AL347" s="51">
        <f t="shared" si="487"/>
        <v>79.392880000000005</v>
      </c>
      <c r="AM347" s="51">
        <f t="shared" si="487"/>
        <v>82.359944000000013</v>
      </c>
      <c r="AN347" s="51">
        <f t="shared" si="487"/>
        <v>84.447616400000015</v>
      </c>
      <c r="AO347" s="51">
        <f t="shared" si="487"/>
        <v>85.324438808000025</v>
      </c>
      <c r="AP347" s="51">
        <f t="shared" si="487"/>
        <v>87.229529092160035</v>
      </c>
      <c r="AQ347" s="51">
        <f t="shared" si="487"/>
        <v>89.178679227243222</v>
      </c>
      <c r="AR347" s="51">
        <f t="shared" si="487"/>
        <v>91.172949151625289</v>
      </c>
      <c r="AS347" s="51">
        <f t="shared" si="487"/>
        <v>93.213425364690096</v>
      </c>
      <c r="AT347" s="51">
        <f t="shared" si="487"/>
        <v>94.109611083495494</v>
      </c>
      <c r="AU347" s="51">
        <f t="shared" si="487"/>
        <v>95.023720516677017</v>
      </c>
      <c r="AV347" s="51">
        <f t="shared" si="487"/>
        <v>95.956112138522144</v>
      </c>
      <c r="AW347" s="51">
        <f t="shared" si="487"/>
        <v>96.907151592804183</v>
      </c>
      <c r="AX347" s="53"/>
      <c r="AY347" s="53"/>
      <c r="AZ347" s="53"/>
      <c r="BA347" s="53"/>
      <c r="BB347" s="53"/>
      <c r="BC347" s="53"/>
      <c r="BD347" s="53"/>
      <c r="BE347" s="53"/>
      <c r="BF347" s="2">
        <f t="shared" si="472"/>
        <v>341</v>
      </c>
    </row>
    <row r="348" spans="1:58" ht="11.25" hidden="1" customHeight="1" outlineLevel="3">
      <c r="A348" s="52"/>
      <c r="B348" s="188" t="s">
        <v>26</v>
      </c>
      <c r="C348" s="51">
        <f t="shared" si="485"/>
        <v>-255.85300000000001</v>
      </c>
      <c r="D348" s="51">
        <f t="shared" si="485"/>
        <v>-276.13100000000003</v>
      </c>
      <c r="E348" s="51">
        <f t="shared" si="485"/>
        <v>-290.34100000000001</v>
      </c>
      <c r="F348" s="51">
        <f>SUMIFS($N348:$AX348,$N$4:$AX$4,F$4)</f>
        <v>-196.92099999999999</v>
      </c>
      <c r="G348" s="51">
        <f t="shared" si="486"/>
        <v>-136.71899999999999</v>
      </c>
      <c r="H348" s="51">
        <f t="shared" si="486"/>
        <v>-128.381</v>
      </c>
      <c r="I348" s="51">
        <f t="shared" si="486"/>
        <v>-146.87581320855003</v>
      </c>
      <c r="J348" s="51">
        <f t="shared" si="486"/>
        <v>-156.40430403857187</v>
      </c>
      <c r="K348" s="51">
        <f t="shared" si="486"/>
        <v>-161.4693492901383</v>
      </c>
      <c r="L348" s="7"/>
      <c r="M348" s="7"/>
      <c r="N348" s="40">
        <v>-62.566000000000003</v>
      </c>
      <c r="O348" s="40">
        <v>-66.484999999999999</v>
      </c>
      <c r="P348" s="40">
        <v>-61.959000000000003</v>
      </c>
      <c r="Q348" s="40">
        <f>-255.853-P348-O348-N348</f>
        <v>-64.843000000000004</v>
      </c>
      <c r="R348" s="40">
        <v>-64.644999999999996</v>
      </c>
      <c r="S348" s="40">
        <v>-66.983999999999995</v>
      </c>
      <c r="T348" s="40">
        <v>-73.873000000000005</v>
      </c>
      <c r="U348" s="40">
        <f>-276.131-T348-S348-R348</f>
        <v>-70.629000000000005</v>
      </c>
      <c r="V348" s="40">
        <v>-67.152000000000001</v>
      </c>
      <c r="W348" s="40">
        <v>-72.736999999999995</v>
      </c>
      <c r="X348" s="40">
        <v>-76.277000000000001</v>
      </c>
      <c r="Y348" s="40">
        <f>-290.341-X348-W348-V348</f>
        <v>-74.175000000000026</v>
      </c>
      <c r="Z348" s="40">
        <v>-63.250999999999998</v>
      </c>
      <c r="AA348" s="40">
        <v>-48.783999999999999</v>
      </c>
      <c r="AB348" s="40">
        <v>-44.735999999999997</v>
      </c>
      <c r="AC348" s="40">
        <f>-196.921-AB348-AA348-Z348</f>
        <v>-40.150000000000013</v>
      </c>
      <c r="AD348" s="191">
        <v>-37.533999999999999</v>
      </c>
      <c r="AE348" s="191">
        <v>-34.637</v>
      </c>
      <c r="AF348" s="191">
        <v>-30.137</v>
      </c>
      <c r="AG348" s="191">
        <f>-136.719-AF348-AE348-AD348</f>
        <v>-34.410999999999994</v>
      </c>
      <c r="AH348" s="40">
        <v>-29.15</v>
      </c>
      <c r="AI348" s="40">
        <v>-33.326000000000001</v>
      </c>
      <c r="AJ348" s="40">
        <v>-31.715</v>
      </c>
      <c r="AK348" s="40">
        <f>-128.381-AJ348-AI348-AH348</f>
        <v>-34.19</v>
      </c>
      <c r="AL348" s="68">
        <f t="shared" ref="AL348:AW348" si="488">+AL349-AL347</f>
        <v>-34.819477999999997</v>
      </c>
      <c r="AM348" s="68">
        <f t="shared" si="488"/>
        <v>-36.471553900000004</v>
      </c>
      <c r="AN348" s="68">
        <f t="shared" si="488"/>
        <v>-37.594713215000013</v>
      </c>
      <c r="AO348" s="68">
        <f t="shared" si="488"/>
        <v>-37.990068093550015</v>
      </c>
      <c r="AP348" s="68">
        <f t="shared" si="488"/>
        <v>-38.432882714760211</v>
      </c>
      <c r="AQ348" s="68">
        <f t="shared" si="488"/>
        <v>-38.877359907096995</v>
      </c>
      <c r="AR348" s="68">
        <f t="shared" si="488"/>
        <v>-39.323353199984766</v>
      </c>
      <c r="AS348" s="68">
        <f t="shared" si="488"/>
        <v>-39.770708216729901</v>
      </c>
      <c r="AT348" s="68">
        <f t="shared" si="488"/>
        <v>-40.004634363741218</v>
      </c>
      <c r="AU348" s="68">
        <f t="shared" si="488"/>
        <v>-40.243239033692774</v>
      </c>
      <c r="AV348" s="68">
        <f t="shared" si="488"/>
        <v>-40.486615797043356</v>
      </c>
      <c r="AW348" s="68">
        <f t="shared" si="488"/>
        <v>-40.734860095660949</v>
      </c>
      <c r="AX348" s="130"/>
      <c r="AY348" s="130"/>
      <c r="AZ348" s="130"/>
      <c r="BA348" s="130"/>
      <c r="BB348" s="130"/>
      <c r="BC348" s="130"/>
      <c r="BD348" s="130"/>
      <c r="BE348" s="130"/>
      <c r="BF348" s="2">
        <f t="shared" si="472"/>
        <v>342</v>
      </c>
    </row>
    <row r="349" spans="1:58" ht="11.25" hidden="1" customHeight="1" outlineLevel="3">
      <c r="A349" s="52"/>
      <c r="B349" s="189" t="s">
        <v>166</v>
      </c>
      <c r="C349" s="38">
        <f t="shared" ref="C349:J349" si="489">SUM(C347:C348)</f>
        <v>519.21299999999997</v>
      </c>
      <c r="D349" s="38">
        <f t="shared" si="489"/>
        <v>562.38300000000004</v>
      </c>
      <c r="E349" s="38">
        <f t="shared" si="489"/>
        <v>633.50799999999992</v>
      </c>
      <c r="F349" s="38">
        <f t="shared" si="489"/>
        <v>386.21800000000002</v>
      </c>
      <c r="G349" s="38">
        <f t="shared" si="489"/>
        <v>156.81100000000004</v>
      </c>
      <c r="H349" s="38">
        <f t="shared" si="489"/>
        <v>165.309</v>
      </c>
      <c r="I349" s="38">
        <f t="shared" si="489"/>
        <v>184.64906599945004</v>
      </c>
      <c r="J349" s="38">
        <f t="shared" si="489"/>
        <v>204.39027879714678</v>
      </c>
      <c r="K349" s="38">
        <f>SUM(K347:K348)</f>
        <v>220.52724604136054</v>
      </c>
      <c r="L349" s="27"/>
      <c r="M349" s="27"/>
      <c r="N349" s="38">
        <f t="shared" ref="N349:AK349" si="490">SUM(N347:N348)</f>
        <v>126.791</v>
      </c>
      <c r="O349" s="38">
        <f t="shared" si="490"/>
        <v>131.66500000000002</v>
      </c>
      <c r="P349" s="38">
        <f t="shared" si="490"/>
        <v>132.923</v>
      </c>
      <c r="Q349" s="38">
        <f t="shared" si="490"/>
        <v>127.83399999999999</v>
      </c>
      <c r="R349" s="38">
        <f t="shared" si="490"/>
        <v>129.334</v>
      </c>
      <c r="S349" s="38">
        <f t="shared" si="490"/>
        <v>138.43799999999999</v>
      </c>
      <c r="T349" s="38">
        <f t="shared" si="490"/>
        <v>141.649</v>
      </c>
      <c r="U349" s="38">
        <f t="shared" si="490"/>
        <v>152.96199999999999</v>
      </c>
      <c r="V349" s="38">
        <f t="shared" si="490"/>
        <v>153.05799999999999</v>
      </c>
      <c r="W349" s="38">
        <f t="shared" si="490"/>
        <v>153.245</v>
      </c>
      <c r="X349" s="38">
        <f t="shared" si="490"/>
        <v>162.92700000000002</v>
      </c>
      <c r="Y349" s="38">
        <f t="shared" si="490"/>
        <v>164.27799999999996</v>
      </c>
      <c r="Z349" s="38">
        <f t="shared" si="490"/>
        <v>136.208</v>
      </c>
      <c r="AA349" s="38">
        <f t="shared" si="490"/>
        <v>99.885999999999996</v>
      </c>
      <c r="AB349" s="38">
        <f t="shared" si="490"/>
        <v>85.740000000000009</v>
      </c>
      <c r="AC349" s="38">
        <f t="shared" si="490"/>
        <v>71.488</v>
      </c>
      <c r="AD349" s="38">
        <f t="shared" si="490"/>
        <v>50.866000000000007</v>
      </c>
      <c r="AE349" s="38">
        <f t="shared" si="490"/>
        <v>41.563000000000002</v>
      </c>
      <c r="AF349" s="38">
        <f t="shared" si="490"/>
        <v>29.463000000000001</v>
      </c>
      <c r="AG349" s="38">
        <f t="shared" si="490"/>
        <v>34.919000000000004</v>
      </c>
      <c r="AH349" s="38">
        <f t="shared" si="490"/>
        <v>39.280999999999999</v>
      </c>
      <c r="AI349" s="38">
        <f t="shared" si="490"/>
        <v>35.500999999999998</v>
      </c>
      <c r="AJ349" s="38">
        <f t="shared" si="490"/>
        <v>45.491</v>
      </c>
      <c r="AK349" s="38">
        <f t="shared" si="490"/>
        <v>45.036000000000001</v>
      </c>
      <c r="AL349" s="273">
        <f t="shared" ref="AL349:AW349" si="491">AL351-AL350</f>
        <v>44.573402000000009</v>
      </c>
      <c r="AM349" s="273">
        <f t="shared" si="491"/>
        <v>45.888390100000009</v>
      </c>
      <c r="AN349" s="273">
        <f t="shared" si="491"/>
        <v>46.852903185000002</v>
      </c>
      <c r="AO349" s="273">
        <f t="shared" si="491"/>
        <v>47.33437071445001</v>
      </c>
      <c r="AP349" s="273">
        <f t="shared" si="491"/>
        <v>48.796646377399824</v>
      </c>
      <c r="AQ349" s="273">
        <f t="shared" si="491"/>
        <v>50.301319320146227</v>
      </c>
      <c r="AR349" s="273">
        <f t="shared" si="491"/>
        <v>51.849595951640524</v>
      </c>
      <c r="AS349" s="273">
        <f t="shared" si="491"/>
        <v>53.442717147960195</v>
      </c>
      <c r="AT349" s="273">
        <f t="shared" si="491"/>
        <v>54.104976719754276</v>
      </c>
      <c r="AU349" s="273">
        <f t="shared" si="491"/>
        <v>54.780481482984243</v>
      </c>
      <c r="AV349" s="273">
        <f t="shared" si="491"/>
        <v>55.469496341478788</v>
      </c>
      <c r="AW349" s="273">
        <f t="shared" si="491"/>
        <v>56.172291497143235</v>
      </c>
      <c r="AX349" s="192"/>
      <c r="AY349" s="192"/>
      <c r="AZ349" s="192"/>
      <c r="BA349" s="192"/>
      <c r="BB349" s="192"/>
      <c r="BC349" s="192"/>
      <c r="BD349" s="192"/>
      <c r="BE349" s="192"/>
      <c r="BF349" s="2">
        <f t="shared" si="472"/>
        <v>343</v>
      </c>
    </row>
    <row r="350" spans="1:58" ht="11.25" hidden="1" customHeight="1" outlineLevel="3">
      <c r="A350" s="52"/>
      <c r="B350" s="188" t="s">
        <v>25</v>
      </c>
      <c r="C350" s="51">
        <f t="shared" ref="C350:K350" si="492">SUMIFS($N350:$AX350,$N$4:$AX$4,C$4)</f>
        <v>-131.798</v>
      </c>
      <c r="D350" s="51">
        <f t="shared" si="492"/>
        <v>-142.85</v>
      </c>
      <c r="E350" s="51">
        <f t="shared" si="492"/>
        <v>-155.60599999999999</v>
      </c>
      <c r="F350" s="51">
        <f t="shared" si="492"/>
        <v>-127.52500000000001</v>
      </c>
      <c r="G350" s="51">
        <f t="shared" si="492"/>
        <v>-89.573999999999998</v>
      </c>
      <c r="H350" s="51">
        <f t="shared" si="492"/>
        <v>-51.265000000000001</v>
      </c>
      <c r="I350" s="51">
        <f t="shared" si="492"/>
        <v>-52.03911431625</v>
      </c>
      <c r="J350" s="51">
        <f t="shared" si="492"/>
        <v>-55.512648480557885</v>
      </c>
      <c r="K350" s="51">
        <f t="shared" si="492"/>
        <v>-60.088676002131002</v>
      </c>
      <c r="L350" s="7"/>
      <c r="M350" s="7"/>
      <c r="N350" s="40">
        <v>-33.402000000000001</v>
      </c>
      <c r="O350" s="40">
        <v>-35.093000000000004</v>
      </c>
      <c r="P350" s="40">
        <v>-32.380000000000003</v>
      </c>
      <c r="Q350" s="40">
        <f>-131.798-P350-O350-N350</f>
        <v>-30.923000000000002</v>
      </c>
      <c r="R350" s="40">
        <v>-31.795999999999999</v>
      </c>
      <c r="S350" s="40">
        <v>-36.341999999999999</v>
      </c>
      <c r="T350" s="40">
        <v>-35.863999999999997</v>
      </c>
      <c r="U350" s="40">
        <f>-142.85-T350-S350-R350</f>
        <v>-38.847999999999992</v>
      </c>
      <c r="V350" s="40">
        <v>-41.16</v>
      </c>
      <c r="W350" s="40">
        <v>-38.953000000000003</v>
      </c>
      <c r="X350" s="40">
        <v>-36.912999999999997</v>
      </c>
      <c r="Y350" s="40">
        <f>-155.606-X350-W350-V350</f>
        <v>-38.58</v>
      </c>
      <c r="Z350" s="40">
        <v>-39.96</v>
      </c>
      <c r="AA350" s="40">
        <v>-31.129000000000001</v>
      </c>
      <c r="AB350" s="40">
        <v>-30.465</v>
      </c>
      <c r="AC350" s="40">
        <f>-127.525-AB350-AA350-Z350</f>
        <v>-25.970999999999997</v>
      </c>
      <c r="AD350" s="191">
        <v>-28.547000000000001</v>
      </c>
      <c r="AE350" s="191">
        <v>-25.259</v>
      </c>
      <c r="AF350" s="191">
        <v>-23.167999999999999</v>
      </c>
      <c r="AG350" s="191">
        <f>-89.574-AF350-AE350-AD350</f>
        <v>-12.600000000000005</v>
      </c>
      <c r="AH350" s="337">
        <f t="shared" ref="AH350:AJ350" si="493">-51.265/4</f>
        <v>-12.81625</v>
      </c>
      <c r="AI350" s="337">
        <f t="shared" si="493"/>
        <v>-12.81625</v>
      </c>
      <c r="AJ350" s="337">
        <f t="shared" si="493"/>
        <v>-12.81625</v>
      </c>
      <c r="AK350" s="337">
        <f>-51.265/4</f>
        <v>-12.81625</v>
      </c>
      <c r="AL350" s="40">
        <f>AVERAGE(AH350:AJ350)</f>
        <v>-12.816250000000002</v>
      </c>
      <c r="AM350" s="40">
        <f t="shared" ref="AM350:AW350" si="494">+AL350/AL$147*AM$147</f>
        <v>-12.944412500000002</v>
      </c>
      <c r="AN350" s="40">
        <f t="shared" si="494"/>
        <v>-13.073856625000001</v>
      </c>
      <c r="AO350" s="40">
        <f t="shared" si="494"/>
        <v>-13.204595191250002</v>
      </c>
      <c r="AP350" s="40">
        <f t="shared" si="494"/>
        <v>-13.468687095075001</v>
      </c>
      <c r="AQ350" s="40">
        <f t="shared" si="494"/>
        <v>-13.738060836976503</v>
      </c>
      <c r="AR350" s="40">
        <f t="shared" si="494"/>
        <v>-14.012822053716032</v>
      </c>
      <c r="AS350" s="40">
        <f t="shared" si="494"/>
        <v>-14.293078494790354</v>
      </c>
      <c r="AT350" s="40">
        <f t="shared" si="494"/>
        <v>-14.578940064686162</v>
      </c>
      <c r="AU350" s="40">
        <f t="shared" si="494"/>
        <v>-14.870518865979886</v>
      </c>
      <c r="AV350" s="40">
        <f t="shared" si="494"/>
        <v>-15.167929243299483</v>
      </c>
      <c r="AW350" s="40">
        <f t="shared" si="494"/>
        <v>-15.471287828165472</v>
      </c>
      <c r="AX350" s="129"/>
      <c r="AY350" s="129"/>
      <c r="AZ350" s="129"/>
      <c r="BA350" s="129"/>
      <c r="BB350" s="129"/>
      <c r="BC350" s="129"/>
      <c r="BD350" s="129"/>
      <c r="BE350" s="129"/>
      <c r="BF350" s="2">
        <f t="shared" si="472"/>
        <v>344</v>
      </c>
    </row>
    <row r="351" spans="1:58" ht="11.25" hidden="1" customHeight="1" outlineLevel="3">
      <c r="A351" s="41"/>
      <c r="B351" s="189" t="s">
        <v>24</v>
      </c>
      <c r="C351" s="38">
        <f t="shared" ref="C351:J351" si="495">SUM(C349:C350)</f>
        <v>387.41499999999996</v>
      </c>
      <c r="D351" s="38">
        <f t="shared" si="495"/>
        <v>419.53300000000002</v>
      </c>
      <c r="E351" s="38">
        <f t="shared" si="495"/>
        <v>477.90199999999993</v>
      </c>
      <c r="F351" s="38">
        <f t="shared" si="495"/>
        <v>258.69299999999998</v>
      </c>
      <c r="G351" s="38">
        <f t="shared" si="495"/>
        <v>67.237000000000037</v>
      </c>
      <c r="H351" s="38">
        <f t="shared" si="495"/>
        <v>114.044</v>
      </c>
      <c r="I351" s="38">
        <f t="shared" si="495"/>
        <v>132.60995168320005</v>
      </c>
      <c r="J351" s="38">
        <f t="shared" si="495"/>
        <v>148.87763031658889</v>
      </c>
      <c r="K351" s="38">
        <f>SUM(K349:K350)</f>
        <v>160.43857003922955</v>
      </c>
      <c r="L351" s="7"/>
      <c r="M351" s="7"/>
      <c r="N351" s="38">
        <f t="shared" ref="N351:AI351" si="496">SUM(N349:N350)</f>
        <v>93.388999999999996</v>
      </c>
      <c r="O351" s="38">
        <f t="shared" si="496"/>
        <v>96.572000000000017</v>
      </c>
      <c r="P351" s="38">
        <f t="shared" si="496"/>
        <v>100.54300000000001</v>
      </c>
      <c r="Q351" s="38">
        <f t="shared" si="496"/>
        <v>96.910999999999987</v>
      </c>
      <c r="R351" s="38">
        <f t="shared" si="496"/>
        <v>97.538000000000011</v>
      </c>
      <c r="S351" s="38">
        <f t="shared" si="496"/>
        <v>102.09599999999999</v>
      </c>
      <c r="T351" s="38">
        <f t="shared" si="496"/>
        <v>105.785</v>
      </c>
      <c r="U351" s="38">
        <f t="shared" si="496"/>
        <v>114.114</v>
      </c>
      <c r="V351" s="38">
        <f t="shared" si="496"/>
        <v>111.898</v>
      </c>
      <c r="W351" s="38">
        <f t="shared" si="496"/>
        <v>114.292</v>
      </c>
      <c r="X351" s="38">
        <f t="shared" si="496"/>
        <v>126.01400000000002</v>
      </c>
      <c r="Y351" s="38">
        <f t="shared" si="496"/>
        <v>125.69799999999996</v>
      </c>
      <c r="Z351" s="38">
        <f t="shared" si="496"/>
        <v>96.24799999999999</v>
      </c>
      <c r="AA351" s="38">
        <f t="shared" si="496"/>
        <v>68.756999999999991</v>
      </c>
      <c r="AB351" s="38">
        <f t="shared" si="496"/>
        <v>55.275000000000006</v>
      </c>
      <c r="AC351" s="38">
        <f t="shared" si="496"/>
        <v>45.517000000000003</v>
      </c>
      <c r="AD351" s="38">
        <f t="shared" si="496"/>
        <v>22.319000000000006</v>
      </c>
      <c r="AE351" s="38">
        <f t="shared" si="496"/>
        <v>16.304000000000002</v>
      </c>
      <c r="AF351" s="38">
        <f t="shared" si="496"/>
        <v>6.2950000000000017</v>
      </c>
      <c r="AG351" s="38">
        <f t="shared" si="496"/>
        <v>22.318999999999999</v>
      </c>
      <c r="AH351" s="38">
        <f t="shared" si="496"/>
        <v>26.464749999999999</v>
      </c>
      <c r="AI351" s="38">
        <f t="shared" si="496"/>
        <v>22.684749999999998</v>
      </c>
      <c r="AJ351" s="38">
        <f>SUM(AJ349:AJ350)</f>
        <v>32.674750000000003</v>
      </c>
      <c r="AK351" s="38">
        <f>SUM(AK349:AK350)</f>
        <v>32.219750000000005</v>
      </c>
      <c r="AL351" s="38">
        <f t="shared" ref="AL351:AW351" si="497">AL18</f>
        <v>31.757152000000005</v>
      </c>
      <c r="AM351" s="38">
        <f t="shared" si="497"/>
        <v>32.943977600000004</v>
      </c>
      <c r="AN351" s="38">
        <f t="shared" si="497"/>
        <v>33.779046560000005</v>
      </c>
      <c r="AO351" s="38">
        <f t="shared" si="497"/>
        <v>34.12977552320001</v>
      </c>
      <c r="AP351" s="38">
        <f t="shared" si="497"/>
        <v>35.327959282324819</v>
      </c>
      <c r="AQ351" s="38">
        <f t="shared" si="497"/>
        <v>36.563258483169726</v>
      </c>
      <c r="AR351" s="38">
        <f t="shared" si="497"/>
        <v>37.836773897924495</v>
      </c>
      <c r="AS351" s="38">
        <f t="shared" si="497"/>
        <v>39.149638653169845</v>
      </c>
      <c r="AT351" s="38">
        <f t="shared" si="497"/>
        <v>39.526036655068111</v>
      </c>
      <c r="AU351" s="38">
        <f t="shared" si="497"/>
        <v>39.909962617004354</v>
      </c>
      <c r="AV351" s="38">
        <f t="shared" si="497"/>
        <v>40.301567098179305</v>
      </c>
      <c r="AW351" s="38">
        <f t="shared" si="497"/>
        <v>40.701003668977762</v>
      </c>
      <c r="AX351" s="39"/>
      <c r="AY351" s="39"/>
      <c r="AZ351" s="39"/>
      <c r="BA351" s="39"/>
      <c r="BB351" s="39"/>
      <c r="BC351" s="39"/>
      <c r="BD351" s="39"/>
      <c r="BE351" s="39"/>
      <c r="BF351" s="2">
        <f t="shared" si="472"/>
        <v>345</v>
      </c>
    </row>
    <row r="352" spans="1:58" ht="11.25" hidden="1" customHeight="1" outlineLevel="3">
      <c r="A352" s="52"/>
      <c r="B352" s="188" t="s">
        <v>23</v>
      </c>
      <c r="C352" s="51">
        <f t="shared" ref="C352:K352" si="498">SUMIFS($N352:$AX352,$N$4:$AX$4,C$4)</f>
        <v>-150.68700000000001</v>
      </c>
      <c r="D352" s="51">
        <f t="shared" si="498"/>
        <v>-169.29599999999999</v>
      </c>
      <c r="E352" s="51">
        <f t="shared" si="498"/>
        <v>-187.82500000000002</v>
      </c>
      <c r="F352" s="51">
        <f t="shared" si="498"/>
        <v>-194.06099999999998</v>
      </c>
      <c r="G352" s="51">
        <f t="shared" si="498"/>
        <v>-161.37799999999999</v>
      </c>
      <c r="H352" s="51">
        <f t="shared" si="498"/>
        <v>-131.39400000000001</v>
      </c>
      <c r="I352" s="51">
        <f t="shared" si="498"/>
        <v>-104.828</v>
      </c>
      <c r="J352" s="51">
        <f t="shared" si="498"/>
        <v>-86.812946604507246</v>
      </c>
      <c r="K352" s="51">
        <f t="shared" si="498"/>
        <v>-79.979308140774151</v>
      </c>
      <c r="L352" s="7"/>
      <c r="M352" s="7"/>
      <c r="N352" s="40">
        <v>-36.159999999999997</v>
      </c>
      <c r="O352" s="40">
        <v>-37.256</v>
      </c>
      <c r="P352" s="40">
        <v>-37.783999999999999</v>
      </c>
      <c r="Q352" s="40">
        <f>-150.687-P352-O352-N352</f>
        <v>-39.487000000000023</v>
      </c>
      <c r="R352" s="40">
        <v>-41.344000000000001</v>
      </c>
      <c r="S352" s="40">
        <v>-42.033000000000001</v>
      </c>
      <c r="T352" s="40">
        <v>-42.39</v>
      </c>
      <c r="U352" s="40">
        <f>-169.296-T352-S352-R352</f>
        <v>-43.528999999999989</v>
      </c>
      <c r="V352" s="40">
        <v>-45.017000000000003</v>
      </c>
      <c r="W352" s="40">
        <v>-47.344000000000001</v>
      </c>
      <c r="X352" s="40">
        <v>-47.904000000000003</v>
      </c>
      <c r="Y352" s="40">
        <f>-187.825-X352-W352-V352</f>
        <v>-47.559999999999995</v>
      </c>
      <c r="Z352" s="40">
        <v>-49.084000000000003</v>
      </c>
      <c r="AA352" s="40">
        <v>-49.728999999999999</v>
      </c>
      <c r="AB352" s="40">
        <v>-48.680999999999997</v>
      </c>
      <c r="AC352" s="40">
        <f>-194.061-AB352-AA352-Z352</f>
        <v>-46.566999999999993</v>
      </c>
      <c r="AD352" s="40">
        <v>-46.783999999999999</v>
      </c>
      <c r="AE352" s="40">
        <v>-44.353000000000002</v>
      </c>
      <c r="AF352" s="40">
        <v>-39.612000000000002</v>
      </c>
      <c r="AG352" s="51">
        <f t="shared" ref="AG352:AW352" si="499">AG76</f>
        <v>-30.628999999999984</v>
      </c>
      <c r="AH352" s="51">
        <f t="shared" si="499"/>
        <v>-34.728999999999999</v>
      </c>
      <c r="AI352" s="51">
        <f t="shared" si="499"/>
        <v>-33.619</v>
      </c>
      <c r="AJ352" s="51">
        <f t="shared" si="499"/>
        <v>-31.838999999999999</v>
      </c>
      <c r="AK352" s="51">
        <f t="shared" ref="AK352" si="500">AK76</f>
        <v>-31.207000000000001</v>
      </c>
      <c r="AL352" s="51">
        <f t="shared" si="499"/>
        <v>-29.207000000000001</v>
      </c>
      <c r="AM352" s="51">
        <f t="shared" si="499"/>
        <v>-27.207000000000001</v>
      </c>
      <c r="AN352" s="51">
        <f t="shared" si="499"/>
        <v>-25.207000000000001</v>
      </c>
      <c r="AO352" s="51">
        <f t="shared" si="499"/>
        <v>-23.207000000000001</v>
      </c>
      <c r="AP352" s="51">
        <f t="shared" si="499"/>
        <v>-22.547477536764699</v>
      </c>
      <c r="AQ352" s="51">
        <f t="shared" si="499"/>
        <v>-21.986445645519282</v>
      </c>
      <c r="AR352" s="51">
        <f t="shared" si="499"/>
        <v>-21.422454053201626</v>
      </c>
      <c r="AS352" s="51">
        <f t="shared" si="499"/>
        <v>-20.856569369021638</v>
      </c>
      <c r="AT352" s="51">
        <f t="shared" si="499"/>
        <v>-20.289821063875927</v>
      </c>
      <c r="AU352" s="51">
        <f t="shared" si="499"/>
        <v>-20.098561706073475</v>
      </c>
      <c r="AV352" s="51">
        <f t="shared" si="499"/>
        <v>-19.899103851304591</v>
      </c>
      <c r="AW352" s="51">
        <f t="shared" si="499"/>
        <v>-19.691821519520165</v>
      </c>
      <c r="AX352" s="129"/>
      <c r="AY352" s="129"/>
      <c r="AZ352" s="129"/>
      <c r="BA352" s="129"/>
      <c r="BB352" s="129"/>
      <c r="BC352" s="129"/>
      <c r="BD352" s="129"/>
      <c r="BE352" s="129"/>
      <c r="BF352" s="2">
        <f t="shared" si="472"/>
        <v>346</v>
      </c>
    </row>
    <row r="353" spans="1:58" ht="11.25" hidden="1" customHeight="1" outlineLevel="3">
      <c r="A353" s="41"/>
      <c r="B353" s="189" t="s">
        <v>22</v>
      </c>
      <c r="C353" s="38">
        <f t="shared" ref="C353:J353" si="501">SUM(C351:C352)</f>
        <v>236.72799999999995</v>
      </c>
      <c r="D353" s="38">
        <f t="shared" si="501"/>
        <v>250.23700000000002</v>
      </c>
      <c r="E353" s="38">
        <f t="shared" si="501"/>
        <v>290.07699999999988</v>
      </c>
      <c r="F353" s="38">
        <f t="shared" si="501"/>
        <v>64.632000000000005</v>
      </c>
      <c r="G353" s="38">
        <f t="shared" si="501"/>
        <v>-94.140999999999948</v>
      </c>
      <c r="H353" s="38">
        <f t="shared" si="501"/>
        <v>-17.350000000000009</v>
      </c>
      <c r="I353" s="38">
        <f t="shared" si="501"/>
        <v>27.781951683200049</v>
      </c>
      <c r="J353" s="38">
        <f t="shared" si="501"/>
        <v>62.064683712081646</v>
      </c>
      <c r="K353" s="38">
        <f>SUM(K351:K352)</f>
        <v>80.459261898455395</v>
      </c>
      <c r="L353" s="7"/>
      <c r="M353" s="7"/>
      <c r="N353" s="38">
        <f>SUM(N351:N352)</f>
        <v>57.228999999999999</v>
      </c>
      <c r="O353" s="38">
        <f>SUM(O351:O352)</f>
        <v>59.316000000000017</v>
      </c>
      <c r="P353" s="38">
        <f>SUM(P351:P352)</f>
        <v>62.759000000000007</v>
      </c>
      <c r="Q353" s="38">
        <f>SUM(Q351:Q352)</f>
        <v>57.423999999999964</v>
      </c>
      <c r="R353" s="38">
        <f t="shared" ref="R353:AW353" si="502">SUM(R351:R352)</f>
        <v>56.19400000000001</v>
      </c>
      <c r="S353" s="38">
        <f t="shared" si="502"/>
        <v>60.062999999999988</v>
      </c>
      <c r="T353" s="38">
        <f t="shared" si="502"/>
        <v>63.394999999999996</v>
      </c>
      <c r="U353" s="38">
        <f t="shared" si="502"/>
        <v>70.585000000000008</v>
      </c>
      <c r="V353" s="38">
        <f t="shared" si="502"/>
        <v>66.881</v>
      </c>
      <c r="W353" s="38">
        <f t="shared" si="502"/>
        <v>66.948000000000008</v>
      </c>
      <c r="X353" s="38">
        <f t="shared" si="502"/>
        <v>78.110000000000014</v>
      </c>
      <c r="Y353" s="38">
        <f t="shared" si="502"/>
        <v>78.137999999999977</v>
      </c>
      <c r="Z353" s="38">
        <f t="shared" si="502"/>
        <v>47.163999999999987</v>
      </c>
      <c r="AA353" s="38">
        <f t="shared" si="502"/>
        <v>19.027999999999992</v>
      </c>
      <c r="AB353" s="38">
        <f t="shared" si="502"/>
        <v>6.5940000000000083</v>
      </c>
      <c r="AC353" s="38">
        <f t="shared" si="502"/>
        <v>-1.0499999999999901</v>
      </c>
      <c r="AD353" s="38">
        <f t="shared" si="502"/>
        <v>-24.464999999999993</v>
      </c>
      <c r="AE353" s="38">
        <f t="shared" si="502"/>
        <v>-28.048999999999999</v>
      </c>
      <c r="AF353" s="38">
        <f t="shared" si="502"/>
        <v>-33.317</v>
      </c>
      <c r="AG353" s="38">
        <f t="shared" si="502"/>
        <v>-8.3099999999999845</v>
      </c>
      <c r="AH353" s="38">
        <f t="shared" si="502"/>
        <v>-8.2642500000000005</v>
      </c>
      <c r="AI353" s="38">
        <f t="shared" si="502"/>
        <v>-10.934250000000002</v>
      </c>
      <c r="AJ353" s="38">
        <f>SUM(AJ351:AJ352)</f>
        <v>0.83575000000000443</v>
      </c>
      <c r="AK353" s="38">
        <f>SUM(AK351:AK352)</f>
        <v>1.012750000000004</v>
      </c>
      <c r="AL353" s="38">
        <f t="shared" si="502"/>
        <v>2.5501520000000042</v>
      </c>
      <c r="AM353" s="38">
        <f t="shared" si="502"/>
        <v>5.736977600000003</v>
      </c>
      <c r="AN353" s="38">
        <f t="shared" si="502"/>
        <v>8.572046560000004</v>
      </c>
      <c r="AO353" s="38">
        <f t="shared" si="502"/>
        <v>10.922775523200009</v>
      </c>
      <c r="AP353" s="38">
        <f t="shared" si="502"/>
        <v>12.78048174556012</v>
      </c>
      <c r="AQ353" s="38">
        <f t="shared" si="502"/>
        <v>14.576812837650444</v>
      </c>
      <c r="AR353" s="38">
        <f t="shared" si="502"/>
        <v>16.414319844722868</v>
      </c>
      <c r="AS353" s="38">
        <f t="shared" si="502"/>
        <v>18.293069284148206</v>
      </c>
      <c r="AT353" s="38">
        <f t="shared" si="502"/>
        <v>19.236215591192185</v>
      </c>
      <c r="AU353" s="38">
        <f t="shared" si="502"/>
        <v>19.811400910930878</v>
      </c>
      <c r="AV353" s="38">
        <f t="shared" si="502"/>
        <v>20.402463246874714</v>
      </c>
      <c r="AW353" s="38">
        <f t="shared" si="502"/>
        <v>21.009182149457597</v>
      </c>
      <c r="AX353" s="39"/>
      <c r="AY353" s="39"/>
      <c r="AZ353" s="39"/>
      <c r="BA353" s="39"/>
      <c r="BB353" s="39"/>
      <c r="BC353" s="39"/>
      <c r="BD353" s="39"/>
      <c r="BE353" s="39"/>
      <c r="BF353" s="2">
        <f t="shared" si="472"/>
        <v>347</v>
      </c>
    </row>
    <row r="354" spans="1:58" ht="11.25" hidden="1" customHeight="1" outlineLevel="3">
      <c r="A354" s="52"/>
      <c r="B354" s="188" t="s">
        <v>21</v>
      </c>
      <c r="C354" s="51">
        <f t="shared" ref="C354:K354" si="503">SUMIFS($N354:$AX354,$N$4:$AX$4,C$4)</f>
        <v>0</v>
      </c>
      <c r="D354" s="51">
        <f t="shared" si="503"/>
        <v>-2.2919999999999998</v>
      </c>
      <c r="E354" s="51">
        <f t="shared" si="503"/>
        <v>0</v>
      </c>
      <c r="F354" s="51">
        <f t="shared" si="503"/>
        <v>-40.237000000000002</v>
      </c>
      <c r="G354" s="51">
        <f t="shared" si="503"/>
        <v>-48.902999999999999</v>
      </c>
      <c r="H354" s="51">
        <f t="shared" si="503"/>
        <v>0</v>
      </c>
      <c r="I354" s="51">
        <f t="shared" si="503"/>
        <v>0</v>
      </c>
      <c r="J354" s="51">
        <f t="shared" si="503"/>
        <v>0</v>
      </c>
      <c r="K354" s="51">
        <f t="shared" si="503"/>
        <v>0</v>
      </c>
      <c r="L354" s="7"/>
      <c r="M354" s="7"/>
      <c r="N354" s="40">
        <v>0</v>
      </c>
      <c r="O354" s="40">
        <v>0</v>
      </c>
      <c r="P354" s="40">
        <v>0</v>
      </c>
      <c r="Q354" s="40">
        <f>0-P354-O354-N354</f>
        <v>0</v>
      </c>
      <c r="R354" s="40">
        <v>0</v>
      </c>
      <c r="S354" s="40">
        <v>0</v>
      </c>
      <c r="T354" s="40">
        <v>0</v>
      </c>
      <c r="U354" s="40">
        <v>-2.2919999999999998</v>
      </c>
      <c r="V354" s="40">
        <v>0</v>
      </c>
      <c r="W354" s="40">
        <v>0</v>
      </c>
      <c r="X354" s="40">
        <v>0</v>
      </c>
      <c r="Y354" s="40">
        <v>0</v>
      </c>
      <c r="Z354" s="40">
        <v>0</v>
      </c>
      <c r="AA354" s="40">
        <v>-15.797000000000001</v>
      </c>
      <c r="AB354" s="40">
        <f>-(7.552-6.594)</f>
        <v>-0.9579999999999993</v>
      </c>
      <c r="AC354" s="40">
        <f>-40.237-AB354-AA354-Z354</f>
        <v>-23.482000000000003</v>
      </c>
      <c r="AD354" s="40">
        <v>0</v>
      </c>
      <c r="AE354" s="40">
        <v>-47.658999999999999</v>
      </c>
      <c r="AF354" s="40">
        <v>0</v>
      </c>
      <c r="AG354" s="40">
        <f>-48.903-AF354-AE354-AD354</f>
        <v>-1.2439999999999998</v>
      </c>
      <c r="AH354" s="40">
        <v>0</v>
      </c>
      <c r="AI354" s="40">
        <v>0</v>
      </c>
      <c r="AJ354" s="40">
        <v>0</v>
      </c>
      <c r="AK354" s="40">
        <v>0</v>
      </c>
      <c r="AL354" s="40">
        <v>0</v>
      </c>
      <c r="AM354" s="40">
        <v>0</v>
      </c>
      <c r="AN354" s="40">
        <v>0</v>
      </c>
      <c r="AO354" s="40">
        <v>0</v>
      </c>
      <c r="AP354" s="40">
        <v>0</v>
      </c>
      <c r="AQ354" s="40">
        <v>0</v>
      </c>
      <c r="AR354" s="40">
        <v>0</v>
      </c>
      <c r="AS354" s="40">
        <v>0</v>
      </c>
      <c r="AT354" s="40">
        <v>0</v>
      </c>
      <c r="AU354" s="40">
        <v>0</v>
      </c>
      <c r="AV354" s="40">
        <v>0</v>
      </c>
      <c r="AW354" s="40">
        <v>0</v>
      </c>
      <c r="AX354" s="53"/>
      <c r="AY354" s="53"/>
      <c r="AZ354" s="53"/>
      <c r="BA354" s="53"/>
      <c r="BB354" s="53"/>
      <c r="BC354" s="53"/>
      <c r="BD354" s="53"/>
      <c r="BE354" s="53"/>
      <c r="BF354" s="2">
        <f t="shared" si="472"/>
        <v>348</v>
      </c>
    </row>
    <row r="355" spans="1:58" ht="11.25" hidden="1" customHeight="1" outlineLevel="3">
      <c r="A355" s="41"/>
      <c r="B355" s="189" t="s">
        <v>20</v>
      </c>
      <c r="C355" s="38">
        <f t="shared" ref="C355:J355" si="504">SUM(C353:C354)</f>
        <v>236.72799999999995</v>
      </c>
      <c r="D355" s="38">
        <f t="shared" si="504"/>
        <v>247.94500000000002</v>
      </c>
      <c r="E355" s="38">
        <f t="shared" si="504"/>
        <v>290.07699999999988</v>
      </c>
      <c r="F355" s="38">
        <f t="shared" si="504"/>
        <v>24.395000000000003</v>
      </c>
      <c r="G355" s="38">
        <f t="shared" si="504"/>
        <v>-143.04399999999995</v>
      </c>
      <c r="H355" s="38">
        <f t="shared" si="504"/>
        <v>-17.350000000000009</v>
      </c>
      <c r="I355" s="38">
        <f t="shared" si="504"/>
        <v>27.781951683200049</v>
      </c>
      <c r="J355" s="38">
        <f t="shared" si="504"/>
        <v>62.064683712081646</v>
      </c>
      <c r="K355" s="38">
        <f>SUM(K353:K354)</f>
        <v>80.459261898455395</v>
      </c>
      <c r="L355" s="7"/>
      <c r="M355" s="7"/>
      <c r="N355" s="38">
        <f>SUM(N353:N354)</f>
        <v>57.228999999999999</v>
      </c>
      <c r="O355" s="38">
        <f>SUM(O353:O354)</f>
        <v>59.316000000000017</v>
      </c>
      <c r="P355" s="38">
        <f>SUM(P353:P354)</f>
        <v>62.759000000000007</v>
      </c>
      <c r="Q355" s="38">
        <f>SUM(Q353:Q354)</f>
        <v>57.423999999999964</v>
      </c>
      <c r="R355" s="38">
        <f t="shared" ref="R355:AW355" si="505">SUM(R353:R354)</f>
        <v>56.19400000000001</v>
      </c>
      <c r="S355" s="38">
        <f t="shared" si="505"/>
        <v>60.062999999999988</v>
      </c>
      <c r="T355" s="38">
        <f t="shared" si="505"/>
        <v>63.394999999999996</v>
      </c>
      <c r="U355" s="38">
        <f t="shared" si="505"/>
        <v>68.293000000000006</v>
      </c>
      <c r="V355" s="38">
        <f t="shared" si="505"/>
        <v>66.881</v>
      </c>
      <c r="W355" s="38">
        <f t="shared" si="505"/>
        <v>66.948000000000008</v>
      </c>
      <c r="X355" s="38">
        <f t="shared" si="505"/>
        <v>78.110000000000014</v>
      </c>
      <c r="Y355" s="38">
        <f t="shared" si="505"/>
        <v>78.137999999999977</v>
      </c>
      <c r="Z355" s="38">
        <f t="shared" si="505"/>
        <v>47.163999999999987</v>
      </c>
      <c r="AA355" s="38">
        <f t="shared" si="505"/>
        <v>3.230999999999991</v>
      </c>
      <c r="AB355" s="38">
        <f t="shared" si="505"/>
        <v>5.636000000000009</v>
      </c>
      <c r="AC355" s="38">
        <f t="shared" si="505"/>
        <v>-24.531999999999993</v>
      </c>
      <c r="AD355" s="38">
        <f t="shared" si="505"/>
        <v>-24.464999999999993</v>
      </c>
      <c r="AE355" s="38">
        <f t="shared" si="505"/>
        <v>-75.707999999999998</v>
      </c>
      <c r="AF355" s="38">
        <f t="shared" si="505"/>
        <v>-33.317</v>
      </c>
      <c r="AG355" s="38">
        <f t="shared" si="505"/>
        <v>-9.5539999999999843</v>
      </c>
      <c r="AH355" s="38">
        <f t="shared" si="505"/>
        <v>-8.2642500000000005</v>
      </c>
      <c r="AI355" s="38">
        <f>SUM(AI353:AI354)</f>
        <v>-10.934250000000002</v>
      </c>
      <c r="AJ355" s="38">
        <f>SUM(AJ353:AJ354)</f>
        <v>0.83575000000000443</v>
      </c>
      <c r="AK355" s="38">
        <f>SUM(AK353:AK354)</f>
        <v>1.012750000000004</v>
      </c>
      <c r="AL355" s="38">
        <f t="shared" si="505"/>
        <v>2.5501520000000042</v>
      </c>
      <c r="AM355" s="38">
        <f t="shared" si="505"/>
        <v>5.736977600000003</v>
      </c>
      <c r="AN355" s="38">
        <f t="shared" si="505"/>
        <v>8.572046560000004</v>
      </c>
      <c r="AO355" s="38">
        <f t="shared" si="505"/>
        <v>10.922775523200009</v>
      </c>
      <c r="AP355" s="38">
        <f t="shared" si="505"/>
        <v>12.78048174556012</v>
      </c>
      <c r="AQ355" s="38">
        <f t="shared" si="505"/>
        <v>14.576812837650444</v>
      </c>
      <c r="AR355" s="38">
        <f t="shared" si="505"/>
        <v>16.414319844722868</v>
      </c>
      <c r="AS355" s="38">
        <f t="shared" si="505"/>
        <v>18.293069284148206</v>
      </c>
      <c r="AT355" s="38">
        <f t="shared" si="505"/>
        <v>19.236215591192185</v>
      </c>
      <c r="AU355" s="38">
        <f t="shared" si="505"/>
        <v>19.811400910930878</v>
      </c>
      <c r="AV355" s="38">
        <f t="shared" si="505"/>
        <v>20.402463246874714</v>
      </c>
      <c r="AW355" s="38">
        <f t="shared" si="505"/>
        <v>21.009182149457597</v>
      </c>
      <c r="AX355" s="39"/>
      <c r="AY355" s="39"/>
      <c r="AZ355" s="39"/>
      <c r="BA355" s="39"/>
      <c r="BB355" s="39"/>
      <c r="BC355" s="39"/>
      <c r="BD355" s="39"/>
      <c r="BE355" s="39"/>
      <c r="BF355" s="2">
        <f t="shared" si="472"/>
        <v>349</v>
      </c>
    </row>
    <row r="356" spans="1:58" ht="11.25" hidden="1" customHeight="1" outlineLevel="3">
      <c r="A356" s="41"/>
      <c r="B356" s="188" t="s">
        <v>19</v>
      </c>
      <c r="C356" s="51">
        <f t="shared" ref="C356:H356" si="506">INDEX($N356:$AX356,1,MATCH(C$5,$N$5:$AX$5,0))</f>
        <v>1086.8040000000001</v>
      </c>
      <c r="D356" s="51">
        <f t="shared" si="506"/>
        <v>1245.501</v>
      </c>
      <c r="E356" s="51">
        <f t="shared" si="506"/>
        <v>1304.1099999999999</v>
      </c>
      <c r="F356" s="51">
        <f t="shared" si="506"/>
        <v>1223.191</v>
      </c>
      <c r="G356" s="51">
        <f t="shared" si="506"/>
        <v>849.04600000000005</v>
      </c>
      <c r="H356" s="51">
        <f t="shared" si="506"/>
        <v>662.96799999999996</v>
      </c>
      <c r="I356" s="51">
        <f>INDEX($N356:$BF356,1,MATCH(I$5,$N$5:$BF$5,0))</f>
        <v>0</v>
      </c>
      <c r="J356" s="51">
        <f>INDEX($N356:$BF356,1,MATCH(J$5,$N$5:$BF$5,0))</f>
        <v>0</v>
      </c>
      <c r="K356" s="51">
        <f>INDEX($N356:$BF356,1,MATCH(K$5,$N$5:$BF$5,0))</f>
        <v>0</v>
      </c>
      <c r="L356" s="7"/>
      <c r="M356" s="7"/>
      <c r="N356" s="40">
        <v>999.26</v>
      </c>
      <c r="O356" s="40">
        <v>1013.538</v>
      </c>
      <c r="P356" s="40">
        <v>1051.2349999999999</v>
      </c>
      <c r="Q356" s="40">
        <v>1086.8040000000001</v>
      </c>
      <c r="R356" s="40">
        <v>1095.6410000000001</v>
      </c>
      <c r="S356" s="40">
        <v>1081.758</v>
      </c>
      <c r="T356" s="40">
        <v>1158.2470000000001</v>
      </c>
      <c r="U356" s="40">
        <v>1245.501</v>
      </c>
      <c r="V356" s="40">
        <v>1216.491</v>
      </c>
      <c r="W356" s="40">
        <v>1245.6949999999999</v>
      </c>
      <c r="X356" s="40">
        <v>1282.1289999999999</v>
      </c>
      <c r="Y356" s="40">
        <v>1304.1099999999999</v>
      </c>
      <c r="Z356" s="40">
        <v>1358.2180000000001</v>
      </c>
      <c r="AA356" s="40">
        <v>1343.08</v>
      </c>
      <c r="AB356" s="40">
        <v>1326.181</v>
      </c>
      <c r="AC356" s="40">
        <v>1223.191</v>
      </c>
      <c r="AD356" s="40">
        <v>1288.6420000000001</v>
      </c>
      <c r="AE356" s="40">
        <v>1099.741</v>
      </c>
      <c r="AF356" s="40">
        <v>934.09400000000005</v>
      </c>
      <c r="AG356" s="40">
        <v>849.04600000000005</v>
      </c>
      <c r="AH356" s="40">
        <v>772.56100000000004</v>
      </c>
      <c r="AI356" s="40">
        <v>737.31200000000001</v>
      </c>
      <c r="AJ356" s="40">
        <v>686.60900000000004</v>
      </c>
      <c r="AK356" s="40">
        <v>662.96799999999996</v>
      </c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9"/>
      <c r="AY356" s="39"/>
      <c r="AZ356" s="39"/>
      <c r="BA356" s="39"/>
      <c r="BB356" s="39"/>
      <c r="BC356" s="39"/>
      <c r="BD356" s="39"/>
      <c r="BE356" s="39"/>
      <c r="BF356" s="2">
        <f t="shared" si="472"/>
        <v>350</v>
      </c>
    </row>
    <row r="357" spans="1:58" ht="11.25" hidden="1" customHeight="1" outlineLevel="3">
      <c r="A357" s="47"/>
      <c r="B357" s="187" t="s">
        <v>18</v>
      </c>
      <c r="C357" s="150"/>
      <c r="D357" s="150"/>
      <c r="E357" s="150"/>
      <c r="F357" s="150"/>
      <c r="G357" s="150"/>
      <c r="H357" s="150"/>
      <c r="I357" s="150"/>
      <c r="J357" s="150"/>
      <c r="K357" s="150"/>
      <c r="L357" s="7"/>
      <c r="M357" s="7"/>
      <c r="N357" s="150"/>
      <c r="O357" s="150"/>
      <c r="P357" s="150"/>
      <c r="Q357" s="150"/>
      <c r="R357" s="150"/>
      <c r="S357" s="150"/>
      <c r="T357" s="150"/>
      <c r="U357" s="150"/>
      <c r="V357" s="150"/>
      <c r="W357" s="150"/>
      <c r="X357" s="150"/>
      <c r="Y357" s="150"/>
      <c r="Z357" s="150"/>
      <c r="AA357" s="150"/>
      <c r="AB357" s="150"/>
      <c r="AC357" s="150"/>
      <c r="AD357" s="150"/>
      <c r="AE357" s="150"/>
      <c r="AF357" s="150"/>
      <c r="AG357" s="150"/>
      <c r="AH357" s="150"/>
      <c r="AI357" s="150"/>
      <c r="AJ357" s="150"/>
      <c r="AK357" s="150"/>
      <c r="AL357" s="150"/>
      <c r="AM357" s="150"/>
      <c r="AN357" s="150"/>
      <c r="AO357" s="150"/>
      <c r="AP357" s="150"/>
      <c r="AQ357" s="150"/>
      <c r="AR357" s="150"/>
      <c r="AS357" s="150"/>
      <c r="AT357" s="150"/>
      <c r="AU357" s="150"/>
      <c r="AV357" s="150"/>
      <c r="AW357" s="150"/>
      <c r="AX357" s="44"/>
      <c r="AY357" s="44"/>
      <c r="AZ357" s="44"/>
      <c r="BA357" s="44"/>
      <c r="BB357" s="44"/>
      <c r="BC357" s="44"/>
      <c r="BD357" s="44"/>
      <c r="BE357" s="44"/>
      <c r="BF357" s="2">
        <f t="shared" si="472"/>
        <v>351</v>
      </c>
    </row>
    <row r="358" spans="1:58" ht="11.25" hidden="1" customHeight="1" outlineLevel="3">
      <c r="A358" s="47"/>
      <c r="B358" s="185" t="s">
        <v>17</v>
      </c>
      <c r="C358" s="45"/>
      <c r="D358" s="45">
        <f t="shared" ref="D358:K358" si="507">+D347/C347-1</f>
        <v>8.186141567298777E-2</v>
      </c>
      <c r="E358" s="45">
        <f t="shared" si="507"/>
        <v>0.1017693204883876</v>
      </c>
      <c r="F358" s="45">
        <f t="shared" si="507"/>
        <v>-0.36879403452295767</v>
      </c>
      <c r="G358" s="45">
        <f t="shared" si="507"/>
        <v>-0.49663802283846559</v>
      </c>
      <c r="H358" s="45">
        <f t="shared" si="507"/>
        <v>5.4508908799766331E-4</v>
      </c>
      <c r="I358" s="45">
        <f t="shared" si="507"/>
        <v>0.12882590216895395</v>
      </c>
      <c r="J358" s="45">
        <f t="shared" si="507"/>
        <v>8.8288105850887311E-2</v>
      </c>
      <c r="K358" s="45">
        <f t="shared" si="507"/>
        <v>5.8764775039414019E-2</v>
      </c>
      <c r="L358" s="7"/>
      <c r="M358" s="7"/>
      <c r="N358" s="45"/>
      <c r="O358" s="45">
        <f>+O347/N347-1</f>
        <v>4.6436096896338652E-2</v>
      </c>
      <c r="P358" s="45">
        <f>+P347/O347-1</f>
        <v>-1.6492556144335091E-2</v>
      </c>
      <c r="Q358" s="45">
        <f>+Q347/P347-1</f>
        <v>-1.1314539054402162E-2</v>
      </c>
      <c r="R358" s="45">
        <f>+R347/Q347-1</f>
        <v>6.7574230447848826E-3</v>
      </c>
      <c r="S358" s="45">
        <f t="shared" ref="S358:AW358" si="508">+S347/R347-1</f>
        <v>5.8990921697709364E-2</v>
      </c>
      <c r="T358" s="45">
        <f t="shared" si="508"/>
        <v>4.9167080449026956E-2</v>
      </c>
      <c r="U358" s="45">
        <f t="shared" si="508"/>
        <v>3.7439333339519987E-2</v>
      </c>
      <c r="V358" s="45">
        <f t="shared" si="508"/>
        <v>-1.5121359983183535E-2</v>
      </c>
      <c r="W358" s="45">
        <f t="shared" si="508"/>
        <v>2.6211343717360558E-2</v>
      </c>
      <c r="X358" s="45">
        <f t="shared" si="508"/>
        <v>5.8509084794364119E-2</v>
      </c>
      <c r="Y358" s="45">
        <f t="shared" si="508"/>
        <v>-3.1395796056922221E-3</v>
      </c>
      <c r="Z358" s="45">
        <f t="shared" si="508"/>
        <v>-0.16352908120258502</v>
      </c>
      <c r="AA358" s="45">
        <f t="shared" si="508"/>
        <v>-0.25463378438676632</v>
      </c>
      <c r="AB358" s="45">
        <f t="shared" si="508"/>
        <v>-0.12237842200847504</v>
      </c>
      <c r="AC358" s="45">
        <f t="shared" si="508"/>
        <v>-0.14437904288911363</v>
      </c>
      <c r="AD358" s="45">
        <f t="shared" si="508"/>
        <v>-0.20815492932514013</v>
      </c>
      <c r="AE358" s="45">
        <f t="shared" si="508"/>
        <v>-0.13800904977375572</v>
      </c>
      <c r="AF358" s="45">
        <f t="shared" si="508"/>
        <v>-0.21784776902887137</v>
      </c>
      <c r="AG358" s="45">
        <f t="shared" si="508"/>
        <v>0.16325503355704685</v>
      </c>
      <c r="AH358" s="45">
        <f t="shared" si="508"/>
        <v>-1.2966969565844533E-2</v>
      </c>
      <c r="AI358" s="45">
        <f t="shared" si="508"/>
        <v>5.7868509885870001E-3</v>
      </c>
      <c r="AJ358" s="45">
        <f t="shared" si="508"/>
        <v>0.1217400148197656</v>
      </c>
      <c r="AK358" s="45">
        <f t="shared" si="508"/>
        <v>2.6163769655208169E-2</v>
      </c>
      <c r="AL358" s="45">
        <f t="shared" si="508"/>
        <v>2.1063792189432995E-3</v>
      </c>
      <c r="AM358" s="45">
        <f t="shared" si="508"/>
        <v>3.7371915466475114E-2</v>
      </c>
      <c r="AN358" s="45">
        <f t="shared" si="508"/>
        <v>2.5348152252264722E-2</v>
      </c>
      <c r="AO358" s="45">
        <f t="shared" si="508"/>
        <v>1.0383033238579475E-2</v>
      </c>
      <c r="AP358" s="45">
        <f t="shared" si="508"/>
        <v>2.232760403437184E-2</v>
      </c>
      <c r="AQ358" s="45">
        <f t="shared" si="508"/>
        <v>2.234507230944538E-2</v>
      </c>
      <c r="AR358" s="45">
        <f t="shared" si="508"/>
        <v>2.2362631311238834E-2</v>
      </c>
      <c r="AS358" s="45">
        <f t="shared" si="508"/>
        <v>2.2380280906252104E-2</v>
      </c>
      <c r="AT358" s="45">
        <f t="shared" si="508"/>
        <v>9.6143416605403154E-3</v>
      </c>
      <c r="AU358" s="45">
        <f t="shared" si="508"/>
        <v>9.7132420658980756E-3</v>
      </c>
      <c r="AV358" s="45">
        <f t="shared" si="508"/>
        <v>9.8121986465631306E-3</v>
      </c>
      <c r="AW358" s="45">
        <f t="shared" si="508"/>
        <v>9.9111920344283622E-3</v>
      </c>
      <c r="AX358" s="156"/>
      <c r="AY358" s="156"/>
      <c r="AZ358" s="156"/>
      <c r="BA358" s="156"/>
      <c r="BB358" s="156"/>
      <c r="BC358" s="156"/>
      <c r="BD358" s="156"/>
      <c r="BE358" s="156"/>
      <c r="BF358" s="2">
        <f t="shared" si="472"/>
        <v>352</v>
      </c>
    </row>
    <row r="359" spans="1:58" ht="11.25" hidden="1" customHeight="1" outlineLevel="3">
      <c r="A359" s="47"/>
      <c r="B359" s="185" t="s">
        <v>16</v>
      </c>
      <c r="C359" s="45">
        <f t="shared" ref="C359:J359" si="509">-C348/C347</f>
        <v>0.33010479107585677</v>
      </c>
      <c r="D359" s="45">
        <f t="shared" si="509"/>
        <v>0.32930994592815388</v>
      </c>
      <c r="E359" s="45">
        <f t="shared" si="509"/>
        <v>0.31427321997425989</v>
      </c>
      <c r="F359" s="45">
        <f t="shared" si="509"/>
        <v>0.3376913566062294</v>
      </c>
      <c r="G359" s="45">
        <f t="shared" si="509"/>
        <v>0.46577521888733681</v>
      </c>
      <c r="H359" s="45">
        <f t="shared" si="509"/>
        <v>0.43713098845721682</v>
      </c>
      <c r="I359" s="45">
        <f t="shared" si="509"/>
        <v>0.44303104358089379</v>
      </c>
      <c r="J359" s="45">
        <f t="shared" si="509"/>
        <v>0.43349959084554152</v>
      </c>
      <c r="K359" s="45">
        <f>-K348/K347</f>
        <v>0.42269839905252105</v>
      </c>
      <c r="L359" s="7"/>
      <c r="M359" s="7"/>
      <c r="N359" s="45">
        <f>-N348/N347</f>
        <v>0.3304129237366456</v>
      </c>
      <c r="O359" s="45">
        <f>-O348/O347</f>
        <v>0.33552863991925308</v>
      </c>
      <c r="P359" s="45">
        <f>-P348/P347</f>
        <v>0.31793085046335734</v>
      </c>
      <c r="Q359" s="45">
        <f>-Q348/Q347</f>
        <v>0.33653731374268858</v>
      </c>
      <c r="R359" s="45">
        <f t="shared" ref="R359:AW359" si="510">-R348/R347</f>
        <v>0.33325772377422291</v>
      </c>
      <c r="S359" s="45">
        <f t="shared" si="510"/>
        <v>0.32607997196016003</v>
      </c>
      <c r="T359" s="45">
        <f t="shared" si="510"/>
        <v>0.34276315178960853</v>
      </c>
      <c r="U359" s="45">
        <f t="shared" si="510"/>
        <v>0.31588480752803111</v>
      </c>
      <c r="V359" s="45">
        <f t="shared" si="510"/>
        <v>0.30494527950592615</v>
      </c>
      <c r="W359" s="45">
        <f t="shared" si="510"/>
        <v>0.32187076846828505</v>
      </c>
      <c r="X359" s="45">
        <f t="shared" si="510"/>
        <v>0.31887844684871491</v>
      </c>
      <c r="Y359" s="45">
        <f t="shared" si="510"/>
        <v>0.31106758983950727</v>
      </c>
      <c r="Z359" s="45">
        <f t="shared" si="510"/>
        <v>0.31711279009721294</v>
      </c>
      <c r="AA359" s="45">
        <f t="shared" si="510"/>
        <v>0.3281361404452815</v>
      </c>
      <c r="AB359" s="45">
        <f t="shared" si="510"/>
        <v>0.34286765382139239</v>
      </c>
      <c r="AC359" s="45">
        <f t="shared" si="510"/>
        <v>0.3596445654705388</v>
      </c>
      <c r="AD359" s="45">
        <f t="shared" si="510"/>
        <v>0.42459276018099545</v>
      </c>
      <c r="AE359" s="45">
        <f t="shared" si="510"/>
        <v>0.45455380577427823</v>
      </c>
      <c r="AF359" s="45">
        <f t="shared" si="510"/>
        <v>0.50565436241610739</v>
      </c>
      <c r="AG359" s="45">
        <f>-AG348/AG347</f>
        <v>0.49633636232511169</v>
      </c>
      <c r="AH359" s="45">
        <f>-AH348/AH347</f>
        <v>0.42597653110432404</v>
      </c>
      <c r="AI359" s="45">
        <f>-AI348/AI347</f>
        <v>0.48419951472532585</v>
      </c>
      <c r="AJ359" s="45">
        <f>-AJ348/AJ347</f>
        <v>0.4107841359479833</v>
      </c>
      <c r="AK359" s="45">
        <f>-AK348/AK347</f>
        <v>0.43155024865574432</v>
      </c>
      <c r="AL359" s="45">
        <f t="shared" si="510"/>
        <v>0.43857179636259569</v>
      </c>
      <c r="AM359" s="45">
        <f t="shared" si="510"/>
        <v>0.44283121294982908</v>
      </c>
      <c r="AN359" s="45">
        <f t="shared" si="510"/>
        <v>0.44518382895411135</v>
      </c>
      <c r="AO359" s="45">
        <f t="shared" si="510"/>
        <v>0.44524251930957987</v>
      </c>
      <c r="AP359" s="45">
        <f t="shared" si="510"/>
        <v>0.44059486638011047</v>
      </c>
      <c r="AQ359" s="45">
        <f t="shared" si="510"/>
        <v>0.43594904347069918</v>
      </c>
      <c r="AR359" s="45">
        <f t="shared" si="510"/>
        <v>0.43130504788857948</v>
      </c>
      <c r="AS359" s="45">
        <f t="shared" si="510"/>
        <v>0.42666287673830433</v>
      </c>
      <c r="AT359" s="45">
        <f t="shared" si="510"/>
        <v>0.42508553486899964</v>
      </c>
      <c r="AU359" s="45">
        <f t="shared" si="510"/>
        <v>0.42350729707147106</v>
      </c>
      <c r="AV359" s="45">
        <f t="shared" si="510"/>
        <v>0.42192847224361196</v>
      </c>
      <c r="AW359" s="45">
        <f t="shared" si="510"/>
        <v>0.42034936974337511</v>
      </c>
      <c r="AX359" s="156"/>
      <c r="AY359" s="156"/>
      <c r="AZ359" s="156"/>
      <c r="BA359" s="156"/>
      <c r="BB359" s="156"/>
      <c r="BC359" s="156"/>
      <c r="BD359" s="156"/>
      <c r="BE359" s="156"/>
      <c r="BF359" s="2">
        <f t="shared" si="472"/>
        <v>353</v>
      </c>
    </row>
    <row r="360" spans="1:58" ht="11.25" hidden="1" customHeight="1" outlineLevel="3">
      <c r="A360" s="47"/>
      <c r="B360" s="185" t="s">
        <v>165</v>
      </c>
      <c r="C360" s="45">
        <f t="shared" ref="C360:J360" si="511">+C349/C347</f>
        <v>0.66989520892414312</v>
      </c>
      <c r="D360" s="45">
        <f t="shared" si="511"/>
        <v>0.67069005407184623</v>
      </c>
      <c r="E360" s="45">
        <f t="shared" si="511"/>
        <v>0.68572678002574006</v>
      </c>
      <c r="F360" s="45">
        <f t="shared" si="511"/>
        <v>0.6623086433937706</v>
      </c>
      <c r="G360" s="45">
        <f t="shared" si="511"/>
        <v>0.53422478111266314</v>
      </c>
      <c r="H360" s="45">
        <f t="shared" si="511"/>
        <v>0.56286901154278324</v>
      </c>
      <c r="I360" s="45">
        <f t="shared" si="511"/>
        <v>0.55696895641910626</v>
      </c>
      <c r="J360" s="45">
        <f t="shared" si="511"/>
        <v>0.56650040915445854</v>
      </c>
      <c r="K360" s="45">
        <f>+K349/K347</f>
        <v>0.57730160094747895</v>
      </c>
      <c r="L360" s="7"/>
      <c r="M360" s="7"/>
      <c r="N360" s="45">
        <f>+N349/N347</f>
        <v>0.66958707626335434</v>
      </c>
      <c r="O360" s="45">
        <f>+O349/O347</f>
        <v>0.66447136008074703</v>
      </c>
      <c r="P360" s="45">
        <f>+P349/P347</f>
        <v>0.68206914953664266</v>
      </c>
      <c r="Q360" s="45">
        <f>+Q349/Q347</f>
        <v>0.66346268625731142</v>
      </c>
      <c r="R360" s="45">
        <f t="shared" ref="R360:AW360" si="512">+R349/R347</f>
        <v>0.66674227622577698</v>
      </c>
      <c r="S360" s="45">
        <f t="shared" si="512"/>
        <v>0.67392002803983986</v>
      </c>
      <c r="T360" s="45">
        <f t="shared" si="512"/>
        <v>0.65723684821039152</v>
      </c>
      <c r="U360" s="45">
        <f t="shared" si="512"/>
        <v>0.68411519247196884</v>
      </c>
      <c r="V360" s="45">
        <f t="shared" si="512"/>
        <v>0.6950547204940738</v>
      </c>
      <c r="W360" s="45">
        <f t="shared" si="512"/>
        <v>0.67812923153171489</v>
      </c>
      <c r="X360" s="45">
        <f t="shared" si="512"/>
        <v>0.6811215531512852</v>
      </c>
      <c r="Y360" s="45">
        <f t="shared" si="512"/>
        <v>0.68893241016049267</v>
      </c>
      <c r="Z360" s="45">
        <f t="shared" si="512"/>
        <v>0.68288720990278706</v>
      </c>
      <c r="AA360" s="45">
        <f t="shared" si="512"/>
        <v>0.6718638595547185</v>
      </c>
      <c r="AB360" s="45">
        <f t="shared" si="512"/>
        <v>0.65713234617860761</v>
      </c>
      <c r="AC360" s="45">
        <f t="shared" si="512"/>
        <v>0.64035543452946131</v>
      </c>
      <c r="AD360" s="45">
        <f t="shared" si="512"/>
        <v>0.57540723981900455</v>
      </c>
      <c r="AE360" s="45">
        <f t="shared" si="512"/>
        <v>0.54544619422572183</v>
      </c>
      <c r="AF360" s="45">
        <f t="shared" si="512"/>
        <v>0.49434563758389261</v>
      </c>
      <c r="AG360" s="45">
        <f>+AG349/AG347</f>
        <v>0.50366363767488831</v>
      </c>
      <c r="AH360" s="45">
        <f>+AH349/AH347</f>
        <v>0.5740234688956759</v>
      </c>
      <c r="AI360" s="45">
        <f>+AI349/AI347</f>
        <v>0.51580048527467415</v>
      </c>
      <c r="AJ360" s="45">
        <f>+AJ349/AJ347</f>
        <v>0.58921586405201665</v>
      </c>
      <c r="AK360" s="45">
        <f>+AK349/AK347</f>
        <v>0.56844975134425568</v>
      </c>
      <c r="AL360" s="45">
        <f t="shared" si="512"/>
        <v>0.56142820363740431</v>
      </c>
      <c r="AM360" s="45">
        <f t="shared" si="512"/>
        <v>0.55716878705017092</v>
      </c>
      <c r="AN360" s="45">
        <f t="shared" si="512"/>
        <v>0.55481617104588865</v>
      </c>
      <c r="AO360" s="45">
        <f t="shared" si="512"/>
        <v>0.55475748069042019</v>
      </c>
      <c r="AP360" s="45">
        <f t="shared" si="512"/>
        <v>0.55940513361988953</v>
      </c>
      <c r="AQ360" s="45">
        <f t="shared" si="512"/>
        <v>0.56405095652930082</v>
      </c>
      <c r="AR360" s="45">
        <f t="shared" si="512"/>
        <v>0.56869495211142052</v>
      </c>
      <c r="AS360" s="45">
        <f t="shared" si="512"/>
        <v>0.57333712326169572</v>
      </c>
      <c r="AT360" s="45">
        <f t="shared" si="512"/>
        <v>0.57491446513100042</v>
      </c>
      <c r="AU360" s="45">
        <f t="shared" si="512"/>
        <v>0.57649270292852894</v>
      </c>
      <c r="AV360" s="45">
        <f t="shared" si="512"/>
        <v>0.57807152775638804</v>
      </c>
      <c r="AW360" s="45">
        <f t="shared" si="512"/>
        <v>0.57965063025662489</v>
      </c>
      <c r="AX360" s="156"/>
      <c r="AY360" s="156"/>
      <c r="AZ360" s="156"/>
      <c r="BA360" s="156"/>
      <c r="BB360" s="156"/>
      <c r="BC360" s="156"/>
      <c r="BD360" s="156"/>
      <c r="BE360" s="156"/>
      <c r="BF360" s="2">
        <f t="shared" si="472"/>
        <v>354</v>
      </c>
    </row>
    <row r="361" spans="1:58" ht="11.25" hidden="1" customHeight="1" outlineLevel="3">
      <c r="A361" s="47"/>
      <c r="B361" s="185" t="s">
        <v>15</v>
      </c>
      <c r="C361" s="45">
        <f t="shared" ref="C361:J361" si="513">-C350/C347</f>
        <v>0.17004745402327026</v>
      </c>
      <c r="D361" s="45">
        <f t="shared" si="513"/>
        <v>0.17036090035467505</v>
      </c>
      <c r="E361" s="45">
        <f t="shared" si="513"/>
        <v>0.16843228709453603</v>
      </c>
      <c r="F361" s="45">
        <f t="shared" si="513"/>
        <v>0.21868713977285004</v>
      </c>
      <c r="G361" s="45">
        <f t="shared" si="513"/>
        <v>0.30516131230197929</v>
      </c>
      <c r="H361" s="45">
        <f t="shared" si="513"/>
        <v>0.17455480268310122</v>
      </c>
      <c r="I361" s="45">
        <f t="shared" si="513"/>
        <v>0.15696895641910616</v>
      </c>
      <c r="J361" s="45">
        <f t="shared" si="513"/>
        <v>0.15386220060248126</v>
      </c>
      <c r="K361" s="45">
        <f>-K350/K347</f>
        <v>0.15730160094747889</v>
      </c>
      <c r="L361" s="7"/>
      <c r="M361" s="7"/>
      <c r="N361" s="45">
        <f>-N350/N347</f>
        <v>0.17639696446394906</v>
      </c>
      <c r="O361" s="45">
        <f>-O350/O347</f>
        <v>0.17710320464294727</v>
      </c>
      <c r="P361" s="45">
        <f>-P350/P347</f>
        <v>0.16615182520704838</v>
      </c>
      <c r="Q361" s="45">
        <f>-Q350/Q347</f>
        <v>0.16049139233016915</v>
      </c>
      <c r="R361" s="45">
        <f t="shared" ref="R361:AW361" si="514">-R350/R347</f>
        <v>0.16391465055495696</v>
      </c>
      <c r="S361" s="45">
        <f t="shared" si="514"/>
        <v>0.17691386511668661</v>
      </c>
      <c r="T361" s="45">
        <f t="shared" si="514"/>
        <v>0.16640528577129016</v>
      </c>
      <c r="U361" s="45">
        <f t="shared" si="514"/>
        <v>0.17374581266687833</v>
      </c>
      <c r="V361" s="45">
        <f t="shared" si="514"/>
        <v>0.18691249262068024</v>
      </c>
      <c r="W361" s="45">
        <f t="shared" si="514"/>
        <v>0.17237213583382749</v>
      </c>
      <c r="X361" s="45">
        <f t="shared" si="514"/>
        <v>0.1543159813381047</v>
      </c>
      <c r="Y361" s="45">
        <f t="shared" si="514"/>
        <v>0.16179289000348077</v>
      </c>
      <c r="Z361" s="45">
        <f t="shared" si="514"/>
        <v>0.20034192490687308</v>
      </c>
      <c r="AA361" s="45">
        <f t="shared" si="514"/>
        <v>0.20938319768615057</v>
      </c>
      <c r="AB361" s="45">
        <f t="shared" si="514"/>
        <v>0.23349121677549894</v>
      </c>
      <c r="AC361" s="45">
        <f t="shared" si="514"/>
        <v>0.23263584084272376</v>
      </c>
      <c r="AD361" s="45">
        <f t="shared" si="514"/>
        <v>0.32292986425339365</v>
      </c>
      <c r="AE361" s="45">
        <f t="shared" si="514"/>
        <v>0.33148293963254594</v>
      </c>
      <c r="AF361" s="45">
        <f t="shared" si="514"/>
        <v>0.38872483221476506</v>
      </c>
      <c r="AG361" s="45">
        <f>-AG350/AG347</f>
        <v>0.1817395067070533</v>
      </c>
      <c r="AH361" s="45">
        <f>-AH350/AH347</f>
        <v>0.18728719440019875</v>
      </c>
      <c r="AI361" s="45">
        <f>-AI350/AI347</f>
        <v>0.1862096270359016</v>
      </c>
      <c r="AJ361" s="45">
        <f>-AJ350/AJ347</f>
        <v>0.16600069942750562</v>
      </c>
      <c r="AK361" s="45">
        <f>-AK350/AK347</f>
        <v>0.16176823265089743</v>
      </c>
      <c r="AL361" s="45">
        <f t="shared" si="514"/>
        <v>0.16142820363740429</v>
      </c>
      <c r="AM361" s="45">
        <f t="shared" si="514"/>
        <v>0.1571687870501709</v>
      </c>
      <c r="AN361" s="45">
        <f t="shared" si="514"/>
        <v>0.15481617104588874</v>
      </c>
      <c r="AO361" s="45">
        <f t="shared" si="514"/>
        <v>0.15475748069042017</v>
      </c>
      <c r="AP361" s="45">
        <f t="shared" si="514"/>
        <v>0.15440513361988942</v>
      </c>
      <c r="AQ361" s="45">
        <f t="shared" si="514"/>
        <v>0.15405095652930076</v>
      </c>
      <c r="AR361" s="45">
        <f t="shared" si="514"/>
        <v>0.15369495211142059</v>
      </c>
      <c r="AS361" s="45">
        <f t="shared" si="514"/>
        <v>0.15333712326169566</v>
      </c>
      <c r="AT361" s="45">
        <f t="shared" si="514"/>
        <v>0.1549144651310003</v>
      </c>
      <c r="AU361" s="45">
        <f t="shared" si="514"/>
        <v>0.15649270292852882</v>
      </c>
      <c r="AV361" s="45">
        <f t="shared" si="514"/>
        <v>0.158071527756388</v>
      </c>
      <c r="AW361" s="45">
        <f t="shared" si="514"/>
        <v>0.15965063025662482</v>
      </c>
      <c r="AX361" s="156"/>
      <c r="AY361" s="156"/>
      <c r="AZ361" s="156"/>
      <c r="BA361" s="156"/>
      <c r="BB361" s="156"/>
      <c r="BC361" s="156"/>
      <c r="BD361" s="156"/>
      <c r="BE361" s="156"/>
      <c r="BF361" s="2">
        <f t="shared" si="472"/>
        <v>355</v>
      </c>
    </row>
    <row r="362" spans="1:58" ht="11.25" hidden="1" customHeight="1" outlineLevel="3">
      <c r="A362" s="47"/>
      <c r="B362" s="185" t="s">
        <v>14</v>
      </c>
      <c r="C362" s="45">
        <f t="shared" ref="C362:J362" si="515">+C351/C347</f>
        <v>0.49984775490087291</v>
      </c>
      <c r="D362" s="45">
        <f t="shared" si="515"/>
        <v>0.50032915371717113</v>
      </c>
      <c r="E362" s="45">
        <f t="shared" si="515"/>
        <v>0.51729449293120411</v>
      </c>
      <c r="F362" s="45">
        <f t="shared" si="515"/>
        <v>0.44362150362092051</v>
      </c>
      <c r="G362" s="45">
        <f t="shared" si="515"/>
        <v>0.22906346881068385</v>
      </c>
      <c r="H362" s="45">
        <f t="shared" si="515"/>
        <v>0.38831420885968199</v>
      </c>
      <c r="I362" s="45">
        <f t="shared" si="515"/>
        <v>0.40000000000000008</v>
      </c>
      <c r="J362" s="45">
        <f t="shared" si="515"/>
        <v>0.41263820855197725</v>
      </c>
      <c r="K362" s="45">
        <f>+K351/K347</f>
        <v>0.4200000000000001</v>
      </c>
      <c r="L362" s="7"/>
      <c r="M362" s="7"/>
      <c r="N362" s="45">
        <f>+N351/N347</f>
        <v>0.49319011179940536</v>
      </c>
      <c r="O362" s="45">
        <f>+O351/O347</f>
        <v>0.48736815543779971</v>
      </c>
      <c r="P362" s="45">
        <f>+P351/P347</f>
        <v>0.51591732432959436</v>
      </c>
      <c r="Q362" s="45">
        <f>+Q351/Q347</f>
        <v>0.50297129392714224</v>
      </c>
      <c r="R362" s="45">
        <f t="shared" ref="R362:AW362" si="516">+R351/R347</f>
        <v>0.50282762567082007</v>
      </c>
      <c r="S362" s="45">
        <f t="shared" si="516"/>
        <v>0.49700616292315325</v>
      </c>
      <c r="T362" s="45">
        <f t="shared" si="516"/>
        <v>0.49083156243910137</v>
      </c>
      <c r="U362" s="45">
        <f t="shared" si="516"/>
        <v>0.51036937980509056</v>
      </c>
      <c r="V362" s="45">
        <f t="shared" si="516"/>
        <v>0.50814222787339358</v>
      </c>
      <c r="W362" s="45">
        <f t="shared" si="516"/>
        <v>0.5057570956978874</v>
      </c>
      <c r="X362" s="45">
        <f t="shared" si="516"/>
        <v>0.52680557181318044</v>
      </c>
      <c r="Y362" s="45">
        <f t="shared" si="516"/>
        <v>0.52713952015701193</v>
      </c>
      <c r="Z362" s="45">
        <f t="shared" si="516"/>
        <v>0.48254528499591387</v>
      </c>
      <c r="AA362" s="45">
        <f t="shared" si="516"/>
        <v>0.46248066186856795</v>
      </c>
      <c r="AB362" s="45">
        <f t="shared" si="516"/>
        <v>0.42364112940310866</v>
      </c>
      <c r="AC362" s="45">
        <f t="shared" si="516"/>
        <v>0.40771959368673749</v>
      </c>
      <c r="AD362" s="45">
        <f t="shared" si="516"/>
        <v>0.2524773755656109</v>
      </c>
      <c r="AE362" s="45">
        <f t="shared" si="516"/>
        <v>0.21396325459317586</v>
      </c>
      <c r="AF362" s="45">
        <f t="shared" si="516"/>
        <v>0.10562080536912755</v>
      </c>
      <c r="AG362" s="45">
        <f>+AG351/AG347</f>
        <v>0.32192413096783501</v>
      </c>
      <c r="AH362" s="45">
        <f>+AH351/AH347</f>
        <v>0.38673627449547721</v>
      </c>
      <c r="AI362" s="45">
        <f>+AI351/AI347</f>
        <v>0.32959085823877254</v>
      </c>
      <c r="AJ362" s="45">
        <f>+AJ351/AJ347</f>
        <v>0.42321516462451109</v>
      </c>
      <c r="AK362" s="45">
        <f>+AK351/AK347</f>
        <v>0.40668151869335828</v>
      </c>
      <c r="AL362" s="45">
        <f t="shared" si="516"/>
        <v>0.4</v>
      </c>
      <c r="AM362" s="45">
        <f t="shared" si="516"/>
        <v>0.39999999999999997</v>
      </c>
      <c r="AN362" s="45">
        <f t="shared" si="516"/>
        <v>0.39999999999999997</v>
      </c>
      <c r="AO362" s="45">
        <f t="shared" si="516"/>
        <v>0.4</v>
      </c>
      <c r="AP362" s="45">
        <f t="shared" si="516"/>
        <v>0.40500000000000008</v>
      </c>
      <c r="AQ362" s="45">
        <f t="shared" si="516"/>
        <v>0.41000000000000003</v>
      </c>
      <c r="AR362" s="45">
        <f t="shared" si="516"/>
        <v>0.41499999999999998</v>
      </c>
      <c r="AS362" s="45">
        <f t="shared" si="516"/>
        <v>0.42000000000000004</v>
      </c>
      <c r="AT362" s="45">
        <f t="shared" si="516"/>
        <v>0.42000000000000004</v>
      </c>
      <c r="AU362" s="45">
        <f t="shared" si="516"/>
        <v>0.4200000000000001</v>
      </c>
      <c r="AV362" s="45">
        <f t="shared" si="516"/>
        <v>0.42000000000000004</v>
      </c>
      <c r="AW362" s="45">
        <f t="shared" si="516"/>
        <v>0.42000000000000004</v>
      </c>
      <c r="AX362" s="156"/>
      <c r="AY362" s="156"/>
      <c r="AZ362" s="156"/>
      <c r="BA362" s="156"/>
      <c r="BB362" s="156"/>
      <c r="BC362" s="156"/>
      <c r="BD362" s="156"/>
      <c r="BE362" s="156"/>
      <c r="BF362" s="2">
        <f t="shared" si="472"/>
        <v>356</v>
      </c>
    </row>
    <row r="363" spans="1:58" ht="11.25" hidden="1" customHeight="1" outlineLevel="3">
      <c r="A363" s="47"/>
      <c r="B363" s="185" t="s">
        <v>13</v>
      </c>
      <c r="C363" s="45">
        <f t="shared" ref="C363:J363" si="517">+C353/C347</f>
        <v>0.30542947310293567</v>
      </c>
      <c r="D363" s="45">
        <f t="shared" si="517"/>
        <v>0.29842912581066033</v>
      </c>
      <c r="E363" s="45">
        <f t="shared" si="517"/>
        <v>0.31398745898951008</v>
      </c>
      <c r="F363" s="45">
        <f t="shared" si="517"/>
        <v>0.1108346380537059</v>
      </c>
      <c r="G363" s="45">
        <f t="shared" si="517"/>
        <v>-0.32072019895751691</v>
      </c>
      <c r="H363" s="45">
        <f t="shared" si="517"/>
        <v>-5.9075896353297727E-2</v>
      </c>
      <c r="I363" s="45">
        <f t="shared" si="517"/>
        <v>8.38005031464608E-2</v>
      </c>
      <c r="J363" s="45">
        <f t="shared" si="517"/>
        <v>0.17202221614380969</v>
      </c>
      <c r="K363" s="45">
        <f>+K353/K347</f>
        <v>0.21062821732385439</v>
      </c>
      <c r="L363" s="7"/>
      <c r="M363" s="7"/>
      <c r="N363" s="45">
        <f>+N353/N347</f>
        <v>0.30222806656210227</v>
      </c>
      <c r="O363" s="45">
        <f>+O353/O347</f>
        <v>0.29934897804693422</v>
      </c>
      <c r="P363" s="45">
        <f>+P353/P347</f>
        <v>0.3220358986463604</v>
      </c>
      <c r="Q363" s="45">
        <f>+Q353/Q347</f>
        <v>0.29803245846676024</v>
      </c>
      <c r="R363" s="45">
        <f t="shared" ref="R363:AW363" si="518">+R353/R347</f>
        <v>0.28969115213502494</v>
      </c>
      <c r="S363" s="45">
        <f t="shared" si="518"/>
        <v>0.29238835178315853</v>
      </c>
      <c r="T363" s="45">
        <f t="shared" si="518"/>
        <v>0.29414630524958008</v>
      </c>
      <c r="U363" s="45">
        <f t="shared" si="518"/>
        <v>0.31568801964300891</v>
      </c>
      <c r="V363" s="45">
        <f t="shared" si="518"/>
        <v>0.30371463602924481</v>
      </c>
      <c r="W363" s="45">
        <f t="shared" si="518"/>
        <v>0.29625368392172829</v>
      </c>
      <c r="X363" s="45">
        <f t="shared" si="518"/>
        <v>0.32654136218457891</v>
      </c>
      <c r="Y363" s="45">
        <f t="shared" si="518"/>
        <v>0.32768721718745403</v>
      </c>
      <c r="Z363" s="45">
        <f t="shared" si="518"/>
        <v>0.23645962328097497</v>
      </c>
      <c r="AA363" s="45">
        <f t="shared" si="518"/>
        <v>0.12798816170041025</v>
      </c>
      <c r="AB363" s="45">
        <f t="shared" si="518"/>
        <v>5.0538029982525587E-2</v>
      </c>
      <c r="AC363" s="45">
        <f t="shared" si="518"/>
        <v>-9.405399595119851E-3</v>
      </c>
      <c r="AD363" s="45">
        <f t="shared" si="518"/>
        <v>-0.27675339366515828</v>
      </c>
      <c r="AE363" s="45">
        <f t="shared" si="518"/>
        <v>-0.36809711286089236</v>
      </c>
      <c r="AF363" s="45">
        <f t="shared" si="518"/>
        <v>-0.55901006711409396</v>
      </c>
      <c r="AG363" s="45">
        <f>+AG353/AG347</f>
        <v>-0.11986153180441346</v>
      </c>
      <c r="AH363" s="45">
        <f>+AH353/AH347</f>
        <v>-0.12076763455159213</v>
      </c>
      <c r="AI363" s="45">
        <f>+AI353/AI347</f>
        <v>-0.1588657067720517</v>
      </c>
      <c r="AJ363" s="45">
        <f>+AJ353/AJ347</f>
        <v>1.0824935885812041E-2</v>
      </c>
      <c r="AK363" s="45">
        <f>+AK353/AK347</f>
        <v>1.2783051018605055E-2</v>
      </c>
      <c r="AL363" s="45">
        <f t="shared" si="518"/>
        <v>3.2120663716947967E-2</v>
      </c>
      <c r="AM363" s="45">
        <f t="shared" si="518"/>
        <v>6.9657376163344678E-2</v>
      </c>
      <c r="AN363" s="45">
        <f t="shared" si="518"/>
        <v>0.10150726480422012</v>
      </c>
      <c r="AO363" s="45">
        <f t="shared" si="518"/>
        <v>0.12801461897427552</v>
      </c>
      <c r="AP363" s="45">
        <f t="shared" si="518"/>
        <v>0.14651554214006179</v>
      </c>
      <c r="AQ363" s="45">
        <f t="shared" si="518"/>
        <v>0.16345625393829974</v>
      </c>
      <c r="AR363" s="45">
        <f t="shared" si="518"/>
        <v>0.18003497745175503</v>
      </c>
      <c r="AS363" s="45">
        <f t="shared" si="518"/>
        <v>0.19624929791581019</v>
      </c>
      <c r="AT363" s="45">
        <f t="shared" si="518"/>
        <v>0.20440224297734605</v>
      </c>
      <c r="AU363" s="45">
        <f t="shared" si="518"/>
        <v>0.20848900467387935</v>
      </c>
      <c r="AV363" s="45">
        <f t="shared" si="518"/>
        <v>0.21262286260016183</v>
      </c>
      <c r="AW363" s="45">
        <f t="shared" si="518"/>
        <v>0.21679702482368318</v>
      </c>
      <c r="AX363" s="156"/>
      <c r="AY363" s="156"/>
      <c r="AZ363" s="156"/>
      <c r="BA363" s="156"/>
      <c r="BB363" s="156"/>
      <c r="BC363" s="156"/>
      <c r="BD363" s="156"/>
      <c r="BE363" s="156"/>
      <c r="BF363" s="2">
        <f t="shared" si="472"/>
        <v>357</v>
      </c>
    </row>
    <row r="364" spans="1:58" ht="11.25" hidden="1" customHeight="1" outlineLevel="3">
      <c r="A364" s="47"/>
      <c r="B364" s="185" t="s">
        <v>12</v>
      </c>
      <c r="C364" s="45">
        <f>+C347/AVERAGE(C356:C356)</f>
        <v>0.7131607907221541</v>
      </c>
      <c r="D364" s="45">
        <f>+D347/AVERAGE(C356:D356)</f>
        <v>0.71904317831501452</v>
      </c>
      <c r="E364" s="45">
        <f>+E347/AVERAGE(D356:E356)</f>
        <v>0.72469800295025399</v>
      </c>
      <c r="F364" s="45"/>
      <c r="G364" s="45"/>
      <c r="H364" s="45"/>
      <c r="I364" s="45"/>
      <c r="J364" s="45"/>
      <c r="K364" s="45"/>
      <c r="L364" s="7"/>
      <c r="M364" s="7"/>
      <c r="N364" s="45">
        <f>+N347/AVERAGE(N356:N356)</f>
        <v>0.18949722794868201</v>
      </c>
      <c r="O364" s="45">
        <f t="shared" ref="O364:AC364" si="519">+O347/AVERAGE(N356:O356)</f>
        <v>0.19689010024850978</v>
      </c>
      <c r="P364" s="45">
        <f t="shared" si="519"/>
        <v>0.18876845057543856</v>
      </c>
      <c r="Q364" s="45">
        <f t="shared" si="519"/>
        <v>0.18023712383169813</v>
      </c>
      <c r="R364" s="45">
        <f t="shared" si="519"/>
        <v>0.17776301350091298</v>
      </c>
      <c r="S364" s="45">
        <f t="shared" si="519"/>
        <v>0.18868567497275415</v>
      </c>
      <c r="T364" s="45">
        <f t="shared" si="519"/>
        <v>0.19242992761176872</v>
      </c>
      <c r="U364" s="45">
        <f t="shared" si="519"/>
        <v>0.18603530819370417</v>
      </c>
      <c r="V364" s="45">
        <f t="shared" si="519"/>
        <v>0.17888766494773337</v>
      </c>
      <c r="W364" s="45">
        <f t="shared" si="519"/>
        <v>0.18356208669856788</v>
      </c>
      <c r="X364" s="45">
        <f t="shared" si="519"/>
        <v>0.18925684699567694</v>
      </c>
      <c r="Y364" s="45">
        <f t="shared" si="519"/>
        <v>0.18440136429773121</v>
      </c>
      <c r="Z364" s="45">
        <f t="shared" si="519"/>
        <v>0.14983803648536168</v>
      </c>
      <c r="AA364" s="45">
        <f t="shared" si="519"/>
        <v>0.11007300934587742</v>
      </c>
      <c r="AB364" s="45">
        <f t="shared" si="519"/>
        <v>9.7761889901362212E-2</v>
      </c>
      <c r="AC364" s="45">
        <f t="shared" si="519"/>
        <v>8.7580784601070369E-2</v>
      </c>
      <c r="AD364" s="32">
        <f t="shared" ref="AD364:AW364" si="520">IFERROR(+AD347/AVERAGE(AC356:AD356),0)</f>
        <v>7.0386844985315514E-2</v>
      </c>
      <c r="AE364" s="32">
        <f t="shared" si="520"/>
        <v>6.3808861476572235E-2</v>
      </c>
      <c r="AF364" s="32">
        <f t="shared" si="520"/>
        <v>5.8608490855944557E-2</v>
      </c>
      <c r="AG364" s="32">
        <f t="shared" si="520"/>
        <v>7.7761701268548727E-2</v>
      </c>
      <c r="AH364" s="32">
        <f t="shared" si="520"/>
        <v>8.4398994330932217E-2</v>
      </c>
      <c r="AI364" s="32">
        <f t="shared" si="520"/>
        <v>9.1169257281903837E-2</v>
      </c>
      <c r="AJ364" s="32">
        <f t="shared" si="520"/>
        <v>0.10844140931975861</v>
      </c>
      <c r="AK364" s="32">
        <f t="shared" si="520"/>
        <v>0.11740863989235145</v>
      </c>
      <c r="AL364" s="32">
        <f t="shared" si="520"/>
        <v>0.11975371360306984</v>
      </c>
      <c r="AM364" s="32">
        <f t="shared" si="520"/>
        <v>0</v>
      </c>
      <c r="AN364" s="32">
        <f t="shared" si="520"/>
        <v>0</v>
      </c>
      <c r="AO364" s="32">
        <f t="shared" si="520"/>
        <v>0</v>
      </c>
      <c r="AP364" s="32">
        <f t="shared" si="520"/>
        <v>0</v>
      </c>
      <c r="AQ364" s="32">
        <f t="shared" si="520"/>
        <v>0</v>
      </c>
      <c r="AR364" s="32">
        <f t="shared" si="520"/>
        <v>0</v>
      </c>
      <c r="AS364" s="32">
        <f t="shared" si="520"/>
        <v>0</v>
      </c>
      <c r="AT364" s="32">
        <f t="shared" si="520"/>
        <v>0</v>
      </c>
      <c r="AU364" s="32">
        <f t="shared" si="520"/>
        <v>0</v>
      </c>
      <c r="AV364" s="32">
        <f t="shared" si="520"/>
        <v>0</v>
      </c>
      <c r="AW364" s="32">
        <f t="shared" si="520"/>
        <v>0</v>
      </c>
      <c r="AX364" s="44"/>
      <c r="AY364" s="44"/>
      <c r="AZ364" s="44"/>
      <c r="BA364" s="44"/>
      <c r="BB364" s="44"/>
      <c r="BC364" s="44"/>
      <c r="BD364" s="44"/>
      <c r="BE364" s="44"/>
      <c r="BF364" s="2">
        <f t="shared" si="472"/>
        <v>358</v>
      </c>
    </row>
    <row r="365" spans="1:58" ht="11.25" hidden="1" customHeight="1" outlineLevel="3">
      <c r="A365" s="47"/>
      <c r="B365" s="185" t="s">
        <v>11</v>
      </c>
      <c r="C365" s="45">
        <f>+C353/AVERAGE(C356:C356)</f>
        <v>0.21782032454794051</v>
      </c>
      <c r="D365" s="45">
        <f>+D353/AVERAGE(C356:D356)</f>
        <v>0.21458342712466852</v>
      </c>
      <c r="E365" s="45">
        <f>+E353/AVERAGE(D356:E356)</f>
        <v>0.22754608448112273</v>
      </c>
      <c r="F365" s="45"/>
      <c r="G365" s="45"/>
      <c r="H365" s="45"/>
      <c r="I365" s="45"/>
      <c r="J365" s="45"/>
      <c r="K365" s="45"/>
      <c r="L365" s="7"/>
      <c r="M365" s="7"/>
      <c r="N365" s="45">
        <f>+N353/AVERAGE(N356:N356)</f>
        <v>5.7271380821808139E-2</v>
      </c>
      <c r="O365" s="45">
        <f t="shared" ref="O365:AC365" si="521">+O353/AVERAGE(N356:O356)</f>
        <v>5.8938850296949834E-2</v>
      </c>
      <c r="P365" s="45">
        <f t="shared" si="521"/>
        <v>6.0790217617142421E-2</v>
      </c>
      <c r="Q365" s="45">
        <f t="shared" si="521"/>
        <v>5.3716513122538896E-2</v>
      </c>
      <c r="R365" s="45">
        <f t="shared" si="521"/>
        <v>5.1496372188073472E-2</v>
      </c>
      <c r="S365" s="45">
        <f t="shared" si="521"/>
        <v>5.5169493510376352E-2</v>
      </c>
      <c r="T365" s="45">
        <f t="shared" si="521"/>
        <v>5.6602552226445918E-2</v>
      </c>
      <c r="U365" s="45">
        <f t="shared" si="521"/>
        <v>5.8729118027347295E-2</v>
      </c>
      <c r="V365" s="45">
        <f t="shared" si="521"/>
        <v>5.4330802049722335E-2</v>
      </c>
      <c r="W365" s="45">
        <f t="shared" si="521"/>
        <v>5.4380944412810418E-2</v>
      </c>
      <c r="X365" s="45">
        <f t="shared" si="521"/>
        <v>6.1800188620726781E-2</v>
      </c>
      <c r="Y365" s="45">
        <f t="shared" si="521"/>
        <v>6.042596991229348E-2</v>
      </c>
      <c r="Z365" s="45">
        <f t="shared" si="521"/>
        <v>3.5430645660489604E-2</v>
      </c>
      <c r="AA365" s="45">
        <f t="shared" si="521"/>
        <v>1.408804211901093E-2</v>
      </c>
      <c r="AB365" s="45">
        <f t="shared" si="521"/>
        <v>4.9406933229834086E-3</v>
      </c>
      <c r="AC365" s="45">
        <f t="shared" si="521"/>
        <v>-8.2373227602718622E-4</v>
      </c>
      <c r="AD365" s="45">
        <f t="shared" ref="AD365:AW365" si="522">IFERROR(+AD353/AVERAGE(AC356:AD356),0)</f>
        <v>-1.9479798219069495E-2</v>
      </c>
      <c r="AE365" s="45">
        <f t="shared" si="522"/>
        <v>-2.3487857684466856E-2</v>
      </c>
      <c r="AF365" s="45">
        <f t="shared" si="522"/>
        <v>-3.2762736406837328E-2</v>
      </c>
      <c r="AG365" s="45">
        <f t="shared" si="522"/>
        <v>-9.3206366297654518E-3</v>
      </c>
      <c r="AH365" s="45">
        <f t="shared" si="522"/>
        <v>-1.0192666903879918E-2</v>
      </c>
      <c r="AI365" s="45">
        <f t="shared" si="522"/>
        <v>-1.4483668493972675E-2</v>
      </c>
      <c r="AJ365" s="45">
        <f t="shared" si="522"/>
        <v>1.1738713032534872E-3</v>
      </c>
      <c r="AK365" s="45">
        <f t="shared" si="522"/>
        <v>1.5008406337689573E-3</v>
      </c>
      <c r="AL365" s="45">
        <f t="shared" si="522"/>
        <v>3.8465687634999038E-3</v>
      </c>
      <c r="AM365" s="45">
        <f t="shared" si="522"/>
        <v>0</v>
      </c>
      <c r="AN365" s="45">
        <f t="shared" si="522"/>
        <v>0</v>
      </c>
      <c r="AO365" s="45">
        <f t="shared" si="522"/>
        <v>0</v>
      </c>
      <c r="AP365" s="45">
        <f t="shared" si="522"/>
        <v>0</v>
      </c>
      <c r="AQ365" s="45">
        <f t="shared" si="522"/>
        <v>0</v>
      </c>
      <c r="AR365" s="45">
        <f t="shared" si="522"/>
        <v>0</v>
      </c>
      <c r="AS365" s="45">
        <f t="shared" si="522"/>
        <v>0</v>
      </c>
      <c r="AT365" s="45">
        <f t="shared" si="522"/>
        <v>0</v>
      </c>
      <c r="AU365" s="45">
        <f t="shared" si="522"/>
        <v>0</v>
      </c>
      <c r="AV365" s="45">
        <f t="shared" si="522"/>
        <v>0</v>
      </c>
      <c r="AW365" s="45">
        <f t="shared" si="522"/>
        <v>0</v>
      </c>
      <c r="AX365" s="44"/>
      <c r="AY365" s="44"/>
      <c r="AZ365" s="44"/>
      <c r="BA365" s="44"/>
      <c r="BB365" s="44"/>
      <c r="BC365" s="44"/>
      <c r="BD365" s="44"/>
      <c r="BE365" s="44"/>
      <c r="BF365" s="2">
        <f t="shared" si="472"/>
        <v>359</v>
      </c>
    </row>
    <row r="366" spans="1:58" ht="11.25" hidden="1" customHeight="1" outlineLevel="3">
      <c r="A366" s="47"/>
      <c r="B366" s="185"/>
      <c r="C366" s="45"/>
      <c r="D366" s="45"/>
      <c r="E366" s="45"/>
      <c r="F366" s="45"/>
      <c r="G366" s="45"/>
      <c r="H366" s="45"/>
      <c r="I366" s="45"/>
      <c r="J366" s="45"/>
      <c r="K366" s="45"/>
      <c r="L366" s="7"/>
      <c r="M366" s="7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  <c r="AG366" s="45"/>
      <c r="AH366" s="45"/>
      <c r="AI366" s="45"/>
      <c r="AJ366" s="45"/>
      <c r="AK366" s="45"/>
      <c r="AL366" s="45"/>
      <c r="AM366" s="45"/>
      <c r="AN366" s="45"/>
      <c r="AO366" s="45"/>
      <c r="AP366" s="45"/>
      <c r="AQ366" s="45"/>
      <c r="AR366" s="45"/>
      <c r="AS366" s="45"/>
      <c r="AT366" s="45"/>
      <c r="AU366" s="45"/>
      <c r="AV366" s="45"/>
      <c r="AW366" s="45"/>
      <c r="AX366" s="44"/>
      <c r="AY366" s="44"/>
      <c r="AZ366" s="44"/>
      <c r="BA366" s="44"/>
      <c r="BB366" s="44"/>
      <c r="BC366" s="44"/>
      <c r="BD366" s="44"/>
      <c r="BE366" s="44"/>
      <c r="BF366" s="2">
        <f t="shared" si="472"/>
        <v>360</v>
      </c>
    </row>
    <row r="367" spans="1:58" ht="11.25" hidden="1" customHeight="1" outlineLevel="2" collapsed="1">
      <c r="A367" s="50" t="s">
        <v>5</v>
      </c>
      <c r="B367" s="183" t="s">
        <v>799</v>
      </c>
      <c r="C367" s="48"/>
      <c r="D367" s="48"/>
      <c r="E367" s="48"/>
      <c r="F367" s="48"/>
      <c r="G367" s="48"/>
      <c r="H367" s="48"/>
      <c r="I367" s="48"/>
      <c r="J367" s="48"/>
      <c r="K367" s="48"/>
      <c r="L367" s="49"/>
      <c r="M367" s="3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  <c r="AB367" s="48"/>
      <c r="AC367" s="48"/>
      <c r="AD367" s="48"/>
      <c r="AE367" s="48"/>
      <c r="AF367" s="48"/>
      <c r="AG367" s="48"/>
      <c r="AH367" s="48"/>
      <c r="AI367" s="48"/>
      <c r="AJ367" s="48"/>
      <c r="AK367" s="48"/>
      <c r="AL367" s="48"/>
      <c r="AM367" s="48"/>
      <c r="AN367" s="48"/>
      <c r="AO367" s="48"/>
      <c r="AP367" s="48"/>
      <c r="AQ367" s="48"/>
      <c r="AR367" s="48"/>
      <c r="AS367" s="48"/>
      <c r="AT367" s="48"/>
      <c r="AU367" s="48"/>
      <c r="AV367" s="48"/>
      <c r="AW367" s="48"/>
      <c r="AX367" s="5"/>
      <c r="AY367" s="5"/>
      <c r="AZ367" s="5"/>
      <c r="BA367" s="5"/>
      <c r="BB367" s="5"/>
      <c r="BC367" s="5"/>
      <c r="BD367" s="5"/>
      <c r="BE367" s="5"/>
      <c r="BF367" s="2">
        <f t="shared" si="472"/>
        <v>361</v>
      </c>
    </row>
    <row r="368" spans="1:58" ht="11.25" hidden="1" customHeight="1" outlineLevel="3">
      <c r="A368" s="50"/>
      <c r="B368" s="196" t="s">
        <v>28</v>
      </c>
      <c r="C368" s="48"/>
      <c r="D368" s="48"/>
      <c r="E368" s="48"/>
      <c r="F368" s="48"/>
      <c r="G368" s="48"/>
      <c r="H368" s="48"/>
      <c r="I368" s="48"/>
      <c r="J368" s="48"/>
      <c r="K368" s="48"/>
      <c r="L368" s="49"/>
      <c r="M368" s="3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  <c r="AB368" s="48"/>
      <c r="AC368" s="48"/>
      <c r="AD368" s="48"/>
      <c r="AE368" s="48"/>
      <c r="AF368" s="48"/>
      <c r="AG368" s="48"/>
      <c r="AH368" s="48"/>
      <c r="AI368" s="48"/>
      <c r="AJ368" s="48"/>
      <c r="AK368" s="48"/>
      <c r="AL368" s="48"/>
      <c r="AM368" s="48"/>
      <c r="AN368" s="48"/>
      <c r="AO368" s="48"/>
      <c r="AP368" s="48"/>
      <c r="AQ368" s="48"/>
      <c r="AR368" s="48"/>
      <c r="AS368" s="48"/>
      <c r="AT368" s="48"/>
      <c r="AU368" s="48"/>
      <c r="AV368" s="48"/>
      <c r="AW368" s="48"/>
      <c r="AX368" s="5"/>
      <c r="AY368" s="5"/>
      <c r="AZ368" s="5"/>
      <c r="BA368" s="5"/>
      <c r="BB368" s="5"/>
      <c r="BC368" s="5"/>
      <c r="BD368" s="5"/>
      <c r="BE368" s="5"/>
      <c r="BF368" s="2">
        <f t="shared" si="472"/>
        <v>362</v>
      </c>
    </row>
    <row r="369" spans="1:58" ht="11.25" hidden="1" customHeight="1" outlineLevel="3">
      <c r="A369" s="52"/>
      <c r="B369" s="188" t="s">
        <v>27</v>
      </c>
      <c r="C369" s="51">
        <f t="shared" ref="C369:K370" si="523">SUMIFS($N369:$AX369,$N$4:$AX$4,C$4)</f>
        <v>1593.9770000000001</v>
      </c>
      <c r="D369" s="51">
        <f t="shared" si="523"/>
        <v>1596.7040000000002</v>
      </c>
      <c r="E369" s="51">
        <f t="shared" si="523"/>
        <v>1727.904</v>
      </c>
      <c r="F369" s="51">
        <f t="shared" si="523"/>
        <v>934.01900000000001</v>
      </c>
      <c r="G369" s="51">
        <f t="shared" si="523"/>
        <v>523.96500000000003</v>
      </c>
      <c r="H369" s="51">
        <f t="shared" si="523"/>
        <v>935.18299999999999</v>
      </c>
      <c r="I369" s="51">
        <f t="shared" si="523"/>
        <v>1198.2659712</v>
      </c>
      <c r="J369" s="51">
        <f t="shared" si="523"/>
        <v>1559.4147398775051</v>
      </c>
      <c r="K369" s="51">
        <f t="shared" si="523"/>
        <v>1606.0366704217649</v>
      </c>
      <c r="L369" s="7"/>
      <c r="M369" s="7"/>
      <c r="N369" s="51">
        <f t="shared" ref="N369:AW369" si="524">+N12</f>
        <v>279.67599999999999</v>
      </c>
      <c r="O369" s="51">
        <f t="shared" si="524"/>
        <v>475.36900000000003</v>
      </c>
      <c r="P369" s="51">
        <f t="shared" si="524"/>
        <v>421.19400000000002</v>
      </c>
      <c r="Q369" s="51">
        <f t="shared" si="524"/>
        <v>417.738</v>
      </c>
      <c r="R369" s="51">
        <f t="shared" si="524"/>
        <v>425.983</v>
      </c>
      <c r="S369" s="51">
        <f t="shared" si="524"/>
        <v>398.21600000000001</v>
      </c>
      <c r="T369" s="51">
        <f t="shared" si="524"/>
        <v>398.01600000000002</v>
      </c>
      <c r="U369" s="51">
        <f t="shared" si="524"/>
        <v>374.48899999999998</v>
      </c>
      <c r="V369" s="51">
        <f t="shared" si="524"/>
        <v>389.87700000000001</v>
      </c>
      <c r="W369" s="51">
        <f t="shared" si="524"/>
        <v>398.048</v>
      </c>
      <c r="X369" s="51">
        <f t="shared" si="524"/>
        <v>470.84899999999999</v>
      </c>
      <c r="Y369" s="51">
        <f t="shared" si="524"/>
        <v>469.13</v>
      </c>
      <c r="Z369" s="51">
        <f t="shared" si="524"/>
        <v>350.99200000000002</v>
      </c>
      <c r="AA369" s="51">
        <f t="shared" si="524"/>
        <v>226.363</v>
      </c>
      <c r="AB369" s="51">
        <f t="shared" si="524"/>
        <v>202.845</v>
      </c>
      <c r="AC369" s="51">
        <f t="shared" si="524"/>
        <v>153.81899999999999</v>
      </c>
      <c r="AD369" s="51">
        <f t="shared" si="524"/>
        <v>132.47200000000001</v>
      </c>
      <c r="AE369" s="51">
        <f t="shared" si="524"/>
        <v>115.893</v>
      </c>
      <c r="AF369" s="51">
        <f t="shared" si="524"/>
        <v>125.02200000000001</v>
      </c>
      <c r="AG369" s="51">
        <f t="shared" si="524"/>
        <v>150.578</v>
      </c>
      <c r="AH369" s="51">
        <f t="shared" si="524"/>
        <v>204.97900000000001</v>
      </c>
      <c r="AI369" s="51">
        <f t="shared" si="524"/>
        <v>249.07900000000001</v>
      </c>
      <c r="AJ369" s="51">
        <f t="shared" si="524"/>
        <v>248.405</v>
      </c>
      <c r="AK369" s="51">
        <f t="shared" si="524"/>
        <v>232.72</v>
      </c>
      <c r="AL369" s="51">
        <f t="shared" si="524"/>
        <v>237.37440000000001</v>
      </c>
      <c r="AM369" s="51">
        <f t="shared" si="524"/>
        <v>272.98055999999997</v>
      </c>
      <c r="AN369" s="51">
        <f t="shared" si="524"/>
        <v>327.57667199999997</v>
      </c>
      <c r="AO369" s="51">
        <f t="shared" si="524"/>
        <v>360.33433919999999</v>
      </c>
      <c r="AP369" s="51">
        <f t="shared" si="524"/>
        <v>378.35105615999998</v>
      </c>
      <c r="AQ369" s="51">
        <f t="shared" si="524"/>
        <v>385.91807728319998</v>
      </c>
      <c r="AR369" s="51">
        <f t="shared" si="524"/>
        <v>393.63643882886396</v>
      </c>
      <c r="AS369" s="51">
        <f t="shared" si="524"/>
        <v>401.50916760544123</v>
      </c>
      <c r="AT369" s="51">
        <f t="shared" si="524"/>
        <v>401.50916760544123</v>
      </c>
      <c r="AU369" s="51">
        <f t="shared" si="524"/>
        <v>401.50916760544123</v>
      </c>
      <c r="AV369" s="51">
        <f t="shared" si="524"/>
        <v>401.50916760544123</v>
      </c>
      <c r="AW369" s="51">
        <f t="shared" si="524"/>
        <v>401.50916760544123</v>
      </c>
      <c r="AX369" s="53"/>
      <c r="AY369" s="53"/>
      <c r="AZ369" s="53"/>
      <c r="BA369" s="53"/>
      <c r="BB369" s="53"/>
      <c r="BC369" s="53"/>
      <c r="BD369" s="53"/>
      <c r="BE369" s="53"/>
      <c r="BF369" s="2">
        <f t="shared" si="472"/>
        <v>363</v>
      </c>
    </row>
    <row r="370" spans="1:58" ht="11.25" hidden="1" customHeight="1" outlineLevel="3">
      <c r="A370" s="52"/>
      <c r="B370" s="188" t="s">
        <v>26</v>
      </c>
      <c r="C370" s="51">
        <f t="shared" si="523"/>
        <v>-1039.732</v>
      </c>
      <c r="D370" s="51">
        <f t="shared" si="523"/>
        <v>-1083.4939999999999</v>
      </c>
      <c r="E370" s="51">
        <f t="shared" si="523"/>
        <v>-1201.4970000000003</v>
      </c>
      <c r="F370" s="51">
        <f t="shared" si="523"/>
        <v>-773.11900000000003</v>
      </c>
      <c r="G370" s="51">
        <f t="shared" si="523"/>
        <v>-515.78399999999999</v>
      </c>
      <c r="H370" s="51">
        <f t="shared" si="523"/>
        <v>-791.58100000000002</v>
      </c>
      <c r="I370" s="51">
        <f t="shared" si="523"/>
        <v>-914.93923844849996</v>
      </c>
      <c r="J370" s="51">
        <f t="shared" si="523"/>
        <v>-1152.2741868873691</v>
      </c>
      <c r="K370" s="51">
        <f t="shared" si="523"/>
        <v>-1184.1771610289843</v>
      </c>
      <c r="L370" s="7"/>
      <c r="M370" s="7"/>
      <c r="N370" s="40">
        <v>-185.66200000000001</v>
      </c>
      <c r="O370" s="40">
        <v>-303.178</v>
      </c>
      <c r="P370" s="40">
        <v>-277.77999999999997</v>
      </c>
      <c r="Q370" s="40">
        <f>-1039.732-P370-O370-N370</f>
        <v>-273.11199999999997</v>
      </c>
      <c r="R370" s="40">
        <v>-281.73899999999998</v>
      </c>
      <c r="S370" s="40">
        <v>-262.05700000000002</v>
      </c>
      <c r="T370" s="40">
        <v>-275.67599999999999</v>
      </c>
      <c r="U370" s="40">
        <f>-1083.494-T370-S370-R370</f>
        <v>-264.02199999999999</v>
      </c>
      <c r="V370" s="40">
        <v>-284.23500000000001</v>
      </c>
      <c r="W370" s="40">
        <v>-274.90699999999998</v>
      </c>
      <c r="X370" s="40">
        <v>-317.43299999999999</v>
      </c>
      <c r="Y370" s="40">
        <f>-1201.497-X370-W370-V370</f>
        <v>-324.92200000000014</v>
      </c>
      <c r="Z370" s="40">
        <v>-254.11500000000001</v>
      </c>
      <c r="AA370" s="40">
        <v>-182.143</v>
      </c>
      <c r="AB370" s="40">
        <v>-174.36199999999999</v>
      </c>
      <c r="AC370" s="40">
        <f>-773.119-AB370-AA370-Z370</f>
        <v>-162.49900000000002</v>
      </c>
      <c r="AD370" s="40">
        <v>-123.33</v>
      </c>
      <c r="AE370" s="40">
        <v>-115.37</v>
      </c>
      <c r="AF370" s="40">
        <v>-124.747</v>
      </c>
      <c r="AG370" s="40">
        <f>-515.784-AF370-AE370-AD370</f>
        <v>-152.33699999999999</v>
      </c>
      <c r="AH370" s="40">
        <v>-193.566</v>
      </c>
      <c r="AI370" s="40">
        <v>-206.48500000000001</v>
      </c>
      <c r="AJ370" s="40">
        <v>-210.10300000000001</v>
      </c>
      <c r="AK370" s="40">
        <f>-791.581-AJ370-AI370-AH370</f>
        <v>-181.42700000000005</v>
      </c>
      <c r="AL370" s="68">
        <f t="shared" ref="AL370:AW370" si="525">+AL371-AL369</f>
        <v>-190.57674</v>
      </c>
      <c r="AM370" s="68">
        <f t="shared" si="525"/>
        <v>-212.54064419999997</v>
      </c>
      <c r="AN370" s="68">
        <f t="shared" si="525"/>
        <v>-244.09335500999998</v>
      </c>
      <c r="AO370" s="68">
        <f t="shared" si="525"/>
        <v>-267.72849923849998</v>
      </c>
      <c r="AP370" s="68">
        <f t="shared" si="525"/>
        <v>-279.56908732886995</v>
      </c>
      <c r="AQ370" s="68">
        <f t="shared" si="525"/>
        <v>-285.16046907544739</v>
      </c>
      <c r="AR370" s="68">
        <f t="shared" si="525"/>
        <v>-290.86367845695634</v>
      </c>
      <c r="AS370" s="68">
        <f t="shared" si="525"/>
        <v>-296.68095202609544</v>
      </c>
      <c r="AT370" s="68">
        <f t="shared" si="525"/>
        <v>-296.43132988549354</v>
      </c>
      <c r="AU370" s="68">
        <f t="shared" si="525"/>
        <v>-296.17671530207963</v>
      </c>
      <c r="AV370" s="68">
        <f t="shared" si="525"/>
        <v>-295.91700842699743</v>
      </c>
      <c r="AW370" s="68">
        <f t="shared" si="525"/>
        <v>-295.65210741441359</v>
      </c>
      <c r="AX370" s="130"/>
      <c r="AY370" s="130"/>
      <c r="AZ370" s="130"/>
      <c r="BA370" s="130"/>
      <c r="BB370" s="130"/>
      <c r="BC370" s="130"/>
      <c r="BD370" s="130"/>
      <c r="BE370" s="130"/>
      <c r="BF370" s="2">
        <f t="shared" si="472"/>
        <v>364</v>
      </c>
    </row>
    <row r="371" spans="1:58" ht="11.25" hidden="1" customHeight="1" outlineLevel="3">
      <c r="A371" s="52"/>
      <c r="B371" s="189" t="s">
        <v>166</v>
      </c>
      <c r="C371" s="38">
        <f t="shared" ref="C371:J371" si="526">SUM(C369:C370)</f>
        <v>554.24500000000012</v>
      </c>
      <c r="D371" s="38">
        <f t="shared" si="526"/>
        <v>513.21000000000026</v>
      </c>
      <c r="E371" s="38">
        <f t="shared" si="526"/>
        <v>526.4069999999997</v>
      </c>
      <c r="F371" s="38">
        <f t="shared" si="526"/>
        <v>160.89999999999998</v>
      </c>
      <c r="G371" s="38">
        <f t="shared" si="526"/>
        <v>8.18100000000004</v>
      </c>
      <c r="H371" s="38">
        <f t="shared" si="526"/>
        <v>143.60199999999998</v>
      </c>
      <c r="I371" s="38">
        <f t="shared" si="526"/>
        <v>283.3267327515</v>
      </c>
      <c r="J371" s="38">
        <f t="shared" si="526"/>
        <v>407.14055299013603</v>
      </c>
      <c r="K371" s="38">
        <f>SUM(K369:K370)</f>
        <v>421.85950939278064</v>
      </c>
      <c r="L371" s="27"/>
      <c r="M371" s="27"/>
      <c r="N371" s="38">
        <f t="shared" ref="N371:AK371" si="527">SUM(N369:N370)</f>
        <v>94.013999999999982</v>
      </c>
      <c r="O371" s="38">
        <f t="shared" si="527"/>
        <v>172.19100000000003</v>
      </c>
      <c r="P371" s="38">
        <f t="shared" si="527"/>
        <v>143.41400000000004</v>
      </c>
      <c r="Q371" s="38">
        <f t="shared" si="527"/>
        <v>144.62600000000003</v>
      </c>
      <c r="R371" s="38">
        <f t="shared" si="527"/>
        <v>144.24400000000003</v>
      </c>
      <c r="S371" s="38">
        <f t="shared" si="527"/>
        <v>136.15899999999999</v>
      </c>
      <c r="T371" s="38">
        <f t="shared" si="527"/>
        <v>122.34000000000003</v>
      </c>
      <c r="U371" s="38">
        <f t="shared" si="527"/>
        <v>110.46699999999998</v>
      </c>
      <c r="V371" s="38">
        <f t="shared" si="527"/>
        <v>105.642</v>
      </c>
      <c r="W371" s="38">
        <f t="shared" si="527"/>
        <v>123.14100000000002</v>
      </c>
      <c r="X371" s="38">
        <f t="shared" si="527"/>
        <v>153.416</v>
      </c>
      <c r="Y371" s="38">
        <f t="shared" si="527"/>
        <v>144.20799999999986</v>
      </c>
      <c r="Z371" s="38">
        <f t="shared" si="527"/>
        <v>96.87700000000001</v>
      </c>
      <c r="AA371" s="38">
        <f t="shared" si="527"/>
        <v>44.22</v>
      </c>
      <c r="AB371" s="38">
        <f t="shared" si="527"/>
        <v>28.483000000000004</v>
      </c>
      <c r="AC371" s="38">
        <f t="shared" si="527"/>
        <v>-8.6800000000000352</v>
      </c>
      <c r="AD371" s="38">
        <f t="shared" si="527"/>
        <v>9.1420000000000101</v>
      </c>
      <c r="AE371" s="38">
        <f t="shared" si="527"/>
        <v>0.52299999999999613</v>
      </c>
      <c r="AF371" s="38">
        <f t="shared" si="527"/>
        <v>0.27500000000000568</v>
      </c>
      <c r="AG371" s="38">
        <f t="shared" si="527"/>
        <v>-1.7589999999999861</v>
      </c>
      <c r="AH371" s="38">
        <f t="shared" si="527"/>
        <v>11.413000000000011</v>
      </c>
      <c r="AI371" s="38">
        <f t="shared" si="527"/>
        <v>42.593999999999994</v>
      </c>
      <c r="AJ371" s="38">
        <f t="shared" si="527"/>
        <v>38.301999999999992</v>
      </c>
      <c r="AK371" s="38">
        <f t="shared" si="527"/>
        <v>51.29299999999995</v>
      </c>
      <c r="AL371" s="273">
        <f t="shared" ref="AL371:AW371" si="528">AL373-AL372</f>
        <v>46.79766</v>
      </c>
      <c r="AM371" s="273">
        <f t="shared" si="528"/>
        <v>60.439915799999994</v>
      </c>
      <c r="AN371" s="273">
        <f t="shared" si="528"/>
        <v>83.483316989999992</v>
      </c>
      <c r="AO371" s="273">
        <f t="shared" si="528"/>
        <v>92.605839961499996</v>
      </c>
      <c r="AP371" s="273">
        <f t="shared" si="528"/>
        <v>98.781968831130001</v>
      </c>
      <c r="AQ371" s="273">
        <f t="shared" si="528"/>
        <v>100.7576082077526</v>
      </c>
      <c r="AR371" s="273">
        <f t="shared" si="528"/>
        <v>102.77276037190765</v>
      </c>
      <c r="AS371" s="273">
        <f t="shared" si="528"/>
        <v>104.82821557934579</v>
      </c>
      <c r="AT371" s="273">
        <f t="shared" si="528"/>
        <v>105.07783771994768</v>
      </c>
      <c r="AU371" s="273">
        <f t="shared" si="528"/>
        <v>105.33245230336161</v>
      </c>
      <c r="AV371" s="273">
        <f t="shared" si="528"/>
        <v>105.59215917844381</v>
      </c>
      <c r="AW371" s="273">
        <f t="shared" si="528"/>
        <v>105.85706019102766</v>
      </c>
      <c r="AX371" s="192"/>
      <c r="AY371" s="192"/>
      <c r="AZ371" s="192"/>
      <c r="BA371" s="192"/>
      <c r="BB371" s="192"/>
      <c r="BC371" s="192"/>
      <c r="BD371" s="192"/>
      <c r="BE371" s="192"/>
      <c r="BF371" s="2">
        <f t="shared" si="472"/>
        <v>365</v>
      </c>
    </row>
    <row r="372" spans="1:58" ht="11.25" hidden="1" customHeight="1" outlineLevel="3">
      <c r="A372" s="52"/>
      <c r="B372" s="188" t="s">
        <v>25</v>
      </c>
      <c r="C372" s="51">
        <f t="shared" ref="C372:K372" si="529">SUMIFS($N372:$AX372,$N$4:$AX$4,C$4)</f>
        <v>-185.917</v>
      </c>
      <c r="D372" s="51">
        <f t="shared" si="529"/>
        <v>-156.40499999999997</v>
      </c>
      <c r="E372" s="51">
        <f t="shared" si="529"/>
        <v>-159.32499999999999</v>
      </c>
      <c r="F372" s="51">
        <f t="shared" si="529"/>
        <v>-121.28900000000002</v>
      </c>
      <c r="G372" s="51">
        <f t="shared" si="529"/>
        <v>-91.507999999999996</v>
      </c>
      <c r="H372" s="51">
        <f t="shared" si="529"/>
        <v>-44.765999999999998</v>
      </c>
      <c r="I372" s="51">
        <f t="shared" si="529"/>
        <v>-45.441977791499994</v>
      </c>
      <c r="J372" s="51">
        <f t="shared" si="529"/>
        <v>-48.47516281830984</v>
      </c>
      <c r="K372" s="51">
        <f t="shared" si="529"/>
        <v>-52.471075195774809</v>
      </c>
      <c r="L372" s="7"/>
      <c r="M372" s="7"/>
      <c r="N372" s="40">
        <v>-57.146999999999998</v>
      </c>
      <c r="O372" s="40">
        <v>-40.197000000000003</v>
      </c>
      <c r="P372" s="40">
        <v>-43.109000000000002</v>
      </c>
      <c r="Q372" s="40">
        <f>-185.917-P372-O372-N372</f>
        <v>-45.463999999999992</v>
      </c>
      <c r="R372" s="40">
        <v>-41.186999999999998</v>
      </c>
      <c r="S372" s="40">
        <v>-38.383000000000003</v>
      </c>
      <c r="T372" s="40">
        <v>-37.216000000000001</v>
      </c>
      <c r="U372" s="40">
        <f>-156.405-T372-S372-R372</f>
        <v>-39.618999999999986</v>
      </c>
      <c r="V372" s="40">
        <v>-38.968000000000004</v>
      </c>
      <c r="W372" s="40">
        <v>-36.011000000000003</v>
      </c>
      <c r="X372" s="40">
        <v>-39.625</v>
      </c>
      <c r="Y372" s="40">
        <f>-159.325-X372-W372-V372</f>
        <v>-44.720999999999989</v>
      </c>
      <c r="Z372" s="40">
        <v>-38.292000000000002</v>
      </c>
      <c r="AA372" s="40">
        <v>-33.030999999999999</v>
      </c>
      <c r="AB372" s="40">
        <v>-30.321000000000002</v>
      </c>
      <c r="AC372" s="40">
        <f>-121.289-AB372-AA372-Z372</f>
        <v>-19.645000000000003</v>
      </c>
      <c r="AD372" s="40">
        <v>-25.05</v>
      </c>
      <c r="AE372" s="40">
        <v>-20.076000000000001</v>
      </c>
      <c r="AF372" s="40">
        <v>-23.123999999999999</v>
      </c>
      <c r="AG372" s="40">
        <f>-91.508-AF372-AE372-AD372</f>
        <v>-23.257999999999999</v>
      </c>
      <c r="AH372" s="337">
        <f t="shared" ref="AH372:AJ372" si="530">-44.766/4</f>
        <v>-11.1915</v>
      </c>
      <c r="AI372" s="337">
        <f t="shared" si="530"/>
        <v>-11.1915</v>
      </c>
      <c r="AJ372" s="337">
        <f t="shared" si="530"/>
        <v>-11.1915</v>
      </c>
      <c r="AK372" s="337">
        <f>-44.766/4</f>
        <v>-11.1915</v>
      </c>
      <c r="AL372" s="40">
        <f>AVERAGE(AH372:AJ372)</f>
        <v>-11.1915</v>
      </c>
      <c r="AM372" s="40">
        <f t="shared" ref="AM372:AW372" si="531">+AL372/AL$147*AM$147</f>
        <v>-11.303414999999998</v>
      </c>
      <c r="AN372" s="40">
        <f t="shared" si="531"/>
        <v>-11.416449149999998</v>
      </c>
      <c r="AO372" s="40">
        <f t="shared" si="531"/>
        <v>-11.530613641499999</v>
      </c>
      <c r="AP372" s="40">
        <f t="shared" si="531"/>
        <v>-11.761225914329998</v>
      </c>
      <c r="AQ372" s="40">
        <f t="shared" si="531"/>
        <v>-11.9964504326166</v>
      </c>
      <c r="AR372" s="40">
        <f t="shared" si="531"/>
        <v>-12.23637944126893</v>
      </c>
      <c r="AS372" s="40">
        <f t="shared" si="531"/>
        <v>-12.481107030094311</v>
      </c>
      <c r="AT372" s="40">
        <f t="shared" si="531"/>
        <v>-12.730729170696197</v>
      </c>
      <c r="AU372" s="40">
        <f t="shared" si="531"/>
        <v>-12.98534375411012</v>
      </c>
      <c r="AV372" s="40">
        <f t="shared" si="531"/>
        <v>-13.245050629192322</v>
      </c>
      <c r="AW372" s="40">
        <f t="shared" si="531"/>
        <v>-13.509951641776169</v>
      </c>
      <c r="AX372" s="129"/>
      <c r="AY372" s="129"/>
      <c r="AZ372" s="129"/>
      <c r="BA372" s="129"/>
      <c r="BB372" s="129"/>
      <c r="BC372" s="129"/>
      <c r="BD372" s="129"/>
      <c r="BE372" s="129"/>
      <c r="BF372" s="2">
        <f t="shared" si="472"/>
        <v>366</v>
      </c>
    </row>
    <row r="373" spans="1:58" ht="11.25" hidden="1" customHeight="1" outlineLevel="3">
      <c r="A373" s="41"/>
      <c r="B373" s="189" t="s">
        <v>24</v>
      </c>
      <c r="C373" s="38">
        <f t="shared" ref="C373:J373" si="532">SUM(C371:C372)</f>
        <v>368.32800000000009</v>
      </c>
      <c r="D373" s="38">
        <f t="shared" si="532"/>
        <v>356.80500000000029</v>
      </c>
      <c r="E373" s="38">
        <f t="shared" si="532"/>
        <v>367.08199999999971</v>
      </c>
      <c r="F373" s="38">
        <f t="shared" si="532"/>
        <v>39.610999999999962</v>
      </c>
      <c r="G373" s="38">
        <f t="shared" si="532"/>
        <v>-83.326999999999956</v>
      </c>
      <c r="H373" s="38">
        <f t="shared" si="532"/>
        <v>98.835999999999984</v>
      </c>
      <c r="I373" s="38">
        <f t="shared" si="532"/>
        <v>237.88475496000001</v>
      </c>
      <c r="J373" s="38">
        <f t="shared" si="532"/>
        <v>358.66539017182617</v>
      </c>
      <c r="K373" s="38">
        <f>SUM(K371:K372)</f>
        <v>369.38843419700584</v>
      </c>
      <c r="L373" s="7"/>
      <c r="M373" s="7"/>
      <c r="N373" s="38">
        <f t="shared" ref="N373:AJ373" si="533">SUM(N371:N372)</f>
        <v>36.866999999999983</v>
      </c>
      <c r="O373" s="38">
        <f t="shared" si="533"/>
        <v>131.99400000000003</v>
      </c>
      <c r="P373" s="38">
        <f t="shared" si="533"/>
        <v>100.30500000000004</v>
      </c>
      <c r="Q373" s="38">
        <f t="shared" si="533"/>
        <v>99.162000000000035</v>
      </c>
      <c r="R373" s="38">
        <f t="shared" si="533"/>
        <v>103.05700000000003</v>
      </c>
      <c r="S373" s="38">
        <f t="shared" si="533"/>
        <v>97.775999999999982</v>
      </c>
      <c r="T373" s="38">
        <f t="shared" si="533"/>
        <v>85.124000000000024</v>
      </c>
      <c r="U373" s="38">
        <f t="shared" si="533"/>
        <v>70.847999999999999</v>
      </c>
      <c r="V373" s="38">
        <f t="shared" si="533"/>
        <v>66.673999999999992</v>
      </c>
      <c r="W373" s="38">
        <f t="shared" si="533"/>
        <v>87.130000000000024</v>
      </c>
      <c r="X373" s="38">
        <f t="shared" si="533"/>
        <v>113.791</v>
      </c>
      <c r="Y373" s="38">
        <f t="shared" si="533"/>
        <v>99.486999999999867</v>
      </c>
      <c r="Z373" s="38">
        <f t="shared" si="533"/>
        <v>58.585000000000008</v>
      </c>
      <c r="AA373" s="38">
        <f t="shared" si="533"/>
        <v>11.189</v>
      </c>
      <c r="AB373" s="38">
        <f t="shared" si="533"/>
        <v>-1.8379999999999974</v>
      </c>
      <c r="AC373" s="38">
        <f t="shared" si="533"/>
        <v>-28.325000000000038</v>
      </c>
      <c r="AD373" s="38">
        <f t="shared" si="533"/>
        <v>-15.907999999999991</v>
      </c>
      <c r="AE373" s="38">
        <f t="shared" si="533"/>
        <v>-19.553000000000004</v>
      </c>
      <c r="AF373" s="38">
        <f t="shared" si="533"/>
        <v>-22.848999999999993</v>
      </c>
      <c r="AG373" s="38">
        <f t="shared" si="533"/>
        <v>-25.016999999999985</v>
      </c>
      <c r="AH373" s="38">
        <f t="shared" si="533"/>
        <v>0.22150000000001135</v>
      </c>
      <c r="AI373" s="38">
        <f t="shared" si="533"/>
        <v>31.402499999999996</v>
      </c>
      <c r="AJ373" s="38">
        <f t="shared" si="533"/>
        <v>27.110499999999995</v>
      </c>
      <c r="AK373" s="38">
        <f t="shared" ref="AK373" si="534">SUM(AK371:AK372)</f>
        <v>40.101499999999952</v>
      </c>
      <c r="AL373" s="38">
        <f t="shared" ref="AL373:AW373" si="535">AL19</f>
        <v>35.606160000000003</v>
      </c>
      <c r="AM373" s="38">
        <f t="shared" si="535"/>
        <v>49.136500799999993</v>
      </c>
      <c r="AN373" s="38">
        <f t="shared" si="535"/>
        <v>72.06686784</v>
      </c>
      <c r="AO373" s="38">
        <f t="shared" si="535"/>
        <v>81.075226319999999</v>
      </c>
      <c r="AP373" s="38">
        <f t="shared" si="535"/>
        <v>87.020742916800003</v>
      </c>
      <c r="AQ373" s="38">
        <f t="shared" si="535"/>
        <v>88.761157775135999</v>
      </c>
      <c r="AR373" s="38">
        <f t="shared" si="535"/>
        <v>90.536380930638714</v>
      </c>
      <c r="AS373" s="38">
        <f t="shared" si="535"/>
        <v>92.347108549251487</v>
      </c>
      <c r="AT373" s="38">
        <f t="shared" si="535"/>
        <v>92.347108549251487</v>
      </c>
      <c r="AU373" s="38">
        <f t="shared" si="535"/>
        <v>92.347108549251487</v>
      </c>
      <c r="AV373" s="38">
        <f t="shared" si="535"/>
        <v>92.347108549251487</v>
      </c>
      <c r="AW373" s="38">
        <f t="shared" si="535"/>
        <v>92.347108549251487</v>
      </c>
      <c r="AX373" s="39"/>
      <c r="AY373" s="39"/>
      <c r="AZ373" s="39"/>
      <c r="BA373" s="39"/>
      <c r="BB373" s="39"/>
      <c r="BC373" s="39"/>
      <c r="BD373" s="39"/>
      <c r="BE373" s="39"/>
      <c r="BF373" s="2">
        <f t="shared" si="472"/>
        <v>367</v>
      </c>
    </row>
    <row r="374" spans="1:58" ht="11.25" hidden="1" customHeight="1" outlineLevel="3">
      <c r="A374" s="52"/>
      <c r="B374" s="188" t="s">
        <v>23</v>
      </c>
      <c r="C374" s="51">
        <f t="shared" ref="C374:K374" si="536">SUMIFS($N374:$AX374,$N$4:$AX$4,C$4)</f>
        <v>-171.852</v>
      </c>
      <c r="D374" s="51">
        <f t="shared" si="536"/>
        <v>-215.506</v>
      </c>
      <c r="E374" s="51">
        <f t="shared" si="536"/>
        <v>-233.47900000000004</v>
      </c>
      <c r="F374" s="51">
        <f t="shared" si="536"/>
        <v>-225.667</v>
      </c>
      <c r="G374" s="51">
        <f t="shared" si="536"/>
        <v>-209.45499999999998</v>
      </c>
      <c r="H374" s="51">
        <f t="shared" si="536"/>
        <v>-193.09800000000001</v>
      </c>
      <c r="I374" s="51">
        <f t="shared" si="536"/>
        <v>-213.07183698080107</v>
      </c>
      <c r="J374" s="51">
        <f t="shared" si="536"/>
        <v>-199.89982614389925</v>
      </c>
      <c r="K374" s="51">
        <f t="shared" si="536"/>
        <v>-184.16434895691035</v>
      </c>
      <c r="L374" s="7"/>
      <c r="M374" s="7"/>
      <c r="N374" s="40">
        <v>-24.475999999999999</v>
      </c>
      <c r="O374" s="40">
        <v>-47.01</v>
      </c>
      <c r="P374" s="40">
        <v>-48.107999999999997</v>
      </c>
      <c r="Q374" s="40">
        <f>-171.852-P374-O374-N374</f>
        <v>-52.25800000000001</v>
      </c>
      <c r="R374" s="40">
        <v>-53.822000000000003</v>
      </c>
      <c r="S374" s="40">
        <v>-51.622999999999998</v>
      </c>
      <c r="T374" s="40">
        <v>-52.576000000000001</v>
      </c>
      <c r="U374" s="40">
        <f>-215.506-T374-S374-R374</f>
        <v>-57.485000000000014</v>
      </c>
      <c r="V374" s="40">
        <v>-60.603999999999999</v>
      </c>
      <c r="W374" s="40">
        <v>-55.381999999999998</v>
      </c>
      <c r="X374" s="40">
        <v>-59.009</v>
      </c>
      <c r="Y374" s="40">
        <f>-233.479-X374-W374-V374</f>
        <v>-58.484000000000023</v>
      </c>
      <c r="Z374" s="40">
        <v>-59.811</v>
      </c>
      <c r="AA374" s="40">
        <v>-55.478999999999999</v>
      </c>
      <c r="AB374" s="40">
        <v>-53.853999999999999</v>
      </c>
      <c r="AC374" s="40">
        <f>-225.667-AB374-AA374-Z374</f>
        <v>-56.522999999999989</v>
      </c>
      <c r="AD374" s="40">
        <v>-54.627000000000002</v>
      </c>
      <c r="AE374" s="40">
        <v>-52.911999999999999</v>
      </c>
      <c r="AF374" s="40">
        <v>-51.345999999999997</v>
      </c>
      <c r="AG374" s="51">
        <f t="shared" ref="AG374:AW374" si="537">AG77</f>
        <v>-50.57</v>
      </c>
      <c r="AH374" s="51">
        <f t="shared" si="537"/>
        <v>-49.146999999999998</v>
      </c>
      <c r="AI374" s="51">
        <f t="shared" si="537"/>
        <v>-44.621000000000002</v>
      </c>
      <c r="AJ374" s="51">
        <f t="shared" si="537"/>
        <v>-48.131</v>
      </c>
      <c r="AK374" s="51">
        <f t="shared" ref="AK374" si="538">AK77</f>
        <v>-51.198999999999998</v>
      </c>
      <c r="AL374" s="51">
        <f t="shared" si="537"/>
        <v>-52.767453495095985</v>
      </c>
      <c r="AM374" s="51">
        <f t="shared" si="537"/>
        <v>-53.255813044010466</v>
      </c>
      <c r="AN374" s="51">
        <f t="shared" si="537"/>
        <v>-53.61097332319509</v>
      </c>
      <c r="AO374" s="51">
        <f t="shared" si="537"/>
        <v>-53.437597118499525</v>
      </c>
      <c r="AP374" s="51">
        <f t="shared" si="537"/>
        <v>-51.918947759212735</v>
      </c>
      <c r="AQ374" s="51">
        <f t="shared" si="537"/>
        <v>-50.627087709443167</v>
      </c>
      <c r="AR374" s="51">
        <f t="shared" si="537"/>
        <v>-49.328412504182168</v>
      </c>
      <c r="AS374" s="51">
        <f t="shared" si="537"/>
        <v>-48.025378171061149</v>
      </c>
      <c r="AT374" s="51">
        <f t="shared" si="537"/>
        <v>-46.720355221176668</v>
      </c>
      <c r="AU374" s="51">
        <f t="shared" si="537"/>
        <v>-46.279951872730507</v>
      </c>
      <c r="AV374" s="51">
        <f t="shared" si="537"/>
        <v>-45.820670255750287</v>
      </c>
      <c r="AW374" s="51">
        <f t="shared" si="537"/>
        <v>-45.343371607252884</v>
      </c>
      <c r="AX374" s="129"/>
      <c r="AY374" s="129"/>
      <c r="AZ374" s="129"/>
      <c r="BA374" s="129"/>
      <c r="BB374" s="129"/>
      <c r="BC374" s="129"/>
      <c r="BD374" s="129"/>
      <c r="BE374" s="129"/>
      <c r="BF374" s="2">
        <f t="shared" si="472"/>
        <v>368</v>
      </c>
    </row>
    <row r="375" spans="1:58" ht="11.25" hidden="1" customHeight="1" outlineLevel="3">
      <c r="A375" s="41"/>
      <c r="B375" s="189" t="s">
        <v>22</v>
      </c>
      <c r="C375" s="38">
        <f t="shared" ref="C375:J375" si="539">SUM(C373:C374)</f>
        <v>196.47600000000008</v>
      </c>
      <c r="D375" s="38">
        <f t="shared" si="539"/>
        <v>141.29900000000029</v>
      </c>
      <c r="E375" s="38">
        <f t="shared" si="539"/>
        <v>133.60299999999967</v>
      </c>
      <c r="F375" s="38">
        <f t="shared" si="539"/>
        <v>-186.05600000000004</v>
      </c>
      <c r="G375" s="38">
        <f t="shared" si="539"/>
        <v>-292.78199999999993</v>
      </c>
      <c r="H375" s="38">
        <f t="shared" si="539"/>
        <v>-94.262000000000029</v>
      </c>
      <c r="I375" s="38">
        <f t="shared" si="539"/>
        <v>24.812917979198943</v>
      </c>
      <c r="J375" s="38">
        <f t="shared" si="539"/>
        <v>158.76556402792693</v>
      </c>
      <c r="K375" s="38">
        <f>SUM(K373:K374)</f>
        <v>185.22408524009549</v>
      </c>
      <c r="L375" s="7"/>
      <c r="M375" s="7"/>
      <c r="N375" s="38">
        <f t="shared" ref="N375:AW375" si="540">SUM(N373:N374)</f>
        <v>12.390999999999984</v>
      </c>
      <c r="O375" s="38">
        <f t="shared" si="540"/>
        <v>84.984000000000037</v>
      </c>
      <c r="P375" s="38">
        <f t="shared" si="540"/>
        <v>52.197000000000038</v>
      </c>
      <c r="Q375" s="38">
        <f t="shared" si="540"/>
        <v>46.904000000000025</v>
      </c>
      <c r="R375" s="38">
        <f t="shared" si="540"/>
        <v>49.235000000000028</v>
      </c>
      <c r="S375" s="38">
        <f t="shared" si="540"/>
        <v>46.152999999999984</v>
      </c>
      <c r="T375" s="38">
        <f t="shared" si="540"/>
        <v>32.548000000000023</v>
      </c>
      <c r="U375" s="38">
        <f t="shared" si="540"/>
        <v>13.362999999999985</v>
      </c>
      <c r="V375" s="38">
        <f t="shared" si="540"/>
        <v>6.0699999999999932</v>
      </c>
      <c r="W375" s="38">
        <f t="shared" si="540"/>
        <v>31.748000000000026</v>
      </c>
      <c r="X375" s="38">
        <f t="shared" si="540"/>
        <v>54.781999999999996</v>
      </c>
      <c r="Y375" s="38">
        <f t="shared" si="540"/>
        <v>41.002999999999844</v>
      </c>
      <c r="Z375" s="38">
        <f t="shared" si="540"/>
        <v>-1.225999999999992</v>
      </c>
      <c r="AA375" s="38">
        <f t="shared" si="540"/>
        <v>-44.29</v>
      </c>
      <c r="AB375" s="38">
        <f t="shared" si="540"/>
        <v>-55.691999999999993</v>
      </c>
      <c r="AC375" s="38">
        <f t="shared" si="540"/>
        <v>-84.848000000000027</v>
      </c>
      <c r="AD375" s="38">
        <f t="shared" si="540"/>
        <v>-70.534999999999997</v>
      </c>
      <c r="AE375" s="38">
        <f t="shared" si="540"/>
        <v>-72.465000000000003</v>
      </c>
      <c r="AF375" s="38">
        <f t="shared" si="540"/>
        <v>-74.194999999999993</v>
      </c>
      <c r="AG375" s="38">
        <f>SUM(AG373:AG374)</f>
        <v>-75.586999999999989</v>
      </c>
      <c r="AH375" s="38">
        <f>SUM(AH373:AH374)</f>
        <v>-48.925499999999985</v>
      </c>
      <c r="AI375" s="38">
        <f>SUM(AI373:AI374)</f>
        <v>-13.218500000000006</v>
      </c>
      <c r="AJ375" s="38">
        <f>SUM(AJ373:AJ374)</f>
        <v>-21.020500000000006</v>
      </c>
      <c r="AK375" s="38">
        <f>SUM(AK373:AK374)</f>
        <v>-11.097500000000046</v>
      </c>
      <c r="AL375" s="38">
        <f t="shared" si="540"/>
        <v>-17.161293495095983</v>
      </c>
      <c r="AM375" s="38">
        <f t="shared" si="540"/>
        <v>-4.119312244010473</v>
      </c>
      <c r="AN375" s="38">
        <f t="shared" si="540"/>
        <v>18.455894516804911</v>
      </c>
      <c r="AO375" s="38">
        <f t="shared" si="540"/>
        <v>27.637629201500474</v>
      </c>
      <c r="AP375" s="38">
        <f t="shared" si="540"/>
        <v>35.101795157587269</v>
      </c>
      <c r="AQ375" s="38">
        <f t="shared" si="540"/>
        <v>38.134070065692832</v>
      </c>
      <c r="AR375" s="38">
        <f t="shared" si="540"/>
        <v>41.207968426456546</v>
      </c>
      <c r="AS375" s="38">
        <f t="shared" si="540"/>
        <v>44.321730378190338</v>
      </c>
      <c r="AT375" s="38">
        <f t="shared" si="540"/>
        <v>45.62675332807482</v>
      </c>
      <c r="AU375" s="38">
        <f t="shared" si="540"/>
        <v>46.06715667652098</v>
      </c>
      <c r="AV375" s="38">
        <f t="shared" si="540"/>
        <v>46.526438293501201</v>
      </c>
      <c r="AW375" s="38">
        <f t="shared" si="540"/>
        <v>47.003736941998604</v>
      </c>
      <c r="AX375" s="39"/>
      <c r="AY375" s="39"/>
      <c r="AZ375" s="39"/>
      <c r="BA375" s="39"/>
      <c r="BB375" s="39"/>
      <c r="BC375" s="39"/>
      <c r="BD375" s="39"/>
      <c r="BE375" s="39"/>
      <c r="BF375" s="2">
        <f t="shared" si="472"/>
        <v>369</v>
      </c>
    </row>
    <row r="376" spans="1:58" ht="11.25" hidden="1" customHeight="1" outlineLevel="3">
      <c r="A376" s="52"/>
      <c r="B376" s="188" t="s">
        <v>21</v>
      </c>
      <c r="C376" s="51">
        <f t="shared" ref="C376:K376" si="541">SUMIFS($N376:$AX376,$N$4:$AX$4,C$4)</f>
        <v>0</v>
      </c>
      <c r="D376" s="51">
        <f t="shared" si="541"/>
        <v>-16.975000000000001</v>
      </c>
      <c r="E376" s="51">
        <f t="shared" si="541"/>
        <v>0</v>
      </c>
      <c r="F376" s="51">
        <f t="shared" si="541"/>
        <v>-783.22900000000004</v>
      </c>
      <c r="G376" s="51">
        <f t="shared" si="541"/>
        <v>-190.83500000000001</v>
      </c>
      <c r="H376" s="51">
        <f t="shared" si="541"/>
        <v>-3.6760000000000002</v>
      </c>
      <c r="I376" s="51">
        <f t="shared" si="541"/>
        <v>0</v>
      </c>
      <c r="J376" s="51">
        <f t="shared" si="541"/>
        <v>0</v>
      </c>
      <c r="K376" s="51">
        <f t="shared" si="541"/>
        <v>0</v>
      </c>
      <c r="L376" s="7"/>
      <c r="M376" s="7"/>
      <c r="N376" s="40">
        <v>0</v>
      </c>
      <c r="O376" s="40">
        <v>0</v>
      </c>
      <c r="P376" s="40">
        <v>0</v>
      </c>
      <c r="Q376" s="40">
        <f>0-P376-O376-N376</f>
        <v>0</v>
      </c>
      <c r="R376" s="40">
        <v>0</v>
      </c>
      <c r="S376" s="40">
        <v>0</v>
      </c>
      <c r="T376" s="40">
        <v>0</v>
      </c>
      <c r="U376" s="40">
        <v>-16.975000000000001</v>
      </c>
      <c r="V376" s="40">
        <v>0</v>
      </c>
      <c r="W376" s="40">
        <v>0</v>
      </c>
      <c r="X376" s="40">
        <v>0</v>
      </c>
      <c r="Y376" s="40">
        <v>0</v>
      </c>
      <c r="Z376" s="40">
        <v>0</v>
      </c>
      <c r="AA376" s="40">
        <v>-40.262999999999998</v>
      </c>
      <c r="AB376" s="40">
        <v>-740</v>
      </c>
      <c r="AC376" s="40">
        <f>-783.229-AB376-AA376-Z376</f>
        <v>-2.9660000000000437</v>
      </c>
      <c r="AD376" s="40">
        <v>0</v>
      </c>
      <c r="AE376" s="40">
        <v>-188.74100000000001</v>
      </c>
      <c r="AF376" s="40">
        <v>0</v>
      </c>
      <c r="AG376" s="40">
        <f>-190.835-AF376-AE376-AD376</f>
        <v>-2.0939999999999941</v>
      </c>
      <c r="AH376" s="40">
        <v>0</v>
      </c>
      <c r="AI376" s="40">
        <v>0</v>
      </c>
      <c r="AJ376" s="40">
        <v>-1.8380000000000001</v>
      </c>
      <c r="AK376" s="40">
        <v>-1.8380000000000001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  <c r="AQ376" s="40">
        <v>0</v>
      </c>
      <c r="AR376" s="40">
        <v>0</v>
      </c>
      <c r="AS376" s="40">
        <v>0</v>
      </c>
      <c r="AT376" s="40">
        <v>0</v>
      </c>
      <c r="AU376" s="40">
        <v>0</v>
      </c>
      <c r="AV376" s="40">
        <v>0</v>
      </c>
      <c r="AW376" s="40">
        <v>0</v>
      </c>
      <c r="AX376" s="53"/>
      <c r="AY376" s="53"/>
      <c r="AZ376" s="53"/>
      <c r="BA376" s="53"/>
      <c r="BB376" s="53"/>
      <c r="BC376" s="53"/>
      <c r="BD376" s="53"/>
      <c r="BE376" s="53"/>
      <c r="BF376" s="2">
        <f t="shared" si="472"/>
        <v>370</v>
      </c>
    </row>
    <row r="377" spans="1:58" ht="11.25" hidden="1" customHeight="1" outlineLevel="3">
      <c r="A377" s="41"/>
      <c r="B377" s="189" t="s">
        <v>20</v>
      </c>
      <c r="C377" s="38">
        <f t="shared" ref="C377:J377" si="542">SUM(C375:C376)</f>
        <v>196.47600000000008</v>
      </c>
      <c r="D377" s="38">
        <f t="shared" si="542"/>
        <v>124.3240000000003</v>
      </c>
      <c r="E377" s="38">
        <f t="shared" si="542"/>
        <v>133.60299999999967</v>
      </c>
      <c r="F377" s="38">
        <f t="shared" si="542"/>
        <v>-969.28500000000008</v>
      </c>
      <c r="G377" s="38">
        <f t="shared" si="542"/>
        <v>-483.61699999999996</v>
      </c>
      <c r="H377" s="38">
        <f t="shared" si="542"/>
        <v>-97.938000000000031</v>
      </c>
      <c r="I377" s="38">
        <f t="shared" si="542"/>
        <v>24.812917979198943</v>
      </c>
      <c r="J377" s="38">
        <f t="shared" si="542"/>
        <v>158.76556402792693</v>
      </c>
      <c r="K377" s="38">
        <f>SUM(K375:K376)</f>
        <v>185.22408524009549</v>
      </c>
      <c r="L377" s="7"/>
      <c r="M377" s="7"/>
      <c r="N377" s="38">
        <f t="shared" ref="N377:AW377" si="543">SUM(N375:N376)</f>
        <v>12.390999999999984</v>
      </c>
      <c r="O377" s="38">
        <f t="shared" si="543"/>
        <v>84.984000000000037</v>
      </c>
      <c r="P377" s="38">
        <f t="shared" si="543"/>
        <v>52.197000000000038</v>
      </c>
      <c r="Q377" s="38">
        <f t="shared" si="543"/>
        <v>46.904000000000025</v>
      </c>
      <c r="R377" s="38">
        <f t="shared" si="543"/>
        <v>49.235000000000028</v>
      </c>
      <c r="S377" s="38">
        <f t="shared" si="543"/>
        <v>46.152999999999984</v>
      </c>
      <c r="T377" s="38">
        <f t="shared" si="543"/>
        <v>32.548000000000023</v>
      </c>
      <c r="U377" s="38">
        <f t="shared" si="543"/>
        <v>-3.6120000000000161</v>
      </c>
      <c r="V377" s="38">
        <f t="shared" si="543"/>
        <v>6.0699999999999932</v>
      </c>
      <c r="W377" s="38">
        <f t="shared" si="543"/>
        <v>31.748000000000026</v>
      </c>
      <c r="X377" s="38">
        <f t="shared" si="543"/>
        <v>54.781999999999996</v>
      </c>
      <c r="Y377" s="38">
        <f t="shared" si="543"/>
        <v>41.002999999999844</v>
      </c>
      <c r="Z377" s="38">
        <f t="shared" si="543"/>
        <v>-1.225999999999992</v>
      </c>
      <c r="AA377" s="38">
        <f t="shared" si="543"/>
        <v>-84.552999999999997</v>
      </c>
      <c r="AB377" s="38">
        <f t="shared" si="543"/>
        <v>-795.69200000000001</v>
      </c>
      <c r="AC377" s="38">
        <f t="shared" si="543"/>
        <v>-87.814000000000078</v>
      </c>
      <c r="AD377" s="38">
        <f t="shared" si="543"/>
        <v>-70.534999999999997</v>
      </c>
      <c r="AE377" s="38">
        <f t="shared" si="543"/>
        <v>-261.20600000000002</v>
      </c>
      <c r="AF377" s="38">
        <f t="shared" si="543"/>
        <v>-74.194999999999993</v>
      </c>
      <c r="AG377" s="38">
        <f>SUM(AG375:AG376)</f>
        <v>-77.680999999999983</v>
      </c>
      <c r="AH377" s="38">
        <f>SUM(AH375:AH376)</f>
        <v>-48.925499999999985</v>
      </c>
      <c r="AI377" s="38">
        <f>SUM(AI375:AI376)</f>
        <v>-13.218500000000006</v>
      </c>
      <c r="AJ377" s="38">
        <f t="shared" si="543"/>
        <v>-22.858500000000006</v>
      </c>
      <c r="AK377" s="38">
        <f t="shared" ref="AK377" si="544">SUM(AK375:AK376)</f>
        <v>-12.935500000000047</v>
      </c>
      <c r="AL377" s="38">
        <f t="shared" si="543"/>
        <v>-17.161293495095983</v>
      </c>
      <c r="AM377" s="38">
        <f t="shared" si="543"/>
        <v>-4.119312244010473</v>
      </c>
      <c r="AN377" s="38">
        <f t="shared" si="543"/>
        <v>18.455894516804911</v>
      </c>
      <c r="AO377" s="38">
        <f t="shared" si="543"/>
        <v>27.637629201500474</v>
      </c>
      <c r="AP377" s="38">
        <f t="shared" si="543"/>
        <v>35.101795157587269</v>
      </c>
      <c r="AQ377" s="38">
        <f t="shared" si="543"/>
        <v>38.134070065692832</v>
      </c>
      <c r="AR377" s="38">
        <f t="shared" si="543"/>
        <v>41.207968426456546</v>
      </c>
      <c r="AS377" s="38">
        <f t="shared" si="543"/>
        <v>44.321730378190338</v>
      </c>
      <c r="AT377" s="38">
        <f t="shared" si="543"/>
        <v>45.62675332807482</v>
      </c>
      <c r="AU377" s="38">
        <f t="shared" si="543"/>
        <v>46.06715667652098</v>
      </c>
      <c r="AV377" s="38">
        <f t="shared" si="543"/>
        <v>46.526438293501201</v>
      </c>
      <c r="AW377" s="38">
        <f t="shared" si="543"/>
        <v>47.003736941998604</v>
      </c>
      <c r="AX377" s="39"/>
      <c r="AY377" s="39"/>
      <c r="AZ377" s="39"/>
      <c r="BA377" s="39"/>
      <c r="BB377" s="39"/>
      <c r="BC377" s="39"/>
      <c r="BD377" s="39"/>
      <c r="BE377" s="39"/>
      <c r="BF377" s="2">
        <f t="shared" si="472"/>
        <v>371</v>
      </c>
    </row>
    <row r="378" spans="1:58" ht="11.25" hidden="1" customHeight="1" outlineLevel="3">
      <c r="A378" s="41"/>
      <c r="B378" s="188" t="s">
        <v>19</v>
      </c>
      <c r="C378" s="51">
        <f t="shared" ref="C378:H378" si="545">INDEX($N378:$AX378,1,MATCH(C$5,$N$5:$AX$5,0))</f>
        <v>3223.9839999999999</v>
      </c>
      <c r="D378" s="51">
        <f t="shared" si="545"/>
        <v>2973.9160000000002</v>
      </c>
      <c r="E378" s="51">
        <f t="shared" si="545"/>
        <v>3010.2950000000001</v>
      </c>
      <c r="F378" s="51">
        <f t="shared" si="545"/>
        <v>1929.1849999999999</v>
      </c>
      <c r="G378" s="51">
        <f t="shared" si="545"/>
        <v>1573.8009999999999</v>
      </c>
      <c r="H378" s="51">
        <f t="shared" si="545"/>
        <v>1501.2139999999999</v>
      </c>
      <c r="I378" s="51">
        <f>INDEX($N378:$BF378,1,MATCH(I$5,$N$5:$BF$5,0))</f>
        <v>0</v>
      </c>
      <c r="J378" s="51">
        <f>INDEX($N378:$BF378,1,MATCH(J$5,$N$5:$BF$5,0))</f>
        <v>0</v>
      </c>
      <c r="K378" s="51">
        <f>INDEX($N378:$BF378,1,MATCH(K$5,$N$5:$BF$5,0))</f>
        <v>0</v>
      </c>
      <c r="L378" s="7"/>
      <c r="M378" s="7"/>
      <c r="N378" s="40"/>
      <c r="O378" s="40"/>
      <c r="P378" s="40"/>
      <c r="Q378" s="40">
        <v>3223.9839999999999</v>
      </c>
      <c r="R378" s="40">
        <v>3097.61</v>
      </c>
      <c r="S378" s="40">
        <v>3024.127</v>
      </c>
      <c r="T378" s="40">
        <v>3006.5880000000002</v>
      </c>
      <c r="U378" s="40">
        <v>2973.9160000000002</v>
      </c>
      <c r="V378" s="40">
        <v>2938.0889999999999</v>
      </c>
      <c r="W378" s="40">
        <v>2929.0509999999999</v>
      </c>
      <c r="X378" s="40">
        <v>3012.7849999999999</v>
      </c>
      <c r="Y378" s="40">
        <v>3010.2950000000001</v>
      </c>
      <c r="Z378" s="40">
        <v>2924.085</v>
      </c>
      <c r="AA378" s="40">
        <v>2785.3229999999999</v>
      </c>
      <c r="AB378" s="40">
        <v>1960.9949999999999</v>
      </c>
      <c r="AC378" s="40">
        <v>1929.1849999999999</v>
      </c>
      <c r="AD378" s="40">
        <v>1854.21</v>
      </c>
      <c r="AE378" s="40">
        <v>1597.0039999999999</v>
      </c>
      <c r="AF378" s="40">
        <v>1556.4849999999999</v>
      </c>
      <c r="AG378" s="40">
        <v>1573.8009999999999</v>
      </c>
      <c r="AH378" s="40">
        <v>1593.298</v>
      </c>
      <c r="AI378" s="40">
        <v>1570.0039999999999</v>
      </c>
      <c r="AJ378" s="40">
        <v>1564.596</v>
      </c>
      <c r="AK378" s="40">
        <v>1501.2139999999999</v>
      </c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9"/>
      <c r="AY378" s="39"/>
      <c r="AZ378" s="39"/>
      <c r="BA378" s="39"/>
      <c r="BB378" s="39"/>
      <c r="BC378" s="39"/>
      <c r="BD378" s="39"/>
      <c r="BE378" s="39"/>
      <c r="BF378" s="2">
        <f t="shared" si="472"/>
        <v>372</v>
      </c>
    </row>
    <row r="379" spans="1:58" ht="11.25" hidden="1" customHeight="1" outlineLevel="3">
      <c r="A379" s="47"/>
      <c r="B379" s="187" t="s">
        <v>18</v>
      </c>
      <c r="C379" s="150"/>
      <c r="D379" s="150"/>
      <c r="E379" s="150"/>
      <c r="F379" s="150"/>
      <c r="G379" s="150"/>
      <c r="H379" s="150"/>
      <c r="I379" s="150"/>
      <c r="J379" s="150"/>
      <c r="K379" s="150"/>
      <c r="L379" s="7"/>
      <c r="M379" s="7"/>
      <c r="N379" s="150"/>
      <c r="O379" s="150"/>
      <c r="P379" s="150"/>
      <c r="Q379" s="150"/>
      <c r="R379" s="150"/>
      <c r="S379" s="150"/>
      <c r="T379" s="150"/>
      <c r="U379" s="150"/>
      <c r="V379" s="150"/>
      <c r="W379" s="150"/>
      <c r="X379" s="150"/>
      <c r="Y379" s="150"/>
      <c r="Z379" s="150"/>
      <c r="AA379" s="150"/>
      <c r="AB379" s="150"/>
      <c r="AC379" s="150"/>
      <c r="AD379" s="150"/>
      <c r="AE379" s="150"/>
      <c r="AF379" s="150"/>
      <c r="AG379" s="150"/>
      <c r="AH379" s="150"/>
      <c r="AI379" s="150"/>
      <c r="AJ379" s="150"/>
      <c r="AK379" s="150"/>
      <c r="AL379" s="150"/>
      <c r="AM379" s="150"/>
      <c r="AN379" s="150"/>
      <c r="AO379" s="150"/>
      <c r="AP379" s="150"/>
      <c r="AQ379" s="150"/>
      <c r="AR379" s="150"/>
      <c r="AS379" s="150"/>
      <c r="AT379" s="150"/>
      <c r="AU379" s="150"/>
      <c r="AV379" s="150"/>
      <c r="AW379" s="150"/>
      <c r="AX379" s="44"/>
      <c r="AY379" s="44"/>
      <c r="AZ379" s="44"/>
      <c r="BA379" s="44"/>
      <c r="BB379" s="44"/>
      <c r="BC379" s="44"/>
      <c r="BD379" s="44"/>
      <c r="BE379" s="44"/>
      <c r="BF379" s="2">
        <f t="shared" si="472"/>
        <v>373</v>
      </c>
    </row>
    <row r="380" spans="1:58" ht="11.25" hidden="1" customHeight="1" outlineLevel="3">
      <c r="A380" s="47"/>
      <c r="B380" s="185" t="s">
        <v>17</v>
      </c>
      <c r="C380" s="45"/>
      <c r="D380" s="45">
        <f t="shared" ref="D380:K380" si="546">+D369/C369-1</f>
        <v>1.7108151497795543E-3</v>
      </c>
      <c r="E380" s="45">
        <f t="shared" si="546"/>
        <v>8.216926869350849E-2</v>
      </c>
      <c r="F380" s="45">
        <f t="shared" si="546"/>
        <v>-0.45944971479897034</v>
      </c>
      <c r="G380" s="45">
        <f t="shared" si="546"/>
        <v>-0.43902104775170525</v>
      </c>
      <c r="H380" s="45">
        <f t="shared" si="546"/>
        <v>0.78481959672878898</v>
      </c>
      <c r="I380" s="45">
        <f t="shared" si="546"/>
        <v>0.28131710178649527</v>
      </c>
      <c r="J380" s="45">
        <f t="shared" si="546"/>
        <v>0.30139282709984139</v>
      </c>
      <c r="K380" s="45">
        <f t="shared" si="546"/>
        <v>2.989706929916669E-2</v>
      </c>
      <c r="L380" s="7"/>
      <c r="M380" s="7"/>
      <c r="N380" s="45"/>
      <c r="O380" s="45">
        <f t="shared" ref="O380:AW380" si="547">+O369/N369-1</f>
        <v>0.69971323960582987</v>
      </c>
      <c r="P380" s="45">
        <f t="shared" si="547"/>
        <v>-0.11396409946799224</v>
      </c>
      <c r="Q380" s="45">
        <f t="shared" si="547"/>
        <v>-8.205245088961477E-3</v>
      </c>
      <c r="R380" s="45">
        <f t="shared" si="547"/>
        <v>1.9737251578740844E-2</v>
      </c>
      <c r="S380" s="45">
        <f t="shared" si="547"/>
        <v>-6.5183352387301885E-2</v>
      </c>
      <c r="T380" s="45">
        <f t="shared" si="547"/>
        <v>-5.0223999035692302E-4</v>
      </c>
      <c r="U380" s="45">
        <f t="shared" si="547"/>
        <v>-5.9110689017527029E-2</v>
      </c>
      <c r="V380" s="45">
        <f t="shared" si="547"/>
        <v>4.1090659538731478E-2</v>
      </c>
      <c r="W380" s="45">
        <f t="shared" si="547"/>
        <v>2.0957891847941834E-2</v>
      </c>
      <c r="X380" s="45">
        <f t="shared" si="547"/>
        <v>0.18289502773534849</v>
      </c>
      <c r="Y380" s="45">
        <f t="shared" si="547"/>
        <v>-3.6508519716511589E-3</v>
      </c>
      <c r="Z380" s="45">
        <f t="shared" si="547"/>
        <v>-0.25182358834438212</v>
      </c>
      <c r="AA380" s="45">
        <f t="shared" si="547"/>
        <v>-0.35507646897934997</v>
      </c>
      <c r="AB380" s="45">
        <f t="shared" si="547"/>
        <v>-0.1038950711909632</v>
      </c>
      <c r="AC380" s="45">
        <f t="shared" si="547"/>
        <v>-0.24169193226355101</v>
      </c>
      <c r="AD380" s="45">
        <f t="shared" si="547"/>
        <v>-0.13877999466905899</v>
      </c>
      <c r="AE380" s="45">
        <f t="shared" si="547"/>
        <v>-0.12515097530044095</v>
      </c>
      <c r="AF380" s="45">
        <f t="shared" si="547"/>
        <v>7.8770935259247832E-2</v>
      </c>
      <c r="AG380" s="45">
        <f t="shared" si="547"/>
        <v>0.20441202348386689</v>
      </c>
      <c r="AH380" s="45">
        <f t="shared" si="547"/>
        <v>0.36128119645632162</v>
      </c>
      <c r="AI380" s="45">
        <f t="shared" si="547"/>
        <v>0.2151439903599881</v>
      </c>
      <c r="AJ380" s="45">
        <f t="shared" si="547"/>
        <v>-2.7059687890187423E-3</v>
      </c>
      <c r="AK380" s="45">
        <f t="shared" si="547"/>
        <v>-6.314285139188025E-2</v>
      </c>
      <c r="AL380" s="45">
        <f t="shared" si="547"/>
        <v>2.0000000000000018E-2</v>
      </c>
      <c r="AM380" s="45">
        <f t="shared" si="547"/>
        <v>0.14999999999999991</v>
      </c>
      <c r="AN380" s="45">
        <f t="shared" si="547"/>
        <v>0.19999999999999996</v>
      </c>
      <c r="AO380" s="45">
        <f t="shared" si="547"/>
        <v>0.10000000000000009</v>
      </c>
      <c r="AP380" s="45">
        <f t="shared" si="547"/>
        <v>5.0000000000000044E-2</v>
      </c>
      <c r="AQ380" s="45">
        <f t="shared" si="547"/>
        <v>2.0000000000000018E-2</v>
      </c>
      <c r="AR380" s="45">
        <f t="shared" si="547"/>
        <v>2.0000000000000018E-2</v>
      </c>
      <c r="AS380" s="45">
        <f t="shared" si="547"/>
        <v>2.0000000000000018E-2</v>
      </c>
      <c r="AT380" s="45">
        <f t="shared" si="547"/>
        <v>0</v>
      </c>
      <c r="AU380" s="45">
        <f t="shared" si="547"/>
        <v>0</v>
      </c>
      <c r="AV380" s="45">
        <f t="shared" si="547"/>
        <v>0</v>
      </c>
      <c r="AW380" s="45">
        <f t="shared" si="547"/>
        <v>0</v>
      </c>
      <c r="AX380" s="156"/>
      <c r="AY380" s="156"/>
      <c r="AZ380" s="156"/>
      <c r="BA380" s="156"/>
      <c r="BB380" s="156"/>
      <c r="BC380" s="156"/>
      <c r="BD380" s="156"/>
      <c r="BE380" s="156"/>
      <c r="BF380" s="2">
        <f t="shared" si="472"/>
        <v>374</v>
      </c>
    </row>
    <row r="381" spans="1:58" ht="11.25" hidden="1" customHeight="1" outlineLevel="3">
      <c r="A381" s="47"/>
      <c r="B381" s="185" t="s">
        <v>16</v>
      </c>
      <c r="C381" s="45">
        <f t="shared" ref="C381:J381" si="548">-C370/C369</f>
        <v>0.65228795647615989</v>
      </c>
      <c r="D381" s="45">
        <f t="shared" si="548"/>
        <v>0.67858162815399714</v>
      </c>
      <c r="E381" s="45">
        <f t="shared" si="548"/>
        <v>0.69534939441080079</v>
      </c>
      <c r="F381" s="45">
        <f t="shared" si="548"/>
        <v>0.82773369706611966</v>
      </c>
      <c r="G381" s="45">
        <f t="shared" si="548"/>
        <v>0.98438636168446358</v>
      </c>
      <c r="H381" s="45">
        <f t="shared" si="548"/>
        <v>0.84644502733689564</v>
      </c>
      <c r="I381" s="45">
        <f t="shared" si="548"/>
        <v>0.76355271737562302</v>
      </c>
      <c r="J381" s="45">
        <f t="shared" si="548"/>
        <v>0.73891451544050579</v>
      </c>
      <c r="K381" s="45">
        <f>-K370/K369</f>
        <v>0.73732884362970674</v>
      </c>
      <c r="L381" s="7"/>
      <c r="M381" s="7"/>
      <c r="N381" s="45">
        <f t="shared" ref="N381:AW381" si="549">-N370/N369</f>
        <v>0.66384673693845742</v>
      </c>
      <c r="O381" s="45">
        <f t="shared" si="549"/>
        <v>0.63777402396874849</v>
      </c>
      <c r="P381" s="45">
        <f t="shared" si="549"/>
        <v>0.65950607083671653</v>
      </c>
      <c r="Q381" s="45">
        <f t="shared" si="549"/>
        <v>0.65378778085785816</v>
      </c>
      <c r="R381" s="45">
        <f t="shared" si="549"/>
        <v>0.66138554824957796</v>
      </c>
      <c r="S381" s="45">
        <f t="shared" si="549"/>
        <v>0.65807752576491152</v>
      </c>
      <c r="T381" s="45">
        <f t="shared" si="549"/>
        <v>0.69262542209358413</v>
      </c>
      <c r="U381" s="45">
        <f t="shared" si="549"/>
        <v>0.70501937306569751</v>
      </c>
      <c r="V381" s="45">
        <f t="shared" si="549"/>
        <v>0.72903761955693724</v>
      </c>
      <c r="W381" s="45">
        <f t="shared" si="549"/>
        <v>0.69063781252512257</v>
      </c>
      <c r="X381" s="45">
        <f t="shared" si="549"/>
        <v>0.67417154969002802</v>
      </c>
      <c r="Y381" s="45">
        <f t="shared" si="549"/>
        <v>0.69260546117280952</v>
      </c>
      <c r="Z381" s="45">
        <f t="shared" si="549"/>
        <v>0.72399086019054559</v>
      </c>
      <c r="AA381" s="45">
        <f t="shared" si="549"/>
        <v>0.80465005323308136</v>
      </c>
      <c r="AB381" s="45">
        <f t="shared" si="549"/>
        <v>0.85958243979393134</v>
      </c>
      <c r="AC381" s="45">
        <f t="shared" si="549"/>
        <v>1.0564299598879205</v>
      </c>
      <c r="AD381" s="45">
        <f t="shared" si="549"/>
        <v>0.93098919016848836</v>
      </c>
      <c r="AE381" s="45">
        <f t="shared" si="549"/>
        <v>0.99548721665674378</v>
      </c>
      <c r="AF381" s="45">
        <f t="shared" si="549"/>
        <v>0.9978003871318647</v>
      </c>
      <c r="AG381" s="45">
        <f t="shared" si="549"/>
        <v>1.0116816533623769</v>
      </c>
      <c r="AH381" s="45">
        <f t="shared" ref="AH381:AJ382" si="550">-AH370/AH369</f>
        <v>0.94432112557871772</v>
      </c>
      <c r="AI381" s="45">
        <f t="shared" si="550"/>
        <v>0.82899401394738215</v>
      </c>
      <c r="AJ381" s="45">
        <f t="shared" si="550"/>
        <v>0.84580825667760318</v>
      </c>
      <c r="AK381" s="45">
        <f t="shared" ref="AK381" si="551">-AK370/AK369</f>
        <v>0.7795935029219665</v>
      </c>
      <c r="AL381" s="45">
        <f t="shared" si="549"/>
        <v>0.80285296139769069</v>
      </c>
      <c r="AM381" s="45">
        <f t="shared" si="549"/>
        <v>0.77859260087971094</v>
      </c>
      <c r="AN381" s="45">
        <f t="shared" si="549"/>
        <v>0.7451487724070901</v>
      </c>
      <c r="AO381" s="45">
        <f t="shared" si="549"/>
        <v>0.74300023648287361</v>
      </c>
      <c r="AP381" s="45">
        <f t="shared" si="549"/>
        <v>0.73891451544050568</v>
      </c>
      <c r="AQ381" s="45">
        <f t="shared" si="549"/>
        <v>0.73891451544050579</v>
      </c>
      <c r="AR381" s="45">
        <f t="shared" si="549"/>
        <v>0.7389145154405059</v>
      </c>
      <c r="AS381" s="45">
        <f t="shared" si="549"/>
        <v>0.73891451544050579</v>
      </c>
      <c r="AT381" s="45">
        <f t="shared" si="549"/>
        <v>0.73829280574931588</v>
      </c>
      <c r="AU381" s="45">
        <f t="shared" si="549"/>
        <v>0.73765866186430229</v>
      </c>
      <c r="AV381" s="45">
        <f t="shared" si="549"/>
        <v>0.7370118351015883</v>
      </c>
      <c r="AW381" s="45">
        <f t="shared" si="549"/>
        <v>0.73635207180362006</v>
      </c>
      <c r="AX381" s="156"/>
      <c r="AY381" s="156"/>
      <c r="AZ381" s="156"/>
      <c r="BA381" s="156"/>
      <c r="BB381" s="156"/>
      <c r="BC381" s="156"/>
      <c r="BD381" s="156"/>
      <c r="BE381" s="156"/>
      <c r="BF381" s="2">
        <f t="shared" si="472"/>
        <v>375</v>
      </c>
    </row>
    <row r="382" spans="1:58" ht="11.25" hidden="1" customHeight="1" outlineLevel="3">
      <c r="A382" s="47"/>
      <c r="B382" s="185" t="s">
        <v>165</v>
      </c>
      <c r="C382" s="45">
        <f t="shared" ref="C382:J382" si="552">-C371/C370</f>
        <v>0.53306525143017636</v>
      </c>
      <c r="D382" s="45">
        <f t="shared" si="552"/>
        <v>0.47366205996526084</v>
      </c>
      <c r="E382" s="45">
        <f t="shared" si="552"/>
        <v>0.43812593789247878</v>
      </c>
      <c r="F382" s="45">
        <f t="shared" si="552"/>
        <v>0.20811802581491332</v>
      </c>
      <c r="G382" s="45">
        <f t="shared" si="552"/>
        <v>1.5861290772881748E-2</v>
      </c>
      <c r="H382" s="45">
        <f t="shared" si="552"/>
        <v>0.1814116306480322</v>
      </c>
      <c r="I382" s="45">
        <f t="shared" si="552"/>
        <v>0.30966726624595181</v>
      </c>
      <c r="J382" s="45">
        <f t="shared" si="552"/>
        <v>0.35333652148360817</v>
      </c>
      <c r="K382" s="45">
        <f>-K371/K370</f>
        <v>0.35624695634748443</v>
      </c>
      <c r="L382" s="7"/>
      <c r="M382" s="7"/>
      <c r="N382" s="45">
        <f t="shared" ref="N382:AW382" si="553">-N371/N370</f>
        <v>0.50637179390505316</v>
      </c>
      <c r="O382" s="45">
        <f t="shared" si="553"/>
        <v>0.56795347947410446</v>
      </c>
      <c r="P382" s="45">
        <f t="shared" si="553"/>
        <v>0.51628626970984248</v>
      </c>
      <c r="Q382" s="45">
        <f t="shared" si="553"/>
        <v>0.52954831717390682</v>
      </c>
      <c r="R382" s="45">
        <f t="shared" si="553"/>
        <v>0.51197739752040028</v>
      </c>
      <c r="S382" s="45">
        <f t="shared" si="553"/>
        <v>0.51957780177594948</v>
      </c>
      <c r="T382" s="45">
        <f t="shared" si="553"/>
        <v>0.44378183084490502</v>
      </c>
      <c r="U382" s="45">
        <f t="shared" si="553"/>
        <v>0.4184007393323283</v>
      </c>
      <c r="V382" s="45">
        <f t="shared" si="553"/>
        <v>0.37167132830228505</v>
      </c>
      <c r="W382" s="45">
        <f t="shared" si="553"/>
        <v>0.44793693867380613</v>
      </c>
      <c r="X382" s="45">
        <f t="shared" si="553"/>
        <v>0.48330198813607911</v>
      </c>
      <c r="Y382" s="45">
        <f t="shared" si="553"/>
        <v>0.44382344070269109</v>
      </c>
      <c r="Z382" s="45">
        <f t="shared" si="553"/>
        <v>0.38123290636129314</v>
      </c>
      <c r="AA382" s="45">
        <f t="shared" si="553"/>
        <v>0.24277628017546651</v>
      </c>
      <c r="AB382" s="45">
        <f t="shared" si="553"/>
        <v>0.16335554765373192</v>
      </c>
      <c r="AC382" s="45">
        <f t="shared" si="553"/>
        <v>-5.3415713327466842E-2</v>
      </c>
      <c r="AD382" s="45">
        <f t="shared" si="553"/>
        <v>7.4126327738587613E-2</v>
      </c>
      <c r="AE382" s="45">
        <f t="shared" si="553"/>
        <v>4.5332408771777419E-3</v>
      </c>
      <c r="AF382" s="45">
        <f t="shared" si="553"/>
        <v>2.2044618307454742E-3</v>
      </c>
      <c r="AG382" s="45">
        <f t="shared" si="553"/>
        <v>-1.1546768020900938E-2</v>
      </c>
      <c r="AH382" s="45">
        <f t="shared" si="550"/>
        <v>5.8961801142762733E-2</v>
      </c>
      <c r="AI382" s="45">
        <f t="shared" si="550"/>
        <v>0.20628132794149692</v>
      </c>
      <c r="AJ382" s="45">
        <f t="shared" si="550"/>
        <v>0.18230106186013523</v>
      </c>
      <c r="AK382" s="45">
        <f t="shared" ref="AK382" si="554">-AK371/AK370</f>
        <v>0.28271977158857248</v>
      </c>
      <c r="AL382" s="45">
        <f t="shared" si="553"/>
        <v>0.24555808856841607</v>
      </c>
      <c r="AM382" s="45">
        <f t="shared" si="553"/>
        <v>0.28436874287031072</v>
      </c>
      <c r="AN382" s="45">
        <f t="shared" si="553"/>
        <v>0.34201388639432589</v>
      </c>
      <c r="AO382" s="45">
        <f t="shared" si="553"/>
        <v>0.34589459181558457</v>
      </c>
      <c r="AP382" s="45">
        <f t="shared" si="553"/>
        <v>0.35333652148360822</v>
      </c>
      <c r="AQ382" s="45">
        <f t="shared" si="553"/>
        <v>0.35333652148360817</v>
      </c>
      <c r="AR382" s="45">
        <f t="shared" si="553"/>
        <v>0.35333652148360817</v>
      </c>
      <c r="AS382" s="45">
        <f t="shared" si="553"/>
        <v>0.35333652148360817</v>
      </c>
      <c r="AT382" s="45">
        <f t="shared" si="553"/>
        <v>0.35447615392252058</v>
      </c>
      <c r="AU382" s="45">
        <f t="shared" si="553"/>
        <v>0.35564055802269884</v>
      </c>
      <c r="AV382" s="45">
        <f t="shared" si="553"/>
        <v>0.35683031448492541</v>
      </c>
      <c r="AW382" s="45">
        <f t="shared" si="553"/>
        <v>0.35804601941378528</v>
      </c>
      <c r="AX382" s="156"/>
      <c r="AY382" s="156"/>
      <c r="AZ382" s="156"/>
      <c r="BA382" s="156"/>
      <c r="BB382" s="156"/>
      <c r="BC382" s="156"/>
      <c r="BD382" s="156"/>
      <c r="BE382" s="156"/>
      <c r="BF382" s="2">
        <f t="shared" si="472"/>
        <v>376</v>
      </c>
    </row>
    <row r="383" spans="1:58" ht="11.25" hidden="1" customHeight="1" outlineLevel="3">
      <c r="A383" s="47"/>
      <c r="B383" s="185" t="s">
        <v>15</v>
      </c>
      <c r="C383" s="45">
        <f t="shared" ref="C383:J383" si="555">-C372/C369</f>
        <v>0.11663719112634624</v>
      </c>
      <c r="D383" s="45">
        <f t="shared" si="555"/>
        <v>9.7954912118965037E-2</v>
      </c>
      <c r="E383" s="45">
        <f t="shared" si="555"/>
        <v>9.2207090208715287E-2</v>
      </c>
      <c r="F383" s="45">
        <f t="shared" si="555"/>
        <v>0.12985710140800136</v>
      </c>
      <c r="G383" s="45">
        <f t="shared" si="555"/>
        <v>0.17464525302262554</v>
      </c>
      <c r="H383" s="45">
        <f t="shared" si="555"/>
        <v>4.7868705911035592E-2</v>
      </c>
      <c r="I383" s="45">
        <f t="shared" si="555"/>
        <v>3.7923114637055291E-2</v>
      </c>
      <c r="J383" s="45">
        <f t="shared" si="555"/>
        <v>3.1085484559494194E-2</v>
      </c>
      <c r="K383" s="45">
        <f>-K372/K369</f>
        <v>3.2671156370293379E-2</v>
      </c>
      <c r="L383" s="7"/>
      <c r="M383" s="7"/>
      <c r="N383" s="45">
        <f t="shared" ref="N383:AW383" si="556">-N372/N369</f>
        <v>0.20433287089346244</v>
      </c>
      <c r="O383" s="45">
        <f t="shared" si="556"/>
        <v>8.4559573720625447E-2</v>
      </c>
      <c r="P383" s="45">
        <f t="shared" si="556"/>
        <v>0.10234951115163084</v>
      </c>
      <c r="Q383" s="45">
        <f t="shared" si="556"/>
        <v>0.10883376661926851</v>
      </c>
      <c r="R383" s="45">
        <f t="shared" si="556"/>
        <v>9.6686956991241427E-2</v>
      </c>
      <c r="S383" s="45">
        <f t="shared" si="556"/>
        <v>9.6387387749362161E-2</v>
      </c>
      <c r="T383" s="45">
        <f t="shared" si="556"/>
        <v>9.3503778742563118E-2</v>
      </c>
      <c r="U383" s="45">
        <f t="shared" si="556"/>
        <v>0.10579482975467901</v>
      </c>
      <c r="V383" s="45">
        <f t="shared" si="556"/>
        <v>9.994947124349475E-2</v>
      </c>
      <c r="W383" s="45">
        <f t="shared" si="556"/>
        <v>9.0468988664683669E-2</v>
      </c>
      <c r="X383" s="45">
        <f t="shared" si="556"/>
        <v>8.4156491783990192E-2</v>
      </c>
      <c r="Y383" s="45">
        <f t="shared" si="556"/>
        <v>9.5327521156182704E-2</v>
      </c>
      <c r="Z383" s="45">
        <f t="shared" si="556"/>
        <v>0.10909650362401423</v>
      </c>
      <c r="AA383" s="45">
        <f t="shared" si="556"/>
        <v>0.14592049053953163</v>
      </c>
      <c r="AB383" s="45">
        <f t="shared" si="556"/>
        <v>0.14947866597648451</v>
      </c>
      <c r="AC383" s="45">
        <f t="shared" si="556"/>
        <v>0.12771504170486095</v>
      </c>
      <c r="AD383" s="45">
        <f t="shared" si="556"/>
        <v>0.18909656380216197</v>
      </c>
      <c r="AE383" s="45">
        <f t="shared" si="556"/>
        <v>0.17322875410939401</v>
      </c>
      <c r="AF383" s="45">
        <f t="shared" si="556"/>
        <v>0.18495944713730381</v>
      </c>
      <c r="AG383" s="45">
        <f t="shared" si="556"/>
        <v>0.15445815457769393</v>
      </c>
      <c r="AH383" s="45">
        <f>-AH372/AH369</f>
        <v>5.4598275920947993E-2</v>
      </c>
      <c r="AI383" s="45">
        <f>-AI372/AI369</f>
        <v>4.4931527748224454E-2</v>
      </c>
      <c r="AJ383" s="45">
        <f>-AJ372/AJ369</f>
        <v>4.505344095328194E-2</v>
      </c>
      <c r="AK383" s="45">
        <f>-AK372/AK369</f>
        <v>4.8089979374355447E-2</v>
      </c>
      <c r="AL383" s="45">
        <f t="shared" si="556"/>
        <v>4.714703860230926E-2</v>
      </c>
      <c r="AM383" s="45">
        <f t="shared" si="556"/>
        <v>4.1407399120288998E-2</v>
      </c>
      <c r="AN383" s="45">
        <f t="shared" si="556"/>
        <v>3.4851227592909907E-2</v>
      </c>
      <c r="AO383" s="45">
        <f t="shared" si="556"/>
        <v>3.199976351712637E-2</v>
      </c>
      <c r="AP383" s="45">
        <f t="shared" si="556"/>
        <v>3.1085484559494187E-2</v>
      </c>
      <c r="AQ383" s="45">
        <f t="shared" si="556"/>
        <v>3.1085484559494194E-2</v>
      </c>
      <c r="AR383" s="45">
        <f t="shared" si="556"/>
        <v>3.1085484559494191E-2</v>
      </c>
      <c r="AS383" s="45">
        <f t="shared" si="556"/>
        <v>3.1085484559494198E-2</v>
      </c>
      <c r="AT383" s="45">
        <f t="shared" si="556"/>
        <v>3.1707194250684079E-2</v>
      </c>
      <c r="AU383" s="45">
        <f t="shared" si="556"/>
        <v>3.2341338135697763E-2</v>
      </c>
      <c r="AV383" s="45">
        <f t="shared" si="556"/>
        <v>3.2988164898411713E-2</v>
      </c>
      <c r="AW383" s="45">
        <f t="shared" si="556"/>
        <v>3.3647928196379948E-2</v>
      </c>
      <c r="AX383" s="156"/>
      <c r="AY383" s="156"/>
      <c r="AZ383" s="156"/>
      <c r="BA383" s="156"/>
      <c r="BB383" s="156"/>
      <c r="BC383" s="156"/>
      <c r="BD383" s="156"/>
      <c r="BE383" s="156"/>
      <c r="BF383" s="2">
        <f t="shared" si="472"/>
        <v>377</v>
      </c>
    </row>
    <row r="384" spans="1:58" ht="11.25" hidden="1" customHeight="1" outlineLevel="3">
      <c r="A384" s="47"/>
      <c r="B384" s="185" t="s">
        <v>14</v>
      </c>
      <c r="C384" s="45">
        <f t="shared" ref="C384:J384" si="557">+C373/C369</f>
        <v>0.23107485239749387</v>
      </c>
      <c r="D384" s="45">
        <f t="shared" si="557"/>
        <v>0.22346345972703785</v>
      </c>
      <c r="E384" s="45">
        <f t="shared" si="557"/>
        <v>0.21244351538048392</v>
      </c>
      <c r="F384" s="45">
        <f t="shared" si="557"/>
        <v>4.240920152587898E-2</v>
      </c>
      <c r="G384" s="45">
        <f t="shared" si="557"/>
        <v>-0.15903161470708913</v>
      </c>
      <c r="H384" s="45">
        <f t="shared" si="557"/>
        <v>0.10568626675206882</v>
      </c>
      <c r="I384" s="45">
        <f t="shared" si="557"/>
        <v>0.19852416798732173</v>
      </c>
      <c r="J384" s="45">
        <f t="shared" si="557"/>
        <v>0.23</v>
      </c>
      <c r="K384" s="45">
        <f>+K373/K369</f>
        <v>0.22999999999999993</v>
      </c>
      <c r="L384" s="7"/>
      <c r="M384" s="7"/>
      <c r="N384" s="45">
        <f t="shared" ref="N384:AW384" si="558">+N373/N369</f>
        <v>0.13182039216808014</v>
      </c>
      <c r="O384" s="45">
        <f t="shared" si="558"/>
        <v>0.27766640231062611</v>
      </c>
      <c r="P384" s="45">
        <f t="shared" si="558"/>
        <v>0.23814441801165268</v>
      </c>
      <c r="Q384" s="45">
        <f t="shared" si="558"/>
        <v>0.23737845252287326</v>
      </c>
      <c r="R384" s="45">
        <f t="shared" si="558"/>
        <v>0.2419274947591806</v>
      </c>
      <c r="S384" s="45">
        <f t="shared" si="558"/>
        <v>0.24553508648572628</v>
      </c>
      <c r="T384" s="45">
        <f t="shared" si="558"/>
        <v>0.21387079916385277</v>
      </c>
      <c r="U384" s="45">
        <f t="shared" si="558"/>
        <v>0.18918579717962344</v>
      </c>
      <c r="V384" s="45">
        <f t="shared" si="558"/>
        <v>0.17101290919956805</v>
      </c>
      <c r="W384" s="45">
        <f t="shared" si="558"/>
        <v>0.21889319881019381</v>
      </c>
      <c r="X384" s="45">
        <f t="shared" si="558"/>
        <v>0.24167195852598178</v>
      </c>
      <c r="Y384" s="45">
        <f t="shared" si="558"/>
        <v>0.21206701767100775</v>
      </c>
      <c r="Z384" s="45">
        <f t="shared" si="558"/>
        <v>0.16691263618544014</v>
      </c>
      <c r="AA384" s="45">
        <f t="shared" si="558"/>
        <v>4.9429456227386988E-2</v>
      </c>
      <c r="AB384" s="45">
        <f t="shared" si="558"/>
        <v>-9.0611057704158213E-3</v>
      </c>
      <c r="AC384" s="45">
        <f t="shared" si="558"/>
        <v>-0.18414500159278138</v>
      </c>
      <c r="AD384" s="45">
        <f t="shared" si="558"/>
        <v>-0.12008575397065033</v>
      </c>
      <c r="AE384" s="45">
        <f t="shared" si="558"/>
        <v>-0.16871597076613776</v>
      </c>
      <c r="AF384" s="45">
        <f t="shared" si="558"/>
        <v>-0.18275983426916856</v>
      </c>
      <c r="AG384" s="45">
        <f t="shared" si="558"/>
        <v>-0.16613980794007083</v>
      </c>
      <c r="AH384" s="45">
        <f>+AH373/AH369</f>
        <v>1.080598500334236E-3</v>
      </c>
      <c r="AI384" s="45">
        <f>+AI373/AI369</f>
        <v>0.12607445830439337</v>
      </c>
      <c r="AJ384" s="45">
        <f>+AJ373/AJ369</f>
        <v>0.10913830236911493</v>
      </c>
      <c r="AK384" s="45">
        <f>+AK373/AK369</f>
        <v>0.17231651770367803</v>
      </c>
      <c r="AL384" s="45">
        <f t="shared" si="558"/>
        <v>0.15</v>
      </c>
      <c r="AM384" s="45">
        <f t="shared" si="558"/>
        <v>0.18</v>
      </c>
      <c r="AN384" s="45">
        <f t="shared" si="558"/>
        <v>0.22000000000000003</v>
      </c>
      <c r="AO384" s="45">
        <f t="shared" si="558"/>
        <v>0.22500000000000001</v>
      </c>
      <c r="AP384" s="45">
        <f t="shared" si="558"/>
        <v>0.23</v>
      </c>
      <c r="AQ384" s="45">
        <f t="shared" si="558"/>
        <v>0.23</v>
      </c>
      <c r="AR384" s="45">
        <f t="shared" si="558"/>
        <v>0.23</v>
      </c>
      <c r="AS384" s="45">
        <f t="shared" si="558"/>
        <v>0.23</v>
      </c>
      <c r="AT384" s="45">
        <f t="shared" si="558"/>
        <v>0.23</v>
      </c>
      <c r="AU384" s="45">
        <f t="shared" si="558"/>
        <v>0.23</v>
      </c>
      <c r="AV384" s="45">
        <f t="shared" si="558"/>
        <v>0.23</v>
      </c>
      <c r="AW384" s="45">
        <f t="shared" si="558"/>
        <v>0.23</v>
      </c>
      <c r="AX384" s="156"/>
      <c r="AY384" s="156"/>
      <c r="AZ384" s="156"/>
      <c r="BA384" s="156"/>
      <c r="BB384" s="156"/>
      <c r="BC384" s="156"/>
      <c r="BD384" s="156"/>
      <c r="BE384" s="156"/>
      <c r="BF384" s="2">
        <f t="shared" si="472"/>
        <v>378</v>
      </c>
    </row>
    <row r="385" spans="1:58" ht="11.25" hidden="1" customHeight="1" outlineLevel="3">
      <c r="A385" s="47"/>
      <c r="B385" s="185" t="s">
        <v>13</v>
      </c>
      <c r="C385" s="45">
        <f t="shared" ref="C385:J385" si="559">+C375/C369</f>
        <v>0.12326150251854329</v>
      </c>
      <c r="D385" s="45">
        <f t="shared" si="559"/>
        <v>8.8494172996372703E-2</v>
      </c>
      <c r="E385" s="45">
        <f t="shared" si="559"/>
        <v>7.7320846528510651E-2</v>
      </c>
      <c r="F385" s="45">
        <f t="shared" si="559"/>
        <v>-0.19919937388853978</v>
      </c>
      <c r="G385" s="45">
        <f t="shared" si="559"/>
        <v>-0.55878159800750038</v>
      </c>
      <c r="H385" s="45">
        <f t="shared" si="559"/>
        <v>-0.10079524542255369</v>
      </c>
      <c r="I385" s="45">
        <f t="shared" si="559"/>
        <v>2.070735427323378E-2</v>
      </c>
      <c r="J385" s="45">
        <f t="shared" si="559"/>
        <v>0.10181099355287501</v>
      </c>
      <c r="K385" s="45">
        <f>+K375/K369</f>
        <v>0.1153299228164282</v>
      </c>
      <c r="L385" s="7"/>
      <c r="M385" s="7"/>
      <c r="N385" s="45">
        <f t="shared" ref="N385:AW385" si="560">+N375/N369</f>
        <v>4.4304838455927517E-2</v>
      </c>
      <c r="O385" s="45">
        <f t="shared" si="560"/>
        <v>0.17877480441509655</v>
      </c>
      <c r="P385" s="45">
        <f t="shared" si="560"/>
        <v>0.12392626675593678</v>
      </c>
      <c r="Q385" s="45">
        <f t="shared" si="560"/>
        <v>0.11228090334132884</v>
      </c>
      <c r="R385" s="45">
        <f t="shared" si="560"/>
        <v>0.1155797297075236</v>
      </c>
      <c r="S385" s="45">
        <f t="shared" si="560"/>
        <v>0.11589941137473125</v>
      </c>
      <c r="T385" s="45">
        <f t="shared" si="560"/>
        <v>8.1775607010773493E-2</v>
      </c>
      <c r="U385" s="45">
        <f t="shared" si="560"/>
        <v>3.5683291098002841E-2</v>
      </c>
      <c r="V385" s="45">
        <f t="shared" si="560"/>
        <v>1.5569012791213621E-2</v>
      </c>
      <c r="W385" s="45">
        <f t="shared" si="560"/>
        <v>7.9759225018088339E-2</v>
      </c>
      <c r="X385" s="45">
        <f t="shared" si="560"/>
        <v>0.11634727906398866</v>
      </c>
      <c r="Y385" s="45">
        <f t="shared" si="560"/>
        <v>8.7402212606313479E-2</v>
      </c>
      <c r="Z385" s="45">
        <f t="shared" si="560"/>
        <v>-3.4929571044354057E-3</v>
      </c>
      <c r="AA385" s="45">
        <f t="shared" si="560"/>
        <v>-0.19565918458405304</v>
      </c>
      <c r="AB385" s="45">
        <f t="shared" si="560"/>
        <v>-0.27455446276713746</v>
      </c>
      <c r="AC385" s="45">
        <f t="shared" si="560"/>
        <v>-0.55160935905187292</v>
      </c>
      <c r="AD385" s="45">
        <f t="shared" si="560"/>
        <v>-0.53245214082976022</v>
      </c>
      <c r="AE385" s="45">
        <f t="shared" si="560"/>
        <v>-0.6252750381817711</v>
      </c>
      <c r="AF385" s="45">
        <f t="shared" si="560"/>
        <v>-0.59345555182287912</v>
      </c>
      <c r="AG385" s="45">
        <f t="shared" si="560"/>
        <v>-0.50197904076292676</v>
      </c>
      <c r="AH385" s="45">
        <f>+AH375/AH369</f>
        <v>-0.23868542631196357</v>
      </c>
      <c r="AI385" s="45">
        <f>+AI375/AI369</f>
        <v>-5.306950806772151E-2</v>
      </c>
      <c r="AJ385" s="45">
        <f>+AJ375/AJ369</f>
        <v>-8.4621887643163404E-2</v>
      </c>
      <c r="AK385" s="45">
        <f>+AK375/AK369</f>
        <v>-4.7686060501890885E-2</v>
      </c>
      <c r="AL385" s="45">
        <f t="shared" si="560"/>
        <v>-7.2296311207510081E-2</v>
      </c>
      <c r="AM385" s="45">
        <f t="shared" si="560"/>
        <v>-1.5090130388810373E-2</v>
      </c>
      <c r="AN385" s="45">
        <f t="shared" si="560"/>
        <v>5.6340686301388741E-2</v>
      </c>
      <c r="AO385" s="45">
        <f t="shared" si="560"/>
        <v>7.6699959440059029E-2</v>
      </c>
      <c r="AP385" s="45">
        <f t="shared" si="560"/>
        <v>9.2775729275995866E-2</v>
      </c>
      <c r="AQ385" s="45">
        <f t="shared" si="560"/>
        <v>9.8813899401008723E-2</v>
      </c>
      <c r="AR385" s="45">
        <f t="shared" si="560"/>
        <v>0.10468535013947726</v>
      </c>
      <c r="AS385" s="45">
        <f t="shared" si="560"/>
        <v>0.11038784155918659</v>
      </c>
      <c r="AT385" s="45">
        <f t="shared" si="560"/>
        <v>0.11363813583681791</v>
      </c>
      <c r="AU385" s="45">
        <f t="shared" si="560"/>
        <v>0.11473500580636974</v>
      </c>
      <c r="AV385" s="45">
        <f t="shared" si="560"/>
        <v>0.11587889405111226</v>
      </c>
      <c r="AW385" s="45">
        <f t="shared" si="560"/>
        <v>0.11706765557141319</v>
      </c>
      <c r="AX385" s="156"/>
      <c r="AY385" s="156"/>
      <c r="AZ385" s="156"/>
      <c r="BA385" s="156"/>
      <c r="BB385" s="156"/>
      <c r="BC385" s="156"/>
      <c r="BD385" s="156"/>
      <c r="BE385" s="156"/>
      <c r="BF385" s="2">
        <f t="shared" si="472"/>
        <v>379</v>
      </c>
    </row>
    <row r="386" spans="1:58" ht="11.25" hidden="1" customHeight="1" outlineLevel="3">
      <c r="A386" s="47"/>
      <c r="B386" s="185" t="s">
        <v>12</v>
      </c>
      <c r="C386" s="45">
        <f>+C369/AVERAGE(C378:C378)</f>
        <v>0.49441219311262097</v>
      </c>
      <c r="D386" s="45">
        <f>+D369/AVERAGE(C378:D378)</f>
        <v>0.51524032333532332</v>
      </c>
      <c r="E386" s="45">
        <f>+E369/AVERAGE(D378:E378)</f>
        <v>0.57748765877406394</v>
      </c>
      <c r="F386" s="45">
        <f>+F369/AVERAGE(E378:F378)</f>
        <v>0.37818515309303818</v>
      </c>
      <c r="G386" s="45"/>
      <c r="H386" s="45"/>
      <c r="I386" s="45"/>
      <c r="J386" s="45"/>
      <c r="K386" s="45"/>
      <c r="L386" s="7"/>
      <c r="M386" s="7"/>
      <c r="N386" s="45"/>
      <c r="O386" s="45"/>
      <c r="P386" s="45"/>
      <c r="Q386" s="45">
        <f t="shared" ref="Q386:AC386" si="561">+Q369/AVERAGE(P378:Q378)</f>
        <v>0.12957198298750863</v>
      </c>
      <c r="R386" s="45">
        <f t="shared" si="561"/>
        <v>0.13477075560372906</v>
      </c>
      <c r="S386" s="45">
        <f t="shared" si="561"/>
        <v>0.13009902254866551</v>
      </c>
      <c r="T386" s="45">
        <f t="shared" si="561"/>
        <v>0.13199628899724161</v>
      </c>
      <c r="U386" s="45">
        <f t="shared" si="561"/>
        <v>0.12523660213252927</v>
      </c>
      <c r="V386" s="45">
        <f t="shared" si="561"/>
        <v>0.1318933255300021</v>
      </c>
      <c r="W386" s="45">
        <f t="shared" si="561"/>
        <v>0.13568723432541241</v>
      </c>
      <c r="X386" s="45">
        <f t="shared" si="561"/>
        <v>0.15848603024385058</v>
      </c>
      <c r="Y386" s="45">
        <f t="shared" si="561"/>
        <v>0.15577744277014419</v>
      </c>
      <c r="Z386" s="45">
        <f t="shared" si="561"/>
        <v>0.11829104304072204</v>
      </c>
      <c r="AA386" s="45">
        <f t="shared" si="561"/>
        <v>7.9294735986638207E-2</v>
      </c>
      <c r="AB386" s="45">
        <f t="shared" si="561"/>
        <v>8.5474677423636611E-2</v>
      </c>
      <c r="AC386" s="45">
        <f t="shared" si="561"/>
        <v>7.9080659506758036E-2</v>
      </c>
      <c r="AD386" s="45">
        <f t="shared" ref="AD386:AW386" si="562">IFERROR(+AD369/AVERAGE(AC378:AD378),0)</f>
        <v>7.0028109673983291E-2</v>
      </c>
      <c r="AE386" s="45">
        <f t="shared" si="562"/>
        <v>6.7160715041142044E-2</v>
      </c>
      <c r="AF386" s="45">
        <f t="shared" si="562"/>
        <v>7.9291223149977705E-2</v>
      </c>
      <c r="AG386" s="45">
        <f t="shared" si="562"/>
        <v>9.6207183624755055E-2</v>
      </c>
      <c r="AH386" s="45">
        <f t="shared" si="562"/>
        <v>0.12944274871104439</v>
      </c>
      <c r="AI386" s="45">
        <f t="shared" si="562"/>
        <v>0.15748037967920864</v>
      </c>
      <c r="AJ386" s="45">
        <f t="shared" si="562"/>
        <v>0.15849231161870733</v>
      </c>
      <c r="AK386" s="45">
        <f t="shared" si="562"/>
        <v>0.15181632260316197</v>
      </c>
      <c r="AL386" s="45">
        <f t="shared" si="562"/>
        <v>0.15812162689663167</v>
      </c>
      <c r="AM386" s="45">
        <f t="shared" si="562"/>
        <v>0</v>
      </c>
      <c r="AN386" s="45">
        <f t="shared" si="562"/>
        <v>0</v>
      </c>
      <c r="AO386" s="45">
        <f t="shared" si="562"/>
        <v>0</v>
      </c>
      <c r="AP386" s="45">
        <f t="shared" si="562"/>
        <v>0</v>
      </c>
      <c r="AQ386" s="45">
        <f t="shared" si="562"/>
        <v>0</v>
      </c>
      <c r="AR386" s="45">
        <f t="shared" si="562"/>
        <v>0</v>
      </c>
      <c r="AS386" s="45">
        <f t="shared" si="562"/>
        <v>0</v>
      </c>
      <c r="AT386" s="45">
        <f t="shared" si="562"/>
        <v>0</v>
      </c>
      <c r="AU386" s="45">
        <f t="shared" si="562"/>
        <v>0</v>
      </c>
      <c r="AV386" s="45">
        <f t="shared" si="562"/>
        <v>0</v>
      </c>
      <c r="AW386" s="45">
        <f t="shared" si="562"/>
        <v>0</v>
      </c>
      <c r="AX386" s="44"/>
      <c r="AY386" s="44"/>
      <c r="AZ386" s="44"/>
      <c r="BA386" s="44"/>
      <c r="BB386" s="44"/>
      <c r="BC386" s="44"/>
      <c r="BD386" s="44"/>
      <c r="BE386" s="44"/>
      <c r="BF386" s="2">
        <f t="shared" si="472"/>
        <v>380</v>
      </c>
    </row>
    <row r="387" spans="1:58" ht="11.25" hidden="1" customHeight="1" outlineLevel="3">
      <c r="A387" s="47"/>
      <c r="B387" s="185" t="s">
        <v>11</v>
      </c>
      <c r="C387" s="45">
        <f>+C375/AVERAGE(C378:C378)</f>
        <v>6.0941989786549834E-2</v>
      </c>
      <c r="D387" s="45">
        <f>+D375/AVERAGE(C378:D378)</f>
        <v>4.5595766307943111E-2</v>
      </c>
      <c r="E387" s="45">
        <f>+E375/AVERAGE(D378:E378)</f>
        <v>4.4651834636178327E-2</v>
      </c>
      <c r="F387" s="45">
        <f>+F375/AVERAGE(E378:F378)</f>
        <v>-7.5334245710074771E-2</v>
      </c>
      <c r="G387" s="45"/>
      <c r="H387" s="45"/>
      <c r="I387" s="45"/>
      <c r="J387" s="45"/>
      <c r="K387" s="45"/>
      <c r="L387" s="7"/>
      <c r="M387" s="7"/>
      <c r="N387" s="45"/>
      <c r="O387" s="45"/>
      <c r="P387" s="45"/>
      <c r="Q387" s="45">
        <f t="shared" ref="Q387:AC387" si="563">+Q375/AVERAGE(P378:Q378)</f>
        <v>1.4548459297564761E-2</v>
      </c>
      <c r="R387" s="45">
        <f t="shared" si="563"/>
        <v>1.5576767505157726E-2</v>
      </c>
      <c r="S387" s="45">
        <f t="shared" si="563"/>
        <v>1.5078400133818223E-2</v>
      </c>
      <c r="T387" s="45">
        <f t="shared" si="563"/>
        <v>1.0794076655918916E-2</v>
      </c>
      <c r="U387" s="45">
        <f t="shared" si="563"/>
        <v>4.4688541300198052E-3</v>
      </c>
      <c r="V387" s="45">
        <f t="shared" si="563"/>
        <v>2.0534488722523045E-3</v>
      </c>
      <c r="W387" s="45">
        <f t="shared" si="563"/>
        <v>1.0822308654642647E-2</v>
      </c>
      <c r="X387" s="45">
        <f t="shared" si="563"/>
        <v>1.8439418388525031E-2</v>
      </c>
      <c r="Y387" s="45">
        <f t="shared" si="563"/>
        <v>1.3615293172263973E-2</v>
      </c>
      <c r="Z387" s="45">
        <f t="shared" si="563"/>
        <v>-4.1318553918016438E-4</v>
      </c>
      <c r="AA387" s="45">
        <f t="shared" si="563"/>
        <v>-1.5514743384953398E-2</v>
      </c>
      <c r="AB387" s="45">
        <f t="shared" si="563"/>
        <v>-2.3467454140240918E-2</v>
      </c>
      <c r="AC387" s="45">
        <f t="shared" si="563"/>
        <v>-4.3621631903922202E-2</v>
      </c>
      <c r="AD387" s="45">
        <f t="shared" ref="AD387:AW387" si="564">IFERROR(+AD375/AVERAGE(AC378:AD378),0)</f>
        <v>-3.7286616914173641E-2</v>
      </c>
      <c r="AE387" s="45">
        <f t="shared" si="564"/>
        <v>-4.1993918661665144E-2</v>
      </c>
      <c r="AF387" s="45">
        <f t="shared" si="564"/>
        <v>-4.7055816589181065E-2</v>
      </c>
      <c r="AG387" s="45">
        <f t="shared" si="564"/>
        <v>-4.8293989750457296E-2</v>
      </c>
      <c r="AH387" s="45">
        <f t="shared" si="564"/>
        <v>-3.0896097659088007E-2</v>
      </c>
      <c r="AI387" s="45">
        <f t="shared" si="564"/>
        <v>-8.3574062798936095E-3</v>
      </c>
      <c r="AJ387" s="45">
        <f t="shared" si="564"/>
        <v>-1.3411918586103494E-2</v>
      </c>
      <c r="AK387" s="45">
        <f t="shared" si="564"/>
        <v>-7.2395223448289666E-3</v>
      </c>
      <c r="AL387" s="45">
        <f t="shared" si="564"/>
        <v>-1.1431610346756681E-2</v>
      </c>
      <c r="AM387" s="45">
        <f t="shared" si="564"/>
        <v>0</v>
      </c>
      <c r="AN387" s="45">
        <f t="shared" si="564"/>
        <v>0</v>
      </c>
      <c r="AO387" s="45">
        <f t="shared" si="564"/>
        <v>0</v>
      </c>
      <c r="AP387" s="45">
        <f t="shared" si="564"/>
        <v>0</v>
      </c>
      <c r="AQ387" s="45">
        <f t="shared" si="564"/>
        <v>0</v>
      </c>
      <c r="AR387" s="45">
        <f t="shared" si="564"/>
        <v>0</v>
      </c>
      <c r="AS387" s="45">
        <f t="shared" si="564"/>
        <v>0</v>
      </c>
      <c r="AT387" s="45">
        <f t="shared" si="564"/>
        <v>0</v>
      </c>
      <c r="AU387" s="45">
        <f t="shared" si="564"/>
        <v>0</v>
      </c>
      <c r="AV387" s="45">
        <f t="shared" si="564"/>
        <v>0</v>
      </c>
      <c r="AW387" s="45">
        <f t="shared" si="564"/>
        <v>0</v>
      </c>
      <c r="AX387" s="44"/>
      <c r="AY387" s="44"/>
      <c r="AZ387" s="44"/>
      <c r="BA387" s="44"/>
      <c r="BB387" s="44"/>
      <c r="BC387" s="44"/>
      <c r="BD387" s="44"/>
      <c r="BE387" s="44"/>
      <c r="BF387" s="2">
        <f t="shared" si="472"/>
        <v>381</v>
      </c>
    </row>
    <row r="388" spans="1:58" ht="11.25" hidden="1" customHeight="1" outlineLevel="3">
      <c r="A388" s="47"/>
      <c r="B388" s="185"/>
      <c r="C388" s="45"/>
      <c r="D388" s="45"/>
      <c r="E388" s="45"/>
      <c r="F388" s="45"/>
      <c r="G388" s="45"/>
      <c r="H388" s="45"/>
      <c r="I388" s="45"/>
      <c r="J388" s="45"/>
      <c r="K388" s="45"/>
      <c r="L388" s="7"/>
      <c r="M388" s="7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  <c r="AG388" s="45"/>
      <c r="AH388" s="45"/>
      <c r="AI388" s="45"/>
      <c r="AJ388" s="45"/>
      <c r="AK388" s="45"/>
      <c r="AL388" s="45"/>
      <c r="AM388" s="45"/>
      <c r="AN388" s="45"/>
      <c r="AO388" s="45"/>
      <c r="AP388" s="45"/>
      <c r="AQ388" s="45"/>
      <c r="AR388" s="45"/>
      <c r="AS388" s="45"/>
      <c r="AT388" s="45"/>
      <c r="AU388" s="45"/>
      <c r="AV388" s="45"/>
      <c r="AW388" s="45"/>
      <c r="AX388" s="44"/>
      <c r="AY388" s="44"/>
      <c r="AZ388" s="44"/>
      <c r="BA388" s="44"/>
      <c r="BB388" s="44"/>
      <c r="BC388" s="44"/>
      <c r="BD388" s="44"/>
      <c r="BE388" s="44"/>
      <c r="BF388" s="2">
        <f t="shared" si="472"/>
        <v>382</v>
      </c>
    </row>
    <row r="389" spans="1:58" ht="11.25" hidden="1" customHeight="1" outlineLevel="3">
      <c r="A389" s="47"/>
      <c r="B389" s="289" t="s">
        <v>247</v>
      </c>
      <c r="C389" s="271">
        <f t="shared" ref="C389:K389" si="565">AVERAGEIFS($N389:$AX389,$N$4:$AX$4,C$4)</f>
        <v>0.5</v>
      </c>
      <c r="D389" s="271">
        <f t="shared" si="565"/>
        <v>0.5</v>
      </c>
      <c r="E389" s="271">
        <f t="shared" si="565"/>
        <v>0.5</v>
      </c>
      <c r="F389" s="271">
        <f t="shared" si="565"/>
        <v>0.5</v>
      </c>
      <c r="G389" s="271">
        <f t="shared" si="565"/>
        <v>0.51031208499335989</v>
      </c>
      <c r="H389" s="271">
        <f t="shared" si="565"/>
        <v>0.63105666001117267</v>
      </c>
      <c r="I389" s="271">
        <f t="shared" si="565"/>
        <v>0.65</v>
      </c>
      <c r="J389" s="271">
        <f t="shared" si="565"/>
        <v>0.65</v>
      </c>
      <c r="K389" s="271">
        <f t="shared" si="565"/>
        <v>0.65</v>
      </c>
      <c r="L389" s="7"/>
      <c r="M389" s="7"/>
      <c r="N389" s="288">
        <v>0.5</v>
      </c>
      <c r="O389" s="288">
        <v>0.5</v>
      </c>
      <c r="P389" s="288">
        <v>0.5</v>
      </c>
      <c r="Q389" s="288">
        <v>0.5</v>
      </c>
      <c r="R389" s="288">
        <v>0.5</v>
      </c>
      <c r="S389" s="288">
        <v>0.5</v>
      </c>
      <c r="T389" s="288">
        <v>0.5</v>
      </c>
      <c r="U389" s="288">
        <v>0.5</v>
      </c>
      <c r="V389" s="288">
        <v>0.5</v>
      </c>
      <c r="W389" s="288">
        <v>0.5</v>
      </c>
      <c r="X389" s="288">
        <v>0.5</v>
      </c>
      <c r="Y389" s="288">
        <v>0.5</v>
      </c>
      <c r="Z389" s="288">
        <v>0.5</v>
      </c>
      <c r="AA389" s="288">
        <v>0.5</v>
      </c>
      <c r="AB389" s="288">
        <v>0.5</v>
      </c>
      <c r="AC389" s="288">
        <v>0.5</v>
      </c>
      <c r="AD389" s="288">
        <v>0.5</v>
      </c>
      <c r="AE389" s="288">
        <v>0.5</v>
      </c>
      <c r="AF389" s="288">
        <v>0.5</v>
      </c>
      <c r="AG389" s="288">
        <v>0.54124833997343957</v>
      </c>
      <c r="AH389" s="288">
        <v>0.58679572053722562</v>
      </c>
      <c r="AI389" s="288">
        <v>0.63743091950746533</v>
      </c>
      <c r="AJ389" s="297">
        <v>0.65</v>
      </c>
      <c r="AK389" s="297">
        <f t="shared" ref="AK389:AW389" si="566">AJ389</f>
        <v>0.65</v>
      </c>
      <c r="AL389" s="45">
        <f t="shared" si="566"/>
        <v>0.65</v>
      </c>
      <c r="AM389" s="45">
        <f t="shared" si="566"/>
        <v>0.65</v>
      </c>
      <c r="AN389" s="45">
        <f t="shared" si="566"/>
        <v>0.65</v>
      </c>
      <c r="AO389" s="45">
        <f t="shared" si="566"/>
        <v>0.65</v>
      </c>
      <c r="AP389" s="45">
        <f t="shared" si="566"/>
        <v>0.65</v>
      </c>
      <c r="AQ389" s="45">
        <f t="shared" si="566"/>
        <v>0.65</v>
      </c>
      <c r="AR389" s="45">
        <f t="shared" si="566"/>
        <v>0.65</v>
      </c>
      <c r="AS389" s="45">
        <f t="shared" si="566"/>
        <v>0.65</v>
      </c>
      <c r="AT389" s="45">
        <f t="shared" si="566"/>
        <v>0.65</v>
      </c>
      <c r="AU389" s="45">
        <f t="shared" si="566"/>
        <v>0.65</v>
      </c>
      <c r="AV389" s="45">
        <f t="shared" si="566"/>
        <v>0.65</v>
      </c>
      <c r="AW389" s="45">
        <f t="shared" si="566"/>
        <v>0.65</v>
      </c>
      <c r="AX389" s="44"/>
      <c r="AY389" s="44"/>
      <c r="AZ389" s="44"/>
      <c r="BA389" s="44"/>
      <c r="BB389" s="44"/>
      <c r="BC389" s="44"/>
      <c r="BD389" s="44"/>
      <c r="BE389" s="44"/>
      <c r="BF389" s="2">
        <f t="shared" si="472"/>
        <v>383</v>
      </c>
    </row>
    <row r="390" spans="1:58" ht="11.25" hidden="1" customHeight="1" outlineLevel="3">
      <c r="A390" s="47"/>
      <c r="B390" s="289" t="s">
        <v>791</v>
      </c>
      <c r="C390" s="290">
        <f>+C369*C389</f>
        <v>796.98850000000004</v>
      </c>
      <c r="D390" s="290">
        <f t="shared" ref="D390:K390" si="567">+D369*D389</f>
        <v>798.35200000000009</v>
      </c>
      <c r="E390" s="290">
        <f t="shared" si="567"/>
        <v>863.952</v>
      </c>
      <c r="F390" s="290">
        <f t="shared" si="567"/>
        <v>467.0095</v>
      </c>
      <c r="G390" s="290">
        <f t="shared" si="567"/>
        <v>267.38567161354581</v>
      </c>
      <c r="H390" s="290">
        <f t="shared" si="567"/>
        <v>590.15346047922844</v>
      </c>
      <c r="I390" s="290">
        <f t="shared" si="567"/>
        <v>778.87288128</v>
      </c>
      <c r="J390" s="290">
        <f t="shared" si="567"/>
        <v>1013.6195809203783</v>
      </c>
      <c r="K390" s="290">
        <f t="shared" si="567"/>
        <v>1043.9238357741472</v>
      </c>
      <c r="L390" s="7"/>
      <c r="M390" s="7"/>
      <c r="N390" s="290">
        <f t="shared" ref="N390:AW390" si="568">+N369*N389</f>
        <v>139.83799999999999</v>
      </c>
      <c r="O390" s="290">
        <f t="shared" si="568"/>
        <v>237.68450000000001</v>
      </c>
      <c r="P390" s="290">
        <f t="shared" si="568"/>
        <v>210.59700000000001</v>
      </c>
      <c r="Q390" s="290">
        <f t="shared" si="568"/>
        <v>208.869</v>
      </c>
      <c r="R390" s="290">
        <f t="shared" si="568"/>
        <v>212.9915</v>
      </c>
      <c r="S390" s="290">
        <f t="shared" si="568"/>
        <v>199.108</v>
      </c>
      <c r="T390" s="290">
        <f t="shared" si="568"/>
        <v>199.00800000000001</v>
      </c>
      <c r="U390" s="290">
        <f t="shared" si="568"/>
        <v>187.24449999999999</v>
      </c>
      <c r="V390" s="290">
        <f t="shared" si="568"/>
        <v>194.9385</v>
      </c>
      <c r="W390" s="290">
        <f t="shared" si="568"/>
        <v>199.024</v>
      </c>
      <c r="X390" s="290">
        <f t="shared" si="568"/>
        <v>235.42449999999999</v>
      </c>
      <c r="Y390" s="290">
        <f t="shared" si="568"/>
        <v>234.565</v>
      </c>
      <c r="Z390" s="290">
        <f t="shared" si="568"/>
        <v>175.49600000000001</v>
      </c>
      <c r="AA390" s="290">
        <f t="shared" si="568"/>
        <v>113.1815</v>
      </c>
      <c r="AB390" s="290">
        <f t="shared" si="568"/>
        <v>101.4225</v>
      </c>
      <c r="AC390" s="290">
        <f t="shared" si="568"/>
        <v>76.909499999999994</v>
      </c>
      <c r="AD390" s="290">
        <f t="shared" si="568"/>
        <v>66.236000000000004</v>
      </c>
      <c r="AE390" s="290">
        <f t="shared" si="568"/>
        <v>57.9465</v>
      </c>
      <c r="AF390" s="290">
        <f t="shared" si="568"/>
        <v>62.511000000000003</v>
      </c>
      <c r="AG390" s="290">
        <f t="shared" si="568"/>
        <v>81.500092536520583</v>
      </c>
      <c r="AH390" s="290">
        <f t="shared" si="568"/>
        <v>120.28079999999997</v>
      </c>
      <c r="AI390" s="290">
        <f t="shared" si="568"/>
        <v>158.77065599999997</v>
      </c>
      <c r="AJ390" s="290">
        <f t="shared" si="568"/>
        <v>161.46325000000002</v>
      </c>
      <c r="AK390" s="290">
        <f t="shared" ref="AK390" si="569">+AK369*AK389</f>
        <v>151.268</v>
      </c>
      <c r="AL390" s="290">
        <f t="shared" si="568"/>
        <v>154.29336000000001</v>
      </c>
      <c r="AM390" s="290">
        <f t="shared" si="568"/>
        <v>177.43736399999997</v>
      </c>
      <c r="AN390" s="290">
        <f t="shared" si="568"/>
        <v>212.92483679999998</v>
      </c>
      <c r="AO390" s="290">
        <f t="shared" si="568"/>
        <v>234.21732048000001</v>
      </c>
      <c r="AP390" s="290">
        <f t="shared" si="568"/>
        <v>245.928186504</v>
      </c>
      <c r="AQ390" s="290">
        <f t="shared" si="568"/>
        <v>250.84675023407999</v>
      </c>
      <c r="AR390" s="290">
        <f t="shared" si="568"/>
        <v>255.86368523876158</v>
      </c>
      <c r="AS390" s="290">
        <f t="shared" si="568"/>
        <v>260.98095894353679</v>
      </c>
      <c r="AT390" s="290">
        <f t="shared" si="568"/>
        <v>260.98095894353679</v>
      </c>
      <c r="AU390" s="290">
        <f t="shared" si="568"/>
        <v>260.98095894353679</v>
      </c>
      <c r="AV390" s="290">
        <f t="shared" si="568"/>
        <v>260.98095894353679</v>
      </c>
      <c r="AW390" s="290">
        <f t="shared" si="568"/>
        <v>260.98095894353679</v>
      </c>
      <c r="AX390" s="44"/>
      <c r="AY390" s="44"/>
      <c r="AZ390" s="44"/>
      <c r="BA390" s="44"/>
      <c r="BB390" s="44"/>
      <c r="BC390" s="44"/>
      <c r="BD390" s="44"/>
      <c r="BE390" s="44"/>
      <c r="BF390" s="2">
        <f t="shared" si="472"/>
        <v>384</v>
      </c>
    </row>
    <row r="391" spans="1:58" ht="11.25" hidden="1" customHeight="1" outlineLevel="3">
      <c r="A391" s="47"/>
      <c r="B391" s="289" t="s">
        <v>790</v>
      </c>
      <c r="C391" s="45">
        <f t="shared" ref="C391:K391" si="570">C53+5%</f>
        <v>0.2810748523974938</v>
      </c>
      <c r="D391" s="45">
        <f t="shared" si="570"/>
        <v>0.27538429164077999</v>
      </c>
      <c r="E391" s="45">
        <f t="shared" si="570"/>
        <v>0.26244351538048416</v>
      </c>
      <c r="F391" s="45">
        <f t="shared" si="570"/>
        <v>0.11618601977047575</v>
      </c>
      <c r="G391" s="45">
        <f t="shared" si="570"/>
        <v>-8.8774536467130447E-2</v>
      </c>
      <c r="H391" s="45">
        <f t="shared" si="570"/>
        <v>0.15568626675206887</v>
      </c>
      <c r="I391" s="45">
        <f t="shared" si="570"/>
        <v>0.24852416798732174</v>
      </c>
      <c r="J391" s="45">
        <f t="shared" si="570"/>
        <v>0.28000000000000003</v>
      </c>
      <c r="K391" s="45">
        <f t="shared" si="570"/>
        <v>0.28000000000000003</v>
      </c>
      <c r="L391" s="7"/>
      <c r="M391" s="7"/>
      <c r="N391" s="45">
        <f t="shared" ref="N391:AW391" si="571">N53+5%</f>
        <v>0.18182039216808021</v>
      </c>
      <c r="O391" s="45">
        <f t="shared" si="571"/>
        <v>0.32766640231062605</v>
      </c>
      <c r="P391" s="45">
        <f t="shared" si="571"/>
        <v>0.28814441801165258</v>
      </c>
      <c r="Q391" s="45">
        <f t="shared" si="571"/>
        <v>0.2873784525228732</v>
      </c>
      <c r="R391" s="45">
        <f t="shared" si="571"/>
        <v>0.29303786770833579</v>
      </c>
      <c r="S391" s="45">
        <f t="shared" si="571"/>
        <v>0.29718243365409724</v>
      </c>
      <c r="T391" s="45">
        <f t="shared" si="571"/>
        <v>0.26615713941148089</v>
      </c>
      <c r="U391" s="45">
        <f t="shared" si="571"/>
        <v>0.24193087113373163</v>
      </c>
      <c r="V391" s="45">
        <f t="shared" si="571"/>
        <v>0.22101290919956806</v>
      </c>
      <c r="W391" s="45">
        <f t="shared" si="571"/>
        <v>0.26889319881019375</v>
      </c>
      <c r="X391" s="45">
        <f t="shared" si="571"/>
        <v>0.29167195852598177</v>
      </c>
      <c r="Y391" s="45">
        <f t="shared" si="571"/>
        <v>0.2620670176710081</v>
      </c>
      <c r="Z391" s="45">
        <f t="shared" si="571"/>
        <v>0.2169126361854401</v>
      </c>
      <c r="AA391" s="45">
        <f t="shared" si="571"/>
        <v>9.9429456227386998E-2</v>
      </c>
      <c r="AB391" s="45">
        <f t="shared" si="571"/>
        <v>5.1740245014666383E-2</v>
      </c>
      <c r="AC391" s="45">
        <f t="shared" si="571"/>
        <v>-4.0115330355808693E-3</v>
      </c>
      <c r="AD391" s="45">
        <f t="shared" si="571"/>
        <v>-3.3519536203877043E-2</v>
      </c>
      <c r="AE391" s="45">
        <f t="shared" si="571"/>
        <v>-8.1992441303616312E-2</v>
      </c>
      <c r="AF391" s="45">
        <f t="shared" si="571"/>
        <v>-0.12640895202444369</v>
      </c>
      <c r="AG391" s="45">
        <f t="shared" si="571"/>
        <v>-0.11135823294239532</v>
      </c>
      <c r="AH391" s="45">
        <f t="shared" si="571"/>
        <v>5.0092692422150566E-2</v>
      </c>
      <c r="AI391" s="45">
        <f t="shared" si="571"/>
        <v>0.17146347142874349</v>
      </c>
      <c r="AJ391" s="45">
        <f t="shared" si="571"/>
        <v>0.15970793663573601</v>
      </c>
      <c r="AK391" s="45">
        <f t="shared" ref="AK391" si="572">AK53+5%</f>
        <v>0.22751375042970096</v>
      </c>
      <c r="AL391" s="45">
        <f t="shared" si="571"/>
        <v>0.2</v>
      </c>
      <c r="AM391" s="45">
        <f t="shared" si="571"/>
        <v>0.22999999999999998</v>
      </c>
      <c r="AN391" s="45">
        <f t="shared" si="571"/>
        <v>0.27</v>
      </c>
      <c r="AO391" s="45">
        <f t="shared" si="571"/>
        <v>0.27500000000000002</v>
      </c>
      <c r="AP391" s="45">
        <f t="shared" si="571"/>
        <v>0.28000000000000003</v>
      </c>
      <c r="AQ391" s="45">
        <f t="shared" si="571"/>
        <v>0.28000000000000003</v>
      </c>
      <c r="AR391" s="45">
        <f t="shared" si="571"/>
        <v>0.28000000000000003</v>
      </c>
      <c r="AS391" s="45">
        <f t="shared" si="571"/>
        <v>0.28000000000000003</v>
      </c>
      <c r="AT391" s="45">
        <f t="shared" si="571"/>
        <v>0.28000000000000003</v>
      </c>
      <c r="AU391" s="45">
        <f t="shared" si="571"/>
        <v>0.28000000000000003</v>
      </c>
      <c r="AV391" s="45">
        <f t="shared" si="571"/>
        <v>0.28000000000000003</v>
      </c>
      <c r="AW391" s="45">
        <f t="shared" si="571"/>
        <v>0.28000000000000003</v>
      </c>
      <c r="AX391" s="44"/>
      <c r="AY391" s="44"/>
      <c r="AZ391" s="44"/>
      <c r="BA391" s="44"/>
      <c r="BB391" s="44"/>
      <c r="BC391" s="44"/>
      <c r="BD391" s="44"/>
      <c r="BE391" s="44"/>
      <c r="BF391" s="2">
        <f t="shared" si="472"/>
        <v>385</v>
      </c>
    </row>
    <row r="392" spans="1:58" ht="11.25" hidden="1" customHeight="1" outlineLevel="3">
      <c r="A392" s="47"/>
      <c r="B392" s="289" t="s">
        <v>792</v>
      </c>
      <c r="C392" s="200">
        <f>+C390*C391</f>
        <v>224.01342500000001</v>
      </c>
      <c r="D392" s="200">
        <f t="shared" ref="D392:K392" si="573">+D390*D391</f>
        <v>219.8536</v>
      </c>
      <c r="E392" s="200">
        <f t="shared" si="573"/>
        <v>226.73860000000005</v>
      </c>
      <c r="F392" s="200">
        <f t="shared" si="573"/>
        <v>54.259974999999997</v>
      </c>
      <c r="G392" s="200">
        <f t="shared" si="573"/>
        <v>-23.737039055444889</v>
      </c>
      <c r="H392" s="200">
        <f t="shared" si="573"/>
        <v>91.878789072825697</v>
      </c>
      <c r="I392" s="200">
        <f t="shared" si="573"/>
        <v>193.56873478800003</v>
      </c>
      <c r="J392" s="200">
        <f t="shared" si="573"/>
        <v>283.81348265770595</v>
      </c>
      <c r="K392" s="200">
        <f t="shared" si="573"/>
        <v>292.29867401676125</v>
      </c>
      <c r="L392" s="7"/>
      <c r="M392" s="7"/>
      <c r="N392" s="200">
        <f t="shared" ref="N392:AW392" si="574">+N390*N391</f>
        <v>25.4254</v>
      </c>
      <c r="O392" s="200">
        <f t="shared" si="574"/>
        <v>77.881225000000001</v>
      </c>
      <c r="P392" s="200">
        <f t="shared" si="574"/>
        <v>60.68235</v>
      </c>
      <c r="Q392" s="200">
        <f t="shared" si="574"/>
        <v>60.024450000000002</v>
      </c>
      <c r="R392" s="200">
        <f t="shared" si="574"/>
        <v>62.414574999999999</v>
      </c>
      <c r="S392" s="200">
        <f t="shared" si="574"/>
        <v>59.171399999999998</v>
      </c>
      <c r="T392" s="200">
        <f t="shared" si="574"/>
        <v>52.967399999999991</v>
      </c>
      <c r="U392" s="200">
        <f t="shared" si="574"/>
        <v>45.300225000000012</v>
      </c>
      <c r="V392" s="200">
        <f t="shared" si="574"/>
        <v>43.083925000000001</v>
      </c>
      <c r="W392" s="200">
        <f t="shared" si="574"/>
        <v>53.516199999999998</v>
      </c>
      <c r="X392" s="200">
        <f t="shared" si="574"/>
        <v>68.666725</v>
      </c>
      <c r="Y392" s="200">
        <f t="shared" si="574"/>
        <v>61.471750000000014</v>
      </c>
      <c r="Z392" s="200">
        <f t="shared" si="574"/>
        <v>38.067299999999996</v>
      </c>
      <c r="AA392" s="200">
        <f t="shared" si="574"/>
        <v>11.253575000000001</v>
      </c>
      <c r="AB392" s="200">
        <f t="shared" si="574"/>
        <v>5.2476250000000011</v>
      </c>
      <c r="AC392" s="200">
        <f t="shared" si="574"/>
        <v>-0.30852500000000682</v>
      </c>
      <c r="AD392" s="200">
        <f t="shared" si="574"/>
        <v>-2.2201999999999997</v>
      </c>
      <c r="AE392" s="200">
        <f t="shared" si="574"/>
        <v>-4.7511750000000026</v>
      </c>
      <c r="AF392" s="200">
        <f t="shared" si="574"/>
        <v>-7.9019499999999994</v>
      </c>
      <c r="AG392" s="200">
        <f t="shared" si="574"/>
        <v>-9.0757062895086325</v>
      </c>
      <c r="AH392" s="200">
        <f t="shared" si="574"/>
        <v>6.0251891186902062</v>
      </c>
      <c r="AI392" s="200">
        <f t="shared" si="574"/>
        <v>27.223367838778856</v>
      </c>
      <c r="AJ392" s="200">
        <f t="shared" si="574"/>
        <v>25.786962500000005</v>
      </c>
      <c r="AK392" s="200">
        <f t="shared" ref="AK392" si="575">+AK390*AK391</f>
        <v>34.415550000000003</v>
      </c>
      <c r="AL392" s="200">
        <f t="shared" si="574"/>
        <v>30.858672000000002</v>
      </c>
      <c r="AM392" s="200">
        <f t="shared" si="574"/>
        <v>40.810593719999993</v>
      </c>
      <c r="AN392" s="200">
        <f t="shared" si="574"/>
        <v>57.489705936</v>
      </c>
      <c r="AO392" s="200">
        <f t="shared" si="574"/>
        <v>64.409763132000009</v>
      </c>
      <c r="AP392" s="200">
        <f t="shared" si="574"/>
        <v>68.859892221120006</v>
      </c>
      <c r="AQ392" s="200">
        <f t="shared" si="574"/>
        <v>70.237090065542404</v>
      </c>
      <c r="AR392" s="200">
        <f t="shared" si="574"/>
        <v>71.641831866853252</v>
      </c>
      <c r="AS392" s="200">
        <f t="shared" si="574"/>
        <v>73.074668504190313</v>
      </c>
      <c r="AT392" s="200">
        <f t="shared" si="574"/>
        <v>73.074668504190313</v>
      </c>
      <c r="AU392" s="200">
        <f t="shared" si="574"/>
        <v>73.074668504190313</v>
      </c>
      <c r="AV392" s="200">
        <f t="shared" si="574"/>
        <v>73.074668504190313</v>
      </c>
      <c r="AW392" s="200">
        <f t="shared" si="574"/>
        <v>73.074668504190313</v>
      </c>
      <c r="AX392" s="44"/>
      <c r="AY392" s="44"/>
      <c r="AZ392" s="44"/>
      <c r="BA392" s="44"/>
      <c r="BB392" s="44"/>
      <c r="BC392" s="44"/>
      <c r="BD392" s="44"/>
      <c r="BE392" s="44"/>
      <c r="BF392" s="2">
        <f t="shared" si="472"/>
        <v>386</v>
      </c>
    </row>
    <row r="393" spans="1:58" ht="11.25" hidden="1" customHeight="1" outlineLevel="3">
      <c r="A393" s="47"/>
      <c r="B393" s="289" t="s">
        <v>793</v>
      </c>
      <c r="C393" s="200">
        <f t="shared" ref="C393:K393" si="576">C19-C392</f>
        <v>144.31457499999996</v>
      </c>
      <c r="D393" s="200">
        <f t="shared" si="576"/>
        <v>140.01840000000001</v>
      </c>
      <c r="E393" s="200">
        <f t="shared" si="576"/>
        <v>140.3434</v>
      </c>
      <c r="F393" s="200">
        <f t="shared" si="576"/>
        <v>7.5590249999999983</v>
      </c>
      <c r="G393" s="200">
        <f t="shared" si="576"/>
        <v>-48.975960944555119</v>
      </c>
      <c r="H393" s="200">
        <f t="shared" si="576"/>
        <v>6.9572109271743017</v>
      </c>
      <c r="I393" s="200">
        <f t="shared" si="576"/>
        <v>44.31602017199998</v>
      </c>
      <c r="J393" s="200">
        <f t="shared" si="576"/>
        <v>74.851907514120228</v>
      </c>
      <c r="K393" s="200">
        <f t="shared" si="576"/>
        <v>77.089760180244696</v>
      </c>
      <c r="L393" s="7"/>
      <c r="M393" s="7"/>
      <c r="N393" s="200">
        <f t="shared" ref="N393:AW393" si="577">N19-N392</f>
        <v>11.441599999999998</v>
      </c>
      <c r="O393" s="200">
        <f t="shared" si="577"/>
        <v>54.112774999999999</v>
      </c>
      <c r="P393" s="200">
        <f t="shared" si="577"/>
        <v>39.622650000000007</v>
      </c>
      <c r="Q393" s="200">
        <f t="shared" si="577"/>
        <v>39.137550000000005</v>
      </c>
      <c r="R393" s="200">
        <f t="shared" si="577"/>
        <v>41.115425000000002</v>
      </c>
      <c r="S393" s="200">
        <f t="shared" si="577"/>
        <v>39.26059999999999</v>
      </c>
      <c r="T393" s="200">
        <f t="shared" si="577"/>
        <v>33.066600000000001</v>
      </c>
      <c r="U393" s="200">
        <f t="shared" si="577"/>
        <v>26.575775000000007</v>
      </c>
      <c r="V393" s="200">
        <f t="shared" si="577"/>
        <v>23.590075000000006</v>
      </c>
      <c r="W393" s="200">
        <f t="shared" si="577"/>
        <v>33.613799999999998</v>
      </c>
      <c r="X393" s="200">
        <f t="shared" si="577"/>
        <v>45.124274999999997</v>
      </c>
      <c r="Y393" s="200">
        <f t="shared" si="577"/>
        <v>38.015250000000009</v>
      </c>
      <c r="Z393" s="200">
        <f t="shared" si="577"/>
        <v>20.517700000000005</v>
      </c>
      <c r="AA393" s="200">
        <f t="shared" si="577"/>
        <v>-6.4575000000001381E-2</v>
      </c>
      <c r="AB393" s="200">
        <f t="shared" si="577"/>
        <v>-4.8946249999999996</v>
      </c>
      <c r="AC393" s="200">
        <f t="shared" si="577"/>
        <v>-7.9994750000000074</v>
      </c>
      <c r="AD393" s="200">
        <f t="shared" si="577"/>
        <v>-8.8437999999999999</v>
      </c>
      <c r="AE393" s="200">
        <f t="shared" si="577"/>
        <v>-10.545825000000001</v>
      </c>
      <c r="AF393" s="200">
        <f t="shared" si="577"/>
        <v>-14.15305</v>
      </c>
      <c r="AG393" s="200">
        <f t="shared" si="577"/>
        <v>-15.221293710491372</v>
      </c>
      <c r="AH393" s="200">
        <f t="shared" si="577"/>
        <v>-6.0061891186902061</v>
      </c>
      <c r="AI393" s="200">
        <f t="shared" si="577"/>
        <v>3.0306321612211455</v>
      </c>
      <c r="AJ393" s="200">
        <f t="shared" si="577"/>
        <v>1.465037499999994</v>
      </c>
      <c r="AK393" s="200">
        <f t="shared" ref="AK393" si="578">AK19-AK392</f>
        <v>6.8954499999999967</v>
      </c>
      <c r="AL393" s="200">
        <f t="shared" si="577"/>
        <v>4.7474880000000006</v>
      </c>
      <c r="AM393" s="200">
        <f t="shared" si="577"/>
        <v>8.3259070800000003</v>
      </c>
      <c r="AN393" s="200">
        <f t="shared" si="577"/>
        <v>14.577161904</v>
      </c>
      <c r="AO393" s="200">
        <f t="shared" si="577"/>
        <v>16.66546318799999</v>
      </c>
      <c r="AP393" s="200">
        <f t="shared" si="577"/>
        <v>18.160850695679997</v>
      </c>
      <c r="AQ393" s="200">
        <f t="shared" si="577"/>
        <v>18.524067709593595</v>
      </c>
      <c r="AR393" s="200">
        <f t="shared" si="577"/>
        <v>18.894549063785462</v>
      </c>
      <c r="AS393" s="200">
        <f t="shared" si="577"/>
        <v>19.272440045061174</v>
      </c>
      <c r="AT393" s="200">
        <f t="shared" si="577"/>
        <v>19.272440045061174</v>
      </c>
      <c r="AU393" s="200">
        <f t="shared" si="577"/>
        <v>19.272440045061174</v>
      </c>
      <c r="AV393" s="200">
        <f t="shared" si="577"/>
        <v>19.272440045061174</v>
      </c>
      <c r="AW393" s="200">
        <f t="shared" si="577"/>
        <v>19.272440045061174</v>
      </c>
      <c r="AX393" s="44"/>
      <c r="AY393" s="44"/>
      <c r="AZ393" s="44"/>
      <c r="BA393" s="44"/>
      <c r="BB393" s="44"/>
      <c r="BC393" s="44"/>
      <c r="BD393" s="44"/>
      <c r="BE393" s="44"/>
      <c r="BF393" s="2">
        <f t="shared" si="472"/>
        <v>387</v>
      </c>
    </row>
    <row r="394" spans="1:58" ht="11.25" hidden="1" customHeight="1" outlineLevel="3">
      <c r="A394" s="47"/>
      <c r="B394" s="289" t="s">
        <v>794</v>
      </c>
      <c r="C394" s="45">
        <f>C393/(C369-C390)</f>
        <v>0.18107485239749377</v>
      </c>
      <c r="D394" s="45">
        <f t="shared" ref="D394:K394" si="579">D393/(D369-D390)</f>
        <v>0.17538429164078001</v>
      </c>
      <c r="E394" s="45">
        <f t="shared" si="579"/>
        <v>0.1624435153804841</v>
      </c>
      <c r="F394" s="45">
        <f t="shared" si="579"/>
        <v>1.6186019770475759E-2</v>
      </c>
      <c r="G394" s="45">
        <f t="shared" si="579"/>
        <v>-0.19088038484062358</v>
      </c>
      <c r="H394" s="45">
        <f t="shared" si="579"/>
        <v>2.0164102287698361E-2</v>
      </c>
      <c r="I394" s="45">
        <f t="shared" si="579"/>
        <v>0.10566702513017881</v>
      </c>
      <c r="J394" s="45">
        <f t="shared" si="579"/>
        <v>0.13714285714285712</v>
      </c>
      <c r="K394" s="45">
        <f t="shared" si="579"/>
        <v>0.13714285714285709</v>
      </c>
      <c r="L394" s="7"/>
      <c r="M394" s="7"/>
      <c r="N394" s="45">
        <f t="shared" ref="N394:AW394" si="580">N393/(N369-N390)</f>
        <v>8.1820392168080194E-2</v>
      </c>
      <c r="O394" s="45">
        <f t="shared" si="580"/>
        <v>0.22766640231062604</v>
      </c>
      <c r="P394" s="45">
        <f t="shared" si="580"/>
        <v>0.1881444180116526</v>
      </c>
      <c r="Q394" s="45">
        <f t="shared" si="580"/>
        <v>0.18737845252287322</v>
      </c>
      <c r="R394" s="45">
        <f t="shared" si="580"/>
        <v>0.19303786770833578</v>
      </c>
      <c r="S394" s="45">
        <f t="shared" si="580"/>
        <v>0.19718243365409721</v>
      </c>
      <c r="T394" s="45">
        <f t="shared" si="580"/>
        <v>0.16615713941148094</v>
      </c>
      <c r="U394" s="45">
        <f t="shared" si="580"/>
        <v>0.14193087113373162</v>
      </c>
      <c r="V394" s="45">
        <f t="shared" si="580"/>
        <v>0.1210129091995681</v>
      </c>
      <c r="W394" s="45">
        <f t="shared" si="580"/>
        <v>0.16889319881019374</v>
      </c>
      <c r="X394" s="45">
        <f t="shared" si="580"/>
        <v>0.19167195852598179</v>
      </c>
      <c r="Y394" s="45">
        <f t="shared" si="580"/>
        <v>0.16206701767100806</v>
      </c>
      <c r="Z394" s="45">
        <f t="shared" si="580"/>
        <v>0.11691263618544015</v>
      </c>
      <c r="AA394" s="45">
        <f t="shared" si="580"/>
        <v>-5.7054377261302755E-4</v>
      </c>
      <c r="AB394" s="45">
        <f t="shared" si="580"/>
        <v>-4.8259754985333622E-2</v>
      </c>
      <c r="AC394" s="45">
        <f t="shared" si="580"/>
        <v>-0.10401153303558089</v>
      </c>
      <c r="AD394" s="45">
        <f t="shared" si="580"/>
        <v>-0.13351953620387705</v>
      </c>
      <c r="AE394" s="45">
        <f t="shared" si="580"/>
        <v>-0.18199244130361628</v>
      </c>
      <c r="AF394" s="45">
        <f t="shared" si="580"/>
        <v>-0.22640895202444369</v>
      </c>
      <c r="AG394" s="45">
        <f t="shared" si="580"/>
        <v>-0.22034966416055191</v>
      </c>
      <c r="AH394" s="45">
        <f t="shared" si="580"/>
        <v>-7.0912830717656375E-2</v>
      </c>
      <c r="AI394" s="45">
        <f t="shared" si="580"/>
        <v>3.3558717024211454E-2</v>
      </c>
      <c r="AJ394" s="45">
        <f t="shared" si="580"/>
        <v>1.6850793778593071E-2</v>
      </c>
      <c r="AK394" s="45">
        <f t="shared" ref="AK394" si="581">AK393/(AK369-AK390)</f>
        <v>8.4656607572558037E-2</v>
      </c>
      <c r="AL394" s="45">
        <f t="shared" si="580"/>
        <v>5.7142857142857148E-2</v>
      </c>
      <c r="AM394" s="45">
        <f t="shared" si="580"/>
        <v>8.7142857142857147E-2</v>
      </c>
      <c r="AN394" s="45">
        <f t="shared" si="580"/>
        <v>0.12714285714285714</v>
      </c>
      <c r="AO394" s="45">
        <f t="shared" si="580"/>
        <v>0.13214285714285709</v>
      </c>
      <c r="AP394" s="45">
        <f t="shared" si="580"/>
        <v>0.13714285714285712</v>
      </c>
      <c r="AQ394" s="45">
        <f t="shared" si="580"/>
        <v>0.13714285714285712</v>
      </c>
      <c r="AR394" s="45">
        <f t="shared" si="580"/>
        <v>0.13714285714285709</v>
      </c>
      <c r="AS394" s="45">
        <f t="shared" si="580"/>
        <v>0.13714285714285709</v>
      </c>
      <c r="AT394" s="45">
        <f t="shared" si="580"/>
        <v>0.13714285714285709</v>
      </c>
      <c r="AU394" s="45">
        <f t="shared" si="580"/>
        <v>0.13714285714285709</v>
      </c>
      <c r="AV394" s="45">
        <f t="shared" si="580"/>
        <v>0.13714285714285709</v>
      </c>
      <c r="AW394" s="45">
        <f t="shared" si="580"/>
        <v>0.13714285714285709</v>
      </c>
      <c r="AX394" s="44"/>
      <c r="AY394" s="44"/>
      <c r="AZ394" s="44"/>
      <c r="BA394" s="44"/>
      <c r="BB394" s="44"/>
      <c r="BC394" s="44"/>
      <c r="BD394" s="44"/>
      <c r="BE394" s="44"/>
      <c r="BF394" s="2">
        <f t="shared" ref="BF394:BF457" si="582">BF393+1</f>
        <v>388</v>
      </c>
    </row>
    <row r="395" spans="1:58" ht="11.25" hidden="1" customHeight="1" outlineLevel="3">
      <c r="A395" s="47"/>
      <c r="B395" s="289"/>
      <c r="C395" s="45"/>
      <c r="D395" s="45"/>
      <c r="E395" s="45"/>
      <c r="F395" s="45"/>
      <c r="G395" s="45"/>
      <c r="H395" s="45"/>
      <c r="I395" s="45"/>
      <c r="J395" s="45"/>
      <c r="K395" s="45"/>
      <c r="L395" s="7"/>
      <c r="M395" s="7"/>
      <c r="N395" s="288"/>
      <c r="O395" s="288"/>
      <c r="P395" s="288"/>
      <c r="Q395" s="288"/>
      <c r="R395" s="288"/>
      <c r="S395" s="288"/>
      <c r="T395" s="288"/>
      <c r="U395" s="288"/>
      <c r="V395" s="288"/>
      <c r="W395" s="288"/>
      <c r="X395" s="288"/>
      <c r="Y395" s="288"/>
      <c r="Z395" s="288"/>
      <c r="AA395" s="288"/>
      <c r="AB395" s="288"/>
      <c r="AC395" s="288"/>
      <c r="AD395" s="288"/>
      <c r="AE395" s="288"/>
      <c r="AF395" s="288"/>
      <c r="AG395" s="288"/>
      <c r="AH395" s="288"/>
      <c r="AI395" s="288"/>
      <c r="AJ395" s="45"/>
      <c r="AK395" s="45"/>
      <c r="AL395" s="45"/>
      <c r="AM395" s="45"/>
      <c r="AN395" s="45"/>
      <c r="AO395" s="45"/>
      <c r="AP395" s="45"/>
      <c r="AQ395" s="45"/>
      <c r="AR395" s="45"/>
      <c r="AS395" s="45"/>
      <c r="AT395" s="45"/>
      <c r="AU395" s="45"/>
      <c r="AV395" s="45"/>
      <c r="AW395" s="45"/>
      <c r="AX395" s="44"/>
      <c r="AY395" s="44"/>
      <c r="AZ395" s="44"/>
      <c r="BA395" s="44"/>
      <c r="BB395" s="44"/>
      <c r="BC395" s="44"/>
      <c r="BD395" s="44"/>
      <c r="BE395" s="44"/>
      <c r="BF395" s="2">
        <f t="shared" si="582"/>
        <v>389</v>
      </c>
    </row>
    <row r="396" spans="1:58" ht="11.25" hidden="1" customHeight="1" outlineLevel="3">
      <c r="A396" s="41"/>
      <c r="B396" s="289" t="s">
        <v>168</v>
      </c>
      <c r="C396" s="68">
        <f t="shared" ref="C396:K397" si="583">AVERAGEIFS($N396:$AX396,$N$4:$AX$4,C$4)</f>
        <v>542.5</v>
      </c>
      <c r="D396" s="68">
        <f t="shared" si="583"/>
        <v>633.75</v>
      </c>
      <c r="E396" s="68">
        <f t="shared" si="583"/>
        <v>637.5</v>
      </c>
      <c r="F396" s="68">
        <f t="shared" si="583"/>
        <v>700</v>
      </c>
      <c r="G396" s="68">
        <f t="shared" si="583"/>
        <v>737.5</v>
      </c>
      <c r="H396" s="68">
        <f t="shared" si="583"/>
        <v>750</v>
      </c>
      <c r="I396" s="68">
        <f t="shared" si="583"/>
        <v>750</v>
      </c>
      <c r="J396" s="68">
        <f t="shared" si="583"/>
        <v>750</v>
      </c>
      <c r="K396" s="68">
        <f t="shared" si="583"/>
        <v>750</v>
      </c>
      <c r="L396" s="7"/>
      <c r="M396" s="7"/>
      <c r="N396" s="40">
        <v>500</v>
      </c>
      <c r="O396" s="40">
        <v>500</v>
      </c>
      <c r="P396" s="40">
        <v>570</v>
      </c>
      <c r="Q396" s="40">
        <v>600</v>
      </c>
      <c r="R396" s="40">
        <v>600</v>
      </c>
      <c r="S396" s="40">
        <v>645</v>
      </c>
      <c r="T396" s="40">
        <v>645</v>
      </c>
      <c r="U396" s="40">
        <v>645</v>
      </c>
      <c r="V396" s="40">
        <v>625</v>
      </c>
      <c r="W396" s="40">
        <v>625</v>
      </c>
      <c r="X396" s="40">
        <v>650</v>
      </c>
      <c r="Y396" s="40">
        <v>650</v>
      </c>
      <c r="Z396" s="40">
        <v>700</v>
      </c>
      <c r="AA396" s="40">
        <f>Z396</f>
        <v>700</v>
      </c>
      <c r="AB396" s="40">
        <f>AA396</f>
        <v>700</v>
      </c>
      <c r="AC396" s="40">
        <f>AB396</f>
        <v>700</v>
      </c>
      <c r="AD396" s="40">
        <f>AC396</f>
        <v>700</v>
      </c>
      <c r="AE396" s="40">
        <v>750</v>
      </c>
      <c r="AF396" s="40">
        <v>750</v>
      </c>
      <c r="AG396" s="40">
        <v>750</v>
      </c>
      <c r="AH396" s="40">
        <v>750</v>
      </c>
      <c r="AI396" s="40">
        <v>750</v>
      </c>
      <c r="AJ396" s="40">
        <v>750</v>
      </c>
      <c r="AK396" s="40">
        <v>750</v>
      </c>
      <c r="AL396" s="40">
        <v>750</v>
      </c>
      <c r="AM396" s="40">
        <v>750</v>
      </c>
      <c r="AN396" s="40">
        <v>750</v>
      </c>
      <c r="AO396" s="40">
        <v>750</v>
      </c>
      <c r="AP396" s="40">
        <v>750</v>
      </c>
      <c r="AQ396" s="40">
        <v>750</v>
      </c>
      <c r="AR396" s="40">
        <v>750</v>
      </c>
      <c r="AS396" s="40">
        <v>750</v>
      </c>
      <c r="AT396" s="40">
        <v>750</v>
      </c>
      <c r="AU396" s="40">
        <v>750</v>
      </c>
      <c r="AV396" s="40">
        <v>750</v>
      </c>
      <c r="AW396" s="40">
        <v>750</v>
      </c>
      <c r="AX396" s="39"/>
      <c r="AY396" s="39"/>
      <c r="AZ396" s="39"/>
      <c r="BA396" s="39"/>
      <c r="BB396" s="39"/>
      <c r="BC396" s="39"/>
      <c r="BD396" s="39"/>
      <c r="BE396" s="39"/>
      <c r="BF396" s="2">
        <f t="shared" si="582"/>
        <v>390</v>
      </c>
    </row>
    <row r="397" spans="1:58" ht="11.25" hidden="1" customHeight="1" outlineLevel="3">
      <c r="A397" s="41"/>
      <c r="B397" s="289" t="s">
        <v>245</v>
      </c>
      <c r="C397" s="68">
        <f t="shared" si="583"/>
        <v>442.5</v>
      </c>
      <c r="D397" s="68">
        <f t="shared" si="583"/>
        <v>483.75</v>
      </c>
      <c r="E397" s="68">
        <f t="shared" si="583"/>
        <v>517.5</v>
      </c>
      <c r="F397" s="68">
        <f t="shared" si="583"/>
        <v>440</v>
      </c>
      <c r="G397" s="68">
        <f t="shared" si="583"/>
        <v>370</v>
      </c>
      <c r="H397" s="68">
        <f t="shared" si="583"/>
        <v>575</v>
      </c>
      <c r="I397" s="68">
        <f t="shared" si="583"/>
        <v>737.5</v>
      </c>
      <c r="J397" s="68">
        <f t="shared" si="583"/>
        <v>750</v>
      </c>
      <c r="K397" s="68">
        <f t="shared" si="583"/>
        <v>750</v>
      </c>
      <c r="L397" s="7"/>
      <c r="M397" s="7"/>
      <c r="N397" s="40">
        <f>N396-40</f>
        <v>460</v>
      </c>
      <c r="O397" s="40">
        <f>O396-40*2</f>
        <v>420</v>
      </c>
      <c r="P397" s="40">
        <f>P396-40*3</f>
        <v>450</v>
      </c>
      <c r="Q397" s="40">
        <f>Q396-40*4</f>
        <v>440</v>
      </c>
      <c r="R397" s="40">
        <f>R396-40*4</f>
        <v>440</v>
      </c>
      <c r="S397" s="40">
        <f>S396-40*4</f>
        <v>485</v>
      </c>
      <c r="T397" s="40">
        <f>T396-40*4</f>
        <v>485</v>
      </c>
      <c r="U397" s="40">
        <f>U396-40*3</f>
        <v>525</v>
      </c>
      <c r="V397" s="40">
        <f>V396-40*3</f>
        <v>505</v>
      </c>
      <c r="W397" s="40">
        <f>W396-40*3</f>
        <v>505</v>
      </c>
      <c r="X397" s="40">
        <f>X396-40*3</f>
        <v>530</v>
      </c>
      <c r="Y397" s="40">
        <f>Y396-40*3</f>
        <v>530</v>
      </c>
      <c r="Z397" s="40">
        <f>Z396-40*5</f>
        <v>500</v>
      </c>
      <c r="AA397" s="40">
        <f>AA396-40*7</f>
        <v>420</v>
      </c>
      <c r="AB397" s="40">
        <f>AB396-40*7</f>
        <v>420</v>
      </c>
      <c r="AC397" s="40">
        <f>AC396-40*7</f>
        <v>420</v>
      </c>
      <c r="AD397" s="40">
        <f>AD396-40*8</f>
        <v>380</v>
      </c>
      <c r="AE397" s="40">
        <f>AE396-40*10</f>
        <v>350</v>
      </c>
      <c r="AF397" s="40">
        <f>AF396-40*10</f>
        <v>350</v>
      </c>
      <c r="AG397" s="40">
        <v>400</v>
      </c>
      <c r="AH397" s="40">
        <v>500</v>
      </c>
      <c r="AI397" s="40">
        <v>600</v>
      </c>
      <c r="AJ397" s="40">
        <v>600</v>
      </c>
      <c r="AK397" s="40">
        <v>600</v>
      </c>
      <c r="AL397" s="40">
        <v>700</v>
      </c>
      <c r="AM397" s="40">
        <v>750</v>
      </c>
      <c r="AN397" s="40">
        <f t="shared" ref="AN397:AW397" si="584">AN396</f>
        <v>750</v>
      </c>
      <c r="AO397" s="40">
        <f t="shared" si="584"/>
        <v>750</v>
      </c>
      <c r="AP397" s="40">
        <f t="shared" si="584"/>
        <v>750</v>
      </c>
      <c r="AQ397" s="40">
        <f t="shared" si="584"/>
        <v>750</v>
      </c>
      <c r="AR397" s="40">
        <f t="shared" si="584"/>
        <v>750</v>
      </c>
      <c r="AS397" s="40">
        <f t="shared" si="584"/>
        <v>750</v>
      </c>
      <c r="AT397" s="40">
        <f t="shared" si="584"/>
        <v>750</v>
      </c>
      <c r="AU397" s="40">
        <f t="shared" si="584"/>
        <v>750</v>
      </c>
      <c r="AV397" s="40">
        <f t="shared" si="584"/>
        <v>750</v>
      </c>
      <c r="AW397" s="40">
        <f t="shared" si="584"/>
        <v>750</v>
      </c>
      <c r="AX397" s="39"/>
      <c r="AY397" s="39"/>
      <c r="AZ397" s="39"/>
      <c r="BA397" s="39"/>
      <c r="BB397" s="39"/>
      <c r="BC397" s="39"/>
      <c r="BD397" s="39"/>
      <c r="BE397" s="39"/>
      <c r="BF397" s="2">
        <f t="shared" si="582"/>
        <v>391</v>
      </c>
    </row>
    <row r="398" spans="1:58" ht="11.25" hidden="1" customHeight="1" outlineLevel="3">
      <c r="A398" s="41"/>
      <c r="B398" s="289" t="s">
        <v>246</v>
      </c>
      <c r="C398" s="45">
        <f t="shared" ref="C398:J398" si="585">C397/C396</f>
        <v>0.81566820276497698</v>
      </c>
      <c r="D398" s="45">
        <f t="shared" si="585"/>
        <v>0.76331360946745563</v>
      </c>
      <c r="E398" s="45">
        <f t="shared" si="585"/>
        <v>0.81176470588235294</v>
      </c>
      <c r="F398" s="45">
        <f t="shared" si="585"/>
        <v>0.62857142857142856</v>
      </c>
      <c r="G398" s="45">
        <f t="shared" si="585"/>
        <v>0.50169491525423726</v>
      </c>
      <c r="H398" s="45">
        <f t="shared" si="585"/>
        <v>0.76666666666666672</v>
      </c>
      <c r="I398" s="45">
        <f t="shared" si="585"/>
        <v>0.98333333333333328</v>
      </c>
      <c r="J398" s="45">
        <f t="shared" si="585"/>
        <v>1</v>
      </c>
      <c r="K398" s="45">
        <f>K397/K396</f>
        <v>1</v>
      </c>
      <c r="L398" s="7"/>
      <c r="M398" s="7"/>
      <c r="N398" s="45">
        <f t="shared" ref="N398:AS398" si="586">N397/N396</f>
        <v>0.92</v>
      </c>
      <c r="O398" s="45">
        <f t="shared" si="586"/>
        <v>0.84</v>
      </c>
      <c r="P398" s="45">
        <f t="shared" si="586"/>
        <v>0.78947368421052633</v>
      </c>
      <c r="Q398" s="45">
        <f t="shared" si="586"/>
        <v>0.73333333333333328</v>
      </c>
      <c r="R398" s="45">
        <f t="shared" si="586"/>
        <v>0.73333333333333328</v>
      </c>
      <c r="S398" s="45">
        <f t="shared" si="586"/>
        <v>0.75193798449612403</v>
      </c>
      <c r="T398" s="45">
        <f t="shared" si="586"/>
        <v>0.75193798449612403</v>
      </c>
      <c r="U398" s="45">
        <f t="shared" si="586"/>
        <v>0.81395348837209303</v>
      </c>
      <c r="V398" s="45">
        <f t="shared" si="586"/>
        <v>0.80800000000000005</v>
      </c>
      <c r="W398" s="45">
        <f t="shared" si="586"/>
        <v>0.80800000000000005</v>
      </c>
      <c r="X398" s="45">
        <f t="shared" si="586"/>
        <v>0.81538461538461537</v>
      </c>
      <c r="Y398" s="45">
        <f t="shared" si="586"/>
        <v>0.81538461538461537</v>
      </c>
      <c r="Z398" s="45">
        <f t="shared" si="586"/>
        <v>0.7142857142857143</v>
      </c>
      <c r="AA398" s="45">
        <f t="shared" si="586"/>
        <v>0.6</v>
      </c>
      <c r="AB398" s="45">
        <f t="shared" si="586"/>
        <v>0.6</v>
      </c>
      <c r="AC398" s="45">
        <f t="shared" si="586"/>
        <v>0.6</v>
      </c>
      <c r="AD398" s="45">
        <f t="shared" si="586"/>
        <v>0.54285714285714282</v>
      </c>
      <c r="AE398" s="45">
        <f t="shared" si="586"/>
        <v>0.46666666666666667</v>
      </c>
      <c r="AF398" s="45">
        <f t="shared" si="586"/>
        <v>0.46666666666666667</v>
      </c>
      <c r="AG398" s="45">
        <f t="shared" si="586"/>
        <v>0.53333333333333333</v>
      </c>
      <c r="AH398" s="45">
        <f t="shared" si="586"/>
        <v>0.66666666666666663</v>
      </c>
      <c r="AI398" s="45">
        <f t="shared" si="586"/>
        <v>0.8</v>
      </c>
      <c r="AJ398" s="45">
        <f>AJ397/AJ396</f>
        <v>0.8</v>
      </c>
      <c r="AK398" s="45">
        <f t="shared" si="586"/>
        <v>0.8</v>
      </c>
      <c r="AL398" s="45">
        <f t="shared" si="586"/>
        <v>0.93333333333333335</v>
      </c>
      <c r="AM398" s="45">
        <f t="shared" si="586"/>
        <v>1</v>
      </c>
      <c r="AN398" s="45">
        <f t="shared" si="586"/>
        <v>1</v>
      </c>
      <c r="AO398" s="45">
        <f t="shared" si="586"/>
        <v>1</v>
      </c>
      <c r="AP398" s="45">
        <f t="shared" si="586"/>
        <v>1</v>
      </c>
      <c r="AQ398" s="45">
        <f t="shared" si="586"/>
        <v>1</v>
      </c>
      <c r="AR398" s="45">
        <f t="shared" si="586"/>
        <v>1</v>
      </c>
      <c r="AS398" s="45">
        <f t="shared" si="586"/>
        <v>1</v>
      </c>
      <c r="AT398" s="45">
        <f>AT397/AT396</f>
        <v>1</v>
      </c>
      <c r="AU398" s="45">
        <f>AU397/AU396</f>
        <v>1</v>
      </c>
      <c r="AV398" s="45">
        <f>AV397/AV396</f>
        <v>1</v>
      </c>
      <c r="AW398" s="45">
        <f>AW397/AW396</f>
        <v>1</v>
      </c>
      <c r="AX398" s="39"/>
      <c r="AY398" s="39"/>
      <c r="AZ398" s="39"/>
      <c r="BA398" s="39"/>
      <c r="BB398" s="39"/>
      <c r="BC398" s="39"/>
      <c r="BD398" s="39"/>
      <c r="BE398" s="39"/>
      <c r="BF398" s="2">
        <f t="shared" si="582"/>
        <v>392</v>
      </c>
    </row>
    <row r="399" spans="1:58" ht="11.25" hidden="1" customHeight="1" outlineLevel="3">
      <c r="A399" s="47"/>
      <c r="B399" s="289"/>
      <c r="C399" s="45"/>
      <c r="D399" s="45"/>
      <c r="E399" s="45"/>
      <c r="F399" s="45"/>
      <c r="G399" s="45"/>
      <c r="H399" s="45"/>
      <c r="I399" s="45"/>
      <c r="J399" s="45"/>
      <c r="K399" s="45"/>
      <c r="L399" s="3"/>
      <c r="M399" s="3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  <c r="AG399" s="45"/>
      <c r="AH399" s="45"/>
      <c r="AI399" s="45"/>
      <c r="AJ399" s="45"/>
      <c r="AK399" s="45"/>
      <c r="AL399" s="45"/>
      <c r="AM399" s="45"/>
      <c r="AN399" s="45"/>
      <c r="AO399" s="45"/>
      <c r="AP399" s="45"/>
      <c r="AQ399" s="45"/>
      <c r="AR399" s="45"/>
      <c r="AS399" s="45"/>
      <c r="AT399" s="45"/>
      <c r="AU399" s="45"/>
      <c r="AV399" s="45"/>
      <c r="AW399" s="45"/>
      <c r="AX399" s="44"/>
      <c r="AY399" s="44"/>
      <c r="AZ399" s="44"/>
      <c r="BA399" s="44"/>
      <c r="BB399" s="44"/>
      <c r="BC399" s="44"/>
      <c r="BD399" s="44"/>
      <c r="BE399" s="44"/>
      <c r="BF399" s="2">
        <f t="shared" si="582"/>
        <v>393</v>
      </c>
    </row>
    <row r="400" spans="1:58" ht="11.25" hidden="1" customHeight="1" outlineLevel="3">
      <c r="A400" s="47"/>
      <c r="B400" s="289" t="s">
        <v>248</v>
      </c>
      <c r="C400" s="51">
        <f>C369*C389*1000/C397</f>
        <v>1801.10395480226</v>
      </c>
      <c r="D400" s="51">
        <f t="shared" ref="D400:J400" si="587">D369*D389*1000/D397</f>
        <v>1650.3400516795868</v>
      </c>
      <c r="E400" s="51">
        <f t="shared" si="587"/>
        <v>1669.4724637681159</v>
      </c>
      <c r="F400" s="51">
        <f t="shared" si="587"/>
        <v>1061.3852272727272</v>
      </c>
      <c r="G400" s="51">
        <f t="shared" si="587"/>
        <v>722.66397733390761</v>
      </c>
      <c r="H400" s="51">
        <f t="shared" si="587"/>
        <v>1026.3538443117016</v>
      </c>
      <c r="I400" s="51">
        <f t="shared" si="587"/>
        <v>1056.0988220745762</v>
      </c>
      <c r="J400" s="51">
        <f t="shared" si="587"/>
        <v>1351.4927745605044</v>
      </c>
      <c r="K400" s="51">
        <f>K369*K389*1000/K397</f>
        <v>1391.8984476988628</v>
      </c>
      <c r="L400" s="7"/>
      <c r="M400" s="7"/>
      <c r="N400" s="51">
        <f>N390*1000*4/N397</f>
        <v>1215.9826086956521</v>
      </c>
      <c r="O400" s="51">
        <f t="shared" ref="O400:AW400" si="588">O390*1000*4/O397</f>
        <v>2263.6619047619047</v>
      </c>
      <c r="P400" s="51">
        <f t="shared" si="588"/>
        <v>1871.9733333333334</v>
      </c>
      <c r="Q400" s="51">
        <f t="shared" si="588"/>
        <v>1898.8090909090909</v>
      </c>
      <c r="R400" s="51">
        <f t="shared" si="588"/>
        <v>1936.2863636363636</v>
      </c>
      <c r="S400" s="51">
        <f t="shared" si="588"/>
        <v>1642.1278350515463</v>
      </c>
      <c r="T400" s="51">
        <f t="shared" si="588"/>
        <v>1641.3030927835052</v>
      </c>
      <c r="U400" s="51">
        <f t="shared" si="588"/>
        <v>1426.624761904762</v>
      </c>
      <c r="V400" s="51">
        <f t="shared" si="588"/>
        <v>1544.0673267326733</v>
      </c>
      <c r="W400" s="51">
        <f t="shared" si="588"/>
        <v>1576.4277227722773</v>
      </c>
      <c r="X400" s="51">
        <f t="shared" si="588"/>
        <v>1776.788679245283</v>
      </c>
      <c r="Y400" s="51">
        <f t="shared" si="588"/>
        <v>1770.3018867924529</v>
      </c>
      <c r="Z400" s="51">
        <f t="shared" si="588"/>
        <v>1403.9680000000001</v>
      </c>
      <c r="AA400" s="51">
        <f t="shared" si="588"/>
        <v>1077.9190476190477</v>
      </c>
      <c r="AB400" s="51">
        <f t="shared" si="588"/>
        <v>965.92857142857144</v>
      </c>
      <c r="AC400" s="51">
        <f t="shared" si="588"/>
        <v>732.47142857142853</v>
      </c>
      <c r="AD400" s="51">
        <f t="shared" si="588"/>
        <v>697.22105263157891</v>
      </c>
      <c r="AE400" s="51">
        <f t="shared" si="588"/>
        <v>662.24571428571426</v>
      </c>
      <c r="AF400" s="51">
        <f t="shared" si="588"/>
        <v>714.41142857142859</v>
      </c>
      <c r="AG400" s="51">
        <f t="shared" si="588"/>
        <v>815.00092536520572</v>
      </c>
      <c r="AH400" s="51">
        <f t="shared" si="588"/>
        <v>962.24639999999977</v>
      </c>
      <c r="AI400" s="51">
        <f t="shared" si="588"/>
        <v>1058.4710399999999</v>
      </c>
      <c r="AJ400" s="51">
        <f t="shared" si="588"/>
        <v>1076.4216666666669</v>
      </c>
      <c r="AK400" s="51">
        <f t="shared" ref="AK400" si="589">AK390*1000*4/AK397</f>
        <v>1008.4533333333334</v>
      </c>
      <c r="AL400" s="51">
        <f t="shared" si="588"/>
        <v>881.67634285714291</v>
      </c>
      <c r="AM400" s="51">
        <f t="shared" si="588"/>
        <v>946.33260799999982</v>
      </c>
      <c r="AN400" s="51">
        <f t="shared" si="588"/>
        <v>1135.5991296</v>
      </c>
      <c r="AO400" s="51">
        <f t="shared" si="588"/>
        <v>1249.1590425600002</v>
      </c>
      <c r="AP400" s="51">
        <f t="shared" si="588"/>
        <v>1311.616994688</v>
      </c>
      <c r="AQ400" s="51">
        <f t="shared" si="588"/>
        <v>1337.8493345817599</v>
      </c>
      <c r="AR400" s="51">
        <f t="shared" si="588"/>
        <v>1364.606321273395</v>
      </c>
      <c r="AS400" s="51">
        <f t="shared" si="588"/>
        <v>1391.8984476988628</v>
      </c>
      <c r="AT400" s="51">
        <f t="shared" si="588"/>
        <v>1391.8984476988628</v>
      </c>
      <c r="AU400" s="51">
        <f t="shared" si="588"/>
        <v>1391.8984476988628</v>
      </c>
      <c r="AV400" s="51">
        <f t="shared" si="588"/>
        <v>1391.8984476988628</v>
      </c>
      <c r="AW400" s="51">
        <f t="shared" si="588"/>
        <v>1391.8984476988628</v>
      </c>
      <c r="AX400" s="44"/>
      <c r="AY400" s="44"/>
      <c r="AZ400" s="44"/>
      <c r="BA400" s="44"/>
      <c r="BB400" s="44"/>
      <c r="BC400" s="44"/>
      <c r="BD400" s="44"/>
      <c r="BE400" s="44"/>
      <c r="BF400" s="2">
        <f t="shared" si="582"/>
        <v>394</v>
      </c>
    </row>
    <row r="401" spans="1:58" ht="11.25" hidden="1" customHeight="1" outlineLevel="3">
      <c r="A401" s="47"/>
      <c r="B401" s="289" t="s">
        <v>249</v>
      </c>
      <c r="C401" s="51">
        <f t="shared" ref="C401:K401" si="590">C392*1000/C397</f>
        <v>506.24502824858763</v>
      </c>
      <c r="D401" s="51">
        <f t="shared" si="590"/>
        <v>454.47772609819123</v>
      </c>
      <c r="E401" s="51">
        <f t="shared" si="590"/>
        <v>438.1422222222223</v>
      </c>
      <c r="F401" s="51">
        <f t="shared" si="590"/>
        <v>123.31812499999999</v>
      </c>
      <c r="G401" s="51">
        <f t="shared" si="590"/>
        <v>-64.154159609310511</v>
      </c>
      <c r="H401" s="51">
        <f t="shared" si="590"/>
        <v>159.78919838752293</v>
      </c>
      <c r="I401" s="51">
        <f t="shared" si="590"/>
        <v>262.46608106847464</v>
      </c>
      <c r="J401" s="51">
        <f t="shared" si="590"/>
        <v>378.41797687694128</v>
      </c>
      <c r="K401" s="51">
        <f t="shared" si="590"/>
        <v>389.73156535568165</v>
      </c>
      <c r="L401" s="7"/>
      <c r="M401" s="7"/>
      <c r="N401" s="51">
        <f t="shared" ref="N401:AW401" si="591">N392*1000*4/N397</f>
        <v>221.0904347826087</v>
      </c>
      <c r="O401" s="51">
        <f t="shared" si="591"/>
        <v>741.72595238095244</v>
      </c>
      <c r="P401" s="51">
        <f t="shared" si="591"/>
        <v>539.3986666666666</v>
      </c>
      <c r="Q401" s="51">
        <f t="shared" si="591"/>
        <v>545.67681818181825</v>
      </c>
      <c r="R401" s="51">
        <f t="shared" si="591"/>
        <v>567.4052272727273</v>
      </c>
      <c r="S401" s="51">
        <f t="shared" si="591"/>
        <v>488.01154639175257</v>
      </c>
      <c r="T401" s="51">
        <f t="shared" si="591"/>
        <v>436.84453608247418</v>
      </c>
      <c r="U401" s="51">
        <f t="shared" si="591"/>
        <v>345.14457142857151</v>
      </c>
      <c r="V401" s="51">
        <f t="shared" si="591"/>
        <v>341.25881188118814</v>
      </c>
      <c r="W401" s="51">
        <f t="shared" si="591"/>
        <v>423.89069306930691</v>
      </c>
      <c r="X401" s="51">
        <f t="shared" si="591"/>
        <v>518.23943396226423</v>
      </c>
      <c r="Y401" s="51">
        <f t="shared" si="591"/>
        <v>463.93773584905671</v>
      </c>
      <c r="Z401" s="51">
        <f t="shared" si="591"/>
        <v>304.53839999999997</v>
      </c>
      <c r="AA401" s="51">
        <f t="shared" si="591"/>
        <v>107.17690476190477</v>
      </c>
      <c r="AB401" s="51">
        <f t="shared" si="591"/>
        <v>49.977380952380962</v>
      </c>
      <c r="AC401" s="51">
        <f t="shared" si="591"/>
        <v>-2.9383333333333983</v>
      </c>
      <c r="AD401" s="51">
        <f t="shared" si="591"/>
        <v>-23.370526315789473</v>
      </c>
      <c r="AE401" s="51">
        <f t="shared" si="591"/>
        <v>-54.29914285714289</v>
      </c>
      <c r="AF401" s="51">
        <f t="shared" si="591"/>
        <v>-90.307999999999993</v>
      </c>
      <c r="AG401" s="51">
        <f t="shared" si="591"/>
        <v>-90.757062895086335</v>
      </c>
      <c r="AH401" s="51">
        <f t="shared" si="591"/>
        <v>48.20151294952165</v>
      </c>
      <c r="AI401" s="51">
        <f t="shared" si="591"/>
        <v>181.48911892519237</v>
      </c>
      <c r="AJ401" s="51">
        <f t="shared" si="591"/>
        <v>171.91308333333336</v>
      </c>
      <c r="AK401" s="51">
        <f t="shared" ref="AK401" si="592">AK392*1000*4/AK397</f>
        <v>229.43700000000001</v>
      </c>
      <c r="AL401" s="51">
        <f t="shared" si="591"/>
        <v>176.33526857142857</v>
      </c>
      <c r="AM401" s="51">
        <f t="shared" si="591"/>
        <v>217.65649983999995</v>
      </c>
      <c r="AN401" s="51">
        <f t="shared" si="591"/>
        <v>306.61176499200002</v>
      </c>
      <c r="AO401" s="51">
        <f t="shared" si="591"/>
        <v>343.51873670400005</v>
      </c>
      <c r="AP401" s="51">
        <f t="shared" si="591"/>
        <v>367.25275851264007</v>
      </c>
      <c r="AQ401" s="51">
        <f t="shared" si="591"/>
        <v>374.59781368289282</v>
      </c>
      <c r="AR401" s="51">
        <f t="shared" si="591"/>
        <v>382.0897699565507</v>
      </c>
      <c r="AS401" s="51">
        <f t="shared" si="591"/>
        <v>389.73156535568165</v>
      </c>
      <c r="AT401" s="51">
        <f t="shared" si="591"/>
        <v>389.73156535568165</v>
      </c>
      <c r="AU401" s="51">
        <f t="shared" si="591"/>
        <v>389.73156535568165</v>
      </c>
      <c r="AV401" s="51">
        <f t="shared" si="591"/>
        <v>389.73156535568165</v>
      </c>
      <c r="AW401" s="51">
        <f t="shared" si="591"/>
        <v>389.73156535568165</v>
      </c>
      <c r="AX401" s="44"/>
      <c r="AY401" s="44"/>
      <c r="AZ401" s="44"/>
      <c r="BA401" s="44"/>
      <c r="BB401" s="44"/>
      <c r="BC401" s="44"/>
      <c r="BD401" s="44"/>
      <c r="BE401" s="44"/>
      <c r="BF401" s="2">
        <f t="shared" si="582"/>
        <v>395</v>
      </c>
    </row>
    <row r="402" spans="1:58" ht="11.25" hidden="1" customHeight="1" outlineLevel="3">
      <c r="A402" s="47"/>
      <c r="B402" s="289"/>
      <c r="C402" s="51"/>
      <c r="D402" s="51"/>
      <c r="E402" s="51"/>
      <c r="F402" s="51"/>
      <c r="G402" s="51"/>
      <c r="H402" s="51"/>
      <c r="I402" s="51"/>
      <c r="J402" s="51"/>
      <c r="K402" s="51"/>
      <c r="L402" s="7"/>
      <c r="M402" s="7"/>
      <c r="N402" s="51"/>
      <c r="O402" s="51"/>
      <c r="P402" s="51"/>
      <c r="Q402" s="51"/>
      <c r="R402" s="51"/>
      <c r="S402" s="51"/>
      <c r="T402" s="51"/>
      <c r="U402" s="51"/>
      <c r="V402" s="51"/>
      <c r="W402" s="51"/>
      <c r="X402" s="51"/>
      <c r="Y402" s="51"/>
      <c r="Z402" s="51"/>
      <c r="AA402" s="51"/>
      <c r="AB402" s="51"/>
      <c r="AC402" s="51"/>
      <c r="AD402" s="51"/>
      <c r="AE402" s="51"/>
      <c r="AF402" s="51"/>
      <c r="AG402" s="51"/>
      <c r="AH402" s="51"/>
      <c r="AI402" s="51"/>
      <c r="AJ402" s="51"/>
      <c r="AK402" s="51"/>
      <c r="AL402" s="51"/>
      <c r="AM402" s="51"/>
      <c r="AN402" s="51"/>
      <c r="AO402" s="51"/>
      <c r="AP402" s="51"/>
      <c r="AQ402" s="51"/>
      <c r="AR402" s="51"/>
      <c r="AS402" s="51"/>
      <c r="AT402" s="51"/>
      <c r="AU402" s="51"/>
      <c r="AV402" s="51"/>
      <c r="AW402" s="51"/>
      <c r="AX402" s="44"/>
      <c r="AY402" s="44"/>
      <c r="AZ402" s="44"/>
      <c r="BA402" s="44"/>
      <c r="BB402" s="44"/>
      <c r="BC402" s="44"/>
      <c r="BD402" s="44"/>
      <c r="BE402" s="44"/>
      <c r="BF402" s="2">
        <f t="shared" si="582"/>
        <v>396</v>
      </c>
    </row>
    <row r="403" spans="1:58" ht="11.25" hidden="1" customHeight="1" outlineLevel="3">
      <c r="A403" s="47"/>
      <c r="B403" s="289" t="s">
        <v>795</v>
      </c>
      <c r="C403" s="51">
        <f>C371*C389*1000/C397</f>
        <v>626.26553672316402</v>
      </c>
      <c r="D403" s="51">
        <f t="shared" ref="D403:J403" si="593">D371*D389*1000/D397</f>
        <v>530.44961240310113</v>
      </c>
      <c r="E403" s="51">
        <f t="shared" si="593"/>
        <v>508.60579710144896</v>
      </c>
      <c r="F403" s="51">
        <f t="shared" si="593"/>
        <v>182.84090909090907</v>
      </c>
      <c r="G403" s="51">
        <f t="shared" si="593"/>
        <v>11.283413965758644</v>
      </c>
      <c r="H403" s="51">
        <f t="shared" si="593"/>
        <v>157.6017365059555</v>
      </c>
      <c r="I403" s="51">
        <f t="shared" si="593"/>
        <v>249.71169666233899</v>
      </c>
      <c r="J403" s="51">
        <f t="shared" si="593"/>
        <v>352.85514592478455</v>
      </c>
      <c r="K403" s="51">
        <f>K371*K389*1000/K397</f>
        <v>365.61157480707658</v>
      </c>
      <c r="L403" s="7"/>
      <c r="M403" s="7"/>
      <c r="N403" s="51">
        <f>N371*N389*1000*4/N397</f>
        <v>408.75652173913039</v>
      </c>
      <c r="O403" s="51">
        <f t="shared" ref="O403:AW403" si="594">O371*O389*1000*4/O397</f>
        <v>819.95714285714303</v>
      </c>
      <c r="P403" s="51">
        <f t="shared" si="594"/>
        <v>637.3955555555558</v>
      </c>
      <c r="Q403" s="51">
        <f t="shared" si="594"/>
        <v>657.39090909090919</v>
      </c>
      <c r="R403" s="51">
        <f t="shared" si="594"/>
        <v>655.65454545454554</v>
      </c>
      <c r="S403" s="51">
        <f t="shared" si="594"/>
        <v>561.48041237113398</v>
      </c>
      <c r="T403" s="51">
        <f t="shared" si="594"/>
        <v>504.49484536082485</v>
      </c>
      <c r="U403" s="51">
        <f t="shared" si="594"/>
        <v>420.8266666666666</v>
      </c>
      <c r="V403" s="51">
        <f t="shared" si="594"/>
        <v>418.38415841584157</v>
      </c>
      <c r="W403" s="51">
        <f t="shared" si="594"/>
        <v>487.68712871287136</v>
      </c>
      <c r="X403" s="51">
        <f t="shared" si="594"/>
        <v>578.9283018867925</v>
      </c>
      <c r="Y403" s="51">
        <f t="shared" si="594"/>
        <v>544.18113207547117</v>
      </c>
      <c r="Z403" s="51">
        <f t="shared" si="594"/>
        <v>387.50800000000004</v>
      </c>
      <c r="AA403" s="51">
        <f t="shared" si="594"/>
        <v>210.57142857142858</v>
      </c>
      <c r="AB403" s="51">
        <f t="shared" si="594"/>
        <v>135.63333333333335</v>
      </c>
      <c r="AC403" s="51">
        <f t="shared" si="594"/>
        <v>-41.333333333333499</v>
      </c>
      <c r="AD403" s="51">
        <f t="shared" si="594"/>
        <v>48.115789473684266</v>
      </c>
      <c r="AE403" s="51">
        <f t="shared" si="594"/>
        <v>2.9885714285714067</v>
      </c>
      <c r="AF403" s="51">
        <f t="shared" si="594"/>
        <v>1.5714285714286038</v>
      </c>
      <c r="AG403" s="51">
        <f t="shared" si="594"/>
        <v>-9.520558300132727</v>
      </c>
      <c r="AH403" s="51">
        <f>AH371*AH389*1000*4/AH397</f>
        <v>53.576796467930897</v>
      </c>
      <c r="AI403" s="51">
        <f>AI371*AI389*1000*4/AI397</f>
        <v>181.00488390333985</v>
      </c>
      <c r="AJ403" s="51">
        <f>AJ371*AJ389*1000*4/AJ397</f>
        <v>165.97533333333331</v>
      </c>
      <c r="AK403" s="51">
        <f>AK371*AK389*1000*4/AK397</f>
        <v>222.26966666666647</v>
      </c>
      <c r="AL403" s="51">
        <f t="shared" si="594"/>
        <v>173.81988000000001</v>
      </c>
      <c r="AM403" s="51">
        <f t="shared" si="594"/>
        <v>209.52504144</v>
      </c>
      <c r="AN403" s="51">
        <f t="shared" si="594"/>
        <v>289.40883223199995</v>
      </c>
      <c r="AO403" s="51">
        <f t="shared" si="594"/>
        <v>321.03357853319994</v>
      </c>
      <c r="AP403" s="51">
        <f t="shared" si="594"/>
        <v>342.44415861458401</v>
      </c>
      <c r="AQ403" s="51">
        <f t="shared" si="594"/>
        <v>349.29304178687568</v>
      </c>
      <c r="AR403" s="51">
        <f t="shared" si="594"/>
        <v>356.2789026226132</v>
      </c>
      <c r="AS403" s="51">
        <f t="shared" si="594"/>
        <v>363.40448067506549</v>
      </c>
      <c r="AT403" s="51">
        <f t="shared" si="594"/>
        <v>364.26983742915195</v>
      </c>
      <c r="AU403" s="51">
        <f t="shared" si="594"/>
        <v>365.15250131832022</v>
      </c>
      <c r="AV403" s="51">
        <f t="shared" si="594"/>
        <v>366.05281848527187</v>
      </c>
      <c r="AW403" s="51">
        <f t="shared" si="594"/>
        <v>366.97114199556256</v>
      </c>
      <c r="AX403" s="44"/>
      <c r="AY403" s="44"/>
      <c r="AZ403" s="44"/>
      <c r="BA403" s="44"/>
      <c r="BB403" s="44"/>
      <c r="BC403" s="44"/>
      <c r="BD403" s="44"/>
      <c r="BE403" s="44"/>
      <c r="BF403" s="2">
        <f t="shared" si="582"/>
        <v>397</v>
      </c>
    </row>
    <row r="404" spans="1:58" ht="11.25" hidden="1" customHeight="1" outlineLevel="3">
      <c r="A404" s="47"/>
      <c r="B404" s="289" t="s">
        <v>796</v>
      </c>
      <c r="C404" s="51">
        <f t="shared" ref="C404:K404" si="595">C27*C389*1000/C397</f>
        <v>222.00677966101694</v>
      </c>
      <c r="D404" s="51">
        <f t="shared" si="595"/>
        <v>149.21550387596901</v>
      </c>
      <c r="E404" s="51">
        <f t="shared" si="595"/>
        <v>129.08502415458938</v>
      </c>
      <c r="F404" s="51">
        <f t="shared" si="595"/>
        <v>-186.19090909090909</v>
      </c>
      <c r="G404" s="51">
        <f t="shared" si="595"/>
        <v>-389.17227134704427</v>
      </c>
      <c r="H404" s="51">
        <f t="shared" si="595"/>
        <v>-103.45158762777942</v>
      </c>
      <c r="I404" s="51">
        <f t="shared" si="595"/>
        <v>21.869012456243127</v>
      </c>
      <c r="J404" s="51">
        <f t="shared" si="595"/>
        <v>137.59682215753671</v>
      </c>
      <c r="K404" s="51">
        <f t="shared" si="595"/>
        <v>160.52754054141619</v>
      </c>
      <c r="L404" s="7"/>
      <c r="M404" s="7"/>
      <c r="N404" s="51">
        <f t="shared" ref="N404:AW404" si="596">N27*N389*1000*4/N397</f>
        <v>53.873913043478261</v>
      </c>
      <c r="O404" s="51">
        <f t="shared" si="596"/>
        <v>404.68571428571431</v>
      </c>
      <c r="P404" s="51">
        <f t="shared" si="596"/>
        <v>231.98666666666668</v>
      </c>
      <c r="Q404" s="51">
        <f t="shared" si="596"/>
        <v>213.2</v>
      </c>
      <c r="R404" s="51">
        <f t="shared" si="596"/>
        <v>225.94545454545454</v>
      </c>
      <c r="S404" s="51">
        <f t="shared" si="596"/>
        <v>193.02680412371134</v>
      </c>
      <c r="T404" s="51">
        <f t="shared" si="596"/>
        <v>137.97113402061856</v>
      </c>
      <c r="U404" s="51">
        <f t="shared" si="596"/>
        <v>54.822857142857146</v>
      </c>
      <c r="V404" s="51">
        <f t="shared" si="596"/>
        <v>24.03960396039604</v>
      </c>
      <c r="W404" s="51">
        <f t="shared" si="596"/>
        <v>125.73465346534654</v>
      </c>
      <c r="X404" s="51">
        <f t="shared" si="596"/>
        <v>206.72452830188681</v>
      </c>
      <c r="Y404" s="51">
        <f t="shared" si="596"/>
        <v>154.72830188679245</v>
      </c>
      <c r="Z404" s="51">
        <f t="shared" si="596"/>
        <v>-4.9039999999999999</v>
      </c>
      <c r="AA404" s="51">
        <f t="shared" si="596"/>
        <v>-210.9047619047619</v>
      </c>
      <c r="AB404" s="51">
        <f t="shared" si="596"/>
        <v>-254.76666666666668</v>
      </c>
      <c r="AC404" s="51">
        <f t="shared" si="596"/>
        <v>-308.71904761904761</v>
      </c>
      <c r="AD404" s="51">
        <f t="shared" si="596"/>
        <v>-345.7421052631579</v>
      </c>
      <c r="AE404" s="51">
        <f t="shared" si="596"/>
        <v>-389.7657142857143</v>
      </c>
      <c r="AF404" s="51">
        <f t="shared" si="596"/>
        <v>-419.43428571428569</v>
      </c>
      <c r="AG404" s="51">
        <f t="shared" si="596"/>
        <v>-405.21639468791511</v>
      </c>
      <c r="AH404" s="51">
        <f t="shared" si="596"/>
        <v>-230.62480126842257</v>
      </c>
      <c r="AI404" s="51">
        <f t="shared" si="596"/>
        <v>-61.053133470425045</v>
      </c>
      <c r="AJ404" s="51">
        <f t="shared" si="596"/>
        <v>-90.475666666666669</v>
      </c>
      <c r="AK404" s="51">
        <f t="shared" ref="AK404" si="597">AK27*AK389*1000*4/AK397</f>
        <v>-42.847999999999999</v>
      </c>
      <c r="AL404" s="51">
        <f t="shared" si="596"/>
        <v>-63.741947267499363</v>
      </c>
      <c r="AM404" s="51">
        <f t="shared" si="596"/>
        <v>-14.280282445902975</v>
      </c>
      <c r="AN404" s="51">
        <f t="shared" si="596"/>
        <v>63.980434324923692</v>
      </c>
      <c r="AO404" s="51">
        <f t="shared" si="596"/>
        <v>95.810447898534974</v>
      </c>
      <c r="AP404" s="51">
        <f t="shared" si="596"/>
        <v>121.6862232129692</v>
      </c>
      <c r="AQ404" s="51">
        <f t="shared" si="596"/>
        <v>132.19810956106849</v>
      </c>
      <c r="AR404" s="51">
        <f t="shared" si="596"/>
        <v>142.85429054504937</v>
      </c>
      <c r="AS404" s="51">
        <f t="shared" si="596"/>
        <v>153.64866531105983</v>
      </c>
      <c r="AT404" s="51">
        <f t="shared" si="596"/>
        <v>158.17274487065936</v>
      </c>
      <c r="AU404" s="51">
        <f t="shared" si="596"/>
        <v>159.69947647860607</v>
      </c>
      <c r="AV404" s="51">
        <f t="shared" si="596"/>
        <v>161.29165275080416</v>
      </c>
      <c r="AW404" s="51">
        <f t="shared" si="596"/>
        <v>162.94628806559516</v>
      </c>
      <c r="AX404" s="44"/>
      <c r="AY404" s="44"/>
      <c r="AZ404" s="44"/>
      <c r="BA404" s="44"/>
      <c r="BB404" s="44"/>
      <c r="BC404" s="44"/>
      <c r="BD404" s="44"/>
      <c r="BE404" s="44"/>
      <c r="BF404" s="2">
        <f t="shared" si="582"/>
        <v>398</v>
      </c>
    </row>
    <row r="405" spans="1:58" ht="11.25" hidden="1" customHeight="1" outlineLevel="3">
      <c r="A405" s="47"/>
      <c r="B405" s="289"/>
      <c r="C405" s="51"/>
      <c r="D405" s="51"/>
      <c r="E405" s="51"/>
      <c r="F405" s="51"/>
      <c r="G405" s="51"/>
      <c r="H405" s="51"/>
      <c r="I405" s="51"/>
      <c r="J405" s="51"/>
      <c r="K405" s="51"/>
      <c r="L405" s="3"/>
      <c r="M405" s="3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44"/>
      <c r="AY405" s="44"/>
      <c r="AZ405" s="44"/>
      <c r="BA405" s="44"/>
      <c r="BB405" s="44"/>
      <c r="BC405" s="44"/>
      <c r="BD405" s="44"/>
      <c r="BE405" s="44"/>
      <c r="BF405" s="2">
        <f t="shared" si="582"/>
        <v>399</v>
      </c>
    </row>
    <row r="406" spans="1:58" ht="11.25" hidden="1" customHeight="1" outlineLevel="3">
      <c r="A406" s="47"/>
      <c r="B406" s="289" t="s">
        <v>250</v>
      </c>
      <c r="C406" s="68">
        <f t="shared" ref="C406:K406" si="598">AVERAGEIFS($N406:$AX406,$N$4:$AX$4,C$4)</f>
        <v>40</v>
      </c>
      <c r="D406" s="68">
        <f t="shared" si="598"/>
        <v>40</v>
      </c>
      <c r="E406" s="68">
        <f t="shared" si="598"/>
        <v>40</v>
      </c>
      <c r="F406" s="68">
        <f t="shared" si="598"/>
        <v>40</v>
      </c>
      <c r="G406" s="68">
        <f t="shared" si="598"/>
        <v>40</v>
      </c>
      <c r="H406" s="68">
        <f t="shared" si="598"/>
        <v>40</v>
      </c>
      <c r="I406" s="68">
        <f t="shared" si="598"/>
        <v>40</v>
      </c>
      <c r="J406" s="68">
        <f t="shared" si="598"/>
        <v>40</v>
      </c>
      <c r="K406" s="68">
        <f t="shared" si="598"/>
        <v>40</v>
      </c>
      <c r="L406" s="7"/>
      <c r="M406" s="7"/>
      <c r="N406" s="40">
        <v>40</v>
      </c>
      <c r="O406" s="40">
        <v>40</v>
      </c>
      <c r="P406" s="40">
        <v>40</v>
      </c>
      <c r="Q406" s="40">
        <v>40</v>
      </c>
      <c r="R406" s="40">
        <v>40</v>
      </c>
      <c r="S406" s="40">
        <v>40</v>
      </c>
      <c r="T406" s="40">
        <v>40</v>
      </c>
      <c r="U406" s="40">
        <v>40</v>
      </c>
      <c r="V406" s="40">
        <v>40</v>
      </c>
      <c r="W406" s="40">
        <v>40</v>
      </c>
      <c r="X406" s="40">
        <v>40</v>
      </c>
      <c r="Y406" s="40">
        <v>40</v>
      </c>
      <c r="Z406" s="40">
        <v>40</v>
      </c>
      <c r="AA406" s="40">
        <v>40</v>
      </c>
      <c r="AB406" s="40">
        <v>40</v>
      </c>
      <c r="AC406" s="40">
        <v>40</v>
      </c>
      <c r="AD406" s="40">
        <v>40</v>
      </c>
      <c r="AE406" s="40">
        <v>40</v>
      </c>
      <c r="AF406" s="40">
        <v>40</v>
      </c>
      <c r="AG406" s="40">
        <v>40</v>
      </c>
      <c r="AH406" s="40">
        <v>40</v>
      </c>
      <c r="AI406" s="40">
        <v>40</v>
      </c>
      <c r="AJ406" s="40">
        <v>40</v>
      </c>
      <c r="AK406" s="40">
        <v>40</v>
      </c>
      <c r="AL406" s="40">
        <v>40</v>
      </c>
      <c r="AM406" s="40">
        <v>40</v>
      </c>
      <c r="AN406" s="40">
        <v>40</v>
      </c>
      <c r="AO406" s="40">
        <v>40</v>
      </c>
      <c r="AP406" s="40">
        <v>40</v>
      </c>
      <c r="AQ406" s="40">
        <v>40</v>
      </c>
      <c r="AR406" s="40">
        <v>40</v>
      </c>
      <c r="AS406" s="40">
        <v>40</v>
      </c>
      <c r="AT406" s="40">
        <v>40</v>
      </c>
      <c r="AU406" s="40">
        <v>40</v>
      </c>
      <c r="AV406" s="40">
        <v>40</v>
      </c>
      <c r="AW406" s="40">
        <v>40</v>
      </c>
      <c r="AX406" s="44"/>
      <c r="AY406" s="44"/>
      <c r="AZ406" s="44"/>
      <c r="BA406" s="44"/>
      <c r="BB406" s="44"/>
      <c r="BC406" s="44"/>
      <c r="BD406" s="44"/>
      <c r="BE406" s="44"/>
      <c r="BF406" s="2">
        <f t="shared" si="582"/>
        <v>400</v>
      </c>
    </row>
    <row r="407" spans="1:58" ht="11.25" hidden="1" customHeight="1" outlineLevel="3">
      <c r="A407" s="47"/>
      <c r="B407" s="289" t="s">
        <v>255</v>
      </c>
      <c r="C407" s="68">
        <f t="shared" ref="C407:K407" si="599">ROUNDDOWN(C396/C406,0)</f>
        <v>13</v>
      </c>
      <c r="D407" s="68">
        <f t="shared" si="599"/>
        <v>15</v>
      </c>
      <c r="E407" s="68">
        <f t="shared" si="599"/>
        <v>15</v>
      </c>
      <c r="F407" s="68">
        <f t="shared" si="599"/>
        <v>17</v>
      </c>
      <c r="G407" s="68">
        <f t="shared" si="599"/>
        <v>18</v>
      </c>
      <c r="H407" s="68">
        <f t="shared" si="599"/>
        <v>18</v>
      </c>
      <c r="I407" s="68">
        <f t="shared" si="599"/>
        <v>18</v>
      </c>
      <c r="J407" s="68">
        <f t="shared" si="599"/>
        <v>18</v>
      </c>
      <c r="K407" s="68">
        <f t="shared" si="599"/>
        <v>18</v>
      </c>
      <c r="L407" s="7"/>
      <c r="M407" s="7"/>
      <c r="N407" s="68">
        <f t="shared" ref="N407:AW407" si="600">ROUNDDOWN(N396/N406,0)</f>
        <v>12</v>
      </c>
      <c r="O407" s="68">
        <f t="shared" si="600"/>
        <v>12</v>
      </c>
      <c r="P407" s="68">
        <f t="shared" si="600"/>
        <v>14</v>
      </c>
      <c r="Q407" s="68">
        <f t="shared" si="600"/>
        <v>15</v>
      </c>
      <c r="R407" s="68">
        <f t="shared" si="600"/>
        <v>15</v>
      </c>
      <c r="S407" s="68">
        <f t="shared" si="600"/>
        <v>16</v>
      </c>
      <c r="T407" s="68">
        <f t="shared" si="600"/>
        <v>16</v>
      </c>
      <c r="U407" s="68">
        <f t="shared" si="600"/>
        <v>16</v>
      </c>
      <c r="V407" s="68">
        <f t="shared" si="600"/>
        <v>15</v>
      </c>
      <c r="W407" s="68">
        <f t="shared" si="600"/>
        <v>15</v>
      </c>
      <c r="X407" s="68">
        <f t="shared" si="600"/>
        <v>16</v>
      </c>
      <c r="Y407" s="68">
        <f t="shared" si="600"/>
        <v>16</v>
      </c>
      <c r="Z407" s="68">
        <f t="shared" si="600"/>
        <v>17</v>
      </c>
      <c r="AA407" s="68">
        <f t="shared" si="600"/>
        <v>17</v>
      </c>
      <c r="AB407" s="68">
        <f t="shared" si="600"/>
        <v>17</v>
      </c>
      <c r="AC407" s="68">
        <f t="shared" si="600"/>
        <v>17</v>
      </c>
      <c r="AD407" s="68">
        <f t="shared" si="600"/>
        <v>17</v>
      </c>
      <c r="AE407" s="68">
        <f t="shared" si="600"/>
        <v>18</v>
      </c>
      <c r="AF407" s="68">
        <f t="shared" si="600"/>
        <v>18</v>
      </c>
      <c r="AG407" s="68">
        <f t="shared" si="600"/>
        <v>18</v>
      </c>
      <c r="AH407" s="68">
        <f t="shared" si="600"/>
        <v>18</v>
      </c>
      <c r="AI407" s="68">
        <f t="shared" si="600"/>
        <v>18</v>
      </c>
      <c r="AJ407" s="68">
        <f>ROUNDDOWN(AJ396/AJ406,0)</f>
        <v>18</v>
      </c>
      <c r="AK407" s="68">
        <f>ROUNDDOWN(AK396/AK406,0)</f>
        <v>18</v>
      </c>
      <c r="AL407" s="68">
        <f t="shared" si="600"/>
        <v>18</v>
      </c>
      <c r="AM407" s="68">
        <f t="shared" si="600"/>
        <v>18</v>
      </c>
      <c r="AN407" s="68">
        <f t="shared" si="600"/>
        <v>18</v>
      </c>
      <c r="AO407" s="68">
        <f t="shared" si="600"/>
        <v>18</v>
      </c>
      <c r="AP407" s="68">
        <f t="shared" si="600"/>
        <v>18</v>
      </c>
      <c r="AQ407" s="68">
        <f t="shared" si="600"/>
        <v>18</v>
      </c>
      <c r="AR407" s="68">
        <f t="shared" si="600"/>
        <v>18</v>
      </c>
      <c r="AS407" s="68">
        <f t="shared" si="600"/>
        <v>18</v>
      </c>
      <c r="AT407" s="68">
        <f t="shared" si="600"/>
        <v>18</v>
      </c>
      <c r="AU407" s="68">
        <f t="shared" si="600"/>
        <v>18</v>
      </c>
      <c r="AV407" s="68">
        <f t="shared" si="600"/>
        <v>18</v>
      </c>
      <c r="AW407" s="68">
        <f t="shared" si="600"/>
        <v>18</v>
      </c>
      <c r="AX407" s="44"/>
      <c r="AY407" s="44"/>
      <c r="AZ407" s="44"/>
      <c r="BA407" s="44"/>
      <c r="BB407" s="44"/>
      <c r="BC407" s="44"/>
      <c r="BD407" s="44"/>
      <c r="BE407" s="44"/>
      <c r="BF407" s="2">
        <f t="shared" si="582"/>
        <v>401</v>
      </c>
    </row>
    <row r="408" spans="1:58" ht="11.25" hidden="1" customHeight="1" outlineLevel="3">
      <c r="A408" s="47"/>
      <c r="B408" s="289" t="s">
        <v>251</v>
      </c>
      <c r="C408" s="51">
        <f t="shared" ref="C408:K408" si="601">ROUNDDOWN(C397/C406,0)</f>
        <v>11</v>
      </c>
      <c r="D408" s="51">
        <f t="shared" si="601"/>
        <v>12</v>
      </c>
      <c r="E408" s="51">
        <f t="shared" si="601"/>
        <v>12</v>
      </c>
      <c r="F408" s="51">
        <f t="shared" si="601"/>
        <v>11</v>
      </c>
      <c r="G408" s="51">
        <f t="shared" si="601"/>
        <v>9</v>
      </c>
      <c r="H408" s="51">
        <f t="shared" si="601"/>
        <v>14</v>
      </c>
      <c r="I408" s="51">
        <f t="shared" si="601"/>
        <v>18</v>
      </c>
      <c r="J408" s="51">
        <f t="shared" si="601"/>
        <v>18</v>
      </c>
      <c r="K408" s="51">
        <f t="shared" si="601"/>
        <v>18</v>
      </c>
      <c r="L408" s="7"/>
      <c r="M408" s="7"/>
      <c r="N408" s="51">
        <f t="shared" ref="N408:AW408" si="602">ROUNDDOWN(N397/N406,0)</f>
        <v>11</v>
      </c>
      <c r="O408" s="51">
        <f t="shared" si="602"/>
        <v>10</v>
      </c>
      <c r="P408" s="51">
        <f t="shared" si="602"/>
        <v>11</v>
      </c>
      <c r="Q408" s="51">
        <f t="shared" si="602"/>
        <v>11</v>
      </c>
      <c r="R408" s="51">
        <f t="shared" si="602"/>
        <v>11</v>
      </c>
      <c r="S408" s="51">
        <f t="shared" si="602"/>
        <v>12</v>
      </c>
      <c r="T408" s="51">
        <f t="shared" si="602"/>
        <v>12</v>
      </c>
      <c r="U408" s="51">
        <f t="shared" si="602"/>
        <v>13</v>
      </c>
      <c r="V408" s="51">
        <f t="shared" si="602"/>
        <v>12</v>
      </c>
      <c r="W408" s="51">
        <f t="shared" si="602"/>
        <v>12</v>
      </c>
      <c r="X408" s="51">
        <f t="shared" si="602"/>
        <v>13</v>
      </c>
      <c r="Y408" s="51">
        <f t="shared" si="602"/>
        <v>13</v>
      </c>
      <c r="Z408" s="51">
        <f t="shared" si="602"/>
        <v>12</v>
      </c>
      <c r="AA408" s="51">
        <f t="shared" si="602"/>
        <v>10</v>
      </c>
      <c r="AB408" s="51">
        <f t="shared" si="602"/>
        <v>10</v>
      </c>
      <c r="AC408" s="51">
        <f t="shared" si="602"/>
        <v>10</v>
      </c>
      <c r="AD408" s="51">
        <f t="shared" si="602"/>
        <v>9</v>
      </c>
      <c r="AE408" s="51">
        <f t="shared" si="602"/>
        <v>8</v>
      </c>
      <c r="AF408" s="51">
        <f t="shared" si="602"/>
        <v>8</v>
      </c>
      <c r="AG408" s="51">
        <f t="shared" si="602"/>
        <v>10</v>
      </c>
      <c r="AH408" s="51">
        <f t="shared" si="602"/>
        <v>12</v>
      </c>
      <c r="AI408" s="51">
        <f t="shared" si="602"/>
        <v>15</v>
      </c>
      <c r="AJ408" s="51">
        <f>ROUNDDOWN(AJ397/AJ406,0)</f>
        <v>15</v>
      </c>
      <c r="AK408" s="51">
        <f>ROUNDDOWN(AK397/AK406,0)</f>
        <v>15</v>
      </c>
      <c r="AL408" s="51">
        <f t="shared" si="602"/>
        <v>17</v>
      </c>
      <c r="AM408" s="51">
        <f t="shared" si="602"/>
        <v>18</v>
      </c>
      <c r="AN408" s="51">
        <f t="shared" si="602"/>
        <v>18</v>
      </c>
      <c r="AO408" s="51">
        <f t="shared" si="602"/>
        <v>18</v>
      </c>
      <c r="AP408" s="51">
        <f t="shared" si="602"/>
        <v>18</v>
      </c>
      <c r="AQ408" s="51">
        <f t="shared" si="602"/>
        <v>18</v>
      </c>
      <c r="AR408" s="51">
        <f t="shared" si="602"/>
        <v>18</v>
      </c>
      <c r="AS408" s="51">
        <f t="shared" si="602"/>
        <v>18</v>
      </c>
      <c r="AT408" s="51">
        <f t="shared" si="602"/>
        <v>18</v>
      </c>
      <c r="AU408" s="51">
        <f t="shared" si="602"/>
        <v>18</v>
      </c>
      <c r="AV408" s="51">
        <f t="shared" si="602"/>
        <v>18</v>
      </c>
      <c r="AW408" s="51">
        <f t="shared" si="602"/>
        <v>18</v>
      </c>
      <c r="AX408" s="44"/>
      <c r="AY408" s="44"/>
      <c r="AZ408" s="44"/>
      <c r="BA408" s="44"/>
      <c r="BB408" s="44"/>
      <c r="BC408" s="44"/>
      <c r="BD408" s="44"/>
      <c r="BE408" s="44"/>
      <c r="BF408" s="2">
        <f t="shared" si="582"/>
        <v>402</v>
      </c>
    </row>
    <row r="409" spans="1:58" ht="11.25" hidden="1" customHeight="1" outlineLevel="3">
      <c r="A409" s="47"/>
      <c r="B409" s="289" t="s">
        <v>252</v>
      </c>
      <c r="C409" s="51">
        <f t="shared" ref="C409:K409" si="603">C369*C389/C408</f>
        <v>72.453500000000005</v>
      </c>
      <c r="D409" s="51">
        <f t="shared" si="603"/>
        <v>66.529333333333341</v>
      </c>
      <c r="E409" s="51">
        <f t="shared" si="603"/>
        <v>71.995999999999995</v>
      </c>
      <c r="F409" s="51">
        <f t="shared" si="603"/>
        <v>42.455409090909093</v>
      </c>
      <c r="G409" s="51">
        <f t="shared" si="603"/>
        <v>29.709519068171758</v>
      </c>
      <c r="H409" s="51">
        <f t="shared" si="603"/>
        <v>42.153818605659175</v>
      </c>
      <c r="I409" s="51">
        <f t="shared" si="603"/>
        <v>43.270715626666664</v>
      </c>
      <c r="J409" s="51">
        <f t="shared" si="603"/>
        <v>56.31219894002102</v>
      </c>
      <c r="K409" s="51">
        <f t="shared" si="603"/>
        <v>57.995768654119288</v>
      </c>
      <c r="L409" s="7"/>
      <c r="M409" s="7"/>
      <c r="N409" s="51">
        <f t="shared" ref="N409:AW409" si="604">N369*N389*4/N408</f>
        <v>50.850181818181817</v>
      </c>
      <c r="O409" s="51">
        <f t="shared" si="604"/>
        <v>95.073800000000006</v>
      </c>
      <c r="P409" s="51">
        <f t="shared" si="604"/>
        <v>76.580727272727273</v>
      </c>
      <c r="Q409" s="51">
        <f t="shared" si="604"/>
        <v>75.952363636363643</v>
      </c>
      <c r="R409" s="51">
        <f t="shared" si="604"/>
        <v>77.451454545454553</v>
      </c>
      <c r="S409" s="51">
        <f t="shared" si="604"/>
        <v>66.36933333333333</v>
      </c>
      <c r="T409" s="51">
        <f t="shared" si="604"/>
        <v>66.335999999999999</v>
      </c>
      <c r="U409" s="51">
        <f t="shared" si="604"/>
        <v>57.613692307692304</v>
      </c>
      <c r="V409" s="51">
        <f t="shared" si="604"/>
        <v>64.979500000000002</v>
      </c>
      <c r="W409" s="51">
        <f t="shared" si="604"/>
        <v>66.341333333333338</v>
      </c>
      <c r="X409" s="51">
        <f t="shared" si="604"/>
        <v>72.438307692307689</v>
      </c>
      <c r="Y409" s="51">
        <f t="shared" si="604"/>
        <v>72.173846153846156</v>
      </c>
      <c r="Z409" s="51">
        <f t="shared" si="604"/>
        <v>58.498666666666672</v>
      </c>
      <c r="AA409" s="51">
        <f t="shared" si="604"/>
        <v>45.272599999999997</v>
      </c>
      <c r="AB409" s="51">
        <f t="shared" si="604"/>
        <v>40.569000000000003</v>
      </c>
      <c r="AC409" s="51">
        <f t="shared" si="604"/>
        <v>30.763799999999996</v>
      </c>
      <c r="AD409" s="51">
        <f t="shared" si="604"/>
        <v>29.438222222222223</v>
      </c>
      <c r="AE409" s="51">
        <f t="shared" si="604"/>
        <v>28.97325</v>
      </c>
      <c r="AF409" s="51">
        <f t="shared" si="604"/>
        <v>31.255500000000001</v>
      </c>
      <c r="AG409" s="51">
        <f t="shared" si="604"/>
        <v>32.600037014608233</v>
      </c>
      <c r="AH409" s="51">
        <f t="shared" si="604"/>
        <v>40.093599999999988</v>
      </c>
      <c r="AI409" s="51">
        <f t="shared" si="604"/>
        <v>42.338841599999995</v>
      </c>
      <c r="AJ409" s="51">
        <f>AJ369*AJ389*4/AJ408</f>
        <v>43.056866666666672</v>
      </c>
      <c r="AK409" s="51">
        <f>AK369*AK389*4/AK408</f>
        <v>40.338133333333332</v>
      </c>
      <c r="AL409" s="51">
        <f t="shared" si="604"/>
        <v>36.304320000000004</v>
      </c>
      <c r="AM409" s="51">
        <f t="shared" si="604"/>
        <v>39.430525333333328</v>
      </c>
      <c r="AN409" s="51">
        <f t="shared" si="604"/>
        <v>47.316630399999994</v>
      </c>
      <c r="AO409" s="51">
        <f t="shared" si="604"/>
        <v>52.048293440000002</v>
      </c>
      <c r="AP409" s="51">
        <f t="shared" si="604"/>
        <v>54.650708111999997</v>
      </c>
      <c r="AQ409" s="51">
        <f t="shared" si="604"/>
        <v>55.74372227424</v>
      </c>
      <c r="AR409" s="51">
        <f t="shared" si="604"/>
        <v>56.858596719724794</v>
      </c>
      <c r="AS409" s="51">
        <f t="shared" si="604"/>
        <v>57.995768654119288</v>
      </c>
      <c r="AT409" s="51">
        <f t="shared" si="604"/>
        <v>57.995768654119288</v>
      </c>
      <c r="AU409" s="51">
        <f t="shared" si="604"/>
        <v>57.995768654119288</v>
      </c>
      <c r="AV409" s="51">
        <f t="shared" si="604"/>
        <v>57.995768654119288</v>
      </c>
      <c r="AW409" s="51">
        <f t="shared" si="604"/>
        <v>57.995768654119288</v>
      </c>
      <c r="AX409" s="44"/>
      <c r="AY409" s="44"/>
      <c r="AZ409" s="44"/>
      <c r="BA409" s="44"/>
      <c r="BB409" s="44"/>
      <c r="BC409" s="44"/>
      <c r="BD409" s="44"/>
      <c r="BE409" s="44"/>
      <c r="BF409" s="2">
        <f t="shared" si="582"/>
        <v>403</v>
      </c>
    </row>
    <row r="410" spans="1:58" ht="11.25" hidden="1" customHeight="1" outlineLevel="3">
      <c r="A410" s="47"/>
      <c r="B410" s="289" t="s">
        <v>253</v>
      </c>
      <c r="C410" s="51">
        <f t="shared" ref="C410:K410" si="605">C371*C389/C408</f>
        <v>25.192954545454551</v>
      </c>
      <c r="D410" s="51">
        <f t="shared" si="605"/>
        <v>21.38375000000001</v>
      </c>
      <c r="E410" s="51">
        <f t="shared" si="605"/>
        <v>21.933624999999989</v>
      </c>
      <c r="F410" s="51">
        <f t="shared" si="605"/>
        <v>7.3136363636363626</v>
      </c>
      <c r="G410" s="51">
        <f t="shared" si="605"/>
        <v>0.46387368525896644</v>
      </c>
      <c r="H410" s="51">
        <f t="shared" si="605"/>
        <v>6.4729284636374578</v>
      </c>
      <c r="I410" s="51">
        <f t="shared" si="605"/>
        <v>10.2312431271375</v>
      </c>
      <c r="J410" s="51">
        <f t="shared" si="605"/>
        <v>14.702297746866025</v>
      </c>
      <c r="K410" s="51">
        <f t="shared" si="605"/>
        <v>15.233815616961525</v>
      </c>
      <c r="L410" s="7"/>
      <c r="M410" s="7"/>
      <c r="N410" s="51">
        <f t="shared" ref="N410:AW410" si="606">N371*N389*4/N408</f>
        <v>17.093454545454541</v>
      </c>
      <c r="O410" s="51">
        <f t="shared" si="606"/>
        <v>34.438200000000009</v>
      </c>
      <c r="P410" s="51">
        <f t="shared" si="606"/>
        <v>26.075272727272736</v>
      </c>
      <c r="Q410" s="51">
        <f t="shared" si="606"/>
        <v>26.295636363636369</v>
      </c>
      <c r="R410" s="51">
        <f t="shared" si="606"/>
        <v>26.226181818181825</v>
      </c>
      <c r="S410" s="51">
        <f t="shared" si="606"/>
        <v>22.693166666666666</v>
      </c>
      <c r="T410" s="51">
        <f t="shared" si="606"/>
        <v>20.390000000000004</v>
      </c>
      <c r="U410" s="51">
        <f t="shared" si="606"/>
        <v>16.994923076923076</v>
      </c>
      <c r="V410" s="51">
        <f t="shared" si="606"/>
        <v>17.606999999999999</v>
      </c>
      <c r="W410" s="51">
        <f t="shared" si="606"/>
        <v>20.523500000000002</v>
      </c>
      <c r="X410" s="51">
        <f t="shared" si="606"/>
        <v>23.602461538461537</v>
      </c>
      <c r="Y410" s="51">
        <f t="shared" si="606"/>
        <v>22.185846153846132</v>
      </c>
      <c r="Z410" s="51">
        <f t="shared" si="606"/>
        <v>16.146166666666669</v>
      </c>
      <c r="AA410" s="51">
        <f t="shared" si="606"/>
        <v>8.8439999999999994</v>
      </c>
      <c r="AB410" s="51">
        <f t="shared" si="606"/>
        <v>5.696600000000001</v>
      </c>
      <c r="AC410" s="51">
        <f t="shared" si="606"/>
        <v>-1.7360000000000071</v>
      </c>
      <c r="AD410" s="51">
        <f t="shared" si="606"/>
        <v>2.031555555555558</v>
      </c>
      <c r="AE410" s="51">
        <f t="shared" si="606"/>
        <v>0.13074999999999903</v>
      </c>
      <c r="AF410" s="51">
        <f t="shared" si="606"/>
        <v>6.8750000000001421E-2</v>
      </c>
      <c r="AG410" s="51">
        <f t="shared" si="606"/>
        <v>-0.38082233200530907</v>
      </c>
      <c r="AH410" s="51">
        <f t="shared" si="606"/>
        <v>2.2323665194971207</v>
      </c>
      <c r="AI410" s="51">
        <f t="shared" si="606"/>
        <v>7.2401953561335937</v>
      </c>
      <c r="AJ410" s="51">
        <f>AJ371*AJ389*4/AJ408</f>
        <v>6.6390133333333328</v>
      </c>
      <c r="AK410" s="51">
        <f>AK371*AK389*4/AK408</f>
        <v>8.8907866666666582</v>
      </c>
      <c r="AL410" s="51">
        <f t="shared" si="606"/>
        <v>7.1572891764705888</v>
      </c>
      <c r="AM410" s="51">
        <f t="shared" si="606"/>
        <v>8.7302100599999992</v>
      </c>
      <c r="AN410" s="51">
        <f t="shared" si="606"/>
        <v>12.058701342999999</v>
      </c>
      <c r="AO410" s="51">
        <f t="shared" si="606"/>
        <v>13.37639910555</v>
      </c>
      <c r="AP410" s="51">
        <f t="shared" si="606"/>
        <v>14.268506608941001</v>
      </c>
      <c r="AQ410" s="51">
        <f t="shared" si="606"/>
        <v>14.55387674111982</v>
      </c>
      <c r="AR410" s="51">
        <f t="shared" si="606"/>
        <v>14.844954275942216</v>
      </c>
      <c r="AS410" s="51">
        <f t="shared" si="606"/>
        <v>15.141853361461061</v>
      </c>
      <c r="AT410" s="51">
        <f t="shared" si="606"/>
        <v>15.177909892881331</v>
      </c>
      <c r="AU410" s="51">
        <f t="shared" si="606"/>
        <v>15.214687554930009</v>
      </c>
      <c r="AV410" s="51">
        <f t="shared" si="606"/>
        <v>15.252200770219661</v>
      </c>
      <c r="AW410" s="51">
        <f t="shared" si="606"/>
        <v>15.290464249815106</v>
      </c>
      <c r="AX410" s="44"/>
      <c r="AY410" s="44"/>
      <c r="AZ410" s="44"/>
      <c r="BA410" s="44"/>
      <c r="BB410" s="44"/>
      <c r="BC410" s="44"/>
      <c r="BD410" s="44"/>
      <c r="BE410" s="44"/>
      <c r="BF410" s="2">
        <f t="shared" si="582"/>
        <v>404</v>
      </c>
    </row>
    <row r="411" spans="1:58" ht="11.25" hidden="1" customHeight="1" outlineLevel="3">
      <c r="A411" s="47"/>
      <c r="B411" s="289" t="s">
        <v>254</v>
      </c>
      <c r="C411" s="51">
        <f t="shared" ref="C411:K411" si="607">C19*C389/C408</f>
        <v>16.742181818181816</v>
      </c>
      <c r="D411" s="51">
        <f t="shared" si="607"/>
        <v>14.994666666666667</v>
      </c>
      <c r="E411" s="51">
        <f t="shared" si="607"/>
        <v>15.295083333333336</v>
      </c>
      <c r="F411" s="51">
        <f t="shared" si="607"/>
        <v>2.8099545454545454</v>
      </c>
      <c r="G411" s="51">
        <f t="shared" si="607"/>
        <v>-4.1229247373469091</v>
      </c>
      <c r="H411" s="51">
        <f t="shared" si="607"/>
        <v>4.4550797177760186</v>
      </c>
      <c r="I411" s="51">
        <f t="shared" si="607"/>
        <v>8.5902828180000004</v>
      </c>
      <c r="J411" s="51">
        <f t="shared" si="607"/>
        <v>12.951805756204834</v>
      </c>
      <c r="K411" s="51">
        <f t="shared" si="607"/>
        <v>13.339026790447438</v>
      </c>
      <c r="L411" s="3"/>
      <c r="M411" s="3"/>
      <c r="N411" s="51">
        <f t="shared" ref="N411:AW411" si="608">N19*N389*4/N408</f>
        <v>6.7030909090909088</v>
      </c>
      <c r="O411" s="51">
        <f t="shared" si="608"/>
        <v>26.398800000000001</v>
      </c>
      <c r="P411" s="51">
        <f t="shared" si="608"/>
        <v>18.237272727272728</v>
      </c>
      <c r="Q411" s="51">
        <f t="shared" si="608"/>
        <v>18.029454545454545</v>
      </c>
      <c r="R411" s="51">
        <f t="shared" si="608"/>
        <v>18.823636363636364</v>
      </c>
      <c r="S411" s="51">
        <f t="shared" si="608"/>
        <v>16.405333333333331</v>
      </c>
      <c r="T411" s="51">
        <f t="shared" si="608"/>
        <v>14.338999999999999</v>
      </c>
      <c r="U411" s="51">
        <f t="shared" si="608"/>
        <v>11.057846153846157</v>
      </c>
      <c r="V411" s="51">
        <f t="shared" si="608"/>
        <v>11.112333333333334</v>
      </c>
      <c r="W411" s="51">
        <f t="shared" si="608"/>
        <v>14.521666666666667</v>
      </c>
      <c r="X411" s="51">
        <f t="shared" si="608"/>
        <v>17.506307692307693</v>
      </c>
      <c r="Y411" s="51">
        <f t="shared" si="608"/>
        <v>15.305692307692311</v>
      </c>
      <c r="Z411" s="51">
        <f t="shared" si="608"/>
        <v>9.7641666666666662</v>
      </c>
      <c r="AA411" s="51">
        <f t="shared" si="608"/>
        <v>2.2378</v>
      </c>
      <c r="AB411" s="51">
        <f t="shared" si="608"/>
        <v>7.0600000000000301E-2</v>
      </c>
      <c r="AC411" s="51">
        <f t="shared" si="608"/>
        <v>-1.6616000000000029</v>
      </c>
      <c r="AD411" s="51">
        <f t="shared" si="608"/>
        <v>-2.4586666666666668</v>
      </c>
      <c r="AE411" s="51">
        <f t="shared" si="608"/>
        <v>-3.824250000000001</v>
      </c>
      <c r="AF411" s="51">
        <f t="shared" si="608"/>
        <v>-5.5137499999999999</v>
      </c>
      <c r="AG411" s="51">
        <f t="shared" si="608"/>
        <v>-5.260284366533865</v>
      </c>
      <c r="AH411" s="51">
        <f t="shared" si="608"/>
        <v>3.7163728967357624E-3</v>
      </c>
      <c r="AI411" s="51">
        <f t="shared" si="608"/>
        <v>5.1426226770076955</v>
      </c>
      <c r="AJ411" s="51">
        <f t="shared" si="608"/>
        <v>4.7236799999999999</v>
      </c>
      <c r="AK411" s="51">
        <f t="shared" ref="AK411" si="609">AK19*AK389*4/AK408</f>
        <v>7.1605733333333337</v>
      </c>
      <c r="AL411" s="51">
        <f t="shared" si="608"/>
        <v>5.4456480000000003</v>
      </c>
      <c r="AM411" s="51">
        <f t="shared" si="608"/>
        <v>7.0974945599999995</v>
      </c>
      <c r="AN411" s="51">
        <f t="shared" si="608"/>
        <v>10.409658688</v>
      </c>
      <c r="AO411" s="51">
        <f t="shared" si="608"/>
        <v>11.710866024000001</v>
      </c>
      <c r="AP411" s="51">
        <f t="shared" si="608"/>
        <v>12.569662865760002</v>
      </c>
      <c r="AQ411" s="51">
        <f t="shared" si="608"/>
        <v>12.8210561230752</v>
      </c>
      <c r="AR411" s="51">
        <f t="shared" si="608"/>
        <v>13.077477245536704</v>
      </c>
      <c r="AS411" s="51">
        <f t="shared" si="608"/>
        <v>13.339026790447438</v>
      </c>
      <c r="AT411" s="51">
        <f t="shared" si="608"/>
        <v>13.339026790447438</v>
      </c>
      <c r="AU411" s="51">
        <f t="shared" si="608"/>
        <v>13.339026790447438</v>
      </c>
      <c r="AV411" s="51">
        <f t="shared" si="608"/>
        <v>13.339026790447438</v>
      </c>
      <c r="AW411" s="51">
        <f t="shared" si="608"/>
        <v>13.339026790447438</v>
      </c>
      <c r="AX411" s="44"/>
      <c r="AY411" s="44"/>
      <c r="AZ411" s="44"/>
      <c r="BA411" s="44"/>
      <c r="BB411" s="44"/>
      <c r="BC411" s="44"/>
      <c r="BD411" s="44"/>
      <c r="BE411" s="44"/>
      <c r="BF411" s="2">
        <f t="shared" si="582"/>
        <v>405</v>
      </c>
    </row>
    <row r="412" spans="1:58" ht="11.25" hidden="1" customHeight="1" outlineLevel="3">
      <c r="A412" s="47"/>
      <c r="B412" s="289" t="s">
        <v>263</v>
      </c>
      <c r="C412" s="200">
        <f t="shared" ref="C412:K412" si="610">C19/C408</f>
        <v>33.484363636363632</v>
      </c>
      <c r="D412" s="200">
        <f t="shared" si="610"/>
        <v>29.989333333333335</v>
      </c>
      <c r="E412" s="200">
        <f t="shared" si="610"/>
        <v>30.590166666666672</v>
      </c>
      <c r="F412" s="200">
        <f t="shared" si="610"/>
        <v>5.6199090909090907</v>
      </c>
      <c r="G412" s="200">
        <f t="shared" si="610"/>
        <v>-8.0792222222222225</v>
      </c>
      <c r="H412" s="200">
        <f t="shared" si="610"/>
        <v>7.0597142857142856</v>
      </c>
      <c r="I412" s="200">
        <f t="shared" si="610"/>
        <v>13.215819720000001</v>
      </c>
      <c r="J412" s="200">
        <f t="shared" si="610"/>
        <v>19.925855009545899</v>
      </c>
      <c r="K412" s="200">
        <f t="shared" si="610"/>
        <v>20.521579677611442</v>
      </c>
      <c r="L412" s="7"/>
      <c r="M412" s="7"/>
      <c r="N412" s="200">
        <f t="shared" ref="N412:AW412" si="611">N19/N408*4</f>
        <v>13.406181818181818</v>
      </c>
      <c r="O412" s="200">
        <f t="shared" si="611"/>
        <v>52.797600000000003</v>
      </c>
      <c r="P412" s="200">
        <f t="shared" si="611"/>
        <v>36.474545454545456</v>
      </c>
      <c r="Q412" s="200">
        <f t="shared" si="611"/>
        <v>36.05890909090909</v>
      </c>
      <c r="R412" s="200">
        <f t="shared" si="611"/>
        <v>37.647272727272728</v>
      </c>
      <c r="S412" s="200">
        <f t="shared" si="611"/>
        <v>32.810666666666663</v>
      </c>
      <c r="T412" s="200">
        <f t="shared" si="611"/>
        <v>28.677999999999997</v>
      </c>
      <c r="U412" s="200">
        <f t="shared" si="611"/>
        <v>22.115692307692314</v>
      </c>
      <c r="V412" s="200">
        <f t="shared" si="611"/>
        <v>22.224666666666668</v>
      </c>
      <c r="W412" s="200">
        <f t="shared" si="611"/>
        <v>29.043333333333333</v>
      </c>
      <c r="X412" s="200">
        <f t="shared" si="611"/>
        <v>35.012615384615387</v>
      </c>
      <c r="Y412" s="200">
        <f t="shared" si="611"/>
        <v>30.611384615384623</v>
      </c>
      <c r="Z412" s="200">
        <f t="shared" si="611"/>
        <v>19.528333333333332</v>
      </c>
      <c r="AA412" s="200">
        <f t="shared" si="611"/>
        <v>4.4756</v>
      </c>
      <c r="AB412" s="200">
        <f t="shared" si="611"/>
        <v>0.1412000000000006</v>
      </c>
      <c r="AC412" s="200">
        <f t="shared" si="611"/>
        <v>-3.3232000000000057</v>
      </c>
      <c r="AD412" s="200">
        <f t="shared" si="611"/>
        <v>-4.9173333333333336</v>
      </c>
      <c r="AE412" s="200">
        <f t="shared" si="611"/>
        <v>-7.6485000000000021</v>
      </c>
      <c r="AF412" s="200">
        <f t="shared" si="611"/>
        <v>-11.0275</v>
      </c>
      <c r="AG412" s="200">
        <f t="shared" si="611"/>
        <v>-9.7188000000000017</v>
      </c>
      <c r="AH412" s="200">
        <f t="shared" si="611"/>
        <v>6.3333333333333332E-3</v>
      </c>
      <c r="AI412" s="200">
        <f t="shared" si="611"/>
        <v>8.067733333333333</v>
      </c>
      <c r="AJ412" s="200">
        <f t="shared" si="611"/>
        <v>7.2671999999999999</v>
      </c>
      <c r="AK412" s="200">
        <f t="shared" ref="AK412" si="612">AK19/AK408*4</f>
        <v>11.016266666666667</v>
      </c>
      <c r="AL412" s="200">
        <f t="shared" si="611"/>
        <v>8.3779200000000014</v>
      </c>
      <c r="AM412" s="200">
        <f t="shared" si="611"/>
        <v>10.919222399999999</v>
      </c>
      <c r="AN412" s="200">
        <f t="shared" si="611"/>
        <v>16.014859520000002</v>
      </c>
      <c r="AO412" s="200">
        <f t="shared" si="611"/>
        <v>18.01671696</v>
      </c>
      <c r="AP412" s="200">
        <f t="shared" si="611"/>
        <v>19.337942870399999</v>
      </c>
      <c r="AQ412" s="200">
        <f t="shared" si="611"/>
        <v>19.724701727808</v>
      </c>
      <c r="AR412" s="200">
        <f t="shared" si="611"/>
        <v>20.119195762364157</v>
      </c>
      <c r="AS412" s="200">
        <f t="shared" si="611"/>
        <v>20.521579677611442</v>
      </c>
      <c r="AT412" s="200">
        <f t="shared" si="611"/>
        <v>20.521579677611442</v>
      </c>
      <c r="AU412" s="200">
        <f t="shared" si="611"/>
        <v>20.521579677611442</v>
      </c>
      <c r="AV412" s="200">
        <f t="shared" si="611"/>
        <v>20.521579677611442</v>
      </c>
      <c r="AW412" s="200">
        <f t="shared" si="611"/>
        <v>20.521579677611442</v>
      </c>
      <c r="AX412" s="44"/>
      <c r="AY412" s="44"/>
      <c r="AZ412" s="44"/>
      <c r="BA412" s="44"/>
      <c r="BB412" s="44"/>
      <c r="BC412" s="44"/>
      <c r="BD412" s="44"/>
      <c r="BE412" s="44"/>
      <c r="BF412" s="2">
        <f t="shared" si="582"/>
        <v>406</v>
      </c>
    </row>
    <row r="413" spans="1:58" ht="11.25" hidden="1" customHeight="1" outlineLevel="3">
      <c r="A413" s="47"/>
      <c r="B413" s="185"/>
      <c r="C413" s="45"/>
      <c r="D413" s="45"/>
      <c r="E413" s="45"/>
      <c r="F413" s="45"/>
      <c r="G413" s="45"/>
      <c r="H413" s="45"/>
      <c r="I413" s="45"/>
      <c r="J413" s="45"/>
      <c r="K413" s="45"/>
      <c r="L413" s="3"/>
      <c r="M413" s="3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  <c r="AG413" s="45"/>
      <c r="AH413" s="45"/>
      <c r="AI413" s="45"/>
      <c r="AJ413" s="45"/>
      <c r="AK413" s="45"/>
      <c r="AL413" s="200"/>
      <c r="AM413" s="45"/>
      <c r="AN413" s="45"/>
      <c r="AO413" s="45"/>
      <c r="AP413" s="45"/>
      <c r="AQ413" s="45"/>
      <c r="AR413" s="45"/>
      <c r="AS413" s="45"/>
      <c r="AT413" s="45"/>
      <c r="AU413" s="45"/>
      <c r="AV413" s="45"/>
      <c r="AW413" s="45"/>
      <c r="AX413" s="44"/>
      <c r="AY413" s="44"/>
      <c r="AZ413" s="44"/>
      <c r="BA413" s="44"/>
      <c r="BB413" s="44"/>
      <c r="BC413" s="44"/>
      <c r="BD413" s="44"/>
      <c r="BE413" s="44"/>
      <c r="BF413" s="2">
        <f t="shared" si="582"/>
        <v>407</v>
      </c>
    </row>
    <row r="414" spans="1:58" ht="11.25" hidden="1" customHeight="1" outlineLevel="2" collapsed="1">
      <c r="A414" s="50" t="s">
        <v>5</v>
      </c>
      <c r="B414" s="183" t="s">
        <v>7</v>
      </c>
      <c r="C414" s="48"/>
      <c r="D414" s="48"/>
      <c r="E414" s="48"/>
      <c r="F414" s="48"/>
      <c r="G414" s="48"/>
      <c r="H414" s="48"/>
      <c r="I414" s="48"/>
      <c r="J414" s="48"/>
      <c r="K414" s="48"/>
      <c r="L414" s="49"/>
      <c r="M414" s="3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  <c r="AB414" s="48"/>
      <c r="AC414" s="48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8"/>
      <c r="AP414" s="48"/>
      <c r="AQ414" s="48"/>
      <c r="AR414" s="48"/>
      <c r="AS414" s="48"/>
      <c r="AT414" s="48"/>
      <c r="AU414" s="48"/>
      <c r="AV414" s="48"/>
      <c r="AW414" s="48"/>
      <c r="AX414" s="5"/>
      <c r="AY414" s="5"/>
      <c r="AZ414" s="5"/>
      <c r="BA414" s="197"/>
      <c r="BB414" s="197"/>
      <c r="BC414" s="197"/>
      <c r="BD414" s="5"/>
      <c r="BE414" s="5"/>
      <c r="BF414" s="2">
        <f t="shared" si="582"/>
        <v>408</v>
      </c>
    </row>
    <row r="415" spans="1:58" ht="11.25" hidden="1" customHeight="1" outlineLevel="3">
      <c r="A415" s="50"/>
      <c r="B415" s="196" t="s">
        <v>28</v>
      </c>
      <c r="C415" s="48"/>
      <c r="D415" s="48"/>
      <c r="E415" s="48"/>
      <c r="F415" s="48"/>
      <c r="G415" s="48"/>
      <c r="H415" s="48"/>
      <c r="I415" s="48"/>
      <c r="J415" s="48"/>
      <c r="K415" s="48"/>
      <c r="L415" s="49"/>
      <c r="M415" s="3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  <c r="AB415" s="48"/>
      <c r="AC415" s="48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8"/>
      <c r="AP415" s="48"/>
      <c r="AQ415" s="48"/>
      <c r="AR415" s="48"/>
      <c r="AS415" s="48"/>
      <c r="AT415" s="48"/>
      <c r="AU415" s="48"/>
      <c r="AV415" s="48"/>
      <c r="AW415" s="48"/>
      <c r="AX415" s="5"/>
      <c r="AY415" s="5"/>
      <c r="AZ415" s="5"/>
      <c r="BA415" s="5"/>
      <c r="BC415" s="5"/>
      <c r="BD415" s="5"/>
      <c r="BE415" s="5"/>
      <c r="BF415" s="2">
        <f t="shared" si="582"/>
        <v>409</v>
      </c>
    </row>
    <row r="416" spans="1:58" ht="11.25" hidden="1" customHeight="1" outlineLevel="3">
      <c r="A416" s="52"/>
      <c r="B416" s="188" t="s">
        <v>27</v>
      </c>
      <c r="C416" s="51">
        <f t="shared" ref="C416:K417" si="613">SUMIFS($N416:$AX416,$N$4:$AX$4,C$4)</f>
        <v>1510.9899999999998</v>
      </c>
      <c r="D416" s="51">
        <f t="shared" si="613"/>
        <v>1445.5549999999998</v>
      </c>
      <c r="E416" s="51">
        <f t="shared" si="613"/>
        <v>1356.057</v>
      </c>
      <c r="F416" s="51">
        <f t="shared" si="613"/>
        <v>759.83499999999992</v>
      </c>
      <c r="G416" s="51">
        <f t="shared" si="613"/>
        <v>348.37599999999998</v>
      </c>
      <c r="H416" s="51">
        <f t="shared" si="613"/>
        <v>372.78100000000001</v>
      </c>
      <c r="I416" s="51">
        <f t="shared" si="613"/>
        <v>472.78601456750005</v>
      </c>
      <c r="J416" s="51">
        <f t="shared" si="613"/>
        <v>542.62522734022673</v>
      </c>
      <c r="K416" s="51">
        <f t="shared" si="613"/>
        <v>591.91074193825318</v>
      </c>
      <c r="L416" s="7"/>
      <c r="M416" s="7"/>
      <c r="N416" s="51">
        <f t="shared" ref="N416:AW416" si="614">+N13</f>
        <v>354.041</v>
      </c>
      <c r="O416" s="51">
        <f t="shared" si="614"/>
        <v>413.74</v>
      </c>
      <c r="P416" s="51">
        <f t="shared" si="614"/>
        <v>373.86799999999999</v>
      </c>
      <c r="Q416" s="51">
        <f t="shared" si="614"/>
        <v>369.34100000000001</v>
      </c>
      <c r="R416" s="51">
        <f t="shared" si="614"/>
        <v>367.39699999999999</v>
      </c>
      <c r="S416" s="51">
        <f t="shared" si="614"/>
        <v>369.06599999999997</v>
      </c>
      <c r="T416" s="51">
        <f t="shared" si="614"/>
        <v>359.72199999999998</v>
      </c>
      <c r="U416" s="51">
        <f t="shared" si="614"/>
        <v>349.37</v>
      </c>
      <c r="V416" s="51">
        <f t="shared" si="614"/>
        <v>321.23500000000001</v>
      </c>
      <c r="W416" s="51">
        <f t="shared" si="614"/>
        <v>343.87599999999998</v>
      </c>
      <c r="X416" s="51">
        <f t="shared" si="614"/>
        <v>348.79300000000001</v>
      </c>
      <c r="Y416" s="51">
        <f t="shared" si="614"/>
        <v>342.15300000000002</v>
      </c>
      <c r="Z416" s="51">
        <f t="shared" si="614"/>
        <v>251.46899999999999</v>
      </c>
      <c r="AA416" s="51">
        <f t="shared" si="614"/>
        <v>208.744</v>
      </c>
      <c r="AB416" s="51">
        <f t="shared" si="614"/>
        <v>164.001</v>
      </c>
      <c r="AC416" s="51">
        <f t="shared" si="614"/>
        <v>135.62100000000001</v>
      </c>
      <c r="AD416" s="51">
        <f t="shared" si="614"/>
        <v>104.91599999999998</v>
      </c>
      <c r="AE416" s="51">
        <f t="shared" si="614"/>
        <v>84.975999999999999</v>
      </c>
      <c r="AF416" s="51">
        <f t="shared" si="614"/>
        <v>77.510000000000005</v>
      </c>
      <c r="AG416" s="51">
        <f t="shared" si="614"/>
        <v>80.974000000000004</v>
      </c>
      <c r="AH416" s="51">
        <f t="shared" si="614"/>
        <v>68.605000000000004</v>
      </c>
      <c r="AI416" s="51">
        <f t="shared" si="614"/>
        <v>88.605999999999995</v>
      </c>
      <c r="AJ416" s="51">
        <f t="shared" si="614"/>
        <v>97.332999999999998</v>
      </c>
      <c r="AK416" s="51">
        <f t="shared" si="614"/>
        <v>118.23699999999999</v>
      </c>
      <c r="AL416" s="51">
        <f t="shared" si="614"/>
        <v>109.66040000000001</v>
      </c>
      <c r="AM416" s="51">
        <f t="shared" si="614"/>
        <v>117.49932500000001</v>
      </c>
      <c r="AN416" s="51">
        <f t="shared" si="614"/>
        <v>121.28478025</v>
      </c>
      <c r="AO416" s="51">
        <f t="shared" si="614"/>
        <v>124.34150931750003</v>
      </c>
      <c r="AP416" s="51">
        <f t="shared" si="614"/>
        <v>128.69640533062503</v>
      </c>
      <c r="AQ416" s="51">
        <f t="shared" si="614"/>
        <v>133.2188032660238</v>
      </c>
      <c r="AR416" s="51">
        <f t="shared" si="614"/>
        <v>137.91568338356251</v>
      </c>
      <c r="AS416" s="51">
        <f t="shared" si="614"/>
        <v>142.79433536001537</v>
      </c>
      <c r="AT416" s="51">
        <f t="shared" si="614"/>
        <v>144.79573864585637</v>
      </c>
      <c r="AU416" s="51">
        <f t="shared" si="614"/>
        <v>146.86759989965543</v>
      </c>
      <c r="AV416" s="51">
        <f t="shared" si="614"/>
        <v>149.01284977588378</v>
      </c>
      <c r="AW416" s="51">
        <f t="shared" si="614"/>
        <v>151.23455361685765</v>
      </c>
      <c r="AX416" s="53"/>
      <c r="AY416" s="53"/>
      <c r="AZ416" s="53"/>
      <c r="BA416" s="53"/>
      <c r="BB416" s="53"/>
      <c r="BC416" s="53"/>
      <c r="BD416" s="53"/>
      <c r="BE416" s="53"/>
      <c r="BF416" s="2">
        <f t="shared" si="582"/>
        <v>410</v>
      </c>
    </row>
    <row r="417" spans="1:58" ht="11.25" hidden="1" customHeight="1" outlineLevel="3">
      <c r="A417" s="52"/>
      <c r="B417" s="188" t="s">
        <v>26</v>
      </c>
      <c r="C417" s="51">
        <f t="shared" si="613"/>
        <v>-929.55200000000002</v>
      </c>
      <c r="D417" s="51">
        <f t="shared" si="613"/>
        <v>-1011.9329999999999</v>
      </c>
      <c r="E417" s="51">
        <f t="shared" si="613"/>
        <v>-945.20100000000002</v>
      </c>
      <c r="F417" s="51">
        <f t="shared" si="613"/>
        <v>-594.28599999999994</v>
      </c>
      <c r="G417" s="51">
        <f t="shared" si="613"/>
        <v>-276.22300000000007</v>
      </c>
      <c r="H417" s="51">
        <f t="shared" si="613"/>
        <v>-305.25599999999997</v>
      </c>
      <c r="I417" s="51">
        <f t="shared" si="613"/>
        <v>-361.77454865236427</v>
      </c>
      <c r="J417" s="51">
        <f t="shared" si="613"/>
        <v>-406.33240351346882</v>
      </c>
      <c r="K417" s="51">
        <f t="shared" si="613"/>
        <v>-439.42164255014779</v>
      </c>
      <c r="L417" s="7"/>
      <c r="M417" s="7"/>
      <c r="N417" s="40">
        <v>-198.01499999999999</v>
      </c>
      <c r="O417" s="40">
        <v>-244.91800000000001</v>
      </c>
      <c r="P417" s="40">
        <v>-237.506</v>
      </c>
      <c r="Q417" s="40">
        <f>-929.552-P417-O417-N417</f>
        <v>-249.11300000000006</v>
      </c>
      <c r="R417" s="40">
        <v>-253.05500000000001</v>
      </c>
      <c r="S417" s="40">
        <v>-252.32400000000001</v>
      </c>
      <c r="T417" s="40">
        <v>-251.57499999999999</v>
      </c>
      <c r="U417" s="40">
        <f>-1011.933-T417-S417-R417</f>
        <v>-254.97899999999993</v>
      </c>
      <c r="V417" s="40">
        <v>-227.22499999999999</v>
      </c>
      <c r="W417" s="40">
        <v>-231.119</v>
      </c>
      <c r="X417" s="40">
        <v>-248.56700000000001</v>
      </c>
      <c r="Y417" s="40">
        <f>-945.201-X417-W417-V417</f>
        <v>-238.29</v>
      </c>
      <c r="Z417" s="40">
        <v>-191.31399999999999</v>
      </c>
      <c r="AA417" s="40">
        <v>-156.61500000000001</v>
      </c>
      <c r="AB417" s="40">
        <v>-130.10300000000001</v>
      </c>
      <c r="AC417" s="40">
        <f>-594.286-AB417-AA417-Z417</f>
        <v>-116.25399999999993</v>
      </c>
      <c r="AD417" s="191">
        <v>-73.873999999999995</v>
      </c>
      <c r="AE417" s="191">
        <v>-64.31</v>
      </c>
      <c r="AF417" s="191">
        <v>-62.817999999999998</v>
      </c>
      <c r="AG417" s="191">
        <f>-276.223-AF417-AE417-AD417</f>
        <v>-75.221000000000032</v>
      </c>
      <c r="AH417" s="40">
        <v>-61.180999999999997</v>
      </c>
      <c r="AI417" s="40">
        <v>-71.522999999999996</v>
      </c>
      <c r="AJ417" s="40">
        <v>-78.073999999999998</v>
      </c>
      <c r="AK417" s="40">
        <f>-305.256-AJ417-AI417-AH417</f>
        <v>-94.477999999999966</v>
      </c>
      <c r="AL417" s="68">
        <f t="shared" ref="AL417:AW417" si="615">+AL418-AL416</f>
        <v>-85.655625849479222</v>
      </c>
      <c r="AM417" s="68">
        <f t="shared" si="615"/>
        <v>-89.676499487974013</v>
      </c>
      <c r="AN417" s="68">
        <f t="shared" si="615"/>
        <v>-92.26404714160374</v>
      </c>
      <c r="AO417" s="68">
        <f t="shared" si="615"/>
        <v>-94.178376173307299</v>
      </c>
      <c r="AP417" s="68">
        <f t="shared" si="615"/>
        <v>-97.043678939414576</v>
      </c>
      <c r="AQ417" s="68">
        <f t="shared" si="615"/>
        <v>-100.00388490377287</v>
      </c>
      <c r="AR417" s="68">
        <f t="shared" si="615"/>
        <v>-103.0623376698382</v>
      </c>
      <c r="AS417" s="68">
        <f t="shared" si="615"/>
        <v>-106.22250200044316</v>
      </c>
      <c r="AT417" s="68">
        <f t="shared" si="615"/>
        <v>-107.62064113229661</v>
      </c>
      <c r="AU417" s="68">
        <f t="shared" si="615"/>
        <v>-109.07260846369219</v>
      </c>
      <c r="AV417" s="68">
        <f t="shared" si="615"/>
        <v>-110.58077382946598</v>
      </c>
      <c r="AW417" s="68">
        <f t="shared" si="615"/>
        <v>-112.14761912469308</v>
      </c>
      <c r="AX417" s="130"/>
      <c r="AY417" s="130"/>
      <c r="AZ417" s="130"/>
      <c r="BA417" s="130"/>
      <c r="BB417" s="130"/>
      <c r="BC417" s="130"/>
      <c r="BD417" s="130"/>
      <c r="BE417" s="130"/>
      <c r="BF417" s="2">
        <f t="shared" si="582"/>
        <v>411</v>
      </c>
    </row>
    <row r="418" spans="1:58" ht="11.25" hidden="1" customHeight="1" outlineLevel="3">
      <c r="A418" s="52"/>
      <c r="B418" s="189" t="s">
        <v>166</v>
      </c>
      <c r="C418" s="38">
        <f t="shared" ref="C418:J418" si="616">SUM(C416:C417)</f>
        <v>581.43799999999976</v>
      </c>
      <c r="D418" s="38">
        <f t="shared" si="616"/>
        <v>433.62199999999996</v>
      </c>
      <c r="E418" s="38">
        <f t="shared" si="616"/>
        <v>410.85599999999999</v>
      </c>
      <c r="F418" s="38">
        <f t="shared" si="616"/>
        <v>165.54899999999998</v>
      </c>
      <c r="G418" s="38">
        <f t="shared" si="616"/>
        <v>72.152999999999906</v>
      </c>
      <c r="H418" s="38">
        <f t="shared" si="616"/>
        <v>67.525000000000034</v>
      </c>
      <c r="I418" s="38">
        <f t="shared" si="616"/>
        <v>111.01146591513577</v>
      </c>
      <c r="J418" s="38">
        <f t="shared" si="616"/>
        <v>136.29282382675791</v>
      </c>
      <c r="K418" s="38">
        <f>SUM(K416:K417)</f>
        <v>152.48909938810539</v>
      </c>
      <c r="L418" s="27"/>
      <c r="M418" s="27"/>
      <c r="N418" s="38">
        <f t="shared" ref="N418:AK418" si="617">SUM(N416:N417)</f>
        <v>156.02600000000001</v>
      </c>
      <c r="O418" s="38">
        <f t="shared" si="617"/>
        <v>168.822</v>
      </c>
      <c r="P418" s="38">
        <f t="shared" si="617"/>
        <v>136.36199999999999</v>
      </c>
      <c r="Q418" s="38">
        <f t="shared" si="617"/>
        <v>120.22799999999995</v>
      </c>
      <c r="R418" s="38">
        <f t="shared" si="617"/>
        <v>114.34199999999998</v>
      </c>
      <c r="S418" s="38">
        <f t="shared" si="617"/>
        <v>116.74199999999996</v>
      </c>
      <c r="T418" s="38">
        <f t="shared" si="617"/>
        <v>108.14699999999999</v>
      </c>
      <c r="U418" s="38">
        <f t="shared" si="617"/>
        <v>94.391000000000076</v>
      </c>
      <c r="V418" s="38">
        <f t="shared" si="617"/>
        <v>94.010000000000019</v>
      </c>
      <c r="W418" s="38">
        <f t="shared" si="617"/>
        <v>112.75699999999998</v>
      </c>
      <c r="X418" s="38">
        <f t="shared" si="617"/>
        <v>100.226</v>
      </c>
      <c r="Y418" s="38">
        <f t="shared" si="617"/>
        <v>103.86300000000003</v>
      </c>
      <c r="Z418" s="38">
        <f t="shared" si="617"/>
        <v>60.155000000000001</v>
      </c>
      <c r="AA418" s="38">
        <f t="shared" si="617"/>
        <v>52.128999999999991</v>
      </c>
      <c r="AB418" s="38">
        <f t="shared" si="617"/>
        <v>33.897999999999996</v>
      </c>
      <c r="AC418" s="38">
        <f t="shared" si="617"/>
        <v>19.367000000000075</v>
      </c>
      <c r="AD418" s="38">
        <f t="shared" si="617"/>
        <v>31.041999999999987</v>
      </c>
      <c r="AE418" s="38">
        <f t="shared" si="617"/>
        <v>20.665999999999997</v>
      </c>
      <c r="AF418" s="38">
        <f t="shared" si="617"/>
        <v>14.692000000000007</v>
      </c>
      <c r="AG418" s="38">
        <f t="shared" si="617"/>
        <v>5.7529999999999717</v>
      </c>
      <c r="AH418" s="38">
        <f t="shared" si="617"/>
        <v>7.4240000000000066</v>
      </c>
      <c r="AI418" s="38">
        <f t="shared" si="617"/>
        <v>17.082999999999998</v>
      </c>
      <c r="AJ418" s="38">
        <f t="shared" si="617"/>
        <v>19.259</v>
      </c>
      <c r="AK418" s="38">
        <f t="shared" si="617"/>
        <v>23.759000000000029</v>
      </c>
      <c r="AL418" s="273">
        <f t="shared" ref="AL418:AW418" si="618">AL420-AL419</f>
        <v>24.004774150520788</v>
      </c>
      <c r="AM418" s="273">
        <f t="shared" si="618"/>
        <v>27.822825512025997</v>
      </c>
      <c r="AN418" s="273">
        <f t="shared" si="618"/>
        <v>29.020733108396254</v>
      </c>
      <c r="AO418" s="273">
        <f t="shared" si="618"/>
        <v>30.16313314419272</v>
      </c>
      <c r="AP418" s="273">
        <f t="shared" si="618"/>
        <v>31.652726391210454</v>
      </c>
      <c r="AQ418" s="273">
        <f t="shared" si="618"/>
        <v>33.214918362250927</v>
      </c>
      <c r="AR418" s="273">
        <f t="shared" si="618"/>
        <v>34.853345713724309</v>
      </c>
      <c r="AS418" s="273">
        <f t="shared" si="618"/>
        <v>36.57183335957221</v>
      </c>
      <c r="AT418" s="273">
        <f t="shared" si="618"/>
        <v>37.175097513559756</v>
      </c>
      <c r="AU418" s="273">
        <f t="shared" si="618"/>
        <v>37.79499143596324</v>
      </c>
      <c r="AV418" s="273">
        <f t="shared" si="618"/>
        <v>38.432075946417797</v>
      </c>
      <c r="AW418" s="273">
        <f t="shared" si="618"/>
        <v>39.08693449216458</v>
      </c>
      <c r="AX418" s="192"/>
      <c r="AY418" s="192"/>
      <c r="AZ418" s="192"/>
      <c r="BA418" s="192"/>
      <c r="BB418" s="192"/>
      <c r="BC418" s="192"/>
      <c r="BD418" s="192"/>
      <c r="BE418" s="192"/>
      <c r="BF418" s="2">
        <f t="shared" si="582"/>
        <v>412</v>
      </c>
    </row>
    <row r="419" spans="1:58" ht="11.25" hidden="1" customHeight="1" outlineLevel="3">
      <c r="A419" s="52"/>
      <c r="B419" s="188" t="s">
        <v>25</v>
      </c>
      <c r="C419" s="51">
        <f t="shared" ref="C419:K419" si="619">SUMIFS($N419:$AX419,$N$4:$AX$4,C$4)</f>
        <v>-211.29300000000001</v>
      </c>
      <c r="D419" s="51">
        <f t="shared" si="619"/>
        <v>-190.93100000000001</v>
      </c>
      <c r="E419" s="51">
        <f t="shared" si="619"/>
        <v>-190.17200000000003</v>
      </c>
      <c r="F419" s="51">
        <f t="shared" si="619"/>
        <v>-139.304</v>
      </c>
      <c r="G419" s="51">
        <f t="shared" si="619"/>
        <v>-76.816999999999993</v>
      </c>
      <c r="H419" s="51">
        <f t="shared" si="619"/>
        <v>-48.655000000000001</v>
      </c>
      <c r="I419" s="51">
        <f t="shared" si="619"/>
        <v>-55.168815172610749</v>
      </c>
      <c r="J419" s="51">
        <f t="shared" si="619"/>
        <v>-58.851252255261315</v>
      </c>
      <c r="K419" s="51">
        <f t="shared" si="619"/>
        <v>-63.702488097367379</v>
      </c>
      <c r="L419" s="7"/>
      <c r="M419" s="7"/>
      <c r="N419" s="40">
        <v>-54.542999999999999</v>
      </c>
      <c r="O419" s="40">
        <v>-52.271999999999998</v>
      </c>
      <c r="P419" s="40">
        <v>-52.83</v>
      </c>
      <c r="Q419" s="40">
        <f>-211.293-P419-O419-N419</f>
        <v>-51.648000000000032</v>
      </c>
      <c r="R419" s="40">
        <v>-48.771000000000001</v>
      </c>
      <c r="S419" s="40">
        <v>-47.843000000000004</v>
      </c>
      <c r="T419" s="40">
        <v>-46.734999999999999</v>
      </c>
      <c r="U419" s="40">
        <f>-190.931-T419-S419-R419</f>
        <v>-47.582000000000022</v>
      </c>
      <c r="V419" s="40">
        <v>-47.188000000000002</v>
      </c>
      <c r="W419" s="40">
        <v>-45.243000000000002</v>
      </c>
      <c r="X419" s="40">
        <v>-45.627000000000002</v>
      </c>
      <c r="Y419" s="40">
        <f>-190.172-X419-W419-V419</f>
        <v>-52.11399999999999</v>
      </c>
      <c r="Z419" s="40">
        <v>-43.682000000000002</v>
      </c>
      <c r="AA419" s="40">
        <v>-36.435000000000002</v>
      </c>
      <c r="AB419" s="40">
        <v>-35.268000000000001</v>
      </c>
      <c r="AC419" s="40">
        <f>-139.304-AB419-AA419-Z419</f>
        <v>-23.918999999999997</v>
      </c>
      <c r="AD419" s="191">
        <v>-24.431000000000001</v>
      </c>
      <c r="AE419" s="191">
        <v>-16.414999999999999</v>
      </c>
      <c r="AF419" s="191">
        <v>-16.975000000000001</v>
      </c>
      <c r="AG419" s="191">
        <f>-76.817-AF419-AE419-AD419</f>
        <v>-18.995999999999992</v>
      </c>
      <c r="AH419" s="338">
        <f t="shared" ref="AH419:AK419" si="620">-48.655/4</f>
        <v>-12.16375</v>
      </c>
      <c r="AI419" s="338">
        <f t="shared" si="620"/>
        <v>-12.16375</v>
      </c>
      <c r="AJ419" s="338">
        <f t="shared" si="620"/>
        <v>-12.16375</v>
      </c>
      <c r="AK419" s="338">
        <f t="shared" si="620"/>
        <v>-12.16375</v>
      </c>
      <c r="AL419" s="40">
        <f t="shared" ref="AL419:AW419" si="621">+AK419/AK$147*AL$147</f>
        <v>-13.587036150520788</v>
      </c>
      <c r="AM419" s="40">
        <f t="shared" si="621"/>
        <v>-13.722906512025995</v>
      </c>
      <c r="AN419" s="40">
        <f t="shared" si="621"/>
        <v>-13.860135577146254</v>
      </c>
      <c r="AO419" s="40">
        <f t="shared" si="621"/>
        <v>-13.998736932917717</v>
      </c>
      <c r="AP419" s="40">
        <f t="shared" si="621"/>
        <v>-14.278711671576072</v>
      </c>
      <c r="AQ419" s="40">
        <f t="shared" si="621"/>
        <v>-14.564285905007594</v>
      </c>
      <c r="AR419" s="40">
        <f t="shared" si="621"/>
        <v>-14.855571623107746</v>
      </c>
      <c r="AS419" s="40">
        <f t="shared" si="621"/>
        <v>-15.152683055569902</v>
      </c>
      <c r="AT419" s="40">
        <f t="shared" si="621"/>
        <v>-15.455736716681299</v>
      </c>
      <c r="AU419" s="40">
        <f t="shared" si="621"/>
        <v>-15.764851451014927</v>
      </c>
      <c r="AV419" s="40">
        <f t="shared" si="621"/>
        <v>-16.080148480035223</v>
      </c>
      <c r="AW419" s="40">
        <f t="shared" si="621"/>
        <v>-16.401751449635928</v>
      </c>
      <c r="AX419" s="129"/>
      <c r="AY419" s="129"/>
      <c r="AZ419" s="129"/>
      <c r="BA419" s="129"/>
      <c r="BB419" s="129"/>
      <c r="BC419" s="129"/>
      <c r="BD419" s="129"/>
      <c r="BE419" s="129"/>
      <c r="BF419" s="2">
        <f t="shared" si="582"/>
        <v>413</v>
      </c>
    </row>
    <row r="420" spans="1:58" ht="11.25" hidden="1" customHeight="1" outlineLevel="3">
      <c r="A420" s="41"/>
      <c r="B420" s="189" t="s">
        <v>24</v>
      </c>
      <c r="C420" s="38">
        <f t="shared" ref="C420:J420" si="622">SUM(C418:C419)</f>
        <v>370.14499999999975</v>
      </c>
      <c r="D420" s="38">
        <f t="shared" si="622"/>
        <v>242.69099999999995</v>
      </c>
      <c r="E420" s="38">
        <f t="shared" si="622"/>
        <v>220.68399999999997</v>
      </c>
      <c r="F420" s="38">
        <f t="shared" si="622"/>
        <v>26.244999999999976</v>
      </c>
      <c r="G420" s="38">
        <f t="shared" si="622"/>
        <v>-4.6640000000000867</v>
      </c>
      <c r="H420" s="38">
        <f t="shared" si="622"/>
        <v>18.870000000000033</v>
      </c>
      <c r="I420" s="38">
        <f t="shared" si="622"/>
        <v>55.842650742525024</v>
      </c>
      <c r="J420" s="38">
        <f t="shared" si="622"/>
        <v>77.441571571496596</v>
      </c>
      <c r="K420" s="38">
        <f>SUM(K418:K419)</f>
        <v>88.786611290738009</v>
      </c>
      <c r="L420" s="7"/>
      <c r="M420" s="7"/>
      <c r="N420" s="38">
        <f t="shared" ref="N420:AI420" si="623">SUM(N418:N419)</f>
        <v>101.483</v>
      </c>
      <c r="O420" s="38">
        <f t="shared" si="623"/>
        <v>116.55000000000001</v>
      </c>
      <c r="P420" s="38">
        <f t="shared" si="623"/>
        <v>83.531999999999996</v>
      </c>
      <c r="Q420" s="38">
        <f t="shared" si="623"/>
        <v>68.579999999999927</v>
      </c>
      <c r="R420" s="38">
        <f t="shared" si="623"/>
        <v>65.570999999999984</v>
      </c>
      <c r="S420" s="38">
        <f t="shared" si="623"/>
        <v>68.898999999999958</v>
      </c>
      <c r="T420" s="38">
        <f t="shared" si="623"/>
        <v>61.411999999999992</v>
      </c>
      <c r="U420" s="38">
        <f t="shared" si="623"/>
        <v>46.809000000000054</v>
      </c>
      <c r="V420" s="38">
        <f t="shared" si="623"/>
        <v>46.822000000000017</v>
      </c>
      <c r="W420" s="38">
        <f t="shared" si="623"/>
        <v>67.513999999999982</v>
      </c>
      <c r="X420" s="38">
        <f t="shared" si="623"/>
        <v>54.598999999999997</v>
      </c>
      <c r="Y420" s="38">
        <f t="shared" si="623"/>
        <v>51.749000000000038</v>
      </c>
      <c r="Z420" s="38">
        <f t="shared" si="623"/>
        <v>16.472999999999999</v>
      </c>
      <c r="AA420" s="38">
        <f t="shared" si="623"/>
        <v>15.693999999999988</v>
      </c>
      <c r="AB420" s="38">
        <f t="shared" si="623"/>
        <v>-1.3700000000000045</v>
      </c>
      <c r="AC420" s="38">
        <f t="shared" si="623"/>
        <v>-4.5519999999999214</v>
      </c>
      <c r="AD420" s="38">
        <f t="shared" si="623"/>
        <v>6.6109999999999864</v>
      </c>
      <c r="AE420" s="38">
        <f t="shared" si="623"/>
        <v>4.2509999999999977</v>
      </c>
      <c r="AF420" s="38">
        <f t="shared" si="623"/>
        <v>-2.2829999999999941</v>
      </c>
      <c r="AG420" s="38">
        <f t="shared" si="623"/>
        <v>-13.24300000000002</v>
      </c>
      <c r="AH420" s="38">
        <f t="shared" si="623"/>
        <v>-4.7397499999999937</v>
      </c>
      <c r="AI420" s="38">
        <f t="shared" si="623"/>
        <v>4.9192499999999981</v>
      </c>
      <c r="AJ420" s="38">
        <f>SUM(AJ418:AJ419)</f>
        <v>7.0952500000000001</v>
      </c>
      <c r="AK420" s="38">
        <f>SUM(AK418:AK419)</f>
        <v>11.595250000000028</v>
      </c>
      <c r="AL420" s="38">
        <f t="shared" ref="AL420:AW420" si="624">AL20</f>
        <v>10.417738000000002</v>
      </c>
      <c r="AM420" s="38">
        <f t="shared" si="624"/>
        <v>14.099919000000002</v>
      </c>
      <c r="AN420" s="38">
        <f t="shared" si="624"/>
        <v>15.16059753125</v>
      </c>
      <c r="AO420" s="38">
        <f t="shared" si="624"/>
        <v>16.164396211275005</v>
      </c>
      <c r="AP420" s="38">
        <f t="shared" si="624"/>
        <v>17.374014719634381</v>
      </c>
      <c r="AQ420" s="38">
        <f t="shared" si="624"/>
        <v>18.650632457243333</v>
      </c>
      <c r="AR420" s="38">
        <f t="shared" si="624"/>
        <v>19.997774090616566</v>
      </c>
      <c r="AS420" s="38">
        <f t="shared" si="624"/>
        <v>21.419150304002308</v>
      </c>
      <c r="AT420" s="38">
        <f t="shared" si="624"/>
        <v>21.719360796878458</v>
      </c>
      <c r="AU420" s="38">
        <f t="shared" si="624"/>
        <v>22.030139984948317</v>
      </c>
      <c r="AV420" s="38">
        <f t="shared" si="624"/>
        <v>22.35192746638257</v>
      </c>
      <c r="AW420" s="38">
        <f t="shared" si="624"/>
        <v>22.685183042528653</v>
      </c>
      <c r="AX420" s="39"/>
      <c r="AY420" s="39"/>
      <c r="AZ420" s="39"/>
      <c r="BA420" s="39"/>
      <c r="BB420" s="39"/>
      <c r="BC420" s="39"/>
      <c r="BD420" s="39"/>
      <c r="BE420" s="39"/>
      <c r="BF420" s="2">
        <f t="shared" si="582"/>
        <v>414</v>
      </c>
    </row>
    <row r="421" spans="1:58" ht="11.25" hidden="1" customHeight="1" outlineLevel="3">
      <c r="A421" s="52"/>
      <c r="B421" s="188" t="s">
        <v>23</v>
      </c>
      <c r="C421" s="51">
        <f t="shared" ref="C421:K421" si="625">SUMIFS($N421:$AX421,$N$4:$AX$4,C$4)</f>
        <v>-135.91</v>
      </c>
      <c r="D421" s="51">
        <f t="shared" si="625"/>
        <v>-178.44200000000001</v>
      </c>
      <c r="E421" s="51">
        <f t="shared" si="625"/>
        <v>-165.14400000000001</v>
      </c>
      <c r="F421" s="51">
        <f t="shared" si="625"/>
        <v>-130.267</v>
      </c>
      <c r="G421" s="51">
        <f t="shared" si="625"/>
        <v>-95.415999999999997</v>
      </c>
      <c r="H421" s="51">
        <f t="shared" si="625"/>
        <v>-78.998999999999995</v>
      </c>
      <c r="I421" s="51">
        <f t="shared" si="625"/>
        <v>-72.849313418263804</v>
      </c>
      <c r="J421" s="51">
        <f t="shared" si="625"/>
        <v>-65.702545938170843</v>
      </c>
      <c r="K421" s="51">
        <f t="shared" si="625"/>
        <v>-60.53065093115395</v>
      </c>
      <c r="L421" s="7"/>
      <c r="M421" s="7"/>
      <c r="N421" s="40">
        <v>-27.721</v>
      </c>
      <c r="O421" s="40">
        <v>-37.115000000000002</v>
      </c>
      <c r="P421" s="40">
        <v>-34.509</v>
      </c>
      <c r="Q421" s="40">
        <f>-135.91-P421-O421-N421</f>
        <v>-36.564999999999998</v>
      </c>
      <c r="R421" s="40">
        <v>-41.877000000000002</v>
      </c>
      <c r="S421" s="40">
        <v>-45.930999999999997</v>
      </c>
      <c r="T421" s="40">
        <v>-45.554000000000002</v>
      </c>
      <c r="U421" s="40">
        <f>-178.442-T421-S421-R421</f>
        <v>-45.080000000000005</v>
      </c>
      <c r="V421" s="40">
        <v>-41.808</v>
      </c>
      <c r="W421" s="40">
        <v>-40.18</v>
      </c>
      <c r="X421" s="40">
        <v>-41.225000000000001</v>
      </c>
      <c r="Y421" s="40">
        <f>-165.144-X421-W421-V421</f>
        <v>-41.931000000000004</v>
      </c>
      <c r="Z421" s="40">
        <v>-39.159999999999997</v>
      </c>
      <c r="AA421" s="40">
        <v>-36.670999999999999</v>
      </c>
      <c r="AB421" s="40">
        <v>-30.158999999999999</v>
      </c>
      <c r="AC421" s="40">
        <f>-130.267-AB421-AA421-Z421</f>
        <v>-24.277000000000008</v>
      </c>
      <c r="AD421" s="40">
        <v>-23.585000000000001</v>
      </c>
      <c r="AE421" s="40">
        <v>-22.986999999999998</v>
      </c>
      <c r="AF421" s="40">
        <v>-21.469000000000001</v>
      </c>
      <c r="AG421" s="51">
        <f t="shared" ref="AG421:AW421" si="626">AG78</f>
        <v>-27.375000000000007</v>
      </c>
      <c r="AH421" s="51">
        <f t="shared" si="626"/>
        <v>-20.589000000000002</v>
      </c>
      <c r="AI421" s="51">
        <f t="shared" si="626"/>
        <v>-20.192999999999998</v>
      </c>
      <c r="AJ421" s="51">
        <f t="shared" si="626"/>
        <v>-19.332999999999998</v>
      </c>
      <c r="AK421" s="51">
        <f t="shared" ref="AK421" si="627">AK78</f>
        <v>-18.884</v>
      </c>
      <c r="AL421" s="51">
        <f t="shared" si="626"/>
        <v>-18.785107635383255</v>
      </c>
      <c r="AM421" s="51">
        <f t="shared" si="626"/>
        <v>-18.438703025545394</v>
      </c>
      <c r="AN421" s="51">
        <f t="shared" si="626"/>
        <v>-18.061774727995729</v>
      </c>
      <c r="AO421" s="51">
        <f t="shared" si="626"/>
        <v>-17.563728029339426</v>
      </c>
      <c r="AP421" s="51">
        <f t="shared" si="626"/>
        <v>-17.064582376152678</v>
      </c>
      <c r="AQ421" s="51">
        <f t="shared" si="626"/>
        <v>-16.639977233151843</v>
      </c>
      <c r="AR421" s="51">
        <f t="shared" si="626"/>
        <v>-16.213132102876433</v>
      </c>
      <c r="AS421" s="51">
        <f t="shared" si="626"/>
        <v>-15.784854225989891</v>
      </c>
      <c r="AT421" s="51">
        <f t="shared" si="626"/>
        <v>-15.355922735807258</v>
      </c>
      <c r="AU421" s="51">
        <f t="shared" si="626"/>
        <v>-15.211172128511684</v>
      </c>
      <c r="AV421" s="51">
        <f t="shared" si="626"/>
        <v>-15.060216661864716</v>
      </c>
      <c r="AW421" s="51">
        <f t="shared" si="626"/>
        <v>-14.903339404970291</v>
      </c>
      <c r="AX421" s="129"/>
      <c r="AY421" s="129"/>
      <c r="AZ421" s="129"/>
      <c r="BA421" s="129"/>
      <c r="BB421" s="129"/>
      <c r="BC421" s="129"/>
      <c r="BD421" s="129"/>
      <c r="BE421" s="129"/>
      <c r="BF421" s="2">
        <f t="shared" si="582"/>
        <v>415</v>
      </c>
    </row>
    <row r="422" spans="1:58" ht="11.25" hidden="1" customHeight="1" outlineLevel="3">
      <c r="A422" s="41"/>
      <c r="B422" s="189" t="s">
        <v>22</v>
      </c>
      <c r="C422" s="38">
        <f t="shared" ref="C422:J422" si="628">SUM(C420:C421)</f>
        <v>234.23499999999976</v>
      </c>
      <c r="D422" s="38">
        <f t="shared" si="628"/>
        <v>64.248999999999938</v>
      </c>
      <c r="E422" s="38">
        <f t="shared" si="628"/>
        <v>55.539999999999964</v>
      </c>
      <c r="F422" s="38">
        <f t="shared" si="628"/>
        <v>-104.02200000000002</v>
      </c>
      <c r="G422" s="38">
        <f t="shared" si="628"/>
        <v>-100.08000000000008</v>
      </c>
      <c r="H422" s="38">
        <f t="shared" si="628"/>
        <v>-60.128999999999962</v>
      </c>
      <c r="I422" s="38">
        <f t="shared" si="628"/>
        <v>-17.006662675738781</v>
      </c>
      <c r="J422" s="38">
        <f t="shared" si="628"/>
        <v>11.739025633325753</v>
      </c>
      <c r="K422" s="38">
        <f>SUM(K420:K421)</f>
        <v>28.255960359584058</v>
      </c>
      <c r="L422" s="7"/>
      <c r="M422" s="7"/>
      <c r="N422" s="38">
        <f t="shared" ref="N422:AW422" si="629">SUM(N420:N421)</f>
        <v>73.762</v>
      </c>
      <c r="O422" s="38">
        <f t="shared" si="629"/>
        <v>79.435000000000002</v>
      </c>
      <c r="P422" s="38">
        <f t="shared" si="629"/>
        <v>49.022999999999996</v>
      </c>
      <c r="Q422" s="38">
        <f t="shared" si="629"/>
        <v>32.01499999999993</v>
      </c>
      <c r="R422" s="38">
        <f t="shared" si="629"/>
        <v>23.693999999999981</v>
      </c>
      <c r="S422" s="38">
        <f t="shared" si="629"/>
        <v>22.967999999999961</v>
      </c>
      <c r="T422" s="38">
        <f t="shared" si="629"/>
        <v>15.85799999999999</v>
      </c>
      <c r="U422" s="38">
        <f t="shared" si="629"/>
        <v>1.7290000000000489</v>
      </c>
      <c r="V422" s="38">
        <f t="shared" si="629"/>
        <v>5.0140000000000171</v>
      </c>
      <c r="W422" s="38">
        <f t="shared" si="629"/>
        <v>27.333999999999982</v>
      </c>
      <c r="X422" s="38">
        <f t="shared" si="629"/>
        <v>13.373999999999995</v>
      </c>
      <c r="Y422" s="38">
        <f t="shared" si="629"/>
        <v>9.8180000000000334</v>
      </c>
      <c r="Z422" s="38">
        <f t="shared" si="629"/>
        <v>-22.686999999999998</v>
      </c>
      <c r="AA422" s="38">
        <f t="shared" si="629"/>
        <v>-20.977000000000011</v>
      </c>
      <c r="AB422" s="38">
        <f t="shared" si="629"/>
        <v>-31.529000000000003</v>
      </c>
      <c r="AC422" s="38">
        <f t="shared" si="629"/>
        <v>-28.82899999999993</v>
      </c>
      <c r="AD422" s="38">
        <f t="shared" si="629"/>
        <v>-16.974000000000014</v>
      </c>
      <c r="AE422" s="38">
        <f t="shared" si="629"/>
        <v>-18.736000000000001</v>
      </c>
      <c r="AF422" s="38">
        <f t="shared" si="629"/>
        <v>-23.751999999999995</v>
      </c>
      <c r="AG422" s="38">
        <f t="shared" si="629"/>
        <v>-40.618000000000023</v>
      </c>
      <c r="AH422" s="38">
        <f t="shared" si="629"/>
        <v>-25.328749999999996</v>
      </c>
      <c r="AI422" s="38">
        <f t="shared" si="629"/>
        <v>-15.27375</v>
      </c>
      <c r="AJ422" s="38">
        <f>SUM(AJ420:AJ421)</f>
        <v>-12.237749999999998</v>
      </c>
      <c r="AK422" s="38">
        <f>SUM(AK420:AK421)</f>
        <v>-7.2887499999999719</v>
      </c>
      <c r="AL422" s="38">
        <f t="shared" si="629"/>
        <v>-8.3673696353832536</v>
      </c>
      <c r="AM422" s="38">
        <f t="shared" si="629"/>
        <v>-4.338784025545392</v>
      </c>
      <c r="AN422" s="38">
        <f t="shared" si="629"/>
        <v>-2.9011771967457296</v>
      </c>
      <c r="AO422" s="38">
        <f t="shared" si="629"/>
        <v>-1.3993318180644216</v>
      </c>
      <c r="AP422" s="38">
        <f t="shared" si="629"/>
        <v>0.30943234348170279</v>
      </c>
      <c r="AQ422" s="38">
        <f t="shared" si="629"/>
        <v>2.0106552240914901</v>
      </c>
      <c r="AR422" s="38">
        <f t="shared" si="629"/>
        <v>3.7846419877401338</v>
      </c>
      <c r="AS422" s="38">
        <f t="shared" si="629"/>
        <v>5.6342960780124169</v>
      </c>
      <c r="AT422" s="38">
        <f t="shared" si="629"/>
        <v>6.3634380610712</v>
      </c>
      <c r="AU422" s="38">
        <f t="shared" si="629"/>
        <v>6.8189678564366325</v>
      </c>
      <c r="AV422" s="38">
        <f t="shared" si="629"/>
        <v>7.2917108045178534</v>
      </c>
      <c r="AW422" s="38">
        <f t="shared" si="629"/>
        <v>7.7818436375583619</v>
      </c>
      <c r="AX422" s="39"/>
      <c r="AY422" s="39"/>
      <c r="AZ422" s="39"/>
      <c r="BA422" s="39"/>
      <c r="BB422" s="39"/>
      <c r="BC422" s="39"/>
      <c r="BD422" s="39"/>
      <c r="BE422" s="39"/>
      <c r="BF422" s="2">
        <f t="shared" si="582"/>
        <v>416</v>
      </c>
    </row>
    <row r="423" spans="1:58" ht="11.25" hidden="1" customHeight="1" outlineLevel="3">
      <c r="A423" s="52"/>
      <c r="B423" s="188" t="s">
        <v>21</v>
      </c>
      <c r="C423" s="51">
        <f t="shared" ref="C423:K423" si="630">SUMIFS($N423:$AX423,$N$4:$AX$4,C$4)</f>
        <v>0</v>
      </c>
      <c r="D423" s="51">
        <f t="shared" si="630"/>
        <v>-28.568000000000001</v>
      </c>
      <c r="E423" s="51">
        <f t="shared" si="630"/>
        <v>0</v>
      </c>
      <c r="F423" s="51">
        <f t="shared" si="630"/>
        <v>-792.53000000000009</v>
      </c>
      <c r="G423" s="51">
        <f t="shared" si="630"/>
        <v>-236.41</v>
      </c>
      <c r="H423" s="51">
        <f t="shared" si="630"/>
        <v>0</v>
      </c>
      <c r="I423" s="51">
        <f t="shared" si="630"/>
        <v>0</v>
      </c>
      <c r="J423" s="51">
        <f t="shared" si="630"/>
        <v>0</v>
      </c>
      <c r="K423" s="51">
        <f t="shared" si="630"/>
        <v>0</v>
      </c>
      <c r="L423" s="7"/>
      <c r="M423" s="7"/>
      <c r="N423" s="40">
        <v>0</v>
      </c>
      <c r="O423" s="40">
        <v>0</v>
      </c>
      <c r="P423" s="40">
        <v>0</v>
      </c>
      <c r="Q423" s="40">
        <f>0-P423-O423-N423</f>
        <v>0</v>
      </c>
      <c r="R423" s="40">
        <v>0</v>
      </c>
      <c r="S423" s="40">
        <v>0</v>
      </c>
      <c r="T423" s="40">
        <v>0</v>
      </c>
      <c r="U423" s="40">
        <v>-28.568000000000001</v>
      </c>
      <c r="V423" s="40">
        <v>0</v>
      </c>
      <c r="W423" s="40">
        <v>0</v>
      </c>
      <c r="X423" s="40">
        <v>0</v>
      </c>
      <c r="Y423" s="40">
        <v>0</v>
      </c>
      <c r="Z423" s="40">
        <v>0</v>
      </c>
      <c r="AA423" s="40">
        <f>-751.577-0.369</f>
        <v>-751.94600000000003</v>
      </c>
      <c r="AB423" s="40">
        <f>-15.632-0.854</f>
        <v>-16.486000000000001</v>
      </c>
      <c r="AC423" s="40">
        <f>-790.517-AB423-AA423-Z423-2.013</f>
        <v>-24.098000000000035</v>
      </c>
      <c r="AD423" s="40">
        <v>-0.79300000000000004</v>
      </c>
      <c r="AE423" s="40">
        <f>-223.883-0.52</f>
        <v>-224.40300000000002</v>
      </c>
      <c r="AF423" s="40">
        <v>-1.7000000000000001E-2</v>
      </c>
      <c r="AG423" s="40">
        <f>-235.067-1.343-AF423-AE423-AD423</f>
        <v>-11.196999999999981</v>
      </c>
      <c r="AH423" s="40">
        <v>0</v>
      </c>
      <c r="AI423" s="40">
        <v>0</v>
      </c>
      <c r="AJ423" s="40">
        <v>0</v>
      </c>
      <c r="AK423" s="40">
        <v>0</v>
      </c>
      <c r="AL423" s="281">
        <v>0</v>
      </c>
      <c r="AM423" s="281">
        <v>0</v>
      </c>
      <c r="AN423" s="281">
        <v>0</v>
      </c>
      <c r="AO423" s="281">
        <v>0</v>
      </c>
      <c r="AP423" s="281">
        <v>0</v>
      </c>
      <c r="AQ423" s="281">
        <v>0</v>
      </c>
      <c r="AR423" s="281">
        <v>0</v>
      </c>
      <c r="AS423" s="281">
        <v>0</v>
      </c>
      <c r="AT423" s="281">
        <v>0</v>
      </c>
      <c r="AU423" s="281">
        <v>0</v>
      </c>
      <c r="AV423" s="281">
        <v>0</v>
      </c>
      <c r="AW423" s="281">
        <v>0</v>
      </c>
      <c r="AX423" s="53"/>
      <c r="AY423" s="53"/>
      <c r="AZ423" s="53"/>
      <c r="BA423" s="53"/>
      <c r="BB423" s="53"/>
      <c r="BC423" s="53"/>
      <c r="BD423" s="53"/>
      <c r="BE423" s="53"/>
      <c r="BF423" s="2">
        <f t="shared" si="582"/>
        <v>417</v>
      </c>
    </row>
    <row r="424" spans="1:58" ht="11.25" hidden="1" customHeight="1" outlineLevel="3">
      <c r="A424" s="41"/>
      <c r="B424" s="189" t="s">
        <v>20</v>
      </c>
      <c r="C424" s="38">
        <f t="shared" ref="C424:J424" si="631">SUM(C422:C423)</f>
        <v>234.23499999999976</v>
      </c>
      <c r="D424" s="38">
        <f t="shared" si="631"/>
        <v>35.680999999999941</v>
      </c>
      <c r="E424" s="38">
        <f t="shared" si="631"/>
        <v>55.539999999999964</v>
      </c>
      <c r="F424" s="38">
        <f t="shared" si="631"/>
        <v>-896.55200000000013</v>
      </c>
      <c r="G424" s="38">
        <f t="shared" si="631"/>
        <v>-336.49000000000007</v>
      </c>
      <c r="H424" s="38">
        <f t="shared" si="631"/>
        <v>-60.128999999999962</v>
      </c>
      <c r="I424" s="38">
        <f t="shared" si="631"/>
        <v>-17.006662675738781</v>
      </c>
      <c r="J424" s="38">
        <f t="shared" si="631"/>
        <v>11.739025633325753</v>
      </c>
      <c r="K424" s="38">
        <f>SUM(K422:K423)</f>
        <v>28.255960359584058</v>
      </c>
      <c r="L424" s="7"/>
      <c r="M424" s="7"/>
      <c r="N424" s="38">
        <f t="shared" ref="N424:AW424" si="632">SUM(N422:N423)</f>
        <v>73.762</v>
      </c>
      <c r="O424" s="38">
        <f t="shared" si="632"/>
        <v>79.435000000000002</v>
      </c>
      <c r="P424" s="38">
        <f t="shared" si="632"/>
        <v>49.022999999999996</v>
      </c>
      <c r="Q424" s="38">
        <f t="shared" si="632"/>
        <v>32.01499999999993</v>
      </c>
      <c r="R424" s="38">
        <f t="shared" si="632"/>
        <v>23.693999999999981</v>
      </c>
      <c r="S424" s="38">
        <f t="shared" si="632"/>
        <v>22.967999999999961</v>
      </c>
      <c r="T424" s="38">
        <f t="shared" si="632"/>
        <v>15.85799999999999</v>
      </c>
      <c r="U424" s="38">
        <f t="shared" si="632"/>
        <v>-26.838999999999952</v>
      </c>
      <c r="V424" s="38">
        <f t="shared" si="632"/>
        <v>5.0140000000000171</v>
      </c>
      <c r="W424" s="38">
        <f t="shared" si="632"/>
        <v>27.333999999999982</v>
      </c>
      <c r="X424" s="38">
        <f t="shared" si="632"/>
        <v>13.373999999999995</v>
      </c>
      <c r="Y424" s="38">
        <f t="shared" si="632"/>
        <v>9.8180000000000334</v>
      </c>
      <c r="Z424" s="38">
        <f t="shared" si="632"/>
        <v>-22.686999999999998</v>
      </c>
      <c r="AA424" s="38">
        <f t="shared" si="632"/>
        <v>-772.923</v>
      </c>
      <c r="AB424" s="38">
        <f t="shared" si="632"/>
        <v>-48.015000000000001</v>
      </c>
      <c r="AC424" s="38">
        <f t="shared" si="632"/>
        <v>-52.926999999999964</v>
      </c>
      <c r="AD424" s="38">
        <f t="shared" si="632"/>
        <v>-17.767000000000014</v>
      </c>
      <c r="AE424" s="38">
        <f t="shared" si="632"/>
        <v>-243.13900000000001</v>
      </c>
      <c r="AF424" s="38">
        <f t="shared" si="632"/>
        <v>-23.768999999999995</v>
      </c>
      <c r="AG424" s="38">
        <f t="shared" si="632"/>
        <v>-51.815000000000005</v>
      </c>
      <c r="AH424" s="38">
        <f t="shared" si="632"/>
        <v>-25.328749999999996</v>
      </c>
      <c r="AI424" s="38">
        <f t="shared" si="632"/>
        <v>-15.27375</v>
      </c>
      <c r="AJ424" s="38">
        <f>SUM(AJ422:AJ423)</f>
        <v>-12.237749999999998</v>
      </c>
      <c r="AK424" s="38">
        <f>SUM(AK422:AK423)</f>
        <v>-7.2887499999999719</v>
      </c>
      <c r="AL424" s="38">
        <f t="shared" si="632"/>
        <v>-8.3673696353832536</v>
      </c>
      <c r="AM424" s="38">
        <f t="shared" si="632"/>
        <v>-4.338784025545392</v>
      </c>
      <c r="AN424" s="38">
        <f t="shared" si="632"/>
        <v>-2.9011771967457296</v>
      </c>
      <c r="AO424" s="38">
        <f t="shared" si="632"/>
        <v>-1.3993318180644216</v>
      </c>
      <c r="AP424" s="38">
        <f t="shared" si="632"/>
        <v>0.30943234348170279</v>
      </c>
      <c r="AQ424" s="38">
        <f t="shared" si="632"/>
        <v>2.0106552240914901</v>
      </c>
      <c r="AR424" s="38">
        <f t="shared" si="632"/>
        <v>3.7846419877401338</v>
      </c>
      <c r="AS424" s="38">
        <f t="shared" si="632"/>
        <v>5.6342960780124169</v>
      </c>
      <c r="AT424" s="38">
        <f t="shared" si="632"/>
        <v>6.3634380610712</v>
      </c>
      <c r="AU424" s="38">
        <f t="shared" si="632"/>
        <v>6.8189678564366325</v>
      </c>
      <c r="AV424" s="38">
        <f t="shared" si="632"/>
        <v>7.2917108045178534</v>
      </c>
      <c r="AW424" s="38">
        <f t="shared" si="632"/>
        <v>7.7818436375583619</v>
      </c>
      <c r="AX424" s="39"/>
      <c r="AY424" s="39"/>
      <c r="AZ424" s="39"/>
      <c r="BA424" s="39"/>
      <c r="BB424" s="39"/>
      <c r="BC424" s="39"/>
      <c r="BD424" s="39"/>
      <c r="BE424" s="39"/>
      <c r="BF424" s="2">
        <f t="shared" si="582"/>
        <v>418</v>
      </c>
    </row>
    <row r="425" spans="1:58" ht="11.25" hidden="1" customHeight="1" outlineLevel="3">
      <c r="A425" s="41"/>
      <c r="B425" s="188" t="s">
        <v>19</v>
      </c>
      <c r="C425" s="51">
        <f t="shared" ref="C425:H425" si="633">INDEX($N425:$AX425,1,MATCH(C$5,$N$5:$AX$5,0))</f>
        <v>2185.779</v>
      </c>
      <c r="D425" s="51">
        <f t="shared" si="633"/>
        <v>2176.7849999999999</v>
      </c>
      <c r="E425" s="51">
        <f t="shared" si="633"/>
        <v>2116.1709999999998</v>
      </c>
      <c r="F425" s="51">
        <f t="shared" si="633"/>
        <v>967.71900000000005</v>
      </c>
      <c r="G425" s="51">
        <f t="shared" si="633"/>
        <v>598.90899999999999</v>
      </c>
      <c r="H425" s="51">
        <f t="shared" si="633"/>
        <v>512.25599999999997</v>
      </c>
      <c r="I425" s="51">
        <f>INDEX($N425:$BF425,1,MATCH(I$5,$N$5:$BF$5,0))</f>
        <v>0</v>
      </c>
      <c r="J425" s="51">
        <f>INDEX($N425:$BF425,1,MATCH(J$5,$N$5:$BF$5,0))</f>
        <v>0</v>
      </c>
      <c r="K425" s="51">
        <f>INDEX($N425:$BF425,1,MATCH(K$5,$N$5:$BF$5,0))</f>
        <v>0</v>
      </c>
      <c r="L425" s="7"/>
      <c r="M425" s="7"/>
      <c r="N425" s="40"/>
      <c r="O425" s="40"/>
      <c r="P425" s="40"/>
      <c r="Q425" s="40">
        <v>2185.779</v>
      </c>
      <c r="R425" s="40">
        <v>2280.607</v>
      </c>
      <c r="S425" s="40">
        <v>2277.5079999999998</v>
      </c>
      <c r="T425" s="40">
        <v>2244.1030000000001</v>
      </c>
      <c r="U425" s="40">
        <v>2176.7849999999999</v>
      </c>
      <c r="V425" s="40">
        <v>2131.1909999999998</v>
      </c>
      <c r="W425" s="40">
        <v>2114.8049999999998</v>
      </c>
      <c r="X425" s="40">
        <v>2123.8879999999999</v>
      </c>
      <c r="Y425" s="40">
        <v>2116.1709999999998</v>
      </c>
      <c r="Z425" s="40">
        <v>1992.701</v>
      </c>
      <c r="AA425" s="40">
        <v>1160.3510000000001</v>
      </c>
      <c r="AB425" s="40">
        <v>1108.94</v>
      </c>
      <c r="AC425" s="40">
        <v>967.71900000000005</v>
      </c>
      <c r="AD425" s="40">
        <v>870.76300000000003</v>
      </c>
      <c r="AE425" s="40">
        <v>599.35</v>
      </c>
      <c r="AF425" s="40">
        <v>563.91499999999996</v>
      </c>
      <c r="AG425" s="40">
        <v>598.90899999999999</v>
      </c>
      <c r="AH425" s="40">
        <v>585.43399999999997</v>
      </c>
      <c r="AI425" s="40">
        <v>543.53800000000001</v>
      </c>
      <c r="AJ425" s="40">
        <v>531.80899999999997</v>
      </c>
      <c r="AK425" s="40">
        <v>512.25599999999997</v>
      </c>
      <c r="AL425" s="38"/>
      <c r="AM425" s="38"/>
      <c r="AN425" s="38"/>
      <c r="AO425" s="38"/>
      <c r="AP425" s="38"/>
      <c r="AQ425" s="38"/>
      <c r="AR425" s="38"/>
      <c r="AS425" s="38"/>
      <c r="AT425" s="38"/>
      <c r="AU425" s="38"/>
      <c r="AV425" s="38"/>
      <c r="AW425" s="38"/>
      <c r="AX425" s="39"/>
      <c r="AY425" s="39"/>
      <c r="AZ425" s="39"/>
      <c r="BA425" s="39"/>
      <c r="BB425" s="39"/>
      <c r="BC425" s="39"/>
      <c r="BD425" s="39"/>
      <c r="BE425" s="39"/>
      <c r="BF425" s="2">
        <f t="shared" si="582"/>
        <v>419</v>
      </c>
    </row>
    <row r="426" spans="1:58" ht="11.25" hidden="1" customHeight="1" outlineLevel="3">
      <c r="A426" s="47"/>
      <c r="B426" s="187" t="s">
        <v>18</v>
      </c>
      <c r="C426" s="150"/>
      <c r="D426" s="150"/>
      <c r="E426" s="150"/>
      <c r="F426" s="150"/>
      <c r="G426" s="150"/>
      <c r="H426" s="150"/>
      <c r="I426" s="150"/>
      <c r="J426" s="150"/>
      <c r="K426" s="150"/>
      <c r="L426" s="7"/>
      <c r="M426" s="7"/>
      <c r="N426" s="150"/>
      <c r="O426" s="150"/>
      <c r="P426" s="150"/>
      <c r="Q426" s="150"/>
      <c r="R426" s="150"/>
      <c r="S426" s="150"/>
      <c r="T426" s="150"/>
      <c r="U426" s="150"/>
      <c r="V426" s="150"/>
      <c r="W426" s="150"/>
      <c r="X426" s="150"/>
      <c r="Y426" s="150"/>
      <c r="Z426" s="150"/>
      <c r="AA426" s="150"/>
      <c r="AB426" s="150"/>
      <c r="AC426" s="150"/>
      <c r="AD426" s="150"/>
      <c r="AE426" s="150"/>
      <c r="AF426" s="150"/>
      <c r="AG426" s="150"/>
      <c r="AH426" s="150"/>
      <c r="AI426" s="150"/>
      <c r="AJ426" s="150"/>
      <c r="AK426" s="150"/>
      <c r="AL426" s="150"/>
      <c r="AM426" s="150"/>
      <c r="AN426" s="150"/>
      <c r="AO426" s="150"/>
      <c r="AP426" s="150"/>
      <c r="AQ426" s="150"/>
      <c r="AR426" s="150"/>
      <c r="AS426" s="150"/>
      <c r="AT426" s="150"/>
      <c r="AU426" s="150"/>
      <c r="AV426" s="150"/>
      <c r="AW426" s="150"/>
      <c r="AX426" s="44"/>
      <c r="AY426" s="44"/>
      <c r="AZ426" s="44"/>
      <c r="BA426" s="44"/>
      <c r="BB426" s="44"/>
      <c r="BC426" s="44"/>
      <c r="BD426" s="44"/>
      <c r="BE426" s="44"/>
      <c r="BF426" s="2">
        <f t="shared" si="582"/>
        <v>420</v>
      </c>
    </row>
    <row r="427" spans="1:58" ht="11.25" hidden="1" customHeight="1" outlineLevel="3">
      <c r="A427" s="47"/>
      <c r="B427" s="185" t="s">
        <v>17</v>
      </c>
      <c r="C427" s="45"/>
      <c r="D427" s="45">
        <f t="shared" ref="D427:K427" si="634">+D416/C416-1</f>
        <v>-4.330604438149821E-2</v>
      </c>
      <c r="E427" s="45">
        <f t="shared" si="634"/>
        <v>-6.1912552618198391E-2</v>
      </c>
      <c r="F427" s="45">
        <f t="shared" si="634"/>
        <v>-0.4396732585724642</v>
      </c>
      <c r="G427" s="45">
        <f t="shared" si="634"/>
        <v>-0.5415109859377365</v>
      </c>
      <c r="H427" s="45">
        <f t="shared" si="634"/>
        <v>7.0053620226422142E-2</v>
      </c>
      <c r="I427" s="45">
        <f t="shared" si="634"/>
        <v>0.2682674668706293</v>
      </c>
      <c r="J427" s="45">
        <f t="shared" si="634"/>
        <v>0.14771844052243144</v>
      </c>
      <c r="K427" s="45">
        <f t="shared" si="634"/>
        <v>9.0827908683140501E-2</v>
      </c>
      <c r="L427" s="7"/>
      <c r="M427" s="7"/>
      <c r="N427" s="45"/>
      <c r="O427" s="45">
        <f t="shared" ref="O427:AW427" si="635">+O416/N416-1</f>
        <v>0.16862171330439124</v>
      </c>
      <c r="P427" s="45">
        <f t="shared" si="635"/>
        <v>-9.6369700778266565E-2</v>
      </c>
      <c r="Q427" s="45">
        <f t="shared" si="635"/>
        <v>-1.2108551681342061E-2</v>
      </c>
      <c r="R427" s="45">
        <f t="shared" si="635"/>
        <v>-5.2634286472392766E-3</v>
      </c>
      <c r="S427" s="45">
        <f t="shared" si="635"/>
        <v>4.5427698103142067E-3</v>
      </c>
      <c r="T427" s="45">
        <f t="shared" si="635"/>
        <v>-2.5317964808462379E-2</v>
      </c>
      <c r="U427" s="45">
        <f t="shared" si="635"/>
        <v>-2.8777778395538745E-2</v>
      </c>
      <c r="V427" s="45">
        <f t="shared" si="635"/>
        <v>-8.0530669490797679E-2</v>
      </c>
      <c r="W427" s="45">
        <f t="shared" si="635"/>
        <v>7.0481111958534903E-2</v>
      </c>
      <c r="X427" s="45">
        <f t="shared" si="635"/>
        <v>1.4298758854936144E-2</v>
      </c>
      <c r="Y427" s="45">
        <f t="shared" si="635"/>
        <v>-1.9037079299183191E-2</v>
      </c>
      <c r="Z427" s="45">
        <f t="shared" si="635"/>
        <v>-0.26503932451271806</v>
      </c>
      <c r="AA427" s="45">
        <f t="shared" si="635"/>
        <v>-0.16990165785842393</v>
      </c>
      <c r="AB427" s="45">
        <f t="shared" si="635"/>
        <v>-0.21434388533323112</v>
      </c>
      <c r="AC427" s="45">
        <f t="shared" si="635"/>
        <v>-0.17304772531874801</v>
      </c>
      <c r="AD427" s="45">
        <f t="shared" si="635"/>
        <v>-0.22640299068728309</v>
      </c>
      <c r="AE427" s="45">
        <f t="shared" si="635"/>
        <v>-0.19005680735064234</v>
      </c>
      <c r="AF427" s="45">
        <f t="shared" si="635"/>
        <v>-8.7860101675767188E-2</v>
      </c>
      <c r="AG427" s="45">
        <f t="shared" si="635"/>
        <v>4.469100761192113E-2</v>
      </c>
      <c r="AH427" s="45">
        <f t="shared" si="635"/>
        <v>-0.15275273544594559</v>
      </c>
      <c r="AI427" s="45">
        <f t="shared" si="635"/>
        <v>0.29153851760075788</v>
      </c>
      <c r="AJ427" s="45">
        <f t="shared" si="635"/>
        <v>9.8492201431054305E-2</v>
      </c>
      <c r="AK427" s="45">
        <f t="shared" si="635"/>
        <v>0.21476785879403693</v>
      </c>
      <c r="AL427" s="45">
        <f t="shared" si="635"/>
        <v>-7.2537361401253331E-2</v>
      </c>
      <c r="AM427" s="45">
        <f t="shared" si="635"/>
        <v>7.1483644050176709E-2</v>
      </c>
      <c r="AN427" s="45">
        <f t="shared" si="635"/>
        <v>3.2216825500912316E-2</v>
      </c>
      <c r="AO427" s="45">
        <f t="shared" si="635"/>
        <v>2.5202907250186701E-2</v>
      </c>
      <c r="AP427" s="45">
        <f t="shared" si="635"/>
        <v>3.5023670188890632E-2</v>
      </c>
      <c r="AQ427" s="45">
        <f t="shared" si="635"/>
        <v>3.5140048580071692E-2</v>
      </c>
      <c r="AR427" s="45">
        <f t="shared" si="635"/>
        <v>3.5256885682718009E-2</v>
      </c>
      <c r="AS427" s="45">
        <f t="shared" si="635"/>
        <v>3.5374163813441495E-2</v>
      </c>
      <c r="AT427" s="45">
        <f t="shared" si="635"/>
        <v>1.4015985163522426E-2</v>
      </c>
      <c r="AU427" s="45">
        <f t="shared" si="635"/>
        <v>1.4308855171949908E-2</v>
      </c>
      <c r="AV427" s="45">
        <f t="shared" si="635"/>
        <v>1.4606692542766808E-2</v>
      </c>
      <c r="AW427" s="45">
        <f t="shared" si="635"/>
        <v>1.4909478238388951E-2</v>
      </c>
      <c r="AX427" s="156"/>
      <c r="AY427" s="156"/>
      <c r="AZ427" s="156"/>
      <c r="BA427" s="156"/>
      <c r="BB427" s="156"/>
      <c r="BC427" s="156"/>
      <c r="BD427" s="156"/>
      <c r="BE427" s="156"/>
      <c r="BF427" s="2">
        <f t="shared" si="582"/>
        <v>421</v>
      </c>
    </row>
    <row r="428" spans="1:58" ht="11.25" hidden="1" customHeight="1" outlineLevel="3">
      <c r="A428" s="47"/>
      <c r="B428" s="185" t="s">
        <v>16</v>
      </c>
      <c r="C428" s="45">
        <f t="shared" ref="C428:J428" si="636">-C417/C416</f>
        <v>0.61519401187301048</v>
      </c>
      <c r="D428" s="45">
        <f t="shared" si="636"/>
        <v>0.7000307840241291</v>
      </c>
      <c r="E428" s="45">
        <f t="shared" si="636"/>
        <v>0.69702158537583603</v>
      </c>
      <c r="F428" s="45">
        <f t="shared" si="636"/>
        <v>0.78212506662630699</v>
      </c>
      <c r="G428" s="45">
        <f t="shared" si="636"/>
        <v>0.79288756975222197</v>
      </c>
      <c r="H428" s="45">
        <f t="shared" si="636"/>
        <v>0.81886147630914652</v>
      </c>
      <c r="I428" s="45">
        <f t="shared" si="636"/>
        <v>0.76519722983623373</v>
      </c>
      <c r="J428" s="45">
        <f t="shared" si="636"/>
        <v>0.74882696756503342</v>
      </c>
      <c r="K428" s="45">
        <f>-K417/K416</f>
        <v>0.74237821924168979</v>
      </c>
      <c r="L428" s="7"/>
      <c r="M428" s="7"/>
      <c r="N428" s="45">
        <f t="shared" ref="N428:AW428" si="637">-N417/N416</f>
        <v>0.559299629138998</v>
      </c>
      <c r="O428" s="45">
        <f t="shared" si="637"/>
        <v>0.59196113501232661</v>
      </c>
      <c r="P428" s="45">
        <f t="shared" si="637"/>
        <v>0.63526699262841435</v>
      </c>
      <c r="Q428" s="45">
        <f t="shared" si="637"/>
        <v>0.67447968137845526</v>
      </c>
      <c r="R428" s="45">
        <f t="shared" si="637"/>
        <v>0.68877807929841561</v>
      </c>
      <c r="S428" s="45">
        <f t="shared" si="637"/>
        <v>0.68368259335728576</v>
      </c>
      <c r="T428" s="45">
        <f t="shared" si="637"/>
        <v>0.69935950539583347</v>
      </c>
      <c r="U428" s="45">
        <f t="shared" si="637"/>
        <v>0.72982511377622561</v>
      </c>
      <c r="V428" s="45">
        <f t="shared" si="637"/>
        <v>0.7073482030289352</v>
      </c>
      <c r="W428" s="45">
        <f t="shared" si="637"/>
        <v>0.67209982668171087</v>
      </c>
      <c r="X428" s="45">
        <f t="shared" si="637"/>
        <v>0.71264904972290155</v>
      </c>
      <c r="Y428" s="45">
        <f t="shared" si="637"/>
        <v>0.69644281944042574</v>
      </c>
      <c r="Z428" s="45">
        <f t="shared" si="637"/>
        <v>0.76078562367528402</v>
      </c>
      <c r="AA428" s="45">
        <f t="shared" si="637"/>
        <v>0.75027306174069675</v>
      </c>
      <c r="AB428" s="45">
        <f t="shared" si="637"/>
        <v>0.79330613837720509</v>
      </c>
      <c r="AC428" s="45">
        <f t="shared" si="637"/>
        <v>0.85719763163521823</v>
      </c>
      <c r="AD428" s="45">
        <f t="shared" si="637"/>
        <v>0.70412520492584552</v>
      </c>
      <c r="AE428" s="45">
        <f t="shared" si="637"/>
        <v>0.7568019205422708</v>
      </c>
      <c r="AF428" s="45">
        <f t="shared" si="637"/>
        <v>0.81045026448200219</v>
      </c>
      <c r="AG428" s="45">
        <f>-AG417/AG416</f>
        <v>0.92895250327265577</v>
      </c>
      <c r="AH428" s="45">
        <f>-AH417/AH416</f>
        <v>0.89178631295095101</v>
      </c>
      <c r="AI428" s="45">
        <f>-AI417/AI416</f>
        <v>0.80720267250524791</v>
      </c>
      <c r="AJ428" s="45">
        <f>-AJ417/AJ416</f>
        <v>0.80213288401672611</v>
      </c>
      <c r="AK428" s="45">
        <f>-AK417/AK416</f>
        <v>0.79905613302096612</v>
      </c>
      <c r="AL428" s="45">
        <f t="shared" si="637"/>
        <v>0.78109897328004652</v>
      </c>
      <c r="AM428" s="45">
        <f t="shared" si="637"/>
        <v>0.76320863535151373</v>
      </c>
      <c r="AN428" s="45">
        <f t="shared" si="637"/>
        <v>0.76072238372715151</v>
      </c>
      <c r="AO428" s="45">
        <f t="shared" si="637"/>
        <v>0.7574170258206161</v>
      </c>
      <c r="AP428" s="45">
        <f t="shared" si="637"/>
        <v>0.75405120049861829</v>
      </c>
      <c r="AQ428" s="45">
        <f t="shared" si="637"/>
        <v>0.75067394731114445</v>
      </c>
      <c r="AR428" s="45">
        <f t="shared" si="637"/>
        <v>0.74728511755409022</v>
      </c>
      <c r="AS428" s="45">
        <f t="shared" si="637"/>
        <v>0.7438845646967247</v>
      </c>
      <c r="AT428" s="45">
        <f t="shared" si="637"/>
        <v>0.74325834543733926</v>
      </c>
      <c r="AU428" s="45">
        <f t="shared" si="637"/>
        <v>0.74265943297373982</v>
      </c>
      <c r="AV428" s="45">
        <f t="shared" si="637"/>
        <v>0.74208884667181474</v>
      </c>
      <c r="AW428" s="45">
        <f t="shared" si="637"/>
        <v>0.7415475924160253</v>
      </c>
      <c r="AX428" s="156"/>
      <c r="AY428" s="156"/>
      <c r="AZ428" s="156"/>
      <c r="BA428" s="156"/>
      <c r="BB428" s="156"/>
      <c r="BC428" s="156"/>
      <c r="BD428" s="156"/>
      <c r="BE428" s="156"/>
      <c r="BF428" s="2">
        <f t="shared" si="582"/>
        <v>422</v>
      </c>
    </row>
    <row r="429" spans="1:58" ht="11.25" hidden="1" customHeight="1" outlineLevel="3">
      <c r="A429" s="47"/>
      <c r="B429" s="185" t="s">
        <v>165</v>
      </c>
      <c r="C429" s="45">
        <f t="shared" ref="C429:J429" si="638">+C418/C416</f>
        <v>0.38480598812698946</v>
      </c>
      <c r="D429" s="45">
        <f t="shared" si="638"/>
        <v>0.29996921597587084</v>
      </c>
      <c r="E429" s="45">
        <f t="shared" si="638"/>
        <v>0.30297841462416403</v>
      </c>
      <c r="F429" s="45">
        <f t="shared" si="638"/>
        <v>0.21787493337369296</v>
      </c>
      <c r="G429" s="45">
        <f t="shared" si="638"/>
        <v>0.20711243024777801</v>
      </c>
      <c r="H429" s="45">
        <f t="shared" si="638"/>
        <v>0.18113852369085343</v>
      </c>
      <c r="I429" s="45">
        <f t="shared" si="638"/>
        <v>0.2348027701637663</v>
      </c>
      <c r="J429" s="45">
        <f t="shared" si="638"/>
        <v>0.25117303243496664</v>
      </c>
      <c r="K429" s="45">
        <f>+K418/K416</f>
        <v>0.25762178075831021</v>
      </c>
      <c r="L429" s="7"/>
      <c r="M429" s="7"/>
      <c r="N429" s="45">
        <f t="shared" ref="N429:AW429" si="639">+N418/N416</f>
        <v>0.440700370861002</v>
      </c>
      <c r="O429" s="45">
        <f t="shared" si="639"/>
        <v>0.40803886498767339</v>
      </c>
      <c r="P429" s="45">
        <f t="shared" si="639"/>
        <v>0.3647330073715857</v>
      </c>
      <c r="Q429" s="45">
        <f t="shared" si="639"/>
        <v>0.32552031862154474</v>
      </c>
      <c r="R429" s="45">
        <f t="shared" si="639"/>
        <v>0.31122192070158433</v>
      </c>
      <c r="S429" s="45">
        <f t="shared" si="639"/>
        <v>0.31631740664271424</v>
      </c>
      <c r="T429" s="45">
        <f t="shared" si="639"/>
        <v>0.30064049460416653</v>
      </c>
      <c r="U429" s="45">
        <f t="shared" si="639"/>
        <v>0.27017488622377445</v>
      </c>
      <c r="V429" s="45">
        <f t="shared" si="639"/>
        <v>0.29265179697106486</v>
      </c>
      <c r="W429" s="45">
        <f t="shared" si="639"/>
        <v>0.32790017331828908</v>
      </c>
      <c r="X429" s="45">
        <f t="shared" si="639"/>
        <v>0.28735095027709845</v>
      </c>
      <c r="Y429" s="45">
        <f t="shared" si="639"/>
        <v>0.30355718055957431</v>
      </c>
      <c r="Z429" s="45">
        <f t="shared" si="639"/>
        <v>0.23921437632471598</v>
      </c>
      <c r="AA429" s="45">
        <f t="shared" si="639"/>
        <v>0.24972693825930323</v>
      </c>
      <c r="AB429" s="45">
        <f t="shared" si="639"/>
        <v>0.20669386162279496</v>
      </c>
      <c r="AC429" s="45">
        <f t="shared" si="639"/>
        <v>0.1428023683647818</v>
      </c>
      <c r="AD429" s="45">
        <f t="shared" si="639"/>
        <v>0.29587479507415448</v>
      </c>
      <c r="AE429" s="45">
        <f t="shared" si="639"/>
        <v>0.2431980794577292</v>
      </c>
      <c r="AF429" s="45">
        <f t="shared" si="639"/>
        <v>0.18954973551799775</v>
      </c>
      <c r="AG429" s="45">
        <f>+AG418/AG416</f>
        <v>7.1047496727344228E-2</v>
      </c>
      <c r="AH429" s="45">
        <f>+AH418/AH416</f>
        <v>0.10821368704904899</v>
      </c>
      <c r="AI429" s="45">
        <f>+AI418/AI416</f>
        <v>0.19279732749475204</v>
      </c>
      <c r="AJ429" s="45">
        <f>+AJ418/AJ416</f>
        <v>0.19786711598327392</v>
      </c>
      <c r="AK429" s="45">
        <f>+AK418/AK416</f>
        <v>0.20094386697903388</v>
      </c>
      <c r="AL429" s="45">
        <f t="shared" si="639"/>
        <v>0.21890102671995348</v>
      </c>
      <c r="AM429" s="45">
        <f t="shared" si="639"/>
        <v>0.23679136464848621</v>
      </c>
      <c r="AN429" s="45">
        <f t="shared" si="639"/>
        <v>0.23927761627284849</v>
      </c>
      <c r="AO429" s="45">
        <f t="shared" si="639"/>
        <v>0.24258297417938382</v>
      </c>
      <c r="AP429" s="45">
        <f t="shared" si="639"/>
        <v>0.24594879950138177</v>
      </c>
      <c r="AQ429" s="45">
        <f t="shared" si="639"/>
        <v>0.24932605268885552</v>
      </c>
      <c r="AR429" s="45">
        <f t="shared" si="639"/>
        <v>0.25271488244590978</v>
      </c>
      <c r="AS429" s="45">
        <f t="shared" si="639"/>
        <v>0.2561154353032753</v>
      </c>
      <c r="AT429" s="45">
        <f t="shared" si="639"/>
        <v>0.25674165456266068</v>
      </c>
      <c r="AU429" s="45">
        <f t="shared" si="639"/>
        <v>0.25734056702626018</v>
      </c>
      <c r="AV429" s="45">
        <f t="shared" si="639"/>
        <v>0.25791115332818526</v>
      </c>
      <c r="AW429" s="45">
        <f t="shared" si="639"/>
        <v>0.25845240758397475</v>
      </c>
      <c r="AX429" s="156"/>
      <c r="AY429" s="156"/>
      <c r="AZ429" s="156"/>
      <c r="BA429" s="156"/>
      <c r="BB429" s="156"/>
      <c r="BC429" s="156"/>
      <c r="BD429" s="156"/>
      <c r="BE429" s="156"/>
      <c r="BF429" s="2">
        <f t="shared" si="582"/>
        <v>423</v>
      </c>
    </row>
    <row r="430" spans="1:58" ht="11.25" hidden="1" customHeight="1" outlineLevel="3">
      <c r="A430" s="47"/>
      <c r="B430" s="185" t="s">
        <v>15</v>
      </c>
      <c r="C430" s="45">
        <f t="shared" ref="C430:J430" si="640">-C419/C416</f>
        <v>0.13983745756093691</v>
      </c>
      <c r="D430" s="45">
        <f t="shared" si="640"/>
        <v>0.13208144968541496</v>
      </c>
      <c r="E430" s="45">
        <f t="shared" si="640"/>
        <v>0.1402389427583059</v>
      </c>
      <c r="F430" s="45">
        <f t="shared" si="640"/>
        <v>0.18333453973560052</v>
      </c>
      <c r="G430" s="45">
        <f t="shared" si="640"/>
        <v>0.22050026408248558</v>
      </c>
      <c r="H430" s="45">
        <f t="shared" si="640"/>
        <v>0.13051899104299844</v>
      </c>
      <c r="I430" s="45">
        <f t="shared" si="640"/>
        <v>0.11668876293449296</v>
      </c>
      <c r="J430" s="45">
        <f t="shared" si="640"/>
        <v>0.10845653554246107</v>
      </c>
      <c r="K430" s="45">
        <f>-K419/K416</f>
        <v>0.10762178075831015</v>
      </c>
      <c r="L430" s="7"/>
      <c r="M430" s="7"/>
      <c r="N430" s="45">
        <f t="shared" ref="N430:AW430" si="641">-N419/N416</f>
        <v>0.15405842826113358</v>
      </c>
      <c r="O430" s="45">
        <f t="shared" si="641"/>
        <v>0.12634021366075313</v>
      </c>
      <c r="P430" s="45">
        <f t="shared" si="641"/>
        <v>0.14130655739458847</v>
      </c>
      <c r="Q430" s="45">
        <f t="shared" si="641"/>
        <v>0.13983825245504841</v>
      </c>
      <c r="R430" s="45">
        <f t="shared" si="641"/>
        <v>0.13274740947803057</v>
      </c>
      <c r="S430" s="45">
        <f t="shared" si="641"/>
        <v>0.12963264023237039</v>
      </c>
      <c r="T430" s="45">
        <f t="shared" si="641"/>
        <v>0.12991977137900934</v>
      </c>
      <c r="U430" s="45">
        <f t="shared" si="641"/>
        <v>0.13619372012479614</v>
      </c>
      <c r="V430" s="45">
        <f t="shared" si="641"/>
        <v>0.14689557489065638</v>
      </c>
      <c r="W430" s="45">
        <f t="shared" si="641"/>
        <v>0.13156777443031792</v>
      </c>
      <c r="X430" s="45">
        <f t="shared" si="641"/>
        <v>0.13081397849154083</v>
      </c>
      <c r="Y430" s="45">
        <f t="shared" si="641"/>
        <v>0.15231197739023181</v>
      </c>
      <c r="Z430" s="45">
        <f t="shared" si="641"/>
        <v>0.17370729592912051</v>
      </c>
      <c r="AA430" s="45">
        <f t="shared" si="641"/>
        <v>0.17454393898746792</v>
      </c>
      <c r="AB430" s="45">
        <f t="shared" si="641"/>
        <v>0.21504746922274864</v>
      </c>
      <c r="AC430" s="45">
        <f t="shared" si="641"/>
        <v>0.17636649191496889</v>
      </c>
      <c r="AD430" s="45">
        <f t="shared" si="641"/>
        <v>0.23286248046055896</v>
      </c>
      <c r="AE430" s="45">
        <f t="shared" si="641"/>
        <v>0.19317218979476558</v>
      </c>
      <c r="AF430" s="45">
        <f t="shared" si="641"/>
        <v>0.21900399948393756</v>
      </c>
      <c r="AG430" s="45">
        <f>-AG419/AG416</f>
        <v>0.23459382023859499</v>
      </c>
      <c r="AH430" s="45">
        <f>-AH419/AH416</f>
        <v>0.17730121711245536</v>
      </c>
      <c r="AI430" s="45">
        <f>-AI419/AI416</f>
        <v>0.13727907816626414</v>
      </c>
      <c r="AJ430" s="45">
        <f>-AJ419/AJ416</f>
        <v>0.12497046222761038</v>
      </c>
      <c r="AK430" s="45">
        <f>-AK419/AK416</f>
        <v>0.1028760032815447</v>
      </c>
      <c r="AL430" s="45">
        <f t="shared" si="641"/>
        <v>0.12390102671995348</v>
      </c>
      <c r="AM430" s="45">
        <f t="shared" si="641"/>
        <v>0.11679136464848622</v>
      </c>
      <c r="AN430" s="45">
        <f t="shared" si="641"/>
        <v>0.11427761627284851</v>
      </c>
      <c r="AO430" s="45">
        <f t="shared" si="641"/>
        <v>0.11258297417938382</v>
      </c>
      <c r="AP430" s="45">
        <f t="shared" si="641"/>
        <v>0.11094879950138174</v>
      </c>
      <c r="AQ430" s="45">
        <f t="shared" si="641"/>
        <v>0.10932605268885551</v>
      </c>
      <c r="AR430" s="45">
        <f t="shared" si="641"/>
        <v>0.10771488244590977</v>
      </c>
      <c r="AS430" s="45">
        <f t="shared" si="641"/>
        <v>0.10611543530327526</v>
      </c>
      <c r="AT430" s="45">
        <f t="shared" si="641"/>
        <v>0.10674165456266069</v>
      </c>
      <c r="AU430" s="45">
        <f t="shared" si="641"/>
        <v>0.10734056702626019</v>
      </c>
      <c r="AV430" s="45">
        <f t="shared" si="641"/>
        <v>0.10791115332818521</v>
      </c>
      <c r="AW430" s="45">
        <f t="shared" si="641"/>
        <v>0.10845240758397474</v>
      </c>
      <c r="AX430" s="156"/>
      <c r="AY430" s="156"/>
      <c r="AZ430" s="156"/>
      <c r="BA430" s="156"/>
      <c r="BB430" s="156"/>
      <c r="BC430" s="156"/>
      <c r="BD430" s="156"/>
      <c r="BE430" s="156"/>
      <c r="BF430" s="2">
        <f t="shared" si="582"/>
        <v>424</v>
      </c>
    </row>
    <row r="431" spans="1:58" ht="11.25" hidden="1" customHeight="1" outlineLevel="3">
      <c r="A431" s="47"/>
      <c r="B431" s="185" t="s">
        <v>14</v>
      </c>
      <c r="C431" s="45">
        <f t="shared" ref="C431:J431" si="642">+C420/C416</f>
        <v>0.24496853056605258</v>
      </c>
      <c r="D431" s="45">
        <f t="shared" si="642"/>
        <v>0.1678877662904559</v>
      </c>
      <c r="E431" s="45">
        <f t="shared" si="642"/>
        <v>0.16273947186585813</v>
      </c>
      <c r="F431" s="45">
        <f t="shared" si="642"/>
        <v>3.454039363809245E-2</v>
      </c>
      <c r="G431" s="45">
        <f t="shared" si="642"/>
        <v>-1.3387833834707577E-2</v>
      </c>
      <c r="H431" s="45">
        <f t="shared" si="642"/>
        <v>5.0619532647854994E-2</v>
      </c>
      <c r="I431" s="45">
        <f t="shared" si="642"/>
        <v>0.11811400722927333</v>
      </c>
      <c r="J431" s="45">
        <f t="shared" si="642"/>
        <v>0.14271649689250557</v>
      </c>
      <c r="K431" s="45">
        <f>+K420/K416</f>
        <v>0.15000000000000005</v>
      </c>
      <c r="L431" s="7"/>
      <c r="M431" s="7"/>
      <c r="N431" s="45">
        <f t="shared" ref="N431:AW431" si="643">+N420/N416</f>
        <v>0.28664194259986842</v>
      </c>
      <c r="O431" s="45">
        <f t="shared" si="643"/>
        <v>0.28169865132692029</v>
      </c>
      <c r="P431" s="45">
        <f t="shared" si="643"/>
        <v>0.22342644997699723</v>
      </c>
      <c r="Q431" s="45">
        <f t="shared" si="643"/>
        <v>0.18568206616649635</v>
      </c>
      <c r="R431" s="45">
        <f t="shared" si="643"/>
        <v>0.17847451122355376</v>
      </c>
      <c r="S431" s="45">
        <f t="shared" si="643"/>
        <v>0.18668476641034384</v>
      </c>
      <c r="T431" s="45">
        <f t="shared" si="643"/>
        <v>0.17072072322515719</v>
      </c>
      <c r="U431" s="45">
        <f t="shared" si="643"/>
        <v>0.13398116609897831</v>
      </c>
      <c r="V431" s="45">
        <f t="shared" si="643"/>
        <v>0.14575622208040848</v>
      </c>
      <c r="W431" s="45">
        <f t="shared" si="643"/>
        <v>0.19633239888797122</v>
      </c>
      <c r="X431" s="45">
        <f t="shared" si="643"/>
        <v>0.15653697178555762</v>
      </c>
      <c r="Y431" s="45">
        <f t="shared" si="643"/>
        <v>0.15124520316934248</v>
      </c>
      <c r="Z431" s="45">
        <f t="shared" si="643"/>
        <v>6.5507080395595482E-2</v>
      </c>
      <c r="AA431" s="45">
        <f t="shared" si="643"/>
        <v>7.5182999271835305E-2</v>
      </c>
      <c r="AB431" s="45">
        <f t="shared" si="643"/>
        <v>-8.3536075999536864E-3</v>
      </c>
      <c r="AC431" s="45">
        <f t="shared" si="643"/>
        <v>-3.3564123550187071E-2</v>
      </c>
      <c r="AD431" s="45">
        <f t="shared" si="643"/>
        <v>6.3012314613595521E-2</v>
      </c>
      <c r="AE431" s="45">
        <f t="shared" si="643"/>
        <v>5.0025889662963632E-2</v>
      </c>
      <c r="AF431" s="45">
        <f t="shared" si="643"/>
        <v>-2.9454263965939802E-2</v>
      </c>
      <c r="AG431" s="45">
        <f>+AG420/AG416</f>
        <v>-0.16354632351125076</v>
      </c>
      <c r="AH431" s="45">
        <f>+AH420/AH416</f>
        <v>-6.9087530063406358E-2</v>
      </c>
      <c r="AI431" s="45">
        <f>+AI420/AI416</f>
        <v>5.5518249328487895E-2</v>
      </c>
      <c r="AJ431" s="45">
        <f>+AJ420/AJ416</f>
        <v>7.2896653755663551E-2</v>
      </c>
      <c r="AK431" s="45">
        <f>+AK420/AK416</f>
        <v>9.8067863697489183E-2</v>
      </c>
      <c r="AL431" s="45">
        <f t="shared" si="643"/>
        <v>9.5000000000000001E-2</v>
      </c>
      <c r="AM431" s="45">
        <f t="shared" si="643"/>
        <v>0.12</v>
      </c>
      <c r="AN431" s="45">
        <f t="shared" si="643"/>
        <v>0.125</v>
      </c>
      <c r="AO431" s="45">
        <f t="shared" si="643"/>
        <v>0.13</v>
      </c>
      <c r="AP431" s="45">
        <f t="shared" si="643"/>
        <v>0.13500000000000001</v>
      </c>
      <c r="AQ431" s="45">
        <f t="shared" si="643"/>
        <v>0.14000000000000001</v>
      </c>
      <c r="AR431" s="45">
        <f t="shared" si="643"/>
        <v>0.14500000000000002</v>
      </c>
      <c r="AS431" s="45">
        <f t="shared" si="643"/>
        <v>0.15000000000000002</v>
      </c>
      <c r="AT431" s="45">
        <f t="shared" si="643"/>
        <v>0.15000000000000002</v>
      </c>
      <c r="AU431" s="45">
        <f t="shared" si="643"/>
        <v>0.15000000000000002</v>
      </c>
      <c r="AV431" s="45">
        <f t="shared" si="643"/>
        <v>0.15000000000000002</v>
      </c>
      <c r="AW431" s="45">
        <f t="shared" si="643"/>
        <v>0.15000000000000002</v>
      </c>
      <c r="AX431" s="156"/>
      <c r="AY431" s="156"/>
      <c r="AZ431" s="156"/>
      <c r="BA431" s="156"/>
      <c r="BB431" s="156"/>
      <c r="BC431" s="156"/>
      <c r="BD431" s="156"/>
      <c r="BE431" s="156"/>
      <c r="BF431" s="2">
        <f t="shared" si="582"/>
        <v>425</v>
      </c>
    </row>
    <row r="432" spans="1:58" ht="11.25" hidden="1" customHeight="1" outlineLevel="3">
      <c r="A432" s="47"/>
      <c r="B432" s="185" t="s">
        <v>13</v>
      </c>
      <c r="C432" s="45">
        <f t="shared" ref="C432:J432" si="644">+C422/C416</f>
        <v>0.15502088034996908</v>
      </c>
      <c r="D432" s="45">
        <f t="shared" si="644"/>
        <v>4.4445904860071009E-2</v>
      </c>
      <c r="E432" s="45">
        <f t="shared" si="644"/>
        <v>4.0956980421914389E-2</v>
      </c>
      <c r="F432" s="45">
        <f t="shared" si="644"/>
        <v>-0.13690077451025556</v>
      </c>
      <c r="G432" s="45">
        <f t="shared" si="644"/>
        <v>-0.28727581693342852</v>
      </c>
      <c r="H432" s="45">
        <f t="shared" si="644"/>
        <v>-0.16129845673465107</v>
      </c>
      <c r="I432" s="45">
        <f t="shared" si="644"/>
        <v>-3.5971162749592556E-2</v>
      </c>
      <c r="J432" s="45">
        <f t="shared" si="644"/>
        <v>2.1633763123890603E-2</v>
      </c>
      <c r="K432" s="45">
        <f>+K422/K416</f>
        <v>4.77368602351394E-2</v>
      </c>
      <c r="L432" s="7"/>
      <c r="M432" s="7"/>
      <c r="N432" s="45">
        <f t="shared" ref="N432:AW432" si="645">+N422/N416</f>
        <v>0.20834310150519292</v>
      </c>
      <c r="O432" s="45">
        <f t="shared" si="645"/>
        <v>0.19199255571131629</v>
      </c>
      <c r="P432" s="45">
        <f t="shared" si="645"/>
        <v>0.13112381910192902</v>
      </c>
      <c r="Q432" s="45">
        <f t="shared" si="645"/>
        <v>8.66814136529655E-2</v>
      </c>
      <c r="R432" s="45">
        <f t="shared" si="645"/>
        <v>6.4491544568953965E-2</v>
      </c>
      <c r="S432" s="45">
        <f t="shared" si="645"/>
        <v>6.223277137422565E-2</v>
      </c>
      <c r="T432" s="45">
        <f t="shared" si="645"/>
        <v>4.4084042677400855E-2</v>
      </c>
      <c r="U432" s="45">
        <f t="shared" si="645"/>
        <v>4.948908034462172E-3</v>
      </c>
      <c r="V432" s="45">
        <f t="shared" si="645"/>
        <v>1.5608510903232889E-2</v>
      </c>
      <c r="W432" s="45">
        <f t="shared" si="645"/>
        <v>7.9487954960508977E-2</v>
      </c>
      <c r="X432" s="45">
        <f t="shared" si="645"/>
        <v>3.834365941977045E-2</v>
      </c>
      <c r="Y432" s="45">
        <f t="shared" si="645"/>
        <v>2.8694765207378081E-2</v>
      </c>
      <c r="Z432" s="45">
        <f t="shared" si="645"/>
        <v>-9.0217879738655651E-2</v>
      </c>
      <c r="AA432" s="45">
        <f t="shared" si="645"/>
        <v>-0.10049151113325418</v>
      </c>
      <c r="AB432" s="45">
        <f t="shared" si="645"/>
        <v>-0.19224882775105032</v>
      </c>
      <c r="AC432" s="45">
        <f t="shared" si="645"/>
        <v>-0.21257032465473583</v>
      </c>
      <c r="AD432" s="45">
        <f t="shared" si="645"/>
        <v>-0.16178657211483488</v>
      </c>
      <c r="AE432" s="45">
        <f t="shared" si="645"/>
        <v>-0.22048578422142723</v>
      </c>
      <c r="AF432" s="45">
        <f t="shared" si="645"/>
        <v>-0.30643787898335689</v>
      </c>
      <c r="AG432" s="45">
        <f>+AG422/AG416</f>
        <v>-0.50161780324548644</v>
      </c>
      <c r="AH432" s="45">
        <f>+AH422/AH416</f>
        <v>-0.36919685154143278</v>
      </c>
      <c r="AI432" s="45">
        <f>+AI422/AI416</f>
        <v>-0.17237828138049344</v>
      </c>
      <c r="AJ432" s="45">
        <f>+AJ422/AJ416</f>
        <v>-0.12573073880390001</v>
      </c>
      <c r="AK432" s="45">
        <f>+AK422/AK416</f>
        <v>-6.1645254869456871E-2</v>
      </c>
      <c r="AL432" s="45">
        <f t="shared" si="645"/>
        <v>-7.6302563508643534E-2</v>
      </c>
      <c r="AM432" s="45">
        <f t="shared" si="645"/>
        <v>-3.6926033622281584E-2</v>
      </c>
      <c r="AN432" s="45">
        <f t="shared" si="645"/>
        <v>-2.3920373114958336E-2</v>
      </c>
      <c r="AO432" s="45">
        <f t="shared" si="645"/>
        <v>-1.1253939458715235E-2</v>
      </c>
      <c r="AP432" s="45">
        <f t="shared" si="645"/>
        <v>2.4043588683519291E-3</v>
      </c>
      <c r="AQ432" s="45">
        <f t="shared" si="645"/>
        <v>1.5092878593695406E-2</v>
      </c>
      <c r="AR432" s="45">
        <f t="shared" si="645"/>
        <v>2.7441708548943802E-2</v>
      </c>
      <c r="AS432" s="45">
        <f t="shared" si="645"/>
        <v>3.9457420098683464E-2</v>
      </c>
      <c r="AT432" s="45">
        <f t="shared" si="645"/>
        <v>4.3947688796525941E-2</v>
      </c>
      <c r="AU432" s="45">
        <f t="shared" si="645"/>
        <v>4.6429354473659035E-2</v>
      </c>
      <c r="AV432" s="45">
        <f t="shared" si="645"/>
        <v>4.8933436381390132E-2</v>
      </c>
      <c r="AW432" s="45">
        <f t="shared" si="645"/>
        <v>5.145546074922222E-2</v>
      </c>
      <c r="AX432" s="156"/>
      <c r="AY432" s="156"/>
      <c r="AZ432" s="156"/>
      <c r="BA432" s="156"/>
      <c r="BB432" s="156"/>
      <c r="BC432" s="156"/>
      <c r="BD432" s="156"/>
      <c r="BE432" s="156"/>
      <c r="BF432" s="2">
        <f t="shared" si="582"/>
        <v>426</v>
      </c>
    </row>
    <row r="433" spans="1:58" ht="11.25" hidden="1" customHeight="1" outlineLevel="3">
      <c r="A433" s="47"/>
      <c r="B433" s="185" t="s">
        <v>12</v>
      </c>
      <c r="C433" s="45">
        <f>+C416/AVERAGE(C425:C425)</f>
        <v>0.69128214700571278</v>
      </c>
      <c r="D433" s="45">
        <f>+D416/AVERAGE(C425:D425)</f>
        <v>0.66270890237942626</v>
      </c>
      <c r="E433" s="45">
        <f>+E416/AVERAGE(D425:E425)</f>
        <v>0.63175909559753229</v>
      </c>
      <c r="F433" s="45">
        <f>+F416/AVERAGE(E425:F425)</f>
        <v>0.49277697972366069</v>
      </c>
      <c r="G433" s="45"/>
      <c r="H433" s="45"/>
      <c r="I433" s="45"/>
      <c r="J433" s="45"/>
      <c r="K433" s="45"/>
      <c r="L433" s="7"/>
      <c r="M433" s="7"/>
      <c r="N433" s="45"/>
      <c r="O433" s="45"/>
      <c r="P433" s="45"/>
      <c r="Q433" s="45">
        <f t="shared" ref="Q433:AC433" si="646">+Q416/AVERAGE(P425:Q425)</f>
        <v>0.16897453951200006</v>
      </c>
      <c r="R433" s="45">
        <f t="shared" si="646"/>
        <v>0.16451645692960706</v>
      </c>
      <c r="S433" s="45">
        <f t="shared" si="646"/>
        <v>0.16193799410501927</v>
      </c>
      <c r="T433" s="45">
        <f t="shared" si="646"/>
        <v>0.15911231638458062</v>
      </c>
      <c r="U433" s="45">
        <f t="shared" si="646"/>
        <v>0.15805421897139219</v>
      </c>
      <c r="V433" s="45">
        <f t="shared" si="646"/>
        <v>0.14913499982358305</v>
      </c>
      <c r="W433" s="45">
        <f t="shared" si="646"/>
        <v>0.16197660101422612</v>
      </c>
      <c r="X433" s="45">
        <f t="shared" si="646"/>
        <v>0.16457573124545707</v>
      </c>
      <c r="Y433" s="45">
        <f t="shared" si="646"/>
        <v>0.16139067876178143</v>
      </c>
      <c r="Z433" s="45">
        <f t="shared" si="646"/>
        <v>0.12240293686442412</v>
      </c>
      <c r="AA433" s="45">
        <f t="shared" si="646"/>
        <v>0.13240758477817682</v>
      </c>
      <c r="AB433" s="45">
        <f t="shared" si="646"/>
        <v>0.14453941781816435</v>
      </c>
      <c r="AC433" s="45">
        <f t="shared" si="646"/>
        <v>0.13061460740545269</v>
      </c>
      <c r="AD433" s="45">
        <f t="shared" ref="AD433:AW433" si="647">IFERROR(+AD416/AVERAGE(AC425:AD425),0)</f>
        <v>0.11413329039936207</v>
      </c>
      <c r="AE433" s="45">
        <f t="shared" si="647"/>
        <v>0.11560471882093416</v>
      </c>
      <c r="AF433" s="45">
        <f t="shared" si="647"/>
        <v>0.13326284208671285</v>
      </c>
      <c r="AG433" s="45">
        <f t="shared" si="647"/>
        <v>0.13927129127021801</v>
      </c>
      <c r="AH433" s="45">
        <f t="shared" si="647"/>
        <v>0.11585326210396821</v>
      </c>
      <c r="AI433" s="45">
        <f t="shared" si="647"/>
        <v>0.15696757758385504</v>
      </c>
      <c r="AJ433" s="45">
        <f t="shared" si="647"/>
        <v>0.18102621758371948</v>
      </c>
      <c r="AK433" s="45">
        <f t="shared" si="647"/>
        <v>0.22649356122463637</v>
      </c>
      <c r="AL433" s="45">
        <f t="shared" si="647"/>
        <v>0.21407343203398305</v>
      </c>
      <c r="AM433" s="45">
        <f t="shared" si="647"/>
        <v>0</v>
      </c>
      <c r="AN433" s="45">
        <f t="shared" si="647"/>
        <v>0</v>
      </c>
      <c r="AO433" s="45">
        <f t="shared" si="647"/>
        <v>0</v>
      </c>
      <c r="AP433" s="45">
        <f t="shared" si="647"/>
        <v>0</v>
      </c>
      <c r="AQ433" s="45">
        <f t="shared" si="647"/>
        <v>0</v>
      </c>
      <c r="AR433" s="45">
        <f t="shared" si="647"/>
        <v>0</v>
      </c>
      <c r="AS433" s="45">
        <f t="shared" si="647"/>
        <v>0</v>
      </c>
      <c r="AT433" s="45">
        <f t="shared" si="647"/>
        <v>0</v>
      </c>
      <c r="AU433" s="45">
        <f t="shared" si="647"/>
        <v>0</v>
      </c>
      <c r="AV433" s="45">
        <f t="shared" si="647"/>
        <v>0</v>
      </c>
      <c r="AW433" s="45">
        <f t="shared" si="647"/>
        <v>0</v>
      </c>
      <c r="AX433" s="44"/>
      <c r="AY433" s="44"/>
      <c r="AZ433" s="44"/>
      <c r="BA433" s="44"/>
      <c r="BB433" s="44"/>
      <c r="BC433" s="44"/>
      <c r="BD433" s="44"/>
      <c r="BE433" s="44"/>
      <c r="BF433" s="2">
        <f t="shared" si="582"/>
        <v>427</v>
      </c>
    </row>
    <row r="434" spans="1:58" ht="11.25" hidden="1" customHeight="1" outlineLevel="3">
      <c r="A434" s="47"/>
      <c r="B434" s="185" t="s">
        <v>11</v>
      </c>
      <c r="C434" s="45">
        <f>+C422/AVERAGE(C425:C425)</f>
        <v>0.10716316699904234</v>
      </c>
      <c r="D434" s="45">
        <f>+D422/AVERAGE(C425:D425)</f>
        <v>2.9454696825078067E-2</v>
      </c>
      <c r="E434" s="45">
        <f>+E422/AVERAGE(D425:E425)</f>
        <v>2.5874944909754474E-2</v>
      </c>
      <c r="F434" s="45">
        <f>+F422/AVERAGE(E425:F425)</f>
        <v>-6.7461550184993641E-2</v>
      </c>
      <c r="G434" s="45"/>
      <c r="H434" s="45"/>
      <c r="I434" s="45"/>
      <c r="J434" s="45"/>
      <c r="K434" s="45"/>
      <c r="L434" s="7"/>
      <c r="M434" s="7"/>
      <c r="N434" s="45"/>
      <c r="O434" s="45"/>
      <c r="P434" s="45"/>
      <c r="Q434" s="45">
        <f t="shared" ref="Q434:AC434" si="648">+Q422/AVERAGE(P425:Q425)</f>
        <v>1.4646951956259041E-2</v>
      </c>
      <c r="R434" s="45">
        <f t="shared" si="648"/>
        <v>1.060992041440215E-2</v>
      </c>
      <c r="S434" s="45">
        <f t="shared" si="648"/>
        <v>1.0077850163938366E-2</v>
      </c>
      <c r="T434" s="45">
        <f t="shared" si="648"/>
        <v>7.01431414599796E-3</v>
      </c>
      <c r="U434" s="45">
        <f t="shared" si="648"/>
        <v>7.8219579414816613E-4</v>
      </c>
      <c r="V434" s="45">
        <f t="shared" si="648"/>
        <v>2.3277752708000311E-3</v>
      </c>
      <c r="W434" s="45">
        <f t="shared" si="648"/>
        <v>1.2875188766075138E-2</v>
      </c>
      <c r="X434" s="45">
        <f t="shared" si="648"/>
        <v>6.3104357876354799E-3</v>
      </c>
      <c r="Y434" s="45">
        <f t="shared" si="648"/>
        <v>4.631067633728698E-3</v>
      </c>
      <c r="Z434" s="45">
        <f t="shared" si="648"/>
        <v>-1.1042933437692876E-2</v>
      </c>
      <c r="AA434" s="45">
        <f t="shared" si="648"/>
        <v>-1.3305838279863452E-2</v>
      </c>
      <c r="AB434" s="45">
        <f t="shared" si="648"/>
        <v>-2.7787533639361369E-2</v>
      </c>
      <c r="AC434" s="45">
        <f t="shared" si="648"/>
        <v>-2.7764789500827943E-2</v>
      </c>
      <c r="AD434" s="45">
        <f t="shared" ref="AD434:AW434" si="649">IFERROR(+AD422/AVERAGE(AC425:AD425),0)</f>
        <v>-1.8465233817899784E-2</v>
      </c>
      <c r="AE434" s="45">
        <f t="shared" si="649"/>
        <v>-2.548919708893126E-2</v>
      </c>
      <c r="AF434" s="45">
        <f t="shared" si="649"/>
        <v>-4.0836782676346314E-2</v>
      </c>
      <c r="AG434" s="45">
        <f t="shared" si="649"/>
        <v>-6.9860959182129062E-2</v>
      </c>
      <c r="AH434" s="45">
        <f t="shared" si="649"/>
        <v>-4.2772659609589453E-2</v>
      </c>
      <c r="AI434" s="45">
        <f t="shared" si="649"/>
        <v>-2.7057801256364197E-2</v>
      </c>
      <c r="AJ434" s="45">
        <f t="shared" si="649"/>
        <v>-2.2760560079676605E-2</v>
      </c>
      <c r="AK434" s="45">
        <f t="shared" si="649"/>
        <v>-1.3962253307983643E-2</v>
      </c>
      <c r="AL434" s="45">
        <f t="shared" si="649"/>
        <v>-1.6334351643286275E-2</v>
      </c>
      <c r="AM434" s="45">
        <f t="shared" si="649"/>
        <v>0</v>
      </c>
      <c r="AN434" s="45">
        <f t="shared" si="649"/>
        <v>0</v>
      </c>
      <c r="AO434" s="45">
        <f t="shared" si="649"/>
        <v>0</v>
      </c>
      <c r="AP434" s="45">
        <f t="shared" si="649"/>
        <v>0</v>
      </c>
      <c r="AQ434" s="45">
        <f t="shared" si="649"/>
        <v>0</v>
      </c>
      <c r="AR434" s="45">
        <f t="shared" si="649"/>
        <v>0</v>
      </c>
      <c r="AS434" s="45">
        <f t="shared" si="649"/>
        <v>0</v>
      </c>
      <c r="AT434" s="45">
        <f t="shared" si="649"/>
        <v>0</v>
      </c>
      <c r="AU434" s="45">
        <f t="shared" si="649"/>
        <v>0</v>
      </c>
      <c r="AV434" s="45">
        <f t="shared" si="649"/>
        <v>0</v>
      </c>
      <c r="AW434" s="45">
        <f t="shared" si="649"/>
        <v>0</v>
      </c>
      <c r="AX434" s="44"/>
      <c r="AY434" s="44"/>
      <c r="AZ434" s="44"/>
      <c r="BA434" s="44"/>
      <c r="BB434" s="44"/>
      <c r="BC434" s="44"/>
      <c r="BD434" s="44"/>
      <c r="BE434" s="44"/>
      <c r="BF434" s="2">
        <f t="shared" si="582"/>
        <v>428</v>
      </c>
    </row>
    <row r="435" spans="1:58" ht="11.25" hidden="1" customHeight="1" outlineLevel="3">
      <c r="A435" s="47"/>
      <c r="B435" s="185"/>
      <c r="C435" s="45"/>
      <c r="D435" s="45"/>
      <c r="E435" s="45"/>
      <c r="F435" s="45"/>
      <c r="G435" s="45"/>
      <c r="H435" s="45"/>
      <c r="I435" s="45"/>
      <c r="J435" s="45"/>
      <c r="K435" s="45"/>
      <c r="L435" s="7"/>
      <c r="M435" s="7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  <c r="AG435" s="45"/>
      <c r="AH435" s="45"/>
      <c r="AI435" s="45"/>
      <c r="AJ435" s="45"/>
      <c r="AK435" s="45"/>
      <c r="AL435" s="45"/>
      <c r="AM435" s="45"/>
      <c r="AN435" s="45"/>
      <c r="AO435" s="45"/>
      <c r="AP435" s="45"/>
      <c r="AQ435" s="45"/>
      <c r="AR435" s="45"/>
      <c r="AS435" s="45"/>
      <c r="AT435" s="45"/>
      <c r="AU435" s="45"/>
      <c r="AV435" s="45"/>
      <c r="AW435" s="45"/>
      <c r="AX435" s="44"/>
      <c r="AY435" s="44"/>
      <c r="AZ435" s="44"/>
      <c r="BA435" s="44"/>
      <c r="BB435" s="44"/>
      <c r="BC435" s="44"/>
      <c r="BD435" s="44"/>
      <c r="BE435" s="44"/>
      <c r="BF435" s="2">
        <f t="shared" si="582"/>
        <v>429</v>
      </c>
    </row>
    <row r="436" spans="1:58" ht="11.25" hidden="1" customHeight="1" outlineLevel="2" collapsed="1">
      <c r="A436" s="50" t="s">
        <v>5</v>
      </c>
      <c r="B436" s="183" t="s">
        <v>162</v>
      </c>
      <c r="C436" s="48"/>
      <c r="D436" s="48"/>
      <c r="E436" s="48"/>
      <c r="F436" s="48"/>
      <c r="G436" s="48"/>
      <c r="H436" s="48"/>
      <c r="I436" s="48"/>
      <c r="J436" s="48"/>
      <c r="K436" s="48"/>
      <c r="L436" s="49"/>
      <c r="M436" s="3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  <c r="AB436" s="48"/>
      <c r="AC436" s="48"/>
      <c r="AD436" s="48"/>
      <c r="AE436" s="48"/>
      <c r="AF436" s="48"/>
      <c r="AG436" s="48"/>
      <c r="AH436" s="48"/>
      <c r="AI436" s="48"/>
      <c r="AJ436" s="48"/>
      <c r="AK436" s="48"/>
      <c r="AL436" s="48"/>
      <c r="AM436" s="48"/>
      <c r="AN436" s="48"/>
      <c r="AO436" s="48"/>
      <c r="AP436" s="48"/>
      <c r="AQ436" s="48"/>
      <c r="AR436" s="48"/>
      <c r="AS436" s="48"/>
      <c r="AT436" s="48"/>
      <c r="AU436" s="48"/>
      <c r="AV436" s="48"/>
      <c r="AW436" s="48"/>
      <c r="AX436" s="5"/>
      <c r="AY436" s="5"/>
      <c r="AZ436" s="5"/>
      <c r="BA436" s="5"/>
      <c r="BB436" s="5"/>
      <c r="BC436" s="5"/>
      <c r="BD436" s="5"/>
      <c r="BE436" s="5"/>
      <c r="BF436" s="2">
        <f t="shared" si="582"/>
        <v>430</v>
      </c>
    </row>
    <row r="437" spans="1:58" ht="11.25" hidden="1" customHeight="1" outlineLevel="3">
      <c r="A437" s="50"/>
      <c r="B437" s="196" t="s">
        <v>28</v>
      </c>
      <c r="C437" s="48"/>
      <c r="D437" s="48"/>
      <c r="E437" s="48"/>
      <c r="F437" s="48"/>
      <c r="G437" s="48"/>
      <c r="H437" s="48"/>
      <c r="I437" s="48"/>
      <c r="J437" s="48"/>
      <c r="K437" s="48"/>
      <c r="L437" s="49"/>
      <c r="M437" s="3"/>
      <c r="N437" s="48"/>
      <c r="O437" s="48"/>
      <c r="P437" s="48"/>
      <c r="Q437" s="48"/>
      <c r="R437" s="195" t="s">
        <v>167</v>
      </c>
      <c r="S437" s="194"/>
      <c r="T437" s="194"/>
      <c r="U437" s="194"/>
      <c r="V437" s="48"/>
      <c r="W437" s="48"/>
      <c r="X437" s="48"/>
      <c r="Y437" s="48"/>
      <c r="Z437" s="48"/>
      <c r="AA437" s="48"/>
      <c r="AB437" s="48"/>
      <c r="AC437" s="48"/>
      <c r="AD437" s="48"/>
      <c r="AE437" s="48"/>
      <c r="AF437" s="48"/>
      <c r="AG437" s="48"/>
      <c r="AH437" s="48"/>
      <c r="AI437" s="48"/>
      <c r="AJ437" s="48"/>
      <c r="AK437" s="48"/>
      <c r="AL437" s="48"/>
      <c r="AM437" s="48"/>
      <c r="AN437" s="48"/>
      <c r="AO437" s="48"/>
      <c r="AP437" s="48"/>
      <c r="AQ437" s="48"/>
      <c r="AR437" s="48"/>
      <c r="AS437" s="48"/>
      <c r="AT437" s="48"/>
      <c r="AU437" s="48"/>
      <c r="AV437" s="48"/>
      <c r="AW437" s="48"/>
      <c r="AX437" s="5"/>
      <c r="AY437" s="5"/>
      <c r="AZ437" s="5"/>
      <c r="BA437" s="5"/>
      <c r="BB437" s="5"/>
      <c r="BC437" s="5"/>
      <c r="BD437" s="5"/>
      <c r="BE437" s="5"/>
      <c r="BF437" s="2">
        <f t="shared" si="582"/>
        <v>431</v>
      </c>
    </row>
    <row r="438" spans="1:58" ht="11.25" hidden="1" customHeight="1" outlineLevel="3">
      <c r="A438" s="52"/>
      <c r="B438" s="188" t="s">
        <v>27</v>
      </c>
      <c r="C438" s="68">
        <f t="shared" ref="C438:E439" si="650">SUMIFS($N438:$AX438,$N$4:$AX$4,C$4)</f>
        <v>688.03499999999997</v>
      </c>
      <c r="D438" s="68">
        <f t="shared" si="650"/>
        <v>469.28399999999999</v>
      </c>
      <c r="E438" s="68">
        <f t="shared" si="650"/>
        <v>548.8119999999999</v>
      </c>
      <c r="F438" s="40">
        <f>497.546-22.9</f>
        <v>474.64600000000002</v>
      </c>
      <c r="G438" s="51">
        <f t="shared" ref="G438:K439" si="651">SUMIFS($N438:$AX438,$N$4:$AX$4,G$4)</f>
        <v>284.17599999999999</v>
      </c>
      <c r="H438" s="51">
        <f t="shared" si="651"/>
        <v>272.42200000000003</v>
      </c>
      <c r="I438" s="51">
        <f t="shared" si="651"/>
        <v>228.48945354100002</v>
      </c>
      <c r="J438" s="51">
        <f t="shared" si="651"/>
        <v>246.46846785919658</v>
      </c>
      <c r="K438" s="51">
        <f t="shared" si="651"/>
        <v>268.87382184782439</v>
      </c>
      <c r="L438" s="7"/>
      <c r="M438" s="7"/>
      <c r="N438" s="51">
        <f>+N14</f>
        <v>143.76300000000001</v>
      </c>
      <c r="O438" s="51">
        <f>+O14</f>
        <v>156.06</v>
      </c>
      <c r="P438" s="51">
        <f>+P14</f>
        <v>189.721</v>
      </c>
      <c r="Q438" s="51">
        <f>+Q14</f>
        <v>198.49100000000001</v>
      </c>
      <c r="R438" s="193">
        <v>130.096</v>
      </c>
      <c r="S438" s="193">
        <v>118.425</v>
      </c>
      <c r="T438" s="193">
        <v>123.151</v>
      </c>
      <c r="U438" s="193">
        <f>469.284-T438-S438-R438</f>
        <v>97.611999999999966</v>
      </c>
      <c r="V438" s="51">
        <f t="shared" ref="V438:AW438" si="652">+V14</f>
        <v>130.096</v>
      </c>
      <c r="W438" s="51">
        <f t="shared" si="652"/>
        <v>139.64599999999999</v>
      </c>
      <c r="X438" s="51">
        <f t="shared" si="652"/>
        <v>150.18</v>
      </c>
      <c r="Y438" s="51">
        <f t="shared" si="652"/>
        <v>128.88999999999999</v>
      </c>
      <c r="Z438" s="51">
        <f t="shared" si="652"/>
        <v>115.315</v>
      </c>
      <c r="AA438" s="51">
        <f t="shared" si="652"/>
        <v>127.00700000000001</v>
      </c>
      <c r="AB438" s="51">
        <f t="shared" si="652"/>
        <v>104.074</v>
      </c>
      <c r="AC438" s="51">
        <f t="shared" si="652"/>
        <v>121.172</v>
      </c>
      <c r="AD438" s="51">
        <f t="shared" si="652"/>
        <v>87.344999999999999</v>
      </c>
      <c r="AE438" s="51">
        <f t="shared" si="652"/>
        <v>79.201999999999998</v>
      </c>
      <c r="AF438" s="51">
        <f t="shared" si="652"/>
        <v>64.093000000000004</v>
      </c>
      <c r="AG438" s="51">
        <f t="shared" si="652"/>
        <v>53.536000000000001</v>
      </c>
      <c r="AH438" s="51">
        <f t="shared" si="652"/>
        <v>58.920999999999999</v>
      </c>
      <c r="AI438" s="51">
        <f t="shared" si="652"/>
        <v>63.555999999999997</v>
      </c>
      <c r="AJ438" s="51">
        <f t="shared" si="652"/>
        <v>83.084999999999994</v>
      </c>
      <c r="AK438" s="51">
        <f t="shared" si="652"/>
        <v>66.86</v>
      </c>
      <c r="AL438" s="51">
        <f t="shared" si="652"/>
        <v>58.431160000000006</v>
      </c>
      <c r="AM438" s="51">
        <f t="shared" si="652"/>
        <v>55.807430400000001</v>
      </c>
      <c r="AN438" s="51">
        <f t="shared" si="652"/>
        <v>56.676061620000013</v>
      </c>
      <c r="AO438" s="51">
        <f t="shared" si="652"/>
        <v>57.574801521000012</v>
      </c>
      <c r="AP438" s="51">
        <f t="shared" si="652"/>
        <v>59.002583423915532</v>
      </c>
      <c r="AQ438" s="51">
        <f t="shared" si="652"/>
        <v>60.70824025314257</v>
      </c>
      <c r="AR438" s="51">
        <f t="shared" si="652"/>
        <v>62.469436934495043</v>
      </c>
      <c r="AS438" s="51">
        <f t="shared" si="652"/>
        <v>64.288207247643442</v>
      </c>
      <c r="AT438" s="51">
        <f t="shared" si="652"/>
        <v>65.642871691628841</v>
      </c>
      <c r="AU438" s="51">
        <f t="shared" si="652"/>
        <v>66.681191366811817</v>
      </c>
      <c r="AV438" s="51">
        <f t="shared" si="652"/>
        <v>67.737532057911963</v>
      </c>
      <c r="AW438" s="51">
        <f t="shared" si="652"/>
        <v>68.812226731471753</v>
      </c>
      <c r="AX438" s="53"/>
      <c r="AY438" s="53"/>
      <c r="AZ438" s="53"/>
      <c r="BA438" s="53"/>
      <c r="BB438" s="53"/>
      <c r="BC438" s="53"/>
      <c r="BD438" s="53"/>
      <c r="BE438" s="53"/>
      <c r="BF438" s="2">
        <f t="shared" si="582"/>
        <v>432</v>
      </c>
    </row>
    <row r="439" spans="1:58" ht="11.25" hidden="1" customHeight="1" outlineLevel="3">
      <c r="A439" s="52"/>
      <c r="B439" s="188" t="s">
        <v>26</v>
      </c>
      <c r="C439" s="68">
        <f t="shared" si="650"/>
        <v>-464.33600000000001</v>
      </c>
      <c r="D439" s="68">
        <f t="shared" si="650"/>
        <v>-262.03200000000004</v>
      </c>
      <c r="E439" s="68">
        <f t="shared" si="650"/>
        <v>-297.79399999999998</v>
      </c>
      <c r="F439" s="51">
        <f>SUMIFS($N439:$AX439,$N$4:$AX$4,F$4)</f>
        <v>-301.48599999999999</v>
      </c>
      <c r="G439" s="51">
        <f t="shared" si="651"/>
        <v>-194.548</v>
      </c>
      <c r="H439" s="51">
        <f t="shared" si="651"/>
        <v>-175.477</v>
      </c>
      <c r="I439" s="51">
        <f t="shared" si="651"/>
        <v>-145.31614961404068</v>
      </c>
      <c r="J439" s="51">
        <f t="shared" si="651"/>
        <v>-159.31265251301284</v>
      </c>
      <c r="K439" s="51">
        <f t="shared" si="651"/>
        <v>-174.3247218049832</v>
      </c>
      <c r="L439" s="7"/>
      <c r="M439" s="7"/>
      <c r="N439" s="40">
        <v>-100.524</v>
      </c>
      <c r="O439" s="40">
        <v>-96.703000000000003</v>
      </c>
      <c r="P439" s="40">
        <v>-131.363</v>
      </c>
      <c r="Q439" s="40">
        <f>-464.336-P439-O439-N439</f>
        <v>-135.74600000000001</v>
      </c>
      <c r="R439" s="191">
        <v>-52.155000000000001</v>
      </c>
      <c r="S439" s="191">
        <v>-65.338999999999999</v>
      </c>
      <c r="T439" s="191">
        <v>-70.507999999999996</v>
      </c>
      <c r="U439" s="191">
        <f>-262.032-T439-S439-R439</f>
        <v>-74.03</v>
      </c>
      <c r="V439" s="40">
        <v>-72.992999999999995</v>
      </c>
      <c r="W439" s="40">
        <v>-71.53</v>
      </c>
      <c r="X439" s="40">
        <v>-79.415000000000006</v>
      </c>
      <c r="Y439" s="40">
        <f>-297.794-X439-W439-V439</f>
        <v>-73.855999999999966</v>
      </c>
      <c r="Z439" s="40">
        <v>-73.566000000000003</v>
      </c>
      <c r="AA439" s="40">
        <v>-77.991</v>
      </c>
      <c r="AB439" s="40">
        <v>-71.284000000000006</v>
      </c>
      <c r="AC439" s="40">
        <f>-301.486-AB439-AA439-Z439</f>
        <v>-78.64500000000001</v>
      </c>
      <c r="AD439" s="40">
        <v>-50.600999999999999</v>
      </c>
      <c r="AE439" s="40">
        <v>-44.317999999999998</v>
      </c>
      <c r="AF439" s="40">
        <v>-40.466000000000001</v>
      </c>
      <c r="AG439" s="40">
        <f>-194.548-AF439-AE439-AD439</f>
        <v>-59.162999999999997</v>
      </c>
      <c r="AH439" s="40">
        <v>-38.088999999999999</v>
      </c>
      <c r="AI439" s="40">
        <v>-40.468000000000004</v>
      </c>
      <c r="AJ439" s="40">
        <v>-48.387</v>
      </c>
      <c r="AK439" s="40">
        <f>-175.477-AJ439-AI439-AH439</f>
        <v>-48.533000000000001</v>
      </c>
      <c r="AL439" s="68">
        <f t="shared" ref="AL439:AW439" si="653">+AL440-AL438</f>
        <v>-36.987924731296609</v>
      </c>
      <c r="AM439" s="68">
        <f t="shared" si="653"/>
        <v>-35.092802026609569</v>
      </c>
      <c r="AN439" s="68">
        <f t="shared" si="653"/>
        <v>-36.286886318315673</v>
      </c>
      <c r="AO439" s="68">
        <f t="shared" si="653"/>
        <v>-36.948536537818832</v>
      </c>
      <c r="AP439" s="68">
        <f t="shared" si="653"/>
        <v>-37.936164553821172</v>
      </c>
      <c r="AQ439" s="68">
        <f t="shared" si="653"/>
        <v>-39.167932489571456</v>
      </c>
      <c r="AR439" s="68">
        <f t="shared" si="653"/>
        <v>-40.443619828023543</v>
      </c>
      <c r="AS439" s="68">
        <f t="shared" si="653"/>
        <v>-41.764935641596658</v>
      </c>
      <c r="AT439" s="68">
        <f t="shared" si="653"/>
        <v>-42.662244623557868</v>
      </c>
      <c r="AU439" s="68">
        <f t="shared" si="653"/>
        <v>-43.26840553324439</v>
      </c>
      <c r="AV439" s="68">
        <f t="shared" si="653"/>
        <v>-43.884218821296798</v>
      </c>
      <c r="AW439" s="68">
        <f t="shared" si="653"/>
        <v>-44.509852826884128</v>
      </c>
      <c r="AX439" s="130"/>
      <c r="AY439" s="130"/>
      <c r="AZ439" s="130"/>
      <c r="BA439" s="130"/>
      <c r="BB439" s="130"/>
      <c r="BC439" s="130"/>
      <c r="BD439" s="130"/>
      <c r="BE439" s="130"/>
      <c r="BF439" s="2">
        <f t="shared" si="582"/>
        <v>433</v>
      </c>
    </row>
    <row r="440" spans="1:58" ht="11.25" hidden="1" customHeight="1" outlineLevel="3">
      <c r="A440" s="52"/>
      <c r="B440" s="189" t="s">
        <v>166</v>
      </c>
      <c r="C440" s="38">
        <f t="shared" ref="C440:J440" si="654">SUM(C438:C439)</f>
        <v>223.69899999999996</v>
      </c>
      <c r="D440" s="38">
        <f t="shared" si="654"/>
        <v>207.25199999999995</v>
      </c>
      <c r="E440" s="38">
        <f t="shared" si="654"/>
        <v>251.01799999999992</v>
      </c>
      <c r="F440" s="38">
        <f t="shared" si="654"/>
        <v>173.16000000000003</v>
      </c>
      <c r="G440" s="38">
        <f t="shared" si="654"/>
        <v>89.627999999999986</v>
      </c>
      <c r="H440" s="38">
        <f t="shared" si="654"/>
        <v>96.945000000000022</v>
      </c>
      <c r="I440" s="38">
        <f t="shared" si="654"/>
        <v>83.173303926959335</v>
      </c>
      <c r="J440" s="38">
        <f t="shared" si="654"/>
        <v>87.155815346183743</v>
      </c>
      <c r="K440" s="38">
        <f>SUM(K438:K439)</f>
        <v>94.549100042841189</v>
      </c>
      <c r="L440" s="27"/>
      <c r="M440" s="27"/>
      <c r="N440" s="38">
        <f t="shared" ref="N440:AK440" si="655">SUM(N438:N439)</f>
        <v>43.239000000000004</v>
      </c>
      <c r="O440" s="38">
        <f t="shared" si="655"/>
        <v>59.356999999999999</v>
      </c>
      <c r="P440" s="38">
        <f t="shared" si="655"/>
        <v>58.358000000000004</v>
      </c>
      <c r="Q440" s="38">
        <f t="shared" si="655"/>
        <v>62.745000000000005</v>
      </c>
      <c r="R440" s="190">
        <f t="shared" si="655"/>
        <v>77.941000000000003</v>
      </c>
      <c r="S440" s="190">
        <f t="shared" si="655"/>
        <v>53.085999999999999</v>
      </c>
      <c r="T440" s="190">
        <f t="shared" si="655"/>
        <v>52.643000000000001</v>
      </c>
      <c r="U440" s="190">
        <f t="shared" si="655"/>
        <v>23.581999999999965</v>
      </c>
      <c r="V440" s="38">
        <f t="shared" si="655"/>
        <v>57.103000000000009</v>
      </c>
      <c r="W440" s="38">
        <f t="shared" si="655"/>
        <v>68.115999999999985</v>
      </c>
      <c r="X440" s="38">
        <f t="shared" si="655"/>
        <v>70.765000000000001</v>
      </c>
      <c r="Y440" s="38">
        <f t="shared" si="655"/>
        <v>55.03400000000002</v>
      </c>
      <c r="Z440" s="38">
        <f t="shared" si="655"/>
        <v>41.748999999999995</v>
      </c>
      <c r="AA440" s="38">
        <f t="shared" si="655"/>
        <v>49.016000000000005</v>
      </c>
      <c r="AB440" s="38">
        <f t="shared" si="655"/>
        <v>32.789999999999992</v>
      </c>
      <c r="AC440" s="38">
        <f t="shared" si="655"/>
        <v>42.526999999999987</v>
      </c>
      <c r="AD440" s="38">
        <f t="shared" si="655"/>
        <v>36.744</v>
      </c>
      <c r="AE440" s="38">
        <f t="shared" si="655"/>
        <v>34.884</v>
      </c>
      <c r="AF440" s="38">
        <f t="shared" si="655"/>
        <v>23.627000000000002</v>
      </c>
      <c r="AG440" s="38">
        <f t="shared" si="655"/>
        <v>-5.6269999999999953</v>
      </c>
      <c r="AH440" s="38">
        <f t="shared" si="655"/>
        <v>20.832000000000001</v>
      </c>
      <c r="AI440" s="38">
        <f t="shared" si="655"/>
        <v>23.087999999999994</v>
      </c>
      <c r="AJ440" s="38">
        <f t="shared" si="655"/>
        <v>34.697999999999993</v>
      </c>
      <c r="AK440" s="38">
        <f t="shared" si="655"/>
        <v>18.326999999999998</v>
      </c>
      <c r="AL440" s="273">
        <f t="shared" ref="AL440:AW440" si="656">AL442-AL441</f>
        <v>21.443235268703397</v>
      </c>
      <c r="AM440" s="273">
        <f t="shared" si="656"/>
        <v>20.714628373390433</v>
      </c>
      <c r="AN440" s="273">
        <f t="shared" si="656"/>
        <v>20.38917530168434</v>
      </c>
      <c r="AO440" s="273">
        <f t="shared" si="656"/>
        <v>20.62626498318118</v>
      </c>
      <c r="AP440" s="273">
        <f t="shared" si="656"/>
        <v>21.066418870094356</v>
      </c>
      <c r="AQ440" s="273">
        <f t="shared" si="656"/>
        <v>21.540307763571118</v>
      </c>
      <c r="AR440" s="273">
        <f t="shared" si="656"/>
        <v>22.025817106471504</v>
      </c>
      <c r="AS440" s="273">
        <f t="shared" si="656"/>
        <v>22.523271606046784</v>
      </c>
      <c r="AT440" s="273">
        <f t="shared" si="656"/>
        <v>22.980627068070969</v>
      </c>
      <c r="AU440" s="273">
        <f t="shared" si="656"/>
        <v>23.412785833567426</v>
      </c>
      <c r="AV440" s="273">
        <f t="shared" si="656"/>
        <v>23.853313236615165</v>
      </c>
      <c r="AW440" s="273">
        <f t="shared" si="656"/>
        <v>24.302373904587625</v>
      </c>
      <c r="AX440" s="192"/>
      <c r="AY440" s="192"/>
      <c r="AZ440" s="192"/>
      <c r="BA440" s="192"/>
      <c r="BB440" s="192"/>
      <c r="BC440" s="192"/>
      <c r="BD440" s="192"/>
      <c r="BE440" s="192"/>
      <c r="BF440" s="2">
        <f t="shared" si="582"/>
        <v>434</v>
      </c>
    </row>
    <row r="441" spans="1:58" ht="11.25" hidden="1" customHeight="1" outlineLevel="3">
      <c r="A441" s="52"/>
      <c r="B441" s="188" t="s">
        <v>25</v>
      </c>
      <c r="C441" s="68">
        <f t="shared" ref="C441:K441" si="657">SUMIFS($N441:$AX441,$N$4:$AX$4,C$4)</f>
        <v>-133.78399999999999</v>
      </c>
      <c r="D441" s="68">
        <f t="shared" si="657"/>
        <v>-107.59200000000001</v>
      </c>
      <c r="E441" s="68">
        <f t="shared" si="657"/>
        <v>-119.268</v>
      </c>
      <c r="F441" s="51">
        <f t="shared" si="657"/>
        <v>-122.59</v>
      </c>
      <c r="G441" s="51">
        <f t="shared" si="657"/>
        <v>-88.706999999999994</v>
      </c>
      <c r="H441" s="51">
        <f t="shared" si="657"/>
        <v>-51.679000000000002</v>
      </c>
      <c r="I441" s="51">
        <f t="shared" si="657"/>
        <v>-58.597661068859345</v>
      </c>
      <c r="J441" s="51">
        <f t="shared" si="657"/>
        <v>-62.508968560264094</v>
      </c>
      <c r="K441" s="51">
        <f t="shared" si="657"/>
        <v>-67.661717858058751</v>
      </c>
      <c r="L441" s="7"/>
      <c r="M441" s="7"/>
      <c r="N441" s="40">
        <v>-30.928999999999998</v>
      </c>
      <c r="O441" s="40">
        <v>-29.957000000000001</v>
      </c>
      <c r="P441" s="40">
        <v>-35.139000000000003</v>
      </c>
      <c r="Q441" s="40">
        <f>-133.784-P441-O441-N441</f>
        <v>-37.758999999999986</v>
      </c>
      <c r="R441" s="191">
        <v>-24.141999999999999</v>
      </c>
      <c r="S441" s="191">
        <v>-24.893999999999998</v>
      </c>
      <c r="T441" s="191">
        <v>-27.548999999999999</v>
      </c>
      <c r="U441" s="191">
        <f>-107.592-T441-S441-R441</f>
        <v>-31.007000000000009</v>
      </c>
      <c r="V441" s="40">
        <v>-28.603000000000002</v>
      </c>
      <c r="W441" s="40">
        <v>-26.646000000000001</v>
      </c>
      <c r="X441" s="40">
        <v>-32.694000000000003</v>
      </c>
      <c r="Y441" s="40">
        <f>-119.268-X441-W441-V441</f>
        <v>-31.324999999999996</v>
      </c>
      <c r="Z441" s="40">
        <v>-29.027999999999999</v>
      </c>
      <c r="AA441" s="40">
        <v>-29.065999999999999</v>
      </c>
      <c r="AB441" s="40">
        <v>-27.135000000000002</v>
      </c>
      <c r="AC441" s="40">
        <f>-122.59-AB441-AA441-Z441</f>
        <v>-37.360999999999997</v>
      </c>
      <c r="AD441" s="40">
        <v>-25.126999999999999</v>
      </c>
      <c r="AE441" s="40">
        <v>-20.997</v>
      </c>
      <c r="AF441" s="40">
        <v>-23.475999999999999</v>
      </c>
      <c r="AG441" s="40">
        <f>-88.707-AF441-AE441-AD441</f>
        <v>-19.106999999999996</v>
      </c>
      <c r="AH441" s="337">
        <f t="shared" ref="AH441:AJ441" si="658">-51.679/4</f>
        <v>-12.919750000000001</v>
      </c>
      <c r="AI441" s="337">
        <f t="shared" si="658"/>
        <v>-12.919750000000001</v>
      </c>
      <c r="AJ441" s="337">
        <f t="shared" si="658"/>
        <v>-12.919750000000001</v>
      </c>
      <c r="AK441" s="337">
        <f>-51.679/4</f>
        <v>-12.919750000000001</v>
      </c>
      <c r="AL441" s="40">
        <f t="shared" ref="AL441:AW441" si="659">+AK441/AK$147*AL$147</f>
        <v>-14.431496068703398</v>
      </c>
      <c r="AM441" s="40">
        <f t="shared" si="659"/>
        <v>-14.575811029390431</v>
      </c>
      <c r="AN441" s="40">
        <f t="shared" si="659"/>
        <v>-14.721569139684336</v>
      </c>
      <c r="AO441" s="40">
        <f t="shared" si="659"/>
        <v>-14.868784831081179</v>
      </c>
      <c r="AP441" s="40">
        <f t="shared" si="659"/>
        <v>-15.166160527702804</v>
      </c>
      <c r="AQ441" s="40">
        <f t="shared" si="659"/>
        <v>-15.46948373825686</v>
      </c>
      <c r="AR441" s="40">
        <f t="shared" si="659"/>
        <v>-15.778873413021998</v>
      </c>
      <c r="AS441" s="40">
        <f t="shared" si="659"/>
        <v>-16.094450881282437</v>
      </c>
      <c r="AT441" s="40">
        <f t="shared" si="659"/>
        <v>-16.416339898908085</v>
      </c>
      <c r="AU441" s="40">
        <f t="shared" si="659"/>
        <v>-16.744666696886245</v>
      </c>
      <c r="AV441" s="40">
        <f t="shared" si="659"/>
        <v>-17.07956003082397</v>
      </c>
      <c r="AW441" s="40">
        <f t="shared" si="659"/>
        <v>-17.421151231440451</v>
      </c>
      <c r="AX441" s="129"/>
      <c r="AY441" s="129"/>
      <c r="AZ441" s="129"/>
      <c r="BA441" s="129"/>
      <c r="BB441" s="129"/>
      <c r="BC441" s="129"/>
      <c r="BD441" s="129"/>
      <c r="BE441" s="129"/>
      <c r="BF441" s="2">
        <f t="shared" si="582"/>
        <v>435</v>
      </c>
    </row>
    <row r="442" spans="1:58" ht="11.25" hidden="1" customHeight="1" outlineLevel="3">
      <c r="A442" s="41"/>
      <c r="B442" s="189" t="s">
        <v>24</v>
      </c>
      <c r="C442" s="38">
        <f t="shared" ref="C442:J442" si="660">SUM(C440:C441)</f>
        <v>89.914999999999964</v>
      </c>
      <c r="D442" s="38">
        <f t="shared" si="660"/>
        <v>99.65999999999994</v>
      </c>
      <c r="E442" s="38">
        <f t="shared" si="660"/>
        <v>131.74999999999991</v>
      </c>
      <c r="F442" s="38">
        <f t="shared" si="660"/>
        <v>50.570000000000022</v>
      </c>
      <c r="G442" s="38">
        <f t="shared" si="660"/>
        <v>0.92099999999999227</v>
      </c>
      <c r="H442" s="38">
        <f t="shared" si="660"/>
        <v>45.26600000000002</v>
      </c>
      <c r="I442" s="38">
        <f t="shared" si="660"/>
        <v>24.575642858099989</v>
      </c>
      <c r="J442" s="38">
        <f t="shared" si="660"/>
        <v>24.646846785919649</v>
      </c>
      <c r="K442" s="38">
        <f>SUM(K440:K441)</f>
        <v>26.887382184782439</v>
      </c>
      <c r="L442" s="7"/>
      <c r="M442" s="7"/>
      <c r="N442" s="38">
        <f t="shared" ref="N442:AG442" si="661">SUM(N440:N441)</f>
        <v>12.310000000000006</v>
      </c>
      <c r="O442" s="38">
        <f t="shared" si="661"/>
        <v>29.4</v>
      </c>
      <c r="P442" s="38">
        <f t="shared" si="661"/>
        <v>23.219000000000001</v>
      </c>
      <c r="Q442" s="38">
        <f t="shared" si="661"/>
        <v>24.986000000000018</v>
      </c>
      <c r="R442" s="190">
        <f t="shared" si="661"/>
        <v>53.799000000000007</v>
      </c>
      <c r="S442" s="190">
        <f t="shared" si="661"/>
        <v>28.192</v>
      </c>
      <c r="T442" s="190">
        <f t="shared" si="661"/>
        <v>25.094000000000001</v>
      </c>
      <c r="U442" s="190">
        <f t="shared" si="661"/>
        <v>-7.4250000000000433</v>
      </c>
      <c r="V442" s="38">
        <f t="shared" si="661"/>
        <v>28.500000000000007</v>
      </c>
      <c r="W442" s="38">
        <f t="shared" si="661"/>
        <v>41.469999999999985</v>
      </c>
      <c r="X442" s="38">
        <f t="shared" si="661"/>
        <v>38.070999999999998</v>
      </c>
      <c r="Y442" s="38">
        <f t="shared" si="661"/>
        <v>23.709000000000024</v>
      </c>
      <c r="Z442" s="38">
        <f t="shared" si="661"/>
        <v>12.720999999999997</v>
      </c>
      <c r="AA442" s="38">
        <f t="shared" si="661"/>
        <v>19.950000000000006</v>
      </c>
      <c r="AB442" s="38">
        <f t="shared" si="661"/>
        <v>5.6549999999999905</v>
      </c>
      <c r="AC442" s="38">
        <f t="shared" si="661"/>
        <v>5.1659999999999897</v>
      </c>
      <c r="AD442" s="38">
        <f t="shared" si="661"/>
        <v>11.617000000000001</v>
      </c>
      <c r="AE442" s="38">
        <f t="shared" si="661"/>
        <v>13.887</v>
      </c>
      <c r="AF442" s="38">
        <f t="shared" si="661"/>
        <v>0.15100000000000335</v>
      </c>
      <c r="AG442" s="38">
        <f t="shared" si="661"/>
        <v>-24.733999999999991</v>
      </c>
      <c r="AH442" s="38">
        <f>SUM(AH440:AH441)</f>
        <v>7.9122500000000002</v>
      </c>
      <c r="AI442" s="38">
        <f>SUM(AI440:AI441)</f>
        <v>10.168249999999993</v>
      </c>
      <c r="AJ442" s="38">
        <f>SUM(AJ440:AJ441)</f>
        <v>21.778249999999993</v>
      </c>
      <c r="AK442" s="38">
        <f>SUM(AK440:AK441)</f>
        <v>5.4072499999999977</v>
      </c>
      <c r="AL442" s="38">
        <f t="shared" ref="AL442:AW442" si="662">AL21</f>
        <v>7.0117392000000001</v>
      </c>
      <c r="AM442" s="38">
        <f t="shared" si="662"/>
        <v>6.1388173440000005</v>
      </c>
      <c r="AN442" s="38">
        <f t="shared" si="662"/>
        <v>5.667606162000002</v>
      </c>
      <c r="AO442" s="38">
        <f t="shared" si="662"/>
        <v>5.7574801521000012</v>
      </c>
      <c r="AP442" s="38">
        <f t="shared" si="662"/>
        <v>5.9002583423915533</v>
      </c>
      <c r="AQ442" s="38">
        <f t="shared" si="662"/>
        <v>6.0708240253142574</v>
      </c>
      <c r="AR442" s="38">
        <f t="shared" si="662"/>
        <v>6.2469436934495048</v>
      </c>
      <c r="AS442" s="38">
        <f t="shared" si="662"/>
        <v>6.4288207247643445</v>
      </c>
      <c r="AT442" s="38">
        <f t="shared" si="662"/>
        <v>6.5642871691628848</v>
      </c>
      <c r="AU442" s="38">
        <f t="shared" si="662"/>
        <v>6.6681191366811818</v>
      </c>
      <c r="AV442" s="38">
        <f t="shared" si="662"/>
        <v>6.7737532057911967</v>
      </c>
      <c r="AW442" s="38">
        <f t="shared" si="662"/>
        <v>6.8812226731471755</v>
      </c>
      <c r="AX442" s="39"/>
      <c r="AY442" s="39"/>
      <c r="AZ442" s="39"/>
      <c r="BA442" s="39"/>
      <c r="BB442" s="39"/>
      <c r="BC442" s="39"/>
      <c r="BD442" s="39"/>
      <c r="BE442" s="39"/>
      <c r="BF442" s="2">
        <f t="shared" si="582"/>
        <v>436</v>
      </c>
    </row>
    <row r="443" spans="1:58" ht="11.25" hidden="1" customHeight="1" outlineLevel="3">
      <c r="A443" s="52"/>
      <c r="B443" s="188" t="s">
        <v>23</v>
      </c>
      <c r="C443" s="68">
        <f t="shared" ref="C443:K443" si="663">SUMIFS($N443:$AX443,$N$4:$AX$4,C$4)</f>
        <v>-50.832000000000008</v>
      </c>
      <c r="D443" s="68">
        <f t="shared" si="663"/>
        <v>-41.197000000000003</v>
      </c>
      <c r="E443" s="68">
        <f t="shared" si="663"/>
        <v>-64.366</v>
      </c>
      <c r="F443" s="51">
        <f t="shared" si="663"/>
        <v>-62.152000000000001</v>
      </c>
      <c r="G443" s="51">
        <f t="shared" si="663"/>
        <v>-43.722000000000001</v>
      </c>
      <c r="H443" s="51">
        <f t="shared" si="663"/>
        <v>-29.506000000000004</v>
      </c>
      <c r="I443" s="51">
        <f t="shared" si="663"/>
        <v>-18.694544208054779</v>
      </c>
      <c r="J443" s="51">
        <f t="shared" si="663"/>
        <v>-16.860545309064605</v>
      </c>
      <c r="K443" s="51">
        <f t="shared" si="663"/>
        <v>-15.533336920799201</v>
      </c>
      <c r="L443" s="7"/>
      <c r="M443" s="7"/>
      <c r="N443" s="40">
        <v>-14.239000000000001</v>
      </c>
      <c r="O443" s="40">
        <v>-14.135</v>
      </c>
      <c r="P443" s="40">
        <v>-7.7590000000000003</v>
      </c>
      <c r="Q443" s="40">
        <f>-50.832-P443-O443-N443</f>
        <v>-14.699000000000002</v>
      </c>
      <c r="R443" s="191">
        <v>-7.9210000000000003</v>
      </c>
      <c r="S443" s="191">
        <v>-9.8529999999999998</v>
      </c>
      <c r="T443" s="191">
        <v>-11.507999999999999</v>
      </c>
      <c r="U443" s="191">
        <f>-41.197-T443-S443-R443</f>
        <v>-11.915000000000006</v>
      </c>
      <c r="V443" s="40">
        <v>-14.888999999999999</v>
      </c>
      <c r="W443" s="40">
        <v>-18.059000000000001</v>
      </c>
      <c r="X443" s="40">
        <v>-22.015999999999998</v>
      </c>
      <c r="Y443" s="40">
        <f>-64.366-X443-W443-V443</f>
        <v>-9.402000000000001</v>
      </c>
      <c r="Z443" s="40">
        <v>-14.164999999999999</v>
      </c>
      <c r="AA443" s="40">
        <v>-16.472999999999999</v>
      </c>
      <c r="AB443" s="40">
        <v>-14.063000000000001</v>
      </c>
      <c r="AC443" s="40">
        <f>-62.152-AB443-AA443-Z443</f>
        <v>-17.451000000000001</v>
      </c>
      <c r="AD443" s="40">
        <v>-11.676</v>
      </c>
      <c r="AE443" s="40">
        <v>-11.785</v>
      </c>
      <c r="AF443" s="40">
        <v>-10.881</v>
      </c>
      <c r="AG443" s="51">
        <f t="shared" ref="AG443:AW443" si="664">AG79</f>
        <v>-9.3800000000000008</v>
      </c>
      <c r="AH443" s="51">
        <f t="shared" si="664"/>
        <v>-8.3759999999999994</v>
      </c>
      <c r="AI443" s="51">
        <f t="shared" si="664"/>
        <v>-8.2550000000000008</v>
      </c>
      <c r="AJ443" s="51">
        <f t="shared" si="664"/>
        <v>-8.0290000000000017</v>
      </c>
      <c r="AK443" s="51">
        <f t="shared" ref="AK443" si="665">AK79</f>
        <v>-4.8460000000000001</v>
      </c>
      <c r="AL443" s="51">
        <f t="shared" si="664"/>
        <v>-4.8206223046530008</v>
      </c>
      <c r="AM443" s="51">
        <f t="shared" si="664"/>
        <v>-4.7317281752696987</v>
      </c>
      <c r="AN443" s="51">
        <f t="shared" si="664"/>
        <v>-4.6350010766716441</v>
      </c>
      <c r="AO443" s="51">
        <f t="shared" si="664"/>
        <v>-4.5071926514604366</v>
      </c>
      <c r="AP443" s="51">
        <f t="shared" si="664"/>
        <v>-4.3791022132406212</v>
      </c>
      <c r="AQ443" s="51">
        <f t="shared" si="664"/>
        <v>-4.2701403130615248</v>
      </c>
      <c r="AR443" s="51">
        <f t="shared" si="664"/>
        <v>-4.1606035887809369</v>
      </c>
      <c r="AS443" s="51">
        <f t="shared" si="664"/>
        <v>-4.0506991939815205</v>
      </c>
      <c r="AT443" s="51">
        <f t="shared" si="664"/>
        <v>-3.9406270693561738</v>
      </c>
      <c r="AU443" s="51">
        <f t="shared" si="664"/>
        <v>-3.903481261108221</v>
      </c>
      <c r="AV443" s="51">
        <f t="shared" si="664"/>
        <v>-3.86474316582273</v>
      </c>
      <c r="AW443" s="51">
        <f t="shared" si="664"/>
        <v>-3.8244854245120763</v>
      </c>
      <c r="AX443" s="129"/>
      <c r="AY443" s="129"/>
      <c r="AZ443" s="129"/>
      <c r="BA443" s="129"/>
      <c r="BB443" s="129"/>
      <c r="BC443" s="129"/>
      <c r="BD443" s="129"/>
      <c r="BE443" s="129"/>
      <c r="BF443" s="2">
        <f t="shared" si="582"/>
        <v>437</v>
      </c>
    </row>
    <row r="444" spans="1:58" ht="11.25" hidden="1" customHeight="1" outlineLevel="3">
      <c r="A444" s="41"/>
      <c r="B444" s="189" t="s">
        <v>22</v>
      </c>
      <c r="C444" s="38">
        <f t="shared" ref="C444:J444" si="666">SUM(C442:C443)</f>
        <v>39.082999999999956</v>
      </c>
      <c r="D444" s="38">
        <f t="shared" si="666"/>
        <v>58.462999999999937</v>
      </c>
      <c r="E444" s="38">
        <f t="shared" si="666"/>
        <v>67.383999999999915</v>
      </c>
      <c r="F444" s="38">
        <f t="shared" si="666"/>
        <v>-11.581999999999979</v>
      </c>
      <c r="G444" s="38">
        <f t="shared" si="666"/>
        <v>-42.801000000000009</v>
      </c>
      <c r="H444" s="38">
        <f t="shared" si="666"/>
        <v>15.760000000000016</v>
      </c>
      <c r="I444" s="38">
        <f t="shared" si="666"/>
        <v>5.8810986500452103</v>
      </c>
      <c r="J444" s="38">
        <f t="shared" si="666"/>
        <v>7.7863014768550443</v>
      </c>
      <c r="K444" s="38">
        <f>SUM(K442:K443)</f>
        <v>11.354045263983238</v>
      </c>
      <c r="L444" s="7"/>
      <c r="M444" s="7"/>
      <c r="N444" s="38">
        <f t="shared" ref="N444:AW444" si="667">SUM(N442:N443)</f>
        <v>-1.9289999999999949</v>
      </c>
      <c r="O444" s="38">
        <f t="shared" si="667"/>
        <v>15.264999999999999</v>
      </c>
      <c r="P444" s="38">
        <f t="shared" si="667"/>
        <v>15.46</v>
      </c>
      <c r="Q444" s="38">
        <f t="shared" si="667"/>
        <v>10.287000000000017</v>
      </c>
      <c r="R444" s="190">
        <f t="shared" si="667"/>
        <v>45.878000000000007</v>
      </c>
      <c r="S444" s="190">
        <f t="shared" si="667"/>
        <v>18.338999999999999</v>
      </c>
      <c r="T444" s="190">
        <f t="shared" si="667"/>
        <v>13.586000000000002</v>
      </c>
      <c r="U444" s="190">
        <f t="shared" si="667"/>
        <v>-19.34000000000005</v>
      </c>
      <c r="V444" s="38">
        <f t="shared" si="667"/>
        <v>13.611000000000008</v>
      </c>
      <c r="W444" s="38">
        <f t="shared" si="667"/>
        <v>23.410999999999984</v>
      </c>
      <c r="X444" s="38">
        <f t="shared" si="667"/>
        <v>16.055</v>
      </c>
      <c r="Y444" s="38">
        <f t="shared" si="667"/>
        <v>14.307000000000023</v>
      </c>
      <c r="Z444" s="38">
        <f t="shared" si="667"/>
        <v>-1.4440000000000026</v>
      </c>
      <c r="AA444" s="38">
        <f t="shared" si="667"/>
        <v>3.4770000000000074</v>
      </c>
      <c r="AB444" s="38">
        <f t="shared" si="667"/>
        <v>-8.4080000000000101</v>
      </c>
      <c r="AC444" s="38">
        <f t="shared" si="667"/>
        <v>-12.285000000000011</v>
      </c>
      <c r="AD444" s="38">
        <f t="shared" si="667"/>
        <v>-5.8999999999999275E-2</v>
      </c>
      <c r="AE444" s="38">
        <f t="shared" si="667"/>
        <v>2.1020000000000003</v>
      </c>
      <c r="AF444" s="38">
        <f t="shared" si="667"/>
        <v>-10.729999999999997</v>
      </c>
      <c r="AG444" s="38">
        <f t="shared" si="667"/>
        <v>-34.11399999999999</v>
      </c>
      <c r="AH444" s="38">
        <f>SUM(AH442:AH443)</f>
        <v>-0.46374999999999922</v>
      </c>
      <c r="AI444" s="38">
        <f>SUM(AI442:AI443)</f>
        <v>1.9132499999999926</v>
      </c>
      <c r="AJ444" s="38">
        <f>SUM(AJ442:AJ443)</f>
        <v>13.749249999999991</v>
      </c>
      <c r="AK444" s="38">
        <f>SUM(AK442:AK443)</f>
        <v>0.56124999999999758</v>
      </c>
      <c r="AL444" s="38">
        <f t="shared" si="667"/>
        <v>2.1911168953469993</v>
      </c>
      <c r="AM444" s="38">
        <f t="shared" si="667"/>
        <v>1.4070891687303018</v>
      </c>
      <c r="AN444" s="38">
        <f t="shared" si="667"/>
        <v>1.0326050853283579</v>
      </c>
      <c r="AO444" s="38">
        <f t="shared" si="667"/>
        <v>1.2502875006395646</v>
      </c>
      <c r="AP444" s="38">
        <f t="shared" si="667"/>
        <v>1.5211561291509321</v>
      </c>
      <c r="AQ444" s="38">
        <f t="shared" si="667"/>
        <v>1.8006837122527326</v>
      </c>
      <c r="AR444" s="38">
        <f t="shared" si="667"/>
        <v>2.0863401046685679</v>
      </c>
      <c r="AS444" s="38">
        <f t="shared" si="667"/>
        <v>2.3781215307828241</v>
      </c>
      <c r="AT444" s="38">
        <f t="shared" si="667"/>
        <v>2.623660099806711</v>
      </c>
      <c r="AU444" s="38">
        <f t="shared" si="667"/>
        <v>2.7646378755729608</v>
      </c>
      <c r="AV444" s="38">
        <f t="shared" si="667"/>
        <v>2.9090100399684666</v>
      </c>
      <c r="AW444" s="38">
        <f t="shared" si="667"/>
        <v>3.0567372486350992</v>
      </c>
      <c r="AX444" s="39"/>
      <c r="AY444" s="39"/>
      <c r="AZ444" s="39"/>
      <c r="BA444" s="39"/>
      <c r="BB444" s="39"/>
      <c r="BC444" s="39"/>
      <c r="BD444" s="39"/>
      <c r="BE444" s="39"/>
      <c r="BF444" s="2">
        <f t="shared" si="582"/>
        <v>438</v>
      </c>
    </row>
    <row r="445" spans="1:58" ht="11.25" hidden="1" customHeight="1" outlineLevel="3">
      <c r="A445" s="52"/>
      <c r="B445" s="188" t="s">
        <v>21</v>
      </c>
      <c r="C445" s="51">
        <f t="shared" ref="C445:K445" si="668">SUMIFS($N445:$AX445,$N$4:$AX$4,C$4)</f>
        <v>-7.0280000000000005</v>
      </c>
      <c r="D445" s="51">
        <f t="shared" si="668"/>
        <v>-250.084</v>
      </c>
      <c r="E445" s="51">
        <f t="shared" si="668"/>
        <v>-3.9109999999999996</v>
      </c>
      <c r="F445" s="51">
        <f t="shared" si="668"/>
        <v>-123.197</v>
      </c>
      <c r="G445" s="51">
        <f t="shared" si="668"/>
        <v>-22.067000000000004</v>
      </c>
      <c r="H445" s="51">
        <f t="shared" si="668"/>
        <v>3.5670000000000002</v>
      </c>
      <c r="I445" s="51">
        <f t="shared" si="668"/>
        <v>0</v>
      </c>
      <c r="J445" s="51">
        <f t="shared" si="668"/>
        <v>0</v>
      </c>
      <c r="K445" s="51">
        <f t="shared" si="668"/>
        <v>0</v>
      </c>
      <c r="L445" s="7"/>
      <c r="M445" s="7"/>
      <c r="N445" s="40">
        <v>-1.181</v>
      </c>
      <c r="O445" s="40">
        <v>-0.22800000000000001</v>
      </c>
      <c r="P445" s="40">
        <v>-0.69699999999999995</v>
      </c>
      <c r="Q445" s="40">
        <f>(2.816-P445-O445-N445)*-1</f>
        <v>-4.9220000000000006</v>
      </c>
      <c r="R445" s="191">
        <v>-0.72</v>
      </c>
      <c r="S445" s="191">
        <v>-0.73199999999999998</v>
      </c>
      <c r="T445" s="191">
        <v>-0.74299999999999999</v>
      </c>
      <c r="U445" s="191">
        <f>1.323+0.836-252.243-T445-S445-R445</f>
        <v>-247.88900000000001</v>
      </c>
      <c r="V445" s="40">
        <v>-0.36499999999999999</v>
      </c>
      <c r="W445" s="40">
        <v>-0.39800000000000002</v>
      </c>
      <c r="X445" s="40">
        <v>-0.40400000000000003</v>
      </c>
      <c r="Y445" s="40">
        <f>(1.577-X445-W445-V445)*-1</f>
        <v>-2.7439999999999998</v>
      </c>
      <c r="Z445" s="40">
        <v>-0.41699999999999998</v>
      </c>
      <c r="AA445" s="40">
        <v>-0.42399999999999999</v>
      </c>
      <c r="AB445" s="40">
        <v>-0.43099999999999999</v>
      </c>
      <c r="AC445" s="40">
        <f>-124.904+1.707-AB445-AA445-Z445</f>
        <v>-121.925</v>
      </c>
      <c r="AD445" s="40">
        <v>0.94299999999999995</v>
      </c>
      <c r="AE445" s="40">
        <v>0.85599999999999998</v>
      </c>
      <c r="AF445" s="40">
        <v>0.87</v>
      </c>
      <c r="AG445" s="40">
        <f>3.533-25.6-AF445-AE445-AD445</f>
        <v>-24.736000000000004</v>
      </c>
      <c r="AH445" s="40">
        <v>0.79</v>
      </c>
      <c r="AI445" s="40">
        <v>0.91100000000000003</v>
      </c>
      <c r="AJ445" s="40">
        <v>0.91100000000000003</v>
      </c>
      <c r="AK445" s="40">
        <f>3.567-AJ445-AI445-AH445</f>
        <v>0.95500000000000007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40">
        <v>0</v>
      </c>
      <c r="AW445" s="40">
        <v>0</v>
      </c>
      <c r="AX445" s="53"/>
      <c r="AY445" s="53"/>
      <c r="AZ445" s="53"/>
      <c r="BA445" s="53"/>
      <c r="BB445" s="53"/>
      <c r="BC445" s="53"/>
      <c r="BD445" s="53"/>
      <c r="BE445" s="53"/>
      <c r="BF445" s="2">
        <f t="shared" si="582"/>
        <v>439</v>
      </c>
    </row>
    <row r="446" spans="1:58" ht="11.25" hidden="1" customHeight="1" outlineLevel="3">
      <c r="A446" s="41"/>
      <c r="B446" s="189" t="s">
        <v>20</v>
      </c>
      <c r="C446" s="38">
        <f t="shared" ref="C446:J446" si="669">SUM(C444:C445)</f>
        <v>32.054999999999957</v>
      </c>
      <c r="D446" s="38">
        <f t="shared" si="669"/>
        <v>-191.62100000000007</v>
      </c>
      <c r="E446" s="38">
        <f t="shared" si="669"/>
        <v>63.472999999999914</v>
      </c>
      <c r="F446" s="38">
        <f t="shared" si="669"/>
        <v>-134.779</v>
      </c>
      <c r="G446" s="38">
        <f t="shared" si="669"/>
        <v>-64.868000000000009</v>
      </c>
      <c r="H446" s="38">
        <f t="shared" si="669"/>
        <v>19.327000000000016</v>
      </c>
      <c r="I446" s="38">
        <f t="shared" si="669"/>
        <v>5.8810986500452103</v>
      </c>
      <c r="J446" s="38">
        <f t="shared" si="669"/>
        <v>7.7863014768550443</v>
      </c>
      <c r="K446" s="38">
        <f>SUM(K444:K445)</f>
        <v>11.354045263983238</v>
      </c>
      <c r="L446" s="7"/>
      <c r="M446" s="7"/>
      <c r="N446" s="38">
        <f t="shared" ref="N446:AW446" si="670">SUM(N444:N445)</f>
        <v>-3.109999999999995</v>
      </c>
      <c r="O446" s="38">
        <f t="shared" si="670"/>
        <v>15.036999999999999</v>
      </c>
      <c r="P446" s="38">
        <f t="shared" si="670"/>
        <v>14.763000000000002</v>
      </c>
      <c r="Q446" s="38">
        <f t="shared" si="670"/>
        <v>5.3650000000000162</v>
      </c>
      <c r="R446" s="190">
        <f t="shared" si="670"/>
        <v>45.158000000000008</v>
      </c>
      <c r="S446" s="190">
        <f t="shared" si="670"/>
        <v>17.606999999999999</v>
      </c>
      <c r="T446" s="190">
        <f t="shared" si="670"/>
        <v>12.843000000000002</v>
      </c>
      <c r="U446" s="190">
        <f t="shared" si="670"/>
        <v>-267.22900000000004</v>
      </c>
      <c r="V446" s="38">
        <f t="shared" si="670"/>
        <v>13.246000000000008</v>
      </c>
      <c r="W446" s="38">
        <f t="shared" si="670"/>
        <v>23.012999999999984</v>
      </c>
      <c r="X446" s="38">
        <f t="shared" si="670"/>
        <v>15.651</v>
      </c>
      <c r="Y446" s="38">
        <f t="shared" si="670"/>
        <v>11.563000000000024</v>
      </c>
      <c r="Z446" s="38">
        <f t="shared" si="670"/>
        <v>-1.8610000000000027</v>
      </c>
      <c r="AA446" s="38">
        <f t="shared" si="670"/>
        <v>3.0530000000000075</v>
      </c>
      <c r="AB446" s="38">
        <f t="shared" si="670"/>
        <v>-8.8390000000000093</v>
      </c>
      <c r="AC446" s="38">
        <f t="shared" si="670"/>
        <v>-134.21</v>
      </c>
      <c r="AD446" s="38">
        <f t="shared" si="670"/>
        <v>0.88400000000000067</v>
      </c>
      <c r="AE446" s="38">
        <f t="shared" si="670"/>
        <v>2.9580000000000002</v>
      </c>
      <c r="AF446" s="38">
        <f t="shared" si="670"/>
        <v>-9.8599999999999977</v>
      </c>
      <c r="AG446" s="38">
        <f t="shared" si="670"/>
        <v>-58.849999999999994</v>
      </c>
      <c r="AH446" s="38">
        <f t="shared" si="670"/>
        <v>0.32625000000000082</v>
      </c>
      <c r="AI446" s="38">
        <f t="shared" si="670"/>
        <v>2.8242499999999926</v>
      </c>
      <c r="AJ446" s="38">
        <f>SUM(AJ444:AJ445)</f>
        <v>14.660249999999991</v>
      </c>
      <c r="AK446" s="38">
        <f>SUM(AK444:AK445)</f>
        <v>1.5162499999999977</v>
      </c>
      <c r="AL446" s="38">
        <f t="shared" si="670"/>
        <v>2.1911168953469993</v>
      </c>
      <c r="AM446" s="38">
        <f t="shared" si="670"/>
        <v>1.4070891687303018</v>
      </c>
      <c r="AN446" s="38">
        <f t="shared" si="670"/>
        <v>1.0326050853283579</v>
      </c>
      <c r="AO446" s="38">
        <f t="shared" si="670"/>
        <v>1.2502875006395646</v>
      </c>
      <c r="AP446" s="38">
        <f t="shared" si="670"/>
        <v>1.5211561291509321</v>
      </c>
      <c r="AQ446" s="38">
        <f t="shared" si="670"/>
        <v>1.8006837122527326</v>
      </c>
      <c r="AR446" s="38">
        <f t="shared" si="670"/>
        <v>2.0863401046685679</v>
      </c>
      <c r="AS446" s="38">
        <f t="shared" si="670"/>
        <v>2.3781215307828241</v>
      </c>
      <c r="AT446" s="38">
        <f t="shared" si="670"/>
        <v>2.623660099806711</v>
      </c>
      <c r="AU446" s="38">
        <f t="shared" si="670"/>
        <v>2.7646378755729608</v>
      </c>
      <c r="AV446" s="38">
        <f t="shared" si="670"/>
        <v>2.9090100399684666</v>
      </c>
      <c r="AW446" s="38">
        <f t="shared" si="670"/>
        <v>3.0567372486350992</v>
      </c>
      <c r="AX446" s="39"/>
      <c r="AY446" s="39"/>
      <c r="AZ446" s="39"/>
      <c r="BA446" s="39"/>
      <c r="BB446" s="39"/>
      <c r="BC446" s="39"/>
      <c r="BD446" s="39"/>
      <c r="BE446" s="39"/>
      <c r="BF446" s="2">
        <f t="shared" si="582"/>
        <v>440</v>
      </c>
    </row>
    <row r="447" spans="1:58" ht="11.25" hidden="1" customHeight="1" outlineLevel="3">
      <c r="A447" s="41"/>
      <c r="B447" s="188" t="s">
        <v>19</v>
      </c>
      <c r="C447" s="51">
        <f t="shared" ref="C447:H447" si="671">INDEX($N447:$AX447,1,MATCH(C$5,$N$5:$AX$5,0))</f>
        <v>1295.134</v>
      </c>
      <c r="D447" s="51">
        <f t="shared" si="671"/>
        <v>1015.105</v>
      </c>
      <c r="E447" s="51">
        <f t="shared" si="671"/>
        <v>946.81299999999999</v>
      </c>
      <c r="F447" s="51">
        <f t="shared" si="671"/>
        <v>794.149</v>
      </c>
      <c r="G447" s="51">
        <f t="shared" si="671"/>
        <v>448.49900000000002</v>
      </c>
      <c r="H447" s="51">
        <f t="shared" si="671"/>
        <v>377.54899999999998</v>
      </c>
      <c r="I447" s="51">
        <f>INDEX($N447:$BF447,1,MATCH(I$5,$N$5:$BF$5,0))</f>
        <v>0</v>
      </c>
      <c r="J447" s="51">
        <f>INDEX($N447:$BF447,1,MATCH(J$5,$N$5:$BF$5,0))</f>
        <v>0</v>
      </c>
      <c r="K447" s="51">
        <f>INDEX($N447:$BF447,1,MATCH(K$5,$N$5:$BF$5,0))</f>
        <v>0</v>
      </c>
      <c r="L447" s="7"/>
      <c r="M447" s="7"/>
      <c r="N447" s="40"/>
      <c r="O447" s="40"/>
      <c r="P447" s="40"/>
      <c r="Q447" s="40">
        <v>1295.134</v>
      </c>
      <c r="R447" s="40">
        <v>1315.5260000000001</v>
      </c>
      <c r="S447" s="40">
        <v>1389.0540000000001</v>
      </c>
      <c r="T447" s="40">
        <v>1438.925</v>
      </c>
      <c r="U447" s="40">
        <v>1015.105</v>
      </c>
      <c r="V447" s="40">
        <v>1062.2570000000001</v>
      </c>
      <c r="W447" s="40">
        <v>1096.633</v>
      </c>
      <c r="X447" s="40">
        <v>1045.1379999999999</v>
      </c>
      <c r="Y447" s="40">
        <v>946.81299999999999</v>
      </c>
      <c r="Z447" s="40">
        <v>948.154</v>
      </c>
      <c r="AA447" s="40">
        <v>926.83299999999997</v>
      </c>
      <c r="AB447" s="40">
        <v>888.27200000000005</v>
      </c>
      <c r="AC447" s="40">
        <v>794.149</v>
      </c>
      <c r="AD447" s="40">
        <v>732.48299999999995</v>
      </c>
      <c r="AE447" s="40">
        <v>719.16499999999996</v>
      </c>
      <c r="AF447" s="40">
        <v>589.32600000000002</v>
      </c>
      <c r="AG447" s="40">
        <v>448.49900000000002</v>
      </c>
      <c r="AH447" s="40">
        <v>427.41800000000001</v>
      </c>
      <c r="AI447" s="40">
        <v>435.07600000000002</v>
      </c>
      <c r="AJ447" s="40">
        <v>428.11700000000002</v>
      </c>
      <c r="AK447" s="40">
        <v>377.54899999999998</v>
      </c>
      <c r="AL447" s="38"/>
      <c r="AM447" s="38"/>
      <c r="AN447" s="38"/>
      <c r="AO447" s="38"/>
      <c r="AP447" s="38"/>
      <c r="AQ447" s="38"/>
      <c r="AR447" s="38"/>
      <c r="AS447" s="38"/>
      <c r="AT447" s="38"/>
      <c r="AU447" s="38"/>
      <c r="AV447" s="38"/>
      <c r="AW447" s="38"/>
      <c r="AX447" s="39"/>
      <c r="AY447" s="39"/>
      <c r="AZ447" s="39"/>
      <c r="BA447" s="39"/>
      <c r="BB447" s="39"/>
      <c r="BC447" s="39"/>
      <c r="BD447" s="39"/>
      <c r="BE447" s="39"/>
      <c r="BF447" s="2">
        <f t="shared" si="582"/>
        <v>441</v>
      </c>
    </row>
    <row r="448" spans="1:58" ht="11.25" hidden="1" customHeight="1" outlineLevel="3">
      <c r="A448" s="47"/>
      <c r="B448" s="187" t="s">
        <v>18</v>
      </c>
      <c r="C448" s="150"/>
      <c r="D448" s="150"/>
      <c r="E448" s="150"/>
      <c r="F448" s="150"/>
      <c r="G448" s="150"/>
      <c r="H448" s="150"/>
      <c r="I448" s="150"/>
      <c r="J448" s="150"/>
      <c r="K448" s="150"/>
      <c r="L448" s="7"/>
      <c r="M448" s="7"/>
      <c r="N448" s="150"/>
      <c r="O448" s="150"/>
      <c r="P448" s="150"/>
      <c r="Q448" s="150"/>
      <c r="R448" s="150"/>
      <c r="S448" s="150"/>
      <c r="T448" s="150"/>
      <c r="U448" s="150"/>
      <c r="V448" s="150"/>
      <c r="W448" s="150"/>
      <c r="X448" s="150"/>
      <c r="Y448" s="150"/>
      <c r="Z448" s="150"/>
      <c r="AA448" s="150"/>
      <c r="AB448" s="150"/>
      <c r="AC448" s="150"/>
      <c r="AD448" s="150"/>
      <c r="AE448" s="150"/>
      <c r="AF448" s="150"/>
      <c r="AG448" s="150"/>
      <c r="AH448" s="150"/>
      <c r="AI448" s="150"/>
      <c r="AJ448" s="150"/>
      <c r="AK448" s="150"/>
      <c r="AL448" s="150"/>
      <c r="AM448" s="150"/>
      <c r="AN448" s="150"/>
      <c r="AO448" s="150"/>
      <c r="AP448" s="150"/>
      <c r="AQ448" s="150"/>
      <c r="AR448" s="150"/>
      <c r="AS448" s="150"/>
      <c r="AT448" s="150"/>
      <c r="AU448" s="150"/>
      <c r="AV448" s="150"/>
      <c r="AW448" s="150"/>
      <c r="AX448" s="44"/>
      <c r="AY448" s="44"/>
      <c r="AZ448" s="44"/>
      <c r="BA448" s="44"/>
      <c r="BB448" s="44"/>
      <c r="BC448" s="44"/>
      <c r="BD448" s="44"/>
      <c r="BE448" s="44"/>
      <c r="BF448" s="2">
        <f t="shared" si="582"/>
        <v>442</v>
      </c>
    </row>
    <row r="449" spans="1:58" ht="11.25" hidden="1" customHeight="1" outlineLevel="3">
      <c r="A449" s="47"/>
      <c r="B449" s="185" t="s">
        <v>17</v>
      </c>
      <c r="C449" s="45"/>
      <c r="D449" s="45">
        <f t="shared" ref="D449:K449" si="672">+D438/C438-1</f>
        <v>-0.31793586082103376</v>
      </c>
      <c r="E449" s="45">
        <f t="shared" si="672"/>
        <v>0.16946667689501438</v>
      </c>
      <c r="F449" s="45">
        <f t="shared" si="672"/>
        <v>-0.13513917334169057</v>
      </c>
      <c r="G449" s="45">
        <f t="shared" si="672"/>
        <v>-0.40128853924819763</v>
      </c>
      <c r="H449" s="45">
        <f t="shared" si="672"/>
        <v>-4.1361691346207818E-2</v>
      </c>
      <c r="I449" s="45">
        <f t="shared" si="672"/>
        <v>-0.1612665146684189</v>
      </c>
      <c r="J449" s="45">
        <f t="shared" si="672"/>
        <v>7.8686407795055757E-2</v>
      </c>
      <c r="K449" s="45">
        <f t="shared" si="672"/>
        <v>9.0905559576195394E-2</v>
      </c>
      <c r="L449" s="7"/>
      <c r="M449" s="7"/>
      <c r="N449" s="45"/>
      <c r="O449" s="45">
        <f t="shared" ref="O449:AW449" si="673">+O438/N438-1</f>
        <v>8.5536612341144735E-2</v>
      </c>
      <c r="P449" s="45">
        <f t="shared" si="673"/>
        <v>0.21569268230167893</v>
      </c>
      <c r="Q449" s="45">
        <f t="shared" si="673"/>
        <v>4.6225773636023426E-2</v>
      </c>
      <c r="R449" s="45">
        <f t="shared" si="673"/>
        <v>-0.34457481699422143</v>
      </c>
      <c r="S449" s="45">
        <f t="shared" si="673"/>
        <v>-8.9710675193703127E-2</v>
      </c>
      <c r="T449" s="45">
        <f t="shared" si="673"/>
        <v>3.9907114207304195E-2</v>
      </c>
      <c r="U449" s="45">
        <f t="shared" si="673"/>
        <v>-0.20737955842827127</v>
      </c>
      <c r="V449" s="45">
        <f t="shared" si="673"/>
        <v>0.3327869524238829</v>
      </c>
      <c r="W449" s="45">
        <f t="shared" si="673"/>
        <v>7.3407329971713065E-2</v>
      </c>
      <c r="X449" s="45">
        <f t="shared" si="673"/>
        <v>7.5433596379416601E-2</v>
      </c>
      <c r="Y449" s="45">
        <f t="shared" si="673"/>
        <v>-0.14176321747236664</v>
      </c>
      <c r="Z449" s="45">
        <f t="shared" si="673"/>
        <v>-0.10532236791062133</v>
      </c>
      <c r="AA449" s="45">
        <f t="shared" si="673"/>
        <v>0.10139183974331178</v>
      </c>
      <c r="AB449" s="45">
        <f t="shared" si="673"/>
        <v>-0.18056485075625761</v>
      </c>
      <c r="AC449" s="45">
        <f t="shared" si="673"/>
        <v>0.1642869496704269</v>
      </c>
      <c r="AD449" s="45">
        <f t="shared" si="673"/>
        <v>-0.27916515366586336</v>
      </c>
      <c r="AE449" s="45">
        <f t="shared" si="673"/>
        <v>-9.3228003892609768E-2</v>
      </c>
      <c r="AF449" s="45">
        <f t="shared" si="673"/>
        <v>-0.19076538471250715</v>
      </c>
      <c r="AG449" s="45">
        <f t="shared" si="673"/>
        <v>-0.16471377529527409</v>
      </c>
      <c r="AH449" s="45">
        <f t="shared" si="673"/>
        <v>0.1005865212193664</v>
      </c>
      <c r="AI449" s="45">
        <f t="shared" si="673"/>
        <v>7.8664652670524804E-2</v>
      </c>
      <c r="AJ449" s="45">
        <f t="shared" si="673"/>
        <v>0.30727232676694571</v>
      </c>
      <c r="AK449" s="45">
        <f t="shared" si="673"/>
        <v>-0.1952819401817415</v>
      </c>
      <c r="AL449" s="45">
        <f t="shared" si="673"/>
        <v>-0.1260670056835177</v>
      </c>
      <c r="AM449" s="45">
        <f t="shared" si="673"/>
        <v>-4.4902918237461065E-2</v>
      </c>
      <c r="AN449" s="45">
        <f t="shared" si="673"/>
        <v>1.5564795113734764E-2</v>
      </c>
      <c r="AO449" s="45">
        <f t="shared" si="673"/>
        <v>1.5857486835021195E-2</v>
      </c>
      <c r="AP449" s="45">
        <f t="shared" si="673"/>
        <v>2.4798729048067125E-2</v>
      </c>
      <c r="AQ449" s="45">
        <f t="shared" si="673"/>
        <v>2.8908171985833508E-2</v>
      </c>
      <c r="AR449" s="45">
        <f t="shared" si="673"/>
        <v>2.9010834015425147E-2</v>
      </c>
      <c r="AS449" s="45">
        <f t="shared" si="673"/>
        <v>2.9114562294767277E-2</v>
      </c>
      <c r="AT449" s="45">
        <f t="shared" si="673"/>
        <v>2.1071740867918853E-2</v>
      </c>
      <c r="AU449" s="45">
        <f t="shared" si="673"/>
        <v>1.5817706453500335E-2</v>
      </c>
      <c r="AV449" s="45">
        <f t="shared" si="673"/>
        <v>1.5841658936314396E-2</v>
      </c>
      <c r="AW449" s="45">
        <f t="shared" si="673"/>
        <v>1.5865571728255201E-2</v>
      </c>
      <c r="AX449" s="156"/>
      <c r="AY449" s="156"/>
      <c r="AZ449" s="156"/>
      <c r="BA449" s="156"/>
      <c r="BB449" s="156"/>
      <c r="BC449" s="156"/>
      <c r="BD449" s="156"/>
      <c r="BE449" s="156"/>
      <c r="BF449" s="2">
        <f t="shared" si="582"/>
        <v>443</v>
      </c>
    </row>
    <row r="450" spans="1:58" ht="11.25" hidden="1" customHeight="1" outlineLevel="3">
      <c r="A450" s="47"/>
      <c r="B450" s="185" t="s">
        <v>16</v>
      </c>
      <c r="C450" s="45">
        <f t="shared" ref="C450:J450" si="674">-C439/C438</f>
        <v>0.67487264456023321</v>
      </c>
      <c r="D450" s="45">
        <f t="shared" si="674"/>
        <v>0.55836551001099555</v>
      </c>
      <c r="E450" s="45">
        <f t="shared" si="674"/>
        <v>0.5426156862459276</v>
      </c>
      <c r="F450" s="45">
        <f t="shared" si="674"/>
        <v>0.63518074522907597</v>
      </c>
      <c r="G450" s="45">
        <f t="shared" si="674"/>
        <v>0.68460390743764432</v>
      </c>
      <c r="H450" s="45">
        <f t="shared" si="674"/>
        <v>0.64413667031297028</v>
      </c>
      <c r="I450" s="45">
        <f t="shared" si="674"/>
        <v>0.6359862451505458</v>
      </c>
      <c r="J450" s="45">
        <f t="shared" si="674"/>
        <v>0.64638147790988643</v>
      </c>
      <c r="K450" s="45">
        <f>-K439/K438</f>
        <v>0.64835141110779637</v>
      </c>
      <c r="L450" s="7"/>
      <c r="M450" s="7"/>
      <c r="N450" s="45">
        <f t="shared" ref="N450:AW450" si="675">-N439/N438</f>
        <v>0.69923415621543794</v>
      </c>
      <c r="O450" s="45">
        <f t="shared" si="675"/>
        <v>0.61965269768037934</v>
      </c>
      <c r="P450" s="45">
        <f t="shared" si="675"/>
        <v>0.69240094665324348</v>
      </c>
      <c r="Q450" s="45">
        <f t="shared" si="675"/>
        <v>0.68388994967026218</v>
      </c>
      <c r="R450" s="45">
        <f t="shared" si="675"/>
        <v>0.40089626122248184</v>
      </c>
      <c r="S450" s="45">
        <f t="shared" si="675"/>
        <v>0.55173316445007392</v>
      </c>
      <c r="T450" s="45">
        <f t="shared" si="675"/>
        <v>0.57253290675674573</v>
      </c>
      <c r="U450" s="45">
        <f t="shared" si="675"/>
        <v>0.75841085112486195</v>
      </c>
      <c r="V450" s="45">
        <f t="shared" si="675"/>
        <v>0.56107028655761892</v>
      </c>
      <c r="W450" s="45">
        <f t="shared" si="675"/>
        <v>0.51222376580782847</v>
      </c>
      <c r="X450" s="45">
        <f t="shared" si="675"/>
        <v>0.52879877480356907</v>
      </c>
      <c r="Y450" s="45">
        <f t="shared" si="675"/>
        <v>0.5730157498642251</v>
      </c>
      <c r="Z450" s="45">
        <f t="shared" si="675"/>
        <v>0.63795690066340027</v>
      </c>
      <c r="AA450" s="45">
        <f t="shared" si="675"/>
        <v>0.61406851590857192</v>
      </c>
      <c r="AB450" s="45">
        <f t="shared" si="675"/>
        <v>0.68493571881545834</v>
      </c>
      <c r="AC450" s="45">
        <f t="shared" si="675"/>
        <v>0.64903608094279219</v>
      </c>
      <c r="AD450" s="45">
        <f t="shared" si="675"/>
        <v>0.57932337283187363</v>
      </c>
      <c r="AE450" s="45">
        <f t="shared" si="675"/>
        <v>0.55955657685411986</v>
      </c>
      <c r="AF450" s="45">
        <f t="shared" si="675"/>
        <v>0.63136379947888221</v>
      </c>
      <c r="AG450" s="45">
        <f>-AG439/AG438</f>
        <v>1.1051068439928271</v>
      </c>
      <c r="AH450" s="45">
        <f>-AH439/AH438</f>
        <v>0.64644184586140763</v>
      </c>
      <c r="AI450" s="45">
        <f>-AI439/AI438</f>
        <v>0.63672981307823029</v>
      </c>
      <c r="AJ450" s="45">
        <f>-AJ439/AJ438</f>
        <v>0.58237949088283092</v>
      </c>
      <c r="AK450" s="45">
        <f>-AK439/AK438</f>
        <v>0.72588991923422075</v>
      </c>
      <c r="AL450" s="45">
        <f t="shared" si="675"/>
        <v>0.63301712187977455</v>
      </c>
      <c r="AM450" s="45">
        <f t="shared" si="675"/>
        <v>0.62881952770593019</v>
      </c>
      <c r="AN450" s="45">
        <f t="shared" si="675"/>
        <v>0.64025066811471343</v>
      </c>
      <c r="AO450" s="45">
        <f t="shared" si="675"/>
        <v>0.64174839620319157</v>
      </c>
      <c r="AP450" s="45">
        <f t="shared" si="675"/>
        <v>0.64295768680604071</v>
      </c>
      <c r="AQ450" s="45">
        <f t="shared" si="675"/>
        <v>0.6451831304325103</v>
      </c>
      <c r="AR450" s="45">
        <f t="shared" si="675"/>
        <v>0.64741450880103824</v>
      </c>
      <c r="AS450" s="45">
        <f t="shared" si="675"/>
        <v>0.64965158354338148</v>
      </c>
      <c r="AT450" s="45">
        <f t="shared" si="675"/>
        <v>0.64991435511798923</v>
      </c>
      <c r="AU450" s="45">
        <f t="shared" si="675"/>
        <v>0.6488847101610079</v>
      </c>
      <c r="AV450" s="45">
        <f t="shared" si="675"/>
        <v>0.6478567713948914</v>
      </c>
      <c r="AW450" s="45">
        <f t="shared" si="675"/>
        <v>0.6468305843462443</v>
      </c>
      <c r="AX450" s="156"/>
      <c r="AY450" s="156"/>
      <c r="AZ450" s="156"/>
      <c r="BA450" s="156"/>
      <c r="BB450" s="156"/>
      <c r="BC450" s="156"/>
      <c r="BD450" s="156"/>
      <c r="BE450" s="156"/>
      <c r="BF450" s="2">
        <f t="shared" si="582"/>
        <v>444</v>
      </c>
    </row>
    <row r="451" spans="1:58" ht="11.25" hidden="1" customHeight="1" outlineLevel="3">
      <c r="A451" s="47"/>
      <c r="B451" s="185" t="s">
        <v>165</v>
      </c>
      <c r="C451" s="45">
        <f t="shared" ref="C451:J451" si="676">+C440/C438</f>
        <v>0.32512735543976684</v>
      </c>
      <c r="D451" s="45">
        <f t="shared" si="676"/>
        <v>0.44163448998900445</v>
      </c>
      <c r="E451" s="45">
        <f t="shared" si="676"/>
        <v>0.45738431375407235</v>
      </c>
      <c r="F451" s="45">
        <f t="shared" si="676"/>
        <v>0.36481925477092403</v>
      </c>
      <c r="G451" s="45">
        <f t="shared" si="676"/>
        <v>0.31539609256235568</v>
      </c>
      <c r="H451" s="45">
        <f t="shared" si="676"/>
        <v>0.35586332968702972</v>
      </c>
      <c r="I451" s="45">
        <f t="shared" si="676"/>
        <v>0.3640137548494542</v>
      </c>
      <c r="J451" s="45">
        <f t="shared" si="676"/>
        <v>0.35361852209011352</v>
      </c>
      <c r="K451" s="45">
        <f>+K440/K438</f>
        <v>0.35164858889220363</v>
      </c>
      <c r="L451" s="7"/>
      <c r="M451" s="7"/>
      <c r="N451" s="45">
        <f t="shared" ref="N451:AW451" si="677">+N440/N438</f>
        <v>0.30076584378456211</v>
      </c>
      <c r="O451" s="45">
        <f t="shared" si="677"/>
        <v>0.38034730231962066</v>
      </c>
      <c r="P451" s="45">
        <f t="shared" si="677"/>
        <v>0.30759905334675658</v>
      </c>
      <c r="Q451" s="45">
        <f t="shared" si="677"/>
        <v>0.31611005032973788</v>
      </c>
      <c r="R451" s="45">
        <f t="shared" si="677"/>
        <v>0.5991037387775181</v>
      </c>
      <c r="S451" s="45">
        <f t="shared" si="677"/>
        <v>0.44826683554992613</v>
      </c>
      <c r="T451" s="45">
        <f t="shared" si="677"/>
        <v>0.42746709324325421</v>
      </c>
      <c r="U451" s="45">
        <f t="shared" si="677"/>
        <v>0.24158914887513802</v>
      </c>
      <c r="V451" s="45">
        <f t="shared" si="677"/>
        <v>0.43892971344238108</v>
      </c>
      <c r="W451" s="45">
        <f t="shared" si="677"/>
        <v>0.48777623419217159</v>
      </c>
      <c r="X451" s="45">
        <f t="shared" si="677"/>
        <v>0.47120122519643093</v>
      </c>
      <c r="Y451" s="45">
        <f t="shared" si="677"/>
        <v>0.4269842501357749</v>
      </c>
      <c r="Z451" s="45">
        <f t="shared" si="677"/>
        <v>0.36204309933659973</v>
      </c>
      <c r="AA451" s="45">
        <f t="shared" si="677"/>
        <v>0.38593148409142808</v>
      </c>
      <c r="AB451" s="45">
        <f t="shared" si="677"/>
        <v>0.31506428118454172</v>
      </c>
      <c r="AC451" s="45">
        <f t="shared" si="677"/>
        <v>0.35096391905720786</v>
      </c>
      <c r="AD451" s="45">
        <f t="shared" si="677"/>
        <v>0.42067662716812637</v>
      </c>
      <c r="AE451" s="45">
        <f t="shared" si="677"/>
        <v>0.44044342314588014</v>
      </c>
      <c r="AF451" s="45">
        <f t="shared" si="677"/>
        <v>0.36863620052111779</v>
      </c>
      <c r="AG451" s="45">
        <f>+AG440/AG438</f>
        <v>-0.10510684399282717</v>
      </c>
      <c r="AH451" s="45">
        <f>+AH440/AH438</f>
        <v>0.35355815413859237</v>
      </c>
      <c r="AI451" s="45">
        <f>+AI440/AI438</f>
        <v>0.36327018692176971</v>
      </c>
      <c r="AJ451" s="45">
        <f>+AJ440/AJ438</f>
        <v>0.41762050911716914</v>
      </c>
      <c r="AK451" s="45">
        <f>+AK440/AK438</f>
        <v>0.2741100807657792</v>
      </c>
      <c r="AL451" s="45">
        <f t="shared" si="677"/>
        <v>0.36698287812022551</v>
      </c>
      <c r="AM451" s="45">
        <f t="shared" si="677"/>
        <v>0.37118047229406986</v>
      </c>
      <c r="AN451" s="45">
        <f t="shared" si="677"/>
        <v>0.35974933188528663</v>
      </c>
      <c r="AO451" s="45">
        <f t="shared" si="677"/>
        <v>0.35825160379680843</v>
      </c>
      <c r="AP451" s="45">
        <f t="shared" si="677"/>
        <v>0.35704231319395924</v>
      </c>
      <c r="AQ451" s="45">
        <f t="shared" si="677"/>
        <v>0.35481686956748976</v>
      </c>
      <c r="AR451" s="45">
        <f t="shared" si="677"/>
        <v>0.35258549119896182</v>
      </c>
      <c r="AS451" s="45">
        <f t="shared" si="677"/>
        <v>0.35034841645661852</v>
      </c>
      <c r="AT451" s="45">
        <f t="shared" si="677"/>
        <v>0.35008564488201072</v>
      </c>
      <c r="AU451" s="45">
        <f t="shared" si="677"/>
        <v>0.35111528983899204</v>
      </c>
      <c r="AV451" s="45">
        <f t="shared" si="677"/>
        <v>0.3521432286051086</v>
      </c>
      <c r="AW451" s="45">
        <f t="shared" si="677"/>
        <v>0.3531694156537557</v>
      </c>
      <c r="AX451" s="156"/>
      <c r="AY451" s="156"/>
      <c r="AZ451" s="156"/>
      <c r="BA451" s="156"/>
      <c r="BB451" s="156"/>
      <c r="BC451" s="156"/>
      <c r="BD451" s="156"/>
      <c r="BE451" s="156"/>
      <c r="BF451" s="2">
        <f t="shared" si="582"/>
        <v>445</v>
      </c>
    </row>
    <row r="452" spans="1:58" ht="11.25" hidden="1" customHeight="1" outlineLevel="3">
      <c r="A452" s="47"/>
      <c r="B452" s="185" t="s">
        <v>15</v>
      </c>
      <c r="C452" s="45">
        <f t="shared" ref="C452:J452" si="678">-C441/C438</f>
        <v>0.19444359661935803</v>
      </c>
      <c r="D452" s="45">
        <f t="shared" si="678"/>
        <v>0.22926841741887644</v>
      </c>
      <c r="E452" s="45">
        <f t="shared" si="678"/>
        <v>0.21732032098423509</v>
      </c>
      <c r="F452" s="45">
        <f t="shared" si="678"/>
        <v>0.25827669463136738</v>
      </c>
      <c r="G452" s="45">
        <f t="shared" si="678"/>
        <v>0.31215514329148131</v>
      </c>
      <c r="H452" s="45">
        <f t="shared" si="678"/>
        <v>0.18970200644588175</v>
      </c>
      <c r="I452" s="45">
        <f t="shared" si="678"/>
        <v>0.2564567430170015</v>
      </c>
      <c r="J452" s="45">
        <f t="shared" si="678"/>
        <v>0.2536185220901136</v>
      </c>
      <c r="K452" s="45">
        <f>-K441/K438</f>
        <v>0.2516485888922036</v>
      </c>
      <c r="L452" s="7"/>
      <c r="M452" s="7"/>
      <c r="N452" s="45">
        <f t="shared" ref="N452:AW452" si="679">-N441/N438</f>
        <v>0.21513880483851894</v>
      </c>
      <c r="O452" s="45">
        <f t="shared" si="679"/>
        <v>0.19195822119697553</v>
      </c>
      <c r="P452" s="45">
        <f t="shared" si="679"/>
        <v>0.18521407751382293</v>
      </c>
      <c r="Q452" s="45">
        <f t="shared" si="679"/>
        <v>0.1902302875193333</v>
      </c>
      <c r="R452" s="45">
        <f t="shared" si="679"/>
        <v>0.18557065551592669</v>
      </c>
      <c r="S452" s="45">
        <f t="shared" si="679"/>
        <v>0.21020899303356555</v>
      </c>
      <c r="T452" s="45">
        <f t="shared" si="679"/>
        <v>0.22370098496967139</v>
      </c>
      <c r="U452" s="45">
        <f t="shared" si="679"/>
        <v>0.31765561611277321</v>
      </c>
      <c r="V452" s="45">
        <f t="shared" si="679"/>
        <v>0.21986071823883901</v>
      </c>
      <c r="W452" s="45">
        <f t="shared" si="679"/>
        <v>0.19081105079987973</v>
      </c>
      <c r="X452" s="45">
        <f t="shared" si="679"/>
        <v>0.21769876148621656</v>
      </c>
      <c r="Y452" s="45">
        <f t="shared" si="679"/>
        <v>0.24303669795950034</v>
      </c>
      <c r="Z452" s="45">
        <f t="shared" si="679"/>
        <v>0.25172787581841044</v>
      </c>
      <c r="AA452" s="45">
        <f t="shared" si="679"/>
        <v>0.22885352775831252</v>
      </c>
      <c r="AB452" s="45">
        <f t="shared" si="679"/>
        <v>0.26072794357860757</v>
      </c>
      <c r="AC452" s="45">
        <f t="shared" si="679"/>
        <v>0.30833030733172678</v>
      </c>
      <c r="AD452" s="45">
        <f t="shared" si="679"/>
        <v>0.28767531055011736</v>
      </c>
      <c r="AE452" s="45">
        <f t="shared" si="679"/>
        <v>0.26510694174389537</v>
      </c>
      <c r="AF452" s="45">
        <f t="shared" si="679"/>
        <v>0.3662802490131527</v>
      </c>
      <c r="AG452" s="45">
        <f>-AG441/AG438</f>
        <v>0.35690002988643149</v>
      </c>
      <c r="AH452" s="45">
        <f>-AH441/AH438</f>
        <v>0.21927241560733865</v>
      </c>
      <c r="AI452" s="45">
        <f>-AI441/AI438</f>
        <v>0.20328135817232049</v>
      </c>
      <c r="AJ452" s="45">
        <f>-AJ441/AJ438</f>
        <v>0.15550039116567371</v>
      </c>
      <c r="AK452" s="45">
        <f>-AK441/AK438</f>
        <v>0.19323586598863296</v>
      </c>
      <c r="AL452" s="45">
        <f t="shared" si="679"/>
        <v>0.24698287812022551</v>
      </c>
      <c r="AM452" s="45">
        <f t="shared" si="679"/>
        <v>0.26118047229406982</v>
      </c>
      <c r="AN452" s="45">
        <f t="shared" si="679"/>
        <v>0.25974933188528659</v>
      </c>
      <c r="AO452" s="45">
        <f t="shared" si="679"/>
        <v>0.25825160379680845</v>
      </c>
      <c r="AP452" s="45">
        <f t="shared" si="679"/>
        <v>0.25704231319395926</v>
      </c>
      <c r="AQ452" s="45">
        <f t="shared" si="679"/>
        <v>0.25481686956748972</v>
      </c>
      <c r="AR452" s="45">
        <f t="shared" si="679"/>
        <v>0.25258549119896184</v>
      </c>
      <c r="AS452" s="45">
        <f t="shared" si="679"/>
        <v>0.25034841645661848</v>
      </c>
      <c r="AT452" s="45">
        <f t="shared" si="679"/>
        <v>0.25008564488201074</v>
      </c>
      <c r="AU452" s="45">
        <f t="shared" si="679"/>
        <v>0.25111528983899206</v>
      </c>
      <c r="AV452" s="45">
        <f t="shared" si="679"/>
        <v>0.25214322860510863</v>
      </c>
      <c r="AW452" s="45">
        <f t="shared" si="679"/>
        <v>0.25316941565375567</v>
      </c>
      <c r="AX452" s="156"/>
      <c r="AY452" s="156"/>
      <c r="AZ452" s="156"/>
      <c r="BA452" s="156"/>
      <c r="BB452" s="156"/>
      <c r="BC452" s="156"/>
      <c r="BD452" s="156"/>
      <c r="BE452" s="156"/>
      <c r="BF452" s="2">
        <f t="shared" si="582"/>
        <v>446</v>
      </c>
    </row>
    <row r="453" spans="1:58" ht="11.25" hidden="1" customHeight="1" outlineLevel="3">
      <c r="A453" s="47"/>
      <c r="B453" s="185" t="s">
        <v>14</v>
      </c>
      <c r="C453" s="45">
        <f t="shared" ref="C453:J453" si="680">+C442/C438</f>
        <v>0.13068375882040881</v>
      </c>
      <c r="D453" s="45">
        <f t="shared" si="680"/>
        <v>0.21236607257012799</v>
      </c>
      <c r="E453" s="45">
        <f t="shared" si="680"/>
        <v>0.24006399276983728</v>
      </c>
      <c r="F453" s="45">
        <f t="shared" si="680"/>
        <v>0.10654256013955668</v>
      </c>
      <c r="G453" s="45">
        <f t="shared" si="680"/>
        <v>3.2409492708743606E-3</v>
      </c>
      <c r="H453" s="45">
        <f t="shared" si="680"/>
        <v>0.16616132324114799</v>
      </c>
      <c r="I453" s="45">
        <f t="shared" si="680"/>
        <v>0.1075570118324527</v>
      </c>
      <c r="J453" s="45">
        <f t="shared" si="680"/>
        <v>9.9999999999999964E-2</v>
      </c>
      <c r="K453" s="45">
        <f>+K442/K438</f>
        <v>0.1</v>
      </c>
      <c r="L453" s="7"/>
      <c r="M453" s="7"/>
      <c r="N453" s="45">
        <f t="shared" ref="N453:T453" si="681">+N442/N438</f>
        <v>8.5627038946043177E-2</v>
      </c>
      <c r="O453" s="45">
        <f t="shared" si="681"/>
        <v>0.18838908112264513</v>
      </c>
      <c r="P453" s="45">
        <f t="shared" si="681"/>
        <v>0.12238497583293363</v>
      </c>
      <c r="Q453" s="45">
        <f t="shared" si="681"/>
        <v>0.12587976281040458</v>
      </c>
      <c r="R453" s="45">
        <f t="shared" si="681"/>
        <v>0.41353308326159149</v>
      </c>
      <c r="S453" s="45">
        <f t="shared" si="681"/>
        <v>0.23805784251636058</v>
      </c>
      <c r="T453" s="45">
        <f t="shared" si="681"/>
        <v>0.20376610827358285</v>
      </c>
      <c r="U453" s="45"/>
      <c r="V453" s="45">
        <f t="shared" ref="V453:AW453" si="682">+V442/V438</f>
        <v>0.21906899520354206</v>
      </c>
      <c r="W453" s="45">
        <f t="shared" si="682"/>
        <v>0.29696518339229183</v>
      </c>
      <c r="X453" s="45">
        <f t="shared" si="682"/>
        <v>0.2535024637102144</v>
      </c>
      <c r="Y453" s="45">
        <f t="shared" si="682"/>
        <v>0.18394755217627456</v>
      </c>
      <c r="Z453" s="45">
        <f t="shared" si="682"/>
        <v>0.11031522351818927</v>
      </c>
      <c r="AA453" s="45">
        <f t="shared" si="682"/>
        <v>0.15707795633311555</v>
      </c>
      <c r="AB453" s="45">
        <f t="shared" si="682"/>
        <v>5.4336337605934149E-2</v>
      </c>
      <c r="AC453" s="45">
        <f t="shared" si="682"/>
        <v>4.2633611725481052E-2</v>
      </c>
      <c r="AD453" s="45">
        <f t="shared" si="682"/>
        <v>0.13300131661800907</v>
      </c>
      <c r="AE453" s="45">
        <f t="shared" si="682"/>
        <v>0.1753364814019848</v>
      </c>
      <c r="AF453" s="45">
        <f t="shared" si="682"/>
        <v>2.3559515079650405E-3</v>
      </c>
      <c r="AG453" s="45">
        <f>+AG442/AG438</f>
        <v>-0.46200687387925865</v>
      </c>
      <c r="AH453" s="45">
        <f>+AH442/AH438</f>
        <v>0.13428573853125372</v>
      </c>
      <c r="AI453" s="45">
        <f>+AI442/AI438</f>
        <v>0.1599888287494492</v>
      </c>
      <c r="AJ453" s="45">
        <f>+AJ442/AJ438</f>
        <v>0.26212011795149537</v>
      </c>
      <c r="AK453" s="45">
        <f>+AK442/AK438</f>
        <v>8.0874214777146236E-2</v>
      </c>
      <c r="AL453" s="45">
        <f t="shared" si="682"/>
        <v>0.12</v>
      </c>
      <c r="AM453" s="45">
        <f t="shared" si="682"/>
        <v>0.11</v>
      </c>
      <c r="AN453" s="45">
        <f t="shared" si="682"/>
        <v>0.10000000000000002</v>
      </c>
      <c r="AO453" s="45">
        <f t="shared" si="682"/>
        <v>0.1</v>
      </c>
      <c r="AP453" s="45">
        <f t="shared" si="682"/>
        <v>0.1</v>
      </c>
      <c r="AQ453" s="45">
        <f t="shared" si="682"/>
        <v>0.1</v>
      </c>
      <c r="AR453" s="45">
        <f t="shared" si="682"/>
        <v>0.1</v>
      </c>
      <c r="AS453" s="45">
        <f t="shared" si="682"/>
        <v>0.1</v>
      </c>
      <c r="AT453" s="45">
        <f t="shared" si="682"/>
        <v>0.1</v>
      </c>
      <c r="AU453" s="45">
        <f t="shared" si="682"/>
        <v>0.1</v>
      </c>
      <c r="AV453" s="45">
        <f t="shared" si="682"/>
        <v>0.1</v>
      </c>
      <c r="AW453" s="45">
        <f t="shared" si="682"/>
        <v>0.1</v>
      </c>
      <c r="AX453" s="156"/>
      <c r="AY453" s="156"/>
      <c r="AZ453" s="156"/>
      <c r="BA453" s="156"/>
      <c r="BB453" s="156"/>
      <c r="BC453" s="156"/>
      <c r="BD453" s="156"/>
      <c r="BE453" s="156"/>
      <c r="BF453" s="2">
        <f t="shared" si="582"/>
        <v>447</v>
      </c>
    </row>
    <row r="454" spans="1:58" ht="11.25" hidden="1" customHeight="1" outlineLevel="3">
      <c r="A454" s="47"/>
      <c r="B454" s="185" t="s">
        <v>13</v>
      </c>
      <c r="C454" s="45">
        <f t="shared" ref="C454:J454" si="683">+C444/C438</f>
        <v>5.680379631850118E-2</v>
      </c>
      <c r="D454" s="45">
        <f t="shared" si="683"/>
        <v>0.12457914610342551</v>
      </c>
      <c r="E454" s="45">
        <f t="shared" si="683"/>
        <v>0.12278157183151958</v>
      </c>
      <c r="F454" s="45">
        <f t="shared" si="683"/>
        <v>-2.4401343316914036E-2</v>
      </c>
      <c r="G454" s="45">
        <f t="shared" si="683"/>
        <v>-0.15061440797252409</v>
      </c>
      <c r="H454" s="45">
        <f t="shared" si="683"/>
        <v>5.7851421691346563E-2</v>
      </c>
      <c r="I454" s="45">
        <f t="shared" si="683"/>
        <v>2.5739037661928275E-2</v>
      </c>
      <c r="J454" s="45">
        <f t="shared" si="683"/>
        <v>3.1591471089531954E-2</v>
      </c>
      <c r="K454" s="45">
        <f>+K444/K438</f>
        <v>4.2228154403255121E-2</v>
      </c>
      <c r="L454" s="7"/>
      <c r="M454" s="7"/>
      <c r="N454" s="45">
        <f t="shared" ref="N454:T454" si="684">+N444/N438</f>
        <v>-1.3417916988376667E-2</v>
      </c>
      <c r="O454" s="45">
        <f t="shared" si="684"/>
        <v>9.781494297065231E-2</v>
      </c>
      <c r="P454" s="45">
        <f t="shared" si="684"/>
        <v>8.1488079864643348E-2</v>
      </c>
      <c r="Q454" s="45">
        <f t="shared" si="684"/>
        <v>5.18260273765562E-2</v>
      </c>
      <c r="R454" s="45">
        <f t="shared" si="684"/>
        <v>0.35264727585782812</v>
      </c>
      <c r="S454" s="45">
        <f t="shared" si="684"/>
        <v>0.15485750474984167</v>
      </c>
      <c r="T454" s="45">
        <f t="shared" si="684"/>
        <v>0.11031985123953522</v>
      </c>
      <c r="U454" s="45"/>
      <c r="V454" s="45">
        <f t="shared" ref="V454:AW454" si="685">+V444/V438</f>
        <v>0.10462274013036532</v>
      </c>
      <c r="W454" s="45">
        <f t="shared" si="685"/>
        <v>0.16764533176746907</v>
      </c>
      <c r="X454" s="45">
        <f t="shared" si="685"/>
        <v>0.10690504727660141</v>
      </c>
      <c r="Y454" s="45">
        <f t="shared" si="685"/>
        <v>0.11100162929629936</v>
      </c>
      <c r="Z454" s="45">
        <f t="shared" si="685"/>
        <v>-1.2522221740450094E-2</v>
      </c>
      <c r="AA454" s="45">
        <f t="shared" si="685"/>
        <v>2.7376443818057331E-2</v>
      </c>
      <c r="AB454" s="45">
        <f t="shared" si="685"/>
        <v>-8.078866960047669E-2</v>
      </c>
      <c r="AC454" s="45">
        <f t="shared" si="685"/>
        <v>-0.10138480837157109</v>
      </c>
      <c r="AD454" s="45">
        <f t="shared" si="685"/>
        <v>-6.7548228290113083E-4</v>
      </c>
      <c r="AE454" s="45">
        <f t="shared" si="685"/>
        <v>2.6539733845104926E-2</v>
      </c>
      <c r="AF454" s="45">
        <f t="shared" si="685"/>
        <v>-0.16741297801631996</v>
      </c>
      <c r="AG454" s="45">
        <f>+AG444/AG438</f>
        <v>-0.63721607890017917</v>
      </c>
      <c r="AH454" s="45">
        <f>+AH444/AH438</f>
        <v>-7.8707082364521848E-3</v>
      </c>
      <c r="AI454" s="45">
        <f>+AI444/AI438</f>
        <v>3.010337340298308E-2</v>
      </c>
      <c r="AJ454" s="45">
        <f>+AJ444/AJ438</f>
        <v>0.16548414274538115</v>
      </c>
      <c r="AK454" s="45">
        <f>+AK444/AK438</f>
        <v>8.3944062219562902E-3</v>
      </c>
      <c r="AL454" s="45">
        <f t="shared" si="685"/>
        <v>3.7499116829907177E-2</v>
      </c>
      <c r="AM454" s="45">
        <f t="shared" si="685"/>
        <v>2.5213294334553375E-2</v>
      </c>
      <c r="AN454" s="45">
        <f t="shared" si="685"/>
        <v>1.8219422024270814E-2</v>
      </c>
      <c r="AO454" s="45">
        <f t="shared" si="685"/>
        <v>2.1715880343652263E-2</v>
      </c>
      <c r="AP454" s="45">
        <f t="shared" si="685"/>
        <v>2.5781178397255765E-2</v>
      </c>
      <c r="AQ454" s="45">
        <f t="shared" si="685"/>
        <v>2.9661273407764772E-2</v>
      </c>
      <c r="AR454" s="45">
        <f t="shared" si="685"/>
        <v>3.3397773488118482E-2</v>
      </c>
      <c r="AS454" s="45">
        <f t="shared" si="685"/>
        <v>3.6991567078890612E-2</v>
      </c>
      <c r="AT454" s="45">
        <f t="shared" si="685"/>
        <v>3.9968697776232347E-2</v>
      </c>
      <c r="AU454" s="45">
        <f t="shared" si="685"/>
        <v>4.1460535105990334E-2</v>
      </c>
      <c r="AV454" s="45">
        <f t="shared" si="685"/>
        <v>4.2945320734174647E-2</v>
      </c>
      <c r="AW454" s="45">
        <f t="shared" si="685"/>
        <v>4.442142615967809E-2</v>
      </c>
      <c r="AX454" s="156"/>
      <c r="AY454" s="156"/>
      <c r="AZ454" s="156"/>
      <c r="BA454" s="156"/>
      <c r="BB454" s="156"/>
      <c r="BC454" s="156"/>
      <c r="BD454" s="156"/>
      <c r="BE454" s="156"/>
      <c r="BF454" s="2">
        <f t="shared" si="582"/>
        <v>448</v>
      </c>
    </row>
    <row r="455" spans="1:58" ht="11.25" hidden="1" customHeight="1" outlineLevel="3">
      <c r="A455" s="47"/>
      <c r="B455" s="185" t="s">
        <v>12</v>
      </c>
      <c r="C455" s="45">
        <f>+C438/AVERAGE(C447:C447)</f>
        <v>0.53124618765316944</v>
      </c>
      <c r="D455" s="45">
        <f>+D438/AVERAGE(C447:D447)</f>
        <v>0.40626446008399997</v>
      </c>
      <c r="E455" s="45">
        <f>+E438/AVERAGE(D447:E447)</f>
        <v>0.55946476866005601</v>
      </c>
      <c r="F455" s="45">
        <f>+F438/AVERAGE(E447:F447)</f>
        <v>0.54526865032091454</v>
      </c>
      <c r="G455" s="45"/>
      <c r="H455" s="45"/>
      <c r="I455" s="45"/>
      <c r="J455" s="45"/>
      <c r="K455" s="45"/>
      <c r="L455" s="7"/>
      <c r="M455" s="7"/>
      <c r="N455" s="45"/>
      <c r="O455" s="45"/>
      <c r="P455" s="45"/>
      <c r="Q455" s="45">
        <f t="shared" ref="Q455:AK455" si="686">+Q438/AVERAGE(P447:Q447)</f>
        <v>0.15325904501001442</v>
      </c>
      <c r="R455" s="45">
        <f t="shared" si="686"/>
        <v>9.9665218756942703E-2</v>
      </c>
      <c r="S455" s="45">
        <f t="shared" si="686"/>
        <v>8.7573671327895647E-2</v>
      </c>
      <c r="T455" s="45">
        <f t="shared" si="686"/>
        <v>8.7094706148808029E-2</v>
      </c>
      <c r="U455" s="45">
        <f t="shared" si="686"/>
        <v>7.9552409709742727E-2</v>
      </c>
      <c r="V455" s="45">
        <f t="shared" si="686"/>
        <v>0.12525115988450736</v>
      </c>
      <c r="W455" s="45">
        <f t="shared" si="686"/>
        <v>0.12936833280065216</v>
      </c>
      <c r="X455" s="45">
        <f t="shared" si="686"/>
        <v>0.14023908251629144</v>
      </c>
      <c r="Y455" s="45">
        <f t="shared" si="686"/>
        <v>0.12941081382021946</v>
      </c>
      <c r="Z455" s="45">
        <f t="shared" si="686"/>
        <v>0.12170660491713048</v>
      </c>
      <c r="AA455" s="45">
        <f t="shared" si="686"/>
        <v>0.13547507262717021</v>
      </c>
      <c r="AB455" s="45">
        <f t="shared" si="686"/>
        <v>0.11467545954641742</v>
      </c>
      <c r="AC455" s="45">
        <f t="shared" si="686"/>
        <v>0.14404480210363518</v>
      </c>
      <c r="AD455" s="45">
        <f t="shared" si="686"/>
        <v>0.11442836256543816</v>
      </c>
      <c r="AE455" s="45">
        <f t="shared" si="686"/>
        <v>0.10912011727360903</v>
      </c>
      <c r="AF455" s="45">
        <f t="shared" si="686"/>
        <v>9.796475482062926E-2</v>
      </c>
      <c r="AG455" s="45">
        <f t="shared" si="686"/>
        <v>0.10316960951990943</v>
      </c>
      <c r="AH455" s="45">
        <f t="shared" si="686"/>
        <v>0.13453557814267789</v>
      </c>
      <c r="AI455" s="45">
        <f t="shared" si="686"/>
        <v>0.14737725711715094</v>
      </c>
      <c r="AJ455" s="45">
        <f t="shared" si="686"/>
        <v>0.19250619502243413</v>
      </c>
      <c r="AK455" s="45">
        <f t="shared" si="686"/>
        <v>0.1659744857049944</v>
      </c>
      <c r="AL455" s="45">
        <f t="shared" ref="AL455:AW455" si="687">IFERROR(+AL438/AVERAGE(AK447:AL447),0)</f>
        <v>0.15476444117187441</v>
      </c>
      <c r="AM455" s="45">
        <f t="shared" si="687"/>
        <v>0</v>
      </c>
      <c r="AN455" s="45">
        <f t="shared" si="687"/>
        <v>0</v>
      </c>
      <c r="AO455" s="45">
        <f t="shared" si="687"/>
        <v>0</v>
      </c>
      <c r="AP455" s="45">
        <f t="shared" si="687"/>
        <v>0</v>
      </c>
      <c r="AQ455" s="45">
        <f t="shared" si="687"/>
        <v>0</v>
      </c>
      <c r="AR455" s="45">
        <f t="shared" si="687"/>
        <v>0</v>
      </c>
      <c r="AS455" s="45">
        <f t="shared" si="687"/>
        <v>0</v>
      </c>
      <c r="AT455" s="45">
        <f t="shared" si="687"/>
        <v>0</v>
      </c>
      <c r="AU455" s="45">
        <f t="shared" si="687"/>
        <v>0</v>
      </c>
      <c r="AV455" s="45">
        <f t="shared" si="687"/>
        <v>0</v>
      </c>
      <c r="AW455" s="45">
        <f t="shared" si="687"/>
        <v>0</v>
      </c>
      <c r="AX455" s="44"/>
      <c r="AY455" s="44"/>
      <c r="AZ455" s="44"/>
      <c r="BA455" s="44"/>
      <c r="BB455" s="44"/>
      <c r="BC455" s="44"/>
      <c r="BD455" s="44"/>
      <c r="BE455" s="44"/>
      <c r="BF455" s="2">
        <f t="shared" si="582"/>
        <v>449</v>
      </c>
    </row>
    <row r="456" spans="1:58" ht="11.25" hidden="1" customHeight="1" outlineLevel="3">
      <c r="A456" s="47"/>
      <c r="B456" s="185" t="s">
        <v>11</v>
      </c>
      <c r="C456" s="45">
        <f>+C444/AVERAGE(C447:C447)</f>
        <v>3.0176800238430893E-2</v>
      </c>
      <c r="D456" s="45">
        <f>+D444/AVERAGE(C447:D447)</f>
        <v>5.0612079529433911E-2</v>
      </c>
      <c r="E456" s="45">
        <f>+E444/AVERAGE(D447:E447)</f>
        <v>6.8691963680439158E-2</v>
      </c>
      <c r="F456" s="45">
        <f>+F444/AVERAGE(E447:F447)</f>
        <v>-1.3305287536430984E-2</v>
      </c>
      <c r="G456" s="45"/>
      <c r="H456" s="45"/>
      <c r="I456" s="45"/>
      <c r="J456" s="45"/>
      <c r="K456" s="45"/>
      <c r="L456" s="7"/>
      <c r="M456" s="7"/>
      <c r="N456" s="45"/>
      <c r="O456" s="45"/>
      <c r="P456" s="45"/>
      <c r="Q456" s="45">
        <f t="shared" ref="Q456:AK456" si="688">+Q444/AVERAGE(P447:Q447)</f>
        <v>7.9428074623938659E-3</v>
      </c>
      <c r="R456" s="45">
        <f t="shared" si="688"/>
        <v>3.5146667892410353E-2</v>
      </c>
      <c r="S456" s="45">
        <f t="shared" si="688"/>
        <v>1.3561440223620672E-2</v>
      </c>
      <c r="T456" s="45">
        <f t="shared" si="688"/>
        <v>9.6082750260875344E-3</v>
      </c>
      <c r="U456" s="45">
        <f t="shared" si="688"/>
        <v>-1.5761828502504086E-2</v>
      </c>
      <c r="V456" s="45">
        <f t="shared" si="688"/>
        <v>1.3104119551623652E-2</v>
      </c>
      <c r="W456" s="45">
        <f t="shared" si="688"/>
        <v>2.168799707256968E-2</v>
      </c>
      <c r="X456" s="45">
        <f t="shared" si="688"/>
        <v>1.4992265746431343E-2</v>
      </c>
      <c r="Y456" s="45">
        <f t="shared" si="688"/>
        <v>1.4364811182604414E-2</v>
      </c>
      <c r="Z456" s="45">
        <f t="shared" si="688"/>
        <v>-1.5240370940496615E-3</v>
      </c>
      <c r="AA456" s="45">
        <f t="shared" si="688"/>
        <v>3.708825714524962E-3</v>
      </c>
      <c r="AB456" s="45">
        <f t="shared" si="688"/>
        <v>-9.2644778125783468E-3</v>
      </c>
      <c r="AC456" s="45">
        <f t="shared" si="688"/>
        <v>-1.4603954658197931E-2</v>
      </c>
      <c r="AD456" s="45">
        <f t="shared" si="688"/>
        <v>-7.7294331574340476E-5</v>
      </c>
      <c r="AE456" s="45">
        <f t="shared" si="688"/>
        <v>2.8960188695882202E-3</v>
      </c>
      <c r="AF456" s="45">
        <f t="shared" si="688"/>
        <v>-1.6400571345160184E-2</v>
      </c>
      <c r="AG456" s="45">
        <f t="shared" si="688"/>
        <v>-6.5741334039939273E-2</v>
      </c>
      <c r="AH456" s="45">
        <f t="shared" si="688"/>
        <v>-1.0588902829834314E-3</v>
      </c>
      <c r="AI456" s="45">
        <f t="shared" si="688"/>
        <v>4.436552602105041E-3</v>
      </c>
      <c r="AJ456" s="45">
        <f t="shared" si="688"/>
        <v>3.1856722656462673E-2</v>
      </c>
      <c r="AK456" s="45">
        <f t="shared" si="688"/>
        <v>1.3932572554880003E-3</v>
      </c>
      <c r="AL456" s="45">
        <f t="shared" ref="AL456:AW456" si="689">IFERROR(+AL444/AVERAGE(AK447:AL447),0)</f>
        <v>5.8035298606194151E-3</v>
      </c>
      <c r="AM456" s="45">
        <f t="shared" si="689"/>
        <v>0</v>
      </c>
      <c r="AN456" s="45">
        <f t="shared" si="689"/>
        <v>0</v>
      </c>
      <c r="AO456" s="45">
        <f t="shared" si="689"/>
        <v>0</v>
      </c>
      <c r="AP456" s="45">
        <f t="shared" si="689"/>
        <v>0</v>
      </c>
      <c r="AQ456" s="45">
        <f t="shared" si="689"/>
        <v>0</v>
      </c>
      <c r="AR456" s="45">
        <f t="shared" si="689"/>
        <v>0</v>
      </c>
      <c r="AS456" s="45">
        <f t="shared" si="689"/>
        <v>0</v>
      </c>
      <c r="AT456" s="45">
        <f t="shared" si="689"/>
        <v>0</v>
      </c>
      <c r="AU456" s="45">
        <f t="shared" si="689"/>
        <v>0</v>
      </c>
      <c r="AV456" s="45">
        <f t="shared" si="689"/>
        <v>0</v>
      </c>
      <c r="AW456" s="45">
        <f t="shared" si="689"/>
        <v>0</v>
      </c>
      <c r="AX456" s="44"/>
      <c r="AY456" s="44"/>
      <c r="AZ456" s="44"/>
      <c r="BA456" s="44"/>
      <c r="BB456" s="44"/>
      <c r="BC456" s="44"/>
      <c r="BD456" s="44"/>
      <c r="BE456" s="44"/>
      <c r="BF456" s="2">
        <f t="shared" si="582"/>
        <v>450</v>
      </c>
    </row>
    <row r="457" spans="1:58" ht="11.25" hidden="1" customHeight="1" outlineLevel="3">
      <c r="A457" s="50"/>
      <c r="B457" s="184"/>
      <c r="C457" s="48"/>
      <c r="D457" s="48"/>
      <c r="E457" s="48"/>
      <c r="F457" s="48"/>
      <c r="G457" s="48"/>
      <c r="H457" s="48"/>
      <c r="I457" s="48"/>
      <c r="J457" s="48"/>
      <c r="K457" s="48"/>
      <c r="L457" s="49"/>
      <c r="M457" s="3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  <c r="AB457" s="48"/>
      <c r="AC457" s="48"/>
      <c r="AD457" s="48"/>
      <c r="AE457" s="48"/>
      <c r="AF457" s="48"/>
      <c r="AG457" s="48"/>
      <c r="AH457" s="48"/>
      <c r="AI457" s="48"/>
      <c r="AJ457" s="48"/>
      <c r="AK457" s="48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5"/>
      <c r="AY457" s="5"/>
      <c r="AZ457" s="5"/>
      <c r="BA457" s="5"/>
      <c r="BB457" s="5"/>
      <c r="BC457" s="5"/>
      <c r="BD457" s="5"/>
      <c r="BE457" s="5"/>
      <c r="BF457" s="2">
        <f t="shared" si="582"/>
        <v>451</v>
      </c>
    </row>
    <row r="458" spans="1:58" ht="11.25" customHeight="1" outlineLevel="1" collapsed="1">
      <c r="A458" s="11" t="s">
        <v>5</v>
      </c>
      <c r="B458" s="27" t="s">
        <v>4</v>
      </c>
      <c r="C458" s="13"/>
      <c r="D458" s="26"/>
      <c r="E458" s="26"/>
      <c r="F458" s="26"/>
      <c r="G458" s="26"/>
      <c r="H458" s="26"/>
      <c r="I458" s="26"/>
      <c r="J458" s="26"/>
      <c r="K458" s="26"/>
      <c r="L458" s="25"/>
      <c r="M458" s="3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4"/>
      <c r="AI458" s="24"/>
      <c r="AJ458" s="24"/>
      <c r="AK458" s="24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5"/>
      <c r="AY458" s="5"/>
      <c r="AZ458" s="5"/>
      <c r="BA458" s="5"/>
      <c r="BB458" s="5"/>
      <c r="BC458" s="5"/>
      <c r="BD458" s="5"/>
      <c r="BE458" s="5"/>
      <c r="BF458" s="2">
        <f t="shared" ref="BF458:BF463" si="690">BF457+1</f>
        <v>452</v>
      </c>
    </row>
    <row r="459" spans="1:58" ht="11.25" hidden="1" customHeight="1" outlineLevel="2">
      <c r="A459" s="11"/>
      <c r="B459" s="3" t="s">
        <v>3</v>
      </c>
      <c r="C459" s="22">
        <v>0</v>
      </c>
      <c r="D459" s="22">
        <v>0</v>
      </c>
      <c r="E459" s="22">
        <v>0</v>
      </c>
      <c r="F459" s="22">
        <v>0</v>
      </c>
      <c r="G459" s="22">
        <v>0</v>
      </c>
      <c r="H459" s="22">
        <v>0</v>
      </c>
      <c r="I459" s="22">
        <v>0</v>
      </c>
      <c r="J459" s="22">
        <v>0</v>
      </c>
      <c r="K459" s="22">
        <v>0</v>
      </c>
      <c r="L459" s="23"/>
      <c r="M459" s="3"/>
      <c r="N459" s="22">
        <v>0</v>
      </c>
      <c r="O459" s="22">
        <v>0</v>
      </c>
      <c r="P459" s="22">
        <v>0</v>
      </c>
      <c r="Q459" s="22">
        <v>0</v>
      </c>
      <c r="R459" s="22">
        <v>0</v>
      </c>
      <c r="S459" s="22">
        <v>0</v>
      </c>
      <c r="T459" s="22">
        <v>0</v>
      </c>
      <c r="U459" s="22">
        <v>0</v>
      </c>
      <c r="V459" s="22">
        <v>0</v>
      </c>
      <c r="W459" s="22">
        <v>0</v>
      </c>
      <c r="X459" s="22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0</v>
      </c>
      <c r="AG459" s="22">
        <v>0</v>
      </c>
      <c r="AH459" s="22">
        <v>0</v>
      </c>
      <c r="AI459" s="22">
        <v>0</v>
      </c>
      <c r="AJ459" s="22">
        <v>0</v>
      </c>
      <c r="AK459" s="22">
        <v>0</v>
      </c>
      <c r="AL459" s="22">
        <v>0</v>
      </c>
      <c r="AM459" s="22">
        <v>0</v>
      </c>
      <c r="AN459" s="22">
        <v>0</v>
      </c>
      <c r="AO459" s="22">
        <v>0</v>
      </c>
      <c r="AP459" s="22">
        <v>0</v>
      </c>
      <c r="AQ459" s="22">
        <v>0</v>
      </c>
      <c r="AR459" s="22">
        <v>0</v>
      </c>
      <c r="AS459" s="22">
        <v>0</v>
      </c>
      <c r="AT459" s="22">
        <v>0</v>
      </c>
      <c r="AU459" s="22">
        <v>0</v>
      </c>
      <c r="AV459" s="22">
        <v>0</v>
      </c>
      <c r="AW459" s="22">
        <v>0</v>
      </c>
      <c r="AX459" s="21"/>
      <c r="AY459" s="21"/>
      <c r="AZ459" s="21"/>
      <c r="BA459" s="21"/>
      <c r="BB459" s="21"/>
      <c r="BC459" s="21"/>
      <c r="BD459" s="21"/>
      <c r="BE459" s="21"/>
      <c r="BF459" s="2">
        <f t="shared" si="690"/>
        <v>453</v>
      </c>
    </row>
    <row r="460" spans="1:58" ht="11.25" hidden="1" customHeight="1" outlineLevel="2">
      <c r="A460" s="11"/>
      <c r="B460" s="3" t="s">
        <v>2</v>
      </c>
      <c r="C460" s="19"/>
      <c r="D460" s="19">
        <f t="shared" ref="D460:K460" si="691">D216-C216+D217-C217-D38+D461</f>
        <v>10.12400000000008</v>
      </c>
      <c r="E460" s="19">
        <f t="shared" si="691"/>
        <v>-240.98700000000022</v>
      </c>
      <c r="F460" s="19">
        <f t="shared" si="691"/>
        <v>43.342999999999499</v>
      </c>
      <c r="G460" s="19">
        <f t="shared" si="691"/>
        <v>-18.309999999999594</v>
      </c>
      <c r="H460" s="19">
        <f t="shared" si="691"/>
        <v>21.608999999999867</v>
      </c>
      <c r="I460" s="19">
        <f t="shared" si="691"/>
        <v>39.999999999999886</v>
      </c>
      <c r="J460" s="19">
        <f t="shared" si="691"/>
        <v>40.00000000000005</v>
      </c>
      <c r="K460" s="19">
        <f t="shared" si="691"/>
        <v>40.000000000000057</v>
      </c>
      <c r="L460" s="20"/>
      <c r="M460" s="3"/>
      <c r="N460" s="19"/>
      <c r="O460" s="19">
        <f t="shared" ref="O460:AW460" si="692">O216-N216+O217-N217-O38+O461</f>
        <v>7.6979999999998938</v>
      </c>
      <c r="P460" s="19">
        <f t="shared" si="692"/>
        <v>6.0209999999996313</v>
      </c>
      <c r="Q460" s="19">
        <f t="shared" si="692"/>
        <v>4.6190000000001987</v>
      </c>
      <c r="R460" s="19">
        <f t="shared" si="692"/>
        <v>8.7169999999999348</v>
      </c>
      <c r="S460" s="19">
        <f t="shared" si="692"/>
        <v>8.0319999999999254</v>
      </c>
      <c r="T460" s="19">
        <f t="shared" si="692"/>
        <v>6.6670000000002005</v>
      </c>
      <c r="U460" s="19">
        <f t="shared" si="692"/>
        <v>-13.291999999999916</v>
      </c>
      <c r="V460" s="19">
        <f t="shared" si="692"/>
        <v>-61.139999999999922</v>
      </c>
      <c r="W460" s="19">
        <f t="shared" si="692"/>
        <v>-14.317000000000462</v>
      </c>
      <c r="X460" s="19">
        <f t="shared" si="692"/>
        <v>-60.814999999999749</v>
      </c>
      <c r="Y460" s="19">
        <f t="shared" si="692"/>
        <v>-104.71500000000002</v>
      </c>
      <c r="Z460" s="19">
        <f t="shared" si="692"/>
        <v>12.363999999999889</v>
      </c>
      <c r="AA460" s="19">
        <f t="shared" si="692"/>
        <v>14.059999999999798</v>
      </c>
      <c r="AB460" s="19">
        <f t="shared" si="692"/>
        <v>7.5859999999999577</v>
      </c>
      <c r="AC460" s="19">
        <f t="shared" si="692"/>
        <v>9.3329999999998083</v>
      </c>
      <c r="AD460" s="19">
        <f t="shared" si="692"/>
        <v>-0.12099999999987077</v>
      </c>
      <c r="AE460" s="19">
        <f t="shared" si="692"/>
        <v>10.187000000000353</v>
      </c>
      <c r="AF460" s="19">
        <f t="shared" si="692"/>
        <v>7.2399999999999807</v>
      </c>
      <c r="AG460" s="19">
        <f t="shared" si="692"/>
        <v>-35.616000000000213</v>
      </c>
      <c r="AH460" s="19">
        <f t="shared" si="692"/>
        <v>10.690999999999704</v>
      </c>
      <c r="AI460" s="19">
        <f t="shared" si="692"/>
        <v>9.335999999999764</v>
      </c>
      <c r="AJ460" s="19">
        <f t="shared" si="692"/>
        <v>-6.0529999999996278</v>
      </c>
      <c r="AK460" s="19">
        <f t="shared" si="692"/>
        <v>7.635000000000062</v>
      </c>
      <c r="AL460" s="19">
        <f t="shared" si="692"/>
        <v>10.000000000000021</v>
      </c>
      <c r="AM460" s="19">
        <f t="shared" si="692"/>
        <v>9.9999999999999432</v>
      </c>
      <c r="AN460" s="19">
        <f t="shared" si="692"/>
        <v>10.000000000000025</v>
      </c>
      <c r="AO460" s="19">
        <f t="shared" si="692"/>
        <v>9.9999999999998952</v>
      </c>
      <c r="AP460" s="19">
        <f t="shared" si="692"/>
        <v>9.9999999999999254</v>
      </c>
      <c r="AQ460" s="19">
        <f t="shared" si="692"/>
        <v>10.000000000000036</v>
      </c>
      <c r="AR460" s="19">
        <f t="shared" si="692"/>
        <v>10.000000000000028</v>
      </c>
      <c r="AS460" s="19">
        <f t="shared" si="692"/>
        <v>10.000000000000071</v>
      </c>
      <c r="AT460" s="19">
        <f t="shared" si="692"/>
        <v>10.000000000000025</v>
      </c>
      <c r="AU460" s="19">
        <f t="shared" si="692"/>
        <v>9.9999999999999361</v>
      </c>
      <c r="AV460" s="19">
        <f t="shared" si="692"/>
        <v>10.000000000000092</v>
      </c>
      <c r="AW460" s="19">
        <f t="shared" si="692"/>
        <v>10.000000000000025</v>
      </c>
      <c r="AX460" s="18"/>
      <c r="AY460" s="18"/>
      <c r="AZ460" s="18"/>
      <c r="BA460" s="18"/>
      <c r="BB460" s="18"/>
      <c r="BC460" s="18"/>
      <c r="BD460" s="18"/>
      <c r="BE460" s="18"/>
      <c r="BF460" s="2">
        <f t="shared" si="690"/>
        <v>454</v>
      </c>
    </row>
    <row r="461" spans="1:58" ht="11.25" hidden="1" customHeight="1" outlineLevel="2">
      <c r="A461" s="11"/>
      <c r="B461" s="3" t="s">
        <v>1</v>
      </c>
      <c r="C461" s="19">
        <f t="shared" ref="C461:K461" si="693">-C185</f>
        <v>0</v>
      </c>
      <c r="D461" s="19">
        <f t="shared" si="693"/>
        <v>0</v>
      </c>
      <c r="E461" s="19">
        <f t="shared" si="693"/>
        <v>49.756</v>
      </c>
      <c r="F461" s="19">
        <f t="shared" si="693"/>
        <v>48.139000000000003</v>
      </c>
      <c r="G461" s="19">
        <f t="shared" si="693"/>
        <v>12.111000000000001</v>
      </c>
      <c r="H461" s="19">
        <f t="shared" si="693"/>
        <v>0</v>
      </c>
      <c r="I461" s="19">
        <f t="shared" si="693"/>
        <v>0</v>
      </c>
      <c r="J461" s="19">
        <f t="shared" si="693"/>
        <v>0</v>
      </c>
      <c r="K461" s="19">
        <f t="shared" si="693"/>
        <v>0</v>
      </c>
      <c r="L461" s="20"/>
      <c r="M461" s="3"/>
      <c r="N461" s="19">
        <f t="shared" ref="N461:AW461" si="694">-N185</f>
        <v>0</v>
      </c>
      <c r="O461" s="19">
        <f t="shared" si="694"/>
        <v>0</v>
      </c>
      <c r="P461" s="19">
        <f t="shared" si="694"/>
        <v>0</v>
      </c>
      <c r="Q461" s="19">
        <f t="shared" si="694"/>
        <v>0</v>
      </c>
      <c r="R461" s="19">
        <f t="shared" si="694"/>
        <v>0</v>
      </c>
      <c r="S461" s="19">
        <f t="shared" si="694"/>
        <v>0</v>
      </c>
      <c r="T461" s="19">
        <f t="shared" si="694"/>
        <v>0</v>
      </c>
      <c r="U461" s="19">
        <f t="shared" si="694"/>
        <v>0</v>
      </c>
      <c r="V461" s="19">
        <f t="shared" si="694"/>
        <v>12.689</v>
      </c>
      <c r="W461" s="19">
        <f t="shared" si="694"/>
        <v>12.527000000000001</v>
      </c>
      <c r="X461" s="19">
        <f t="shared" si="694"/>
        <v>12.369999999999997</v>
      </c>
      <c r="Y461" s="19">
        <f t="shared" si="694"/>
        <v>12.170000000000002</v>
      </c>
      <c r="Z461" s="19">
        <f t="shared" si="694"/>
        <v>11.984</v>
      </c>
      <c r="AA461" s="19">
        <f t="shared" si="694"/>
        <v>12.037000000000001</v>
      </c>
      <c r="AB461" s="19">
        <f t="shared" si="694"/>
        <v>12.060000000000004</v>
      </c>
      <c r="AC461" s="19">
        <f t="shared" si="694"/>
        <v>12.058000000000002</v>
      </c>
      <c r="AD461" s="19">
        <f t="shared" si="694"/>
        <v>12.111000000000001</v>
      </c>
      <c r="AE461" s="19">
        <f t="shared" si="694"/>
        <v>0</v>
      </c>
      <c r="AF461" s="19">
        <f t="shared" si="694"/>
        <v>0</v>
      </c>
      <c r="AG461" s="19">
        <f t="shared" si="694"/>
        <v>0</v>
      </c>
      <c r="AH461" s="19">
        <f t="shared" si="694"/>
        <v>0</v>
      </c>
      <c r="AI461" s="19">
        <f t="shared" si="694"/>
        <v>0</v>
      </c>
      <c r="AJ461" s="19">
        <f t="shared" si="694"/>
        <v>0</v>
      </c>
      <c r="AK461" s="19">
        <f t="shared" si="694"/>
        <v>0</v>
      </c>
      <c r="AL461" s="19">
        <f t="shared" si="694"/>
        <v>0</v>
      </c>
      <c r="AM461" s="19">
        <f t="shared" si="694"/>
        <v>0</v>
      </c>
      <c r="AN461" s="19">
        <f t="shared" si="694"/>
        <v>0</v>
      </c>
      <c r="AO461" s="19">
        <f t="shared" si="694"/>
        <v>0</v>
      </c>
      <c r="AP461" s="19">
        <f t="shared" si="694"/>
        <v>0</v>
      </c>
      <c r="AQ461" s="19">
        <f t="shared" si="694"/>
        <v>0</v>
      </c>
      <c r="AR461" s="19">
        <f t="shared" si="694"/>
        <v>0</v>
      </c>
      <c r="AS461" s="19">
        <f t="shared" si="694"/>
        <v>0</v>
      </c>
      <c r="AT461" s="19">
        <f t="shared" si="694"/>
        <v>0</v>
      </c>
      <c r="AU461" s="19">
        <f t="shared" si="694"/>
        <v>0</v>
      </c>
      <c r="AV461" s="19">
        <f t="shared" si="694"/>
        <v>0</v>
      </c>
      <c r="AW461" s="19">
        <f t="shared" si="694"/>
        <v>0</v>
      </c>
      <c r="AX461" s="18"/>
      <c r="AY461" s="18"/>
      <c r="AZ461" s="18"/>
      <c r="BA461" s="18"/>
      <c r="BB461" s="18"/>
      <c r="BC461" s="18"/>
      <c r="BD461" s="18"/>
      <c r="BE461" s="18"/>
      <c r="BF461" s="2">
        <f t="shared" si="690"/>
        <v>455</v>
      </c>
    </row>
    <row r="462" spans="1:58" ht="11.25" hidden="1" customHeight="1" outlineLevel="2">
      <c r="A462" s="11"/>
      <c r="B462" s="17" t="s">
        <v>0</v>
      </c>
      <c r="C462" s="13">
        <f t="shared" ref="C462:K462" si="695">AVERAGEIFS($N462:$AX462,$N$4:$AX$4,C$4)</f>
        <v>0.375</v>
      </c>
      <c r="D462" s="16">
        <f t="shared" si="695"/>
        <v>0.375</v>
      </c>
      <c r="E462" s="16">
        <f t="shared" si="695"/>
        <v>0.375</v>
      </c>
      <c r="F462" s="16">
        <f t="shared" si="695"/>
        <v>0.375</v>
      </c>
      <c r="G462" s="16">
        <f t="shared" si="695"/>
        <v>0.375</v>
      </c>
      <c r="H462" s="16">
        <f t="shared" si="695"/>
        <v>0.375</v>
      </c>
      <c r="I462" s="16">
        <f t="shared" si="695"/>
        <v>0.24</v>
      </c>
      <c r="J462" s="16">
        <f t="shared" si="695"/>
        <v>0.24</v>
      </c>
      <c r="K462" s="16">
        <f t="shared" si="695"/>
        <v>0.24</v>
      </c>
      <c r="L462" s="15"/>
      <c r="M462" s="3"/>
      <c r="N462" s="14">
        <v>0.375</v>
      </c>
      <c r="O462" s="14">
        <v>0.375</v>
      </c>
      <c r="P462" s="13">
        <f t="shared" ref="P462:AK462" si="696">O462</f>
        <v>0.375</v>
      </c>
      <c r="Q462" s="13">
        <f t="shared" si="696"/>
        <v>0.375</v>
      </c>
      <c r="R462" s="13">
        <f t="shared" si="696"/>
        <v>0.375</v>
      </c>
      <c r="S462" s="13">
        <f t="shared" si="696"/>
        <v>0.375</v>
      </c>
      <c r="T462" s="13">
        <f t="shared" si="696"/>
        <v>0.375</v>
      </c>
      <c r="U462" s="13">
        <f t="shared" si="696"/>
        <v>0.375</v>
      </c>
      <c r="V462" s="13">
        <f t="shared" si="696"/>
        <v>0.375</v>
      </c>
      <c r="W462" s="13">
        <f t="shared" si="696"/>
        <v>0.375</v>
      </c>
      <c r="X462" s="13">
        <f t="shared" si="696"/>
        <v>0.375</v>
      </c>
      <c r="Y462" s="13">
        <f t="shared" si="696"/>
        <v>0.375</v>
      </c>
      <c r="Z462" s="13">
        <f t="shared" si="696"/>
        <v>0.375</v>
      </c>
      <c r="AA462" s="13">
        <f t="shared" si="696"/>
        <v>0.375</v>
      </c>
      <c r="AB462" s="13">
        <f t="shared" si="696"/>
        <v>0.375</v>
      </c>
      <c r="AC462" s="13">
        <f t="shared" si="696"/>
        <v>0.375</v>
      </c>
      <c r="AD462" s="13">
        <f t="shared" si="696"/>
        <v>0.375</v>
      </c>
      <c r="AE462" s="13">
        <f t="shared" si="696"/>
        <v>0.375</v>
      </c>
      <c r="AF462" s="13">
        <f t="shared" si="696"/>
        <v>0.375</v>
      </c>
      <c r="AG462" s="13">
        <f t="shared" si="696"/>
        <v>0.375</v>
      </c>
      <c r="AH462" s="13">
        <f t="shared" si="696"/>
        <v>0.375</v>
      </c>
      <c r="AI462" s="13">
        <f t="shared" si="696"/>
        <v>0.375</v>
      </c>
      <c r="AJ462" s="13">
        <f t="shared" si="696"/>
        <v>0.375</v>
      </c>
      <c r="AK462" s="13">
        <f t="shared" si="696"/>
        <v>0.375</v>
      </c>
      <c r="AL462" s="333">
        <v>0.24</v>
      </c>
      <c r="AM462" s="333">
        <v>0.24</v>
      </c>
      <c r="AN462" s="333">
        <v>0.24</v>
      </c>
      <c r="AO462" s="333">
        <v>0.24</v>
      </c>
      <c r="AP462" s="333">
        <v>0.24</v>
      </c>
      <c r="AQ462" s="333">
        <v>0.24</v>
      </c>
      <c r="AR462" s="333">
        <v>0.24</v>
      </c>
      <c r="AS462" s="333">
        <v>0.24</v>
      </c>
      <c r="AT462" s="333">
        <v>0.24</v>
      </c>
      <c r="AU462" s="333">
        <v>0.24</v>
      </c>
      <c r="AV462" s="333">
        <v>0.24</v>
      </c>
      <c r="AW462" s="333">
        <v>0.24</v>
      </c>
      <c r="AX462" s="12"/>
      <c r="AY462" s="12"/>
      <c r="AZ462" s="12"/>
      <c r="BA462" s="12"/>
      <c r="BB462" s="12"/>
      <c r="BC462" s="12"/>
      <c r="BD462" s="12"/>
      <c r="BE462" s="12"/>
      <c r="BF462" s="2">
        <f t="shared" si="690"/>
        <v>456</v>
      </c>
    </row>
    <row r="463" spans="1:58" ht="11.25" hidden="1" customHeight="1" outlineLevel="2">
      <c r="A463" s="11"/>
      <c r="B463" s="7"/>
      <c r="C463" s="8"/>
      <c r="D463" s="10"/>
      <c r="E463" s="10"/>
      <c r="F463" s="10"/>
      <c r="G463" s="10"/>
      <c r="H463" s="10"/>
      <c r="I463" s="10"/>
      <c r="J463" s="10"/>
      <c r="K463" s="10"/>
      <c r="L463" s="9"/>
      <c r="M463" s="3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7"/>
      <c r="Z463" s="7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5"/>
      <c r="AY463" s="5"/>
      <c r="AZ463" s="5"/>
      <c r="BA463" s="5"/>
      <c r="BB463" s="5"/>
      <c r="BC463" s="5"/>
      <c r="BD463" s="5"/>
      <c r="BE463" s="5"/>
      <c r="BF463" s="2">
        <f t="shared" si="690"/>
        <v>457</v>
      </c>
    </row>
    <row r="464" spans="1:58" ht="11.25" customHeight="1" outlineLevel="1" collapsed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</row>
  </sheetData>
  <conditionalFormatting sqref="C221:AW221 C190:AW190 C311:AW311">
    <cfRule type="cellIs" dxfId="4" priority="7" stopIfTrue="1" operator="equal">
      <formula>0</formula>
    </cfRule>
  </conditionalFormatting>
  <conditionalFormatting sqref="A312:B313 AL312 A314:AW314 AL313:AW313 L312:AK313">
    <cfRule type="cellIs" dxfId="3" priority="5" stopIfTrue="1" operator="equal">
      <formula>0</formula>
    </cfRule>
  </conditionalFormatting>
  <conditionalFormatting sqref="AD2:AW2">
    <cfRule type="cellIs" dxfId="2" priority="3" stopIfTrue="1" operator="equal">
      <formula>0</formula>
    </cfRule>
  </conditionalFormatting>
  <conditionalFormatting sqref="E2:J2">
    <cfRule type="cellIs" dxfId="1" priority="2" stopIfTrue="1" operator="equal">
      <formula>0</formula>
    </cfRule>
  </conditionalFormatting>
  <conditionalFormatting sqref="D2">
    <cfRule type="cellIs" dxfId="0" priority="1" stopIfTrue="1" operator="equal">
      <formula>0</formula>
    </cfRule>
  </conditionalFormatting>
  <pageMargins left="0" right="0" top="0" bottom="0" header="0" footer="0"/>
  <pageSetup paperSize="5" orientation="landscape" r:id="rId1"/>
  <headerFooter alignWithMargins="0"/>
  <rowBreaks count="1" manualBreakCount="1">
    <brk id="190" max="16383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/>
  <cols>
    <col min="1" max="1" width="34.5" style="1" bestFit="1" customWidth="1"/>
    <col min="2" max="2" width="23.1640625" style="360" customWidth="1"/>
    <col min="3" max="3" width="14" style="1" bestFit="1" customWidth="1"/>
    <col min="4" max="256" width="9.33203125" style="1"/>
    <col min="257" max="257" width="34.5" style="1" bestFit="1" customWidth="1"/>
    <col min="258" max="258" width="23.1640625" style="1" customWidth="1"/>
    <col min="259" max="259" width="14" style="1" bestFit="1" customWidth="1"/>
    <col min="260" max="512" width="9.33203125" style="1"/>
    <col min="513" max="513" width="34.5" style="1" bestFit="1" customWidth="1"/>
    <col min="514" max="514" width="23.1640625" style="1" customWidth="1"/>
    <col min="515" max="515" width="14" style="1" bestFit="1" customWidth="1"/>
    <col min="516" max="768" width="9.33203125" style="1"/>
    <col min="769" max="769" width="34.5" style="1" bestFit="1" customWidth="1"/>
    <col min="770" max="770" width="23.1640625" style="1" customWidth="1"/>
    <col min="771" max="771" width="14" style="1" bestFit="1" customWidth="1"/>
    <col min="772" max="1024" width="9.33203125" style="1"/>
    <col min="1025" max="1025" width="34.5" style="1" bestFit="1" customWidth="1"/>
    <col min="1026" max="1026" width="23.1640625" style="1" customWidth="1"/>
    <col min="1027" max="1027" width="14" style="1" bestFit="1" customWidth="1"/>
    <col min="1028" max="1280" width="9.33203125" style="1"/>
    <col min="1281" max="1281" width="34.5" style="1" bestFit="1" customWidth="1"/>
    <col min="1282" max="1282" width="23.1640625" style="1" customWidth="1"/>
    <col min="1283" max="1283" width="14" style="1" bestFit="1" customWidth="1"/>
    <col min="1284" max="1536" width="9.33203125" style="1"/>
    <col min="1537" max="1537" width="34.5" style="1" bestFit="1" customWidth="1"/>
    <col min="1538" max="1538" width="23.1640625" style="1" customWidth="1"/>
    <col min="1539" max="1539" width="14" style="1" bestFit="1" customWidth="1"/>
    <col min="1540" max="1792" width="9.33203125" style="1"/>
    <col min="1793" max="1793" width="34.5" style="1" bestFit="1" customWidth="1"/>
    <col min="1794" max="1794" width="23.1640625" style="1" customWidth="1"/>
    <col min="1795" max="1795" width="14" style="1" bestFit="1" customWidth="1"/>
    <col min="1796" max="2048" width="9.33203125" style="1"/>
    <col min="2049" max="2049" width="34.5" style="1" bestFit="1" customWidth="1"/>
    <col min="2050" max="2050" width="23.1640625" style="1" customWidth="1"/>
    <col min="2051" max="2051" width="14" style="1" bestFit="1" customWidth="1"/>
    <col min="2052" max="2304" width="9.33203125" style="1"/>
    <col min="2305" max="2305" width="34.5" style="1" bestFit="1" customWidth="1"/>
    <col min="2306" max="2306" width="23.1640625" style="1" customWidth="1"/>
    <col min="2307" max="2307" width="14" style="1" bestFit="1" customWidth="1"/>
    <col min="2308" max="2560" width="9.33203125" style="1"/>
    <col min="2561" max="2561" width="34.5" style="1" bestFit="1" customWidth="1"/>
    <col min="2562" max="2562" width="23.1640625" style="1" customWidth="1"/>
    <col min="2563" max="2563" width="14" style="1" bestFit="1" customWidth="1"/>
    <col min="2564" max="2816" width="9.33203125" style="1"/>
    <col min="2817" max="2817" width="34.5" style="1" bestFit="1" customWidth="1"/>
    <col min="2818" max="2818" width="23.1640625" style="1" customWidth="1"/>
    <col min="2819" max="2819" width="14" style="1" bestFit="1" customWidth="1"/>
    <col min="2820" max="3072" width="9.33203125" style="1"/>
    <col min="3073" max="3073" width="34.5" style="1" bestFit="1" customWidth="1"/>
    <col min="3074" max="3074" width="23.1640625" style="1" customWidth="1"/>
    <col min="3075" max="3075" width="14" style="1" bestFit="1" customWidth="1"/>
    <col min="3076" max="3328" width="9.33203125" style="1"/>
    <col min="3329" max="3329" width="34.5" style="1" bestFit="1" customWidth="1"/>
    <col min="3330" max="3330" width="23.1640625" style="1" customWidth="1"/>
    <col min="3331" max="3331" width="14" style="1" bestFit="1" customWidth="1"/>
    <col min="3332" max="3584" width="9.33203125" style="1"/>
    <col min="3585" max="3585" width="34.5" style="1" bestFit="1" customWidth="1"/>
    <col min="3586" max="3586" width="23.1640625" style="1" customWidth="1"/>
    <col min="3587" max="3587" width="14" style="1" bestFit="1" customWidth="1"/>
    <col min="3588" max="3840" width="9.33203125" style="1"/>
    <col min="3841" max="3841" width="34.5" style="1" bestFit="1" customWidth="1"/>
    <col min="3842" max="3842" width="23.1640625" style="1" customWidth="1"/>
    <col min="3843" max="3843" width="14" style="1" bestFit="1" customWidth="1"/>
    <col min="3844" max="4096" width="9.33203125" style="1"/>
    <col min="4097" max="4097" width="34.5" style="1" bestFit="1" customWidth="1"/>
    <col min="4098" max="4098" width="23.1640625" style="1" customWidth="1"/>
    <col min="4099" max="4099" width="14" style="1" bestFit="1" customWidth="1"/>
    <col min="4100" max="4352" width="9.33203125" style="1"/>
    <col min="4353" max="4353" width="34.5" style="1" bestFit="1" customWidth="1"/>
    <col min="4354" max="4354" width="23.1640625" style="1" customWidth="1"/>
    <col min="4355" max="4355" width="14" style="1" bestFit="1" customWidth="1"/>
    <col min="4356" max="4608" width="9.33203125" style="1"/>
    <col min="4609" max="4609" width="34.5" style="1" bestFit="1" customWidth="1"/>
    <col min="4610" max="4610" width="23.1640625" style="1" customWidth="1"/>
    <col min="4611" max="4611" width="14" style="1" bestFit="1" customWidth="1"/>
    <col min="4612" max="4864" width="9.33203125" style="1"/>
    <col min="4865" max="4865" width="34.5" style="1" bestFit="1" customWidth="1"/>
    <col min="4866" max="4866" width="23.1640625" style="1" customWidth="1"/>
    <col min="4867" max="4867" width="14" style="1" bestFit="1" customWidth="1"/>
    <col min="4868" max="5120" width="9.33203125" style="1"/>
    <col min="5121" max="5121" width="34.5" style="1" bestFit="1" customWidth="1"/>
    <col min="5122" max="5122" width="23.1640625" style="1" customWidth="1"/>
    <col min="5123" max="5123" width="14" style="1" bestFit="1" customWidth="1"/>
    <col min="5124" max="5376" width="9.33203125" style="1"/>
    <col min="5377" max="5377" width="34.5" style="1" bestFit="1" customWidth="1"/>
    <col min="5378" max="5378" width="23.1640625" style="1" customWidth="1"/>
    <col min="5379" max="5379" width="14" style="1" bestFit="1" customWidth="1"/>
    <col min="5380" max="5632" width="9.33203125" style="1"/>
    <col min="5633" max="5633" width="34.5" style="1" bestFit="1" customWidth="1"/>
    <col min="5634" max="5634" width="23.1640625" style="1" customWidth="1"/>
    <col min="5635" max="5635" width="14" style="1" bestFit="1" customWidth="1"/>
    <col min="5636" max="5888" width="9.33203125" style="1"/>
    <col min="5889" max="5889" width="34.5" style="1" bestFit="1" customWidth="1"/>
    <col min="5890" max="5890" width="23.1640625" style="1" customWidth="1"/>
    <col min="5891" max="5891" width="14" style="1" bestFit="1" customWidth="1"/>
    <col min="5892" max="6144" width="9.33203125" style="1"/>
    <col min="6145" max="6145" width="34.5" style="1" bestFit="1" customWidth="1"/>
    <col min="6146" max="6146" width="23.1640625" style="1" customWidth="1"/>
    <col min="6147" max="6147" width="14" style="1" bestFit="1" customWidth="1"/>
    <col min="6148" max="6400" width="9.33203125" style="1"/>
    <col min="6401" max="6401" width="34.5" style="1" bestFit="1" customWidth="1"/>
    <col min="6402" max="6402" width="23.1640625" style="1" customWidth="1"/>
    <col min="6403" max="6403" width="14" style="1" bestFit="1" customWidth="1"/>
    <col min="6404" max="6656" width="9.33203125" style="1"/>
    <col min="6657" max="6657" width="34.5" style="1" bestFit="1" customWidth="1"/>
    <col min="6658" max="6658" width="23.1640625" style="1" customWidth="1"/>
    <col min="6659" max="6659" width="14" style="1" bestFit="1" customWidth="1"/>
    <col min="6660" max="6912" width="9.33203125" style="1"/>
    <col min="6913" max="6913" width="34.5" style="1" bestFit="1" customWidth="1"/>
    <col min="6914" max="6914" width="23.1640625" style="1" customWidth="1"/>
    <col min="6915" max="6915" width="14" style="1" bestFit="1" customWidth="1"/>
    <col min="6916" max="7168" width="9.33203125" style="1"/>
    <col min="7169" max="7169" width="34.5" style="1" bestFit="1" customWidth="1"/>
    <col min="7170" max="7170" width="23.1640625" style="1" customWidth="1"/>
    <col min="7171" max="7171" width="14" style="1" bestFit="1" customWidth="1"/>
    <col min="7172" max="7424" width="9.33203125" style="1"/>
    <col min="7425" max="7425" width="34.5" style="1" bestFit="1" customWidth="1"/>
    <col min="7426" max="7426" width="23.1640625" style="1" customWidth="1"/>
    <col min="7427" max="7427" width="14" style="1" bestFit="1" customWidth="1"/>
    <col min="7428" max="7680" width="9.33203125" style="1"/>
    <col min="7681" max="7681" width="34.5" style="1" bestFit="1" customWidth="1"/>
    <col min="7682" max="7682" width="23.1640625" style="1" customWidth="1"/>
    <col min="7683" max="7683" width="14" style="1" bestFit="1" customWidth="1"/>
    <col min="7684" max="7936" width="9.33203125" style="1"/>
    <col min="7937" max="7937" width="34.5" style="1" bestFit="1" customWidth="1"/>
    <col min="7938" max="7938" width="23.1640625" style="1" customWidth="1"/>
    <col min="7939" max="7939" width="14" style="1" bestFit="1" customWidth="1"/>
    <col min="7940" max="8192" width="9.33203125" style="1"/>
    <col min="8193" max="8193" width="34.5" style="1" bestFit="1" customWidth="1"/>
    <col min="8194" max="8194" width="23.1640625" style="1" customWidth="1"/>
    <col min="8195" max="8195" width="14" style="1" bestFit="1" customWidth="1"/>
    <col min="8196" max="8448" width="9.33203125" style="1"/>
    <col min="8449" max="8449" width="34.5" style="1" bestFit="1" customWidth="1"/>
    <col min="8450" max="8450" width="23.1640625" style="1" customWidth="1"/>
    <col min="8451" max="8451" width="14" style="1" bestFit="1" customWidth="1"/>
    <col min="8452" max="8704" width="9.33203125" style="1"/>
    <col min="8705" max="8705" width="34.5" style="1" bestFit="1" customWidth="1"/>
    <col min="8706" max="8706" width="23.1640625" style="1" customWidth="1"/>
    <col min="8707" max="8707" width="14" style="1" bestFit="1" customWidth="1"/>
    <col min="8708" max="8960" width="9.33203125" style="1"/>
    <col min="8961" max="8961" width="34.5" style="1" bestFit="1" customWidth="1"/>
    <col min="8962" max="8962" width="23.1640625" style="1" customWidth="1"/>
    <col min="8963" max="8963" width="14" style="1" bestFit="1" customWidth="1"/>
    <col min="8964" max="9216" width="9.33203125" style="1"/>
    <col min="9217" max="9217" width="34.5" style="1" bestFit="1" customWidth="1"/>
    <col min="9218" max="9218" width="23.1640625" style="1" customWidth="1"/>
    <col min="9219" max="9219" width="14" style="1" bestFit="1" customWidth="1"/>
    <col min="9220" max="9472" width="9.33203125" style="1"/>
    <col min="9473" max="9473" width="34.5" style="1" bestFit="1" customWidth="1"/>
    <col min="9474" max="9474" width="23.1640625" style="1" customWidth="1"/>
    <col min="9475" max="9475" width="14" style="1" bestFit="1" customWidth="1"/>
    <col min="9476" max="9728" width="9.33203125" style="1"/>
    <col min="9729" max="9729" width="34.5" style="1" bestFit="1" customWidth="1"/>
    <col min="9730" max="9730" width="23.1640625" style="1" customWidth="1"/>
    <col min="9731" max="9731" width="14" style="1" bestFit="1" customWidth="1"/>
    <col min="9732" max="9984" width="9.33203125" style="1"/>
    <col min="9985" max="9985" width="34.5" style="1" bestFit="1" customWidth="1"/>
    <col min="9986" max="9986" width="23.1640625" style="1" customWidth="1"/>
    <col min="9987" max="9987" width="14" style="1" bestFit="1" customWidth="1"/>
    <col min="9988" max="10240" width="9.33203125" style="1"/>
    <col min="10241" max="10241" width="34.5" style="1" bestFit="1" customWidth="1"/>
    <col min="10242" max="10242" width="23.1640625" style="1" customWidth="1"/>
    <col min="10243" max="10243" width="14" style="1" bestFit="1" customWidth="1"/>
    <col min="10244" max="10496" width="9.33203125" style="1"/>
    <col min="10497" max="10497" width="34.5" style="1" bestFit="1" customWidth="1"/>
    <col min="10498" max="10498" width="23.1640625" style="1" customWidth="1"/>
    <col min="10499" max="10499" width="14" style="1" bestFit="1" customWidth="1"/>
    <col min="10500" max="10752" width="9.33203125" style="1"/>
    <col min="10753" max="10753" width="34.5" style="1" bestFit="1" customWidth="1"/>
    <col min="10754" max="10754" width="23.1640625" style="1" customWidth="1"/>
    <col min="10755" max="10755" width="14" style="1" bestFit="1" customWidth="1"/>
    <col min="10756" max="11008" width="9.33203125" style="1"/>
    <col min="11009" max="11009" width="34.5" style="1" bestFit="1" customWidth="1"/>
    <col min="11010" max="11010" width="23.1640625" style="1" customWidth="1"/>
    <col min="11011" max="11011" width="14" style="1" bestFit="1" customWidth="1"/>
    <col min="11012" max="11264" width="9.33203125" style="1"/>
    <col min="11265" max="11265" width="34.5" style="1" bestFit="1" customWidth="1"/>
    <col min="11266" max="11266" width="23.1640625" style="1" customWidth="1"/>
    <col min="11267" max="11267" width="14" style="1" bestFit="1" customWidth="1"/>
    <col min="11268" max="11520" width="9.33203125" style="1"/>
    <col min="11521" max="11521" width="34.5" style="1" bestFit="1" customWidth="1"/>
    <col min="11522" max="11522" width="23.1640625" style="1" customWidth="1"/>
    <col min="11523" max="11523" width="14" style="1" bestFit="1" customWidth="1"/>
    <col min="11524" max="11776" width="9.33203125" style="1"/>
    <col min="11777" max="11777" width="34.5" style="1" bestFit="1" customWidth="1"/>
    <col min="11778" max="11778" width="23.1640625" style="1" customWidth="1"/>
    <col min="11779" max="11779" width="14" style="1" bestFit="1" customWidth="1"/>
    <col min="11780" max="12032" width="9.33203125" style="1"/>
    <col min="12033" max="12033" width="34.5" style="1" bestFit="1" customWidth="1"/>
    <col min="12034" max="12034" width="23.1640625" style="1" customWidth="1"/>
    <col min="12035" max="12035" width="14" style="1" bestFit="1" customWidth="1"/>
    <col min="12036" max="12288" width="9.33203125" style="1"/>
    <col min="12289" max="12289" width="34.5" style="1" bestFit="1" customWidth="1"/>
    <col min="12290" max="12290" width="23.1640625" style="1" customWidth="1"/>
    <col min="12291" max="12291" width="14" style="1" bestFit="1" customWidth="1"/>
    <col min="12292" max="12544" width="9.33203125" style="1"/>
    <col min="12545" max="12545" width="34.5" style="1" bestFit="1" customWidth="1"/>
    <col min="12546" max="12546" width="23.1640625" style="1" customWidth="1"/>
    <col min="12547" max="12547" width="14" style="1" bestFit="1" customWidth="1"/>
    <col min="12548" max="12800" width="9.33203125" style="1"/>
    <col min="12801" max="12801" width="34.5" style="1" bestFit="1" customWidth="1"/>
    <col min="12802" max="12802" width="23.1640625" style="1" customWidth="1"/>
    <col min="12803" max="12803" width="14" style="1" bestFit="1" customWidth="1"/>
    <col min="12804" max="13056" width="9.33203125" style="1"/>
    <col min="13057" max="13057" width="34.5" style="1" bestFit="1" customWidth="1"/>
    <col min="13058" max="13058" width="23.1640625" style="1" customWidth="1"/>
    <col min="13059" max="13059" width="14" style="1" bestFit="1" customWidth="1"/>
    <col min="13060" max="13312" width="9.33203125" style="1"/>
    <col min="13313" max="13313" width="34.5" style="1" bestFit="1" customWidth="1"/>
    <col min="13314" max="13314" width="23.1640625" style="1" customWidth="1"/>
    <col min="13315" max="13315" width="14" style="1" bestFit="1" customWidth="1"/>
    <col min="13316" max="13568" width="9.33203125" style="1"/>
    <col min="13569" max="13569" width="34.5" style="1" bestFit="1" customWidth="1"/>
    <col min="13570" max="13570" width="23.1640625" style="1" customWidth="1"/>
    <col min="13571" max="13571" width="14" style="1" bestFit="1" customWidth="1"/>
    <col min="13572" max="13824" width="9.33203125" style="1"/>
    <col min="13825" max="13825" width="34.5" style="1" bestFit="1" customWidth="1"/>
    <col min="13826" max="13826" width="23.1640625" style="1" customWidth="1"/>
    <col min="13827" max="13827" width="14" style="1" bestFit="1" customWidth="1"/>
    <col min="13828" max="14080" width="9.33203125" style="1"/>
    <col min="14081" max="14081" width="34.5" style="1" bestFit="1" customWidth="1"/>
    <col min="14082" max="14082" width="23.1640625" style="1" customWidth="1"/>
    <col min="14083" max="14083" width="14" style="1" bestFit="1" customWidth="1"/>
    <col min="14084" max="14336" width="9.33203125" style="1"/>
    <col min="14337" max="14337" width="34.5" style="1" bestFit="1" customWidth="1"/>
    <col min="14338" max="14338" width="23.1640625" style="1" customWidth="1"/>
    <col min="14339" max="14339" width="14" style="1" bestFit="1" customWidth="1"/>
    <col min="14340" max="14592" width="9.33203125" style="1"/>
    <col min="14593" max="14593" width="34.5" style="1" bestFit="1" customWidth="1"/>
    <col min="14594" max="14594" width="23.1640625" style="1" customWidth="1"/>
    <col min="14595" max="14595" width="14" style="1" bestFit="1" customWidth="1"/>
    <col min="14596" max="14848" width="9.33203125" style="1"/>
    <col min="14849" max="14849" width="34.5" style="1" bestFit="1" customWidth="1"/>
    <col min="14850" max="14850" width="23.1640625" style="1" customWidth="1"/>
    <col min="14851" max="14851" width="14" style="1" bestFit="1" customWidth="1"/>
    <col min="14852" max="15104" width="9.33203125" style="1"/>
    <col min="15105" max="15105" width="34.5" style="1" bestFit="1" customWidth="1"/>
    <col min="15106" max="15106" width="23.1640625" style="1" customWidth="1"/>
    <col min="15107" max="15107" width="14" style="1" bestFit="1" customWidth="1"/>
    <col min="15108" max="15360" width="9.33203125" style="1"/>
    <col min="15361" max="15361" width="34.5" style="1" bestFit="1" customWidth="1"/>
    <col min="15362" max="15362" width="23.1640625" style="1" customWidth="1"/>
    <col min="15363" max="15363" width="14" style="1" bestFit="1" customWidth="1"/>
    <col min="15364" max="15616" width="9.33203125" style="1"/>
    <col min="15617" max="15617" width="34.5" style="1" bestFit="1" customWidth="1"/>
    <col min="15618" max="15618" width="23.1640625" style="1" customWidth="1"/>
    <col min="15619" max="15619" width="14" style="1" bestFit="1" customWidth="1"/>
    <col min="15620" max="15872" width="9.33203125" style="1"/>
    <col min="15873" max="15873" width="34.5" style="1" bestFit="1" customWidth="1"/>
    <col min="15874" max="15874" width="23.1640625" style="1" customWidth="1"/>
    <col min="15875" max="15875" width="14" style="1" bestFit="1" customWidth="1"/>
    <col min="15876" max="16128" width="9.33203125" style="1"/>
    <col min="16129" max="16129" width="34.5" style="1" bestFit="1" customWidth="1"/>
    <col min="16130" max="16130" width="23.1640625" style="1" customWidth="1"/>
    <col min="16131" max="16131" width="14" style="1" bestFit="1" customWidth="1"/>
    <col min="16132" max="16384" width="9.33203125" style="1"/>
  </cols>
  <sheetData>
    <row r="1" spans="1:2">
      <c r="A1" s="1" t="s">
        <v>1100</v>
      </c>
      <c r="B1" s="359">
        <v>6.1</v>
      </c>
    </row>
    <row r="2" spans="1:2">
      <c r="A2" s="1" t="s">
        <v>1101</v>
      </c>
      <c r="B2" s="363">
        <v>43201.484583333331</v>
      </c>
    </row>
    <row r="3" spans="1:2">
      <c r="A3" s="1" t="s">
        <v>1102</v>
      </c>
      <c r="B3" s="360" t="s">
        <v>801</v>
      </c>
    </row>
    <row r="4" spans="1:2">
      <c r="A4" s="1" t="s">
        <v>1103</v>
      </c>
      <c r="B4" s="360" t="s">
        <v>1104</v>
      </c>
    </row>
    <row r="5" spans="1:2">
      <c r="A5" s="1" t="s">
        <v>1105</v>
      </c>
      <c r="B5" s="360" t="s">
        <v>1106</v>
      </c>
    </row>
    <row r="6" spans="1:2">
      <c r="A6" s="1" t="s">
        <v>1107</v>
      </c>
    </row>
    <row r="7" spans="1:2">
      <c r="A7" s="1" t="s">
        <v>1108</v>
      </c>
      <c r="B7" s="360" t="s">
        <v>237</v>
      </c>
    </row>
    <row r="8" spans="1:2">
      <c r="A8" s="1" t="s">
        <v>1109</v>
      </c>
      <c r="B8" s="360" t="s">
        <v>1110</v>
      </c>
    </row>
    <row r="9" spans="1:2">
      <c r="A9" s="1" t="s">
        <v>1111</v>
      </c>
      <c r="B9" s="360" t="s">
        <v>1149</v>
      </c>
    </row>
    <row r="10" spans="1:2">
      <c r="A10" s="1" t="s">
        <v>1112</v>
      </c>
    </row>
    <row r="11" spans="1:2">
      <c r="A11" s="1" t="s">
        <v>1113</v>
      </c>
    </row>
    <row r="12" spans="1:2">
      <c r="A12" s="1" t="s">
        <v>1114</v>
      </c>
    </row>
    <row r="13" spans="1:2">
      <c r="A13" s="1" t="s">
        <v>1115</v>
      </c>
    </row>
    <row r="14" spans="1:2">
      <c r="A14" s="1" t="s">
        <v>1116</v>
      </c>
    </row>
    <row r="15" spans="1:2">
      <c r="A15" s="1" t="s">
        <v>1117</v>
      </c>
    </row>
    <row r="16" spans="1:2">
      <c r="A16" s="1" t="s">
        <v>1118</v>
      </c>
    </row>
    <row r="17" spans="1:4">
      <c r="A17" s="1" t="s">
        <v>1119</v>
      </c>
      <c r="B17" s="360" t="s">
        <v>1150</v>
      </c>
    </row>
    <row r="18" spans="1:4">
      <c r="A18" s="1" t="s">
        <v>1120</v>
      </c>
      <c r="B18" s="360" t="s">
        <v>802</v>
      </c>
    </row>
    <row r="19" spans="1:4">
      <c r="A19" s="1" t="s">
        <v>1121</v>
      </c>
      <c r="B19" s="360" t="s">
        <v>238</v>
      </c>
    </row>
    <row r="20" spans="1:4">
      <c r="A20" s="1" t="s">
        <v>1122</v>
      </c>
      <c r="B20" s="361">
        <v>868157108</v>
      </c>
    </row>
    <row r="21" spans="1:4">
      <c r="A21" s="1" t="s">
        <v>1123</v>
      </c>
      <c r="B21" s="360" t="s">
        <v>238</v>
      </c>
    </row>
    <row r="22" spans="1:4">
      <c r="A22" s="1" t="s">
        <v>1124</v>
      </c>
      <c r="B22" s="361">
        <v>2806109</v>
      </c>
    </row>
    <row r="23" spans="1:4">
      <c r="A23" s="1" t="s">
        <v>235</v>
      </c>
      <c r="B23" s="359">
        <v>9.4700000000000006</v>
      </c>
    </row>
    <row r="24" spans="1:4">
      <c r="A24" s="1" t="s">
        <v>236</v>
      </c>
      <c r="B24" s="360" t="s">
        <v>233</v>
      </c>
      <c r="D24" s="1" t="s">
        <v>1125</v>
      </c>
    </row>
    <row r="25" spans="1:4">
      <c r="A25" s="1" t="s">
        <v>1126</v>
      </c>
      <c r="B25" s="360" t="s">
        <v>1153</v>
      </c>
    </row>
    <row r="26" spans="1:4">
      <c r="A26" s="1" t="s">
        <v>1127</v>
      </c>
      <c r="B26" s="360">
        <v>0</v>
      </c>
    </row>
    <row r="27" spans="1:4">
      <c r="A27" s="1" t="s">
        <v>1128</v>
      </c>
      <c r="B27" s="360" t="s">
        <v>1129</v>
      </c>
    </row>
    <row r="28" spans="1:4">
      <c r="A28" s="1" t="s">
        <v>1130</v>
      </c>
      <c r="B28" s="360" t="s">
        <v>1131</v>
      </c>
    </row>
    <row r="29" spans="1:4">
      <c r="A29" s="1" t="s">
        <v>1132</v>
      </c>
    </row>
    <row r="30" spans="1:4">
      <c r="A30" s="1" t="s">
        <v>1133</v>
      </c>
    </row>
    <row r="31" spans="1:4">
      <c r="A31" s="1" t="s">
        <v>1134</v>
      </c>
    </row>
    <row r="32" spans="1:4">
      <c r="A32" s="1" t="s">
        <v>1135</v>
      </c>
      <c r="B32" s="359"/>
    </row>
    <row r="33" spans="1:2">
      <c r="A33" s="1" t="s">
        <v>1136</v>
      </c>
      <c r="B33" s="359"/>
    </row>
    <row r="34" spans="1:2">
      <c r="A34" s="1" t="s">
        <v>1137</v>
      </c>
      <c r="B34" s="359"/>
    </row>
    <row r="35" spans="1:2">
      <c r="A35" s="1" t="s">
        <v>1138</v>
      </c>
      <c r="B35" s="360">
        <v>1000000</v>
      </c>
    </row>
    <row r="36" spans="1:2">
      <c r="A36" s="1" t="s">
        <v>1139</v>
      </c>
      <c r="B36" s="360" t="s">
        <v>1151</v>
      </c>
    </row>
    <row r="37" spans="1:2">
      <c r="A37" s="1" t="s">
        <v>1140</v>
      </c>
      <c r="B37" s="360" t="s">
        <v>1141</v>
      </c>
    </row>
    <row r="38" spans="1:2">
      <c r="A38" s="1" t="s">
        <v>1142</v>
      </c>
      <c r="B38" s="360" t="s">
        <v>1143</v>
      </c>
    </row>
    <row r="39" spans="1:2">
      <c r="A39" s="1" t="s">
        <v>1144</v>
      </c>
      <c r="B39" s="360" t="s">
        <v>1152</v>
      </c>
    </row>
    <row r="40" spans="1:2">
      <c r="A40" s="1" t="s">
        <v>1145</v>
      </c>
      <c r="B40" s="360">
        <v>1500000135</v>
      </c>
    </row>
    <row r="41" spans="1:2">
      <c r="A41" s="1" t="s">
        <v>1146</v>
      </c>
      <c r="B41" s="360">
        <v>1</v>
      </c>
    </row>
    <row r="42" spans="1:2">
      <c r="A42" s="362" t="s">
        <v>1147</v>
      </c>
    </row>
    <row r="43" spans="1:2">
      <c r="A43" s="1" t="s">
        <v>1148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/>
  <cols>
    <col min="1" max="1" width="33.33203125" style="1" bestFit="1" customWidth="1"/>
    <col min="2" max="256" width="9.33203125" style="1"/>
    <col min="257" max="257" width="33.33203125" style="1" bestFit="1" customWidth="1"/>
    <col min="258" max="512" width="9.33203125" style="1"/>
    <col min="513" max="513" width="33.33203125" style="1" bestFit="1" customWidth="1"/>
    <col min="514" max="768" width="9.33203125" style="1"/>
    <col min="769" max="769" width="33.33203125" style="1" bestFit="1" customWidth="1"/>
    <col min="770" max="1024" width="9.33203125" style="1"/>
    <col min="1025" max="1025" width="33.33203125" style="1" bestFit="1" customWidth="1"/>
    <col min="1026" max="1280" width="9.33203125" style="1"/>
    <col min="1281" max="1281" width="33.33203125" style="1" bestFit="1" customWidth="1"/>
    <col min="1282" max="1536" width="9.33203125" style="1"/>
    <col min="1537" max="1537" width="33.33203125" style="1" bestFit="1" customWidth="1"/>
    <col min="1538" max="1792" width="9.33203125" style="1"/>
    <col min="1793" max="1793" width="33.33203125" style="1" bestFit="1" customWidth="1"/>
    <col min="1794" max="2048" width="9.33203125" style="1"/>
    <col min="2049" max="2049" width="33.33203125" style="1" bestFit="1" customWidth="1"/>
    <col min="2050" max="2304" width="9.33203125" style="1"/>
    <col min="2305" max="2305" width="33.33203125" style="1" bestFit="1" customWidth="1"/>
    <col min="2306" max="2560" width="9.33203125" style="1"/>
    <col min="2561" max="2561" width="33.33203125" style="1" bestFit="1" customWidth="1"/>
    <col min="2562" max="2816" width="9.33203125" style="1"/>
    <col min="2817" max="2817" width="33.33203125" style="1" bestFit="1" customWidth="1"/>
    <col min="2818" max="3072" width="9.33203125" style="1"/>
    <col min="3073" max="3073" width="33.33203125" style="1" bestFit="1" customWidth="1"/>
    <col min="3074" max="3328" width="9.33203125" style="1"/>
    <col min="3329" max="3329" width="33.33203125" style="1" bestFit="1" customWidth="1"/>
    <col min="3330" max="3584" width="9.33203125" style="1"/>
    <col min="3585" max="3585" width="33.33203125" style="1" bestFit="1" customWidth="1"/>
    <col min="3586" max="3840" width="9.33203125" style="1"/>
    <col min="3841" max="3841" width="33.33203125" style="1" bestFit="1" customWidth="1"/>
    <col min="3842" max="4096" width="9.33203125" style="1"/>
    <col min="4097" max="4097" width="33.33203125" style="1" bestFit="1" customWidth="1"/>
    <col min="4098" max="4352" width="9.33203125" style="1"/>
    <col min="4353" max="4353" width="33.33203125" style="1" bestFit="1" customWidth="1"/>
    <col min="4354" max="4608" width="9.33203125" style="1"/>
    <col min="4609" max="4609" width="33.33203125" style="1" bestFit="1" customWidth="1"/>
    <col min="4610" max="4864" width="9.33203125" style="1"/>
    <col min="4865" max="4865" width="33.33203125" style="1" bestFit="1" customWidth="1"/>
    <col min="4866" max="5120" width="9.33203125" style="1"/>
    <col min="5121" max="5121" width="33.33203125" style="1" bestFit="1" customWidth="1"/>
    <col min="5122" max="5376" width="9.33203125" style="1"/>
    <col min="5377" max="5377" width="33.33203125" style="1" bestFit="1" customWidth="1"/>
    <col min="5378" max="5632" width="9.33203125" style="1"/>
    <col min="5633" max="5633" width="33.33203125" style="1" bestFit="1" customWidth="1"/>
    <col min="5634" max="5888" width="9.33203125" style="1"/>
    <col min="5889" max="5889" width="33.33203125" style="1" bestFit="1" customWidth="1"/>
    <col min="5890" max="6144" width="9.33203125" style="1"/>
    <col min="6145" max="6145" width="33.33203125" style="1" bestFit="1" customWidth="1"/>
    <col min="6146" max="6400" width="9.33203125" style="1"/>
    <col min="6401" max="6401" width="33.33203125" style="1" bestFit="1" customWidth="1"/>
    <col min="6402" max="6656" width="9.33203125" style="1"/>
    <col min="6657" max="6657" width="33.33203125" style="1" bestFit="1" customWidth="1"/>
    <col min="6658" max="6912" width="9.33203125" style="1"/>
    <col min="6913" max="6913" width="33.33203125" style="1" bestFit="1" customWidth="1"/>
    <col min="6914" max="7168" width="9.33203125" style="1"/>
    <col min="7169" max="7169" width="33.33203125" style="1" bestFit="1" customWidth="1"/>
    <col min="7170" max="7424" width="9.33203125" style="1"/>
    <col min="7425" max="7425" width="33.33203125" style="1" bestFit="1" customWidth="1"/>
    <col min="7426" max="7680" width="9.33203125" style="1"/>
    <col min="7681" max="7681" width="33.33203125" style="1" bestFit="1" customWidth="1"/>
    <col min="7682" max="7936" width="9.33203125" style="1"/>
    <col min="7937" max="7937" width="33.33203125" style="1" bestFit="1" customWidth="1"/>
    <col min="7938" max="8192" width="9.33203125" style="1"/>
    <col min="8193" max="8193" width="33.33203125" style="1" bestFit="1" customWidth="1"/>
    <col min="8194" max="8448" width="9.33203125" style="1"/>
    <col min="8449" max="8449" width="33.33203125" style="1" bestFit="1" customWidth="1"/>
    <col min="8450" max="8704" width="9.33203125" style="1"/>
    <col min="8705" max="8705" width="33.33203125" style="1" bestFit="1" customWidth="1"/>
    <col min="8706" max="8960" width="9.33203125" style="1"/>
    <col min="8961" max="8961" width="33.33203125" style="1" bestFit="1" customWidth="1"/>
    <col min="8962" max="9216" width="9.33203125" style="1"/>
    <col min="9217" max="9217" width="33.33203125" style="1" bestFit="1" customWidth="1"/>
    <col min="9218" max="9472" width="9.33203125" style="1"/>
    <col min="9473" max="9473" width="33.33203125" style="1" bestFit="1" customWidth="1"/>
    <col min="9474" max="9728" width="9.33203125" style="1"/>
    <col min="9729" max="9729" width="33.33203125" style="1" bestFit="1" customWidth="1"/>
    <col min="9730" max="9984" width="9.33203125" style="1"/>
    <col min="9985" max="9985" width="33.33203125" style="1" bestFit="1" customWidth="1"/>
    <col min="9986" max="10240" width="9.33203125" style="1"/>
    <col min="10241" max="10241" width="33.33203125" style="1" bestFit="1" customWidth="1"/>
    <col min="10242" max="10496" width="9.33203125" style="1"/>
    <col min="10497" max="10497" width="33.33203125" style="1" bestFit="1" customWidth="1"/>
    <col min="10498" max="10752" width="9.33203125" style="1"/>
    <col min="10753" max="10753" width="33.33203125" style="1" bestFit="1" customWidth="1"/>
    <col min="10754" max="11008" width="9.33203125" style="1"/>
    <col min="11009" max="11009" width="33.33203125" style="1" bestFit="1" customWidth="1"/>
    <col min="11010" max="11264" width="9.33203125" style="1"/>
    <col min="11265" max="11265" width="33.33203125" style="1" bestFit="1" customWidth="1"/>
    <col min="11266" max="11520" width="9.33203125" style="1"/>
    <col min="11521" max="11521" width="33.33203125" style="1" bestFit="1" customWidth="1"/>
    <col min="11522" max="11776" width="9.33203125" style="1"/>
    <col min="11777" max="11777" width="33.33203125" style="1" bestFit="1" customWidth="1"/>
    <col min="11778" max="12032" width="9.33203125" style="1"/>
    <col min="12033" max="12033" width="33.33203125" style="1" bestFit="1" customWidth="1"/>
    <col min="12034" max="12288" width="9.33203125" style="1"/>
    <col min="12289" max="12289" width="33.33203125" style="1" bestFit="1" customWidth="1"/>
    <col min="12290" max="12544" width="9.33203125" style="1"/>
    <col min="12545" max="12545" width="33.33203125" style="1" bestFit="1" customWidth="1"/>
    <col min="12546" max="12800" width="9.33203125" style="1"/>
    <col min="12801" max="12801" width="33.33203125" style="1" bestFit="1" customWidth="1"/>
    <col min="12802" max="13056" width="9.33203125" style="1"/>
    <col min="13057" max="13057" width="33.33203125" style="1" bestFit="1" customWidth="1"/>
    <col min="13058" max="13312" width="9.33203125" style="1"/>
    <col min="13313" max="13313" width="33.33203125" style="1" bestFit="1" customWidth="1"/>
    <col min="13314" max="13568" width="9.33203125" style="1"/>
    <col min="13569" max="13569" width="33.33203125" style="1" bestFit="1" customWidth="1"/>
    <col min="13570" max="13824" width="9.33203125" style="1"/>
    <col min="13825" max="13825" width="33.33203125" style="1" bestFit="1" customWidth="1"/>
    <col min="13826" max="14080" width="9.33203125" style="1"/>
    <col min="14081" max="14081" width="33.33203125" style="1" bestFit="1" customWidth="1"/>
    <col min="14082" max="14336" width="9.33203125" style="1"/>
    <col min="14337" max="14337" width="33.33203125" style="1" bestFit="1" customWidth="1"/>
    <col min="14338" max="14592" width="9.33203125" style="1"/>
    <col min="14593" max="14593" width="33.33203125" style="1" bestFit="1" customWidth="1"/>
    <col min="14594" max="14848" width="9.33203125" style="1"/>
    <col min="14849" max="14849" width="33.33203125" style="1" bestFit="1" customWidth="1"/>
    <col min="14850" max="15104" width="9.33203125" style="1"/>
    <col min="15105" max="15105" width="33.33203125" style="1" bestFit="1" customWidth="1"/>
    <col min="15106" max="15360" width="9.33203125" style="1"/>
    <col min="15361" max="15361" width="33.33203125" style="1" bestFit="1" customWidth="1"/>
    <col min="15362" max="15616" width="9.33203125" style="1"/>
    <col min="15617" max="15617" width="33.33203125" style="1" bestFit="1" customWidth="1"/>
    <col min="15618" max="15872" width="9.33203125" style="1"/>
    <col min="15873" max="15873" width="33.33203125" style="1" bestFit="1" customWidth="1"/>
    <col min="15874" max="16128" width="9.33203125" style="1"/>
    <col min="16129" max="16129" width="33.33203125" style="1" bestFit="1" customWidth="1"/>
    <col min="16130" max="16384" width="9.33203125" style="1"/>
  </cols>
  <sheetData>
    <row r="1" spans="1:1">
      <c r="A1" s="364" t="s">
        <v>1154</v>
      </c>
    </row>
    <row r="2" spans="1:1">
      <c r="A2" s="364" t="s">
        <v>1159</v>
      </c>
    </row>
    <row r="3" spans="1:1">
      <c r="A3" s="364" t="s">
        <v>1160</v>
      </c>
    </row>
    <row r="4" spans="1:1">
      <c r="A4" s="364" t="s">
        <v>1161</v>
      </c>
    </row>
    <row r="5" spans="1:1">
      <c r="A5" s="364" t="s">
        <v>1162</v>
      </c>
    </row>
    <row r="6" spans="1:1">
      <c r="A6" s="364" t="s">
        <v>1155</v>
      </c>
    </row>
    <row r="7" spans="1:1">
      <c r="A7" s="364" t="s">
        <v>1163</v>
      </c>
    </row>
    <row r="8" spans="1:1">
      <c r="A8" s="364" t="s">
        <v>1164</v>
      </c>
    </row>
    <row r="9" spans="1:1">
      <c r="A9" s="364" t="s">
        <v>1165</v>
      </c>
    </row>
    <row r="10" spans="1:1">
      <c r="A10" s="364" t="s">
        <v>1156</v>
      </c>
    </row>
    <row r="11" spans="1:1">
      <c r="A11" s="364" t="s">
        <v>1166</v>
      </c>
    </row>
    <row r="12" spans="1:1">
      <c r="A12" s="364" t="s">
        <v>1157</v>
      </c>
    </row>
    <row r="13" spans="1:1">
      <c r="A13" s="364" t="s">
        <v>1158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V4"/>
  <sheetViews>
    <sheetView workbookViewId="0"/>
  </sheetViews>
  <sheetFormatPr defaultRowHeight="11.25"/>
  <sheetData>
    <row r="1" spans="1:256">
      <c r="A1" t="s">
        <v>767</v>
      </c>
    </row>
    <row r="2" spans="1:256" s="296" customFormat="1">
      <c r="A2" s="296" t="s">
        <v>346</v>
      </c>
      <c r="B2" s="296" t="s">
        <v>426</v>
      </c>
      <c r="C2" s="296" t="s">
        <v>296</v>
      </c>
      <c r="D2" s="296" t="s">
        <v>320</v>
      </c>
      <c r="E2" s="296" t="s">
        <v>289</v>
      </c>
      <c r="F2" s="296" t="s">
        <v>313</v>
      </c>
      <c r="G2" s="296" t="s">
        <v>335</v>
      </c>
      <c r="H2" s="296" t="s">
        <v>414</v>
      </c>
      <c r="I2" s="296" t="s">
        <v>383</v>
      </c>
      <c r="J2" s="296" t="s">
        <v>522</v>
      </c>
      <c r="K2" s="296" t="s">
        <v>299</v>
      </c>
      <c r="L2" s="296" t="s">
        <v>455</v>
      </c>
      <c r="M2" s="296" t="s">
        <v>390</v>
      </c>
      <c r="N2" s="296" t="s">
        <v>523</v>
      </c>
      <c r="O2" s="296" t="s">
        <v>714</v>
      </c>
      <c r="P2" s="296" t="s">
        <v>744</v>
      </c>
      <c r="Q2" s="296" t="s">
        <v>668</v>
      </c>
      <c r="R2" s="296" t="s">
        <v>707</v>
      </c>
      <c r="S2" s="296" t="s">
        <v>309</v>
      </c>
      <c r="T2" s="296" t="s">
        <v>29</v>
      </c>
      <c r="U2" s="296" t="s">
        <v>629</v>
      </c>
      <c r="V2" s="296" t="s">
        <v>671</v>
      </c>
      <c r="W2" s="296" t="s">
        <v>607</v>
      </c>
      <c r="X2" s="296" t="s">
        <v>619</v>
      </c>
      <c r="Y2" s="296" t="s">
        <v>606</v>
      </c>
      <c r="Z2" s="296" t="s">
        <v>618</v>
      </c>
      <c r="AA2" s="296" t="s">
        <v>630</v>
      </c>
      <c r="AB2" s="296" t="s">
        <v>672</v>
      </c>
      <c r="AC2" s="296" t="s">
        <v>264</v>
      </c>
      <c r="AD2" s="296" t="s">
        <v>233</v>
      </c>
      <c r="AE2" s="296" t="s">
        <v>481</v>
      </c>
      <c r="AF2" s="296" t="s">
        <v>524</v>
      </c>
      <c r="AG2" s="296" t="s">
        <v>631</v>
      </c>
      <c r="AH2" s="296" t="s">
        <v>673</v>
      </c>
      <c r="AI2" s="296" t="s">
        <v>358</v>
      </c>
      <c r="AJ2" s="296" t="s">
        <v>438</v>
      </c>
      <c r="AK2" s="296" t="s">
        <v>494</v>
      </c>
      <c r="AL2" s="296" t="s">
        <v>525</v>
      </c>
      <c r="AM2" s="296" t="s">
        <v>503</v>
      </c>
      <c r="AN2" s="296" t="s">
        <v>526</v>
      </c>
      <c r="AO2" s="296" t="s">
        <v>361</v>
      </c>
      <c r="AP2" s="296" t="s">
        <v>442</v>
      </c>
      <c r="AQ2" s="296" t="s">
        <v>511</v>
      </c>
      <c r="AR2" s="296" t="s">
        <v>527</v>
      </c>
      <c r="AS2" s="296" t="s">
        <v>502</v>
      </c>
      <c r="AT2" s="296" t="s">
        <v>528</v>
      </c>
      <c r="AU2" s="296" t="s">
        <v>371</v>
      </c>
      <c r="AV2" s="296" t="s">
        <v>452</v>
      </c>
      <c r="AW2" s="296" t="s">
        <v>402</v>
      </c>
      <c r="AX2" s="296" t="s">
        <v>529</v>
      </c>
      <c r="AY2" s="296" t="s">
        <v>375</v>
      </c>
      <c r="AZ2" s="296" t="s">
        <v>457</v>
      </c>
      <c r="BA2" s="296" t="s">
        <v>365</v>
      </c>
      <c r="BB2" s="296" t="s">
        <v>446</v>
      </c>
      <c r="BC2" s="296" t="s">
        <v>281</v>
      </c>
      <c r="BD2" s="296" t="s">
        <v>304</v>
      </c>
      <c r="BE2" s="296" t="s">
        <v>711</v>
      </c>
      <c r="BF2" s="296" t="s">
        <v>741</v>
      </c>
      <c r="BG2" s="296" t="s">
        <v>367</v>
      </c>
      <c r="BH2" s="296" t="s">
        <v>448</v>
      </c>
      <c r="BI2" s="296" t="s">
        <v>360</v>
      </c>
      <c r="BJ2" s="296" t="s">
        <v>440</v>
      </c>
      <c r="BK2" s="296" t="s">
        <v>605</v>
      </c>
      <c r="BL2" s="296" t="s">
        <v>617</v>
      </c>
      <c r="BM2" s="296" t="s">
        <v>359</v>
      </c>
      <c r="BN2" s="296" t="s">
        <v>439</v>
      </c>
      <c r="BO2" s="296" t="s">
        <v>633</v>
      </c>
      <c r="BP2" s="296" t="s">
        <v>675</v>
      </c>
      <c r="BQ2" s="296" t="s">
        <v>669</v>
      </c>
      <c r="BR2" s="296" t="s">
        <v>708</v>
      </c>
      <c r="BS2" s="296" t="s">
        <v>323</v>
      </c>
      <c r="BT2" s="296" t="s">
        <v>403</v>
      </c>
      <c r="BU2" s="296" t="s">
        <v>370</v>
      </c>
      <c r="BV2" s="296" t="s">
        <v>451</v>
      </c>
      <c r="BW2" s="296" t="s">
        <v>388</v>
      </c>
      <c r="BX2" s="296" t="s">
        <v>577</v>
      </c>
      <c r="BY2" s="296" t="s">
        <v>351</v>
      </c>
      <c r="BZ2" s="296" t="s">
        <v>431</v>
      </c>
      <c r="CA2" s="296" t="s">
        <v>634</v>
      </c>
      <c r="CB2" s="296" t="s">
        <v>676</v>
      </c>
      <c r="CC2" s="296" t="s">
        <v>468</v>
      </c>
      <c r="CD2" s="296" t="s">
        <v>531</v>
      </c>
      <c r="CE2" s="296" t="s">
        <v>395</v>
      </c>
      <c r="CF2" s="296" t="s">
        <v>583</v>
      </c>
      <c r="CG2" s="296" t="s">
        <v>500</v>
      </c>
      <c r="CH2" s="296" t="s">
        <v>532</v>
      </c>
      <c r="CI2" s="296" t="s">
        <v>465</v>
      </c>
      <c r="CJ2" s="296" t="s">
        <v>533</v>
      </c>
      <c r="CK2" s="296" t="s">
        <v>297</v>
      </c>
      <c r="CL2" s="296" t="s">
        <v>321</v>
      </c>
      <c r="CM2" s="296" t="s">
        <v>496</v>
      </c>
      <c r="CN2" s="296" t="s">
        <v>564</v>
      </c>
      <c r="CO2" s="296" t="s">
        <v>638</v>
      </c>
      <c r="CP2" s="296" t="s">
        <v>679</v>
      </c>
      <c r="CQ2" s="296" t="s">
        <v>334</v>
      </c>
      <c r="CR2" s="296" t="s">
        <v>413</v>
      </c>
      <c r="CS2" s="296" t="s">
        <v>279</v>
      </c>
      <c r="CT2" s="296" t="s">
        <v>302</v>
      </c>
      <c r="CU2" s="296" t="s">
        <v>396</v>
      </c>
      <c r="CV2" s="296" t="s">
        <v>534</v>
      </c>
      <c r="CW2" s="296" t="s">
        <v>518</v>
      </c>
      <c r="CX2" s="296" t="s">
        <v>535</v>
      </c>
      <c r="CY2" s="296" t="s">
        <v>293</v>
      </c>
      <c r="CZ2" s="296" t="s">
        <v>317</v>
      </c>
      <c r="DA2" s="296" t="s">
        <v>636</v>
      </c>
      <c r="DB2" s="296" t="s">
        <v>677</v>
      </c>
      <c r="DC2" s="296" t="s">
        <v>294</v>
      </c>
      <c r="DD2" s="296" t="s">
        <v>318</v>
      </c>
      <c r="DE2" s="296" t="s">
        <v>512</v>
      </c>
      <c r="DF2" s="296" t="s">
        <v>587</v>
      </c>
      <c r="DG2" s="296" t="s">
        <v>290</v>
      </c>
      <c r="DH2" s="296" t="s">
        <v>314</v>
      </c>
      <c r="DI2" s="296" t="s">
        <v>506</v>
      </c>
      <c r="DJ2" s="296" t="s">
        <v>536</v>
      </c>
      <c r="DK2" s="296" t="s">
        <v>352</v>
      </c>
      <c r="DL2" s="296" t="s">
        <v>432</v>
      </c>
      <c r="DM2" s="296" t="s">
        <v>643</v>
      </c>
      <c r="DN2" s="296" t="s">
        <v>684</v>
      </c>
      <c r="DO2" s="296" t="s">
        <v>363</v>
      </c>
      <c r="DP2" s="296" t="s">
        <v>444</v>
      </c>
      <c r="DQ2" s="296" t="s">
        <v>508</v>
      </c>
      <c r="DR2" s="296" t="s">
        <v>537</v>
      </c>
      <c r="DS2" s="296" t="s">
        <v>288</v>
      </c>
      <c r="DT2" s="296" t="s">
        <v>312</v>
      </c>
      <c r="DU2" s="296" t="s">
        <v>495</v>
      </c>
      <c r="DV2" s="296" t="s">
        <v>538</v>
      </c>
      <c r="DW2" s="296" t="s">
        <v>265</v>
      </c>
      <c r="DX2" s="296" t="s">
        <v>267</v>
      </c>
      <c r="DY2" s="296" t="s">
        <v>712</v>
      </c>
      <c r="DZ2" s="296" t="s">
        <v>742</v>
      </c>
      <c r="EA2" s="296" t="s">
        <v>485</v>
      </c>
      <c r="EB2" s="296" t="s">
        <v>584</v>
      </c>
      <c r="EC2" s="296" t="s">
        <v>374</v>
      </c>
      <c r="ED2" s="296" t="s">
        <v>456</v>
      </c>
      <c r="EE2" s="296" t="s">
        <v>517</v>
      </c>
      <c r="EF2" s="296" t="s">
        <v>539</v>
      </c>
      <c r="EG2" s="296" t="s">
        <v>380</v>
      </c>
      <c r="EH2" s="296" t="s">
        <v>540</v>
      </c>
      <c r="EI2" s="296" t="s">
        <v>639</v>
      </c>
      <c r="EJ2" s="296" t="s">
        <v>680</v>
      </c>
      <c r="EK2" s="296" t="s">
        <v>354</v>
      </c>
      <c r="EL2" s="296" t="s">
        <v>434</v>
      </c>
      <c r="EM2" s="296" t="s">
        <v>505</v>
      </c>
      <c r="EN2" s="296" t="s">
        <v>551</v>
      </c>
      <c r="EO2" s="296" t="s">
        <v>507</v>
      </c>
      <c r="EP2" s="296" t="s">
        <v>541</v>
      </c>
      <c r="EQ2" s="296" t="s">
        <v>382</v>
      </c>
      <c r="ER2" s="296" t="s">
        <v>566</v>
      </c>
      <c r="ES2" s="296" t="s">
        <v>482</v>
      </c>
      <c r="ET2" s="296" t="s">
        <v>542</v>
      </c>
      <c r="EU2" s="296" t="s">
        <v>719</v>
      </c>
      <c r="EV2" s="296" t="s">
        <v>749</v>
      </c>
      <c r="EW2" s="296" t="s">
        <v>492</v>
      </c>
      <c r="EX2" s="296" t="s">
        <v>543</v>
      </c>
      <c r="EY2" s="296" t="s">
        <v>477</v>
      </c>
      <c r="EZ2" s="296" t="s">
        <v>593</v>
      </c>
      <c r="FA2" s="296" t="s">
        <v>350</v>
      </c>
      <c r="FB2" s="296" t="s">
        <v>430</v>
      </c>
      <c r="FC2" s="296" t="s">
        <v>487</v>
      </c>
      <c r="FD2" s="296" t="s">
        <v>582</v>
      </c>
      <c r="FE2" s="296" t="s">
        <v>599</v>
      </c>
      <c r="FF2" s="296" t="s">
        <v>602</v>
      </c>
      <c r="FG2" s="296" t="s">
        <v>280</v>
      </c>
      <c r="FH2" s="296" t="s">
        <v>303</v>
      </c>
      <c r="FI2" s="296" t="s">
        <v>713</v>
      </c>
      <c r="FJ2" s="296" t="s">
        <v>743</v>
      </c>
      <c r="FK2" s="296" t="s">
        <v>732</v>
      </c>
      <c r="FL2" s="296" t="s">
        <v>762</v>
      </c>
      <c r="FM2" s="296" t="s">
        <v>608</v>
      </c>
      <c r="FN2" s="296" t="s">
        <v>620</v>
      </c>
      <c r="FO2" s="296" t="s">
        <v>386</v>
      </c>
      <c r="FP2" s="296" t="s">
        <v>544</v>
      </c>
      <c r="FQ2" s="296" t="s">
        <v>287</v>
      </c>
      <c r="FR2" s="296" t="s">
        <v>311</v>
      </c>
      <c r="FS2" s="296" t="s">
        <v>326</v>
      </c>
      <c r="FT2" s="296">
        <v>90.146000000000001</v>
      </c>
      <c r="FU2" s="296" t="s">
        <v>292</v>
      </c>
      <c r="FV2" s="296" t="s">
        <v>316</v>
      </c>
      <c r="FW2" s="296" t="s">
        <v>349</v>
      </c>
      <c r="FX2" s="296" t="s">
        <v>429</v>
      </c>
      <c r="FY2" s="296" t="s">
        <v>519</v>
      </c>
      <c r="FZ2" s="296" t="s">
        <v>545</v>
      </c>
      <c r="GA2" s="296" t="s">
        <v>493</v>
      </c>
      <c r="GB2" s="296" t="s">
        <v>592</v>
      </c>
      <c r="GC2" s="296" t="s">
        <v>324</v>
      </c>
      <c r="GD2" s="296" t="s">
        <v>404</v>
      </c>
      <c r="GE2" s="296" t="s">
        <v>715</v>
      </c>
      <c r="GF2" s="296" t="s">
        <v>745</v>
      </c>
      <c r="GG2" s="296" t="s">
        <v>398</v>
      </c>
      <c r="GH2" s="296" t="s">
        <v>546</v>
      </c>
      <c r="GI2" s="296" t="s">
        <v>392</v>
      </c>
      <c r="GJ2" s="296" t="s">
        <v>547</v>
      </c>
      <c r="GK2" s="296" t="s">
        <v>471</v>
      </c>
      <c r="GL2" s="296" t="s">
        <v>548</v>
      </c>
      <c r="GM2" s="296" t="s">
        <v>266</v>
      </c>
      <c r="GN2" s="296" t="s">
        <v>268</v>
      </c>
      <c r="GO2" s="296" t="s">
        <v>642</v>
      </c>
      <c r="GP2" s="296" t="s">
        <v>683</v>
      </c>
      <c r="GQ2" s="296" t="s">
        <v>391</v>
      </c>
      <c r="GR2" s="296" t="s">
        <v>549</v>
      </c>
      <c r="GS2" s="296" t="s">
        <v>377</v>
      </c>
      <c r="GT2" s="296" t="s">
        <v>459</v>
      </c>
      <c r="GU2" s="296" t="s">
        <v>385</v>
      </c>
      <c r="GV2" s="296" t="s">
        <v>550</v>
      </c>
      <c r="GW2" s="296" t="s">
        <v>476</v>
      </c>
      <c r="GX2" s="296" t="s">
        <v>551</v>
      </c>
      <c r="GY2" s="296" t="s">
        <v>366</v>
      </c>
      <c r="GZ2" s="296" t="s">
        <v>447</v>
      </c>
      <c r="HA2" s="296" t="s">
        <v>657</v>
      </c>
      <c r="HB2" s="296" t="s">
        <v>697</v>
      </c>
      <c r="HC2" s="296" t="s">
        <v>644</v>
      </c>
      <c r="HD2" s="296" t="s">
        <v>685</v>
      </c>
      <c r="HE2" s="296" t="s">
        <v>609</v>
      </c>
      <c r="HF2" s="296" t="s">
        <v>621</v>
      </c>
      <c r="HG2" s="296" t="s">
        <v>716</v>
      </c>
      <c r="HH2" s="296" t="s">
        <v>746</v>
      </c>
      <c r="HI2" s="296" t="s">
        <v>717</v>
      </c>
      <c r="HJ2" s="296" t="s">
        <v>747</v>
      </c>
      <c r="HK2" s="296" t="s">
        <v>357</v>
      </c>
      <c r="HL2" s="296" t="s">
        <v>437</v>
      </c>
      <c r="HM2" s="296" t="s">
        <v>718</v>
      </c>
      <c r="HN2" s="296" t="s">
        <v>748</v>
      </c>
      <c r="HO2" s="296" t="s">
        <v>720</v>
      </c>
      <c r="HP2" s="296" t="s">
        <v>750</v>
      </c>
      <c r="HQ2" s="296" t="s">
        <v>397</v>
      </c>
      <c r="HR2" s="296" t="s">
        <v>552</v>
      </c>
      <c r="HS2" s="296" t="s">
        <v>393</v>
      </c>
      <c r="HT2" s="296" t="s">
        <v>553</v>
      </c>
      <c r="HU2" s="296" t="s">
        <v>344</v>
      </c>
      <c r="HV2" s="296" t="s">
        <v>424</v>
      </c>
      <c r="HW2" s="296" t="s">
        <v>645</v>
      </c>
      <c r="HX2" s="296" t="s">
        <v>686</v>
      </c>
      <c r="HY2" s="296" t="s">
        <v>733</v>
      </c>
      <c r="HZ2" s="296" t="s">
        <v>754</v>
      </c>
      <c r="IA2" s="296" t="s">
        <v>362</v>
      </c>
      <c r="IB2" s="296" t="s">
        <v>443</v>
      </c>
      <c r="IC2" s="296" t="s">
        <v>499</v>
      </c>
      <c r="ID2" s="296" t="s">
        <v>554</v>
      </c>
      <c r="IE2" s="296" t="s">
        <v>509</v>
      </c>
      <c r="IF2" s="296" t="s">
        <v>555</v>
      </c>
      <c r="IG2" s="296" t="s">
        <v>510</v>
      </c>
      <c r="IH2" s="296" t="s">
        <v>556</v>
      </c>
      <c r="II2" s="296" t="s">
        <v>475</v>
      </c>
      <c r="IJ2" s="296" t="s">
        <v>557</v>
      </c>
      <c r="IK2" s="296" t="s">
        <v>722</v>
      </c>
      <c r="IL2" s="296" t="s">
        <v>752</v>
      </c>
      <c r="IM2" s="296" t="s">
        <v>723</v>
      </c>
      <c r="IN2" s="296" t="s">
        <v>753</v>
      </c>
      <c r="IO2" s="296" t="s">
        <v>387</v>
      </c>
      <c r="IP2" s="296" t="s">
        <v>558</v>
      </c>
      <c r="IQ2" s="296" t="s">
        <v>724</v>
      </c>
      <c r="IR2" s="296" t="s">
        <v>754</v>
      </c>
      <c r="IS2" s="296" t="s">
        <v>486</v>
      </c>
      <c r="IT2" s="296" t="s">
        <v>591</v>
      </c>
      <c r="IU2" s="296" t="s">
        <v>379</v>
      </c>
      <c r="IV2" s="296" t="s">
        <v>461</v>
      </c>
    </row>
    <row r="3" spans="1:256" s="296" customFormat="1">
      <c r="A3" s="296" t="s">
        <v>611</v>
      </c>
      <c r="B3" s="296" t="s">
        <v>623</v>
      </c>
      <c r="C3" s="296" t="s">
        <v>347</v>
      </c>
      <c r="D3" s="296" t="s">
        <v>427</v>
      </c>
      <c r="E3" s="296" t="s">
        <v>291</v>
      </c>
      <c r="F3" s="296" t="s">
        <v>315</v>
      </c>
      <c r="G3" s="296" t="s">
        <v>282</v>
      </c>
      <c r="H3" s="296" t="s">
        <v>305</v>
      </c>
      <c r="I3" s="296" t="s">
        <v>491</v>
      </c>
      <c r="J3" s="296" t="s">
        <v>559</v>
      </c>
      <c r="K3" s="296" t="s">
        <v>520</v>
      </c>
      <c r="L3" s="296" t="s">
        <v>560</v>
      </c>
      <c r="M3" s="296" t="s">
        <v>364</v>
      </c>
      <c r="N3" s="296" t="s">
        <v>445</v>
      </c>
      <c r="O3" s="296" t="s">
        <v>332</v>
      </c>
      <c r="P3" s="296" t="s">
        <v>411</v>
      </c>
      <c r="Q3" s="296" t="s">
        <v>345</v>
      </c>
      <c r="R3" s="296" t="s">
        <v>425</v>
      </c>
      <c r="S3" s="296" t="s">
        <v>515</v>
      </c>
      <c r="T3" s="296" t="s">
        <v>536</v>
      </c>
      <c r="U3" s="296" t="s">
        <v>728</v>
      </c>
      <c r="V3" s="296" t="s">
        <v>758</v>
      </c>
      <c r="W3" s="296" t="s">
        <v>376</v>
      </c>
      <c r="X3" s="296" t="s">
        <v>458</v>
      </c>
      <c r="Y3" s="296" t="s">
        <v>521</v>
      </c>
      <c r="Z3" s="296" t="s">
        <v>561</v>
      </c>
      <c r="AA3" s="296" t="s">
        <v>283</v>
      </c>
      <c r="AB3" s="296" t="s">
        <v>306</v>
      </c>
      <c r="AC3" s="296" t="s">
        <v>348</v>
      </c>
      <c r="AD3" s="296" t="s">
        <v>428</v>
      </c>
      <c r="AE3" s="296" t="s">
        <v>384</v>
      </c>
      <c r="AF3" s="296" t="s">
        <v>562</v>
      </c>
      <c r="AG3" s="296" t="s">
        <v>646</v>
      </c>
      <c r="AH3" s="296" t="s">
        <v>687</v>
      </c>
      <c r="AI3" s="296" t="s">
        <v>341</v>
      </c>
      <c r="AJ3" s="296" t="s">
        <v>421</v>
      </c>
      <c r="AK3" s="296" t="s">
        <v>601</v>
      </c>
      <c r="AL3" s="296" t="s">
        <v>604</v>
      </c>
      <c r="AM3" s="296" t="s">
        <v>373</v>
      </c>
      <c r="AN3" s="296" t="s">
        <v>454</v>
      </c>
      <c r="AO3" s="296" t="s">
        <v>338</v>
      </c>
      <c r="AP3" s="296" t="s">
        <v>417</v>
      </c>
      <c r="AQ3" s="296" t="s">
        <v>400</v>
      </c>
      <c r="AR3" s="296" t="s">
        <v>563</v>
      </c>
      <c r="AS3" s="296" t="s">
        <v>648</v>
      </c>
      <c r="AT3" s="296" t="s">
        <v>689</v>
      </c>
      <c r="AU3" s="296" t="s">
        <v>612</v>
      </c>
      <c r="AV3" s="296" t="s">
        <v>624</v>
      </c>
      <c r="AW3" s="296" t="s">
        <v>647</v>
      </c>
      <c r="AX3" s="296" t="s">
        <v>688</v>
      </c>
      <c r="AY3" s="296" t="s">
        <v>469</v>
      </c>
      <c r="AZ3" s="296" t="s">
        <v>530</v>
      </c>
      <c r="BA3" s="296" t="s">
        <v>726</v>
      </c>
      <c r="BB3" s="296" t="s">
        <v>756</v>
      </c>
      <c r="BC3" s="296" t="s">
        <v>329</v>
      </c>
      <c r="BD3" s="296" t="s">
        <v>408</v>
      </c>
      <c r="BE3" s="296" t="s">
        <v>730</v>
      </c>
      <c r="BF3" s="296" t="s">
        <v>760</v>
      </c>
      <c r="BG3" s="296" t="s">
        <v>710</v>
      </c>
      <c r="BH3" s="296" t="s">
        <v>740</v>
      </c>
      <c r="BI3" s="296" t="s">
        <v>513</v>
      </c>
      <c r="BJ3" s="296" t="s">
        <v>578</v>
      </c>
      <c r="BK3" s="296" t="s">
        <v>498</v>
      </c>
      <c r="BL3" s="296" t="s">
        <v>567</v>
      </c>
      <c r="BM3" s="296" t="s">
        <v>635</v>
      </c>
      <c r="BN3" s="296" t="s">
        <v>603</v>
      </c>
      <c r="BO3" s="296" t="s">
        <v>401</v>
      </c>
      <c r="BP3" s="296" t="s">
        <v>568</v>
      </c>
      <c r="BQ3" s="296" t="s">
        <v>378</v>
      </c>
      <c r="BR3" s="296" t="s">
        <v>460</v>
      </c>
      <c r="BS3" s="296" t="s">
        <v>488</v>
      </c>
      <c r="BT3" s="296" t="s">
        <v>569</v>
      </c>
      <c r="BU3" s="296" t="s">
        <v>478</v>
      </c>
      <c r="BV3" s="296" t="s">
        <v>570</v>
      </c>
      <c r="BW3" s="296" t="s">
        <v>327</v>
      </c>
      <c r="BX3" s="296" t="s">
        <v>406</v>
      </c>
      <c r="BY3" s="296" t="s">
        <v>649</v>
      </c>
      <c r="BZ3" s="296" t="s">
        <v>690</v>
      </c>
      <c r="CA3" s="296" t="s">
        <v>355</v>
      </c>
      <c r="CB3" s="296" t="s">
        <v>435</v>
      </c>
      <c r="CC3" s="296" t="s">
        <v>650</v>
      </c>
      <c r="CD3" s="296" t="s">
        <v>685</v>
      </c>
      <c r="CE3" s="296" t="s">
        <v>516</v>
      </c>
      <c r="CF3" s="296" t="s">
        <v>573</v>
      </c>
      <c r="CG3" s="296" t="s">
        <v>399</v>
      </c>
      <c r="CH3" s="296" t="s">
        <v>571</v>
      </c>
      <c r="CI3" s="296" t="s">
        <v>272</v>
      </c>
      <c r="CJ3" s="296" t="s">
        <v>276</v>
      </c>
      <c r="CK3" s="296" t="s">
        <v>504</v>
      </c>
      <c r="CL3" s="296" t="s">
        <v>575</v>
      </c>
      <c r="CM3" s="296" t="s">
        <v>613</v>
      </c>
      <c r="CN3" s="296" t="s">
        <v>625</v>
      </c>
      <c r="CO3" s="296" t="s">
        <v>479</v>
      </c>
      <c r="CP3" s="296" t="s">
        <v>565</v>
      </c>
      <c r="CQ3" s="296" t="s">
        <v>734</v>
      </c>
      <c r="CR3" s="296" t="s">
        <v>763</v>
      </c>
      <c r="CS3" s="296" t="s">
        <v>663</v>
      </c>
      <c r="CT3" s="296" t="s">
        <v>703</v>
      </c>
      <c r="CU3" s="296" t="s">
        <v>340</v>
      </c>
      <c r="CV3" s="296" t="s">
        <v>420</v>
      </c>
      <c r="CW3" s="296" t="s">
        <v>614</v>
      </c>
      <c r="CX3" s="296" t="s">
        <v>626</v>
      </c>
      <c r="CY3" s="296" t="s">
        <v>480</v>
      </c>
      <c r="CZ3" s="296" t="s">
        <v>575</v>
      </c>
      <c r="DA3" s="296" t="s">
        <v>651</v>
      </c>
      <c r="DB3" s="296" t="s">
        <v>691</v>
      </c>
      <c r="DC3" s="296" t="s">
        <v>343</v>
      </c>
      <c r="DD3" s="296" t="s">
        <v>423</v>
      </c>
      <c r="DE3" s="296" t="s">
        <v>325</v>
      </c>
      <c r="DF3" s="296" t="s">
        <v>405</v>
      </c>
      <c r="DG3" s="296" t="s">
        <v>483</v>
      </c>
      <c r="DH3" s="296" t="s">
        <v>539</v>
      </c>
      <c r="DI3" s="296" t="s">
        <v>652</v>
      </c>
      <c r="DJ3" s="296" t="s">
        <v>692</v>
      </c>
      <c r="DK3" s="296" t="s">
        <v>653</v>
      </c>
      <c r="DL3" s="296" t="s">
        <v>693</v>
      </c>
      <c r="DM3" s="296" t="s">
        <v>301</v>
      </c>
      <c r="DN3" s="296" t="s">
        <v>419</v>
      </c>
      <c r="DO3" s="296" t="s">
        <v>394</v>
      </c>
      <c r="DP3" s="296" t="s">
        <v>572</v>
      </c>
      <c r="DQ3" s="296" t="s">
        <v>654</v>
      </c>
      <c r="DR3" s="296" t="s">
        <v>694</v>
      </c>
      <c r="DS3" s="296" t="s">
        <v>285</v>
      </c>
      <c r="DT3" s="296" t="s">
        <v>308</v>
      </c>
      <c r="DU3" s="296" t="s">
        <v>659</v>
      </c>
      <c r="DV3" s="296" t="s">
        <v>699</v>
      </c>
      <c r="DW3" s="296" t="s">
        <v>637</v>
      </c>
      <c r="DX3" s="296" t="s">
        <v>678</v>
      </c>
      <c r="DY3" s="296" t="s">
        <v>655</v>
      </c>
      <c r="DZ3" s="296" t="s">
        <v>695</v>
      </c>
      <c r="EA3" s="296" t="s">
        <v>466</v>
      </c>
      <c r="EB3" s="296" t="s">
        <v>579</v>
      </c>
      <c r="EC3" s="296" t="s">
        <v>489</v>
      </c>
      <c r="ED3" s="296" t="s">
        <v>580</v>
      </c>
      <c r="EE3" s="296" t="s">
        <v>271</v>
      </c>
      <c r="EF3" s="296" t="s">
        <v>275</v>
      </c>
      <c r="EG3" s="296" t="s">
        <v>333</v>
      </c>
      <c r="EH3" s="296" t="s">
        <v>412</v>
      </c>
      <c r="EI3" s="296" t="s">
        <v>725</v>
      </c>
      <c r="EJ3" s="296" t="s">
        <v>755</v>
      </c>
      <c r="EK3" s="296" t="s">
        <v>389</v>
      </c>
      <c r="EL3" s="296" t="s">
        <v>574</v>
      </c>
      <c r="EM3" s="296" t="s">
        <v>729</v>
      </c>
      <c r="EN3" s="296" t="s">
        <v>759</v>
      </c>
      <c r="EO3" s="296" t="s">
        <v>727</v>
      </c>
      <c r="EP3" s="296" t="s">
        <v>757</v>
      </c>
      <c r="EQ3" s="296" t="s">
        <v>472</v>
      </c>
      <c r="ER3" s="296" t="s">
        <v>585</v>
      </c>
      <c r="ES3" s="296" t="s">
        <v>656</v>
      </c>
      <c r="ET3" s="296" t="s">
        <v>696</v>
      </c>
      <c r="EU3" s="296" t="s">
        <v>462</v>
      </c>
      <c r="EV3" s="296" t="s">
        <v>586</v>
      </c>
      <c r="EW3" s="296" t="s">
        <v>284</v>
      </c>
      <c r="EX3" s="296" t="s">
        <v>307</v>
      </c>
      <c r="EY3" s="296" t="s">
        <v>330</v>
      </c>
      <c r="EZ3" s="296" t="s">
        <v>409</v>
      </c>
      <c r="FA3" s="296" t="s">
        <v>658</v>
      </c>
      <c r="FB3" s="296" t="s">
        <v>698</v>
      </c>
      <c r="FC3" s="296" t="s">
        <v>641</v>
      </c>
      <c r="FD3" s="296" t="s">
        <v>682</v>
      </c>
      <c r="FE3" s="296" t="s">
        <v>336</v>
      </c>
      <c r="FF3" s="296" t="s">
        <v>415</v>
      </c>
      <c r="FG3" s="296" t="s">
        <v>731</v>
      </c>
      <c r="FH3" s="296" t="s">
        <v>761</v>
      </c>
      <c r="FI3" s="296" t="s">
        <v>484</v>
      </c>
      <c r="FJ3" s="296" t="s">
        <v>581</v>
      </c>
      <c r="FK3" s="296" t="s">
        <v>331</v>
      </c>
      <c r="FL3" s="296" t="s">
        <v>410</v>
      </c>
      <c r="FM3" s="296" t="s">
        <v>353</v>
      </c>
      <c r="FN3" s="296" t="s">
        <v>433</v>
      </c>
      <c r="FO3" s="296" t="s">
        <v>660</v>
      </c>
      <c r="FP3" s="296" t="s">
        <v>700</v>
      </c>
      <c r="FQ3" s="296" t="s">
        <v>298</v>
      </c>
      <c r="FR3" s="296" t="s">
        <v>322</v>
      </c>
      <c r="FS3" s="296" t="s">
        <v>615</v>
      </c>
      <c r="FT3" s="296" t="s">
        <v>627</v>
      </c>
      <c r="FU3" s="296" t="s">
        <v>514</v>
      </c>
      <c r="FV3" s="296" t="s">
        <v>588</v>
      </c>
      <c r="FW3" s="296" t="s">
        <v>369</v>
      </c>
      <c r="FX3" s="296" t="s">
        <v>450</v>
      </c>
      <c r="FY3" s="296" t="s">
        <v>662</v>
      </c>
      <c r="FZ3" s="296" t="s">
        <v>702</v>
      </c>
      <c r="GA3" s="296" t="s">
        <v>490</v>
      </c>
      <c r="GB3" s="296" t="s">
        <v>589</v>
      </c>
      <c r="GC3" s="296" t="s">
        <v>721</v>
      </c>
      <c r="GD3" s="296" t="s">
        <v>751</v>
      </c>
      <c r="GE3" s="296" t="s">
        <v>441</v>
      </c>
      <c r="GF3" s="296" t="s">
        <v>29</v>
      </c>
      <c r="GG3" s="296" t="s">
        <v>735</v>
      </c>
      <c r="GH3" s="296" t="s">
        <v>764</v>
      </c>
      <c r="GI3" s="296" t="s">
        <v>470</v>
      </c>
      <c r="GJ3" s="296" t="s">
        <v>590</v>
      </c>
      <c r="GK3" s="296" t="s">
        <v>664</v>
      </c>
      <c r="GL3" s="296" t="s">
        <v>704</v>
      </c>
      <c r="GM3" s="296" t="s">
        <v>464</v>
      </c>
      <c r="GN3" s="296" t="s">
        <v>576</v>
      </c>
      <c r="GO3" s="296" t="s">
        <v>286</v>
      </c>
      <c r="GP3" s="296" t="s">
        <v>310</v>
      </c>
      <c r="GQ3" s="296" t="s">
        <v>339</v>
      </c>
      <c r="GR3" s="296" t="s">
        <v>418</v>
      </c>
      <c r="GS3" s="296" t="s">
        <v>665</v>
      </c>
      <c r="GT3" s="296" t="s">
        <v>705</v>
      </c>
      <c r="GU3" s="296" t="s">
        <v>736</v>
      </c>
      <c r="GV3" s="296" t="s">
        <v>765</v>
      </c>
      <c r="GW3" s="296" t="s">
        <v>666</v>
      </c>
      <c r="GX3" s="296" t="s">
        <v>671</v>
      </c>
      <c r="GY3" s="296" t="s">
        <v>342</v>
      </c>
      <c r="GZ3" s="296" t="s">
        <v>422</v>
      </c>
      <c r="HA3" s="296" t="s">
        <v>368</v>
      </c>
      <c r="HB3" s="296" t="s">
        <v>449</v>
      </c>
      <c r="HC3" s="296" t="s">
        <v>610</v>
      </c>
      <c r="HD3" s="296" t="s">
        <v>622</v>
      </c>
      <c r="HE3" s="296" t="s">
        <v>667</v>
      </c>
      <c r="HF3" s="296" t="s">
        <v>706</v>
      </c>
      <c r="HG3" s="296" t="s">
        <v>737</v>
      </c>
      <c r="HH3" s="296" t="s">
        <v>742</v>
      </c>
      <c r="HI3" s="296" t="s">
        <v>372</v>
      </c>
      <c r="HJ3" s="296" t="s">
        <v>453</v>
      </c>
      <c r="HK3" s="296" t="s">
        <v>328</v>
      </c>
      <c r="HL3" s="296" t="s">
        <v>407</v>
      </c>
      <c r="HM3" s="296" t="s">
        <v>295</v>
      </c>
      <c r="HN3" s="296" t="s">
        <v>319</v>
      </c>
      <c r="HO3" s="296" t="s">
        <v>497</v>
      </c>
      <c r="HP3" s="296" t="s">
        <v>592</v>
      </c>
      <c r="HQ3" s="296" t="s">
        <v>467</v>
      </c>
      <c r="HR3" s="296" t="s">
        <v>594</v>
      </c>
      <c r="HS3" s="296" t="s">
        <v>632</v>
      </c>
      <c r="HT3" s="296" t="s">
        <v>674</v>
      </c>
      <c r="HU3" s="296" t="s">
        <v>661</v>
      </c>
      <c r="HV3" s="296" t="s">
        <v>701</v>
      </c>
      <c r="HW3" s="296" t="s">
        <v>274</v>
      </c>
      <c r="HX3" s="296" t="s">
        <v>278</v>
      </c>
      <c r="HY3" s="296" t="s">
        <v>463</v>
      </c>
      <c r="HZ3" s="296" t="s">
        <v>595</v>
      </c>
      <c r="IA3" s="296" t="s">
        <v>616</v>
      </c>
      <c r="IB3" s="296" t="s">
        <v>628</v>
      </c>
      <c r="IC3" s="296" t="s">
        <v>273</v>
      </c>
      <c r="ID3" s="296" t="s">
        <v>277</v>
      </c>
      <c r="IE3" s="296" t="s">
        <v>738</v>
      </c>
      <c r="IF3" s="296" t="s">
        <v>766</v>
      </c>
      <c r="IG3" s="296" t="s">
        <v>474</v>
      </c>
      <c r="IH3" s="296" t="s">
        <v>596</v>
      </c>
      <c r="II3" s="296" t="s">
        <v>640</v>
      </c>
      <c r="IJ3" s="296" t="s">
        <v>681</v>
      </c>
      <c r="IK3" s="296" t="s">
        <v>670</v>
      </c>
      <c r="IL3" s="296" t="s">
        <v>709</v>
      </c>
      <c r="IM3" s="296" t="s">
        <v>337</v>
      </c>
      <c r="IN3" s="296" t="s">
        <v>416</v>
      </c>
      <c r="IO3" s="296" t="s">
        <v>356</v>
      </c>
      <c r="IP3" s="296" t="s">
        <v>436</v>
      </c>
      <c r="IQ3" s="296" t="s">
        <v>473</v>
      </c>
      <c r="IR3" s="296" t="s">
        <v>597</v>
      </c>
      <c r="IS3" s="296" t="s">
        <v>381</v>
      </c>
      <c r="IT3" s="296" t="s">
        <v>598</v>
      </c>
      <c r="IU3" s="296" t="s">
        <v>600</v>
      </c>
      <c r="IV3" s="296" t="s">
        <v>603</v>
      </c>
    </row>
    <row r="4" spans="1:256" s="296" customFormat="1">
      <c r="A4" s="296" t="s">
        <v>501</v>
      </c>
      <c r="B4" s="296" t="s">
        <v>545</v>
      </c>
      <c r="C4" s="296" t="s">
        <v>739</v>
      </c>
      <c r="D4" s="296">
        <v>611.61429160365901</v>
      </c>
      <c r="E4" s="296" t="s">
        <v>300</v>
      </c>
      <c r="F4" s="296">
        <v>2734.8330000000001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98</vt:i4>
      </vt:variant>
    </vt:vector>
  </HeadingPairs>
  <TitlesOfParts>
    <vt:vector size="102" baseType="lpstr">
      <vt:lpstr>ImportantDisclosures</vt:lpstr>
      <vt:lpstr>Model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Linking_12</vt:lpstr>
      <vt:lpstr>Linking_13</vt:lpstr>
      <vt:lpstr>Linking_14</vt:lpstr>
      <vt:lpstr>Linking_2</vt:lpstr>
      <vt:lpstr>Linking_3</vt:lpstr>
      <vt:lpstr>Linking_4</vt:lpstr>
      <vt:lpstr>Linking_5</vt:lpstr>
      <vt:lpstr>Linking_7</vt:lpstr>
      <vt:lpstr>Linking_8</vt:lpstr>
      <vt:lpstr>Linking_Range_10</vt:lpstr>
      <vt:lpstr>Linking_Range_18</vt:lpstr>
      <vt:lpstr>Linking_Range_2</vt:lpstr>
      <vt:lpstr>Linking_Range_28</vt:lpstr>
      <vt:lpstr>Linking_Range_29</vt:lpstr>
      <vt:lpstr>Linking_Range_3</vt:lpstr>
      <vt:lpstr>Linking_Range_30</vt:lpstr>
      <vt:lpstr>Linking_Range_32</vt:lpstr>
      <vt:lpstr>Linking_Range_33</vt:lpstr>
      <vt:lpstr>Linking_Range_34</vt:lpstr>
      <vt:lpstr>Linking_Range_35</vt:lpstr>
      <vt:lpstr>Linking_Range_36</vt:lpstr>
      <vt:lpstr>Linking_Range_37</vt:lpstr>
      <vt:lpstr>Linking_Range_38</vt:lpstr>
      <vt:lpstr>Linking_Range_8</vt:lpstr>
      <vt:lpstr>Linking_Range_9</vt:lpstr>
      <vt:lpstr>IndexInformation!MacroVersion</vt:lpstr>
      <vt:lpstr>model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Model!Print_Area</vt:lpstr>
      <vt:lpstr>Model!Print_Titles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2017-02-14T14:21:47Z</dcterms:created>
  <dc:creator>Lynagh, Connor J (Research)</dc:creator>
  <cp:lastModifiedBy>Ozier, Alex (Research)</cp:lastModifiedBy>
  <cp:lastPrinted>2018-03-20T22:10:07Z</cp:lastPrinted>
  <dcterms:modified xsi:type="dcterms:W3CDTF">2018-04-11T15:37:49Z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39</vt:lpwstr>
  </property>
  <property fmtid="{D5CDD505-2E9C-101B-9397-08002B2CF9AE}" name="IsInternalOnly" pid="3">
    <vt:lpwstr>True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761014</vt:lpwstr>
  </property>
  <property fmtid="{D5CDD505-2E9C-101B-9397-08002B2CF9AE}" name="ERModPubCompanyName" pid="7">
    <vt:lpwstr>Superior Energy Services Inc.</vt:lpwstr>
  </property>
  <property fmtid="{D5CDD505-2E9C-101B-9397-08002B2CF9AE}" name="MSDH34TAG" pid="8">
    <vt:lpwstr>.TEZUF76X5TAHATHESADREYAK-00-INB160+*94600-06=4d1fc260/-3d9e/-11e8/-b3f7/-7a79cfe26848,MD=20180411114322/-0400,ZZ=000Z-e0dd.</vt:lpwstr>
  </property>
</Properties>
</file>